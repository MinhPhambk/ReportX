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6. BÁO CÁO CHUYỂN KHO HN\"/>
    </mc:Choice>
  </mc:AlternateContent>
  <xr:revisionPtr revIDLastSave="0" documentId="13_ncr:1_{532A969E-D075-406B-9B2F-C0F08275EF8E}" xr6:coauthVersionLast="47" xr6:coauthVersionMax="47" xr10:uidLastSave="{00000000-0000-0000-0000-000000000000}"/>
  <bookViews>
    <workbookView xWindow="-108" yWindow="-108" windowWidth="23256" windowHeight="12456" firstSheet="16" activeTab="27" xr2:uid="{00000000-000D-0000-FFFF-FFFF00000000}"/>
  </bookViews>
  <sheets>
    <sheet name="01.02" sheetId="1" r:id="rId1"/>
    <sheet name="02.02" sheetId="2" r:id="rId2"/>
    <sheet name="03.02" sheetId="3" r:id="rId3"/>
    <sheet name="04.02" sheetId="4" r:id="rId4"/>
    <sheet name="05.02" sheetId="5" r:id="rId5"/>
    <sheet name="06.02" sheetId="6" r:id="rId6"/>
    <sheet name="07.02" sheetId="7" r:id="rId7"/>
    <sheet name="08.02" sheetId="8" r:id="rId8"/>
    <sheet name="09.02" sheetId="10" r:id="rId9"/>
    <sheet name="10.02" sheetId="9" r:id="rId10"/>
    <sheet name="11.02" sheetId="11" r:id="rId11"/>
    <sheet name="12.02" sheetId="12" r:id="rId12"/>
    <sheet name="13.02" sheetId="13" r:id="rId13"/>
    <sheet name="14.02" sheetId="14" r:id="rId14"/>
    <sheet name="15.02" sheetId="15" r:id="rId15"/>
    <sheet name="16.02" sheetId="16" r:id="rId16"/>
    <sheet name="17.02" sheetId="17" r:id="rId17"/>
    <sheet name="18.02" sheetId="18" r:id="rId18"/>
    <sheet name="19.02" sheetId="19" r:id="rId19"/>
    <sheet name="20.02" sheetId="20" r:id="rId20"/>
    <sheet name="21.02" sheetId="21" r:id="rId21"/>
    <sheet name="22.02" sheetId="22" r:id="rId22"/>
    <sheet name="23.02" sheetId="23" r:id="rId23"/>
    <sheet name="24.02" sheetId="24" r:id="rId24"/>
    <sheet name="25.02" sheetId="25" r:id="rId25"/>
    <sheet name="26.02" sheetId="26" r:id="rId26"/>
    <sheet name="27.02" sheetId="27" r:id="rId27"/>
    <sheet name="28.02" sheetId="28" r:id="rId28"/>
  </sheets>
  <externalReferences>
    <externalReference r:id="rId2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28" l="1"/>
  <c r="G34" i="28"/>
  <c r="G39" i="28"/>
  <c r="G38" i="28"/>
  <c r="G33" i="28"/>
  <c r="G30" i="28"/>
  <c r="G29" i="28"/>
  <c r="G18" i="28"/>
  <c r="G7" i="28"/>
  <c r="G6" i="28"/>
  <c r="G4" i="28"/>
  <c r="E4" i="28"/>
  <c r="F4" i="28"/>
  <c r="E5" i="28"/>
  <c r="H5" i="28" s="1"/>
  <c r="F5" i="28"/>
  <c r="E6" i="28"/>
  <c r="F6" i="28"/>
  <c r="E7" i="28"/>
  <c r="E8" i="28"/>
  <c r="G8" i="28" s="1"/>
  <c r="H8" i="28" s="1"/>
  <c r="F8" i="28"/>
  <c r="E9" i="28"/>
  <c r="G9" i="28" s="1"/>
  <c r="H9" i="28" s="1"/>
  <c r="F9" i="28"/>
  <c r="E10" i="28"/>
  <c r="G10" i="28" s="1"/>
  <c r="H10" i="28" s="1"/>
  <c r="F10" i="28"/>
  <c r="E11" i="28"/>
  <c r="G11" i="28" s="1"/>
  <c r="H11" i="28" s="1"/>
  <c r="F11" i="28"/>
  <c r="E12" i="28"/>
  <c r="G12" i="28" s="1"/>
  <c r="H12" i="28" s="1"/>
  <c r="F12" i="28"/>
  <c r="E13" i="28"/>
  <c r="G13" i="28" s="1"/>
  <c r="H13" i="28" s="1"/>
  <c r="F13" i="28"/>
  <c r="E14" i="28"/>
  <c r="G14" i="28" s="1"/>
  <c r="H14" i="28" s="1"/>
  <c r="F14" i="28"/>
  <c r="E15" i="28"/>
  <c r="G15" i="28" s="1"/>
  <c r="H15" i="28" s="1"/>
  <c r="F15" i="28"/>
  <c r="E16" i="28"/>
  <c r="G16" i="28" s="1"/>
  <c r="H16" i="28" s="1"/>
  <c r="F16" i="28"/>
  <c r="E17" i="28"/>
  <c r="G17" i="28" s="1"/>
  <c r="H17" i="28" s="1"/>
  <c r="F17" i="28"/>
  <c r="E18" i="28"/>
  <c r="H18" i="28" s="1"/>
  <c r="F18" i="28"/>
  <c r="E19" i="28"/>
  <c r="G19" i="28" s="1"/>
  <c r="H19" i="28" s="1"/>
  <c r="F19" i="28"/>
  <c r="E20" i="28"/>
  <c r="G20" i="28" s="1"/>
  <c r="H20" i="28" s="1"/>
  <c r="F20" i="28"/>
  <c r="E21" i="28"/>
  <c r="G21" i="28" s="1"/>
  <c r="H21" i="28" s="1"/>
  <c r="F21" i="28"/>
  <c r="E22" i="28"/>
  <c r="G22" i="28" s="1"/>
  <c r="H22" i="28" s="1"/>
  <c r="F22" i="28"/>
  <c r="E23" i="28"/>
  <c r="G23" i="28" s="1"/>
  <c r="H23" i="28" s="1"/>
  <c r="F23" i="28"/>
  <c r="E24" i="28"/>
  <c r="G24" i="28" s="1"/>
  <c r="H24" i="28" s="1"/>
  <c r="F24" i="28"/>
  <c r="E25" i="28"/>
  <c r="G25" i="28" s="1"/>
  <c r="H25" i="28" s="1"/>
  <c r="F25" i="28"/>
  <c r="E26" i="28"/>
  <c r="G26" i="28" s="1"/>
  <c r="H26" i="28" s="1"/>
  <c r="F26" i="28"/>
  <c r="E27" i="28"/>
  <c r="G27" i="28" s="1"/>
  <c r="H27" i="28" s="1"/>
  <c r="F27" i="28"/>
  <c r="E28" i="28"/>
  <c r="G28" i="28" s="1"/>
  <c r="H28" i="28" s="1"/>
  <c r="F28" i="28"/>
  <c r="E29" i="28"/>
  <c r="H29" i="28" s="1"/>
  <c r="F29" i="28"/>
  <c r="E30" i="28"/>
  <c r="F30" i="28"/>
  <c r="E31" i="28"/>
  <c r="H31" i="28" s="1"/>
  <c r="F31" i="28"/>
  <c r="E32" i="28"/>
  <c r="G32" i="28" s="1"/>
  <c r="H32" i="28" s="1"/>
  <c r="F32" i="28"/>
  <c r="E33" i="28"/>
  <c r="F33" i="28"/>
  <c r="E34" i="28"/>
  <c r="F34" i="28"/>
  <c r="E35" i="28"/>
  <c r="G35" i="28" s="1"/>
  <c r="H35" i="28" s="1"/>
  <c r="F35" i="28"/>
  <c r="E36" i="28"/>
  <c r="F36" i="28"/>
  <c r="E37" i="28"/>
  <c r="G37" i="28" s="1"/>
  <c r="H37" i="28" s="1"/>
  <c r="F37" i="28"/>
  <c r="E38" i="28"/>
  <c r="F38" i="28"/>
  <c r="E39" i="28"/>
  <c r="F39" i="28"/>
  <c r="E40" i="28"/>
  <c r="G40" i="28" s="1"/>
  <c r="H40" i="28" s="1"/>
  <c r="F40" i="28"/>
  <c r="E41" i="28"/>
  <c r="G41" i="28" s="1"/>
  <c r="H41" i="28" s="1"/>
  <c r="F41" i="28"/>
  <c r="E42" i="28"/>
  <c r="G42" i="28" s="1"/>
  <c r="H42" i="28" s="1"/>
  <c r="F42" i="28"/>
  <c r="E43" i="28"/>
  <c r="G43" i="28" s="1"/>
  <c r="H43" i="28" s="1"/>
  <c r="F43" i="28"/>
  <c r="E44" i="28"/>
  <c r="G44" i="28" s="1"/>
  <c r="H44" i="28" s="1"/>
  <c r="F44" i="28"/>
  <c r="E45" i="28"/>
  <c r="G45" i="28" s="1"/>
  <c r="H45" i="28" s="1"/>
  <c r="F45" i="28"/>
  <c r="F3" i="28"/>
  <c r="E3" i="28"/>
  <c r="G3" i="28" s="1"/>
  <c r="H3" i="28" s="1"/>
  <c r="G40" i="27"/>
  <c r="G39" i="27"/>
  <c r="G36" i="27"/>
  <c r="G32" i="27"/>
  <c r="G31" i="27"/>
  <c r="G29" i="27"/>
  <c r="G27" i="27"/>
  <c r="G26" i="27"/>
  <c r="G17" i="27"/>
  <c r="G6" i="27"/>
  <c r="G5" i="27"/>
  <c r="G4" i="27"/>
  <c r="E4" i="27"/>
  <c r="H4" i="27" s="1"/>
  <c r="F4" i="27"/>
  <c r="E5" i="27"/>
  <c r="H5" i="27" s="1"/>
  <c r="E6" i="27"/>
  <c r="H6" i="27" s="1"/>
  <c r="F6" i="27"/>
  <c r="E7" i="27"/>
  <c r="G7" i="27" s="1"/>
  <c r="H7" i="27" s="1"/>
  <c r="F7" i="27"/>
  <c r="E8" i="27"/>
  <c r="G8" i="27" s="1"/>
  <c r="H8" i="27" s="1"/>
  <c r="F8" i="27"/>
  <c r="E9" i="27"/>
  <c r="G9" i="27" s="1"/>
  <c r="H9" i="27" s="1"/>
  <c r="F9" i="27"/>
  <c r="E10" i="27"/>
  <c r="G10" i="27" s="1"/>
  <c r="H10" i="27" s="1"/>
  <c r="F10" i="27"/>
  <c r="E11" i="27"/>
  <c r="G11" i="27" s="1"/>
  <c r="F11" i="27"/>
  <c r="E12" i="27"/>
  <c r="G12" i="27" s="1"/>
  <c r="H12" i="27" s="1"/>
  <c r="F12" i="27"/>
  <c r="E13" i="27"/>
  <c r="G13" i="27" s="1"/>
  <c r="H13" i="27" s="1"/>
  <c r="F13" i="27"/>
  <c r="E14" i="27"/>
  <c r="G14" i="27" s="1"/>
  <c r="H14" i="27" s="1"/>
  <c r="F14" i="27"/>
  <c r="E15" i="27"/>
  <c r="G15" i="27" s="1"/>
  <c r="H15" i="27" s="1"/>
  <c r="F15" i="27"/>
  <c r="E16" i="27"/>
  <c r="G16" i="27" s="1"/>
  <c r="H16" i="27" s="1"/>
  <c r="F16" i="27"/>
  <c r="E17" i="27"/>
  <c r="H17" i="27" s="1"/>
  <c r="F17" i="27"/>
  <c r="E18" i="27"/>
  <c r="G18" i="27" s="1"/>
  <c r="H18" i="27" s="1"/>
  <c r="F18" i="27"/>
  <c r="E19" i="27"/>
  <c r="G19" i="27" s="1"/>
  <c r="H19" i="27" s="1"/>
  <c r="F19" i="27"/>
  <c r="E20" i="27"/>
  <c r="H20" i="27" s="1"/>
  <c r="F20" i="27"/>
  <c r="E21" i="27"/>
  <c r="G21" i="27" s="1"/>
  <c r="H21" i="27" s="1"/>
  <c r="F21" i="27"/>
  <c r="E22" i="27"/>
  <c r="G22" i="27" s="1"/>
  <c r="H22" i="27" s="1"/>
  <c r="F22" i="27"/>
  <c r="E23" i="27"/>
  <c r="H23" i="27" s="1"/>
  <c r="F23" i="27"/>
  <c r="E24" i="27"/>
  <c r="G24" i="27" s="1"/>
  <c r="H24" i="27" s="1"/>
  <c r="F24" i="27"/>
  <c r="E25" i="27"/>
  <c r="G25" i="27" s="1"/>
  <c r="H25" i="27" s="1"/>
  <c r="F25" i="27"/>
  <c r="E26" i="27"/>
  <c r="H26" i="27" s="1"/>
  <c r="F26" i="27"/>
  <c r="E27" i="27"/>
  <c r="F27" i="27"/>
  <c r="E28" i="27"/>
  <c r="G28" i="27" s="1"/>
  <c r="H28" i="27" s="1"/>
  <c r="F28" i="27"/>
  <c r="E29" i="27"/>
  <c r="F29" i="27"/>
  <c r="E30" i="27"/>
  <c r="G30" i="27" s="1"/>
  <c r="H30" i="27" s="1"/>
  <c r="F30" i="27"/>
  <c r="E31" i="27"/>
  <c r="H31" i="27" s="1"/>
  <c r="F31" i="27"/>
  <c r="E32" i="27"/>
  <c r="F32" i="27"/>
  <c r="E33" i="27"/>
  <c r="G33" i="27" s="1"/>
  <c r="H33" i="27" s="1"/>
  <c r="F33" i="27"/>
  <c r="E34" i="27"/>
  <c r="G34" i="27" s="1"/>
  <c r="H34" i="27" s="1"/>
  <c r="F34" i="27"/>
  <c r="E35" i="27"/>
  <c r="G35" i="27" s="1"/>
  <c r="H35" i="27" s="1"/>
  <c r="F35" i="27"/>
  <c r="E36" i="27"/>
  <c r="F36" i="27"/>
  <c r="E37" i="27"/>
  <c r="G37" i="27" s="1"/>
  <c r="H37" i="27" s="1"/>
  <c r="F37" i="27"/>
  <c r="E38" i="27"/>
  <c r="G38" i="27" s="1"/>
  <c r="H38" i="27" s="1"/>
  <c r="F38" i="27"/>
  <c r="E39" i="27"/>
  <c r="F39" i="27"/>
  <c r="E40" i="27"/>
  <c r="F40" i="27"/>
  <c r="E41" i="27"/>
  <c r="G41" i="27" s="1"/>
  <c r="H41" i="27" s="1"/>
  <c r="F41" i="27"/>
  <c r="E42" i="27"/>
  <c r="G42" i="27" s="1"/>
  <c r="H42" i="27" s="1"/>
  <c r="F42" i="27"/>
  <c r="E43" i="27"/>
  <c r="G43" i="27" s="1"/>
  <c r="H43" i="27" s="1"/>
  <c r="F43" i="27"/>
  <c r="E44" i="27"/>
  <c r="G44" i="27" s="1"/>
  <c r="H44" i="27" s="1"/>
  <c r="F44" i="27"/>
  <c r="E45" i="27"/>
  <c r="G45" i="27" s="1"/>
  <c r="H45" i="27" s="1"/>
  <c r="F45" i="27"/>
  <c r="F3" i="27"/>
  <c r="E3" i="27"/>
  <c r="G3" i="27" s="1"/>
  <c r="H3" i="27" s="1"/>
  <c r="G42" i="26"/>
  <c r="G41" i="26"/>
  <c r="G39" i="26"/>
  <c r="G34" i="26"/>
  <c r="G21" i="26"/>
  <c r="G7" i="26"/>
  <c r="G6" i="26"/>
  <c r="G4" i="26"/>
  <c r="E4" i="26"/>
  <c r="F4" i="26"/>
  <c r="E5" i="26"/>
  <c r="G5" i="26" s="1"/>
  <c r="H5" i="26" s="1"/>
  <c r="F5" i="26"/>
  <c r="E6" i="26"/>
  <c r="H6" i="26" s="1"/>
  <c r="F6" i="26"/>
  <c r="E7" i="26"/>
  <c r="E8" i="26"/>
  <c r="H8" i="26" s="1"/>
  <c r="F8" i="26"/>
  <c r="E9" i="26"/>
  <c r="G9" i="26" s="1"/>
  <c r="H9" i="26" s="1"/>
  <c r="F9" i="26"/>
  <c r="E10" i="26"/>
  <c r="G10" i="26" s="1"/>
  <c r="H10" i="26" s="1"/>
  <c r="F10" i="26"/>
  <c r="E11" i="26"/>
  <c r="G11" i="26" s="1"/>
  <c r="H11" i="26" s="1"/>
  <c r="F11" i="26"/>
  <c r="E12" i="26"/>
  <c r="G12" i="26" s="1"/>
  <c r="H12" i="26" s="1"/>
  <c r="F12" i="26"/>
  <c r="E13" i="26"/>
  <c r="G13" i="26" s="1"/>
  <c r="H13" i="26" s="1"/>
  <c r="F13" i="26"/>
  <c r="E14" i="26"/>
  <c r="H14" i="26" s="1"/>
  <c r="F14" i="26"/>
  <c r="E15" i="26"/>
  <c r="G15" i="26" s="1"/>
  <c r="H15" i="26" s="1"/>
  <c r="F15" i="26"/>
  <c r="E16" i="26"/>
  <c r="G16" i="26" s="1"/>
  <c r="H16" i="26" s="1"/>
  <c r="F16" i="26"/>
  <c r="E17" i="26"/>
  <c r="G17" i="26" s="1"/>
  <c r="H17" i="26" s="1"/>
  <c r="F17" i="26"/>
  <c r="E18" i="26"/>
  <c r="G18" i="26" s="1"/>
  <c r="H18" i="26" s="1"/>
  <c r="F18" i="26"/>
  <c r="E19" i="26"/>
  <c r="G19" i="26" s="1"/>
  <c r="H19" i="26" s="1"/>
  <c r="F19" i="26"/>
  <c r="E20" i="26"/>
  <c r="G20" i="26" s="1"/>
  <c r="H20" i="26" s="1"/>
  <c r="F20" i="26"/>
  <c r="E21" i="26"/>
  <c r="H21" i="26" s="1"/>
  <c r="F21" i="26"/>
  <c r="E22" i="26"/>
  <c r="G22" i="26" s="1"/>
  <c r="H22" i="26" s="1"/>
  <c r="F22" i="26"/>
  <c r="E23" i="26"/>
  <c r="G23" i="26" s="1"/>
  <c r="H23" i="26" s="1"/>
  <c r="F23" i="26"/>
  <c r="E24" i="26"/>
  <c r="G24" i="26" s="1"/>
  <c r="H24" i="26" s="1"/>
  <c r="F24" i="26"/>
  <c r="E25" i="26"/>
  <c r="G25" i="26" s="1"/>
  <c r="H25" i="26" s="1"/>
  <c r="F25" i="26"/>
  <c r="E26" i="26"/>
  <c r="G26" i="26" s="1"/>
  <c r="H26" i="26" s="1"/>
  <c r="F26" i="26"/>
  <c r="E27" i="26"/>
  <c r="G27" i="26" s="1"/>
  <c r="H27" i="26" s="1"/>
  <c r="F27" i="26"/>
  <c r="E28" i="26"/>
  <c r="G28" i="26" s="1"/>
  <c r="H28" i="26" s="1"/>
  <c r="F28" i="26"/>
  <c r="E29" i="26"/>
  <c r="G29" i="26" s="1"/>
  <c r="H29" i="26" s="1"/>
  <c r="F29" i="26"/>
  <c r="E30" i="26"/>
  <c r="G30" i="26" s="1"/>
  <c r="H30" i="26" s="1"/>
  <c r="F30" i="26"/>
  <c r="E31" i="26"/>
  <c r="G31" i="26" s="1"/>
  <c r="H31" i="26" s="1"/>
  <c r="F31" i="26"/>
  <c r="E32" i="26"/>
  <c r="G32" i="26" s="1"/>
  <c r="H32" i="26" s="1"/>
  <c r="F32" i="26"/>
  <c r="E33" i="26"/>
  <c r="G33" i="26" s="1"/>
  <c r="H33" i="26" s="1"/>
  <c r="F33" i="26"/>
  <c r="E34" i="26"/>
  <c r="E35" i="26"/>
  <c r="G35" i="26" s="1"/>
  <c r="H35" i="26" s="1"/>
  <c r="F35" i="26"/>
  <c r="E36" i="26"/>
  <c r="G36" i="26" s="1"/>
  <c r="H36" i="26" s="1"/>
  <c r="F36" i="26"/>
  <c r="E37" i="26"/>
  <c r="G37" i="26" s="1"/>
  <c r="H37" i="26" s="1"/>
  <c r="F37" i="26"/>
  <c r="E38" i="26"/>
  <c r="G38" i="26" s="1"/>
  <c r="H38" i="26" s="1"/>
  <c r="F38" i="26"/>
  <c r="E39" i="26"/>
  <c r="H39" i="26" s="1"/>
  <c r="F39" i="26"/>
  <c r="E40" i="26"/>
  <c r="G40" i="26" s="1"/>
  <c r="H40" i="26" s="1"/>
  <c r="F40" i="26"/>
  <c r="E41" i="26"/>
  <c r="H41" i="26" s="1"/>
  <c r="F41" i="26"/>
  <c r="E42" i="26"/>
  <c r="H42" i="26" s="1"/>
  <c r="F42" i="26"/>
  <c r="E43" i="26"/>
  <c r="G43" i="26" s="1"/>
  <c r="H43" i="26" s="1"/>
  <c r="F43" i="26"/>
  <c r="E44" i="26"/>
  <c r="G44" i="26" s="1"/>
  <c r="H44" i="26" s="1"/>
  <c r="F44" i="26"/>
  <c r="E45" i="26"/>
  <c r="G45" i="26" s="1"/>
  <c r="H45" i="26" s="1"/>
  <c r="F45" i="26"/>
  <c r="E46" i="26"/>
  <c r="G46" i="26" s="1"/>
  <c r="H46" i="26" s="1"/>
  <c r="F46" i="26"/>
  <c r="E47" i="26"/>
  <c r="G47" i="26" s="1"/>
  <c r="H47" i="26" s="1"/>
  <c r="F47" i="26"/>
  <c r="E48" i="26"/>
  <c r="G48" i="26" s="1"/>
  <c r="H48" i="26" s="1"/>
  <c r="F48" i="26"/>
  <c r="E49" i="26"/>
  <c r="G49" i="26" s="1"/>
  <c r="H49" i="26" s="1"/>
  <c r="F49" i="26"/>
  <c r="F3" i="26"/>
  <c r="E3" i="26"/>
  <c r="G3" i="26" s="1"/>
  <c r="H3" i="26" s="1"/>
  <c r="G48" i="25"/>
  <c r="G44" i="25"/>
  <c r="G39" i="25"/>
  <c r="G25" i="25"/>
  <c r="G11" i="25"/>
  <c r="G9" i="25"/>
  <c r="G6" i="25"/>
  <c r="E4" i="25"/>
  <c r="G4" i="25" s="1"/>
  <c r="H4" i="25" s="1"/>
  <c r="F4" i="25"/>
  <c r="E5" i="25"/>
  <c r="G5" i="25" s="1"/>
  <c r="H5" i="25" s="1"/>
  <c r="F5" i="25"/>
  <c r="E6" i="25"/>
  <c r="H6" i="25" s="1"/>
  <c r="F6" i="25"/>
  <c r="E7" i="25"/>
  <c r="H7" i="25" s="1"/>
  <c r="F7" i="25"/>
  <c r="E8" i="25"/>
  <c r="G8" i="25" s="1"/>
  <c r="H8" i="25" s="1"/>
  <c r="F8" i="25"/>
  <c r="E9" i="25"/>
  <c r="F9" i="25"/>
  <c r="E10" i="25"/>
  <c r="G10" i="25" s="1"/>
  <c r="H10" i="25" s="1"/>
  <c r="F10" i="25"/>
  <c r="E11" i="25"/>
  <c r="H11" i="25" s="1"/>
  <c r="F11" i="25"/>
  <c r="E12" i="25"/>
  <c r="G12" i="25" s="1"/>
  <c r="H12" i="25" s="1"/>
  <c r="F12" i="25"/>
  <c r="E13" i="25"/>
  <c r="G13" i="25" s="1"/>
  <c r="H13" i="25" s="1"/>
  <c r="F13" i="25"/>
  <c r="E14" i="25"/>
  <c r="G14" i="25" s="1"/>
  <c r="H14" i="25" s="1"/>
  <c r="F14" i="25"/>
  <c r="E15" i="25"/>
  <c r="G15" i="25" s="1"/>
  <c r="H15" i="25" s="1"/>
  <c r="F15" i="25"/>
  <c r="E16" i="25"/>
  <c r="G16" i="25" s="1"/>
  <c r="H16" i="25" s="1"/>
  <c r="F16" i="25"/>
  <c r="E17" i="25"/>
  <c r="G17" i="25" s="1"/>
  <c r="H17" i="25" s="1"/>
  <c r="F17" i="25"/>
  <c r="E18" i="25"/>
  <c r="H18" i="25" s="1"/>
  <c r="F18" i="25"/>
  <c r="E19" i="25"/>
  <c r="G19" i="25" s="1"/>
  <c r="H19" i="25" s="1"/>
  <c r="F19" i="25"/>
  <c r="E20" i="25"/>
  <c r="G20" i="25" s="1"/>
  <c r="H20" i="25" s="1"/>
  <c r="F20" i="25"/>
  <c r="E21" i="25"/>
  <c r="G21" i="25" s="1"/>
  <c r="H21" i="25" s="1"/>
  <c r="F21" i="25"/>
  <c r="E22" i="25"/>
  <c r="G22" i="25" s="1"/>
  <c r="H22" i="25" s="1"/>
  <c r="F22" i="25"/>
  <c r="E23" i="25"/>
  <c r="G23" i="25" s="1"/>
  <c r="H23" i="25" s="1"/>
  <c r="F23" i="25"/>
  <c r="E24" i="25"/>
  <c r="G24" i="25" s="1"/>
  <c r="H24" i="25" s="1"/>
  <c r="F24" i="25"/>
  <c r="E25" i="25"/>
  <c r="H25" i="25" s="1"/>
  <c r="F25" i="25"/>
  <c r="E26" i="25"/>
  <c r="G26" i="25" s="1"/>
  <c r="H26" i="25" s="1"/>
  <c r="F26" i="25"/>
  <c r="E27" i="25"/>
  <c r="G27" i="25" s="1"/>
  <c r="H27" i="25" s="1"/>
  <c r="F27" i="25"/>
  <c r="E28" i="25"/>
  <c r="G28" i="25" s="1"/>
  <c r="H28" i="25" s="1"/>
  <c r="F28" i="25"/>
  <c r="E29" i="25"/>
  <c r="G29" i="25" s="1"/>
  <c r="H29" i="25" s="1"/>
  <c r="F29" i="25"/>
  <c r="E30" i="25"/>
  <c r="H30" i="25" s="1"/>
  <c r="F30" i="25"/>
  <c r="E31" i="25"/>
  <c r="G31" i="25" s="1"/>
  <c r="H31" i="25" s="1"/>
  <c r="F31" i="25"/>
  <c r="E32" i="25"/>
  <c r="G32" i="25" s="1"/>
  <c r="H32" i="25" s="1"/>
  <c r="F32" i="25"/>
  <c r="E33" i="25"/>
  <c r="G33" i="25" s="1"/>
  <c r="H33" i="25" s="1"/>
  <c r="F33" i="25"/>
  <c r="E34" i="25"/>
  <c r="G34" i="25" s="1"/>
  <c r="H34" i="25" s="1"/>
  <c r="F34" i="25"/>
  <c r="E35" i="25"/>
  <c r="G35" i="25" s="1"/>
  <c r="H35" i="25" s="1"/>
  <c r="F35" i="25"/>
  <c r="E36" i="25"/>
  <c r="G36" i="25" s="1"/>
  <c r="H36" i="25" s="1"/>
  <c r="F36" i="25"/>
  <c r="E37" i="25"/>
  <c r="G37" i="25" s="1"/>
  <c r="H37" i="25" s="1"/>
  <c r="F37" i="25"/>
  <c r="E38" i="25"/>
  <c r="G38" i="25" s="1"/>
  <c r="H38" i="25" s="1"/>
  <c r="F38" i="25"/>
  <c r="E39" i="25"/>
  <c r="F39" i="25"/>
  <c r="E40" i="25"/>
  <c r="G40" i="25" s="1"/>
  <c r="H40" i="25" s="1"/>
  <c r="F40" i="25"/>
  <c r="E41" i="25"/>
  <c r="G41" i="25" s="1"/>
  <c r="H41" i="25" s="1"/>
  <c r="F41" i="25"/>
  <c r="E42" i="25"/>
  <c r="G42" i="25" s="1"/>
  <c r="H42" i="25" s="1"/>
  <c r="F42" i="25"/>
  <c r="E43" i="25"/>
  <c r="G43" i="25" s="1"/>
  <c r="H43" i="25" s="1"/>
  <c r="F43" i="25"/>
  <c r="E44" i="25"/>
  <c r="F44" i="25"/>
  <c r="E45" i="25"/>
  <c r="G45" i="25" s="1"/>
  <c r="H45" i="25" s="1"/>
  <c r="F45" i="25"/>
  <c r="E46" i="25"/>
  <c r="G46" i="25" s="1"/>
  <c r="H46" i="25" s="1"/>
  <c r="F46" i="25"/>
  <c r="E47" i="25"/>
  <c r="G47" i="25" s="1"/>
  <c r="H47" i="25" s="1"/>
  <c r="F47" i="25"/>
  <c r="E48" i="25"/>
  <c r="F48" i="25"/>
  <c r="E49" i="25"/>
  <c r="G49" i="25" s="1"/>
  <c r="H49" i="25" s="1"/>
  <c r="F49" i="25"/>
  <c r="E50" i="25"/>
  <c r="G50" i="25" s="1"/>
  <c r="H50" i="25" s="1"/>
  <c r="F50" i="25"/>
  <c r="E51" i="25"/>
  <c r="G51" i="25" s="1"/>
  <c r="H51" i="25" s="1"/>
  <c r="F51" i="25"/>
  <c r="E52" i="25"/>
  <c r="G52" i="25" s="1"/>
  <c r="H52" i="25" s="1"/>
  <c r="F52" i="25"/>
  <c r="E53" i="25"/>
  <c r="G53" i="25" s="1"/>
  <c r="H53" i="25" s="1"/>
  <c r="F53" i="25"/>
  <c r="F3" i="25"/>
  <c r="E3" i="25"/>
  <c r="G3" i="25" s="1"/>
  <c r="H3" i="25" s="1"/>
  <c r="G45" i="24"/>
  <c r="G44" i="24"/>
  <c r="G42" i="24"/>
  <c r="G37" i="24"/>
  <c r="G25" i="24"/>
  <c r="G15" i="24"/>
  <c r="G8" i="24"/>
  <c r="G6" i="24"/>
  <c r="G5" i="24"/>
  <c r="E4" i="24"/>
  <c r="G4" i="24" s="1"/>
  <c r="H4" i="24" s="1"/>
  <c r="F4" i="24"/>
  <c r="E5" i="24"/>
  <c r="F5" i="24"/>
  <c r="E6" i="24"/>
  <c r="F6" i="24"/>
  <c r="E7" i="24"/>
  <c r="G7" i="24" s="1"/>
  <c r="H7" i="24" s="1"/>
  <c r="F7" i="24"/>
  <c r="E8" i="24"/>
  <c r="F8" i="24"/>
  <c r="E9" i="24"/>
  <c r="G9" i="24" s="1"/>
  <c r="H9" i="24" s="1"/>
  <c r="F9" i="24"/>
  <c r="E10" i="24"/>
  <c r="G10" i="24" s="1"/>
  <c r="H10" i="24" s="1"/>
  <c r="F10" i="24"/>
  <c r="E11" i="24"/>
  <c r="G11" i="24" s="1"/>
  <c r="H11" i="24" s="1"/>
  <c r="F11" i="24"/>
  <c r="E12" i="24"/>
  <c r="G12" i="24" s="1"/>
  <c r="H12" i="24" s="1"/>
  <c r="F12" i="24"/>
  <c r="E13" i="24"/>
  <c r="G13" i="24" s="1"/>
  <c r="H13" i="24" s="1"/>
  <c r="F13" i="24"/>
  <c r="E14" i="24"/>
  <c r="G14" i="24" s="1"/>
  <c r="H14" i="24" s="1"/>
  <c r="F14" i="24"/>
  <c r="E15" i="24"/>
  <c r="H15" i="24" s="1"/>
  <c r="F15" i="24"/>
  <c r="E16" i="24"/>
  <c r="G16" i="24" s="1"/>
  <c r="H16" i="24" s="1"/>
  <c r="F16" i="24"/>
  <c r="E17" i="24"/>
  <c r="G17" i="24" s="1"/>
  <c r="H17" i="24" s="1"/>
  <c r="F17" i="24"/>
  <c r="E18" i="24"/>
  <c r="G18" i="24" s="1"/>
  <c r="H18" i="24" s="1"/>
  <c r="F18" i="24"/>
  <c r="E19" i="24"/>
  <c r="H19" i="24" s="1"/>
  <c r="F19" i="24"/>
  <c r="E20" i="24"/>
  <c r="H20" i="24" s="1"/>
  <c r="F20" i="24"/>
  <c r="E21" i="24"/>
  <c r="G21" i="24" s="1"/>
  <c r="H21" i="24" s="1"/>
  <c r="F21" i="24"/>
  <c r="E22" i="24"/>
  <c r="G22" i="24" s="1"/>
  <c r="H22" i="24" s="1"/>
  <c r="F22" i="24"/>
  <c r="E23" i="24"/>
  <c r="G23" i="24" s="1"/>
  <c r="H23" i="24" s="1"/>
  <c r="F23" i="24"/>
  <c r="E24" i="24"/>
  <c r="G24" i="24" s="1"/>
  <c r="H24" i="24" s="1"/>
  <c r="F24" i="24"/>
  <c r="E25" i="24"/>
  <c r="H25" i="24" s="1"/>
  <c r="F25" i="24"/>
  <c r="E26" i="24"/>
  <c r="G26" i="24" s="1"/>
  <c r="H26" i="24" s="1"/>
  <c r="F26" i="24"/>
  <c r="E27" i="24"/>
  <c r="G27" i="24" s="1"/>
  <c r="H27" i="24" s="1"/>
  <c r="F27" i="24"/>
  <c r="E28" i="24"/>
  <c r="G28" i="24" s="1"/>
  <c r="H28" i="24" s="1"/>
  <c r="F28" i="24"/>
  <c r="E29" i="24"/>
  <c r="G29" i="24" s="1"/>
  <c r="H29" i="24" s="1"/>
  <c r="F29" i="24"/>
  <c r="E30" i="24"/>
  <c r="G30" i="24" s="1"/>
  <c r="H30" i="24" s="1"/>
  <c r="F30" i="24"/>
  <c r="E31" i="24"/>
  <c r="H31" i="24" s="1"/>
  <c r="F31" i="24"/>
  <c r="E32" i="24"/>
  <c r="G32" i="24" s="1"/>
  <c r="H32" i="24" s="1"/>
  <c r="F32" i="24"/>
  <c r="E33" i="24"/>
  <c r="G33" i="24" s="1"/>
  <c r="H33" i="24" s="1"/>
  <c r="F33" i="24"/>
  <c r="E34" i="24"/>
  <c r="G34" i="24" s="1"/>
  <c r="H34" i="24" s="1"/>
  <c r="F34" i="24"/>
  <c r="E35" i="24"/>
  <c r="G35" i="24" s="1"/>
  <c r="H35" i="24" s="1"/>
  <c r="F35" i="24"/>
  <c r="E36" i="24"/>
  <c r="G36" i="24" s="1"/>
  <c r="H36" i="24" s="1"/>
  <c r="F36" i="24"/>
  <c r="E37" i="24"/>
  <c r="H37" i="24" s="1"/>
  <c r="F37" i="24"/>
  <c r="E38" i="24"/>
  <c r="G38" i="24" s="1"/>
  <c r="H38" i="24" s="1"/>
  <c r="F38" i="24"/>
  <c r="E39" i="24"/>
  <c r="G39" i="24" s="1"/>
  <c r="H39" i="24" s="1"/>
  <c r="F39" i="24"/>
  <c r="E40" i="24"/>
  <c r="G40" i="24" s="1"/>
  <c r="H40" i="24" s="1"/>
  <c r="F40" i="24"/>
  <c r="E41" i="24"/>
  <c r="G41" i="24" s="1"/>
  <c r="H41" i="24" s="1"/>
  <c r="F41" i="24"/>
  <c r="E42" i="24"/>
  <c r="F42" i="24"/>
  <c r="E43" i="24"/>
  <c r="G43" i="24" s="1"/>
  <c r="H43" i="24" s="1"/>
  <c r="F43" i="24"/>
  <c r="E44" i="24"/>
  <c r="H44" i="24" s="1"/>
  <c r="F44" i="24"/>
  <c r="E45" i="24"/>
  <c r="F45" i="24"/>
  <c r="E46" i="24"/>
  <c r="G46" i="24" s="1"/>
  <c r="H46" i="24" s="1"/>
  <c r="F46" i="24"/>
  <c r="E47" i="24"/>
  <c r="G47" i="24" s="1"/>
  <c r="H47" i="24" s="1"/>
  <c r="F47" i="24"/>
  <c r="E48" i="24"/>
  <c r="G48" i="24" s="1"/>
  <c r="H48" i="24" s="1"/>
  <c r="F48" i="24"/>
  <c r="E49" i="24"/>
  <c r="G49" i="24" s="1"/>
  <c r="H49" i="24" s="1"/>
  <c r="F49" i="24"/>
  <c r="E50" i="24"/>
  <c r="G50" i="24" s="1"/>
  <c r="H50" i="24" s="1"/>
  <c r="F50" i="24"/>
  <c r="E51" i="24"/>
  <c r="H51" i="24" s="1"/>
  <c r="F51" i="24"/>
  <c r="E52" i="24"/>
  <c r="G52" i="24" s="1"/>
  <c r="H52" i="24" s="1"/>
  <c r="F52" i="24"/>
  <c r="E53" i="24"/>
  <c r="G53" i="24" s="1"/>
  <c r="H53" i="24" s="1"/>
  <c r="F53" i="24"/>
  <c r="E54" i="24"/>
  <c r="G54" i="24" s="1"/>
  <c r="H54" i="24" s="1"/>
  <c r="F54" i="24"/>
  <c r="G3" i="24"/>
  <c r="G43" i="23"/>
  <c r="G42" i="23"/>
  <c r="G40" i="23"/>
  <c r="G35" i="23"/>
  <c r="G34" i="23"/>
  <c r="G22" i="23"/>
  <c r="G14" i="23"/>
  <c r="G7" i="23"/>
  <c r="G5" i="23"/>
  <c r="E4" i="23"/>
  <c r="H4" i="23" s="1"/>
  <c r="F4" i="23"/>
  <c r="E5" i="23"/>
  <c r="F5" i="23"/>
  <c r="E6" i="23"/>
  <c r="G6" i="23" s="1"/>
  <c r="H6" i="23" s="1"/>
  <c r="F6" i="23"/>
  <c r="E7" i="23"/>
  <c r="H7" i="23" s="1"/>
  <c r="F7" i="23"/>
  <c r="E8" i="23"/>
  <c r="G8" i="23" s="1"/>
  <c r="H8" i="23" s="1"/>
  <c r="F8" i="23"/>
  <c r="E9" i="23"/>
  <c r="G9" i="23" s="1"/>
  <c r="H9" i="23" s="1"/>
  <c r="F9" i="23"/>
  <c r="E10" i="23"/>
  <c r="H10" i="23" s="1"/>
  <c r="F10" i="23"/>
  <c r="E11" i="23"/>
  <c r="G11" i="23" s="1"/>
  <c r="H11" i="23" s="1"/>
  <c r="F11" i="23"/>
  <c r="E12" i="23"/>
  <c r="G12" i="23" s="1"/>
  <c r="H12" i="23" s="1"/>
  <c r="F12" i="23"/>
  <c r="E13" i="23"/>
  <c r="G13" i="23" s="1"/>
  <c r="H13" i="23" s="1"/>
  <c r="F13" i="23"/>
  <c r="E14" i="23"/>
  <c r="H14" i="23" s="1"/>
  <c r="F14" i="23"/>
  <c r="E15" i="23"/>
  <c r="G15" i="23" s="1"/>
  <c r="H15" i="23" s="1"/>
  <c r="F15" i="23"/>
  <c r="E16" i="23"/>
  <c r="G16" i="23" s="1"/>
  <c r="H16" i="23" s="1"/>
  <c r="F16" i="23"/>
  <c r="E17" i="23"/>
  <c r="G17" i="23" s="1"/>
  <c r="H17" i="23" s="1"/>
  <c r="F17" i="23"/>
  <c r="E18" i="23"/>
  <c r="G18" i="23" s="1"/>
  <c r="H18" i="23" s="1"/>
  <c r="F18" i="23"/>
  <c r="E19" i="23"/>
  <c r="G19" i="23" s="1"/>
  <c r="H19" i="23" s="1"/>
  <c r="F19" i="23"/>
  <c r="E20" i="23"/>
  <c r="G20" i="23" s="1"/>
  <c r="H20" i="23" s="1"/>
  <c r="F20" i="23"/>
  <c r="E21" i="23"/>
  <c r="G21" i="23" s="1"/>
  <c r="H21" i="23" s="1"/>
  <c r="F21" i="23"/>
  <c r="E22" i="23"/>
  <c r="H22" i="23" s="1"/>
  <c r="F22" i="23"/>
  <c r="E23" i="23"/>
  <c r="G23" i="23" s="1"/>
  <c r="H23" i="23" s="1"/>
  <c r="F23" i="23"/>
  <c r="E24" i="23"/>
  <c r="G24" i="23" s="1"/>
  <c r="H24" i="23" s="1"/>
  <c r="F24" i="23"/>
  <c r="E25" i="23"/>
  <c r="G25" i="23" s="1"/>
  <c r="H25" i="23" s="1"/>
  <c r="F25" i="23"/>
  <c r="E26" i="23"/>
  <c r="G26" i="23" s="1"/>
  <c r="H26" i="23" s="1"/>
  <c r="F26" i="23"/>
  <c r="E27" i="23"/>
  <c r="H27" i="23" s="1"/>
  <c r="F27" i="23"/>
  <c r="E28" i="23"/>
  <c r="G28" i="23" s="1"/>
  <c r="H28" i="23" s="1"/>
  <c r="F28" i="23"/>
  <c r="E29" i="23"/>
  <c r="G29" i="23" s="1"/>
  <c r="H29" i="23" s="1"/>
  <c r="F29" i="23"/>
  <c r="E30" i="23"/>
  <c r="G30" i="23" s="1"/>
  <c r="H30" i="23" s="1"/>
  <c r="F30" i="23"/>
  <c r="E31" i="23"/>
  <c r="G31" i="23" s="1"/>
  <c r="H31" i="23" s="1"/>
  <c r="F31" i="23"/>
  <c r="E32" i="23"/>
  <c r="G32" i="23" s="1"/>
  <c r="H32" i="23" s="1"/>
  <c r="F32" i="23"/>
  <c r="E33" i="23"/>
  <c r="G33" i="23" s="1"/>
  <c r="H33" i="23" s="1"/>
  <c r="F33" i="23"/>
  <c r="E34" i="23"/>
  <c r="F34" i="23"/>
  <c r="E35" i="23"/>
  <c r="F35" i="23"/>
  <c r="E36" i="23"/>
  <c r="G36" i="23" s="1"/>
  <c r="H36" i="23" s="1"/>
  <c r="F36" i="23"/>
  <c r="E37" i="23"/>
  <c r="G37" i="23" s="1"/>
  <c r="H37" i="23" s="1"/>
  <c r="F37" i="23"/>
  <c r="E38" i="23"/>
  <c r="G38" i="23" s="1"/>
  <c r="H38" i="23" s="1"/>
  <c r="F38" i="23"/>
  <c r="E39" i="23"/>
  <c r="G39" i="23" s="1"/>
  <c r="H39" i="23" s="1"/>
  <c r="F39" i="23"/>
  <c r="E40" i="23"/>
  <c r="H40" i="23" s="1"/>
  <c r="F40" i="23"/>
  <c r="E41" i="23"/>
  <c r="G41" i="23" s="1"/>
  <c r="H41" i="23" s="1"/>
  <c r="F41" i="23"/>
  <c r="E42" i="23"/>
  <c r="H42" i="23" s="1"/>
  <c r="F42" i="23"/>
  <c r="E43" i="23"/>
  <c r="H43" i="23" s="1"/>
  <c r="F43" i="23"/>
  <c r="E44" i="23"/>
  <c r="G44" i="23" s="1"/>
  <c r="H44" i="23" s="1"/>
  <c r="F44" i="23"/>
  <c r="E45" i="23"/>
  <c r="G45" i="23" s="1"/>
  <c r="H45" i="23" s="1"/>
  <c r="F45" i="23"/>
  <c r="E46" i="23"/>
  <c r="G46" i="23" s="1"/>
  <c r="H46" i="23" s="1"/>
  <c r="F46" i="23"/>
  <c r="E47" i="23"/>
  <c r="G47" i="23" s="1"/>
  <c r="H47" i="23" s="1"/>
  <c r="F47" i="23"/>
  <c r="E48" i="23"/>
  <c r="G48" i="23" s="1"/>
  <c r="H48" i="23" s="1"/>
  <c r="F48" i="23"/>
  <c r="E49" i="23"/>
  <c r="G49" i="23" s="1"/>
  <c r="H49" i="23" s="1"/>
  <c r="F49" i="23"/>
  <c r="G35" i="22"/>
  <c r="G34" i="22"/>
  <c r="G32" i="22"/>
  <c r="G27" i="22"/>
  <c r="G25" i="22"/>
  <c r="G6" i="22"/>
  <c r="G5" i="22"/>
  <c r="G4" i="22"/>
  <c r="E4" i="22"/>
  <c r="F4" i="22"/>
  <c r="E5" i="22"/>
  <c r="F5" i="22"/>
  <c r="E6" i="22"/>
  <c r="H6" i="22" s="1"/>
  <c r="F6" i="22"/>
  <c r="E7" i="22"/>
  <c r="G7" i="22" s="1"/>
  <c r="H7" i="22" s="1"/>
  <c r="F7" i="22"/>
  <c r="E8" i="22"/>
  <c r="G8" i="22" s="1"/>
  <c r="H8" i="22" s="1"/>
  <c r="F8" i="22"/>
  <c r="E9" i="22"/>
  <c r="G9" i="22" s="1"/>
  <c r="H9" i="22" s="1"/>
  <c r="F9" i="22"/>
  <c r="E10" i="22"/>
  <c r="G10" i="22" s="1"/>
  <c r="H10" i="22" s="1"/>
  <c r="F10" i="22"/>
  <c r="E11" i="22"/>
  <c r="G11" i="22" s="1"/>
  <c r="H11" i="22" s="1"/>
  <c r="F11" i="22"/>
  <c r="E12" i="22"/>
  <c r="G12" i="22" s="1"/>
  <c r="H12" i="22" s="1"/>
  <c r="F12" i="22"/>
  <c r="E13" i="22"/>
  <c r="G13" i="22" s="1"/>
  <c r="H13" i="22" s="1"/>
  <c r="F13" i="22"/>
  <c r="E14" i="22"/>
  <c r="G14" i="22" s="1"/>
  <c r="H14" i="22" s="1"/>
  <c r="F14" i="22"/>
  <c r="E15" i="22"/>
  <c r="G15" i="22" s="1"/>
  <c r="H15" i="22" s="1"/>
  <c r="F15" i="22"/>
  <c r="E16" i="22"/>
  <c r="G16" i="22" s="1"/>
  <c r="H16" i="22" s="1"/>
  <c r="F16" i="22"/>
  <c r="E17" i="22"/>
  <c r="G17" i="22" s="1"/>
  <c r="H17" i="22" s="1"/>
  <c r="F17" i="22"/>
  <c r="E18" i="22"/>
  <c r="G18" i="22" s="1"/>
  <c r="H18" i="22" s="1"/>
  <c r="F18" i="22"/>
  <c r="E19" i="22"/>
  <c r="G19" i="22" s="1"/>
  <c r="H19" i="22" s="1"/>
  <c r="F19" i="22"/>
  <c r="E20" i="22"/>
  <c r="G20" i="22" s="1"/>
  <c r="H20" i="22" s="1"/>
  <c r="F20" i="22"/>
  <c r="E21" i="22"/>
  <c r="G21" i="22" s="1"/>
  <c r="H21" i="22" s="1"/>
  <c r="F21" i="22"/>
  <c r="E22" i="22"/>
  <c r="G22" i="22" s="1"/>
  <c r="H22" i="22" s="1"/>
  <c r="F22" i="22"/>
  <c r="E23" i="22"/>
  <c r="G23" i="22" s="1"/>
  <c r="H23" i="22" s="1"/>
  <c r="F23" i="22"/>
  <c r="E24" i="22"/>
  <c r="G24" i="22" s="1"/>
  <c r="H24" i="22" s="1"/>
  <c r="F24" i="22"/>
  <c r="E25" i="22"/>
  <c r="H25" i="22" s="1"/>
  <c r="F25" i="22"/>
  <c r="E26" i="22"/>
  <c r="G26" i="22" s="1"/>
  <c r="H26" i="22" s="1"/>
  <c r="F26" i="22"/>
  <c r="E27" i="22"/>
  <c r="H27" i="22" s="1"/>
  <c r="F27" i="22"/>
  <c r="E28" i="22"/>
  <c r="G28" i="22" s="1"/>
  <c r="H28" i="22" s="1"/>
  <c r="F28" i="22"/>
  <c r="E29" i="22"/>
  <c r="G29" i="22" s="1"/>
  <c r="H29" i="22" s="1"/>
  <c r="F29" i="22"/>
  <c r="E30" i="22"/>
  <c r="G30" i="22" s="1"/>
  <c r="H30" i="22" s="1"/>
  <c r="F30" i="22"/>
  <c r="E31" i="22"/>
  <c r="G31" i="22" s="1"/>
  <c r="H31" i="22" s="1"/>
  <c r="F31" i="22"/>
  <c r="E32" i="22"/>
  <c r="H32" i="22" s="1"/>
  <c r="F32" i="22"/>
  <c r="E33" i="22"/>
  <c r="G33" i="22" s="1"/>
  <c r="H33" i="22" s="1"/>
  <c r="F33" i="22"/>
  <c r="E34" i="22"/>
  <c r="F34" i="22"/>
  <c r="E35" i="22"/>
  <c r="F35" i="22"/>
  <c r="E36" i="22"/>
  <c r="G36" i="22" s="1"/>
  <c r="H36" i="22" s="1"/>
  <c r="F36" i="22"/>
  <c r="E37" i="22"/>
  <c r="G37" i="22" s="1"/>
  <c r="H37" i="22" s="1"/>
  <c r="F37" i="22"/>
  <c r="E38" i="22"/>
  <c r="G38" i="22" s="1"/>
  <c r="H38" i="22" s="1"/>
  <c r="F38" i="22"/>
  <c r="E39" i="22"/>
  <c r="G39" i="22" s="1"/>
  <c r="H39" i="22" s="1"/>
  <c r="F39" i="22"/>
  <c r="E40" i="22"/>
  <c r="G40" i="22" s="1"/>
  <c r="H40" i="22" s="1"/>
  <c r="F40" i="22"/>
  <c r="E41" i="22"/>
  <c r="G41" i="22" s="1"/>
  <c r="H41" i="22" s="1"/>
  <c r="F41" i="22"/>
  <c r="G3" i="22"/>
  <c r="G42" i="21"/>
  <c r="G43" i="21"/>
  <c r="G41" i="21"/>
  <c r="G38" i="21"/>
  <c r="G35" i="21"/>
  <c r="G34" i="21"/>
  <c r="G32" i="21"/>
  <c r="G24" i="21"/>
  <c r="G9" i="21"/>
  <c r="G7" i="21"/>
  <c r="G6" i="21"/>
  <c r="E4" i="21"/>
  <c r="H4" i="21" s="1"/>
  <c r="F4" i="21"/>
  <c r="E5" i="21"/>
  <c r="H5" i="21" s="1"/>
  <c r="F5" i="21"/>
  <c r="E6" i="21"/>
  <c r="H6" i="21" s="1"/>
  <c r="F6" i="21"/>
  <c r="E7" i="21"/>
  <c r="H7" i="21" s="1"/>
  <c r="F7" i="21"/>
  <c r="E8" i="21"/>
  <c r="H8" i="21" s="1"/>
  <c r="F8" i="21"/>
  <c r="E9" i="21"/>
  <c r="H9" i="21" s="1"/>
  <c r="F9" i="21"/>
  <c r="E10" i="21"/>
  <c r="G10" i="21" s="1"/>
  <c r="H10" i="21" s="1"/>
  <c r="F10" i="21"/>
  <c r="E11" i="21"/>
  <c r="G11" i="21" s="1"/>
  <c r="H11" i="21" s="1"/>
  <c r="F11" i="21"/>
  <c r="E12" i="21"/>
  <c r="G12" i="21" s="1"/>
  <c r="H12" i="21" s="1"/>
  <c r="F12" i="21"/>
  <c r="E13" i="21"/>
  <c r="G13" i="21" s="1"/>
  <c r="H13" i="21" s="1"/>
  <c r="F13" i="21"/>
  <c r="E14" i="21"/>
  <c r="G14" i="21" s="1"/>
  <c r="H14" i="21" s="1"/>
  <c r="F14" i="21"/>
  <c r="E15" i="21"/>
  <c r="G15" i="21" s="1"/>
  <c r="H15" i="21" s="1"/>
  <c r="F15" i="21"/>
  <c r="E16" i="21"/>
  <c r="G16" i="21" s="1"/>
  <c r="H16" i="21" s="1"/>
  <c r="F16" i="21"/>
  <c r="E17" i="21"/>
  <c r="G17" i="21" s="1"/>
  <c r="H17" i="21" s="1"/>
  <c r="F17" i="21"/>
  <c r="E18" i="21"/>
  <c r="G18" i="21" s="1"/>
  <c r="H18" i="21" s="1"/>
  <c r="F18" i="21"/>
  <c r="E19" i="21"/>
  <c r="G19" i="21" s="1"/>
  <c r="H19" i="21" s="1"/>
  <c r="F19" i="21"/>
  <c r="E20" i="21"/>
  <c r="G20" i="21" s="1"/>
  <c r="H20" i="21" s="1"/>
  <c r="F20" i="21"/>
  <c r="E21" i="21"/>
  <c r="G21" i="21" s="1"/>
  <c r="H21" i="21" s="1"/>
  <c r="F21" i="21"/>
  <c r="E22" i="21"/>
  <c r="G22" i="21" s="1"/>
  <c r="H22" i="21" s="1"/>
  <c r="F22" i="21"/>
  <c r="E23" i="21"/>
  <c r="G23" i="21" s="1"/>
  <c r="H23" i="21" s="1"/>
  <c r="F23" i="21"/>
  <c r="E24" i="21"/>
  <c r="F24" i="21"/>
  <c r="E25" i="21"/>
  <c r="G25" i="21" s="1"/>
  <c r="H25" i="21" s="1"/>
  <c r="F25" i="21"/>
  <c r="E26" i="21"/>
  <c r="G26" i="21" s="1"/>
  <c r="H26" i="21" s="1"/>
  <c r="F26" i="21"/>
  <c r="E27" i="21"/>
  <c r="G27" i="21" s="1"/>
  <c r="H27" i="21" s="1"/>
  <c r="F27" i="21"/>
  <c r="E28" i="21"/>
  <c r="G28" i="21" s="1"/>
  <c r="H28" i="21" s="1"/>
  <c r="F28" i="21"/>
  <c r="E29" i="21"/>
  <c r="G29" i="21" s="1"/>
  <c r="H29" i="21" s="1"/>
  <c r="F29" i="21"/>
  <c r="E30" i="21"/>
  <c r="G30" i="21" s="1"/>
  <c r="H30" i="21" s="1"/>
  <c r="F30" i="21"/>
  <c r="E31" i="21"/>
  <c r="G31" i="21" s="1"/>
  <c r="H31" i="21" s="1"/>
  <c r="F31" i="21"/>
  <c r="E32" i="21"/>
  <c r="H32" i="21" s="1"/>
  <c r="F32" i="21"/>
  <c r="E33" i="21"/>
  <c r="G33" i="21" s="1"/>
  <c r="H33" i="21" s="1"/>
  <c r="F33" i="21"/>
  <c r="E34" i="21"/>
  <c r="F34" i="21"/>
  <c r="E35" i="21"/>
  <c r="H35" i="21" s="1"/>
  <c r="F35" i="21"/>
  <c r="E36" i="21"/>
  <c r="G36" i="21" s="1"/>
  <c r="H36" i="21" s="1"/>
  <c r="F36" i="21"/>
  <c r="E37" i="21"/>
  <c r="H37" i="21" s="1"/>
  <c r="F37" i="21"/>
  <c r="E38" i="21"/>
  <c r="F38" i="21"/>
  <c r="E39" i="21"/>
  <c r="G39" i="21" s="1"/>
  <c r="H39" i="21" s="1"/>
  <c r="F39" i="21"/>
  <c r="E40" i="21"/>
  <c r="G40" i="21" s="1"/>
  <c r="H40" i="21" s="1"/>
  <c r="F40" i="21"/>
  <c r="E41" i="21"/>
  <c r="F41" i="21"/>
  <c r="E42" i="21"/>
  <c r="H42" i="21" s="1"/>
  <c r="F42" i="21"/>
  <c r="E43" i="21"/>
  <c r="H43" i="21" s="1"/>
  <c r="F43" i="21"/>
  <c r="E44" i="21"/>
  <c r="G44" i="21" s="1"/>
  <c r="H44" i="21" s="1"/>
  <c r="F44" i="21"/>
  <c r="E45" i="21"/>
  <c r="G45" i="21" s="1"/>
  <c r="H45" i="21" s="1"/>
  <c r="F45" i="21"/>
  <c r="E46" i="21"/>
  <c r="G46" i="21" s="1"/>
  <c r="H46" i="21" s="1"/>
  <c r="F46" i="21"/>
  <c r="E47" i="21"/>
  <c r="G47" i="21" s="1"/>
  <c r="H47" i="21" s="1"/>
  <c r="F47" i="21"/>
  <c r="E48" i="21"/>
  <c r="H48" i="21" s="1"/>
  <c r="F48" i="21"/>
  <c r="E49" i="21"/>
  <c r="G49" i="21" s="1"/>
  <c r="H49" i="21" s="1"/>
  <c r="F49" i="21"/>
  <c r="G3" i="21"/>
  <c r="H3" i="21" s="1"/>
  <c r="G37" i="20"/>
  <c r="G35" i="20"/>
  <c r="G29" i="20"/>
  <c r="G18" i="20"/>
  <c r="G12" i="20"/>
  <c r="G5" i="20"/>
  <c r="G4" i="20"/>
  <c r="E4" i="20"/>
  <c r="F4" i="20"/>
  <c r="E5" i="20"/>
  <c r="F5" i="20"/>
  <c r="E6" i="20"/>
  <c r="G6" i="20" s="1"/>
  <c r="H6" i="20" s="1"/>
  <c r="F6" i="20"/>
  <c r="E7" i="20"/>
  <c r="G7" i="20" s="1"/>
  <c r="H7" i="20" s="1"/>
  <c r="F7" i="20"/>
  <c r="E8" i="20"/>
  <c r="G8" i="20" s="1"/>
  <c r="H8" i="20" s="1"/>
  <c r="F8" i="20"/>
  <c r="E9" i="20"/>
  <c r="G9" i="20" s="1"/>
  <c r="H9" i="20" s="1"/>
  <c r="F9" i="20"/>
  <c r="E10" i="20"/>
  <c r="G10" i="20" s="1"/>
  <c r="H10" i="20" s="1"/>
  <c r="F10" i="20"/>
  <c r="E11" i="20"/>
  <c r="G11" i="20" s="1"/>
  <c r="H11" i="20" s="1"/>
  <c r="F11" i="20"/>
  <c r="E12" i="20"/>
  <c r="F12" i="20"/>
  <c r="E13" i="20"/>
  <c r="G13" i="20" s="1"/>
  <c r="H13" i="20" s="1"/>
  <c r="F13" i="20"/>
  <c r="E14" i="20"/>
  <c r="G14" i="20" s="1"/>
  <c r="H14" i="20" s="1"/>
  <c r="F14" i="20"/>
  <c r="E15" i="20"/>
  <c r="G15" i="20" s="1"/>
  <c r="H15" i="20" s="1"/>
  <c r="F15" i="20"/>
  <c r="E16" i="20"/>
  <c r="G16" i="20" s="1"/>
  <c r="H16" i="20" s="1"/>
  <c r="F16" i="20"/>
  <c r="E17" i="20"/>
  <c r="G17" i="20" s="1"/>
  <c r="H17" i="20" s="1"/>
  <c r="F17" i="20"/>
  <c r="E18" i="20"/>
  <c r="F18" i="20"/>
  <c r="E19" i="20"/>
  <c r="G19" i="20" s="1"/>
  <c r="H19" i="20" s="1"/>
  <c r="F19" i="20"/>
  <c r="E20" i="20"/>
  <c r="G20" i="20" s="1"/>
  <c r="H20" i="20" s="1"/>
  <c r="F20" i="20"/>
  <c r="E21" i="20"/>
  <c r="G21" i="20" s="1"/>
  <c r="H21" i="20" s="1"/>
  <c r="F21" i="20"/>
  <c r="E22" i="20"/>
  <c r="G22" i="20" s="1"/>
  <c r="H22" i="20" s="1"/>
  <c r="F22" i="20"/>
  <c r="E23" i="20"/>
  <c r="G23" i="20" s="1"/>
  <c r="H23" i="20" s="1"/>
  <c r="F23" i="20"/>
  <c r="E24" i="20"/>
  <c r="G24" i="20" s="1"/>
  <c r="H24" i="20" s="1"/>
  <c r="F24" i="20"/>
  <c r="E25" i="20"/>
  <c r="G25" i="20" s="1"/>
  <c r="H25" i="20" s="1"/>
  <c r="F25" i="20"/>
  <c r="E26" i="20"/>
  <c r="G26" i="20" s="1"/>
  <c r="H26" i="20" s="1"/>
  <c r="F26" i="20"/>
  <c r="E27" i="20"/>
  <c r="G27" i="20" s="1"/>
  <c r="H27" i="20" s="1"/>
  <c r="F27" i="20"/>
  <c r="E28" i="20"/>
  <c r="F28" i="20"/>
  <c r="G28" i="20" s="1"/>
  <c r="E29" i="20"/>
  <c r="H29" i="20" s="1"/>
  <c r="F29" i="20"/>
  <c r="E30" i="20"/>
  <c r="G30" i="20" s="1"/>
  <c r="H30" i="20" s="1"/>
  <c r="F30" i="20"/>
  <c r="E31" i="20"/>
  <c r="H31" i="20" s="1"/>
  <c r="F31" i="20"/>
  <c r="E32" i="20"/>
  <c r="G32" i="20" s="1"/>
  <c r="H32" i="20" s="1"/>
  <c r="F32" i="20"/>
  <c r="E33" i="20"/>
  <c r="G33" i="20" s="1"/>
  <c r="H33" i="20" s="1"/>
  <c r="F33" i="20"/>
  <c r="E34" i="20"/>
  <c r="G34" i="20" s="1"/>
  <c r="H34" i="20" s="1"/>
  <c r="F34" i="20"/>
  <c r="E35" i="20"/>
  <c r="H35" i="20" s="1"/>
  <c r="F35" i="20"/>
  <c r="E36" i="20"/>
  <c r="G36" i="20" s="1"/>
  <c r="H36" i="20" s="1"/>
  <c r="F36" i="20"/>
  <c r="E37" i="20"/>
  <c r="F37" i="20"/>
  <c r="E38" i="20"/>
  <c r="F38" i="20"/>
  <c r="G38" i="20" s="1"/>
  <c r="E39" i="20"/>
  <c r="G39" i="20" s="1"/>
  <c r="H39" i="20" s="1"/>
  <c r="F39" i="20"/>
  <c r="E40" i="20"/>
  <c r="G40" i="20" s="1"/>
  <c r="H40" i="20" s="1"/>
  <c r="F40" i="20"/>
  <c r="E41" i="20"/>
  <c r="G41" i="20" s="1"/>
  <c r="H41" i="20" s="1"/>
  <c r="F41" i="20"/>
  <c r="E42" i="20"/>
  <c r="G42" i="20" s="1"/>
  <c r="H42" i="20" s="1"/>
  <c r="F42" i="20"/>
  <c r="H3" i="24"/>
  <c r="F3" i="24"/>
  <c r="E3" i="24"/>
  <c r="H3" i="23"/>
  <c r="F3" i="23"/>
  <c r="E3" i="23"/>
  <c r="H3" i="22"/>
  <c r="F3" i="22"/>
  <c r="E3" i="22"/>
  <c r="F3" i="21"/>
  <c r="E3" i="21"/>
  <c r="F3" i="20"/>
  <c r="E3" i="20"/>
  <c r="G3" i="20" s="1"/>
  <c r="H3" i="20" s="1"/>
  <c r="G48" i="19"/>
  <c r="G41" i="19"/>
  <c r="G40" i="19"/>
  <c r="G31" i="19"/>
  <c r="G29" i="19"/>
  <c r="G19" i="19"/>
  <c r="G7" i="19"/>
  <c r="G6" i="19"/>
  <c r="G4" i="19"/>
  <c r="E4" i="19"/>
  <c r="F4" i="19"/>
  <c r="E5" i="19"/>
  <c r="G5" i="19" s="1"/>
  <c r="H5" i="19" s="1"/>
  <c r="F5" i="19"/>
  <c r="E6" i="19"/>
  <c r="F6" i="19"/>
  <c r="E7" i="19"/>
  <c r="F7" i="19"/>
  <c r="E8" i="19"/>
  <c r="G8" i="19" s="1"/>
  <c r="H8" i="19" s="1"/>
  <c r="F8" i="19"/>
  <c r="E9" i="19"/>
  <c r="G9" i="19" s="1"/>
  <c r="H9" i="19" s="1"/>
  <c r="F9" i="19"/>
  <c r="E10" i="19"/>
  <c r="G10" i="19" s="1"/>
  <c r="H10" i="19" s="1"/>
  <c r="F10" i="19"/>
  <c r="E11" i="19"/>
  <c r="G11" i="19" s="1"/>
  <c r="H11" i="19" s="1"/>
  <c r="F11" i="19"/>
  <c r="E12" i="19"/>
  <c r="G12" i="19" s="1"/>
  <c r="H12" i="19" s="1"/>
  <c r="F12" i="19"/>
  <c r="E13" i="19"/>
  <c r="G13" i="19" s="1"/>
  <c r="H13" i="19" s="1"/>
  <c r="F13" i="19"/>
  <c r="E14" i="19"/>
  <c r="G14" i="19" s="1"/>
  <c r="H14" i="19" s="1"/>
  <c r="F14" i="19"/>
  <c r="E15" i="19"/>
  <c r="G15" i="19" s="1"/>
  <c r="H15" i="19" s="1"/>
  <c r="F15" i="19"/>
  <c r="E16" i="19"/>
  <c r="G16" i="19" s="1"/>
  <c r="H16" i="19" s="1"/>
  <c r="F16" i="19"/>
  <c r="E17" i="19"/>
  <c r="G17" i="19" s="1"/>
  <c r="H17" i="19" s="1"/>
  <c r="F17" i="19"/>
  <c r="E18" i="19"/>
  <c r="H18" i="19" s="1"/>
  <c r="F18" i="19"/>
  <c r="E19" i="19"/>
  <c r="H19" i="19" s="1"/>
  <c r="F19" i="19"/>
  <c r="E20" i="19"/>
  <c r="G20" i="19" s="1"/>
  <c r="H20" i="19" s="1"/>
  <c r="F20" i="19"/>
  <c r="E21" i="19"/>
  <c r="G21" i="19" s="1"/>
  <c r="H21" i="19" s="1"/>
  <c r="F21" i="19"/>
  <c r="E22" i="19"/>
  <c r="G22" i="19" s="1"/>
  <c r="H22" i="19" s="1"/>
  <c r="F22" i="19"/>
  <c r="E23" i="19"/>
  <c r="G23" i="19" s="1"/>
  <c r="H23" i="19" s="1"/>
  <c r="F23" i="19"/>
  <c r="E24" i="19"/>
  <c r="G24" i="19" s="1"/>
  <c r="H24" i="19" s="1"/>
  <c r="F24" i="19"/>
  <c r="E25" i="19"/>
  <c r="G25" i="19" s="1"/>
  <c r="H25" i="19" s="1"/>
  <c r="F25" i="19"/>
  <c r="E26" i="19"/>
  <c r="G26" i="19" s="1"/>
  <c r="H26" i="19" s="1"/>
  <c r="F26" i="19"/>
  <c r="E27" i="19"/>
  <c r="G27" i="19" s="1"/>
  <c r="H27" i="19" s="1"/>
  <c r="F27" i="19"/>
  <c r="E28" i="19"/>
  <c r="G28" i="19" s="1"/>
  <c r="H28" i="19" s="1"/>
  <c r="F28" i="19"/>
  <c r="E29" i="19"/>
  <c r="H29" i="19" s="1"/>
  <c r="F29" i="19"/>
  <c r="E30" i="19"/>
  <c r="G30" i="19" s="1"/>
  <c r="H30" i="19" s="1"/>
  <c r="F30" i="19"/>
  <c r="E31" i="19"/>
  <c r="F31" i="19"/>
  <c r="E32" i="19"/>
  <c r="G32" i="19" s="1"/>
  <c r="H32" i="19" s="1"/>
  <c r="F32" i="19"/>
  <c r="E33" i="19"/>
  <c r="H33" i="19" s="1"/>
  <c r="F33" i="19"/>
  <c r="E34" i="19"/>
  <c r="G34" i="19" s="1"/>
  <c r="H34" i="19" s="1"/>
  <c r="F34" i="19"/>
  <c r="E35" i="19"/>
  <c r="G35" i="19" s="1"/>
  <c r="H35" i="19" s="1"/>
  <c r="F35" i="19"/>
  <c r="E36" i="19"/>
  <c r="G36" i="19" s="1"/>
  <c r="H36" i="19" s="1"/>
  <c r="F36" i="19"/>
  <c r="E37" i="19"/>
  <c r="F37" i="19"/>
  <c r="G37" i="19" s="1"/>
  <c r="E38" i="19"/>
  <c r="G38" i="19" s="1"/>
  <c r="H38" i="19" s="1"/>
  <c r="F38" i="19"/>
  <c r="E39" i="19"/>
  <c r="G39" i="19" s="1"/>
  <c r="H39" i="19" s="1"/>
  <c r="F39" i="19"/>
  <c r="E40" i="19"/>
  <c r="H40" i="19" s="1"/>
  <c r="F40" i="19"/>
  <c r="E41" i="19"/>
  <c r="H41" i="19" s="1"/>
  <c r="F41" i="19"/>
  <c r="E42" i="19"/>
  <c r="G42" i="19" s="1"/>
  <c r="H42" i="19" s="1"/>
  <c r="F42" i="19"/>
  <c r="E43" i="19"/>
  <c r="G43" i="19" s="1"/>
  <c r="H43" i="19" s="1"/>
  <c r="F43" i="19"/>
  <c r="E44" i="19"/>
  <c r="G44" i="19" s="1"/>
  <c r="H44" i="19" s="1"/>
  <c r="F44" i="19"/>
  <c r="E45" i="19"/>
  <c r="G45" i="19" s="1"/>
  <c r="H45" i="19" s="1"/>
  <c r="F45" i="19"/>
  <c r="E46" i="19"/>
  <c r="G46" i="19" s="1"/>
  <c r="H46" i="19" s="1"/>
  <c r="F46" i="19"/>
  <c r="E47" i="19"/>
  <c r="G47" i="19" s="1"/>
  <c r="H47" i="19" s="1"/>
  <c r="F47" i="19"/>
  <c r="E48" i="19"/>
  <c r="F48" i="19"/>
  <c r="F3" i="19"/>
  <c r="E3" i="19"/>
  <c r="H3" i="19" s="1"/>
  <c r="G50" i="18"/>
  <c r="G7" i="18"/>
  <c r="G5" i="18"/>
  <c r="E4" i="18"/>
  <c r="G4" i="18" s="1"/>
  <c r="H4" i="18" s="1"/>
  <c r="F4" i="18"/>
  <c r="E5" i="18"/>
  <c r="F5" i="18"/>
  <c r="E6" i="18"/>
  <c r="G6" i="18" s="1"/>
  <c r="H6" i="18" s="1"/>
  <c r="F6" i="18"/>
  <c r="E7" i="18"/>
  <c r="H7" i="18" s="1"/>
  <c r="F7" i="18"/>
  <c r="E8" i="18"/>
  <c r="G8" i="18" s="1"/>
  <c r="H8" i="18" s="1"/>
  <c r="F8" i="18"/>
  <c r="E9" i="18"/>
  <c r="H9" i="18" s="1"/>
  <c r="F9" i="18"/>
  <c r="E10" i="18"/>
  <c r="G10" i="18" s="1"/>
  <c r="H10" i="18" s="1"/>
  <c r="F10" i="18"/>
  <c r="E11" i="18"/>
  <c r="G11" i="18" s="1"/>
  <c r="H11" i="18" s="1"/>
  <c r="F11" i="18"/>
  <c r="E12" i="18"/>
  <c r="G12" i="18" s="1"/>
  <c r="H12" i="18" s="1"/>
  <c r="F12" i="18"/>
  <c r="E13" i="18"/>
  <c r="G13" i="18" s="1"/>
  <c r="H13" i="18" s="1"/>
  <c r="F13" i="18"/>
  <c r="E14" i="18"/>
  <c r="G14" i="18" s="1"/>
  <c r="H14" i="18" s="1"/>
  <c r="F14" i="18"/>
  <c r="E15" i="18"/>
  <c r="H15" i="18" s="1"/>
  <c r="F15" i="18"/>
  <c r="E16" i="18"/>
  <c r="G16" i="18" s="1"/>
  <c r="H16" i="18" s="1"/>
  <c r="F16" i="18"/>
  <c r="E17" i="18"/>
  <c r="G17" i="18" s="1"/>
  <c r="H17" i="18" s="1"/>
  <c r="F17" i="18"/>
  <c r="E18" i="18"/>
  <c r="G18" i="18" s="1"/>
  <c r="H18" i="18" s="1"/>
  <c r="F18" i="18"/>
  <c r="E19" i="18"/>
  <c r="F19" i="18"/>
  <c r="G19" i="18" s="1"/>
  <c r="E20" i="18"/>
  <c r="G20" i="18" s="1"/>
  <c r="H20" i="18" s="1"/>
  <c r="F20" i="18"/>
  <c r="E21" i="18"/>
  <c r="G21" i="18" s="1"/>
  <c r="H21" i="18" s="1"/>
  <c r="F21" i="18"/>
  <c r="E22" i="18"/>
  <c r="H22" i="18" s="1"/>
  <c r="F22" i="18"/>
  <c r="E23" i="18"/>
  <c r="G23" i="18" s="1"/>
  <c r="H23" i="18" s="1"/>
  <c r="F23" i="18"/>
  <c r="E24" i="18"/>
  <c r="G24" i="18" s="1"/>
  <c r="H24" i="18" s="1"/>
  <c r="F24" i="18"/>
  <c r="E25" i="18"/>
  <c r="G25" i="18" s="1"/>
  <c r="H25" i="18" s="1"/>
  <c r="F25" i="18"/>
  <c r="E26" i="18"/>
  <c r="G26" i="18" s="1"/>
  <c r="H26" i="18" s="1"/>
  <c r="F26" i="18"/>
  <c r="E27" i="18"/>
  <c r="G27" i="18" s="1"/>
  <c r="H27" i="18" s="1"/>
  <c r="F27" i="18"/>
  <c r="E28" i="18"/>
  <c r="G28" i="18" s="1"/>
  <c r="H28" i="18" s="1"/>
  <c r="F28" i="18"/>
  <c r="E29" i="18"/>
  <c r="F29" i="18"/>
  <c r="G29" i="18" s="1"/>
  <c r="E30" i="18"/>
  <c r="F30" i="18"/>
  <c r="G30" i="18" s="1"/>
  <c r="E31" i="18"/>
  <c r="G31" i="18" s="1"/>
  <c r="H31" i="18" s="1"/>
  <c r="F31" i="18"/>
  <c r="E32" i="18"/>
  <c r="G32" i="18" s="1"/>
  <c r="H32" i="18" s="1"/>
  <c r="F32" i="18"/>
  <c r="E33" i="18"/>
  <c r="G33" i="18" s="1"/>
  <c r="H33" i="18" s="1"/>
  <c r="F33" i="18"/>
  <c r="E34" i="18"/>
  <c r="G34" i="18" s="1"/>
  <c r="H34" i="18" s="1"/>
  <c r="F34" i="18"/>
  <c r="E35" i="18"/>
  <c r="G35" i="18" s="1"/>
  <c r="H35" i="18" s="1"/>
  <c r="F35" i="18"/>
  <c r="E36" i="18"/>
  <c r="G36" i="18" s="1"/>
  <c r="H36" i="18" s="1"/>
  <c r="F36" i="18"/>
  <c r="E37" i="18"/>
  <c r="F37" i="18"/>
  <c r="G37" i="18" s="1"/>
  <c r="E38" i="18"/>
  <c r="F38" i="18"/>
  <c r="G38" i="18" s="1"/>
  <c r="E39" i="18"/>
  <c r="G39" i="18" s="1"/>
  <c r="H39" i="18" s="1"/>
  <c r="F39" i="18"/>
  <c r="E40" i="18"/>
  <c r="F40" i="18"/>
  <c r="G40" i="18" s="1"/>
  <c r="E41" i="18"/>
  <c r="G41" i="18" s="1"/>
  <c r="H41" i="18" s="1"/>
  <c r="F41" i="18"/>
  <c r="E42" i="18"/>
  <c r="G42" i="18" s="1"/>
  <c r="H42" i="18" s="1"/>
  <c r="F42" i="18"/>
  <c r="E43" i="18"/>
  <c r="G43" i="18" s="1"/>
  <c r="H43" i="18" s="1"/>
  <c r="F43" i="18"/>
  <c r="E44" i="18"/>
  <c r="G44" i="18" s="1"/>
  <c r="H44" i="18" s="1"/>
  <c r="F44" i="18"/>
  <c r="E45" i="18"/>
  <c r="G45" i="18" s="1"/>
  <c r="H45" i="18" s="1"/>
  <c r="F45" i="18"/>
  <c r="E46" i="18"/>
  <c r="G46" i="18" s="1"/>
  <c r="H46" i="18" s="1"/>
  <c r="F46" i="18"/>
  <c r="E47" i="18"/>
  <c r="G47" i="18" s="1"/>
  <c r="H47" i="18" s="1"/>
  <c r="F47" i="18"/>
  <c r="E48" i="18"/>
  <c r="G48" i="18" s="1"/>
  <c r="H48" i="18" s="1"/>
  <c r="F48" i="18"/>
  <c r="E49" i="18"/>
  <c r="G49" i="18" s="1"/>
  <c r="H49" i="18" s="1"/>
  <c r="F49" i="18"/>
  <c r="E50" i="18"/>
  <c r="F50" i="18"/>
  <c r="E51" i="18"/>
  <c r="F51" i="18"/>
  <c r="G51" i="18" s="1"/>
  <c r="F3" i="18"/>
  <c r="E3" i="18"/>
  <c r="G3" i="18" s="1"/>
  <c r="H3" i="18" s="1"/>
  <c r="G23" i="17"/>
  <c r="G15" i="17"/>
  <c r="G5" i="17"/>
  <c r="G4" i="17"/>
  <c r="G3" i="17"/>
  <c r="E4" i="17"/>
  <c r="F4" i="17"/>
  <c r="E5" i="17"/>
  <c r="F5" i="17"/>
  <c r="E6" i="17"/>
  <c r="G6" i="17" s="1"/>
  <c r="H6" i="17" s="1"/>
  <c r="F6" i="17"/>
  <c r="E7" i="17"/>
  <c r="G7" i="17" s="1"/>
  <c r="H7" i="17" s="1"/>
  <c r="F7" i="17"/>
  <c r="E8" i="17"/>
  <c r="H8" i="17" s="1"/>
  <c r="F8" i="17"/>
  <c r="E9" i="17"/>
  <c r="G9" i="17" s="1"/>
  <c r="H9" i="17" s="1"/>
  <c r="F9" i="17"/>
  <c r="E10" i="17"/>
  <c r="G10" i="17" s="1"/>
  <c r="H10" i="17" s="1"/>
  <c r="F10" i="17"/>
  <c r="E11" i="17"/>
  <c r="G11" i="17" s="1"/>
  <c r="H11" i="17" s="1"/>
  <c r="F11" i="17"/>
  <c r="E12" i="17"/>
  <c r="G12" i="17" s="1"/>
  <c r="H12" i="17" s="1"/>
  <c r="F12" i="17"/>
  <c r="E13" i="17"/>
  <c r="G13" i="17" s="1"/>
  <c r="H13" i="17" s="1"/>
  <c r="F13" i="17"/>
  <c r="E14" i="17"/>
  <c r="G14" i="17" s="1"/>
  <c r="H14" i="17" s="1"/>
  <c r="F14" i="17"/>
  <c r="E15" i="17"/>
  <c r="F15" i="17"/>
  <c r="E16" i="17"/>
  <c r="G16" i="17" s="1"/>
  <c r="H16" i="17" s="1"/>
  <c r="F16" i="17"/>
  <c r="E17" i="17"/>
  <c r="G17" i="17" s="1"/>
  <c r="H17" i="17" s="1"/>
  <c r="F17" i="17"/>
  <c r="E18" i="17"/>
  <c r="G18" i="17" s="1"/>
  <c r="H18" i="17" s="1"/>
  <c r="F18" i="17"/>
  <c r="E19" i="17"/>
  <c r="G19" i="17" s="1"/>
  <c r="H19" i="17" s="1"/>
  <c r="F19" i="17"/>
  <c r="E20" i="17"/>
  <c r="G20" i="17" s="1"/>
  <c r="H20" i="17" s="1"/>
  <c r="F20" i="17"/>
  <c r="E21" i="17"/>
  <c r="G21" i="17" s="1"/>
  <c r="H21" i="17" s="1"/>
  <c r="F21" i="17"/>
  <c r="E22" i="17"/>
  <c r="G22" i="17" s="1"/>
  <c r="H22" i="17" s="1"/>
  <c r="F22" i="17"/>
  <c r="E23" i="17"/>
  <c r="F23" i="17"/>
  <c r="E24" i="17"/>
  <c r="G24" i="17" s="1"/>
  <c r="H24" i="17" s="1"/>
  <c r="F24" i="17"/>
  <c r="E25" i="17"/>
  <c r="F25" i="17"/>
  <c r="G25" i="17" s="1"/>
  <c r="E26" i="17"/>
  <c r="G26" i="17" s="1"/>
  <c r="H26" i="17" s="1"/>
  <c r="F26" i="17"/>
  <c r="E27" i="17"/>
  <c r="G27" i="17" s="1"/>
  <c r="H27" i="17" s="1"/>
  <c r="F27" i="17"/>
  <c r="E28" i="17"/>
  <c r="G28" i="17" s="1"/>
  <c r="H28" i="17" s="1"/>
  <c r="F28" i="17"/>
  <c r="E29" i="17"/>
  <c r="G29" i="17" s="1"/>
  <c r="H29" i="17" s="1"/>
  <c r="F29" i="17"/>
  <c r="E30" i="17"/>
  <c r="G30" i="17" s="1"/>
  <c r="H30" i="17" s="1"/>
  <c r="F30" i="17"/>
  <c r="E31" i="17"/>
  <c r="G31" i="17" s="1"/>
  <c r="H31" i="17" s="1"/>
  <c r="F31" i="17"/>
  <c r="E32" i="17"/>
  <c r="G32" i="17" s="1"/>
  <c r="H32" i="17" s="1"/>
  <c r="F32" i="17"/>
  <c r="E33" i="17"/>
  <c r="G33" i="17" s="1"/>
  <c r="H33" i="17" s="1"/>
  <c r="F33" i="17"/>
  <c r="E34" i="17"/>
  <c r="G34" i="17" s="1"/>
  <c r="H34" i="17" s="1"/>
  <c r="F34" i="17"/>
  <c r="E35" i="17"/>
  <c r="G35" i="17" s="1"/>
  <c r="H35" i="17" s="1"/>
  <c r="F35" i="17"/>
  <c r="E36" i="17"/>
  <c r="G36" i="17" s="1"/>
  <c r="H36" i="17" s="1"/>
  <c r="F36" i="17"/>
  <c r="E37" i="17"/>
  <c r="G37" i="17" s="1"/>
  <c r="H37" i="17" s="1"/>
  <c r="F37" i="17"/>
  <c r="E38" i="17"/>
  <c r="H38" i="17" s="1"/>
  <c r="F38" i="17"/>
  <c r="E39" i="17"/>
  <c r="F39" i="17"/>
  <c r="G39" i="17" s="1"/>
  <c r="E40" i="17"/>
  <c r="G40" i="17" s="1"/>
  <c r="H40" i="17" s="1"/>
  <c r="F40" i="17"/>
  <c r="E41" i="17"/>
  <c r="G41" i="17" s="1"/>
  <c r="H41" i="17" s="1"/>
  <c r="F41" i="17"/>
  <c r="E42" i="17"/>
  <c r="G42" i="17" s="1"/>
  <c r="H42" i="17" s="1"/>
  <c r="F42" i="17"/>
  <c r="E43" i="17"/>
  <c r="G43" i="17" s="1"/>
  <c r="H43" i="17" s="1"/>
  <c r="F43" i="17"/>
  <c r="E44" i="17"/>
  <c r="G44" i="17" s="1"/>
  <c r="H44" i="17" s="1"/>
  <c r="F44" i="17"/>
  <c r="E45" i="17"/>
  <c r="F45" i="17"/>
  <c r="G45" i="17" s="1"/>
  <c r="E46" i="17"/>
  <c r="H46" i="17" s="1"/>
  <c r="F46" i="17"/>
  <c r="E47" i="17"/>
  <c r="G47" i="17" s="1"/>
  <c r="H47" i="17" s="1"/>
  <c r="F47" i="17"/>
  <c r="E48" i="17"/>
  <c r="G48" i="17" s="1"/>
  <c r="H48" i="17" s="1"/>
  <c r="F48" i="17"/>
  <c r="E49" i="17"/>
  <c r="G49" i="17" s="1"/>
  <c r="H49" i="17" s="1"/>
  <c r="F49" i="17"/>
  <c r="E50" i="17"/>
  <c r="G50" i="17" s="1"/>
  <c r="H50" i="17" s="1"/>
  <c r="F50" i="17"/>
  <c r="E51" i="17"/>
  <c r="G51" i="17" s="1"/>
  <c r="H51" i="17" s="1"/>
  <c r="F51" i="17"/>
  <c r="E52" i="17"/>
  <c r="G52" i="17" s="1"/>
  <c r="H52" i="17" s="1"/>
  <c r="F52" i="17"/>
  <c r="F3" i="17"/>
  <c r="E3" i="17"/>
  <c r="G51" i="16"/>
  <c r="G16" i="16"/>
  <c r="E4" i="16"/>
  <c r="G4" i="16" s="1"/>
  <c r="H4" i="16" s="1"/>
  <c r="F4" i="16"/>
  <c r="E5" i="16"/>
  <c r="F5" i="16"/>
  <c r="G5" i="16" s="1"/>
  <c r="E6" i="16"/>
  <c r="H6" i="16" s="1"/>
  <c r="F6" i="16"/>
  <c r="E7" i="16"/>
  <c r="F7" i="16"/>
  <c r="G7" i="16" s="1"/>
  <c r="E8" i="16"/>
  <c r="F8" i="16"/>
  <c r="G8" i="16" s="1"/>
  <c r="E9" i="16"/>
  <c r="G9" i="16" s="1"/>
  <c r="H9" i="16" s="1"/>
  <c r="F9" i="16"/>
  <c r="E10" i="16"/>
  <c r="H10" i="16" s="1"/>
  <c r="F10" i="16"/>
  <c r="E11" i="16"/>
  <c r="G11" i="16" s="1"/>
  <c r="H11" i="16" s="1"/>
  <c r="F11" i="16"/>
  <c r="E12" i="16"/>
  <c r="F12" i="16"/>
  <c r="G12" i="16" s="1"/>
  <c r="E13" i="16"/>
  <c r="G13" i="16" s="1"/>
  <c r="H13" i="16" s="1"/>
  <c r="F13" i="16"/>
  <c r="E14" i="16"/>
  <c r="G14" i="16" s="1"/>
  <c r="H14" i="16" s="1"/>
  <c r="F14" i="16"/>
  <c r="E15" i="16"/>
  <c r="G15" i="16" s="1"/>
  <c r="H15" i="16" s="1"/>
  <c r="F15" i="16"/>
  <c r="E16" i="16"/>
  <c r="F16" i="16"/>
  <c r="E17" i="16"/>
  <c r="G17" i="16" s="1"/>
  <c r="H17" i="16" s="1"/>
  <c r="F17" i="16"/>
  <c r="E18" i="16"/>
  <c r="G18" i="16" s="1"/>
  <c r="H18" i="16" s="1"/>
  <c r="F18" i="16"/>
  <c r="E19" i="16"/>
  <c r="H19" i="16" s="1"/>
  <c r="F19" i="16"/>
  <c r="E20" i="16"/>
  <c r="G20" i="16" s="1"/>
  <c r="H20" i="16" s="1"/>
  <c r="F20" i="16"/>
  <c r="E21" i="16"/>
  <c r="G21" i="16" s="1"/>
  <c r="H21" i="16" s="1"/>
  <c r="F21" i="16"/>
  <c r="E22" i="16"/>
  <c r="F22" i="16"/>
  <c r="G22" i="16" s="1"/>
  <c r="E23" i="16"/>
  <c r="G23" i="16" s="1"/>
  <c r="H23" i="16" s="1"/>
  <c r="F23" i="16"/>
  <c r="E24" i="16"/>
  <c r="H24" i="16" s="1"/>
  <c r="F24" i="16"/>
  <c r="E25" i="16"/>
  <c r="G25" i="16" s="1"/>
  <c r="H25" i="16" s="1"/>
  <c r="F25" i="16"/>
  <c r="E26" i="16"/>
  <c r="H26" i="16" s="1"/>
  <c r="F26" i="16"/>
  <c r="E27" i="16"/>
  <c r="G27" i="16" s="1"/>
  <c r="H27" i="16" s="1"/>
  <c r="F27" i="16"/>
  <c r="E28" i="16"/>
  <c r="G28" i="16" s="1"/>
  <c r="H28" i="16" s="1"/>
  <c r="F28" i="16"/>
  <c r="E29" i="16"/>
  <c r="G29" i="16" s="1"/>
  <c r="H29" i="16" s="1"/>
  <c r="F29" i="16"/>
  <c r="E30" i="16"/>
  <c r="H30" i="16" s="1"/>
  <c r="F30" i="16"/>
  <c r="E31" i="16"/>
  <c r="G31" i="16" s="1"/>
  <c r="H31" i="16" s="1"/>
  <c r="F31" i="16"/>
  <c r="E32" i="16"/>
  <c r="G32" i="16" s="1"/>
  <c r="H32" i="16" s="1"/>
  <c r="F32" i="16"/>
  <c r="E33" i="16"/>
  <c r="G33" i="16" s="1"/>
  <c r="H33" i="16" s="1"/>
  <c r="F33" i="16"/>
  <c r="E34" i="16"/>
  <c r="G34" i="16" s="1"/>
  <c r="H34" i="16" s="1"/>
  <c r="F34" i="16"/>
  <c r="E35" i="16"/>
  <c r="G35" i="16" s="1"/>
  <c r="H35" i="16" s="1"/>
  <c r="F35" i="16"/>
  <c r="E36" i="16"/>
  <c r="G36" i="16" s="1"/>
  <c r="H36" i="16" s="1"/>
  <c r="F36" i="16"/>
  <c r="E37" i="16"/>
  <c r="G37" i="16" s="1"/>
  <c r="H37" i="16" s="1"/>
  <c r="F37" i="16"/>
  <c r="E38" i="16"/>
  <c r="F38" i="16"/>
  <c r="G38" i="16" s="1"/>
  <c r="E39" i="16"/>
  <c r="G39" i="16" s="1"/>
  <c r="H39" i="16" s="1"/>
  <c r="F39" i="16"/>
  <c r="E40" i="16"/>
  <c r="F40" i="16"/>
  <c r="G40" i="16" s="1"/>
  <c r="E41" i="16"/>
  <c r="G41" i="16" s="1"/>
  <c r="H41" i="16" s="1"/>
  <c r="F41" i="16"/>
  <c r="E42" i="16"/>
  <c r="H42" i="16" s="1"/>
  <c r="F42" i="16"/>
  <c r="E43" i="16"/>
  <c r="G43" i="16" s="1"/>
  <c r="H43" i="16" s="1"/>
  <c r="F43" i="16"/>
  <c r="E44" i="16"/>
  <c r="H44" i="16" s="1"/>
  <c r="F44" i="16"/>
  <c r="E45" i="16"/>
  <c r="G45" i="16" s="1"/>
  <c r="H45" i="16" s="1"/>
  <c r="F45" i="16"/>
  <c r="E46" i="16"/>
  <c r="H46" i="16" s="1"/>
  <c r="F46" i="16"/>
  <c r="E47" i="16"/>
  <c r="G47" i="16" s="1"/>
  <c r="H47" i="16" s="1"/>
  <c r="F47" i="16"/>
  <c r="E48" i="16"/>
  <c r="F48" i="16"/>
  <c r="G48" i="16" s="1"/>
  <c r="E49" i="16"/>
  <c r="G49" i="16" s="1"/>
  <c r="H49" i="16" s="1"/>
  <c r="F49" i="16"/>
  <c r="E50" i="16"/>
  <c r="F50" i="16"/>
  <c r="G50" i="16" s="1"/>
  <c r="E51" i="16"/>
  <c r="F51" i="16"/>
  <c r="E52" i="16"/>
  <c r="G52" i="16" s="1"/>
  <c r="H52" i="16" s="1"/>
  <c r="F52" i="16"/>
  <c r="E53" i="16"/>
  <c r="G53" i="16" s="1"/>
  <c r="H53" i="16" s="1"/>
  <c r="F53" i="16"/>
  <c r="E54" i="16"/>
  <c r="H54" i="16" s="1"/>
  <c r="F54" i="16"/>
  <c r="E55" i="16"/>
  <c r="G55" i="16" s="1"/>
  <c r="H55" i="16" s="1"/>
  <c r="F55" i="16"/>
  <c r="E56" i="16"/>
  <c r="G56" i="16" s="1"/>
  <c r="H56" i="16" s="1"/>
  <c r="F56" i="16"/>
  <c r="E57" i="16"/>
  <c r="G57" i="16" s="1"/>
  <c r="H57" i="16" s="1"/>
  <c r="F57" i="16"/>
  <c r="E58" i="16"/>
  <c r="G58" i="16" s="1"/>
  <c r="H58" i="16" s="1"/>
  <c r="F58" i="16"/>
  <c r="E59" i="16"/>
  <c r="G59" i="16" s="1"/>
  <c r="H59" i="16" s="1"/>
  <c r="F59" i="16"/>
  <c r="E60" i="16"/>
  <c r="G60" i="16" s="1"/>
  <c r="H60" i="16" s="1"/>
  <c r="F60" i="16"/>
  <c r="E61" i="16"/>
  <c r="H61" i="16" s="1"/>
  <c r="F61" i="16"/>
  <c r="E62" i="16"/>
  <c r="H62" i="16" s="1"/>
  <c r="F62" i="16"/>
  <c r="E63" i="16"/>
  <c r="G63" i="16" s="1"/>
  <c r="H63" i="16" s="1"/>
  <c r="F63" i="16"/>
  <c r="F3" i="16"/>
  <c r="E3" i="16"/>
  <c r="G3" i="16" s="1"/>
  <c r="H3" i="16" s="1"/>
  <c r="G28" i="15"/>
  <c r="G7" i="15"/>
  <c r="E4" i="15"/>
  <c r="G4" i="15" s="1"/>
  <c r="H4" i="15" s="1"/>
  <c r="F4" i="15"/>
  <c r="E5" i="15"/>
  <c r="G5" i="15" s="1"/>
  <c r="H5" i="15" s="1"/>
  <c r="F5" i="15"/>
  <c r="E6" i="15"/>
  <c r="F6" i="15"/>
  <c r="G6" i="15" s="1"/>
  <c r="E7" i="15"/>
  <c r="H7" i="15" s="1"/>
  <c r="F7" i="15"/>
  <c r="E8" i="15"/>
  <c r="G8" i="15" s="1"/>
  <c r="H8" i="15" s="1"/>
  <c r="F8" i="15"/>
  <c r="E9" i="15"/>
  <c r="G9" i="15" s="1"/>
  <c r="H9" i="15" s="1"/>
  <c r="F9" i="15"/>
  <c r="E10" i="15"/>
  <c r="G10" i="15" s="1"/>
  <c r="H10" i="15" s="1"/>
  <c r="F10" i="15"/>
  <c r="E11" i="15"/>
  <c r="G11" i="15" s="1"/>
  <c r="H11" i="15" s="1"/>
  <c r="F11" i="15"/>
  <c r="E12" i="15"/>
  <c r="G12" i="15" s="1"/>
  <c r="H12" i="15" s="1"/>
  <c r="F12" i="15"/>
  <c r="E13" i="15"/>
  <c r="G13" i="15" s="1"/>
  <c r="H13" i="15" s="1"/>
  <c r="F13" i="15"/>
  <c r="E14" i="15"/>
  <c r="G14" i="15" s="1"/>
  <c r="H14" i="15" s="1"/>
  <c r="F14" i="15"/>
  <c r="E15" i="15"/>
  <c r="G15" i="15" s="1"/>
  <c r="H15" i="15" s="1"/>
  <c r="F15" i="15"/>
  <c r="E16" i="15"/>
  <c r="G16" i="15" s="1"/>
  <c r="H16" i="15" s="1"/>
  <c r="F16" i="15"/>
  <c r="E17" i="15"/>
  <c r="G17" i="15" s="1"/>
  <c r="H17" i="15" s="1"/>
  <c r="F17" i="15"/>
  <c r="E18" i="15"/>
  <c r="G18" i="15" s="1"/>
  <c r="H18" i="15" s="1"/>
  <c r="F18" i="15"/>
  <c r="E19" i="15"/>
  <c r="G19" i="15" s="1"/>
  <c r="H19" i="15" s="1"/>
  <c r="F19" i="15"/>
  <c r="E20" i="15"/>
  <c r="H20" i="15" s="1"/>
  <c r="F20" i="15"/>
  <c r="E21" i="15"/>
  <c r="G21" i="15" s="1"/>
  <c r="H21" i="15" s="1"/>
  <c r="F21" i="15"/>
  <c r="E22" i="15"/>
  <c r="G22" i="15" s="1"/>
  <c r="H22" i="15" s="1"/>
  <c r="F22" i="15"/>
  <c r="E23" i="15"/>
  <c r="G23" i="15" s="1"/>
  <c r="H23" i="15" s="1"/>
  <c r="F23" i="15"/>
  <c r="E24" i="15"/>
  <c r="G24" i="15" s="1"/>
  <c r="H24" i="15" s="1"/>
  <c r="F24" i="15"/>
  <c r="E25" i="15"/>
  <c r="G25" i="15" s="1"/>
  <c r="H25" i="15" s="1"/>
  <c r="F25" i="15"/>
  <c r="E26" i="15"/>
  <c r="F26" i="15"/>
  <c r="G26" i="15" s="1"/>
  <c r="E27" i="15"/>
  <c r="G27" i="15" s="1"/>
  <c r="H27" i="15" s="1"/>
  <c r="F27" i="15"/>
  <c r="E28" i="15"/>
  <c r="F28" i="15"/>
  <c r="E29" i="15"/>
  <c r="G29" i="15" s="1"/>
  <c r="H29" i="15" s="1"/>
  <c r="F29" i="15"/>
  <c r="E30" i="15"/>
  <c r="G30" i="15" s="1"/>
  <c r="H30" i="15" s="1"/>
  <c r="F30" i="15"/>
  <c r="E31" i="15"/>
  <c r="G31" i="15" s="1"/>
  <c r="H31" i="15" s="1"/>
  <c r="F31" i="15"/>
  <c r="E32" i="15"/>
  <c r="G32" i="15" s="1"/>
  <c r="H32" i="15" s="1"/>
  <c r="F32" i="15"/>
  <c r="E33" i="15"/>
  <c r="G33" i="15" s="1"/>
  <c r="H33" i="15" s="1"/>
  <c r="F33" i="15"/>
  <c r="E34" i="15"/>
  <c r="G34" i="15" s="1"/>
  <c r="H34" i="15" s="1"/>
  <c r="F34" i="15"/>
  <c r="E35" i="15"/>
  <c r="G35" i="15" s="1"/>
  <c r="H35" i="15" s="1"/>
  <c r="F35" i="15"/>
  <c r="E36" i="15"/>
  <c r="G36" i="15" s="1"/>
  <c r="H36" i="15" s="1"/>
  <c r="F36" i="15"/>
  <c r="G3" i="15"/>
  <c r="H3" i="15" s="1"/>
  <c r="F3" i="15"/>
  <c r="E3" i="15"/>
  <c r="G3" i="14"/>
  <c r="G32" i="14"/>
  <c r="G23" i="14"/>
  <c r="G16" i="14"/>
  <c r="E4" i="14"/>
  <c r="F4" i="14"/>
  <c r="G4" i="14" s="1"/>
  <c r="E5" i="14"/>
  <c r="G5" i="14" s="1"/>
  <c r="H5" i="14" s="1"/>
  <c r="F5" i="14"/>
  <c r="E6" i="14"/>
  <c r="F6" i="14"/>
  <c r="G6" i="14" s="1"/>
  <c r="E7" i="14"/>
  <c r="F7" i="14"/>
  <c r="G7" i="14" s="1"/>
  <c r="E8" i="14"/>
  <c r="G8" i="14" s="1"/>
  <c r="H8" i="14" s="1"/>
  <c r="F8" i="14"/>
  <c r="E9" i="14"/>
  <c r="G9" i="14" s="1"/>
  <c r="H9" i="14" s="1"/>
  <c r="F9" i="14"/>
  <c r="E10" i="14"/>
  <c r="G10" i="14" s="1"/>
  <c r="H10" i="14" s="1"/>
  <c r="F10" i="14"/>
  <c r="E11" i="14"/>
  <c r="G11" i="14" s="1"/>
  <c r="H11" i="14" s="1"/>
  <c r="F11" i="14"/>
  <c r="E12" i="14"/>
  <c r="G12" i="14" s="1"/>
  <c r="H12" i="14" s="1"/>
  <c r="F12" i="14"/>
  <c r="E13" i="14"/>
  <c r="G13" i="14" s="1"/>
  <c r="H13" i="14" s="1"/>
  <c r="F13" i="14"/>
  <c r="E14" i="14"/>
  <c r="G14" i="14" s="1"/>
  <c r="H14" i="14" s="1"/>
  <c r="F14" i="14"/>
  <c r="E15" i="14"/>
  <c r="G15" i="14" s="1"/>
  <c r="H15" i="14" s="1"/>
  <c r="F15" i="14"/>
  <c r="E16" i="14"/>
  <c r="E17" i="14"/>
  <c r="G17" i="14" s="1"/>
  <c r="H17" i="14" s="1"/>
  <c r="F17" i="14"/>
  <c r="E18" i="14"/>
  <c r="G18" i="14" s="1"/>
  <c r="H18" i="14" s="1"/>
  <c r="F18" i="14"/>
  <c r="E19" i="14"/>
  <c r="G19" i="14" s="1"/>
  <c r="H19" i="14" s="1"/>
  <c r="F19" i="14"/>
  <c r="E20" i="14"/>
  <c r="G20" i="14" s="1"/>
  <c r="H20" i="14" s="1"/>
  <c r="F20" i="14"/>
  <c r="E21" i="14"/>
  <c r="G21" i="14" s="1"/>
  <c r="H21" i="14" s="1"/>
  <c r="F21" i="14"/>
  <c r="E22" i="14"/>
  <c r="G22" i="14" s="1"/>
  <c r="H22" i="14" s="1"/>
  <c r="F22" i="14"/>
  <c r="E23" i="14"/>
  <c r="F23" i="14"/>
  <c r="E24" i="14"/>
  <c r="G24" i="14" s="1"/>
  <c r="H24" i="14" s="1"/>
  <c r="F24" i="14"/>
  <c r="E25" i="14"/>
  <c r="F25" i="14"/>
  <c r="G25" i="14" s="1"/>
  <c r="E26" i="14"/>
  <c r="G26" i="14" s="1"/>
  <c r="H26" i="14" s="1"/>
  <c r="F26" i="14"/>
  <c r="E27" i="14"/>
  <c r="G27" i="14" s="1"/>
  <c r="H27" i="14" s="1"/>
  <c r="F27" i="14"/>
  <c r="E28" i="14"/>
  <c r="G28" i="14" s="1"/>
  <c r="H28" i="14" s="1"/>
  <c r="F28" i="14"/>
  <c r="E29" i="14"/>
  <c r="G29" i="14" s="1"/>
  <c r="H29" i="14" s="1"/>
  <c r="F29" i="14"/>
  <c r="E30" i="14"/>
  <c r="F30" i="14"/>
  <c r="G30" i="14" s="1"/>
  <c r="E31" i="14"/>
  <c r="G31" i="14" s="1"/>
  <c r="H31" i="14" s="1"/>
  <c r="F31" i="14"/>
  <c r="E32" i="14"/>
  <c r="F32" i="14"/>
  <c r="E33" i="14"/>
  <c r="G33" i="14" s="1"/>
  <c r="H33" i="14" s="1"/>
  <c r="F33" i="14"/>
  <c r="E34" i="14"/>
  <c r="G34" i="14" s="1"/>
  <c r="H34" i="14" s="1"/>
  <c r="F34" i="14"/>
  <c r="E35" i="14"/>
  <c r="G35" i="14" s="1"/>
  <c r="H35" i="14" s="1"/>
  <c r="F35" i="14"/>
  <c r="E36" i="14"/>
  <c r="G36" i="14" s="1"/>
  <c r="H36" i="14" s="1"/>
  <c r="F36" i="14"/>
  <c r="E37" i="14"/>
  <c r="G37" i="14" s="1"/>
  <c r="H37" i="14" s="1"/>
  <c r="F37" i="14"/>
  <c r="E38" i="14"/>
  <c r="G38" i="14" s="1"/>
  <c r="H38" i="14" s="1"/>
  <c r="F38" i="14"/>
  <c r="E39" i="14"/>
  <c r="G39" i="14" s="1"/>
  <c r="H39" i="14" s="1"/>
  <c r="F39" i="14"/>
  <c r="E40" i="14"/>
  <c r="H40" i="14" s="1"/>
  <c r="F40" i="14"/>
  <c r="E41" i="14"/>
  <c r="G41" i="14" s="1"/>
  <c r="H41" i="14" s="1"/>
  <c r="F41" i="14"/>
  <c r="E42" i="14"/>
  <c r="G42" i="14" s="1"/>
  <c r="H42" i="14" s="1"/>
  <c r="F42" i="14"/>
  <c r="E43" i="14"/>
  <c r="G43" i="14" s="1"/>
  <c r="H43" i="14" s="1"/>
  <c r="F43" i="14"/>
  <c r="E44" i="14"/>
  <c r="G44" i="14" s="1"/>
  <c r="H44" i="14" s="1"/>
  <c r="F44" i="14"/>
  <c r="E45" i="14"/>
  <c r="G45" i="14" s="1"/>
  <c r="H45" i="14" s="1"/>
  <c r="F45" i="14"/>
  <c r="F3" i="14"/>
  <c r="E3" i="14"/>
  <c r="G52" i="13"/>
  <c r="G53" i="13"/>
  <c r="G42" i="13"/>
  <c r="G41" i="13"/>
  <c r="G26" i="13"/>
  <c r="G14" i="13"/>
  <c r="G5" i="13"/>
  <c r="E4" i="13"/>
  <c r="G4" i="13" s="1"/>
  <c r="H4" i="13" s="1"/>
  <c r="F4" i="13"/>
  <c r="E5" i="13"/>
  <c r="H5" i="13" s="1"/>
  <c r="F5" i="13"/>
  <c r="E6" i="13"/>
  <c r="H6" i="13" s="1"/>
  <c r="F6" i="13"/>
  <c r="E7" i="13"/>
  <c r="H7" i="13" s="1"/>
  <c r="F7" i="13"/>
  <c r="E8" i="13"/>
  <c r="F8" i="13"/>
  <c r="G8" i="13" s="1"/>
  <c r="E9" i="13"/>
  <c r="F9" i="13"/>
  <c r="G9" i="13" s="1"/>
  <c r="E10" i="13"/>
  <c r="G10" i="13" s="1"/>
  <c r="H10" i="13" s="1"/>
  <c r="F10" i="13"/>
  <c r="E11" i="13"/>
  <c r="G11" i="13" s="1"/>
  <c r="H11" i="13" s="1"/>
  <c r="F11" i="13"/>
  <c r="E12" i="13"/>
  <c r="G12" i="13" s="1"/>
  <c r="H12" i="13" s="1"/>
  <c r="F12" i="13"/>
  <c r="E13" i="13"/>
  <c r="G13" i="13" s="1"/>
  <c r="H13" i="13" s="1"/>
  <c r="F13" i="13"/>
  <c r="E14" i="13"/>
  <c r="F14" i="13"/>
  <c r="E15" i="13"/>
  <c r="G15" i="13" s="1"/>
  <c r="H15" i="13" s="1"/>
  <c r="F15" i="13"/>
  <c r="E16" i="13"/>
  <c r="G16" i="13" s="1"/>
  <c r="H16" i="13" s="1"/>
  <c r="F16" i="13"/>
  <c r="E17" i="13"/>
  <c r="G17" i="13" s="1"/>
  <c r="H17" i="13" s="1"/>
  <c r="F17" i="13"/>
  <c r="E18" i="13"/>
  <c r="G18" i="13" s="1"/>
  <c r="H18" i="13" s="1"/>
  <c r="F18" i="13"/>
  <c r="E19" i="13"/>
  <c r="G19" i="13" s="1"/>
  <c r="H19" i="13" s="1"/>
  <c r="F19" i="13"/>
  <c r="E20" i="13"/>
  <c r="G20" i="13" s="1"/>
  <c r="H20" i="13" s="1"/>
  <c r="F20" i="13"/>
  <c r="E21" i="13"/>
  <c r="G21" i="13" s="1"/>
  <c r="H21" i="13" s="1"/>
  <c r="F21" i="13"/>
  <c r="E22" i="13"/>
  <c r="G22" i="13" s="1"/>
  <c r="H22" i="13" s="1"/>
  <c r="F22" i="13"/>
  <c r="E23" i="13"/>
  <c r="G23" i="13" s="1"/>
  <c r="H23" i="13" s="1"/>
  <c r="F23" i="13"/>
  <c r="E24" i="13"/>
  <c r="G24" i="13" s="1"/>
  <c r="H24" i="13" s="1"/>
  <c r="F24" i="13"/>
  <c r="E25" i="13"/>
  <c r="H25" i="13" s="1"/>
  <c r="F25" i="13"/>
  <c r="E26" i="13"/>
  <c r="H26" i="13" s="1"/>
  <c r="F26" i="13"/>
  <c r="E27" i="13"/>
  <c r="G27" i="13" s="1"/>
  <c r="H27" i="13" s="1"/>
  <c r="F27" i="13"/>
  <c r="E28" i="13"/>
  <c r="G28" i="13" s="1"/>
  <c r="H28" i="13" s="1"/>
  <c r="F28" i="13"/>
  <c r="E29" i="13"/>
  <c r="G29" i="13" s="1"/>
  <c r="H29" i="13" s="1"/>
  <c r="F29" i="13"/>
  <c r="E30" i="13"/>
  <c r="G30" i="13" s="1"/>
  <c r="H30" i="13" s="1"/>
  <c r="F30" i="13"/>
  <c r="E31" i="13"/>
  <c r="G31" i="13" s="1"/>
  <c r="H31" i="13" s="1"/>
  <c r="F31" i="13"/>
  <c r="E32" i="13"/>
  <c r="H32" i="13" s="1"/>
  <c r="F32" i="13"/>
  <c r="E33" i="13"/>
  <c r="G33" i="13" s="1"/>
  <c r="H33" i="13" s="1"/>
  <c r="F33" i="13"/>
  <c r="E34" i="13"/>
  <c r="G34" i="13" s="1"/>
  <c r="H34" i="13" s="1"/>
  <c r="F34" i="13"/>
  <c r="E35" i="13"/>
  <c r="G35" i="13" s="1"/>
  <c r="H35" i="13" s="1"/>
  <c r="F35" i="13"/>
  <c r="E36" i="13"/>
  <c r="G36" i="13" s="1"/>
  <c r="H36" i="13" s="1"/>
  <c r="F36" i="13"/>
  <c r="E37" i="13"/>
  <c r="G37" i="13" s="1"/>
  <c r="H37" i="13" s="1"/>
  <c r="F37" i="13"/>
  <c r="E38" i="13"/>
  <c r="G38" i="13" s="1"/>
  <c r="H38" i="13" s="1"/>
  <c r="F38" i="13"/>
  <c r="E39" i="13"/>
  <c r="G39" i="13" s="1"/>
  <c r="H39" i="13" s="1"/>
  <c r="F39" i="13"/>
  <c r="E40" i="13"/>
  <c r="G40" i="13" s="1"/>
  <c r="H40" i="13" s="1"/>
  <c r="F40" i="13"/>
  <c r="E41" i="13"/>
  <c r="F41" i="13"/>
  <c r="E42" i="13"/>
  <c r="F42" i="13"/>
  <c r="E43" i="13"/>
  <c r="G43" i="13" s="1"/>
  <c r="H43" i="13" s="1"/>
  <c r="F43" i="13"/>
  <c r="E44" i="13"/>
  <c r="H44" i="13" s="1"/>
  <c r="F44" i="13"/>
  <c r="E45" i="13"/>
  <c r="G45" i="13" s="1"/>
  <c r="H45" i="13" s="1"/>
  <c r="F45" i="13"/>
  <c r="E46" i="13"/>
  <c r="G46" i="13" s="1"/>
  <c r="H46" i="13" s="1"/>
  <c r="F46" i="13"/>
  <c r="E47" i="13"/>
  <c r="G47" i="13" s="1"/>
  <c r="H47" i="13" s="1"/>
  <c r="F47" i="13"/>
  <c r="E48" i="13"/>
  <c r="G48" i="13" s="1"/>
  <c r="H48" i="13" s="1"/>
  <c r="F48" i="13"/>
  <c r="E49" i="13"/>
  <c r="G49" i="13" s="1"/>
  <c r="H49" i="13" s="1"/>
  <c r="F49" i="13"/>
  <c r="E50" i="13"/>
  <c r="F50" i="13"/>
  <c r="G50" i="13" s="1"/>
  <c r="E51" i="13"/>
  <c r="G51" i="13" s="1"/>
  <c r="H51" i="13" s="1"/>
  <c r="F51" i="13"/>
  <c r="E52" i="13"/>
  <c r="F52" i="13"/>
  <c r="E53" i="13"/>
  <c r="F53" i="13"/>
  <c r="E54" i="13"/>
  <c r="G54" i="13" s="1"/>
  <c r="H54" i="13" s="1"/>
  <c r="F54" i="13"/>
  <c r="E55" i="13"/>
  <c r="G55" i="13" s="1"/>
  <c r="H55" i="13" s="1"/>
  <c r="F55" i="13"/>
  <c r="E56" i="13"/>
  <c r="G56" i="13" s="1"/>
  <c r="H56" i="13" s="1"/>
  <c r="F56" i="13"/>
  <c r="E57" i="13"/>
  <c r="G57" i="13" s="1"/>
  <c r="H57" i="13" s="1"/>
  <c r="F57" i="13"/>
  <c r="E58" i="13"/>
  <c r="G58" i="13" s="1"/>
  <c r="H58" i="13" s="1"/>
  <c r="F58" i="13"/>
  <c r="E59" i="13"/>
  <c r="G59" i="13" s="1"/>
  <c r="H59" i="13" s="1"/>
  <c r="F59" i="13"/>
  <c r="E60" i="13"/>
  <c r="G60" i="13" s="1"/>
  <c r="H60" i="13" s="1"/>
  <c r="F60" i="13"/>
  <c r="E61" i="13"/>
  <c r="G61" i="13" s="1"/>
  <c r="H61" i="13" s="1"/>
  <c r="F61" i="13"/>
  <c r="E62" i="13"/>
  <c r="G62" i="13" s="1"/>
  <c r="H62" i="13" s="1"/>
  <c r="F62" i="13"/>
  <c r="E63" i="13"/>
  <c r="G63" i="13" s="1"/>
  <c r="H63" i="13" s="1"/>
  <c r="F63" i="13"/>
  <c r="E64" i="13"/>
  <c r="G64" i="13" s="1"/>
  <c r="H64" i="13" s="1"/>
  <c r="F64" i="13"/>
  <c r="G3" i="13"/>
  <c r="H3" i="13" s="1"/>
  <c r="F3" i="13"/>
  <c r="E3" i="13"/>
  <c r="E4" i="12"/>
  <c r="F4" i="12"/>
  <c r="G4" i="12" s="1"/>
  <c r="H4" i="12" s="1"/>
  <c r="E5" i="12"/>
  <c r="F5" i="12"/>
  <c r="G5" i="12" s="1"/>
  <c r="H5" i="12" s="1"/>
  <c r="E6" i="12"/>
  <c r="F6" i="12"/>
  <c r="G6" i="12" s="1"/>
  <c r="H6" i="12" s="1"/>
  <c r="E7" i="12"/>
  <c r="F7" i="12"/>
  <c r="G7" i="12" s="1"/>
  <c r="H7" i="12" s="1"/>
  <c r="E8" i="12"/>
  <c r="F8" i="12"/>
  <c r="G8" i="12" s="1"/>
  <c r="H8" i="12" s="1"/>
  <c r="E9" i="12"/>
  <c r="F9" i="12"/>
  <c r="G9" i="12" s="1"/>
  <c r="H9" i="12" s="1"/>
  <c r="E10" i="12"/>
  <c r="F10" i="12"/>
  <c r="G10" i="12" s="1"/>
  <c r="H10" i="12" s="1"/>
  <c r="E11" i="12"/>
  <c r="F11" i="12"/>
  <c r="G11" i="12" s="1"/>
  <c r="H11" i="12" s="1"/>
  <c r="E12" i="12"/>
  <c r="F12" i="12"/>
  <c r="G12" i="12" s="1"/>
  <c r="H12" i="12" s="1"/>
  <c r="E13" i="12"/>
  <c r="F13" i="12"/>
  <c r="G13" i="12" s="1"/>
  <c r="H13" i="12" s="1"/>
  <c r="E14" i="12"/>
  <c r="F14" i="12"/>
  <c r="G14" i="12" s="1"/>
  <c r="H14" i="12" s="1"/>
  <c r="E15" i="12"/>
  <c r="F15" i="12"/>
  <c r="H15" i="12" s="1"/>
  <c r="E16" i="12"/>
  <c r="F16" i="12"/>
  <c r="G16" i="12" s="1"/>
  <c r="H16" i="12" s="1"/>
  <c r="E17" i="12"/>
  <c r="F17" i="12"/>
  <c r="G17" i="12" s="1"/>
  <c r="H17" i="12" s="1"/>
  <c r="E18" i="12"/>
  <c r="F18" i="12"/>
  <c r="G18" i="12" s="1"/>
  <c r="H18" i="12" s="1"/>
  <c r="E19" i="12"/>
  <c r="F19" i="12"/>
  <c r="G19" i="12" s="1"/>
  <c r="H19" i="12" s="1"/>
  <c r="E20" i="12"/>
  <c r="F20" i="12"/>
  <c r="G20" i="12" s="1"/>
  <c r="H20" i="12" s="1"/>
  <c r="E21" i="12"/>
  <c r="F21" i="12"/>
  <c r="G21" i="12" s="1"/>
  <c r="H21" i="12" s="1"/>
  <c r="E22" i="12"/>
  <c r="F22" i="12"/>
  <c r="G22" i="12" s="1"/>
  <c r="H22" i="12" s="1"/>
  <c r="E23" i="12"/>
  <c r="F23" i="12"/>
  <c r="G23" i="12" s="1"/>
  <c r="H23" i="12" s="1"/>
  <c r="E24" i="12"/>
  <c r="F24" i="12"/>
  <c r="G24" i="12" s="1"/>
  <c r="H24" i="12" s="1"/>
  <c r="E25" i="12"/>
  <c r="F25" i="12"/>
  <c r="G25" i="12" s="1"/>
  <c r="H25" i="12" s="1"/>
  <c r="E26" i="12"/>
  <c r="F26" i="12"/>
  <c r="H26" i="12" s="1"/>
  <c r="E27" i="12"/>
  <c r="F27" i="12"/>
  <c r="G27" i="12" s="1"/>
  <c r="H27" i="12" s="1"/>
  <c r="E28" i="12"/>
  <c r="F28" i="12"/>
  <c r="G28" i="12" s="1"/>
  <c r="H28" i="12" s="1"/>
  <c r="E29" i="12"/>
  <c r="F29" i="12"/>
  <c r="G29" i="12" s="1"/>
  <c r="H29" i="12" s="1"/>
  <c r="E30" i="12"/>
  <c r="F30" i="12"/>
  <c r="G30" i="12" s="1"/>
  <c r="H30" i="12" s="1"/>
  <c r="E31" i="12"/>
  <c r="F31" i="12"/>
  <c r="G31" i="12" s="1"/>
  <c r="H31" i="12" s="1"/>
  <c r="E32" i="12"/>
  <c r="F32" i="12"/>
  <c r="G32" i="12" s="1"/>
  <c r="H32" i="12" s="1"/>
  <c r="E33" i="12"/>
  <c r="F33" i="12"/>
  <c r="G33" i="12" s="1"/>
  <c r="H33" i="12" s="1"/>
  <c r="E34" i="12"/>
  <c r="F34" i="12"/>
  <c r="G34" i="12" s="1"/>
  <c r="H34" i="12" s="1"/>
  <c r="E35" i="12"/>
  <c r="F35" i="12"/>
  <c r="G35" i="12" s="1"/>
  <c r="H35" i="12" s="1"/>
  <c r="E36" i="12"/>
  <c r="F36" i="12"/>
  <c r="G36" i="12" s="1"/>
  <c r="H36" i="12" s="1"/>
  <c r="E37" i="12"/>
  <c r="F37" i="12"/>
  <c r="G37" i="12" s="1"/>
  <c r="H37" i="12" s="1"/>
  <c r="E38" i="12"/>
  <c r="F38" i="12"/>
  <c r="G38" i="12" s="1"/>
  <c r="H38" i="12" s="1"/>
  <c r="E39" i="12"/>
  <c r="F39" i="12"/>
  <c r="G39" i="12" s="1"/>
  <c r="H39" i="12" s="1"/>
  <c r="E40" i="12"/>
  <c r="F40" i="12"/>
  <c r="G40" i="12" s="1"/>
  <c r="H40" i="12" s="1"/>
  <c r="E41" i="12"/>
  <c r="F41" i="12"/>
  <c r="G41" i="12" s="1"/>
  <c r="E42" i="12"/>
  <c r="F42" i="12"/>
  <c r="G42" i="12" s="1"/>
  <c r="E43" i="12"/>
  <c r="F43" i="12"/>
  <c r="G43" i="12" s="1"/>
  <c r="H43" i="12" s="1"/>
  <c r="E44" i="12"/>
  <c r="F44" i="12"/>
  <c r="G44" i="12" s="1"/>
  <c r="H44" i="12" s="1"/>
  <c r="E45" i="12"/>
  <c r="F45" i="12"/>
  <c r="G45" i="12" s="1"/>
  <c r="H45" i="12" s="1"/>
  <c r="E46" i="12"/>
  <c r="F46" i="12"/>
  <c r="G46" i="12" s="1"/>
  <c r="H46" i="12" s="1"/>
  <c r="E47" i="12"/>
  <c r="F47" i="12"/>
  <c r="G47" i="12" s="1"/>
  <c r="H47" i="12" s="1"/>
  <c r="E48" i="12"/>
  <c r="F48" i="12"/>
  <c r="G48" i="12" s="1"/>
  <c r="H48" i="12" s="1"/>
  <c r="E49" i="12"/>
  <c r="F49" i="12"/>
  <c r="G49" i="12" s="1"/>
  <c r="H49" i="12" s="1"/>
  <c r="E50" i="12"/>
  <c r="F50" i="12"/>
  <c r="G50" i="12" s="1"/>
  <c r="H50" i="12" s="1"/>
  <c r="F3" i="12"/>
  <c r="E3" i="12"/>
  <c r="G38" i="11"/>
  <c r="G20" i="11"/>
  <c r="G11" i="11"/>
  <c r="G5" i="11"/>
  <c r="G3" i="11"/>
  <c r="E4" i="11"/>
  <c r="F4" i="11"/>
  <c r="G4" i="11" s="1"/>
  <c r="E5" i="11"/>
  <c r="F5" i="11"/>
  <c r="E6" i="11"/>
  <c r="G6" i="11" s="1"/>
  <c r="H6" i="11" s="1"/>
  <c r="F6" i="11"/>
  <c r="E7" i="11"/>
  <c r="H7" i="11" s="1"/>
  <c r="F7" i="11"/>
  <c r="E8" i="11"/>
  <c r="G8" i="11" s="1"/>
  <c r="H8" i="11" s="1"/>
  <c r="F8" i="11"/>
  <c r="E9" i="11"/>
  <c r="G9" i="11" s="1"/>
  <c r="H9" i="11" s="1"/>
  <c r="F9" i="11"/>
  <c r="E10" i="11"/>
  <c r="G10" i="11" s="1"/>
  <c r="H10" i="11" s="1"/>
  <c r="F10" i="11"/>
  <c r="E11" i="11"/>
  <c r="F11" i="11"/>
  <c r="E12" i="11"/>
  <c r="F12" i="11"/>
  <c r="G12" i="11" s="1"/>
  <c r="E13" i="11"/>
  <c r="G13" i="11" s="1"/>
  <c r="H13" i="11" s="1"/>
  <c r="F13" i="11"/>
  <c r="E14" i="11"/>
  <c r="G14" i="11" s="1"/>
  <c r="H14" i="11" s="1"/>
  <c r="F14" i="11"/>
  <c r="E15" i="11"/>
  <c r="G15" i="11" s="1"/>
  <c r="H15" i="11" s="1"/>
  <c r="F15" i="11"/>
  <c r="E16" i="11"/>
  <c r="G16" i="11" s="1"/>
  <c r="H16" i="11" s="1"/>
  <c r="F16" i="11"/>
  <c r="E17" i="11"/>
  <c r="G17" i="11" s="1"/>
  <c r="H17" i="11" s="1"/>
  <c r="F17" i="11"/>
  <c r="E18" i="11"/>
  <c r="G18" i="11" s="1"/>
  <c r="H18" i="11" s="1"/>
  <c r="F18" i="11"/>
  <c r="E19" i="11"/>
  <c r="G19" i="11" s="1"/>
  <c r="H19" i="11" s="1"/>
  <c r="F19" i="11"/>
  <c r="E20" i="11"/>
  <c r="H20" i="11" s="1"/>
  <c r="E21" i="11"/>
  <c r="G21" i="11" s="1"/>
  <c r="H21" i="11" s="1"/>
  <c r="F21" i="11"/>
  <c r="E22" i="11"/>
  <c r="G22" i="11" s="1"/>
  <c r="H22" i="11" s="1"/>
  <c r="F22" i="11"/>
  <c r="E23" i="11"/>
  <c r="G23" i="11" s="1"/>
  <c r="H23" i="11" s="1"/>
  <c r="F23" i="11"/>
  <c r="E24" i="11"/>
  <c r="G24" i="11" s="1"/>
  <c r="H24" i="11" s="1"/>
  <c r="F24" i="11"/>
  <c r="E25" i="11"/>
  <c r="G25" i="11" s="1"/>
  <c r="H25" i="11" s="1"/>
  <c r="F25" i="11"/>
  <c r="E26" i="11"/>
  <c r="G26" i="11" s="1"/>
  <c r="H26" i="11" s="1"/>
  <c r="F26" i="11"/>
  <c r="E27" i="11"/>
  <c r="H27" i="11" s="1"/>
  <c r="F27" i="11"/>
  <c r="E28" i="11"/>
  <c r="H28" i="11" s="1"/>
  <c r="F28" i="11"/>
  <c r="E29" i="11"/>
  <c r="G29" i="11" s="1"/>
  <c r="H29" i="11" s="1"/>
  <c r="F29" i="11"/>
  <c r="E30" i="11"/>
  <c r="H30" i="11" s="1"/>
  <c r="F30" i="11"/>
  <c r="E31" i="11"/>
  <c r="G31" i="11" s="1"/>
  <c r="H31" i="11" s="1"/>
  <c r="F31" i="11"/>
  <c r="E32" i="11"/>
  <c r="F32" i="11"/>
  <c r="G32" i="11" s="1"/>
  <c r="E33" i="11"/>
  <c r="G33" i="11" s="1"/>
  <c r="H33" i="11" s="1"/>
  <c r="F33" i="11"/>
  <c r="E34" i="11"/>
  <c r="G34" i="11" s="1"/>
  <c r="H34" i="11" s="1"/>
  <c r="F34" i="11"/>
  <c r="E35" i="11"/>
  <c r="G35" i="11" s="1"/>
  <c r="H35" i="11" s="1"/>
  <c r="F35" i="11"/>
  <c r="E36" i="11"/>
  <c r="G36" i="11" s="1"/>
  <c r="H36" i="11" s="1"/>
  <c r="F36" i="11"/>
  <c r="E37" i="11"/>
  <c r="G37" i="11" s="1"/>
  <c r="H37" i="11" s="1"/>
  <c r="F37" i="11"/>
  <c r="E38" i="11"/>
  <c r="F38" i="11"/>
  <c r="E39" i="11"/>
  <c r="G39" i="11" s="1"/>
  <c r="H39" i="11" s="1"/>
  <c r="F39" i="11"/>
  <c r="E40" i="11"/>
  <c r="H40" i="11" s="1"/>
  <c r="F40" i="11"/>
  <c r="E41" i="11"/>
  <c r="G41" i="11" s="1"/>
  <c r="H41" i="11" s="1"/>
  <c r="F41" i="11"/>
  <c r="E42" i="11"/>
  <c r="G42" i="11" s="1"/>
  <c r="H42" i="11" s="1"/>
  <c r="F42" i="11"/>
  <c r="E43" i="11"/>
  <c r="G43" i="11" s="1"/>
  <c r="H43" i="11" s="1"/>
  <c r="F43" i="11"/>
  <c r="E44" i="11"/>
  <c r="H44" i="11" s="1"/>
  <c r="F44" i="11"/>
  <c r="E45" i="11"/>
  <c r="G45" i="11" s="1"/>
  <c r="H45" i="11" s="1"/>
  <c r="F45" i="11"/>
  <c r="F3" i="11"/>
  <c r="E3" i="11"/>
  <c r="G37" i="9"/>
  <c r="G4" i="9"/>
  <c r="E4" i="9"/>
  <c r="F4" i="9"/>
  <c r="E5" i="9"/>
  <c r="F5" i="9"/>
  <c r="G5" i="9" s="1"/>
  <c r="E6" i="9"/>
  <c r="G6" i="9" s="1"/>
  <c r="H6" i="9" s="1"/>
  <c r="F6" i="9"/>
  <c r="E7" i="9"/>
  <c r="F7" i="9"/>
  <c r="G7" i="9" s="1"/>
  <c r="E8" i="9"/>
  <c r="G8" i="9" s="1"/>
  <c r="H8" i="9" s="1"/>
  <c r="F8" i="9"/>
  <c r="E9" i="9"/>
  <c r="G9" i="9" s="1"/>
  <c r="H9" i="9" s="1"/>
  <c r="F9" i="9"/>
  <c r="E10" i="9"/>
  <c r="G10" i="9" s="1"/>
  <c r="H10" i="9" s="1"/>
  <c r="F10" i="9"/>
  <c r="E11" i="9"/>
  <c r="G11" i="9" s="1"/>
  <c r="H11" i="9" s="1"/>
  <c r="F11" i="9"/>
  <c r="E12" i="9"/>
  <c r="G12" i="9" s="1"/>
  <c r="H12" i="9" s="1"/>
  <c r="F12" i="9"/>
  <c r="E13" i="9"/>
  <c r="G13" i="9" s="1"/>
  <c r="H13" i="9" s="1"/>
  <c r="F13" i="9"/>
  <c r="E14" i="9"/>
  <c r="H14" i="9" s="1"/>
  <c r="F14" i="9"/>
  <c r="E15" i="9"/>
  <c r="G15" i="9" s="1"/>
  <c r="H15" i="9" s="1"/>
  <c r="F15" i="9"/>
  <c r="E16" i="9"/>
  <c r="G16" i="9" s="1"/>
  <c r="H16" i="9" s="1"/>
  <c r="F16" i="9"/>
  <c r="E17" i="9"/>
  <c r="G17" i="9" s="1"/>
  <c r="H17" i="9" s="1"/>
  <c r="F17" i="9"/>
  <c r="E18" i="9"/>
  <c r="H18" i="9" s="1"/>
  <c r="F18" i="9"/>
  <c r="E19" i="9"/>
  <c r="G19" i="9" s="1"/>
  <c r="H19" i="9" s="1"/>
  <c r="F19" i="9"/>
  <c r="E20" i="9"/>
  <c r="G20" i="9" s="1"/>
  <c r="H20" i="9" s="1"/>
  <c r="F20" i="9"/>
  <c r="E21" i="9"/>
  <c r="G21" i="9" s="1"/>
  <c r="H21" i="9" s="1"/>
  <c r="F21" i="9"/>
  <c r="E22" i="9"/>
  <c r="H22" i="9" s="1"/>
  <c r="F22" i="9"/>
  <c r="E23" i="9"/>
  <c r="F23" i="9"/>
  <c r="G23" i="9" s="1"/>
  <c r="E24" i="9"/>
  <c r="F24" i="9"/>
  <c r="G24" i="9" s="1"/>
  <c r="E25" i="9"/>
  <c r="G25" i="9" s="1"/>
  <c r="H25" i="9" s="1"/>
  <c r="F25" i="9"/>
  <c r="E26" i="9"/>
  <c r="G26" i="9" s="1"/>
  <c r="H26" i="9" s="1"/>
  <c r="F26" i="9"/>
  <c r="E27" i="9"/>
  <c r="G27" i="9" s="1"/>
  <c r="H27" i="9" s="1"/>
  <c r="F27" i="9"/>
  <c r="E28" i="9"/>
  <c r="H28" i="9" s="1"/>
  <c r="F28" i="9"/>
  <c r="E29" i="9"/>
  <c r="G29" i="9" s="1"/>
  <c r="H29" i="9" s="1"/>
  <c r="F29" i="9"/>
  <c r="E30" i="9"/>
  <c r="G30" i="9" s="1"/>
  <c r="H30" i="9" s="1"/>
  <c r="F30" i="9"/>
  <c r="E31" i="9"/>
  <c r="G31" i="9" s="1"/>
  <c r="H31" i="9" s="1"/>
  <c r="F31" i="9"/>
  <c r="E32" i="9"/>
  <c r="H32" i="9" s="1"/>
  <c r="F32" i="9"/>
  <c r="E33" i="9"/>
  <c r="G33" i="9" s="1"/>
  <c r="H33" i="9" s="1"/>
  <c r="F33" i="9"/>
  <c r="E34" i="9"/>
  <c r="G34" i="9" s="1"/>
  <c r="H34" i="9" s="1"/>
  <c r="F34" i="9"/>
  <c r="E35" i="9"/>
  <c r="F35" i="9"/>
  <c r="G35" i="9" s="1"/>
  <c r="E36" i="9"/>
  <c r="G36" i="9" s="1"/>
  <c r="H36" i="9" s="1"/>
  <c r="F36" i="9"/>
  <c r="E37" i="9"/>
  <c r="E38" i="9"/>
  <c r="G38" i="9" s="1"/>
  <c r="H38" i="9" s="1"/>
  <c r="F38" i="9"/>
  <c r="E39" i="9"/>
  <c r="G39" i="9" s="1"/>
  <c r="H39" i="9" s="1"/>
  <c r="F39" i="9"/>
  <c r="E40" i="9"/>
  <c r="G40" i="9" s="1"/>
  <c r="H40" i="9" s="1"/>
  <c r="F40" i="9"/>
  <c r="E41" i="9"/>
  <c r="G41" i="9" s="1"/>
  <c r="H41" i="9" s="1"/>
  <c r="F41" i="9"/>
  <c r="E42" i="9"/>
  <c r="G42" i="9" s="1"/>
  <c r="H42" i="9" s="1"/>
  <c r="F42" i="9"/>
  <c r="E43" i="9"/>
  <c r="G43" i="9" s="1"/>
  <c r="H43" i="9" s="1"/>
  <c r="F43" i="9"/>
  <c r="E44" i="9"/>
  <c r="H44" i="9" s="1"/>
  <c r="F44" i="9"/>
  <c r="E45" i="9"/>
  <c r="F45" i="9"/>
  <c r="G45" i="9" s="1"/>
  <c r="E46" i="9"/>
  <c r="G46" i="9" s="1"/>
  <c r="H46" i="9" s="1"/>
  <c r="F46" i="9"/>
  <c r="E47" i="9"/>
  <c r="H47" i="9" s="1"/>
  <c r="F47" i="9"/>
  <c r="E48" i="9"/>
  <c r="G48" i="9" s="1"/>
  <c r="H48" i="9" s="1"/>
  <c r="F48" i="9"/>
  <c r="E49" i="9"/>
  <c r="G49" i="9" s="1"/>
  <c r="H49" i="9" s="1"/>
  <c r="F49" i="9"/>
  <c r="E50" i="9"/>
  <c r="G50" i="9" s="1"/>
  <c r="H50" i="9" s="1"/>
  <c r="F50" i="9"/>
  <c r="E51" i="9"/>
  <c r="G51" i="9" s="1"/>
  <c r="H51" i="9" s="1"/>
  <c r="F51" i="9"/>
  <c r="E52" i="9"/>
  <c r="G52" i="9" s="1"/>
  <c r="H52" i="9" s="1"/>
  <c r="F52" i="9"/>
  <c r="E53" i="9"/>
  <c r="G53" i="9" s="1"/>
  <c r="H53" i="9" s="1"/>
  <c r="F53" i="9"/>
  <c r="E54" i="9"/>
  <c r="G54" i="9" s="1"/>
  <c r="H54" i="9" s="1"/>
  <c r="F54" i="9"/>
  <c r="E55" i="9"/>
  <c r="G55" i="9" s="1"/>
  <c r="H55" i="9" s="1"/>
  <c r="F55" i="9"/>
  <c r="E56" i="9"/>
  <c r="F56" i="9"/>
  <c r="G56" i="9" s="1"/>
  <c r="E57" i="9"/>
  <c r="F57" i="9"/>
  <c r="G57" i="9" s="1"/>
  <c r="E58" i="9"/>
  <c r="F58" i="9"/>
  <c r="G58" i="9" s="1"/>
  <c r="E59" i="9"/>
  <c r="G59" i="9" s="1"/>
  <c r="H59" i="9" s="1"/>
  <c r="F59" i="9"/>
  <c r="E60" i="9"/>
  <c r="G60" i="9" s="1"/>
  <c r="H60" i="9" s="1"/>
  <c r="F60" i="9"/>
  <c r="F3" i="9"/>
  <c r="E3" i="9"/>
  <c r="H3" i="9" s="1"/>
  <c r="G27" i="10"/>
  <c r="G17" i="10"/>
  <c r="G7" i="10"/>
  <c r="G6" i="10"/>
  <c r="E4" i="10"/>
  <c r="F4" i="10"/>
  <c r="G4" i="10" s="1"/>
  <c r="E5" i="10"/>
  <c r="G5" i="10" s="1"/>
  <c r="H5" i="10" s="1"/>
  <c r="F5" i="10"/>
  <c r="E6" i="10"/>
  <c r="F6" i="10"/>
  <c r="E7" i="10"/>
  <c r="F7" i="10"/>
  <c r="E8" i="10"/>
  <c r="G8" i="10" s="1"/>
  <c r="H8" i="10" s="1"/>
  <c r="F8" i="10"/>
  <c r="E9" i="10"/>
  <c r="G9" i="10" s="1"/>
  <c r="H9" i="10" s="1"/>
  <c r="F9" i="10"/>
  <c r="E10" i="10"/>
  <c r="G10" i="10" s="1"/>
  <c r="H10" i="10" s="1"/>
  <c r="F10" i="10"/>
  <c r="E11" i="10"/>
  <c r="G11" i="10" s="1"/>
  <c r="H11" i="10" s="1"/>
  <c r="F11" i="10"/>
  <c r="E12" i="10"/>
  <c r="G12" i="10" s="1"/>
  <c r="H12" i="10" s="1"/>
  <c r="F12" i="10"/>
  <c r="E13" i="10"/>
  <c r="G13" i="10" s="1"/>
  <c r="H13" i="10" s="1"/>
  <c r="F13" i="10"/>
  <c r="E14" i="10"/>
  <c r="G14" i="10" s="1"/>
  <c r="H14" i="10" s="1"/>
  <c r="F14" i="10"/>
  <c r="E15" i="10"/>
  <c r="G15" i="10" s="1"/>
  <c r="H15" i="10" s="1"/>
  <c r="F15" i="10"/>
  <c r="E16" i="10"/>
  <c r="G16" i="10" s="1"/>
  <c r="H16" i="10" s="1"/>
  <c r="F16" i="10"/>
  <c r="E17" i="10"/>
  <c r="F17" i="10"/>
  <c r="E18" i="10"/>
  <c r="F18" i="10"/>
  <c r="G18" i="10" s="1"/>
  <c r="E19" i="10"/>
  <c r="G19" i="10" s="1"/>
  <c r="H19" i="10" s="1"/>
  <c r="F19" i="10"/>
  <c r="E20" i="10"/>
  <c r="G20" i="10" s="1"/>
  <c r="H20" i="10" s="1"/>
  <c r="F20" i="10"/>
  <c r="E21" i="10"/>
  <c r="G21" i="10" s="1"/>
  <c r="H21" i="10" s="1"/>
  <c r="F21" i="10"/>
  <c r="E22" i="10"/>
  <c r="G22" i="10" s="1"/>
  <c r="H22" i="10" s="1"/>
  <c r="F22" i="10"/>
  <c r="E23" i="10"/>
  <c r="G23" i="10" s="1"/>
  <c r="H23" i="10" s="1"/>
  <c r="F23" i="10"/>
  <c r="E24" i="10"/>
  <c r="G24" i="10" s="1"/>
  <c r="H24" i="10" s="1"/>
  <c r="F24" i="10"/>
  <c r="E25" i="10"/>
  <c r="G25" i="10" s="1"/>
  <c r="H25" i="10" s="1"/>
  <c r="F25" i="10"/>
  <c r="E26" i="10"/>
  <c r="G26" i="10" s="1"/>
  <c r="H26" i="10" s="1"/>
  <c r="F26" i="10"/>
  <c r="E27" i="10"/>
  <c r="F27" i="10"/>
  <c r="E28" i="10"/>
  <c r="F28" i="10"/>
  <c r="G28" i="10" s="1"/>
  <c r="E29" i="10"/>
  <c r="G29" i="10" s="1"/>
  <c r="H29" i="10" s="1"/>
  <c r="F29" i="10"/>
  <c r="E30" i="10"/>
  <c r="G30" i="10" s="1"/>
  <c r="H30" i="10" s="1"/>
  <c r="F30" i="10"/>
  <c r="E31" i="10"/>
  <c r="G31" i="10" s="1"/>
  <c r="H31" i="10" s="1"/>
  <c r="F31" i="10"/>
  <c r="E32" i="10"/>
  <c r="H32" i="10" s="1"/>
  <c r="F32" i="10"/>
  <c r="E33" i="10"/>
  <c r="G33" i="10" s="1"/>
  <c r="H33" i="10" s="1"/>
  <c r="F33" i="10"/>
  <c r="E34" i="10"/>
  <c r="G34" i="10" s="1"/>
  <c r="H34" i="10" s="1"/>
  <c r="F34" i="10"/>
  <c r="E35" i="10"/>
  <c r="H35" i="10" s="1"/>
  <c r="F35" i="10"/>
  <c r="E36" i="10"/>
  <c r="G36" i="10" s="1"/>
  <c r="H36" i="10" s="1"/>
  <c r="F36" i="10"/>
  <c r="E37" i="10"/>
  <c r="G37" i="10" s="1"/>
  <c r="H37" i="10" s="1"/>
  <c r="F37" i="10"/>
  <c r="E38" i="10"/>
  <c r="G38" i="10" s="1"/>
  <c r="H38" i="10" s="1"/>
  <c r="F38" i="10"/>
  <c r="E39" i="10"/>
  <c r="G39" i="10" s="1"/>
  <c r="H39" i="10" s="1"/>
  <c r="F39" i="10"/>
  <c r="E40" i="10"/>
  <c r="G40" i="10" s="1"/>
  <c r="H40" i="10" s="1"/>
  <c r="F40" i="10"/>
  <c r="E41" i="10"/>
  <c r="G41" i="10" s="1"/>
  <c r="H41" i="10" s="1"/>
  <c r="F41" i="10"/>
  <c r="F3" i="10"/>
  <c r="E3" i="10"/>
  <c r="G3" i="10" s="1"/>
  <c r="H3" i="10" s="1"/>
  <c r="G43" i="8"/>
  <c r="F43" i="8"/>
  <c r="G48" i="8"/>
  <c r="G47" i="8"/>
  <c r="G45" i="8"/>
  <c r="H45" i="8" s="1"/>
  <c r="G8" i="8"/>
  <c r="G7" i="8"/>
  <c r="H7" i="8" s="1"/>
  <c r="H4" i="8"/>
  <c r="H5" i="8"/>
  <c r="H6" i="8"/>
  <c r="H8" i="8"/>
  <c r="H9" i="8"/>
  <c r="H10" i="8"/>
  <c r="H13" i="8"/>
  <c r="H25" i="8"/>
  <c r="H26" i="8"/>
  <c r="H27" i="8"/>
  <c r="H28" i="8"/>
  <c r="H30" i="8"/>
  <c r="H31" i="8"/>
  <c r="H32" i="8"/>
  <c r="H33" i="8"/>
  <c r="H36" i="8"/>
  <c r="H41" i="8"/>
  <c r="H43" i="8"/>
  <c r="H47" i="8"/>
  <c r="H48" i="8"/>
  <c r="H52" i="8"/>
  <c r="H55" i="8"/>
  <c r="H56" i="8"/>
  <c r="H57" i="8"/>
  <c r="E4" i="8"/>
  <c r="G4" i="8" s="1"/>
  <c r="F4" i="8"/>
  <c r="E5" i="8"/>
  <c r="F5" i="8"/>
  <c r="E6" i="8"/>
  <c r="G6" i="8" s="1"/>
  <c r="F6" i="8"/>
  <c r="E7" i="8"/>
  <c r="F7" i="8"/>
  <c r="E8" i="8"/>
  <c r="F8" i="8"/>
  <c r="E9" i="8"/>
  <c r="G9" i="8" s="1"/>
  <c r="F9" i="8"/>
  <c r="E10" i="8"/>
  <c r="G10" i="8" s="1"/>
  <c r="F10" i="8"/>
  <c r="E11" i="8"/>
  <c r="F11" i="8"/>
  <c r="G11" i="8"/>
  <c r="H11" i="8" s="1"/>
  <c r="E12" i="8"/>
  <c r="G12" i="8" s="1"/>
  <c r="H12" i="8" s="1"/>
  <c r="F12" i="8"/>
  <c r="E13" i="8"/>
  <c r="G13" i="8" s="1"/>
  <c r="F13" i="8"/>
  <c r="E14" i="8"/>
  <c r="G14" i="8" s="1"/>
  <c r="H14" i="8" s="1"/>
  <c r="F14" i="8"/>
  <c r="E15" i="8"/>
  <c r="F15" i="8"/>
  <c r="G15" i="8" s="1"/>
  <c r="H15" i="8" s="1"/>
  <c r="E16" i="8"/>
  <c r="G16" i="8" s="1"/>
  <c r="H16" i="8" s="1"/>
  <c r="F16" i="8"/>
  <c r="E17" i="8"/>
  <c r="G17" i="8" s="1"/>
  <c r="H17" i="8" s="1"/>
  <c r="F17" i="8"/>
  <c r="E18" i="8"/>
  <c r="G18" i="8" s="1"/>
  <c r="H18" i="8" s="1"/>
  <c r="F18" i="8"/>
  <c r="E19" i="8"/>
  <c r="G19" i="8" s="1"/>
  <c r="H19" i="8" s="1"/>
  <c r="F19" i="8"/>
  <c r="E20" i="8"/>
  <c r="G20" i="8" s="1"/>
  <c r="H20" i="8" s="1"/>
  <c r="F20" i="8"/>
  <c r="E21" i="8"/>
  <c r="G21" i="8" s="1"/>
  <c r="H21" i="8" s="1"/>
  <c r="F21" i="8"/>
  <c r="E22" i="8"/>
  <c r="G22" i="8" s="1"/>
  <c r="H22" i="8" s="1"/>
  <c r="F22" i="8"/>
  <c r="E23" i="8"/>
  <c r="G23" i="8" s="1"/>
  <c r="H23" i="8" s="1"/>
  <c r="F23" i="8"/>
  <c r="E24" i="8"/>
  <c r="F24" i="8"/>
  <c r="G24" i="8" s="1"/>
  <c r="H24" i="8" s="1"/>
  <c r="E25" i="8"/>
  <c r="F25" i="8"/>
  <c r="G25" i="8"/>
  <c r="E26" i="8"/>
  <c r="G26" i="8" s="1"/>
  <c r="F26" i="8"/>
  <c r="E27" i="8"/>
  <c r="G27" i="8" s="1"/>
  <c r="F27" i="8"/>
  <c r="E28" i="8"/>
  <c r="G28" i="8" s="1"/>
  <c r="F28" i="8"/>
  <c r="E29" i="8"/>
  <c r="F29" i="8"/>
  <c r="G29" i="8"/>
  <c r="H29" i="8" s="1"/>
  <c r="E30" i="8"/>
  <c r="F30" i="8"/>
  <c r="E31" i="8"/>
  <c r="F31" i="8"/>
  <c r="E32" i="8"/>
  <c r="G32" i="8" s="1"/>
  <c r="F32" i="8"/>
  <c r="E33" i="8"/>
  <c r="F33" i="8"/>
  <c r="E34" i="8"/>
  <c r="G34" i="8" s="1"/>
  <c r="H34" i="8" s="1"/>
  <c r="F34" i="8"/>
  <c r="E35" i="8"/>
  <c r="F35" i="8"/>
  <c r="G35" i="8" s="1"/>
  <c r="H35" i="8" s="1"/>
  <c r="E36" i="8"/>
  <c r="G36" i="8" s="1"/>
  <c r="F36" i="8"/>
  <c r="E37" i="8"/>
  <c r="F37" i="8"/>
  <c r="G37" i="8" s="1"/>
  <c r="H37" i="8" s="1"/>
  <c r="E38" i="8"/>
  <c r="F38" i="8"/>
  <c r="G38" i="8" s="1"/>
  <c r="H38" i="8" s="1"/>
  <c r="E39" i="8"/>
  <c r="G39" i="8" s="1"/>
  <c r="H39" i="8" s="1"/>
  <c r="F39" i="8"/>
  <c r="E40" i="8"/>
  <c r="G40" i="8" s="1"/>
  <c r="H40" i="8" s="1"/>
  <c r="F40" i="8"/>
  <c r="E41" i="8"/>
  <c r="F41" i="8"/>
  <c r="E42" i="8"/>
  <c r="G42" i="8" s="1"/>
  <c r="H42" i="8" s="1"/>
  <c r="F42" i="8"/>
  <c r="E43" i="8"/>
  <c r="E44" i="8"/>
  <c r="G44" i="8" s="1"/>
  <c r="H44" i="8" s="1"/>
  <c r="F44" i="8"/>
  <c r="E45" i="8"/>
  <c r="E46" i="8"/>
  <c r="G46" i="8" s="1"/>
  <c r="H46" i="8" s="1"/>
  <c r="F46" i="8"/>
  <c r="E47" i="8"/>
  <c r="E48" i="8"/>
  <c r="E49" i="8"/>
  <c r="F49" i="8"/>
  <c r="G49" i="8"/>
  <c r="H49" i="8" s="1"/>
  <c r="E50" i="8"/>
  <c r="G50" i="8" s="1"/>
  <c r="H50" i="8" s="1"/>
  <c r="F50" i="8"/>
  <c r="E51" i="8"/>
  <c r="G51" i="8" s="1"/>
  <c r="H51" i="8" s="1"/>
  <c r="F51" i="8"/>
  <c r="E52" i="8"/>
  <c r="G52" i="8" s="1"/>
  <c r="F52" i="8"/>
  <c r="E53" i="8"/>
  <c r="G53" i="8" s="1"/>
  <c r="H53" i="8" s="1"/>
  <c r="F53" i="8"/>
  <c r="E54" i="8"/>
  <c r="G54" i="8" s="1"/>
  <c r="H54" i="8" s="1"/>
  <c r="F54" i="8"/>
  <c r="E55" i="8"/>
  <c r="G55" i="8" s="1"/>
  <c r="F55" i="8"/>
  <c r="E56" i="8"/>
  <c r="G56" i="8" s="1"/>
  <c r="F56" i="8"/>
  <c r="E57" i="8"/>
  <c r="F57" i="8"/>
  <c r="G57" i="8"/>
  <c r="E58" i="8"/>
  <c r="G58" i="8" s="1"/>
  <c r="H58" i="8" s="1"/>
  <c r="F58" i="8"/>
  <c r="F3" i="8"/>
  <c r="E3" i="8"/>
  <c r="G3" i="8" s="1"/>
  <c r="H3" i="8" s="1"/>
  <c r="G44" i="7"/>
  <c r="G40" i="7"/>
  <c r="G7" i="7"/>
  <c r="G5" i="7"/>
  <c r="E4" i="7"/>
  <c r="G4" i="7" s="1"/>
  <c r="H4" i="7" s="1"/>
  <c r="F4" i="7"/>
  <c r="E5" i="7"/>
  <c r="F5" i="7"/>
  <c r="E6" i="7"/>
  <c r="H6" i="7" s="1"/>
  <c r="F6" i="7"/>
  <c r="E7" i="7"/>
  <c r="F7" i="7"/>
  <c r="E8" i="7"/>
  <c r="G8" i="7" s="1"/>
  <c r="H8" i="7" s="1"/>
  <c r="F8" i="7"/>
  <c r="E9" i="7"/>
  <c r="G9" i="7" s="1"/>
  <c r="H9" i="7" s="1"/>
  <c r="F9" i="7"/>
  <c r="E10" i="7"/>
  <c r="G10" i="7" s="1"/>
  <c r="H10" i="7" s="1"/>
  <c r="F10" i="7"/>
  <c r="E11" i="7"/>
  <c r="G11" i="7" s="1"/>
  <c r="H11" i="7" s="1"/>
  <c r="F11" i="7"/>
  <c r="E12" i="7"/>
  <c r="G12" i="7" s="1"/>
  <c r="H12" i="7" s="1"/>
  <c r="F12" i="7"/>
  <c r="E13" i="7"/>
  <c r="G13" i="7" s="1"/>
  <c r="H13" i="7" s="1"/>
  <c r="F13" i="7"/>
  <c r="E14" i="7"/>
  <c r="G14" i="7" s="1"/>
  <c r="H14" i="7" s="1"/>
  <c r="F14" i="7"/>
  <c r="E15" i="7"/>
  <c r="G15" i="7" s="1"/>
  <c r="H15" i="7" s="1"/>
  <c r="F15" i="7"/>
  <c r="E16" i="7"/>
  <c r="G16" i="7" s="1"/>
  <c r="H16" i="7" s="1"/>
  <c r="F16" i="7"/>
  <c r="E17" i="7"/>
  <c r="G17" i="7" s="1"/>
  <c r="H17" i="7" s="1"/>
  <c r="F17" i="7"/>
  <c r="E18" i="7"/>
  <c r="G18" i="7" s="1"/>
  <c r="H18" i="7" s="1"/>
  <c r="F18" i="7"/>
  <c r="E19" i="7"/>
  <c r="F19" i="7"/>
  <c r="G19" i="7" s="1"/>
  <c r="E20" i="7"/>
  <c r="G20" i="7" s="1"/>
  <c r="H20" i="7" s="1"/>
  <c r="F20" i="7"/>
  <c r="E21" i="7"/>
  <c r="G21" i="7" s="1"/>
  <c r="H21" i="7" s="1"/>
  <c r="F21" i="7"/>
  <c r="E22" i="7"/>
  <c r="G22" i="7" s="1"/>
  <c r="H22" i="7" s="1"/>
  <c r="F22" i="7"/>
  <c r="E23" i="7"/>
  <c r="G23" i="7" s="1"/>
  <c r="H23" i="7" s="1"/>
  <c r="F23" i="7"/>
  <c r="E24" i="7"/>
  <c r="F24" i="7"/>
  <c r="G24" i="7" s="1"/>
  <c r="E25" i="7"/>
  <c r="G25" i="7" s="1"/>
  <c r="H25" i="7" s="1"/>
  <c r="F25" i="7"/>
  <c r="E26" i="7"/>
  <c r="G26" i="7" s="1"/>
  <c r="H26" i="7" s="1"/>
  <c r="F26" i="7"/>
  <c r="E27" i="7"/>
  <c r="G27" i="7" s="1"/>
  <c r="H27" i="7" s="1"/>
  <c r="F27" i="7"/>
  <c r="E28" i="7"/>
  <c r="G28" i="7" s="1"/>
  <c r="H28" i="7" s="1"/>
  <c r="F28" i="7"/>
  <c r="E29" i="7"/>
  <c r="G29" i="7" s="1"/>
  <c r="H29" i="7" s="1"/>
  <c r="F29" i="7"/>
  <c r="E30" i="7"/>
  <c r="F30" i="7"/>
  <c r="G30" i="7" s="1"/>
  <c r="E31" i="7"/>
  <c r="F31" i="7"/>
  <c r="G31" i="7" s="1"/>
  <c r="E32" i="7"/>
  <c r="H32" i="7" s="1"/>
  <c r="F32" i="7"/>
  <c r="E33" i="7"/>
  <c r="G33" i="7" s="1"/>
  <c r="H33" i="7" s="1"/>
  <c r="F33" i="7"/>
  <c r="E34" i="7"/>
  <c r="G34" i="7" s="1"/>
  <c r="H34" i="7" s="1"/>
  <c r="F34" i="7"/>
  <c r="E35" i="7"/>
  <c r="H35" i="7" s="1"/>
  <c r="F35" i="7"/>
  <c r="E36" i="7"/>
  <c r="G36" i="7" s="1"/>
  <c r="H36" i="7" s="1"/>
  <c r="F36" i="7"/>
  <c r="E37" i="7"/>
  <c r="F37" i="7"/>
  <c r="G37" i="7" s="1"/>
  <c r="E38" i="7"/>
  <c r="G38" i="7" s="1"/>
  <c r="H38" i="7" s="1"/>
  <c r="F38" i="7"/>
  <c r="E39" i="7"/>
  <c r="H39" i="7" s="1"/>
  <c r="F39" i="7"/>
  <c r="E40" i="7"/>
  <c r="H40" i="7" s="1"/>
  <c r="F40" i="7"/>
  <c r="E41" i="7"/>
  <c r="G41" i="7" s="1"/>
  <c r="H41" i="7" s="1"/>
  <c r="F41" i="7"/>
  <c r="E42" i="7"/>
  <c r="G42" i="7" s="1"/>
  <c r="H42" i="7" s="1"/>
  <c r="F42" i="7"/>
  <c r="E43" i="7"/>
  <c r="G43" i="7" s="1"/>
  <c r="H43" i="7" s="1"/>
  <c r="F43" i="7"/>
  <c r="E44" i="7"/>
  <c r="F44" i="7"/>
  <c r="E45" i="7"/>
  <c r="G45" i="7" s="1"/>
  <c r="H45" i="7" s="1"/>
  <c r="F45" i="7"/>
  <c r="E46" i="7"/>
  <c r="G46" i="7" s="1"/>
  <c r="H46" i="7" s="1"/>
  <c r="F46" i="7"/>
  <c r="E47" i="7"/>
  <c r="G47" i="7" s="1"/>
  <c r="H47" i="7" s="1"/>
  <c r="F47" i="7"/>
  <c r="E48" i="7"/>
  <c r="G48" i="7" s="1"/>
  <c r="H48" i="7" s="1"/>
  <c r="F48" i="7"/>
  <c r="E49" i="7"/>
  <c r="G49" i="7" s="1"/>
  <c r="H49" i="7" s="1"/>
  <c r="F49" i="7"/>
  <c r="E50" i="7"/>
  <c r="G50" i="7" s="1"/>
  <c r="H50" i="7" s="1"/>
  <c r="F50" i="7"/>
  <c r="F3" i="7"/>
  <c r="E3" i="7"/>
  <c r="G3" i="7" s="1"/>
  <c r="H3" i="7" s="1"/>
  <c r="H36" i="28" l="1"/>
  <c r="H34" i="28"/>
  <c r="H39" i="28"/>
  <c r="H38" i="28"/>
  <c r="H33" i="28"/>
  <c r="H30" i="28"/>
  <c r="H7" i="28"/>
  <c r="H6" i="28"/>
  <c r="H4" i="28"/>
  <c r="H1" i="28" s="1"/>
  <c r="H40" i="27"/>
  <c r="H39" i="27"/>
  <c r="H36" i="27"/>
  <c r="H32" i="27"/>
  <c r="H29" i="27"/>
  <c r="H34" i="26"/>
  <c r="H27" i="27"/>
  <c r="H11" i="27"/>
  <c r="H1" i="27" s="1"/>
  <c r="H7" i="26"/>
  <c r="H4" i="26"/>
  <c r="H48" i="25"/>
  <c r="H1" i="25" s="1"/>
  <c r="H44" i="25"/>
  <c r="H39" i="25"/>
  <c r="H9" i="25"/>
  <c r="H25" i="14"/>
  <c r="H38" i="20"/>
  <c r="H28" i="20"/>
  <c r="H18" i="20"/>
  <c r="H28" i="10"/>
  <c r="H17" i="10"/>
  <c r="H11" i="11"/>
  <c r="H16" i="16"/>
  <c r="H6" i="19"/>
  <c r="H37" i="20"/>
  <c r="H6" i="10"/>
  <c r="H41" i="12"/>
  <c r="H32" i="14"/>
  <c r="H39" i="17"/>
  <c r="H53" i="13"/>
  <c r="H12" i="16"/>
  <c r="H51" i="18"/>
  <c r="H42" i="13"/>
  <c r="H24" i="21"/>
  <c r="H3" i="11"/>
  <c r="H51" i="16"/>
  <c r="H50" i="18"/>
  <c r="H40" i="18"/>
  <c r="H29" i="18"/>
  <c r="H25" i="17"/>
  <c r="H26" i="15"/>
  <c r="H38" i="18"/>
  <c r="H6" i="14"/>
  <c r="H48" i="16"/>
  <c r="H37" i="18"/>
  <c r="H1" i="18" s="1"/>
  <c r="H8" i="13"/>
  <c r="H12" i="11"/>
  <c r="H7" i="16"/>
  <c r="H45" i="24"/>
  <c r="H42" i="24"/>
  <c r="H8" i="24"/>
  <c r="H6" i="24"/>
  <c r="H5" i="24"/>
  <c r="H1" i="24"/>
  <c r="H35" i="23"/>
  <c r="H34" i="23"/>
  <c r="H5" i="23"/>
  <c r="H1" i="23"/>
  <c r="H35" i="22"/>
  <c r="H34" i="22"/>
  <c r="H5" i="22"/>
  <c r="H4" i="22"/>
  <c r="H1" i="22" s="1"/>
  <c r="H41" i="21"/>
  <c r="H38" i="21"/>
  <c r="H34" i="21"/>
  <c r="H12" i="20"/>
  <c r="H5" i="20"/>
  <c r="H4" i="20"/>
  <c r="H1" i="20"/>
  <c r="H48" i="19"/>
  <c r="H37" i="19"/>
  <c r="H31" i="19"/>
  <c r="H7" i="19"/>
  <c r="H4" i="19"/>
  <c r="H1" i="19"/>
  <c r="H30" i="18"/>
  <c r="H19" i="18"/>
  <c r="H5" i="18"/>
  <c r="H45" i="17"/>
  <c r="H23" i="17"/>
  <c r="H15" i="17"/>
  <c r="H5" i="17"/>
  <c r="H4" i="17"/>
  <c r="H3" i="17"/>
  <c r="H50" i="16"/>
  <c r="H40" i="16"/>
  <c r="H38" i="16"/>
  <c r="H22" i="16"/>
  <c r="H8" i="16"/>
  <c r="H5" i="16"/>
  <c r="H1" i="16"/>
  <c r="H28" i="15"/>
  <c r="H6" i="15"/>
  <c r="H1" i="15"/>
  <c r="H3" i="14"/>
  <c r="H30" i="14"/>
  <c r="H23" i="14"/>
  <c r="H16" i="14"/>
  <c r="H7" i="14"/>
  <c r="H4" i="14"/>
  <c r="H52" i="13"/>
  <c r="H50" i="13"/>
  <c r="H41" i="13"/>
  <c r="H14" i="13"/>
  <c r="H9" i="13"/>
  <c r="H42" i="12"/>
  <c r="H3" i="12"/>
  <c r="H1" i="12" s="1"/>
  <c r="H38" i="11"/>
  <c r="H32" i="11"/>
  <c r="H5" i="11"/>
  <c r="H4" i="11"/>
  <c r="H58" i="9"/>
  <c r="H24" i="9"/>
  <c r="H23" i="9"/>
  <c r="H57" i="9"/>
  <c r="H56" i="9"/>
  <c r="H45" i="9"/>
  <c r="H37" i="9"/>
  <c r="H35" i="9"/>
  <c r="H7" i="9"/>
  <c r="H5" i="9"/>
  <c r="H4" i="9"/>
  <c r="H27" i="10"/>
  <c r="H18" i="10"/>
  <c r="H7" i="10"/>
  <c r="H4" i="10"/>
  <c r="H1" i="10"/>
  <c r="H1" i="8"/>
  <c r="H44" i="7"/>
  <c r="H37" i="7"/>
  <c r="H31" i="7"/>
  <c r="H30" i="7"/>
  <c r="H24" i="7"/>
  <c r="H19" i="7"/>
  <c r="H7" i="7"/>
  <c r="H5" i="7"/>
  <c r="G7" i="6"/>
  <c r="G6" i="6"/>
  <c r="E4" i="6"/>
  <c r="G4" i="6" s="1"/>
  <c r="H4" i="6" s="1"/>
  <c r="F4" i="6"/>
  <c r="E5" i="6"/>
  <c r="F5" i="6"/>
  <c r="G5" i="6" s="1"/>
  <c r="E6" i="6"/>
  <c r="F6" i="6"/>
  <c r="E7" i="6"/>
  <c r="F7" i="6"/>
  <c r="E8" i="6"/>
  <c r="G8" i="6" s="1"/>
  <c r="H8" i="6" s="1"/>
  <c r="F8" i="6"/>
  <c r="E9" i="6"/>
  <c r="G9" i="6" s="1"/>
  <c r="H9" i="6" s="1"/>
  <c r="F9" i="6"/>
  <c r="E10" i="6"/>
  <c r="G10" i="6" s="1"/>
  <c r="H10" i="6" s="1"/>
  <c r="F10" i="6"/>
  <c r="E11" i="6"/>
  <c r="G11" i="6" s="1"/>
  <c r="H11" i="6" s="1"/>
  <c r="F11" i="6"/>
  <c r="E12" i="6"/>
  <c r="G12" i="6" s="1"/>
  <c r="H12" i="6" s="1"/>
  <c r="F12" i="6"/>
  <c r="E13" i="6"/>
  <c r="G13" i="6" s="1"/>
  <c r="H13" i="6" s="1"/>
  <c r="F13" i="6"/>
  <c r="E14" i="6"/>
  <c r="G14" i="6" s="1"/>
  <c r="H14" i="6" s="1"/>
  <c r="F14" i="6"/>
  <c r="E15" i="6"/>
  <c r="G15" i="6" s="1"/>
  <c r="H15" i="6" s="1"/>
  <c r="F15" i="6"/>
  <c r="E16" i="6"/>
  <c r="G16" i="6" s="1"/>
  <c r="H16" i="6" s="1"/>
  <c r="F16" i="6"/>
  <c r="E17" i="6"/>
  <c r="G17" i="6" s="1"/>
  <c r="H17" i="6" s="1"/>
  <c r="F17" i="6"/>
  <c r="E18" i="6"/>
  <c r="G18" i="6" s="1"/>
  <c r="H18" i="6" s="1"/>
  <c r="F18" i="6"/>
  <c r="E19" i="6"/>
  <c r="F19" i="6"/>
  <c r="G19" i="6" s="1"/>
  <c r="E20" i="6"/>
  <c r="G20" i="6" s="1"/>
  <c r="H20" i="6" s="1"/>
  <c r="F20" i="6"/>
  <c r="E21" i="6"/>
  <c r="G21" i="6" s="1"/>
  <c r="H21" i="6" s="1"/>
  <c r="F21" i="6"/>
  <c r="E22" i="6"/>
  <c r="G22" i="6" s="1"/>
  <c r="H22" i="6" s="1"/>
  <c r="F22" i="6"/>
  <c r="E23" i="6"/>
  <c r="H23" i="6" s="1"/>
  <c r="F23" i="6"/>
  <c r="E24" i="6"/>
  <c r="G24" i="6" s="1"/>
  <c r="H24" i="6" s="1"/>
  <c r="F24" i="6"/>
  <c r="E25" i="6"/>
  <c r="F25" i="6"/>
  <c r="G25" i="6" s="1"/>
  <c r="E26" i="6"/>
  <c r="G26" i="6" s="1"/>
  <c r="H26" i="6" s="1"/>
  <c r="F26" i="6"/>
  <c r="E27" i="6"/>
  <c r="G27" i="6" s="1"/>
  <c r="H27" i="6" s="1"/>
  <c r="F27" i="6"/>
  <c r="E28" i="6"/>
  <c r="G28" i="6" s="1"/>
  <c r="H28" i="6" s="1"/>
  <c r="F28" i="6"/>
  <c r="E29" i="6"/>
  <c r="F29" i="6"/>
  <c r="G29" i="6" s="1"/>
  <c r="E30" i="6"/>
  <c r="G30" i="6" s="1"/>
  <c r="H30" i="6" s="1"/>
  <c r="F30" i="6"/>
  <c r="E31" i="6"/>
  <c r="F31" i="6"/>
  <c r="G31" i="6" s="1"/>
  <c r="E32" i="6"/>
  <c r="G32" i="6" s="1"/>
  <c r="H32" i="6" s="1"/>
  <c r="F32" i="6"/>
  <c r="E33" i="6"/>
  <c r="G33" i="6" s="1"/>
  <c r="H33" i="6" s="1"/>
  <c r="F33" i="6"/>
  <c r="E34" i="6"/>
  <c r="G34" i="6" s="1"/>
  <c r="H34" i="6" s="1"/>
  <c r="F34" i="6"/>
  <c r="E35" i="6"/>
  <c r="G35" i="6" s="1"/>
  <c r="H35" i="6" s="1"/>
  <c r="F35" i="6"/>
  <c r="E36" i="6"/>
  <c r="G36" i="6" s="1"/>
  <c r="H36" i="6" s="1"/>
  <c r="F36" i="6"/>
  <c r="E37" i="6"/>
  <c r="H37" i="6" s="1"/>
  <c r="F37" i="6"/>
  <c r="E38" i="6"/>
  <c r="G38" i="6" s="1"/>
  <c r="H38" i="6" s="1"/>
  <c r="F38" i="6"/>
  <c r="E39" i="6"/>
  <c r="G39" i="6" s="1"/>
  <c r="H39" i="6" s="1"/>
  <c r="F39" i="6"/>
  <c r="E40" i="6"/>
  <c r="G40" i="6" s="1"/>
  <c r="H40" i="6" s="1"/>
  <c r="F40" i="6"/>
  <c r="E41" i="6"/>
  <c r="F41" i="6"/>
  <c r="G41" i="6" s="1"/>
  <c r="E42" i="6"/>
  <c r="G42" i="6" s="1"/>
  <c r="H42" i="6" s="1"/>
  <c r="F42" i="6"/>
  <c r="E43" i="6"/>
  <c r="G43" i="6" s="1"/>
  <c r="H43" i="6" s="1"/>
  <c r="F43" i="6"/>
  <c r="E44" i="6"/>
  <c r="G44" i="6" s="1"/>
  <c r="H44" i="6" s="1"/>
  <c r="F44" i="6"/>
  <c r="E45" i="6"/>
  <c r="G45" i="6" s="1"/>
  <c r="H45" i="6" s="1"/>
  <c r="F45" i="6"/>
  <c r="E46" i="6"/>
  <c r="G46" i="6" s="1"/>
  <c r="H46" i="6" s="1"/>
  <c r="F46" i="6"/>
  <c r="E47" i="6"/>
  <c r="G47" i="6" s="1"/>
  <c r="H47" i="6" s="1"/>
  <c r="F47" i="6"/>
  <c r="E48" i="6"/>
  <c r="G48" i="6" s="1"/>
  <c r="H48" i="6" s="1"/>
  <c r="F48" i="6"/>
  <c r="F3" i="6"/>
  <c r="E3" i="6"/>
  <c r="G3" i="6" s="1"/>
  <c r="H3" i="6" s="1"/>
  <c r="G3" i="5"/>
  <c r="H4" i="5"/>
  <c r="H15" i="5"/>
  <c r="H19" i="5"/>
  <c r="H22" i="5"/>
  <c r="E4" i="5"/>
  <c r="F4" i="5"/>
  <c r="E5" i="5"/>
  <c r="G5" i="5" s="1"/>
  <c r="H5" i="5" s="1"/>
  <c r="F5" i="5"/>
  <c r="E6" i="5"/>
  <c r="G6" i="5" s="1"/>
  <c r="H6" i="5" s="1"/>
  <c r="F6" i="5"/>
  <c r="E7" i="5"/>
  <c r="G7" i="5" s="1"/>
  <c r="H7" i="5" s="1"/>
  <c r="F7" i="5"/>
  <c r="E8" i="5"/>
  <c r="G8" i="5" s="1"/>
  <c r="H8" i="5" s="1"/>
  <c r="F8" i="5"/>
  <c r="E9" i="5"/>
  <c r="G9" i="5" s="1"/>
  <c r="H9" i="5" s="1"/>
  <c r="F9" i="5"/>
  <c r="E10" i="5"/>
  <c r="G10" i="5" s="1"/>
  <c r="H10" i="5" s="1"/>
  <c r="F10" i="5"/>
  <c r="E11" i="5"/>
  <c r="G11" i="5" s="1"/>
  <c r="H11" i="5" s="1"/>
  <c r="F11" i="5"/>
  <c r="E12" i="5"/>
  <c r="G12" i="5" s="1"/>
  <c r="H12" i="5" s="1"/>
  <c r="F12" i="5"/>
  <c r="E13" i="5"/>
  <c r="G13" i="5" s="1"/>
  <c r="H13" i="5" s="1"/>
  <c r="F13" i="5"/>
  <c r="E14" i="5"/>
  <c r="G14" i="5" s="1"/>
  <c r="H14" i="5" s="1"/>
  <c r="F14" i="5"/>
  <c r="E15" i="5"/>
  <c r="F15" i="5"/>
  <c r="E16" i="5"/>
  <c r="F16" i="5"/>
  <c r="G16" i="5" s="1"/>
  <c r="H16" i="5" s="1"/>
  <c r="E17" i="5"/>
  <c r="G17" i="5" s="1"/>
  <c r="H17" i="5" s="1"/>
  <c r="F17" i="5"/>
  <c r="E18" i="5"/>
  <c r="G18" i="5" s="1"/>
  <c r="H18" i="5" s="1"/>
  <c r="F18" i="5"/>
  <c r="E19" i="5"/>
  <c r="F19" i="5"/>
  <c r="E20" i="5"/>
  <c r="G20" i="5" s="1"/>
  <c r="H20" i="5" s="1"/>
  <c r="F20" i="5"/>
  <c r="E21" i="5"/>
  <c r="G21" i="5" s="1"/>
  <c r="H21" i="5" s="1"/>
  <c r="F21" i="5"/>
  <c r="E22" i="5"/>
  <c r="F22" i="5"/>
  <c r="E23" i="5"/>
  <c r="G23" i="5" s="1"/>
  <c r="H23" i="5" s="1"/>
  <c r="F23" i="5"/>
  <c r="E24" i="5"/>
  <c r="G24" i="5" s="1"/>
  <c r="H24" i="5" s="1"/>
  <c r="F24" i="5"/>
  <c r="E25" i="5"/>
  <c r="F25" i="5"/>
  <c r="G25" i="5" s="1"/>
  <c r="H25" i="5" s="1"/>
  <c r="E26" i="5"/>
  <c r="G26" i="5" s="1"/>
  <c r="H26" i="5" s="1"/>
  <c r="F26" i="5"/>
  <c r="E27" i="5"/>
  <c r="G27" i="5" s="1"/>
  <c r="H27" i="5" s="1"/>
  <c r="F27" i="5"/>
  <c r="E28" i="5"/>
  <c r="G28" i="5" s="1"/>
  <c r="H28" i="5" s="1"/>
  <c r="F28" i="5"/>
  <c r="E29" i="5"/>
  <c r="G29" i="5" s="1"/>
  <c r="H29" i="5" s="1"/>
  <c r="F29" i="5"/>
  <c r="E30" i="5"/>
  <c r="G30" i="5" s="1"/>
  <c r="H30" i="5" s="1"/>
  <c r="F30" i="5"/>
  <c r="E31" i="5"/>
  <c r="G31" i="5" s="1"/>
  <c r="H31" i="5" s="1"/>
  <c r="F31" i="5"/>
  <c r="E32" i="5"/>
  <c r="G32" i="5" s="1"/>
  <c r="H32" i="5" s="1"/>
  <c r="F32" i="5"/>
  <c r="E33" i="5"/>
  <c r="G33" i="5" s="1"/>
  <c r="H33" i="5" s="1"/>
  <c r="F33" i="5"/>
  <c r="E34" i="5"/>
  <c r="G34" i="5" s="1"/>
  <c r="H34" i="5" s="1"/>
  <c r="F34" i="5"/>
  <c r="E35" i="5"/>
  <c r="G35" i="5" s="1"/>
  <c r="H35" i="5" s="1"/>
  <c r="F35" i="5"/>
  <c r="E36" i="5"/>
  <c r="G36" i="5" s="1"/>
  <c r="H36" i="5" s="1"/>
  <c r="F36" i="5"/>
  <c r="E37" i="5"/>
  <c r="G37" i="5" s="1"/>
  <c r="H37" i="5" s="1"/>
  <c r="F37" i="5"/>
  <c r="E38" i="5"/>
  <c r="G38" i="5" s="1"/>
  <c r="H38" i="5" s="1"/>
  <c r="F38" i="5"/>
  <c r="F3" i="5"/>
  <c r="E3" i="5"/>
  <c r="G7" i="4"/>
  <c r="H7" i="4" s="1"/>
  <c r="H26" i="4"/>
  <c r="H35" i="4"/>
  <c r="H4" i="4"/>
  <c r="E4" i="4"/>
  <c r="F4" i="4"/>
  <c r="E5" i="4"/>
  <c r="F5" i="4"/>
  <c r="G5" i="4" s="1"/>
  <c r="H5" i="4" s="1"/>
  <c r="E6" i="4"/>
  <c r="F6" i="4"/>
  <c r="G6" i="4" s="1"/>
  <c r="H6" i="4" s="1"/>
  <c r="E7" i="4"/>
  <c r="F7" i="4"/>
  <c r="E8" i="4"/>
  <c r="G8" i="4" s="1"/>
  <c r="H8" i="4" s="1"/>
  <c r="F8" i="4"/>
  <c r="E9" i="4"/>
  <c r="G9" i="4" s="1"/>
  <c r="H9" i="4" s="1"/>
  <c r="F9" i="4"/>
  <c r="E10" i="4"/>
  <c r="G10" i="4" s="1"/>
  <c r="H10" i="4" s="1"/>
  <c r="F10" i="4"/>
  <c r="E11" i="4"/>
  <c r="F11" i="4"/>
  <c r="G11" i="4" s="1"/>
  <c r="H11" i="4" s="1"/>
  <c r="E12" i="4"/>
  <c r="G12" i="4" s="1"/>
  <c r="H12" i="4" s="1"/>
  <c r="F12" i="4"/>
  <c r="E13" i="4"/>
  <c r="G13" i="4" s="1"/>
  <c r="H13" i="4" s="1"/>
  <c r="F13" i="4"/>
  <c r="E14" i="4"/>
  <c r="G14" i="4" s="1"/>
  <c r="H14" i="4" s="1"/>
  <c r="F14" i="4"/>
  <c r="E15" i="4"/>
  <c r="G15" i="4" s="1"/>
  <c r="H15" i="4" s="1"/>
  <c r="F15" i="4"/>
  <c r="E16" i="4"/>
  <c r="G16" i="4" s="1"/>
  <c r="H16" i="4" s="1"/>
  <c r="F16" i="4"/>
  <c r="E17" i="4"/>
  <c r="G17" i="4" s="1"/>
  <c r="H17" i="4" s="1"/>
  <c r="F17" i="4"/>
  <c r="E18" i="4"/>
  <c r="G18" i="4" s="1"/>
  <c r="H18" i="4" s="1"/>
  <c r="F18" i="4"/>
  <c r="E19" i="4"/>
  <c r="G19" i="4" s="1"/>
  <c r="H19" i="4" s="1"/>
  <c r="F19" i="4"/>
  <c r="E20" i="4"/>
  <c r="G20" i="4" s="1"/>
  <c r="H20" i="4" s="1"/>
  <c r="F20" i="4"/>
  <c r="E21" i="4"/>
  <c r="G21" i="4" s="1"/>
  <c r="H21" i="4" s="1"/>
  <c r="F21" i="4"/>
  <c r="E22" i="4"/>
  <c r="F22" i="4"/>
  <c r="G22" i="4" s="1"/>
  <c r="H22" i="4" s="1"/>
  <c r="E23" i="4"/>
  <c r="G23" i="4" s="1"/>
  <c r="H23" i="4" s="1"/>
  <c r="F23" i="4"/>
  <c r="E24" i="4"/>
  <c r="G24" i="4" s="1"/>
  <c r="H24" i="4" s="1"/>
  <c r="F24" i="4"/>
  <c r="E25" i="4"/>
  <c r="G25" i="4" s="1"/>
  <c r="H25" i="4" s="1"/>
  <c r="F25" i="4"/>
  <c r="E26" i="4"/>
  <c r="F26" i="4"/>
  <c r="E27" i="4"/>
  <c r="F27" i="4"/>
  <c r="G27" i="4" s="1"/>
  <c r="H27" i="4" s="1"/>
  <c r="E28" i="4"/>
  <c r="G28" i="4" s="1"/>
  <c r="H28" i="4" s="1"/>
  <c r="F28" i="4"/>
  <c r="E29" i="4"/>
  <c r="G29" i="4" s="1"/>
  <c r="H29" i="4" s="1"/>
  <c r="F29" i="4"/>
  <c r="E30" i="4"/>
  <c r="G30" i="4" s="1"/>
  <c r="H30" i="4" s="1"/>
  <c r="F30" i="4"/>
  <c r="E31" i="4"/>
  <c r="G31" i="4" s="1"/>
  <c r="H31" i="4" s="1"/>
  <c r="F31" i="4"/>
  <c r="E32" i="4"/>
  <c r="F32" i="4"/>
  <c r="G32" i="4" s="1"/>
  <c r="H32" i="4" s="1"/>
  <c r="E33" i="4"/>
  <c r="G33" i="4" s="1"/>
  <c r="H33" i="4" s="1"/>
  <c r="F33" i="4"/>
  <c r="E34" i="4"/>
  <c r="F34" i="4"/>
  <c r="G34" i="4" s="1"/>
  <c r="H34" i="4" s="1"/>
  <c r="E35" i="4"/>
  <c r="F35" i="4"/>
  <c r="E36" i="4"/>
  <c r="G36" i="4" s="1"/>
  <c r="H36" i="4" s="1"/>
  <c r="F36" i="4"/>
  <c r="E37" i="4"/>
  <c r="F37" i="4"/>
  <c r="G37" i="4" s="1"/>
  <c r="H37" i="4" s="1"/>
  <c r="E38" i="4"/>
  <c r="G38" i="4" s="1"/>
  <c r="H38" i="4" s="1"/>
  <c r="F38" i="4"/>
  <c r="E39" i="4"/>
  <c r="G39" i="4" s="1"/>
  <c r="H39" i="4" s="1"/>
  <c r="F39" i="4"/>
  <c r="E40" i="4"/>
  <c r="G40" i="4" s="1"/>
  <c r="H40" i="4" s="1"/>
  <c r="F40" i="4"/>
  <c r="E41" i="4"/>
  <c r="G41" i="4" s="1"/>
  <c r="H41" i="4" s="1"/>
  <c r="F41" i="4"/>
  <c r="E42" i="4"/>
  <c r="G42" i="4" s="1"/>
  <c r="H42" i="4" s="1"/>
  <c r="F42" i="4"/>
  <c r="E43" i="4"/>
  <c r="G43" i="4" s="1"/>
  <c r="H43" i="4" s="1"/>
  <c r="F43" i="4"/>
  <c r="E44" i="4"/>
  <c r="G44" i="4" s="1"/>
  <c r="H44" i="4" s="1"/>
  <c r="F44" i="4"/>
  <c r="E45" i="4"/>
  <c r="F45" i="4"/>
  <c r="G45" i="4" s="1"/>
  <c r="H45" i="4" s="1"/>
  <c r="E46" i="4"/>
  <c r="G46" i="4" s="1"/>
  <c r="H46" i="4" s="1"/>
  <c r="F46" i="4"/>
  <c r="E47" i="4"/>
  <c r="G47" i="4" s="1"/>
  <c r="H47" i="4" s="1"/>
  <c r="F47" i="4"/>
  <c r="E48" i="4"/>
  <c r="G48" i="4" s="1"/>
  <c r="H48" i="4" s="1"/>
  <c r="F48" i="4"/>
  <c r="E49" i="4"/>
  <c r="F49" i="4"/>
  <c r="G49" i="4" s="1"/>
  <c r="H49" i="4" s="1"/>
  <c r="E50" i="4"/>
  <c r="G50" i="4" s="1"/>
  <c r="H50" i="4" s="1"/>
  <c r="F50" i="4"/>
  <c r="F3" i="4"/>
  <c r="E3" i="4"/>
  <c r="G3" i="4" s="1"/>
  <c r="H3" i="4" s="1"/>
  <c r="H21" i="3"/>
  <c r="H30" i="3"/>
  <c r="H26" i="3"/>
  <c r="H27" i="3"/>
  <c r="E4" i="3"/>
  <c r="G4" i="3" s="1"/>
  <c r="H4" i="3" s="1"/>
  <c r="F4" i="3"/>
  <c r="E5" i="3"/>
  <c r="F5" i="3"/>
  <c r="G5" i="3" s="1"/>
  <c r="H5" i="3" s="1"/>
  <c r="E6" i="3"/>
  <c r="F6" i="3"/>
  <c r="G6" i="3" s="1"/>
  <c r="H6" i="3" s="1"/>
  <c r="E7" i="3"/>
  <c r="F7" i="3"/>
  <c r="G7" i="3" s="1"/>
  <c r="H7" i="3" s="1"/>
  <c r="E8" i="3"/>
  <c r="G8" i="3" s="1"/>
  <c r="H8" i="3" s="1"/>
  <c r="F8" i="3"/>
  <c r="E9" i="3"/>
  <c r="G9" i="3" s="1"/>
  <c r="H9" i="3" s="1"/>
  <c r="F9" i="3"/>
  <c r="E10" i="3"/>
  <c r="G10" i="3" s="1"/>
  <c r="H10" i="3" s="1"/>
  <c r="F10" i="3"/>
  <c r="E11" i="3"/>
  <c r="G11" i="3" s="1"/>
  <c r="H11" i="3" s="1"/>
  <c r="F11" i="3"/>
  <c r="E12" i="3"/>
  <c r="G12" i="3" s="1"/>
  <c r="H12" i="3" s="1"/>
  <c r="F12" i="3"/>
  <c r="E13" i="3"/>
  <c r="G13" i="3" s="1"/>
  <c r="H13" i="3" s="1"/>
  <c r="F13" i="3"/>
  <c r="E14" i="3"/>
  <c r="G14" i="3" s="1"/>
  <c r="H14" i="3" s="1"/>
  <c r="F14" i="3"/>
  <c r="E15" i="3"/>
  <c r="G15" i="3" s="1"/>
  <c r="H15" i="3" s="1"/>
  <c r="F15" i="3"/>
  <c r="E16" i="3"/>
  <c r="G16" i="3" s="1"/>
  <c r="H16" i="3" s="1"/>
  <c r="F16" i="3"/>
  <c r="E17" i="3"/>
  <c r="G17" i="3" s="1"/>
  <c r="H17" i="3" s="1"/>
  <c r="F17" i="3"/>
  <c r="E18" i="3"/>
  <c r="G18" i="3" s="1"/>
  <c r="H18" i="3" s="1"/>
  <c r="F18" i="3"/>
  <c r="E19" i="3"/>
  <c r="G19" i="3" s="1"/>
  <c r="H19" i="3" s="1"/>
  <c r="F19" i="3"/>
  <c r="E20" i="3"/>
  <c r="G20" i="3" s="1"/>
  <c r="H20" i="3" s="1"/>
  <c r="F20" i="3"/>
  <c r="E21" i="3"/>
  <c r="F21" i="3"/>
  <c r="E22" i="3"/>
  <c r="F22" i="3"/>
  <c r="G22" i="3" s="1"/>
  <c r="H22" i="3" s="1"/>
  <c r="E23" i="3"/>
  <c r="G23" i="3" s="1"/>
  <c r="H23" i="3" s="1"/>
  <c r="F23" i="3"/>
  <c r="E24" i="3"/>
  <c r="G24" i="3" s="1"/>
  <c r="H24" i="3" s="1"/>
  <c r="F24" i="3"/>
  <c r="E25" i="3"/>
  <c r="G25" i="3" s="1"/>
  <c r="H25" i="3" s="1"/>
  <c r="F25" i="3"/>
  <c r="E26" i="3"/>
  <c r="F26" i="3"/>
  <c r="E27" i="3"/>
  <c r="F27" i="3"/>
  <c r="E28" i="3"/>
  <c r="G28" i="3" s="1"/>
  <c r="H28" i="3" s="1"/>
  <c r="F28" i="3"/>
  <c r="E29" i="3"/>
  <c r="G29" i="3" s="1"/>
  <c r="H29" i="3" s="1"/>
  <c r="F29" i="3"/>
  <c r="E30" i="3"/>
  <c r="F30" i="3"/>
  <c r="E31" i="3"/>
  <c r="G31" i="3" s="1"/>
  <c r="H31" i="3" s="1"/>
  <c r="F31" i="3"/>
  <c r="E32" i="3"/>
  <c r="G32" i="3" s="1"/>
  <c r="H32" i="3" s="1"/>
  <c r="F32" i="3"/>
  <c r="E33" i="3"/>
  <c r="F33" i="3"/>
  <c r="G33" i="3" s="1"/>
  <c r="H33" i="3" s="1"/>
  <c r="E34" i="3"/>
  <c r="G34" i="3" s="1"/>
  <c r="H34" i="3" s="1"/>
  <c r="F34" i="3"/>
  <c r="E35" i="3"/>
  <c r="F35" i="3"/>
  <c r="G35" i="3" s="1"/>
  <c r="H35" i="3" s="1"/>
  <c r="E36" i="3"/>
  <c r="G36" i="3" s="1"/>
  <c r="H36" i="3" s="1"/>
  <c r="F36" i="3"/>
  <c r="E37" i="3"/>
  <c r="G37" i="3" s="1"/>
  <c r="H37" i="3" s="1"/>
  <c r="F37" i="3"/>
  <c r="E38" i="3"/>
  <c r="F38" i="3"/>
  <c r="G38" i="3" s="1"/>
  <c r="H38" i="3" s="1"/>
  <c r="E39" i="3"/>
  <c r="G39" i="3" s="1"/>
  <c r="H39" i="3" s="1"/>
  <c r="F39" i="3"/>
  <c r="E40" i="3"/>
  <c r="G40" i="3" s="1"/>
  <c r="H40" i="3" s="1"/>
  <c r="F40" i="3"/>
  <c r="E41" i="3"/>
  <c r="G41" i="3" s="1"/>
  <c r="H41" i="3" s="1"/>
  <c r="F41" i="3"/>
  <c r="E42" i="3"/>
  <c r="G42" i="3" s="1"/>
  <c r="H42" i="3" s="1"/>
  <c r="F42" i="3"/>
  <c r="E43" i="3"/>
  <c r="G43" i="3" s="1"/>
  <c r="H43" i="3" s="1"/>
  <c r="F43" i="3"/>
  <c r="E44" i="3"/>
  <c r="G44" i="3" s="1"/>
  <c r="H44" i="3" s="1"/>
  <c r="F44" i="3"/>
  <c r="E45" i="3"/>
  <c r="G45" i="3" s="1"/>
  <c r="H45" i="3" s="1"/>
  <c r="F45" i="3"/>
  <c r="E46" i="3"/>
  <c r="F46" i="3"/>
  <c r="G46" i="3" s="1"/>
  <c r="H46" i="3" s="1"/>
  <c r="E47" i="3"/>
  <c r="G47" i="3" s="1"/>
  <c r="H47" i="3" s="1"/>
  <c r="F47" i="3"/>
  <c r="E48" i="3"/>
  <c r="G48" i="3" s="1"/>
  <c r="H48" i="3" s="1"/>
  <c r="F48" i="3"/>
  <c r="E49" i="3"/>
  <c r="G49" i="3" s="1"/>
  <c r="H49" i="3" s="1"/>
  <c r="F49" i="3"/>
  <c r="E50" i="3"/>
  <c r="G50" i="3" s="1"/>
  <c r="H50" i="3" s="1"/>
  <c r="F50" i="3"/>
  <c r="E51" i="3"/>
  <c r="F51" i="3"/>
  <c r="G51" i="3" s="1"/>
  <c r="F3" i="3"/>
  <c r="E3" i="3"/>
  <c r="G3" i="3" s="1"/>
  <c r="H3" i="3" s="1"/>
  <c r="G39" i="2"/>
  <c r="H16" i="2"/>
  <c r="H22" i="2"/>
  <c r="H25" i="2"/>
  <c r="H30" i="2"/>
  <c r="H31" i="2"/>
  <c r="H39" i="2"/>
  <c r="E4" i="2"/>
  <c r="G4" i="2" s="1"/>
  <c r="H4" i="2" s="1"/>
  <c r="F4" i="2"/>
  <c r="E5" i="2"/>
  <c r="G5" i="2" s="1"/>
  <c r="H5" i="2" s="1"/>
  <c r="F5" i="2"/>
  <c r="E6" i="2"/>
  <c r="G6" i="2" s="1"/>
  <c r="H6" i="2" s="1"/>
  <c r="F6" i="2"/>
  <c r="E7" i="2"/>
  <c r="G7" i="2" s="1"/>
  <c r="H7" i="2" s="1"/>
  <c r="F7" i="2"/>
  <c r="E8" i="2"/>
  <c r="G8" i="2" s="1"/>
  <c r="H8" i="2" s="1"/>
  <c r="F8" i="2"/>
  <c r="E9" i="2"/>
  <c r="G9" i="2" s="1"/>
  <c r="H9" i="2" s="1"/>
  <c r="F9" i="2"/>
  <c r="E10" i="2"/>
  <c r="G10" i="2" s="1"/>
  <c r="H10" i="2" s="1"/>
  <c r="F10" i="2"/>
  <c r="E11" i="2"/>
  <c r="G11" i="2" s="1"/>
  <c r="H11" i="2" s="1"/>
  <c r="F11" i="2"/>
  <c r="E12" i="2"/>
  <c r="G12" i="2" s="1"/>
  <c r="H12" i="2" s="1"/>
  <c r="F12" i="2"/>
  <c r="E13" i="2"/>
  <c r="G13" i="2" s="1"/>
  <c r="H13" i="2" s="1"/>
  <c r="F13" i="2"/>
  <c r="E14" i="2"/>
  <c r="G14" i="2" s="1"/>
  <c r="H14" i="2" s="1"/>
  <c r="F14" i="2"/>
  <c r="E15" i="2"/>
  <c r="G15" i="2" s="1"/>
  <c r="H15" i="2" s="1"/>
  <c r="F15" i="2"/>
  <c r="E16" i="2"/>
  <c r="F16" i="2"/>
  <c r="E17" i="2"/>
  <c r="G17" i="2" s="1"/>
  <c r="H17" i="2" s="1"/>
  <c r="F17" i="2"/>
  <c r="E18" i="2"/>
  <c r="G18" i="2" s="1"/>
  <c r="H18" i="2" s="1"/>
  <c r="F18" i="2"/>
  <c r="E19" i="2"/>
  <c r="G19" i="2" s="1"/>
  <c r="H19" i="2" s="1"/>
  <c r="F19" i="2"/>
  <c r="E20" i="2"/>
  <c r="G20" i="2" s="1"/>
  <c r="H20" i="2" s="1"/>
  <c r="F20" i="2"/>
  <c r="E21" i="2"/>
  <c r="G21" i="2" s="1"/>
  <c r="H21" i="2" s="1"/>
  <c r="F21" i="2"/>
  <c r="E22" i="2"/>
  <c r="F22" i="2"/>
  <c r="E23" i="2"/>
  <c r="F23" i="2"/>
  <c r="G23" i="2" s="1"/>
  <c r="H23" i="2" s="1"/>
  <c r="E24" i="2"/>
  <c r="F24" i="2"/>
  <c r="G24" i="2" s="1"/>
  <c r="H24" i="2" s="1"/>
  <c r="E25" i="2"/>
  <c r="F25" i="2"/>
  <c r="E26" i="2"/>
  <c r="G26" i="2" s="1"/>
  <c r="H26" i="2" s="1"/>
  <c r="F26" i="2"/>
  <c r="E27" i="2"/>
  <c r="G27" i="2" s="1"/>
  <c r="H27" i="2" s="1"/>
  <c r="F27" i="2"/>
  <c r="E28" i="2"/>
  <c r="G28" i="2" s="1"/>
  <c r="H28" i="2" s="1"/>
  <c r="F28" i="2"/>
  <c r="E29" i="2"/>
  <c r="G29" i="2" s="1"/>
  <c r="H29" i="2" s="1"/>
  <c r="F29" i="2"/>
  <c r="E30" i="2"/>
  <c r="F30" i="2"/>
  <c r="E31" i="2"/>
  <c r="F31" i="2"/>
  <c r="E32" i="2"/>
  <c r="G32" i="2" s="1"/>
  <c r="H32" i="2" s="1"/>
  <c r="F32" i="2"/>
  <c r="E33" i="2"/>
  <c r="G33" i="2" s="1"/>
  <c r="H33" i="2" s="1"/>
  <c r="F33" i="2"/>
  <c r="E34" i="2"/>
  <c r="G34" i="2" s="1"/>
  <c r="H34" i="2" s="1"/>
  <c r="F34" i="2"/>
  <c r="E35" i="2"/>
  <c r="G35" i="2" s="1"/>
  <c r="H35" i="2" s="1"/>
  <c r="F35" i="2"/>
  <c r="E36" i="2"/>
  <c r="G36" i="2" s="1"/>
  <c r="H36" i="2" s="1"/>
  <c r="F36" i="2"/>
  <c r="E37" i="2"/>
  <c r="G37" i="2" s="1"/>
  <c r="H37" i="2" s="1"/>
  <c r="F37" i="2"/>
  <c r="E38" i="2"/>
  <c r="H38" i="2" s="1"/>
  <c r="F38" i="2"/>
  <c r="E39" i="2"/>
  <c r="F39" i="2"/>
  <c r="F3" i="2"/>
  <c r="E3" i="2"/>
  <c r="G3" i="2" s="1"/>
  <c r="G6" i="1"/>
  <c r="H6" i="1" s="1"/>
  <c r="G7" i="1"/>
  <c r="H7" i="1" s="1"/>
  <c r="H4" i="1"/>
  <c r="H5" i="1"/>
  <c r="H20" i="1"/>
  <c r="H21" i="1"/>
  <c r="H24" i="1"/>
  <c r="H25" i="1"/>
  <c r="H26" i="1"/>
  <c r="H30" i="1"/>
  <c r="H31" i="1"/>
  <c r="H36" i="1"/>
  <c r="H39" i="1"/>
  <c r="H44" i="1"/>
  <c r="H45" i="1"/>
  <c r="E4" i="1"/>
  <c r="F4" i="1"/>
  <c r="E5" i="1"/>
  <c r="F5" i="1"/>
  <c r="E6" i="1"/>
  <c r="F6" i="1"/>
  <c r="E7" i="1"/>
  <c r="F7" i="1"/>
  <c r="E8" i="1"/>
  <c r="G8" i="1" s="1"/>
  <c r="H8" i="1" s="1"/>
  <c r="F8" i="1"/>
  <c r="E9" i="1"/>
  <c r="G9" i="1" s="1"/>
  <c r="H9" i="1" s="1"/>
  <c r="F9" i="1"/>
  <c r="E10" i="1"/>
  <c r="G10" i="1" s="1"/>
  <c r="H10" i="1" s="1"/>
  <c r="F10" i="1"/>
  <c r="E11" i="1"/>
  <c r="G11" i="1" s="1"/>
  <c r="H11" i="1" s="1"/>
  <c r="F11" i="1"/>
  <c r="E12" i="1"/>
  <c r="G12" i="1" s="1"/>
  <c r="H12" i="1" s="1"/>
  <c r="F12" i="1"/>
  <c r="E13" i="1"/>
  <c r="G13" i="1" s="1"/>
  <c r="H13" i="1" s="1"/>
  <c r="F13" i="1"/>
  <c r="E14" i="1"/>
  <c r="G14" i="1" s="1"/>
  <c r="H14" i="1" s="1"/>
  <c r="F14" i="1"/>
  <c r="E15" i="1"/>
  <c r="G15" i="1" s="1"/>
  <c r="H15" i="1" s="1"/>
  <c r="F15" i="1"/>
  <c r="E16" i="1"/>
  <c r="G16" i="1" s="1"/>
  <c r="H16" i="1" s="1"/>
  <c r="F16" i="1"/>
  <c r="E17" i="1"/>
  <c r="G17" i="1" s="1"/>
  <c r="H17" i="1" s="1"/>
  <c r="F17" i="1"/>
  <c r="E18" i="1"/>
  <c r="G18" i="1" s="1"/>
  <c r="H18" i="1" s="1"/>
  <c r="F18" i="1"/>
  <c r="E19" i="1"/>
  <c r="G19" i="1" s="1"/>
  <c r="H19" i="1" s="1"/>
  <c r="F19" i="1"/>
  <c r="E20" i="1"/>
  <c r="F20" i="1"/>
  <c r="E21" i="1"/>
  <c r="F21" i="1"/>
  <c r="E22" i="1"/>
  <c r="G22" i="1" s="1"/>
  <c r="H22" i="1" s="1"/>
  <c r="F22" i="1"/>
  <c r="E23" i="1"/>
  <c r="G23" i="1" s="1"/>
  <c r="H23" i="1" s="1"/>
  <c r="F23" i="1"/>
  <c r="E24" i="1"/>
  <c r="F24" i="1"/>
  <c r="E25" i="1"/>
  <c r="F25" i="1"/>
  <c r="E26" i="1"/>
  <c r="F26" i="1"/>
  <c r="E27" i="1"/>
  <c r="G27" i="1" s="1"/>
  <c r="H27" i="1" s="1"/>
  <c r="F27" i="1"/>
  <c r="E28" i="1"/>
  <c r="G28" i="1" s="1"/>
  <c r="H28" i="1" s="1"/>
  <c r="F28" i="1"/>
  <c r="E29" i="1"/>
  <c r="G29" i="1" s="1"/>
  <c r="H29" i="1" s="1"/>
  <c r="F29" i="1"/>
  <c r="E30" i="1"/>
  <c r="F30" i="1"/>
  <c r="E31" i="1"/>
  <c r="F31" i="1"/>
  <c r="E32" i="1"/>
  <c r="G32" i="1" s="1"/>
  <c r="H32" i="1" s="1"/>
  <c r="F32" i="1"/>
  <c r="E33" i="1"/>
  <c r="F33" i="1"/>
  <c r="G33" i="1" s="1"/>
  <c r="H33" i="1" s="1"/>
  <c r="E34" i="1"/>
  <c r="F34" i="1"/>
  <c r="G34" i="1" s="1"/>
  <c r="H34" i="1" s="1"/>
  <c r="E35" i="1"/>
  <c r="F35" i="1"/>
  <c r="G35" i="1" s="1"/>
  <c r="H35" i="1" s="1"/>
  <c r="E36" i="1"/>
  <c r="F36" i="1"/>
  <c r="E37" i="1"/>
  <c r="G37" i="1" s="1"/>
  <c r="H37" i="1" s="1"/>
  <c r="F37" i="1"/>
  <c r="E38" i="1"/>
  <c r="F38" i="1"/>
  <c r="G38" i="1" s="1"/>
  <c r="H38" i="1" s="1"/>
  <c r="E39" i="1"/>
  <c r="F39" i="1"/>
  <c r="E40" i="1"/>
  <c r="G40" i="1" s="1"/>
  <c r="H40" i="1" s="1"/>
  <c r="F40" i="1"/>
  <c r="E41" i="1"/>
  <c r="G41" i="1" s="1"/>
  <c r="H41" i="1" s="1"/>
  <c r="F41" i="1"/>
  <c r="E42" i="1"/>
  <c r="F42" i="1"/>
  <c r="G42" i="1" s="1"/>
  <c r="H42" i="1" s="1"/>
  <c r="E43" i="1"/>
  <c r="G43" i="1" s="1"/>
  <c r="H43" i="1" s="1"/>
  <c r="F43" i="1"/>
  <c r="E44" i="1"/>
  <c r="F44" i="1"/>
  <c r="E45" i="1"/>
  <c r="F45" i="1"/>
  <c r="E46" i="1"/>
  <c r="F46" i="1"/>
  <c r="G46" i="1" s="1"/>
  <c r="H46" i="1" s="1"/>
  <c r="E47" i="1"/>
  <c r="F47" i="1"/>
  <c r="G47" i="1" s="1"/>
  <c r="H47" i="1" s="1"/>
  <c r="E48" i="1"/>
  <c r="F48" i="1"/>
  <c r="G48" i="1" s="1"/>
  <c r="H48" i="1" s="1"/>
  <c r="E49" i="1"/>
  <c r="F49" i="1"/>
  <c r="G49" i="1" s="1"/>
  <c r="H49" i="1" s="1"/>
  <c r="E50" i="1"/>
  <c r="F50" i="1"/>
  <c r="G50" i="1" s="1"/>
  <c r="H50" i="1" s="1"/>
  <c r="E51" i="1"/>
  <c r="F51" i="1"/>
  <c r="G51" i="1" s="1"/>
  <c r="H51" i="1" s="1"/>
  <c r="E52" i="1"/>
  <c r="F52" i="1"/>
  <c r="G52" i="1" s="1"/>
  <c r="H52" i="1" s="1"/>
  <c r="E53" i="1"/>
  <c r="F53" i="1"/>
  <c r="G53" i="1" s="1"/>
  <c r="H53" i="1" s="1"/>
  <c r="E54" i="1"/>
  <c r="F54" i="1"/>
  <c r="G54" i="1" s="1"/>
  <c r="H54" i="1" s="1"/>
  <c r="E55" i="1"/>
  <c r="F55" i="1"/>
  <c r="G55" i="1" s="1"/>
  <c r="H55" i="1" s="1"/>
  <c r="E56" i="1"/>
  <c r="F56" i="1"/>
  <c r="G56" i="1" s="1"/>
  <c r="H56" i="1" s="1"/>
  <c r="F3" i="1"/>
  <c r="G3" i="1" s="1"/>
  <c r="H3" i="1" s="1"/>
  <c r="E3" i="1"/>
  <c r="H1" i="26" l="1"/>
  <c r="H1" i="13"/>
  <c r="H1" i="21"/>
  <c r="H1" i="14"/>
  <c r="H1" i="17"/>
  <c r="H1" i="11"/>
  <c r="H1" i="9"/>
  <c r="H1" i="7"/>
  <c r="H3" i="2"/>
  <c r="H1" i="2" s="1"/>
  <c r="H31" i="6"/>
  <c r="H41" i="6"/>
  <c r="H29" i="6"/>
  <c r="H25" i="6"/>
  <c r="H19" i="6"/>
  <c r="H7" i="6"/>
  <c r="H6" i="6"/>
  <c r="H5" i="6"/>
  <c r="H1" i="6" s="1"/>
  <c r="H3" i="5"/>
  <c r="H1" i="5" s="1"/>
  <c r="H1" i="4"/>
  <c r="H51" i="3"/>
  <c r="H1" i="3"/>
  <c r="H1" i="1"/>
</calcChain>
</file>

<file path=xl/sharedStrings.xml><?xml version="1.0" encoding="utf-8"?>
<sst xmlns="http://schemas.openxmlformats.org/spreadsheetml/2006/main" count="2856" uniqueCount="116">
  <si>
    <t>Bắp Cải Tím</t>
  </si>
  <si>
    <t>Kg</t>
  </si>
  <si>
    <t>Bắp Cải Trái Tim</t>
  </si>
  <si>
    <t>Bí Đao Xanh</t>
  </si>
  <si>
    <t>Bí Ngòi Xanh</t>
  </si>
  <si>
    <t>Trái 280gr</t>
  </si>
  <si>
    <t>Bí Non Nhật</t>
  </si>
  <si>
    <t>Trái</t>
  </si>
  <si>
    <t>Bông Cải Xanh Baby</t>
  </si>
  <si>
    <t>Vỉ</t>
  </si>
  <si>
    <t>Cà Chua Beef Trung</t>
  </si>
  <si>
    <t>kg</t>
  </si>
  <si>
    <t>Cà Chua Bi Đỏ</t>
  </si>
  <si>
    <t>Hộp 300gr</t>
  </si>
  <si>
    <t>Cà Chua Bi Mix</t>
  </si>
  <si>
    <t>Hộp</t>
  </si>
  <si>
    <t>Cà Chua Socola</t>
  </si>
  <si>
    <t>Cà Chua Thường</t>
  </si>
  <si>
    <t>Cà Rốt</t>
  </si>
  <si>
    <t>Cà Rốt Baby</t>
  </si>
  <si>
    <t>Cải Bó Xôi</t>
  </si>
  <si>
    <t>Cải Kale</t>
  </si>
  <si>
    <t>Túi</t>
  </si>
  <si>
    <t>Túi 150gr</t>
  </si>
  <si>
    <t>Cải Thảo</t>
  </si>
  <si>
    <t>Cần Tây</t>
  </si>
  <si>
    <t>Cây</t>
  </si>
  <si>
    <t>Chanh Không Hạt</t>
  </si>
  <si>
    <t>Củ Cải Đỏ</t>
  </si>
  <si>
    <t>Củ Cải Trắng</t>
  </si>
  <si>
    <t>Củ Hành Tây</t>
  </si>
  <si>
    <t>Túi 300gr</t>
  </si>
  <si>
    <t>Củ Hành Tây Tím</t>
  </si>
  <si>
    <t>Củ Khoai Lang Mật Size 46</t>
  </si>
  <si>
    <t>Củ Khoai Lang Nhật</t>
  </si>
  <si>
    <t>Củ Khoai Tây Vàng</t>
  </si>
  <si>
    <t>Đậu Cove Nhật</t>
  </si>
  <si>
    <t>Đậu Cove Trắng</t>
  </si>
  <si>
    <t>Đậu Đỏ</t>
  </si>
  <si>
    <t>Dưa Leo Baby</t>
  </si>
  <si>
    <t>Dưa Leo Nhật</t>
  </si>
  <si>
    <t>Hành Paro</t>
  </si>
  <si>
    <t>Lá É</t>
  </si>
  <si>
    <t>Lá Hương Thảo</t>
  </si>
  <si>
    <t>Lá Mè</t>
  </si>
  <si>
    <t>Măng Tây</t>
  </si>
  <si>
    <t>Ớt Chuông Ba Màu</t>
  </si>
  <si>
    <t>Ớt Chuông Baby</t>
  </si>
  <si>
    <t>Ớt Chuông Đỏ</t>
  </si>
  <si>
    <t>Ớt Chuông Snack</t>
  </si>
  <si>
    <t>Ớt Chuông Vàng</t>
  </si>
  <si>
    <t>Trái 180gr</t>
  </si>
  <si>
    <t>Ớt Chuông Xanh</t>
  </si>
  <si>
    <t>Ớt Sweet Palemo</t>
  </si>
  <si>
    <t>Rau Ngò Rí</t>
  </si>
  <si>
    <t>Xà Lách Lolo Xanh</t>
  </si>
  <si>
    <t>Xà Lách Lolo Xanh T.C Cây</t>
  </si>
  <si>
    <t>Xà Lách Mỡ T.C Cây</t>
  </si>
  <si>
    <t>Xà Lách Mỹ</t>
  </si>
  <si>
    <t>Xà Lách Rocket</t>
  </si>
  <si>
    <t>Xà Lách Romaine</t>
  </si>
  <si>
    <t>Xà Lách Thủy Tinh T.C Cây</t>
  </si>
  <si>
    <t>KG</t>
  </si>
  <si>
    <t>Bông Cải Xanh 7Cm</t>
  </si>
  <si>
    <t>Củ Su Hào</t>
  </si>
  <si>
    <t>Lá Nha Đam</t>
  </si>
  <si>
    <t xml:space="preserve">Bí Nhật non </t>
  </si>
  <si>
    <t>NGÀY</t>
  </si>
  <si>
    <t>SẢN PHẨM</t>
  </si>
  <si>
    <t>ĐVT</t>
  </si>
  <si>
    <t>SL</t>
  </si>
  <si>
    <t>3 đk</t>
  </si>
  <si>
    <t>2 đk</t>
  </si>
  <si>
    <t>GIÁ</t>
  </si>
  <si>
    <t>THÀNH TIỀN</t>
  </si>
  <si>
    <t>Xà Lách Mỡ T.C</t>
  </si>
  <si>
    <t>Cà chua thường</t>
  </si>
  <si>
    <t>TRÁI</t>
  </si>
  <si>
    <t>Cà Chua Beef</t>
  </si>
  <si>
    <t>Vỉ 500gr</t>
  </si>
  <si>
    <t>Củ Dền</t>
  </si>
  <si>
    <t>Dưa Leo Thường</t>
  </si>
  <si>
    <t>Lá Tía Tô</t>
  </si>
  <si>
    <t>Xà Lách Lolo Tím</t>
  </si>
  <si>
    <t>cây</t>
  </si>
  <si>
    <t>Bắp Cải Trắng</t>
  </si>
  <si>
    <t>Bông Cải Trắng</t>
  </si>
  <si>
    <t>Cà Rốt Trung</t>
  </si>
  <si>
    <t>Củ Khoai Lang Nhật Baby</t>
  </si>
  <si>
    <t>Túi 500gr</t>
  </si>
  <si>
    <t>xà lách mỡ t.c cây</t>
  </si>
  <si>
    <t>dưa leo thường</t>
  </si>
  <si>
    <t>xà lách lolo xanh</t>
  </si>
  <si>
    <t>Bí Ngô Mini</t>
  </si>
  <si>
    <t>Hồng Treo Gió</t>
  </si>
  <si>
    <t>Cà Tím Sọc Pha Lê</t>
  </si>
  <si>
    <t>Xà Lách Mỡ t.c</t>
  </si>
  <si>
    <t>Túi 150Gr</t>
  </si>
  <si>
    <t>Củ Khoai Mỡ</t>
  </si>
  <si>
    <t>Xà Lách Lolo Xanh T.C</t>
  </si>
  <si>
    <t>bắp cải trắng</t>
  </si>
  <si>
    <t>củ cải trắng</t>
  </si>
  <si>
    <t>củ cải đỏ</t>
  </si>
  <si>
    <t>lá mè</t>
  </si>
  <si>
    <t>bắp cải tím</t>
  </si>
  <si>
    <t>trái</t>
  </si>
  <si>
    <t>Vỉ 500Gr</t>
  </si>
  <si>
    <t>củ khoai lang nhật baby</t>
  </si>
  <si>
    <t>Bí Đỏ Tròn</t>
  </si>
  <si>
    <t>Lá Quế Tây</t>
  </si>
  <si>
    <t>Xà Lách Mỡ t.C</t>
  </si>
  <si>
    <t>Rau Mầm</t>
  </si>
  <si>
    <t>cà chua bi đỏ</t>
  </si>
  <si>
    <t>hộp</t>
  </si>
  <si>
    <t>Hộp 250gr</t>
  </si>
  <si>
    <t>túi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</si>
</sst>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C5134" t="str">
            <v>Gói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C5135" t="str">
            <v>Gói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C5136" t="str">
            <v>Lít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C5137" t="str">
            <v>Kg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C5138" t="str">
            <v>Kg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C5139" t="str">
            <v>Kg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C5140" t="str">
            <v>Kg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C5141" t="str">
            <v>Kg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C5142" t="str">
            <v>Kg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C5143" t="str">
            <v>Kg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C5144" t="str">
            <v>Kg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C5145" t="str">
            <v>Kg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C5146" t="str">
            <v>Kg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C5147" t="str">
            <v>Kg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C5148" t="str">
            <v>Trái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C5149" t="str">
            <v>Kg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C5150" t="str">
            <v>Kg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C5151" t="str">
            <v>Kg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C5152" t="str">
            <v>Kg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C5153" t="str">
            <v>Kg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C5154" t="str">
            <v>Kg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C5155" t="str">
            <v>Kg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C5156" t="str">
            <v>Kg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C5157" t="str">
            <v>Kg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C5158" t="str">
            <v>Kg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C5159" t="str">
            <v>Kg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C5160" t="str">
            <v>Kg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C5161" t="str">
            <v>Kg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C5162" t="str">
            <v>Kg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C5163" t="str">
            <v>Kg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C5164" t="str">
            <v>Kg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C5165" t="str">
            <v>Kg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C5166" t="str">
            <v>Kg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C5167" t="str">
            <v>Kg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C5168" t="str">
            <v>Cặp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C5169" t="str">
            <v>Kg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C5170" t="str">
            <v>Kg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C5171" t="str">
            <v>Kg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C5172" t="str">
            <v>Kg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C5173" t="str">
            <v>Kg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C5174" t="str">
            <v>Kg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C5175" t="str">
            <v>Kg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C5176" t="str">
            <v>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C5177" t="str">
            <v>Kg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C5178" t="str">
            <v>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C5179" t="str">
            <v>Túi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C5180" t="str">
            <v>Kg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C5181" t="str">
            <v>Kg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C5182" t="str">
            <v>Kg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C5183" t="str">
            <v>Kg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C5184" t="str">
            <v>Kg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C5185" t="str">
            <v>Kg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C5186" t="str">
            <v>Kg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C5187" t="str">
            <v>Kg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C5188" t="str">
            <v>Kg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C5189" t="str">
            <v>Kg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C5190" t="str">
            <v>Kg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C5191" t="str">
            <v>Kg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C5192" t="str">
            <v>Kg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C5193" t="str">
            <v>Kg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C5194" t="str">
            <v>Kg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C5195" t="str">
            <v>Kg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C5196" t="str">
            <v>Kg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C5197" t="str">
            <v>Kg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C5198" t="str">
            <v>Kg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C5199" t="str">
            <v>Kg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C5200" t="str">
            <v>Túi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C5201" t="str">
            <v>Kg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C5202" t="str">
            <v>Kg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C5203" t="str">
            <v>Kg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C5204" t="str">
            <v>Kg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C5205" t="str">
            <v>Túi 300gr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C5206" t="str">
            <v>Kg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C5207" t="str">
            <v>Vỉ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C5208" t="str">
            <v>Kg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C5209" t="str">
            <v>Túi 500gr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C5210" t="str">
            <v>Túi 500gr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C5211" t="str">
            <v>Kg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C5212" t="str">
            <v>Túi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C5213" t="str">
            <v>Hộp 300gr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C5214" t="str">
            <v>Hộp 500gr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C5215" t="str">
            <v>Kg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C5216" t="str">
            <v>Kg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C5217" t="str">
            <v>Kg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C5218" t="str">
            <v>Kg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C5219" t="str">
            <v>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C5220" t="str">
            <v>Kg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C5221" t="str">
            <v>Vỉ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C5222" t="str">
            <v>Túi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C5223" t="str">
            <v>Kg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C5224" t="str">
            <v>Túi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C5225" t="str">
            <v>Vỉ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C5226" t="str">
            <v>Vỉ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C5227" t="str">
            <v>Vỉ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C5228" t="str">
            <v>Hộp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C5229" t="str">
            <v>Kg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C5230" t="str">
            <v>Vỉ 500gr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C5231" t="str">
            <v>Túi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C5232" t="str">
            <v>Kg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C5233" t="str">
            <v>Kg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C5234" t="str">
            <v>Kg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C5235" t="str">
            <v>Kg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C5236" t="str">
            <v>Vỉ 650gr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C5237" t="str">
            <v>Kg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C5238" t="str">
            <v>Vỉ 500gr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C5239" t="str">
            <v>Kg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C5240" t="str">
            <v>Kg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C5241" t="str">
            <v>Kg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C5242" t="str">
            <v>Túi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C5243" t="str">
            <v>Hộp 300gr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C5244" t="str">
            <v>Hộp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C5245" t="str">
            <v>Vỉ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C5246" t="str">
            <v>Kg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C5247" t="str">
            <v>Kg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C5248" t="str">
            <v>Kg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C5249" t="str">
            <v>Lít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C5250" t="str">
            <v>Lít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C5251" t="str">
            <v>Kg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C5252" t="str">
            <v>Kg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C5253" t="str">
            <v>Kg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C5254" t="str">
            <v>Túi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C5255" t="str">
            <v>Kg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C5256" t="str">
            <v>Vỉ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C5257" t="str">
            <v>Túi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C5258" t="str">
            <v>Hộp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C5259" t="str">
            <v>Túi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C5260" t="str">
            <v>Vỉ 650gr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C5261" t="str">
            <v>Vỉ 500gr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C5262" t="str">
            <v>Kg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C5263" t="str">
            <v>Kg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C5264" t="str">
            <v>Kg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C5265" t="str">
            <v>Kg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C5266" t="str">
            <v>Kg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C5267" t="str">
            <v>Kg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C5268" t="str">
            <v>Kg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C5269" t="str">
            <v>Kg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C5270" t="str">
            <v>Kg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C5271" t="str">
            <v>Kg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C5272" t="str">
            <v>Kg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C5273" t="str">
            <v>Kg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C5274" t="str">
            <v>Kg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C5275" t="str">
            <v>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C5276" t="str">
            <v>Kg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C5277" t="str">
            <v>Kg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C5278" t="str">
            <v>Kg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C5279" t="str">
            <v>Kg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C5280" t="str">
            <v>Kg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C5281" t="str">
            <v>Kg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C5282" t="str">
            <v>Kg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C5283" t="str">
            <v>Kg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C5284" t="str">
            <v>Kg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C5285" t="str">
            <v>Kg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C5286" t="str">
            <v>Kg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C5287" t="str">
            <v>Kg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C5288" t="str">
            <v>Cây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C5289" t="str">
            <v>Kg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C5290" t="str">
            <v>Kg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C5291" t="str">
            <v>Kg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C5292" t="str">
            <v>Kg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C5293" t="str">
            <v>Kg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C5294" t="str">
            <v>Kg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C5295" t="str">
            <v>Kg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C5296" t="str">
            <v>Kg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C5297" t="str">
            <v>Kg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C5298" t="str">
            <v>Hộp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C5299" t="str">
            <v>Kg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C5300" t="str">
            <v>Kg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C5301" t="str">
            <v>Kg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C5302" t="str">
            <v>Kg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C5303" t="str">
            <v>Kg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C5304" t="str">
            <v>Túi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C5305" t="str">
            <v>Túi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C5306" t="str">
            <v>Kg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C5307" t="str">
            <v>Kg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C5308" t="str">
            <v>Kg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C5309" t="str">
            <v>Vỉ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C5310" t="str">
            <v>Kg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C5311" t="str">
            <v>Kg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C5312" t="str">
            <v>Kg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C5313" t="str">
            <v>Kg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C5314" t="str">
            <v>Kg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C5315" t="str">
            <v>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C5316" t="str">
            <v>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C5317" t="str">
            <v>Kg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C5318" t="str">
            <v>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C5319" t="str">
            <v>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C5320" t="str">
            <v>Kg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C5321" t="str">
            <v>Kg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C5322" t="str">
            <v>Kg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C5323" t="str">
            <v>Kg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C5324" t="str">
            <v>Kg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C5325" t="str">
            <v>Kg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C5326" t="str">
            <v>Kg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C5327" t="str">
            <v>Kg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C5328" t="str">
            <v>Kg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C5329" t="str">
            <v>Túi 500gr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C5330" t="str">
            <v>Kg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C5331" t="str">
            <v>Túi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C5332" t="str">
            <v>Vỉ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C5333" t="str">
            <v>Túi 500gr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C5334" t="str">
            <v>Kg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C5335" t="str">
            <v>Kg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C5336" t="str">
            <v>Kg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C5337" t="str">
            <v>Kg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C5338" t="str">
            <v>Kg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C5339" t="str">
            <v>Hộp 300gr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C5340" t="str">
            <v>Hộp 500gr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C5341" t="str">
            <v>Kg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C5342" t="str">
            <v>Kg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C5343" t="str">
            <v>Kg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C5344" t="str">
            <v>Kg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C5345" t="str">
            <v>Kg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C5346" t="str">
            <v>Vỉ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C5347" t="str">
            <v>Túi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C5348" t="str">
            <v>Túi 150gr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C5349" t="str">
            <v>Túi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C5350" t="str">
            <v>Vỉ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C5351" t="str">
            <v>Vỉ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C5352" t="str">
            <v>Vỉ 500gr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C5353" t="str">
            <v>Túi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C5354" t="str">
            <v>Kg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C5355" t="str">
            <v>Hộp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C5356" t="str">
            <v>Kg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C5357" t="str">
            <v>Kg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C5358" t="str">
            <v>Kg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C5359" t="str">
            <v>Kg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C5360" t="str">
            <v>Kg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C5361" t="str">
            <v>Kg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C5362" t="str">
            <v>Kg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C5363" t="str">
            <v>Kg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C5364" t="str">
            <v>Kg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C5365" t="str">
            <v>Kg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C5366" t="str">
            <v>Kg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C5367" t="str">
            <v>Túi 500gr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C5368" t="str">
            <v>Kg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C5369" t="str">
            <v/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C5370" t="str">
            <v/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C5371" t="str">
            <v>Lít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C5372" t="str">
            <v/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C5373" t="str">
            <v/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C5374" t="str">
            <v>Tháng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C5375" t="str">
            <v>Kg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C5376" t="str">
            <v>Kg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C5377" t="str">
            <v>Kg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C5378" t="str">
            <v>Kg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C5379" t="str">
            <v>Cây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C5380" t="str">
            <v>Kg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C5381" t="str">
            <v>Kg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C5382" t="str">
            <v>Kg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C5383" t="str">
            <v>Kg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C5384" t="str">
            <v>Kg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C5385" t="str">
            <v>Kg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C5386" t="str">
            <v>Kg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C5387" t="str">
            <v>Kg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C5388" t="str">
            <v>Kg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C5389" t="str">
            <v>Kg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C5390" t="str">
            <v>Hộp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C5391" t="str">
            <v>Kg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C5392" t="str">
            <v>Kg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C5393" t="str">
            <v>Kg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C5394" t="str">
            <v>Kg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C5395" t="str">
            <v>Kg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C5396" t="str">
            <v>Kg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C5397" t="str">
            <v>Kg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C5398" t="str">
            <v>Kg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C5399" t="str">
            <v>Kg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C5400" t="str">
            <v>Kg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C5401" t="str">
            <v>Kg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C5402" t="str">
            <v>Túi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C5403" t="str">
            <v>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C5404" t="str">
            <v>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C5405" t="str">
            <v>Kg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C5406" t="str">
            <v>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C5407" t="str">
            <v>Kg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C5408" t="str">
            <v>Kg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C5409" t="str">
            <v>Kg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C5410" t="str">
            <v>Kg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C5411" t="str">
            <v>Kg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C5412" t="str">
            <v>Kg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C5413" t="str">
            <v>Kg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C5414" t="str">
            <v>Kg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C5415" t="str">
            <v>Kg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C5416" t="str">
            <v>Kg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C5417" t="str">
            <v>Kg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C5418" t="str">
            <v>Túi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C5419" t="str">
            <v>Kg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C5420" t="str">
            <v>Kg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C5421" t="str">
            <v>Kg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C5422" t="str">
            <v>Kg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C5423" t="str">
            <v>Túi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C5424" t="str">
            <v>Túi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C5425" t="str">
            <v>Hộp 300gr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C5426" t="str">
            <v>Hộp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C5427" t="str">
            <v>Kg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C5428" t="str">
            <v>Kg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C5429" t="str">
            <v>Vỉ 500gr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C5430" t="str">
            <v>Kg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C5431" t="str">
            <v>Kg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C5432" t="str">
            <v>Túi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C5433" t="str">
            <v>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C5434" t="str">
            <v>Kg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C5435" t="str">
            <v>Kg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C5436" t="str">
            <v>Kg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C5437" t="str">
            <v>Kg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C5438" t="str">
            <v>Cặp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C5439" t="str">
            <v>Kg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C5440" t="str">
            <v>Túi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C5441" t="str">
            <v>Kg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C5442" t="str">
            <v>Kg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C5443" t="str">
            <v>Kg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C5444" t="str">
            <v>Kg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C5445" t="str">
            <v>Túi 500gr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C5446" t="str">
            <v>Túi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C5447" t="str">
            <v>Vỉ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C5448" t="str">
            <v>Túi 500gr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C5449" t="str">
            <v>Kg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C5450" t="str">
            <v>Kg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C5451" t="str">
            <v>Kg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C5452" t="str">
            <v>Hộp 300gr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C5453" t="str">
            <v>Hộp 500gr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C5454" t="str">
            <v>Kg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C5455" t="str">
            <v>Kg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C5456" t="str">
            <v>Kg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C5457" t="str">
            <v>Kg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C5458" t="str">
            <v>Kg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C5459" t="str">
            <v>Kg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C5460" t="str">
            <v>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C5461" t="str">
            <v>Kg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C5462" t="str">
            <v>Kg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C5463" t="str">
            <v>Kg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C5464" t="str">
            <v>Kg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C5465" t="str">
            <v>Kg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C5466" t="str">
            <v>Kg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C5467" t="str">
            <v>Kg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C5468" t="str">
            <v>Kg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C5469" t="str">
            <v>Kg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C5470" t="str">
            <v>Kg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C5471" t="str">
            <v>Kg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C5472" t="str">
            <v>Kg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C5473" t="str">
            <v>Kg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C5474" t="str">
            <v>Kg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C5475" t="str">
            <v>Kg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C5476" t="str">
            <v>Kg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C5477" t="str">
            <v>Kg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C5478" t="str">
            <v>Túi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C5479" t="str">
            <v>Vỉ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C5480" t="str">
            <v>Vỉ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C5481" t="str">
            <v>Vỉ 500gr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C5482" t="str">
            <v>Túi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C5483" t="str">
            <v>Kg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C5484" t="str">
            <v>Hộp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C5485" t="str">
            <v>Kg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C5486" t="str">
            <v>Kg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C5487" t="str">
            <v>Vỉ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C5488" t="str">
            <v>Túi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C5489" t="str">
            <v>Túi 150gr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C5490" t="str">
            <v>Túi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C5491" t="str">
            <v>Kg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C5492" t="str">
            <v>Kg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C5493" t="str">
            <v>Kg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C5494" t="str">
            <v>Kg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C5495" t="str">
            <v>Kg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C5496" t="str">
            <v>Vỉ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C5497" t="str">
            <v>Cuộn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C5498" t="str">
            <v>Kg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C5499" t="str">
            <v>Túi 500gr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C5500" t="str">
            <v>Mét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C5501" t="str">
            <v>Lít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C5502" t="str">
            <v>Kg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C5503" t="str">
            <v>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C5504" t="str">
            <v>Kg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C5505" t="str">
            <v>Kg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C5506" t="str">
            <v>Kg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C5507" t="str">
            <v>Kg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C5508" t="str">
            <v>Kg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C5509" t="str">
            <v>Kg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C5510" t="str">
            <v>Kg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C5511" t="str">
            <v>Kg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C5512" t="str">
            <v>Kg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C5513" t="str">
            <v>Kg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C5514" t="str">
            <v>Kg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C5515" t="str">
            <v>Kg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C5516" t="str">
            <v>Kg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C5517" t="str">
            <v>Túi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C5518" t="str">
            <v>Kg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C5519" t="str">
            <v>Kg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C5520" t="str">
            <v>Kg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C5521" t="str">
            <v>Hộp 250GR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C5522" t="str">
            <v>Kg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C5523" t="str">
            <v>Hộp 500gr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C5524" t="str">
            <v>Kg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C5525" t="str">
            <v>Kg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C5526" t="str">
            <v>Kg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C5527" t="str">
            <v>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C5528" t="str">
            <v>Kg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C5529" t="str">
            <v>Kg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C5530" t="str">
            <v>Kg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C5531" t="str">
            <v>Kg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C5532" t="str">
            <v>Kg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C5533" t="str">
            <v>Kg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C5534" t="str">
            <v>Kg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C5535" t="str">
            <v>Kg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C5536" t="str">
            <v>Cặp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C5537" t="str">
            <v>Kg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C5538" t="str">
            <v>Kg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C5539" t="str">
            <v>Kg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C5540" t="str">
            <v>Kg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C5541" t="str">
            <v>Kg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C5542" t="str">
            <v>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C5543" t="str">
            <v>Kg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C5544" t="str">
            <v>Hộp 300gr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C5545" t="str">
            <v>Hộp 500gr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C5546" t="str">
            <v>Túi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C5547" t="str">
            <v>Kg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C5548" t="str">
            <v>Kg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C5549" t="str">
            <v>Kg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C5550" t="str">
            <v>Kg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C5551" t="str">
            <v>Vỉ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C5552" t="str">
            <v>Vỉ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C5553" t="str">
            <v>Kg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C5554" t="str">
            <v>Kg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C5555" t="str">
            <v>Túi 500gr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C5556" t="str">
            <v>Túi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C5557" t="str">
            <v>Vỉ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C5558" t="str">
            <v>Vỉ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C5559" t="str">
            <v>Túi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C5560" t="str">
            <v>Túi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C5561" t="str">
            <v>Vỉ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C5562" t="str">
            <v>Hộp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C5563" t="str">
            <v>Kg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C5564" t="str">
            <v>Vỉ 500gr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C5565" t="str">
            <v>Kg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C5566" t="str">
            <v>Túi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C5567" t="str">
            <v>Kg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C5568" t="str">
            <v>Kg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C5569" t="str">
            <v>Kg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C5570" t="str">
            <v>Túi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C5571" t="str">
            <v>Kg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C5572" t="str">
            <v>Kg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C5573" t="str">
            <v>Kg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C5574" t="str">
            <v>Kg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C5575" t="str">
            <v>Túi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C5576" t="str">
            <v>Kg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C5577" t="str">
            <v>Kg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C5578" t="str">
            <v>Kg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C5579" t="str">
            <v>Kg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C5580" t="str">
            <v>Kg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C5581" t="str">
            <v>Kg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C5582" t="str">
            <v>Kg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C5583" t="str">
            <v>Kg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C5584" t="str">
            <v>Kg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C5585" t="str">
            <v>Kg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C5586" t="str">
            <v>Kg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C5587" t="str">
            <v>Kg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C5588" t="str">
            <v>Kg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C5589" t="str">
            <v>Kg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C5590" t="str">
            <v>Túi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C5591" t="str">
            <v>Hộp 300gr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C5592" t="str">
            <v>Hộp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C5593" t="str">
            <v>Kg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C5594" t="str">
            <v>Vỉ 650gr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C5595" t="str">
            <v>Vỉ 500gr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C5596" t="str">
            <v>Túi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C5597" t="str">
            <v>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C5598" t="str">
            <v>Kg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C5599" t="str">
            <v>Kg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C5600" t="str">
            <v>Túi 500gr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C5601" t="str">
            <v>Lít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C5602" t="str">
            <v>Lít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C5603" t="str">
            <v>Lần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C5604" t="str">
            <v>Kg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C5605" t="str">
            <v>Kg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C5606" t="str">
            <v>Kg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C5607" t="str">
            <v>Kg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C5608" t="str">
            <v>Kg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C5609" t="str">
            <v>Kg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C5610" t="str">
            <v>Kg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C5611" t="str">
            <v>Kg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C5612" t="str">
            <v>Kg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C5613" t="str">
            <v>Kg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C5614" t="str">
            <v>Kg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C5615" t="str">
            <v>Kg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C5616" t="str">
            <v>Kg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C5617" t="str">
            <v>Kg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C5618" t="str">
            <v>Kg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C5619" t="str">
            <v>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C5620" t="str">
            <v>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C5621" t="str">
            <v>Kg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C5622" t="str">
            <v>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C5623" t="str">
            <v>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C5624" t="str">
            <v>Kg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C5625" t="str">
            <v>Kg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C5626" t="str">
            <v>Kg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C5627" t="str">
            <v>Kg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C5628" t="str">
            <v>Túi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C5629" t="str">
            <v>Kg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C5630" t="str">
            <v>Kg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C5631" t="str">
            <v>Kg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C5632" t="str">
            <v>Kg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C5633" t="str">
            <v>Kg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C5634" t="str">
            <v>Kg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C5635" t="str">
            <v>Kg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C5636" t="str">
            <v>Kg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C5637" t="str">
            <v>Kg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C5638" t="str">
            <v>Kg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C5639" t="str">
            <v>Kg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C5640" t="str">
            <v>Kg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C5641" t="str">
            <v>Kg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C5642" t="str">
            <v>Túi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C5643" t="str">
            <v>Kg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C5644" t="str">
            <v>Kg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C5645" t="str">
            <v>Kg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C5646" t="str">
            <v>Kg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C5647" t="str">
            <v>Kg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C5648" t="str">
            <v>Kg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C5649" t="str">
            <v>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C5650" t="str">
            <v>Kg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C5651" t="str">
            <v>Cặp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C5652" t="str">
            <v>Kg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C5653" t="str">
            <v>Kg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C5654" t="str">
            <v>Kg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C5655" t="str">
            <v>Kg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C5656" t="str">
            <v>Kg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C5657" t="str">
            <v>Kg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C5658" t="str">
            <v>Kg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C5659" t="str">
            <v>Kg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C5660" t="str">
            <v>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C5661" t="str">
            <v>Hộp 300gr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C5662" t="str">
            <v>Hộp 500gr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C5663" t="str">
            <v>Kg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C5664" t="str">
            <v>Kg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C5665" t="str">
            <v>Kg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C5666" t="str">
            <v>Kg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C5667" t="str">
            <v>Kg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C5668" t="str">
            <v>Hộp 250GR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C5669" t="str">
            <v>Kg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C5670" t="str">
            <v>Kg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C5671" t="str">
            <v>Vỉ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C5672" t="str">
            <v>Hộp 300gr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C5673" t="str">
            <v>Hộp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C5674" t="str">
            <v>Kg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C5675" t="str">
            <v>Túi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C5676" t="str">
            <v>Vỉ 650gr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C5677" t="str">
            <v>Vỉ 500gr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C5678" t="str">
            <v>Kg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C5679" t="str">
            <v>Kg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C5680" t="str">
            <v>Vỉ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C5681" t="str">
            <v>Kg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C5682" t="str">
            <v>Kg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C5683" t="str">
            <v>Túi 500gr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C5684" t="str">
            <v>Túi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C5685" t="str">
            <v>Kg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C5686" t="str">
            <v>Kg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C5687" t="str">
            <v>Hộp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C5688" t="str">
            <v>Kg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C5689" t="str">
            <v>Kg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C5690" t="str">
            <v>Kg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C5691" t="str">
            <v>Kg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C5692" t="str">
            <v>Kg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C5693" t="str">
            <v>Kg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C5694" t="str">
            <v>Kg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C5695" t="str">
            <v>Kg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C5696" t="str">
            <v>Vỉ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C5697" t="str">
            <v>Kg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C5698" t="str">
            <v>Kg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C5699" t="str">
            <v>Kg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C5700" t="str">
            <v>Vỉ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C5701" t="str">
            <v>Vỉ 500gr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C5702" t="str">
            <v>Kg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C5703" t="str">
            <v>Hộp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C5704" t="str">
            <v>Kg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C5705" t="str">
            <v>Túi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C5706" t="str">
            <v>Kg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C5707" t="str">
            <v>Kg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C5708" t="str">
            <v>Vỉ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C5709" t="str">
            <v>Túi 150gr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C5710" t="str">
            <v>Túi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C5711" t="str">
            <v>Túi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C5712" t="str">
            <v>Vỉ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C5713" t="str">
            <v>Kg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C5714" t="str">
            <v>Túi 500gr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C5715" t="str">
            <v>Lít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C5716" t="str">
            <v>Kg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C5717" t="str">
            <v>Kg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C5718" t="str">
            <v>Kg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C5719" t="str">
            <v>Kg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C5720" t="str">
            <v>Hộp 250GR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C5721" t="str">
            <v>Hộp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C5722" t="str">
            <v>Vỉ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C5723" t="str">
            <v>Kg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C5724" t="str">
            <v>Kg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C5725" t="str">
            <v>Kg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C5726" t="str">
            <v>Vỉ 500gr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C5727" t="str">
            <v>Túi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C5728" t="str">
            <v>Vỉ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C5729" t="str">
            <v>Túi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C5730" t="str">
            <v>Vỉ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C5731" t="str">
            <v>Kg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C5732" t="str">
            <v>Kg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C5733" t="str">
            <v>Vỉ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C5734" t="str">
            <v>Kg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C5735" t="str">
            <v>Kg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C5736" t="str">
            <v>Túi 500gr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C5737" t="str">
            <v>Túi 300gr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C5738" t="str">
            <v>Kg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C5739" t="str">
            <v>Hộp 300gr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C5740" t="str">
            <v>Hộp 500gr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C5741" t="str">
            <v>Kg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C5742" t="str">
            <v>Kg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C5743" t="str">
            <v>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C5744" t="str">
            <v>Kg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C5745" t="str">
            <v>Kg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C5746" t="str">
            <v>Kg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C5747" t="str">
            <v>Kg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C5748" t="str">
            <v>Túi 500gr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C5749" t="str">
            <v>Túi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C5750" t="str">
            <v>Kg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C5751" t="str">
            <v>Kg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C5752" t="str">
            <v>Kg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C5753" t="str">
            <v>Kg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C5754" t="str">
            <v>Kg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C5755" t="str">
            <v>Kg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C5756" t="str">
            <v>Kg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C5757" t="str">
            <v>Kg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C5758" t="str">
            <v>Kg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C5759" t="str">
            <v>Kg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C5760" t="str">
            <v>Kg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C5761" t="str">
            <v>Kg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C5762" t="str">
            <v>Kg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C5763" t="str">
            <v>Kg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C5764" t="str">
            <v>Kg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C5765" t="str">
            <v>Kg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C5766" t="str">
            <v>Kg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C5767" t="str">
            <v>Kg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C5768" t="str">
            <v>Kg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C5769" t="str">
            <v>Kg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C5770" t="str">
            <v>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C5771" t="str">
            <v>Hộp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C5772" t="str">
            <v>Kg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C5773" t="str">
            <v>Kg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C5774" t="str">
            <v>Kg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C5775" t="str">
            <v>Kg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C5776" t="str">
            <v>Kg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C5777" t="str">
            <v>Kg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C5778" t="str">
            <v>Kg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C5779" t="str">
            <v>Kg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C5780" t="str">
            <v>Kg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C5781" t="str">
            <v>Cặp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C5782" t="str">
            <v>Kg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C5783" t="str">
            <v>Kg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C5784" t="str">
            <v>Kg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C5785" t="str">
            <v>Kg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C5786" t="str">
            <v>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C5787" t="str">
            <v>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C5788" t="str">
            <v>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C5789" t="str">
            <v>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C5790" t="str">
            <v>Kg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C5791" t="str">
            <v>Kg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C5792" t="str">
            <v>Kg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C5793" t="str">
            <v>Kg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C5794" t="str">
            <v>Kg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C5795" t="str">
            <v>Kg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C5796" t="str">
            <v>Kg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C5797" t="str">
            <v>Kg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C5798" t="str">
            <v>Kg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C5799" t="str">
            <v>Kg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C5800" t="str">
            <v>Kg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C5801" t="str">
            <v>Kg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C5802" t="str">
            <v>Kg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C5803" t="str">
            <v>Kg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C5804" t="str">
            <v>Kg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C5805" t="str">
            <v>Kg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C5806" t="str">
            <v>Kg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C5807" t="str">
            <v>Kg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C5808" t="str">
            <v>Kg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C5809" t="str">
            <v>Kg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C5810" t="str">
            <v>Kg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C5811" t="str">
            <v>Kg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C5812" t="str">
            <v>Túi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C5813" t="str">
            <v>Kg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C5814" t="str">
            <v>Kg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C5815" t="str">
            <v>Trái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C5816" t="str">
            <v>Hộp 250GR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C5817" t="str">
            <v>Kg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C5818" t="str">
            <v>Kg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C5819" t="str">
            <v>Kg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C5820" t="str">
            <v>Kg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C5821" t="str">
            <v>Vỉ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C5822" t="str">
            <v>Hộp 250GR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C5823" t="str">
            <v>Túi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C5824" t="str">
            <v>Kg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C5825" t="str">
            <v>Túi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C5826" t="str">
            <v>Vỉ 650gr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C5827" t="str">
            <v>Vỉ 500gr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C5828" t="str">
            <v>Kg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C5829" t="str">
            <v>Kg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C5830" t="str">
            <v>Kg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C5831" t="str">
            <v>Chiếc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C5832" t="str">
            <v>Lít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C5833" t="str">
            <v>Lít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C5834" t="str">
            <v/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C5835" t="str">
            <v/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C5836" t="str">
            <v>Kg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C5837" t="str">
            <v>Kg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C5838" t="str">
            <v>Vỉ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C5839" t="str">
            <v>Hộp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C5840" t="str">
            <v>Vỉ 500gr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C5841" t="str">
            <v>Kg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C5842" t="str">
            <v>Kg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C5843" t="str">
            <v>Kg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C5844" t="str">
            <v>Túi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C5845" t="str">
            <v>Vỉ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C5846" t="str">
            <v>Túi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C5847" t="str">
            <v>Túi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C5848" t="str">
            <v>Vỉ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C5849" t="str">
            <v>Kg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C5850" t="str">
            <v>Kg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C5851" t="str">
            <v>Kg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C5852" t="str">
            <v>Kg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C5853" t="str">
            <v>Kg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C5854" t="str">
            <v>Kg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C5855" t="str">
            <v>Kg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C5856" t="str">
            <v>Kg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C5857" t="str">
            <v>Kg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C5858" t="str">
            <v>Kg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C5859" t="str">
            <v>Kg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C5860" t="str">
            <v>Kg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C5861" t="str">
            <v>Kg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C5862" t="str">
            <v>Kg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C5863" t="str">
            <v>Kg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C5864" t="str">
            <v>Kg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C5865" t="str">
            <v>Kg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C5866" t="str">
            <v>Kg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C5867" t="str">
            <v>Kg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C5868" t="str">
            <v>Kg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C5869" t="str">
            <v>Kg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C5870" t="str">
            <v>Kg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C5871" t="str">
            <v>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C5872" t="str">
            <v>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C5873" t="str">
            <v>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C5874" t="str">
            <v>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C5875" t="str">
            <v>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C5876" t="str">
            <v>Kg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C5877" t="str">
            <v>Kg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C5878" t="str">
            <v>Kg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C5879" t="str">
            <v>Hộp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C5880" t="str">
            <v>Kg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C5881" t="str">
            <v>Túi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C5882" t="str">
            <v>Kg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C5883" t="str">
            <v>Kg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C5884" t="str">
            <v>Kg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C5885" t="str">
            <v>Kg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C5886" t="str">
            <v>Kg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C5887" t="str">
            <v>Kg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C5888" t="str">
            <v>Kg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C5889" t="str">
            <v>Kg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C5890" t="str">
            <v>Kg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C5891" t="str">
            <v>Kg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C5892" t="str">
            <v>Kg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C5893" t="str">
            <v>Túi 500gr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C5894" t="str">
            <v>Túi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C5895" t="str">
            <v>Kg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C5896" t="str">
            <v>Kg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C5897" t="str">
            <v>Cặp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C5898" t="str">
            <v>Kg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C5899" t="str">
            <v>Túi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C5900" t="str">
            <v>Túi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C5901" t="str">
            <v>Kg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C5902" t="str">
            <v>Kg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C5903" t="str">
            <v>Kg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C5904" t="str">
            <v>Kg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C5905" t="str">
            <v>Kg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C5906" t="str">
            <v>Kg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C5907" t="str">
            <v>Kg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C5908" t="str">
            <v>Hộp 300gr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C5909" t="str">
            <v>Hộp 500gr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C5910" t="str">
            <v>Kg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C5911" t="str">
            <v>Túi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C5912" t="str">
            <v>Kg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C5913" t="str">
            <v>Kg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C5914" t="str">
            <v>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C5915" t="str">
            <v>Kg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C5916" t="str">
            <v>Kg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C5917" t="str">
            <v>Kg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C5918" t="str">
            <v>Kg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C5919" t="str">
            <v>Kg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C5920" t="str">
            <v>Kg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C5921" t="str">
            <v>Kg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C5922" t="str">
            <v>Vỉ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C5923" t="str">
            <v>Kg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C5924" t="str">
            <v>Kg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C5925" t="str">
            <v>Kg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C5926" t="str">
            <v>Kg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C5927" t="str">
            <v>Kg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C5928" t="str">
            <v>Kg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C5929" t="str">
            <v>Kg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C5930" t="str">
            <v>Vỉ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C5931" t="str">
            <v>Kg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C5932" t="str">
            <v>Kg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C5933" t="str">
            <v>Túi 500gr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C5934" t="str">
            <v>Túi 300gr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C5935" t="str">
            <v>Kg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C5936" t="str">
            <v>Kg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C5937" t="str">
            <v>Túi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C5938" t="str">
            <v>Vỉ 650gr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C5939" t="str">
            <v>Vỉ 500gr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C5940" t="str">
            <v>Hộp 250GR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C5941" t="str">
            <v>Túi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C5942" t="str">
            <v>Túi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C5943" t="str">
            <v>Kg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C5944" t="str">
            <v>Cuộn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C5945" t="str">
            <v>Cái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C5946" t="str">
            <v>Kg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C5947" t="str">
            <v>Cái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C5948" t="str">
            <v>Hộp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C5949" t="str">
            <v>Cái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C5950" t="str">
            <v>Lít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C5951" t="str">
            <v>Kg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C5952" t="str">
            <v>Kg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C5953" t="str">
            <v>Hộp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C5954" t="str">
            <v>Kg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C5955" t="str">
            <v>Kg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C5956" t="str">
            <v>Kg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C5957" t="str">
            <v>Kg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C5958" t="str">
            <v>Kg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C5959" t="str">
            <v>Kg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C5960" t="str">
            <v>Kg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C5961" t="str">
            <v>Kg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C5962" t="str">
            <v>Vỉ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C5963" t="str">
            <v>Kg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C5964" t="str">
            <v>Kg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C5965" t="str">
            <v>Kg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C5966" t="str">
            <v>Kg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C5967" t="str">
            <v>Kg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C5968" t="str">
            <v>Kg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C5969" t="str">
            <v>Kg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C5970" t="str">
            <v>Kg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C5971" t="str">
            <v>Kg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C5972" t="str">
            <v>Kg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C5973" t="str">
            <v>Kg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C5974" t="str">
            <v>Kg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C5975" t="str">
            <v>Kg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C5976" t="str">
            <v>Kg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C5977" t="str">
            <v>Túi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C5978" t="str">
            <v>Kg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C5979" t="str">
            <v>Kg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C5980" t="str">
            <v>Kg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C5981" t="str">
            <v>Kg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C5982" t="str">
            <v>Kg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C5983" t="str">
            <v>Túi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C5984" t="str">
            <v>Kg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C5985" t="str">
            <v>Túi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C5986" t="str">
            <v>Túi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C5987" t="str">
            <v>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C5988" t="str">
            <v>Kg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C5989" t="str">
            <v>Kg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C5990" t="str">
            <v>Kg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C5991" t="str">
            <v>Kg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C5992" t="str">
            <v>Kg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C5993" t="str">
            <v>Kg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C5994" t="str">
            <v>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C5995" t="str">
            <v>Kg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C5996" t="str">
            <v>Kg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C5997" t="str">
            <v>Kg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C5998" t="str">
            <v>Kg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C5999" t="str">
            <v>Cặp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C6000" t="str">
            <v>Kg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C6001" t="str">
            <v>Kg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C6002" t="str">
            <v>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C6003" t="str">
            <v>Kg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C6004" t="str">
            <v>Kg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C6005" t="str">
            <v>Kg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C6006" t="str">
            <v>Túi 500gr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C6007" t="str">
            <v>Túi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C6008" t="str">
            <v>Kg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C6009" t="str">
            <v>Kg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C6010" t="str">
            <v>Kg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C6011" t="str">
            <v>Kg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C6012" t="str">
            <v>Kg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C6013" t="str">
            <v>Kg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C6014" t="str">
            <v>Kg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C6015" t="str">
            <v>Kg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C6016" t="str">
            <v>Kg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C6017" t="str">
            <v>Hộp 300gr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C6018" t="str">
            <v>Hộp 500gr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C6019" t="str">
            <v>Kg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C6020" t="str">
            <v>Túi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C6021" t="str">
            <v>Kg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C6022" t="str">
            <v>Kg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C6023" t="str">
            <v>Kg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C6024" t="str">
            <v>Kg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C6025" t="str">
            <v>Kg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C6026" t="str">
            <v>Túi 500gr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C6027" t="str">
            <v>Túi 300gr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C6028" t="str">
            <v>Kg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C6029" t="str">
            <v>Kg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C6030" t="str">
            <v>Vỉ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C6031" t="str">
            <v>Kg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C6032" t="str">
            <v>Kg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C6033" t="str">
            <v>Kg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C6034" t="str">
            <v>Kg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C6035" t="str">
            <v>Kg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C6036" t="str">
            <v>Kg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C6037" t="str">
            <v>Kg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C6038" t="str">
            <v>Kg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C6039" t="str">
            <v>Túi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C6040" t="str">
            <v>Vỉ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C6041" t="str">
            <v>Vỉ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C6042" t="str">
            <v>Gói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C6043" t="str">
            <v>Gói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C6044" t="str">
            <v>Túi 150gr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C6045" t="str">
            <v>Vỉ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C6046" t="str">
            <v>Hộp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C6047" t="str">
            <v>Kg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C6048" t="str">
            <v>Vỉ 500gr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C6049" t="str">
            <v>Túi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C6050" t="str">
            <v>Kg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C6051" t="str">
            <v>Kg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C6052" t="str">
            <v>Kg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C6053" t="str">
            <v>Kg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C6054" t="str">
            <v>Kg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C6055" t="str">
            <v>Kg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C6056" t="str">
            <v>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C6057" t="str">
            <v>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C6058" t="str">
            <v>Kg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C6059" t="str">
            <v>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C6060" t="str">
            <v>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C6061" t="str">
            <v>Kg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C6062" t="str">
            <v>Vỉ 500gr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C6063" t="str">
            <v>Kg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C6064" t="str">
            <v>Túi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C6065" t="str">
            <v>Hộp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C6066" t="str">
            <v>Vỉ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C6067" t="str">
            <v>Túi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C6068" t="str">
            <v>Kg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C6069" t="str">
            <v>Kg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C6070" t="str">
            <v>Kg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C6071" t="str">
            <v>Kg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C6072" t="str">
            <v>Kg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C6073" t="str">
            <v>Kg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C6074" t="str">
            <v>Kg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C6075" t="str">
            <v>Hộp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C6076" t="str">
            <v>Vỉ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C6077" t="str">
            <v>Vỉ 500gr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C6078" t="str">
            <v>Kg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C6079" t="str">
            <v>Vỉ 650gr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C6080" t="str">
            <v>Túi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C6081" t="str">
            <v>Kg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C6082" t="str">
            <v>Kg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C6083" t="str">
            <v>Kg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C6084" t="str">
            <v>Kg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C6085" t="str">
            <v>Kg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C6086" t="str">
            <v>Kg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C6087" t="str">
            <v>Kg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C6088" t="str">
            <v>Kg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C6089" t="str">
            <v>Kg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C6090" t="str">
            <v>Kg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C6091" t="str">
            <v>Kg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C6092" t="str">
            <v>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C6093" t="str">
            <v>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C6094" t="str">
            <v>Kg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C6095" t="str">
            <v>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C6096" t="str">
            <v>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C6097" t="str">
            <v>Túi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C6098" t="str">
            <v>Túi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C6099" t="str">
            <v>Kg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C6100" t="str">
            <v>Túi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C6101" t="str">
            <v>Kg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C6102" t="str">
            <v>Kg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C6103" t="str">
            <v>Kg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C6104" t="str">
            <v>Túi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C6105" t="str">
            <v>Gói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C6106" t="str">
            <v>Túi 150gr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C6107" t="str">
            <v>Kg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C6108" t="str">
            <v>Vỉ 500gr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C6109" t="str">
            <v>Túi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C6110" t="str">
            <v>Vỉ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C6111" t="str">
            <v>Kg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C6112" t="str">
            <v>Kg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C6113" t="str">
            <v>Kg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C6114" t="str">
            <v>Kg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C6115" t="str">
            <v>Hộp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C6116" t="str">
            <v>Túi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C6117" t="str">
            <v>Vỉ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C6118" t="str">
            <v>Hộp 300gr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C6119" t="str">
            <v>Hộp 500gr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C6120" t="str">
            <v>Kg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C6121" t="str">
            <v>Kg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C6122" t="str">
            <v>Túi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C6123" t="str">
            <v>Kg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C6124" t="str">
            <v>Kg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C6125" t="str">
            <v>Kg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C6126" t="str">
            <v>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C6127" t="str">
            <v>Kg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C6128" t="str">
            <v>Kg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C6129" t="str">
            <v>Kg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C6130" t="str">
            <v>Kg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C6131" t="str">
            <v>Kg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C6132" t="str">
            <v>Kg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C6133" t="str">
            <v>Kg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C6134" t="str">
            <v>Kg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C6135" t="str">
            <v>Kg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C6136" t="str">
            <v>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C6137" t="str">
            <v>Kg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C6138" t="str">
            <v>Kg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C6139" t="str">
            <v>Kg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C6140" t="str">
            <v>Kg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C6141" t="str">
            <v>Kg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C6142" t="str">
            <v>Kg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C6143" t="str">
            <v>Túi 500gr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C6144" t="str">
            <v>Túi 500gr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C6145" t="str">
            <v>Túi 300gr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C6146" t="str">
            <v>Kg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C6147" t="str">
            <v>Vỉ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C6148" t="str">
            <v>Kg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C6149" t="str">
            <v>Kg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C6150" t="str">
            <v>Kg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C6151" t="str">
            <v>Kg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C6152" t="str">
            <v>Kg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C6153" t="str">
            <v>Kg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C6154" t="str">
            <v>Kg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C6155" t="str">
            <v>Kg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C6156" t="str">
            <v>Kg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C6157" t="str">
            <v>Kg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C6158" t="str">
            <v>Kg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C6159" t="str">
            <v>Kg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C6160" t="str">
            <v>Kg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C6161" t="str">
            <v>Kg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C6162" t="str">
            <v>Kg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C6163" t="str">
            <v>Kg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C6164" t="str">
            <v>Kg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C6165" t="str">
            <v>Kg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C6166" t="str">
            <v>Kg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C6167" t="str">
            <v>Kg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C6168" t="str">
            <v>Kg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C6169" t="str">
            <v>Kg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C6170" t="str">
            <v>Kg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C6171" t="str">
            <v>Kg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C6172" t="str">
            <v>Kg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C6173" t="str">
            <v>Kg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C6174" t="str">
            <v>Kg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C6175" t="str">
            <v>Kg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C6176" t="str">
            <v>Kg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C6177" t="str">
            <v>Kg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C6178" t="str">
            <v>Kg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C6179" t="str">
            <v>Kg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C6180" t="str">
            <v>Kg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C6181" t="str">
            <v>Kg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C6182" t="str">
            <v>Kg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C6183" t="str">
            <v>Túi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C6184" t="str">
            <v>Kg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C6185" t="str">
            <v>Kg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C6186" t="str">
            <v>Kg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C6187" t="str">
            <v>Kg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C6188" t="str">
            <v>Kg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C6189" t="str">
            <v>Kg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C6190" t="str">
            <v>Kg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C6191" t="str">
            <v>Kg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C6192" t="str">
            <v>Kg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C6193" t="str">
            <v>Kg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C6194" t="str">
            <v>Kg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C6195" t="str">
            <v>Kg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C6196" t="str">
            <v>Kg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C6197" t="str">
            <v>Cặp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C6198" t="str">
            <v>Kg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C6199" t="str">
            <v>Kg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C6200" t="str">
            <v>Kg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C6201" t="str">
            <v>Kg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C6202" t="str">
            <v>Kg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C6203" t="str">
            <v>Kg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C6204" t="str">
            <v>Kg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C6205" t="str">
            <v>Kg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C6206" t="str">
            <v>Kg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C6207" t="str">
            <v>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C6208" t="str">
            <v>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C6209" t="str">
            <v>Kg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C6210" t="str">
            <v>Kg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C6211" t="str">
            <v>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C6212" t="str">
            <v>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C6213" t="str">
            <v>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C6214" t="str">
            <v>Kg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C6215" t="str">
            <v>Kg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C6216" t="str">
            <v>Kg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C6217" t="str">
            <v>Kg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C6218" t="str">
            <v>Kg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C6219" t="str">
            <v>Kg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C6220" t="str">
            <v>Kg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C6221" t="str">
            <v>Kg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C6222" t="str">
            <v>Túi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C6223" t="str">
            <v>Kg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C6224" t="str">
            <v>Kg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C6225" t="str">
            <v>Kg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C6226" t="str">
            <v>Kg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C6227" t="str">
            <v>Kg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C6228" t="str">
            <v>Kg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C6229" t="str">
            <v>Kg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C6230" t="str">
            <v>Kg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C6231" t="str">
            <v>Kg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C6232" t="str">
            <v>Kg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C6233" t="str">
            <v>Kg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C6234" t="str">
            <v>Kg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C6235" t="str">
            <v>Kg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C6236" t="str">
            <v>Kg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C6237" t="str">
            <v>Kg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C6238" t="str">
            <v>Kg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C6239" t="str">
            <v>Kg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C6240" t="str">
            <v>Kg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C6241" t="str">
            <v>Vỉ 650gr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C6242" t="str">
            <v>Vỉ 500gr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C6243" t="str">
            <v>Hộp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C6244" t="str">
            <v>Túi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C6245" t="str">
            <v>Vỉ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C6246" t="str">
            <v>Vỉ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C6247" t="str">
            <v>Túi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C6248" t="str">
            <v>Túi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C6249" t="str">
            <v>Kg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C6250" t="str">
            <v>Kg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C6251" t="str">
            <v>Kg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C6252" t="str">
            <v>Kg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C6253" t="str">
            <v>Kg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C6254" t="str">
            <v>Kg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C6255" t="str">
            <v>Kg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C6256" t="str">
            <v>Túi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C6257" t="str">
            <v>Vỉ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C6258" t="str">
            <v>Gói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C6259" t="str">
            <v>Túi 150gr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C6260" t="str">
            <v>Vỉ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C6261" t="str">
            <v>Túi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C6262" t="str">
            <v>Vỉ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C6263" t="str">
            <v>Hộp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C6264" t="str">
            <v>Kg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C6265" t="str">
            <v>Vỉ 500gr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C6266" t="str">
            <v>Kg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C6267" t="str">
            <v>Túi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C6268" t="str">
            <v>Kg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C6269" t="str">
            <v>Kg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C6270" t="str">
            <v>Kg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C6271" t="str">
            <v>Kg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C6272" t="str">
            <v>Kg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C6273" t="str">
            <v>Túi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C6274" t="str">
            <v>Kg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C6275" t="str">
            <v>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C6276" t="str">
            <v>Kg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C6277" t="str">
            <v>Kg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C6278" t="str">
            <v>Kg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C6279" t="str">
            <v>Kg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C6280" t="str">
            <v>Kg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C6281" t="str">
            <v>Kg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C6282" t="str">
            <v>Túi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C6283" t="str">
            <v>Túi 500gr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C6284" t="str">
            <v>Kg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C6285" t="str">
            <v>Túi 500gr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C6286" t="str">
            <v>Túi 300gr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C6287" t="str">
            <v>Kg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C6288" t="str">
            <v>Kg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C6289" t="str">
            <v>Kg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C6290" t="str">
            <v>Kg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C6291" t="str">
            <v>Kg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C6292" t="str">
            <v>Kg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C6293" t="str">
            <v>Kg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C6294" t="str">
            <v>Kg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C6295" t="str">
            <v>Kg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C6296" t="str">
            <v>Kg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C6297" t="str">
            <v>Kg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C6298" t="str">
            <v>Hộp 300gr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C6299" t="str">
            <v>Hộp 500gr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C6300" t="str">
            <v>Kg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C6301" t="str">
            <v>Kg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C6302" t="str">
            <v>Hộp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C6303" t="str">
            <v>Túi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C6304" t="str">
            <v>Vỉ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C6305" t="str">
            <v>Vỉ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C6306" t="str">
            <v>Kg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C6307" t="str">
            <v>Vỉ 500gr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C6308" t="str">
            <v>Hộp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C6309" t="str">
            <v>Kg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C6310" t="str">
            <v>Túi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C6311" t="str">
            <v>Kg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C6312" t="str">
            <v>Kg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C6313" t="str">
            <v>Kg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C6314" t="str">
            <v>Túi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C6315" t="str">
            <v>Túi 150gr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C6316" t="str">
            <v>Vỉ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C6317" t="str">
            <v>Túi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C6318" t="str">
            <v>Túi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C6319" t="str">
            <v>Vỉ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C6320" t="str">
            <v>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C6321" t="str">
            <v>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C6322" t="str">
            <v>Kg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C6323" t="str">
            <v>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C6324" t="str">
            <v>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C6325" t="str">
            <v>Kg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C6326" t="str">
            <v>Kg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C6327" t="str">
            <v>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C6328" t="str">
            <v>Kg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C6329" t="str">
            <v>Kg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C6330" t="str">
            <v>Kg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C6331" t="str">
            <v>Kg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C6332" t="str">
            <v>Kg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C6333" t="str">
            <v>Kg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C6334" t="str">
            <v>Túi 300gr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C6335" t="str">
            <v>Kg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C6336" t="str">
            <v>Kg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C6337" t="str">
            <v>Kg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C6338" t="str">
            <v>Vỉ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C6339" t="str">
            <v>Kg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C6340" t="str">
            <v>Kg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C6341" t="str">
            <v>Kg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C6342" t="str">
            <v>Kg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C6343" t="str">
            <v>Túi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C6344" t="str">
            <v>Kg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C6345" t="str">
            <v>Kg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C6346" t="str">
            <v>Kg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C6347" t="str">
            <v>Kg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C6348" t="str">
            <v>Kg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C6349" t="str">
            <v>Kg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C6350" t="str">
            <v>Kg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C6351" t="str">
            <v>Kg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C6352" t="str">
            <v>Kg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C6353" t="str">
            <v>Kg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C6354" t="str">
            <v>Kg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C6355" t="str">
            <v>Kg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C6356" t="str">
            <v>Kg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C6357" t="str">
            <v>Kg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C6358" t="str">
            <v>Túi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C6359" t="str">
            <v>Túi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C6360" t="str">
            <v>Kg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C6361" t="str">
            <v>Kg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C6362" t="str">
            <v>Kg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C6363" t="str">
            <v>Hộp 300gr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C6364" t="str">
            <v>Hộp 500gr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C6365" t="str">
            <v>Kg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C6366" t="str">
            <v>Kg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C6367" t="str">
            <v>Cặp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C6368" t="str">
            <v>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C6369" t="str">
            <v>Kg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C6370" t="str">
            <v>Kg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C6371" t="str">
            <v>Kg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C6372" t="str">
            <v>Kg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C6373" t="str">
            <v>Kg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C6374" t="str">
            <v>Kg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C6375" t="str">
            <v>Kg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C6376" t="str">
            <v>Kg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C6377" t="str">
            <v>Kg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C6378" t="str">
            <v>Kg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C6379" t="str">
            <v>Kg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C6380" t="str">
            <v>Kg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C6381" t="str">
            <v>Kg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C6382" t="str">
            <v>Kg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C6383" t="str">
            <v>Kg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C6384" t="str">
            <v>Kg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C6385" t="str">
            <v>Kg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C6386" t="str">
            <v>Kg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C6387" t="str">
            <v>Kg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C6388" t="str">
            <v>Kg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C6389" t="str">
            <v>Kg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C6390" t="str">
            <v>Kg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C6391" t="str">
            <v>Kg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C6392" t="str">
            <v>Kg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C6393" t="str">
            <v>Kg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C6394" t="str">
            <v>Túi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C6395" t="str">
            <v>Túi 500gr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C6396" t="str">
            <v>Kg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C6397" t="str">
            <v>Kg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C6398" t="str">
            <v>Kg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C6399" t="str">
            <v>Kg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C6400" t="str">
            <v>Kg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C6401" t="str">
            <v>Kg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C6402" t="str">
            <v>Kg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C6403" t="str">
            <v>Kg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C6404" t="str">
            <v>Kg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C6405" t="str">
            <v>Kg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C6406" t="str">
            <v>Túi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C6407" t="str">
            <v>Kg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C6408" t="str">
            <v>Kg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C6409" t="str">
            <v>Kg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C6410" t="str">
            <v>Kg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C6411" t="str">
            <v>Kg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C6412" t="str">
            <v>Kg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C6413" t="str">
            <v>Kg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C6414" t="str">
            <v>Kg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C6415" t="str">
            <v>Kg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C6416" t="str">
            <v>Kg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C6417" t="str">
            <v>Kg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C6418" t="str">
            <v>Kg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C6419" t="str">
            <v>Kg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C6420" t="str">
            <v>Cái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C6421" t="str">
            <v>Kg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C6422" t="str">
            <v>Kg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C6423" t="str">
            <v>Kg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C6424" t="str">
            <v>Túi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C6425" t="str">
            <v>Vỉ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C6426" t="str">
            <v>Kg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C6427" t="str">
            <v>Kg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C6428" t="str">
            <v>Túi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C6429" t="str">
            <v>Hộp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C6430" t="str">
            <v>Vỉ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C6431" t="str">
            <v>Vỉ 500gr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C6432" t="str">
            <v>Kg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C6433" t="str">
            <v>Kg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C6434" t="str">
            <v>Kg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C6435" t="str">
            <v>Túi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C6436" t="str">
            <v>Túi 150gr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C6437" t="str">
            <v>Vỉ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C6438" t="str">
            <v>Kg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C6439" t="str">
            <v>Kg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C6440" t="str">
            <v>Kg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C6441" t="str">
            <v>Kg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C6442" t="str">
            <v>Kg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C6443" t="str">
            <v>Hộp 300gr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C6444" t="str">
            <v>Hộp 500gr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C6445" t="str">
            <v>Kg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C6446" t="str">
            <v>Túi 500gr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C6447" t="str">
            <v>Túi 300gr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C6448" t="str">
            <v>Kg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C6449" t="str">
            <v>Kg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C6450" t="str">
            <v>Vỉ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C6451" t="str">
            <v>Kg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C6452" t="str">
            <v>Kg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C6453" t="str">
            <v>Kg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C6454" t="str">
            <v>Kg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C6455" t="str">
            <v>Kg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C6456" t="str">
            <v>Kg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C6457" t="str">
            <v>Kg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C6458" t="str">
            <v>Kg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C6459" t="str">
            <v>Kg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C6460" t="str">
            <v>Túi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C6461" t="str">
            <v>Kg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C6462" t="str">
            <v>Kg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C6463" t="str">
            <v>Kg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C6464" t="str">
            <v>Kg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C6465" t="str">
            <v>Kg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C6466" t="str">
            <v>Kg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C6467" t="str">
            <v>Kg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C6468" t="str">
            <v>Kg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C6469" t="str">
            <v>Kg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C6470" t="str">
            <v>Kg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C6471" t="str">
            <v>Kg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C6472" t="str">
            <v>Kg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C6473" t="str">
            <v>Kg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C6474" t="str">
            <v>Kg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C6475" t="str">
            <v>Kg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C6476" t="str">
            <v>Kg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C6477" t="str">
            <v>Kg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C6478" t="str">
            <v>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C6479" t="str">
            <v>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C6480" t="str">
            <v>Kg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C6481" t="str">
            <v>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C6482" t="str">
            <v>Kg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C6483" t="str">
            <v>Túi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C6484" t="str">
            <v>Kg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C6485" t="str">
            <v>Kg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C6486" t="str">
            <v>Kg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C6487" t="str">
            <v>Kg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C6488" t="str">
            <v>Vỉ 650gr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C6489" t="str">
            <v>Vỉ 500gr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C6490" t="str">
            <v>Kg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C6491" t="str">
            <v>Hộp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C6492" t="str">
            <v>Vỉ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C6493" t="str">
            <v>Kg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C6494" t="str">
            <v>Kg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C6495" t="str">
            <v>Kg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C6496" t="str">
            <v>Kg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C6497" t="str">
            <v>Túi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C6498" t="str">
            <v>Kg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C6499" t="str">
            <v>Kg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C6500" t="str">
            <v>Túi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C6501" t="str">
            <v>Túi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C6502" t="str">
            <v>Hộp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C6503" t="str">
            <v>Kg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C6504" t="str">
            <v>Kg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C6505" t="str">
            <v>Kg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C6506" t="str">
            <v>Kg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C6507" t="str">
            <v>Kg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C6508" t="str">
            <v>Túi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C6509" t="str">
            <v>Kg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C6510" t="str">
            <v>Kg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C6511" t="str">
            <v>Kg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C6512" t="str">
            <v>Kg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C6513" t="str">
            <v>Kg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C6514" t="str">
            <v>Kg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C6515" t="str">
            <v>Kg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C6516" t="str">
            <v>Kg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C6517" t="str">
            <v>Kg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C6518" t="str">
            <v>Kg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C6519" t="str">
            <v>Kg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C6520" t="str">
            <v>Kg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C6521" t="str">
            <v>Kg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C6522" t="str">
            <v>Kg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C6523" t="str">
            <v>Kg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C6524" t="str">
            <v>Kg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C6525" t="str">
            <v>Kg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C6526" t="str">
            <v>Kg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C6527" t="str">
            <v>Lít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C6528" t="str">
            <v>Kg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C6529" t="str">
            <v>Kg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C6530" t="str">
            <v>Kg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C6531" t="str">
            <v>Kg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C6532" t="str">
            <v>Kg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C6533" t="str">
            <v>Kg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C6534" t="str">
            <v>Kg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C6535" t="str">
            <v>Kg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C6536" t="str">
            <v>Kg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C6537" t="str">
            <v>Kg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C6538" t="str">
            <v>Kg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C6539" t="str">
            <v>Kg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C6540" t="str">
            <v>Kg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C6541" t="str">
            <v>Kg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C6542" t="str">
            <v>Kg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C6543" t="str">
            <v>Kg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C6544" t="str">
            <v>Túi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C6545" t="str">
            <v>Túi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C6546" t="str">
            <v>Kg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C6547" t="str">
            <v>Kg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C6548" t="str">
            <v>Kg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C6549" t="str">
            <v>Kg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C6550" t="str">
            <v>Kg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C6551" t="str">
            <v>Kg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C6552" t="str">
            <v>Kg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C6553" t="str">
            <v>Kg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C6554" t="str">
            <v>Kg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C6555" t="str">
            <v>Kg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C6556" t="str">
            <v>Túi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C6557" t="str">
            <v>Kg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C6558" t="str">
            <v>Kg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C6559" t="str">
            <v>Kg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C6560" t="str">
            <v>Kg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C6561" t="str">
            <v>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C6562" t="str">
            <v>Kg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C6563" t="str">
            <v>Kg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C6564" t="str">
            <v>Kg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C6565" t="str">
            <v>Kg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C6566" t="str">
            <v>Hộp 300gr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C6567" t="str">
            <v>Hộp 500gr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C6568" t="str">
            <v>Kg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C6569" t="str">
            <v>Kg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C6570" t="str">
            <v>Kg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C6571" t="str">
            <v>Kg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C6572" t="str">
            <v>Hộp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C6573" t="str">
            <v>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C6574" t="str">
            <v>Kg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C6575" t="str">
            <v>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C6576" t="str">
            <v>Kg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C6577" t="str">
            <v>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C6578" t="str">
            <v>Kg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C6579" t="str">
            <v>Kg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C6580" t="str">
            <v>Kg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C6581" t="str">
            <v>Kg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C6582" t="str">
            <v>Kg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C6583" t="str">
            <v>Kg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C6584" t="str">
            <v>Kg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C6585" t="str">
            <v>Kg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C6586" t="str">
            <v>Kg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C6587" t="str">
            <v>Kg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C6588" t="str">
            <v>Kg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C6589" t="str">
            <v>Kg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C6590" t="str">
            <v>Kg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C6591" t="str">
            <v>Túi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C6592" t="str">
            <v>Kg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C6593" t="str">
            <v>Kg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C6594" t="str">
            <v>Túi 500gr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C6595" t="str">
            <v>Kg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C6596" t="str">
            <v>Kg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C6597" t="str">
            <v>Kg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C6598" t="str">
            <v>Vỉ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C6599" t="str">
            <v>Kg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C6600" t="str">
            <v>Túi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C6601" t="str">
            <v>Kg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C6602" t="str">
            <v>Kg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C6603" t="str">
            <v>Kg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C6604" t="str">
            <v>Kg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C6605" t="str">
            <v>Kg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C6606" t="str">
            <v>Kg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C6607" t="str">
            <v>Kg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C6608" t="str">
            <v>Kg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C6609" t="str">
            <v>Kg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C6610" t="str">
            <v>Kg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C6611" t="str">
            <v>Túi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C6612" t="str">
            <v>Kg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C6613" t="str">
            <v>Kg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C6614" t="str">
            <v>Kg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C6615" t="str">
            <v>Kg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C6616" t="str">
            <v>Kg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C6617" t="str">
            <v>Kg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C6618" t="str">
            <v>Kg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C6619" t="str">
            <v>Kg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C6620" t="str">
            <v>Kg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C6621" t="str">
            <v>Kg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C6622" t="str">
            <v>Kg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C6623" t="str">
            <v>Vỉ 650gr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C6624" t="str">
            <v>Vỉ 500gr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C6625" t="str">
            <v>Kg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C6626" t="str">
            <v>Hộp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C6627" t="str">
            <v>Vỉ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C6628" t="str">
            <v>Túi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C6629" t="str">
            <v>Vỉ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C6630" t="str">
            <v>Hộp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C6631" t="str">
            <v>Kg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C6632" t="str">
            <v>Túi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C6633" t="str">
            <v>Vỉ 500gr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C6634" t="str">
            <v>Túi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C6635" t="str">
            <v>Vỉ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C6636" t="str">
            <v>Túi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C6637" t="str">
            <v>Túi 150gr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C6638" t="str">
            <v>Vỉ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C6639" t="str">
            <v>Túi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C6640" t="str">
            <v>Kg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C6641" t="str">
            <v>Kg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C6642" t="str">
            <v>Trái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C6643" t="str">
            <v>Trái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C6644" t="str">
            <v>Kg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C6645" t="str">
            <v>Lít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C6646" t="str">
            <v>Lít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C6647" t="str">
            <v>Kg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C6648" t="str">
            <v>Kg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C6649" t="str">
            <v>Kg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C6650" t="str">
            <v>Kg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C6651" t="str">
            <v>Kg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C6652" t="str">
            <v>Kg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C6653" t="str">
            <v>Kg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C6654" t="str">
            <v>Kg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C6655" t="str">
            <v>Kg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C6656" t="str">
            <v>Kg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C6657" t="str">
            <v>Kg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C6658" t="str">
            <v>Kg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C6659" t="str">
            <v>Kg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C6660" t="str">
            <v>Kg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C6661" t="str">
            <v>Kg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C6662" t="str">
            <v>Kg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C6663" t="str">
            <v>Kg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C6664" t="str">
            <v>Kg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C6665" t="str">
            <v>Kg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C6666" t="str">
            <v>Kg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C6667" t="str">
            <v>Kg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C6668" t="str">
            <v>Kg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C6669" t="str">
            <v>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C6670" t="str">
            <v>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C6671" t="str">
            <v>Kg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C6672" t="str">
            <v>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C6673" t="str">
            <v>Kg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C6674" t="str">
            <v>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C6675" t="str">
            <v>Kg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C6676" t="str">
            <v>Kg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C6677" t="str">
            <v>Kg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C6678" t="str">
            <v>Kg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C6679" t="str">
            <v>Kg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C6680" t="str">
            <v>Kg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C6681" t="str">
            <v>Kg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C6682" t="str">
            <v>Kg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C6683" t="str">
            <v>Kg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C6684" t="str">
            <v>Kg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C6685" t="str">
            <v>Kg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C6686" t="str">
            <v>Kg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C6687" t="str">
            <v>Kg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C6688" t="str">
            <v>Kg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C6689" t="str">
            <v>Túi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C6690" t="str">
            <v>Túi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C6691" t="str">
            <v>Hộp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C6692" t="str">
            <v>Kg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C6693" t="str">
            <v>Kg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C6694" t="str">
            <v>Kg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C6695" t="str">
            <v>Kg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C6696" t="str">
            <v>Kg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C6697" t="str">
            <v>Kg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C6698" t="str">
            <v>Kg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C6699" t="str">
            <v>Vỉ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C6700" t="str">
            <v>Túi 500gr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C6701" t="str">
            <v>Kg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C6702" t="str">
            <v>Kg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C6703" t="str">
            <v>Kg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C6704" t="str">
            <v>Kg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C6705" t="str">
            <v>Kg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C6706" t="str">
            <v>Túi 500gr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C6707" t="str">
            <v>Túi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C6708" t="str">
            <v>Kg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C6709" t="str">
            <v>Kg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C6710" t="str">
            <v>Kg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C6711" t="str">
            <v>Kg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C6712" t="str">
            <v>Kg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C6713" t="str">
            <v>Kg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C6714" t="str">
            <v>Kg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C6715" t="str">
            <v>Hộp 300gr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C6716" t="str">
            <v>Hộp 500gr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C6717" t="str">
            <v>Kg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C6718" t="str">
            <v>Hộp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C6719" t="str">
            <v>Vỉ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C6720" t="str">
            <v>Túi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C6721" t="str">
            <v>Túi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C6722" t="str">
            <v>Kg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C6723" t="str">
            <v>Kg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C6724" t="str">
            <v>Vỉ 500gr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C6725" t="str">
            <v>Kg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C6726" t="str">
            <v>Kg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C6727" t="str">
            <v>Kg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C6728" t="str">
            <v>Kg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C6729" t="str">
            <v>Kg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C6730" t="str">
            <v>Kg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C6731" t="str">
            <v>Kg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C6732" t="str">
            <v>Kg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C6733" t="str">
            <v>Hộp 500gr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C6734" t="str">
            <v>Kg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C6735" t="str">
            <v>Kg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C6736" t="str">
            <v>Kg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C6737" t="str">
            <v>Kg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C6738" t="str">
            <v>Kg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C6739" t="str">
            <v>Kg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C6740" t="str">
            <v>Kg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C6741" t="str">
            <v>Kg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C6742" t="str">
            <v>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C6743" t="str">
            <v>Kg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C6744" t="str">
            <v>Kg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C6745" t="str">
            <v>Kg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C6746" t="str">
            <v>Túi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C6747" t="str">
            <v>Túi 150gr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C6748" t="str">
            <v>Túi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C6749" t="str">
            <v>Vỉ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C6750" t="str">
            <v>Vỉ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C6751" t="str">
            <v>Hộp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C6752" t="str">
            <v>Kg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C6753" t="str">
            <v>Kg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C6754" t="str">
            <v>Túi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C6755" t="str">
            <v>Kg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C6756" t="str">
            <v>Lít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C6757" t="str">
            <v>Kg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C6758" t="str">
            <v>Kg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C6759" t="str">
            <v>Kg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C6760" t="str">
            <v>Kg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C6761" t="str">
            <v>Kg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C6762" t="str">
            <v>Kg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C6763" t="str">
            <v>Kg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C6764" t="str">
            <v>Kg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C6765" t="str">
            <v>Kg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C6766" t="str">
            <v>Kg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C6767" t="str">
            <v>Kg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C6768" t="str">
            <v>Kg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C6769" t="str">
            <v>Kg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C6770" t="str">
            <v>Kg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C6771" t="str">
            <v>Kg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C6772" t="str">
            <v>Kg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C6773" t="str">
            <v>Kg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C6774" t="str">
            <v>Kg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C6775" t="str">
            <v>Kg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C6776" t="str">
            <v>Kg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C6777" t="str">
            <v>Kg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C6778" t="str">
            <v>Kg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C6779" t="str">
            <v>Kg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C6780" t="str">
            <v>Kg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C6781" t="str">
            <v>Túi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C6782" t="str">
            <v>Kg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C6783" t="str">
            <v>Kg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C6784" t="str">
            <v>Vỉ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C6785" t="str">
            <v>Túi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C6786" t="str">
            <v>Túi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C6787" t="str">
            <v>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C6788" t="str">
            <v>Kg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C6789" t="str">
            <v>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C6790" t="str">
            <v>Kg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C6791" t="str">
            <v>Kg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C6792" t="str">
            <v>Kg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C6793" t="str">
            <v>Kg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C6794" t="str">
            <v>Cặp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C6795" t="str">
            <v>Kg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C6796" t="str">
            <v>Kg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C6797" t="str">
            <v>Kg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C6798" t="str">
            <v>Kg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C6799" t="str">
            <v>Kg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C6800" t="str">
            <v>Kg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C6801" t="str">
            <v>Kg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C6802" t="str">
            <v>Kg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C6803" t="str">
            <v>Kg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C6804" t="str">
            <v>Túi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C6805" t="str">
            <v>Kg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C6806" t="str">
            <v>Túi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C6807" t="str">
            <v>Kg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C6808" t="str">
            <v>Kg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C6809" t="str">
            <v>Kg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C6810" t="str">
            <v>Kg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C6811" t="str">
            <v>Kg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C6812" t="str">
            <v>Kg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C6813" t="str">
            <v>Kg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C6814" t="str">
            <v>Kg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C6815" t="str">
            <v>Kg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C6816" t="str">
            <v>Kg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C6817" t="str">
            <v>Vỉ 500gr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C6818" t="str">
            <v>Hộp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C6819" t="str">
            <v>Túi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C6820" t="str">
            <v>Vỉ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C6821" t="str">
            <v>Vỉ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C6822" t="str">
            <v>Túi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C6823" t="str">
            <v>Túi 150gr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C6824" t="str">
            <v>Túi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C6825" t="str">
            <v>Vỉ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C6826" t="str">
            <v>Vỉ 500gr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C6827" t="str">
            <v>Kg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C6828" t="str">
            <v>Hộp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C6829" t="str">
            <v>Túi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C6830" t="str">
            <v>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C6831" t="str">
            <v>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C6832" t="str">
            <v>Kg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C6833" t="str">
            <v>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C6834" t="str">
            <v>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C6835" t="str">
            <v>Kg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C6836" t="str">
            <v>Kg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C6837" t="str">
            <v>Kg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C6838" t="str">
            <v>Kg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C6839" t="str">
            <v>Kg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C6840" t="str">
            <v>Kg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C6841" t="str">
            <v>Kg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C6842" t="str">
            <v>Hộp 300gr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C6843" t="str">
            <v>Túi 500gr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C6844" t="str">
            <v>Kg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C6845" t="str">
            <v>Kg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C6846" t="str">
            <v>Túi 300gr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C6847" t="str">
            <v>Kg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C6848" t="str">
            <v>Vỉ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C6849" t="str">
            <v>Kg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C6850" t="str">
            <v>Kg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C6851" t="str">
            <v>Kg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C6852" t="str">
            <v>Kg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C6853" t="str">
            <v>Kg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C6854" t="str">
            <v>Kg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C6855" t="str">
            <v>Kg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C6856" t="str">
            <v>Kg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C6857" t="str">
            <v>Kg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C6858" t="str">
            <v>Kg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C6859" t="str">
            <v>Kg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C6860" t="str">
            <v>Kg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C6861" t="str">
            <v>Túi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C6862" t="str">
            <v>Kg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C6863" t="str">
            <v>Kg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C6864" t="str">
            <v>Kg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C6865" t="str">
            <v>Kg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C6866" t="str">
            <v>Kg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C6867" t="str">
            <v>Kg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C6868" t="str">
            <v>Kg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C6869" t="str">
            <v>Kg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C6870" t="str">
            <v>Kg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C6871" t="str">
            <v>Kg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C6872" t="str">
            <v>Kg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C6873" t="str">
            <v>Kg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C6874" t="str">
            <v>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C6875" t="str">
            <v>Kg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C6876" t="str">
            <v>Kg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C6877" t="str">
            <v>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C6878" t="str">
            <v>Kg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C6879" t="str">
            <v>Kg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C6880" t="str">
            <v>Kg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C6881" t="str">
            <v>Kg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C6882" t="str">
            <v>Kg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C6883" t="str">
            <v>Vỉ 650gr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C6884" t="str">
            <v>Vỉ 500gr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C6885" t="str">
            <v>Kg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C6886" t="str">
            <v>Túi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C6887" t="str">
            <v>Vỉ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C6888" t="str">
            <v>Hộp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C6889" t="str">
            <v>Túi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C6890" t="str">
            <v>Vỉ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C6891" t="str">
            <v>Túi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C6892" t="str">
            <v>Túi 150gr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C6893" t="str">
            <v>Túi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C6894" t="str">
            <v>Vỉ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C6895" t="str">
            <v>Hộp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C6896" t="str">
            <v>Túi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C6897" t="str">
            <v>Hộp 300gr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C6898" t="str">
            <v>Kg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C6899" t="str">
            <v>Kg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C6900" t="str">
            <v>Kg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C6901" t="str">
            <v>Kg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C6902" t="str">
            <v>Kg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C6903" t="str">
            <v>Kg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C6904" t="str">
            <v>Kg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C6905" t="str">
            <v>Kg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C6906" t="str">
            <v>Kg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C6907" t="str">
            <v>Kg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C6908" t="str">
            <v>Kg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C6909" t="str">
            <v>Kg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C6910" t="str">
            <v>Hộp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C6911" t="str">
            <v>Kg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C6912" t="str">
            <v>Kg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C6913" t="str">
            <v>Kg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C6914" t="str">
            <v>Kg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C6915" t="str">
            <v>Túi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C6916" t="str">
            <v>Kg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C6917" t="str">
            <v>Kg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C6918" t="str">
            <v>Kg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C6919" t="str">
            <v>Kg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C6920" t="str">
            <v>Kg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C6921" t="str">
            <v>Kg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C6922" t="str">
            <v>Kg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C6923" t="str">
            <v>Kg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C6924" t="str">
            <v>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C6925" t="str">
            <v>Kg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C6926" t="str">
            <v>Kg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C6927" t="str">
            <v>Kg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C6928" t="str">
            <v>Kg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C6929" t="str">
            <v>Túi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C6930" t="str">
            <v>Túi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C6931" t="str">
            <v>Kg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C6932" t="str">
            <v>Kg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C6933" t="str">
            <v>Túi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C6934" t="str">
            <v>Kg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C6935" t="str">
            <v>Kg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C6936" t="str">
            <v>Kg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C6937" t="str">
            <v>Kg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C6938" t="str">
            <v>Kg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C6939" t="str">
            <v>Kg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C6940" t="str">
            <v>Hộp 300gr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C6941" t="str">
            <v>Hộp 500gr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C6942" t="str">
            <v>Kg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C6943" t="str">
            <v>Túi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C6944" t="str">
            <v>Kg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C6945" t="str">
            <v>Kg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C6946" t="str">
            <v>Kg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C6947" t="str">
            <v>Kg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C6948" t="str">
            <v>Kg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C6949" t="str">
            <v>Kg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C6950" t="str">
            <v>Hộp 500gr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C6951" t="str">
            <v>Kg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C6952" t="str">
            <v>Kg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C6953" t="str">
            <v>Túi 300gr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C6954" t="str">
            <v>Kg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C6955" t="str">
            <v>Kg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C6956" t="str">
            <v>Kg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C6957" t="str">
            <v>Kg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C6958" t="str">
            <v>Kg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C6959" t="str">
            <v>Kg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C6960" t="str">
            <v>Kg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C6961" t="str">
            <v>Kg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C6962" t="str">
            <v>Kg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C6963" t="str">
            <v>Kg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C6964" t="str">
            <v>Kg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C6965" t="str">
            <v>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C6966" t="str">
            <v>Kg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C6967" t="str">
            <v>Kg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C6968" t="str">
            <v>Kg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C6969" t="str">
            <v>Kg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C6970" t="str">
            <v>Kg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C6971" t="str">
            <v>Kg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C6972" t="str">
            <v>Kg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C6973" t="str">
            <v>Kg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C6974" t="str">
            <v>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C6975" t="str">
            <v>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C6976" t="str">
            <v>Kg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C6977" t="str">
            <v>Kg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C6978" t="str">
            <v>Kg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C6979" t="str">
            <v>Kg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C6980" t="str">
            <v>Kg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C6981" t="str">
            <v>Kg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C6982" t="str">
            <v>Kg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C6983" t="str">
            <v>Kg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C6984" t="str">
            <v>Kg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C6985" t="str">
            <v>Kg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C6986" t="str">
            <v>Kg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C6987" t="str">
            <v>Kg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C6988" t="str">
            <v>Kg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C6989" t="str">
            <v>Kg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C6990" t="str">
            <v>Túi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C6991" t="str">
            <v>Túi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C6992" t="str">
            <v>Kg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C6993" t="str">
            <v>Kg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C6994" t="str">
            <v>Kg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C6995" t="str">
            <v>Kg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C6996" t="str">
            <v>Kg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C6997" t="str">
            <v>Kg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C6998" t="str">
            <v>Kg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C6999" t="str">
            <v>Kg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C7000" t="str">
            <v>Kg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C7001" t="str">
            <v>Kg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C7002" t="str">
            <v>Kg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C7003" t="str">
            <v>Kg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C7004" t="str">
            <v>Kg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C7005" t="str">
            <v>Kg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C7006" t="str">
            <v>Kg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C7007" t="str">
            <v>Kg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C7008" t="str">
            <v>Kg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C7009" t="str">
            <v>Kg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C7010" t="str">
            <v>Kg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C7011" t="str">
            <v>Kg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C7012" t="str">
            <v>Kg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C7013" t="str">
            <v>Kg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C7014" t="str">
            <v>Kg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C7015" t="str">
            <v>Kg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C7016" t="str">
            <v>Kg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C7017" t="str">
            <v>Hộp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C7018" t="str">
            <v>Kg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C7019" t="str">
            <v>Kg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C7020" t="str">
            <v>Kg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C7021" t="str">
            <v>Kg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C7022" t="str">
            <v>Kg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C7023" t="str">
            <v>Kg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C7024" t="str">
            <v>Kg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C7025" t="str">
            <v>Túi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C7026" t="str">
            <v>Kg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C7027" t="str">
            <v>Túi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C7028" t="str">
            <v>Túi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C7029" t="str">
            <v>Kg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C7030" t="str">
            <v>Kg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C7031" t="str">
            <v>Kg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C7032" t="str">
            <v>Kg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C7033" t="str">
            <v>Kg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C7034" t="str">
            <v>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C7035" t="str">
            <v>Kg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C7036" t="str">
            <v>Kg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C7037" t="str">
            <v>Kg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C7038" t="str">
            <v>Kg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C7039" t="str">
            <v>Kg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C7040" t="str">
            <v>Kg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C7041" t="str">
            <v>Kg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C7042" t="str">
            <v>Kg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C7043" t="str">
            <v>Kg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C7044" t="str">
            <v>Kg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C7045" t="str">
            <v>Kg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C7046" t="str">
            <v>Kg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C7047" t="str">
            <v>Kg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C7048" t="str">
            <v>Kg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C7049" t="str">
            <v>Kg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C7050" t="str">
            <v>Kg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C7051" t="str">
            <v>Kg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C7052" t="str">
            <v>Kg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C7053" t="str">
            <v>Kg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C7054" t="str">
            <v>Túi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C7055" t="str">
            <v>Kg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C7056" t="str">
            <v>Kg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C7057" t="str">
            <v>Kg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C7058" t="str">
            <v>Kg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C7059" t="str">
            <v>Hộp 300gr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C7060" t="str">
            <v>Hộp 500gr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C7061" t="str">
            <v>Kg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C7062" t="str">
            <v>Vỉ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C7063" t="str">
            <v>Túi 300gr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C7064" t="str">
            <v>Kg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C7065" t="str">
            <v>Kg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C7066" t="str">
            <v>Kg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C7067" t="str">
            <v>Túi 500gr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C7068" t="str">
            <v>Kg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C7069" t="str">
            <v>Kg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C7070" t="str">
            <v>Kg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C7071" t="str">
            <v>Kg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C7072" t="str">
            <v>Kg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C7073" t="str">
            <v>Kg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C7074" t="str">
            <v>Trái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C7075" t="str">
            <v>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C7076" t="str">
            <v>Kg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C7077" t="str">
            <v>Kg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C7078" t="str">
            <v>Vỉ 500gr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C7079" t="str">
            <v>Túi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C7080" t="str">
            <v>Hộp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C7081" t="str">
            <v>Túi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C7082" t="str">
            <v>Vỉ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C7083" t="str">
            <v>Kg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C7084" t="str">
            <v>Hộp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C7085" t="str">
            <v>Vỉ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C7086" t="str">
            <v>Vỉ 500gr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C7087" t="str">
            <v>Túi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C7088" t="str">
            <v>Vỉ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C7089" t="str">
            <v>Túi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C7090" t="str">
            <v>Túi 150gr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C7091" t="str">
            <v>Túi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C7092" t="str">
            <v>Kg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C7093" t="str">
            <v>Kg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C7094" t="str">
            <v>Trái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C7095" t="str">
            <v>Trái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C7096" t="str">
            <v>Trái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C7097" t="str">
            <v>Kg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C7098" t="str">
            <v>Kg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C7099" t="str">
            <v>Kg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C7100" t="str">
            <v>Kg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C7101" t="str">
            <v>Kg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C7102" t="str">
            <v>Kg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C7103" t="str">
            <v>Kg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C7104" t="str">
            <v>Kg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C7105" t="str">
            <v>Kg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C7106" t="str">
            <v>Kg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C7107" t="str">
            <v>Kg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C7108" t="str">
            <v>Kg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C7109" t="str">
            <v>Túi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C7110" t="str">
            <v>Túi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C7111" t="str">
            <v>Kg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C7112" t="str">
            <v>Kg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C7113" t="str">
            <v>Kg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C7114" t="str">
            <v>Kg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C7115" t="str">
            <v>Kg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C7116" t="str">
            <v>Kg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C7117" t="str">
            <v>Kg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C7118" t="str">
            <v>Kg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C7119" t="str">
            <v>Túi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C7120" t="str">
            <v>Kg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C7121" t="str">
            <v>Kg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C7122" t="str">
            <v>Kg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C7123" t="str">
            <v>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C7124" t="str">
            <v>Trái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C7125" t="str">
            <v>Kg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C7126" t="str">
            <v>Kg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C7127" t="str">
            <v>Kg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C7128" t="str">
            <v>Kg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C7129" t="str">
            <v>Kg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C7130" t="str">
            <v>Kg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C7131" t="str">
            <v>Kg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C7132" t="str">
            <v>Kg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C7133" t="str">
            <v>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C7134" t="str">
            <v>Kg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C7135" t="str">
            <v>Kg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C7136" t="str">
            <v>Kg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C7137" t="str">
            <v>Kg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C7138" t="str">
            <v>Kg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C7139" t="str">
            <v>Kg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C7140" t="str">
            <v>Kg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C7141" t="str">
            <v>Kg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C7142" t="str">
            <v>Vỉ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C7143" t="str">
            <v>Hộp 250GR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C7144" t="str">
            <v>Kg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C7145" t="str">
            <v>Kg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C7146" t="str">
            <v>Kg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C7147" t="str">
            <v>Kg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C7148" t="str">
            <v>Kg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C7149" t="str">
            <v>Kg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C7150" t="str">
            <v>Kg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C7151" t="str">
            <v>Kg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C7152" t="str">
            <v>Kg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C7153" t="str">
            <v>Kg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C7154" t="str">
            <v>Kg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C7155" t="str">
            <v>Kg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C7156" t="str">
            <v>Kg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C7157" t="str">
            <v>Kg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C7158" t="str">
            <v>Kg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C7159" t="str">
            <v>Kg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C7160" t="str">
            <v>Kg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C7161" t="str">
            <v>Kg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C7162" t="str">
            <v>Kg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C7163" t="str">
            <v>Kg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C7164" t="str">
            <v>Kg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C7165" t="str">
            <v>Túi 500gr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C7166" t="str">
            <v>Túi 300gr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C7167" t="str">
            <v>Kg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C7168" t="str">
            <v>Kg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C7169" t="str">
            <v>Kg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C7170" t="str">
            <v>Kg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C7171" t="str">
            <v>Kg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C7172" t="str">
            <v>Kg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C7173" t="str">
            <v>Kg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C7174" t="str">
            <v>Kg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C7175" t="str">
            <v>Hộp 300gr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C7176" t="str">
            <v>Hộp 500gr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C7177" t="str">
            <v>Kg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C7178" t="str">
            <v>Kg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C7179" t="str">
            <v>Kg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C7180" t="str">
            <v>Kg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C7181" t="str">
            <v>Kg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C7182" t="str">
            <v>Kg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C7183" t="str">
            <v>Kg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C7184" t="str">
            <v>Kg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C7185" t="str">
            <v>Kg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C7186" t="str">
            <v>Kg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C7187" t="str">
            <v>Kg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C7188" t="str">
            <v>Kg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C7189" t="str">
            <v>Kg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C7190" t="str">
            <v>Kg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C7191" t="str">
            <v>Kg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C7192" t="str">
            <v>Kg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C7193" t="str">
            <v>Kg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C7194" t="str">
            <v>Kg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C7195" t="str">
            <v>Kg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C7196" t="str">
            <v>Kg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C7197" t="str">
            <v>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C7198" t="str">
            <v>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C7199" t="str">
            <v>Kg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C7200" t="str">
            <v>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C7201" t="str">
            <v>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C7202" t="str">
            <v>Kg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C7203" t="str">
            <v>Vỉ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C7204" t="str">
            <v>Hộp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C7205" t="str">
            <v>Túi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C7206" t="str">
            <v>Kg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C7207" t="str">
            <v>Hộp 250GR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C7208" t="str">
            <v>Kg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C7209" t="str">
            <v>Vỉ 500gr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C7210" t="str">
            <v>Vỉ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C7211" t="str">
            <v>Túi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C7212" t="str">
            <v>Túi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C7213" t="str">
            <v>Túi 150gr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C7214" t="str">
            <v>Túi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C7215" t="str">
            <v>Vỉ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C7216" t="str">
            <v>Kg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C7217" t="str">
            <v>Kg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C7218" t="str">
            <v>Vỉ 650gr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C7219" t="str">
            <v>Vỉ 500gr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C7220" t="str">
            <v>Kg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C7221" t="str">
            <v>Túi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C7222" t="str">
            <v>Hộp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C7223" t="str">
            <v>Túi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C7224" t="str">
            <v>Vỉ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C7225" t="str">
            <v>Mét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C7226" t="str">
            <v>Mét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C7227" t="str">
            <v>Hộp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C7228" t="str">
            <v>Cuộn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C7229" t="str">
            <v>Kg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C7230" t="str">
            <v>Kg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C7231" t="str">
            <v>Kg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C7232" t="str">
            <v>Kg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C7233" t="str">
            <v>Kg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C7234" t="str">
            <v>Kg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C7235" t="str">
            <v>Kg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C7236" t="str">
            <v>Kg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C7237" t="str">
            <v>Kg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C7238" t="str">
            <v>Kg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C7239" t="str">
            <v>Kg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C7240" t="str">
            <v>Kg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C7241" t="str">
            <v>Kg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C7242" t="str">
            <v>Kg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C7243" t="str">
            <v>Kg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C7244" t="str">
            <v>Kg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C7245" t="str">
            <v>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C7246" t="str">
            <v>Túi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C7247" t="str">
            <v>Kg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C7248" t="str">
            <v>Kg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C7249" t="str">
            <v>Kg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C7250" t="str">
            <v>Kg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C7251" t="str">
            <v>Kg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C7252" t="str">
            <v>Kg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C7253" t="str">
            <v>Kg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C7254" t="str">
            <v>Kg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C7255" t="str">
            <v>Kg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C7256" t="str">
            <v>Kg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C7257" t="str">
            <v>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C7258" t="str">
            <v>Kg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C7259" t="str">
            <v>Kg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C7260" t="str">
            <v>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C7261" t="str">
            <v>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C7262" t="str">
            <v>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C7263" t="str">
            <v>Trái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C7264" t="str">
            <v>Kg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C7265" t="str">
            <v>Kg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C7266" t="str">
            <v>Kg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C7267" t="str">
            <v>Kg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C7268" t="str">
            <v>Kg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C7269" t="str">
            <v>Kg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C7270" t="str">
            <v>Kg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C7271" t="str">
            <v>Kg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C7272" t="str">
            <v>Kg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C7273" t="str">
            <v>Kg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C7274" t="str">
            <v>Kg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C7275" t="str">
            <v>Kg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C7276" t="str">
            <v>Kg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C7277" t="str">
            <v>Kg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C7278" t="str">
            <v>Kg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C7279" t="str">
            <v>Kg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C7280" t="str">
            <v>Kg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C7281" t="str">
            <v>Kg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C7282" t="str">
            <v>Túi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C7283" t="str">
            <v>Vỉ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C7284" t="str">
            <v>Hộp 300gr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C7285" t="str">
            <v>Hộp 500gr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C7286" t="str">
            <v>Vỉ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C7287" t="str">
            <v>Túi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C7288" t="str">
            <v>Kg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C7289" t="str">
            <v>Kg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C7290" t="str">
            <v>Vỉ 500gr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C7291" t="str">
            <v>Túi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C7292" t="str">
            <v>Túi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C7293" t="str">
            <v>Vỉ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C7294" t="str">
            <v>Kg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C7295" t="str">
            <v>Kg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C7296" t="str">
            <v>Vỉ 500gr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C7297" t="str">
            <v>Túi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C7298" t="str">
            <v>Hộp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C7299" t="str">
            <v>Túi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C7300" t="str">
            <v>Vỉ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C7301" t="str">
            <v>Kg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C7302" t="str">
            <v>Kg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C7303" t="str">
            <v>Túi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C7304" t="str">
            <v>Kg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C7305" t="str">
            <v>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C7306" t="str">
            <v>Kg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C7307" t="str">
            <v>Kg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C7308" t="str">
            <v>Kg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C7309" t="str">
            <v>Kg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C7310" t="str">
            <v>Kg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C7311" t="str">
            <v>Kg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C7312" t="str">
            <v>Túi 500gr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C7313" t="str">
            <v>Túi 300gr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C7314" t="str">
            <v>Kg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C7315" t="str">
            <v>Kg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C7316" t="str">
            <v>Hộp 250GR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C7317" t="str">
            <v>Kg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C7318" t="str">
            <v>Kg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C7319" t="str">
            <v>Hộp 300gr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C7320" t="str">
            <v>Kg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C7321" t="str">
            <v>Kg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C7322" t="str">
            <v>Túi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C7323" t="str">
            <v>Kg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C7324" t="str">
            <v>Kg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C7325" t="str">
            <v>Kg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C7326" t="str">
            <v>Kg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C7327" t="str">
            <v>Kg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C7328" t="str">
            <v>Kg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C7329" t="str">
            <v>Kg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C7330" t="str">
            <v>Kg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C7331" t="str">
            <v>Kg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C7332" t="str">
            <v>Kg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C7333" t="str">
            <v>Kg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C7334" t="str">
            <v>Kg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C7335" t="str">
            <v>Kg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C7336" t="str">
            <v>Túi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C7337" t="str">
            <v>Túi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C7338" t="str">
            <v>Túi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C7339" t="str">
            <v>Kg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C7340" t="str">
            <v>Kg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C7341" t="str">
            <v>Kg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C7342" t="str">
            <v>Kg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C7343" t="str">
            <v>Kg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C7344" t="str">
            <v>Kg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C7345" t="str">
            <v>Kg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C7346" t="str">
            <v>Kg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C7347" t="str">
            <v>Kg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C7348" t="str">
            <v>Kg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C7349" t="str">
            <v>Kg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C7350" t="str">
            <v>Kg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C7351" t="str">
            <v>Kg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C7352" t="str">
            <v>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C7353" t="str">
            <v>Kg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C7354" t="str">
            <v>Vỉ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C7355" t="str">
            <v>Kg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C7356" t="str">
            <v>Kg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C7357" t="str">
            <v>Túi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C7358" t="str">
            <v>Kg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C7359" t="str">
            <v>Kg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C7360" t="str">
            <v>Kg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C7361" t="str">
            <v>Hộp 250GR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C7362" t="str">
            <v>Kg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C7363" t="str">
            <v>Kg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C7364" t="str">
            <v>Kg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C7365" t="str">
            <v>Kg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C7366" t="str">
            <v>Túi 300gr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C7367" t="str">
            <v>Kg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C7368" t="str">
            <v>Kg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C7369" t="str">
            <v>Kg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C7370" t="str">
            <v>Kg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C7371" t="str">
            <v>Kg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C7372" t="str">
            <v>Kg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C7373" t="str">
            <v>Kg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C7374" t="str">
            <v>Kg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C7375" t="str">
            <v>Kg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C7376" t="str">
            <v>Kg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C7377" t="str">
            <v>Kg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C7378" t="str">
            <v>Kg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C7379" t="str">
            <v>Kg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C7380" t="str">
            <v>Kg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C7381" t="str">
            <v>Kg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C7382" t="str">
            <v>Kg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C7383" t="str">
            <v>Kg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C7384" t="str">
            <v>Kg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C7385" t="str">
            <v>Kg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C7386" t="str">
            <v>Kg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C7387" t="str">
            <v>Kg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C7388" t="str">
            <v>Kg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C7389" t="str">
            <v>Trái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C7390" t="str">
            <v/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C7391" t="str">
            <v>Kg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C7392" t="str">
            <v>Kg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C7393" t="str">
            <v>Kg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C7394" t="str">
            <v>Hộp 300gr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C7395" t="str">
            <v>Hộp 500gr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C7396" t="str">
            <v>Kg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C7397" t="str">
            <v>Kg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C7398" t="str">
            <v>Kg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C7399" t="str">
            <v>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C7400" t="str">
            <v>Kg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C7401" t="str">
            <v>Kg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C7402" t="str">
            <v>Kg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C7403" t="str">
            <v>Túi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C7404" t="str">
            <v>Túi 500gr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C7405" t="str">
            <v>Kg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C7406" t="str">
            <v>Kg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C7407" t="str">
            <v>Kg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C7408" t="str">
            <v>Kg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C7409" t="str">
            <v>Kg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C7410" t="str">
            <v>Kg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C7411" t="str">
            <v>Kg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C7412" t="str">
            <v>Kg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C7413" t="str">
            <v>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C7414" t="str">
            <v>Kg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C7415" t="str">
            <v>Kg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C7416" t="str">
            <v>Kg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C7417" t="str">
            <v>Kg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C7418" t="str">
            <v>Kg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C7419" t="str">
            <v>Kg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C7420" t="str">
            <v>Kg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C7421" t="str">
            <v>Kg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C7422" t="str">
            <v>Túi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C7423" t="str">
            <v>Hộp 300gr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C7424" t="str">
            <v>Túi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C7425" t="str">
            <v>Hộp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C7426" t="str">
            <v>Kg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C7427" t="str">
            <v>Kg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C7428" t="str">
            <v>Vỉ 650gr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C7429" t="str">
            <v>Vỉ 500gr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C7430" t="str">
            <v>Kg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C7431" t="str">
            <v>Lít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C7432" t="str">
            <v>Lít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C7433" t="str">
            <v>Kg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C7434" t="str">
            <v>Kg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C7435" t="str">
            <v>Kg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C7436" t="str">
            <v>Kg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C7437" t="str">
            <v>Kg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C7438" t="str">
            <v>Kg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C7439" t="str">
            <v>Kg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C7440" t="str">
            <v>Túi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C7441" t="str">
            <v>Kg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C7442" t="str">
            <v>Kg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C7443" t="str">
            <v>Kg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C7444" t="str">
            <v>Kg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C7445" t="str">
            <v>Kg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C7446" t="str">
            <v>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C7447" t="str">
            <v>Kg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C7448" t="str">
            <v>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C7449" t="str">
            <v>Kg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C7450" t="str">
            <v>Kg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C7451" t="str">
            <v>Kg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C7452" t="str">
            <v>Kg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C7453" t="str">
            <v>Kg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C7454" t="str">
            <v>Kg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C7455" t="str">
            <v>Kg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C7456" t="str">
            <v>Túi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C7457" t="str">
            <v>Trái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C7458" t="str">
            <v>Trái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C7459" t="str">
            <v>Trái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C7460" t="str">
            <v>Kg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C7461" t="str">
            <v>Kg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C7462" t="str">
            <v>Kg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C7463" t="str">
            <v>Kg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C7464" t="str">
            <v>Kg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C7465" t="str">
            <v>Kg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C7466" t="str">
            <v>Kg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C7467" t="str">
            <v>Kg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C7468" t="str">
            <v>Kg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C7469" t="str">
            <v>Kg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C7470" t="str">
            <v>Kg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C7471" t="str">
            <v>Kg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C7472" t="str">
            <v>Kg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C7473" t="str">
            <v>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C7474" t="str">
            <v>Kg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C7475" t="str">
            <v>Kg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C7476" t="str">
            <v>Kg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C7477" t="str">
            <v>Kg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C7478" t="str">
            <v>Kg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C7479" t="str">
            <v>Kg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C7480" t="str">
            <v>Kg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C7481" t="str">
            <v>Kg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C7482" t="str">
            <v>Kg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C7483" t="str">
            <v>Vỉ 650gr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C7484" t="str">
            <v>Vỉ 650gr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C7485" t="str">
            <v>Vỉ 500gr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C7486" t="str">
            <v>Túi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C7487" t="str">
            <v>Hộp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C7488" t="str">
            <v>Túi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C7489" t="str">
            <v>Kg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C7490" t="str">
            <v>Kg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C7491" t="str">
            <v>Kg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C7492" t="str">
            <v>Kg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C7493" t="str">
            <v>Kg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C7494" t="str">
            <v>Kg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C7495" t="str">
            <v>Kg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C7496" t="str">
            <v>Kg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C7497" t="str">
            <v>Kg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C7498" t="str">
            <v>Kg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C7499" t="str">
            <v>Kg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C7500" t="str">
            <v>Kg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C7501" t="str">
            <v>Kg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C7502" t="str">
            <v>Kg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C7503" t="str">
            <v>Kg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C7504" t="str">
            <v>Kg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C7505" t="str">
            <v>Kg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C7506" t="str">
            <v>Túi 300gr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C7507" t="str">
            <v>Kg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C7508" t="str">
            <v>Kg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C7509" t="str">
            <v>Kg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C7510" t="str">
            <v>Túi 500gr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C7511" t="str">
            <v>Kg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C7512" t="str">
            <v>Kg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C7513" t="str">
            <v>Kg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C7514" t="str">
            <v>Kg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C7515" t="str">
            <v>Kg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C7516" t="str">
            <v>Kg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C7517" t="str">
            <v>Kg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C7518" t="str">
            <v>Kg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C7519" t="str">
            <v>Kg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C7520" t="str">
            <v>Kg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C7521" t="str">
            <v>Kg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C7522" t="str">
            <v>Hộp 300gr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C7523" t="str">
            <v>Hộp 500gr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C7524" t="str">
            <v>Kg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C7525" t="str">
            <v>Túi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C7526" t="str">
            <v>Kg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C7527" t="str">
            <v>Kg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C7528" t="str">
            <v>Kg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C7529" t="str">
            <v>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C7530" t="str">
            <v>Túi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C7531" t="str">
            <v>Hộp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C7532" t="str">
            <v>Vỉ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C7533" t="str">
            <v>Kg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C7534" t="str">
            <v>Kg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C7535" t="str">
            <v>Kg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C7536" t="str">
            <v>Kg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C7537" t="str">
            <v>Túi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C7538" t="str">
            <v>Kg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C7539" t="str">
            <v>Vỉ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C7540" t="str">
            <v>Túi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C7541" t="str">
            <v>Túi 150gr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C7542" t="str">
            <v>Túi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C7543" t="str">
            <v>Vỉ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C7544" t="str">
            <v>Lít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C7545" t="str">
            <v/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C7546" t="str">
            <v>Kg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C7547" t="str">
            <v>Kg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C7548" t="str">
            <v>Kg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C7549" t="str">
            <v>Kg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C7550" t="str">
            <v>Kg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C7551" t="str">
            <v>Kg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C7552" t="str">
            <v>Kg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C7553" t="str">
            <v>Kg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C7554" t="str">
            <v>Kg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C7555" t="str">
            <v>Kg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C7556" t="str">
            <v>Kg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C7557" t="str">
            <v>Túi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C7558" t="str">
            <v>Kg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C7559" t="str">
            <v>Kg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C7560" t="str">
            <v>Kg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C7561" t="str">
            <v>Kg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C7562" t="str">
            <v>Kg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C7563" t="str">
            <v>Kg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C7564" t="str">
            <v>Kg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C7565" t="str">
            <v>Kg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C7566" t="str">
            <v>Kg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C7567" t="str">
            <v>Kg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C7568" t="str">
            <v>Kg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C7569" t="str">
            <v>Kg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C7570" t="str">
            <v>Kg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C7571" t="str">
            <v>Kg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C7572" t="str">
            <v>Túi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C7573" t="str">
            <v>Kg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C7574" t="str">
            <v>Kg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C7575" t="str">
            <v>Kg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C7576" t="str">
            <v>Kg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C7577" t="str">
            <v>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C7578" t="str">
            <v>Túi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C7579" t="str">
            <v>Kg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C7580" t="str">
            <v>Kg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C7581" t="str">
            <v>Kg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C7582" t="str">
            <v>Kg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C7583" t="str">
            <v>Kg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C7584" t="str">
            <v>Kg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C7585" t="str">
            <v>Kg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C7586" t="str">
            <v>Kg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C7587" t="str">
            <v>Kg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C7588" t="str">
            <v>Hộp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C7589" t="str">
            <v>Kg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C7590" t="str">
            <v>Kg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C7591" t="str">
            <v>Kg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C7592" t="str">
            <v>Kg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C7593" t="str">
            <v>Kg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C7594" t="str">
            <v>Kg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C7595" t="str">
            <v>Túi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C7596" t="str">
            <v>Túi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C7597" t="str">
            <v>Kg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C7598" t="str">
            <v>Kg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C7599" t="str">
            <v>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C7600" t="str">
            <v>Kg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C7601" t="str">
            <v>Kg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C7602" t="str">
            <v>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C7603" t="str">
            <v>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C7604" t="str">
            <v>Kg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C7605" t="str">
            <v>Hộp 300gr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C7606" t="str">
            <v>Hộp 500gr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C7607" t="str">
            <v>Kg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C7608" t="str">
            <v>Kg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C7609" t="str">
            <v>Túi 500gr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C7610" t="str">
            <v>Kg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C7611" t="str">
            <v>Kg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C7612" t="str">
            <v>Kg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C7613" t="str">
            <v>Kg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C7614" t="str">
            <v>Kg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C7615" t="str">
            <v>Kg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C7616" t="str">
            <v>Kg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C7617" t="str">
            <v>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C7618" t="str">
            <v>Kg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C7619" t="str">
            <v>Kg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C7620" t="str">
            <v>Kg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C7621" t="str">
            <v>Kg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C7622" t="str">
            <v>Túi 500gr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C7623" t="str">
            <v>Kg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C7624" t="str">
            <v>Kg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C7625" t="str">
            <v>Kg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C7626" t="str">
            <v>Kg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C7627" t="str">
            <v>Kg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C7628" t="str">
            <v>Kg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C7629" t="str">
            <v>Kg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C7630" t="str">
            <v>Kg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C7631" t="str">
            <v>Kg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C7632" t="str">
            <v>Kg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C7633" t="str">
            <v>Kg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C7634" t="str">
            <v>Kg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C7635" t="str">
            <v>Kg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C7636" t="str">
            <v>Kg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C7637" t="str">
            <v>Kg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C7638" t="str">
            <v>Vỉ 500gr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C7639" t="str">
            <v>Hộp 300gr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C7640" t="str">
            <v>Hộp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C7641" t="str">
            <v>Túi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C7642" t="str">
            <v>Túi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C7643" t="str">
            <v>Túi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C7644" t="str">
            <v>Túi 150gr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C7645" t="str">
            <v>Vỉ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C7646" t="str">
            <v>Túi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C7647" t="str">
            <v>Túi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C7648" t="str">
            <v>Vỉ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C7649" t="str">
            <v>Vỉ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C7650" t="str">
            <v>Vỉ 500gr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C7651" t="str">
            <v>Túi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C7652" t="str">
            <v>Kg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C7653" t="str">
            <v>Hộp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C7654" t="str">
            <v>Kg</v>
          </cell>
          <cell r="D7654">
            <v>245000</v>
          </cell>
        </row>
        <row r="7655">
          <cell r="A7655">
            <v>45680</v>
          </cell>
          <cell r="B7655" t="str">
            <v>DO 0.05S-II</v>
          </cell>
          <cell r="C7655" t="str">
            <v>Lít</v>
          </cell>
          <cell r="D7655">
            <v>18718.18</v>
          </cell>
        </row>
        <row r="7656">
          <cell r="A7656">
            <v>45680</v>
          </cell>
          <cell r="B7656" t="str">
            <v>Phí dịch vụ cung ứng lao động tháng 1/2025</v>
          </cell>
          <cell r="C7656" t="str">
            <v/>
          </cell>
          <cell r="D7656">
            <v>0</v>
          </cell>
        </row>
        <row r="7657">
          <cell r="A7657">
            <v>45680</v>
          </cell>
          <cell r="B7657" t="str">
            <v>Bông Cải Xanh 7Cm</v>
          </cell>
          <cell r="C7657" t="str">
            <v>Kg</v>
          </cell>
          <cell r="D7657">
            <v>17000</v>
          </cell>
        </row>
        <row r="7658">
          <cell r="A7658">
            <v>45680</v>
          </cell>
          <cell r="B7658" t="str">
            <v>Bông Cải Xanh 12Cm</v>
          </cell>
          <cell r="C7658" t="str">
            <v>Kg</v>
          </cell>
          <cell r="D7658">
            <v>10000</v>
          </cell>
        </row>
        <row r="7659">
          <cell r="A7659">
            <v>45680</v>
          </cell>
          <cell r="B7659" t="str">
            <v>Bông Cải Xanh 7Cm</v>
          </cell>
          <cell r="C7659" t="str">
            <v>Kg</v>
          </cell>
          <cell r="D7659">
            <v>21000</v>
          </cell>
        </row>
        <row r="7660">
          <cell r="A7660">
            <v>45680</v>
          </cell>
          <cell r="B7660" t="str">
            <v>Bông Cải Xanh 7Cm</v>
          </cell>
          <cell r="C7660" t="str">
            <v>Kg</v>
          </cell>
          <cell r="D7660">
            <v>21000</v>
          </cell>
        </row>
        <row r="7661">
          <cell r="A7661">
            <v>45680</v>
          </cell>
          <cell r="B7661" t="str">
            <v>Bông Cải Xanh 7Cm</v>
          </cell>
          <cell r="C7661" t="str">
            <v>Kg</v>
          </cell>
          <cell r="D7661">
            <v>21000</v>
          </cell>
        </row>
        <row r="7662">
          <cell r="A7662">
            <v>45680</v>
          </cell>
          <cell r="B7662" t="str">
            <v>Bông Cải Trắng</v>
          </cell>
          <cell r="C7662" t="str">
            <v>Kg</v>
          </cell>
          <cell r="D7662">
            <v>12000</v>
          </cell>
        </row>
        <row r="7663">
          <cell r="A7663">
            <v>45680</v>
          </cell>
          <cell r="B7663" t="str">
            <v>Cần Tây</v>
          </cell>
          <cell r="C7663" t="str">
            <v>Kg</v>
          </cell>
          <cell r="D7663">
            <v>13000</v>
          </cell>
        </row>
        <row r="7664">
          <cell r="A7664">
            <v>45680</v>
          </cell>
          <cell r="B7664" t="str">
            <v>Bắp Cải Tím</v>
          </cell>
          <cell r="C7664" t="str">
            <v>Kg</v>
          </cell>
          <cell r="D7664">
            <v>8000</v>
          </cell>
        </row>
        <row r="7665">
          <cell r="A7665">
            <v>45680</v>
          </cell>
          <cell r="B7665" t="str">
            <v>Bông Cải Xanh 7Cm</v>
          </cell>
          <cell r="C7665" t="str">
            <v>Kg</v>
          </cell>
          <cell r="D7665">
            <v>10000</v>
          </cell>
        </row>
        <row r="7666">
          <cell r="A7666">
            <v>45680</v>
          </cell>
          <cell r="B7666" t="str">
            <v>Cà Chua Socola</v>
          </cell>
          <cell r="C7666" t="str">
            <v>Hộp 250GR</v>
          </cell>
          <cell r="D7666">
            <v>7000</v>
          </cell>
        </row>
        <row r="7667">
          <cell r="A7667">
            <v>45680</v>
          </cell>
          <cell r="B7667" t="str">
            <v>Củ Khoai Lang Mật Size 23</v>
          </cell>
          <cell r="C7667" t="str">
            <v>Kg</v>
          </cell>
          <cell r="D7667">
            <v>27000</v>
          </cell>
        </row>
        <row r="7668">
          <cell r="A7668">
            <v>45680</v>
          </cell>
          <cell r="B7668" t="str">
            <v>Xà Lách Lolo Xanh</v>
          </cell>
          <cell r="C7668" t="str">
            <v>Kg</v>
          </cell>
          <cell r="D7668">
            <v>13000</v>
          </cell>
        </row>
        <row r="7669">
          <cell r="A7669">
            <v>45680</v>
          </cell>
          <cell r="B7669" t="str">
            <v>Dưa Leo Baby</v>
          </cell>
          <cell r="C7669" t="str">
            <v>Kg</v>
          </cell>
          <cell r="D7669">
            <v>8000</v>
          </cell>
        </row>
        <row r="7670">
          <cell r="A7670">
            <v>45680</v>
          </cell>
          <cell r="B7670" t="str">
            <v>Dưa Leo Baby</v>
          </cell>
          <cell r="C7670" t="str">
            <v>Kg</v>
          </cell>
          <cell r="D7670">
            <v>9500</v>
          </cell>
        </row>
        <row r="7671">
          <cell r="A7671">
            <v>45680</v>
          </cell>
          <cell r="B7671" t="str">
            <v>Hồng Treo Gió</v>
          </cell>
          <cell r="C7671" t="str">
            <v>Kg</v>
          </cell>
          <cell r="D7671">
            <v>200000</v>
          </cell>
        </row>
        <row r="7672">
          <cell r="A7672">
            <v>45680</v>
          </cell>
          <cell r="B7672" t="str">
            <v>Gia Công Rau Củ Quả</v>
          </cell>
          <cell r="C7672" t="str">
            <v>Kg</v>
          </cell>
          <cell r="D7672">
            <v>1700</v>
          </cell>
        </row>
        <row r="7673">
          <cell r="A7673">
            <v>45680</v>
          </cell>
          <cell r="B7673" t="str">
            <v>Gia Công Rau Củ Quả</v>
          </cell>
          <cell r="C7673" t="str">
            <v>Kg</v>
          </cell>
          <cell r="D7673">
            <v>1000</v>
          </cell>
        </row>
        <row r="7674">
          <cell r="A7674">
            <v>45680</v>
          </cell>
          <cell r="B7674" t="str">
            <v>Trái Mít Thái</v>
          </cell>
          <cell r="C7674" t="str">
            <v>Kg</v>
          </cell>
          <cell r="D7674">
            <v>20150</v>
          </cell>
        </row>
        <row r="7675">
          <cell r="A7675">
            <v>45680</v>
          </cell>
          <cell r="B7675" t="str">
            <v>Bí Ngòi Xanh</v>
          </cell>
          <cell r="C7675" t="str">
            <v>Kg</v>
          </cell>
          <cell r="D7675">
            <v>7000</v>
          </cell>
        </row>
        <row r="7676">
          <cell r="A7676">
            <v>45680</v>
          </cell>
          <cell r="B7676" t="str">
            <v>Xà Lách Lolo Xanh T.C Cây</v>
          </cell>
          <cell r="C7676" t="str">
            <v>Cây</v>
          </cell>
          <cell r="D7676">
            <v>6800</v>
          </cell>
        </row>
        <row r="7677">
          <cell r="A7677">
            <v>45680</v>
          </cell>
          <cell r="B7677" t="str">
            <v>Xà Lách Mỡ T.C Cây</v>
          </cell>
          <cell r="C7677" t="str">
            <v>Cây</v>
          </cell>
          <cell r="D7677">
            <v>6800</v>
          </cell>
        </row>
        <row r="7678">
          <cell r="A7678">
            <v>45680</v>
          </cell>
          <cell r="B7678" t="str">
            <v>Xà Lách Mỡ T.C</v>
          </cell>
          <cell r="C7678" t="str">
            <v>Kg</v>
          </cell>
          <cell r="D7678">
            <v>28000</v>
          </cell>
        </row>
        <row r="7679">
          <cell r="A7679">
            <v>45680</v>
          </cell>
          <cell r="B7679" t="str">
            <v>Xà Lách Lolo Xanh T.C Cây</v>
          </cell>
          <cell r="C7679" t="str">
            <v>Cây</v>
          </cell>
          <cell r="D7679">
            <v>6800</v>
          </cell>
        </row>
        <row r="7680">
          <cell r="A7680">
            <v>45680</v>
          </cell>
          <cell r="B7680" t="str">
            <v>Xà Lách Thủy Tinh T.C Cây</v>
          </cell>
          <cell r="C7680" t="str">
            <v>Cây</v>
          </cell>
          <cell r="D7680">
            <v>6800</v>
          </cell>
        </row>
        <row r="7681">
          <cell r="A7681">
            <v>45680</v>
          </cell>
          <cell r="B7681" t="str">
            <v>Xà Lách Thủy Tinh T.C</v>
          </cell>
          <cell r="C7681" t="str">
            <v>Kg</v>
          </cell>
          <cell r="D7681">
            <v>30000</v>
          </cell>
        </row>
        <row r="7682">
          <cell r="A7682">
            <v>45680</v>
          </cell>
          <cell r="B7682" t="str">
            <v>Bông Cải Xanh 7Cm</v>
          </cell>
          <cell r="C7682" t="str">
            <v>Kg</v>
          </cell>
          <cell r="D7682">
            <v>21000</v>
          </cell>
        </row>
        <row r="7683">
          <cell r="A7683">
            <v>45680</v>
          </cell>
          <cell r="B7683" t="str">
            <v>Bí Ngòi Xanh</v>
          </cell>
          <cell r="C7683" t="str">
            <v>Kg</v>
          </cell>
          <cell r="D7683">
            <v>10000</v>
          </cell>
        </row>
        <row r="7684">
          <cell r="A7684">
            <v>45680</v>
          </cell>
          <cell r="B7684" t="str">
            <v>Bắp Cải Trái Tim</v>
          </cell>
          <cell r="C7684" t="str">
            <v>Kg</v>
          </cell>
          <cell r="D7684">
            <v>4000</v>
          </cell>
        </row>
        <row r="7685">
          <cell r="A7685">
            <v>45680</v>
          </cell>
          <cell r="B7685" t="str">
            <v>Củ Dền</v>
          </cell>
          <cell r="C7685" t="str">
            <v>Kg</v>
          </cell>
          <cell r="D7685">
            <v>11000</v>
          </cell>
        </row>
        <row r="7686">
          <cell r="A7686">
            <v>45680</v>
          </cell>
          <cell r="B7686" t="str">
            <v>Cải Bó Xôi</v>
          </cell>
          <cell r="C7686" t="str">
            <v>Kg</v>
          </cell>
          <cell r="D7686">
            <v>22000</v>
          </cell>
        </row>
        <row r="7687">
          <cell r="A7687">
            <v>45680</v>
          </cell>
          <cell r="B7687" t="str">
            <v>Hành Paro</v>
          </cell>
          <cell r="C7687" t="str">
            <v>Kg</v>
          </cell>
          <cell r="D7687">
            <v>12000</v>
          </cell>
        </row>
        <row r="7688">
          <cell r="A7688">
            <v>45680</v>
          </cell>
          <cell r="B7688" t="str">
            <v>Bí Ngòi Xanh</v>
          </cell>
          <cell r="C7688" t="str">
            <v>Kg</v>
          </cell>
          <cell r="D7688">
            <v>10000</v>
          </cell>
        </row>
        <row r="7689">
          <cell r="A7689">
            <v>45680</v>
          </cell>
          <cell r="B7689" t="str">
            <v>Bí Ngòi Xanh</v>
          </cell>
          <cell r="C7689" t="str">
            <v>Kg</v>
          </cell>
          <cell r="D7689">
            <v>12000</v>
          </cell>
        </row>
        <row r="7690">
          <cell r="A7690">
            <v>45680</v>
          </cell>
          <cell r="B7690" t="str">
            <v>Cà Chua Socola</v>
          </cell>
          <cell r="C7690" t="str">
            <v>Kg</v>
          </cell>
          <cell r="D7690">
            <v>28000</v>
          </cell>
        </row>
        <row r="7691">
          <cell r="A7691">
            <v>45680</v>
          </cell>
          <cell r="B7691" t="str">
            <v>Cà Rốt</v>
          </cell>
          <cell r="C7691" t="str">
            <v>Kg</v>
          </cell>
          <cell r="D7691">
            <v>9000</v>
          </cell>
        </row>
        <row r="7692">
          <cell r="A7692">
            <v>45680</v>
          </cell>
          <cell r="B7692" t="str">
            <v>Cải Thảo</v>
          </cell>
          <cell r="C7692" t="str">
            <v>Kg</v>
          </cell>
          <cell r="D7692">
            <v>6000</v>
          </cell>
        </row>
        <row r="7693">
          <cell r="A7693">
            <v>45680</v>
          </cell>
          <cell r="B7693" t="str">
            <v>Củ Cải Trắng</v>
          </cell>
          <cell r="C7693" t="str">
            <v>Kg</v>
          </cell>
          <cell r="D7693">
            <v>6000</v>
          </cell>
        </row>
        <row r="7694">
          <cell r="A7694">
            <v>45680</v>
          </cell>
          <cell r="B7694" t="str">
            <v>Củ Khoai Lang Nhật</v>
          </cell>
          <cell r="C7694" t="str">
            <v>Kg</v>
          </cell>
          <cell r="D7694">
            <v>16000</v>
          </cell>
        </row>
        <row r="7695">
          <cell r="A7695">
            <v>45680</v>
          </cell>
          <cell r="B7695" t="str">
            <v>Xà Lách Thủy Tinh T.C Cây</v>
          </cell>
          <cell r="C7695" t="str">
            <v>Cây</v>
          </cell>
          <cell r="D7695">
            <v>7000</v>
          </cell>
        </row>
        <row r="7696">
          <cell r="A7696">
            <v>45680</v>
          </cell>
          <cell r="B7696" t="str">
            <v>Măng Tây</v>
          </cell>
          <cell r="C7696" t="str">
            <v>Kg</v>
          </cell>
          <cell r="D7696">
            <v>60000</v>
          </cell>
        </row>
        <row r="7697">
          <cell r="A7697">
            <v>45680</v>
          </cell>
          <cell r="B7697" t="str">
            <v>Măng Tây</v>
          </cell>
          <cell r="C7697" t="str">
            <v>Kg</v>
          </cell>
          <cell r="D7697">
            <v>45000</v>
          </cell>
        </row>
        <row r="7698">
          <cell r="A7698">
            <v>45680</v>
          </cell>
          <cell r="B7698" t="str">
            <v>Lá É</v>
          </cell>
          <cell r="C7698" t="str">
            <v>Kg</v>
          </cell>
          <cell r="D7698">
            <v>40000</v>
          </cell>
        </row>
        <row r="7699">
          <cell r="A7699">
            <v>45680</v>
          </cell>
          <cell r="B7699" t="str">
            <v>Củ Gừng</v>
          </cell>
          <cell r="C7699" t="str">
            <v>Kg</v>
          </cell>
          <cell r="D7699">
            <v>18000</v>
          </cell>
        </row>
        <row r="7700">
          <cell r="A7700">
            <v>45680</v>
          </cell>
          <cell r="B7700" t="str">
            <v>Củ Khoai Mỡ</v>
          </cell>
          <cell r="C7700" t="str">
            <v>Kg</v>
          </cell>
          <cell r="D7700">
            <v>24000</v>
          </cell>
        </row>
        <row r="7701">
          <cell r="A7701">
            <v>45680</v>
          </cell>
          <cell r="B7701" t="str">
            <v>Cà Chua Bi Đỏ</v>
          </cell>
          <cell r="C7701" t="str">
            <v>Hộp 300gr</v>
          </cell>
          <cell r="D7701">
            <v>5400</v>
          </cell>
        </row>
        <row r="7702">
          <cell r="A7702">
            <v>45680</v>
          </cell>
          <cell r="B7702" t="str">
            <v>Cà Chua Bi Đỏ</v>
          </cell>
          <cell r="C7702" t="str">
            <v>Hộp 500gr</v>
          </cell>
          <cell r="D7702">
            <v>9000</v>
          </cell>
        </row>
        <row r="7703">
          <cell r="A7703">
            <v>45680</v>
          </cell>
          <cell r="B7703" t="str">
            <v>Ớt Chuông Đỏ</v>
          </cell>
          <cell r="C7703" t="str">
            <v>Kg</v>
          </cell>
          <cell r="D7703">
            <v>42000</v>
          </cell>
        </row>
        <row r="7704">
          <cell r="A7704">
            <v>45680</v>
          </cell>
          <cell r="B7704" t="str">
            <v>Ớt Chuông Vàng</v>
          </cell>
          <cell r="C7704" t="str">
            <v>Kg</v>
          </cell>
          <cell r="D7704">
            <v>30000</v>
          </cell>
        </row>
        <row r="7705">
          <cell r="A7705">
            <v>45680</v>
          </cell>
          <cell r="B7705" t="str">
            <v>Ớt Chuông Xanh</v>
          </cell>
          <cell r="C7705" t="str">
            <v>Kg</v>
          </cell>
          <cell r="D7705">
            <v>35000</v>
          </cell>
        </row>
        <row r="7706">
          <cell r="A7706">
            <v>45680</v>
          </cell>
          <cell r="B7706" t="str">
            <v>Ớt Chuông Đỏ</v>
          </cell>
          <cell r="C7706" t="str">
            <v>Kg</v>
          </cell>
          <cell r="D7706">
            <v>38000</v>
          </cell>
        </row>
        <row r="7707">
          <cell r="A7707">
            <v>45680</v>
          </cell>
          <cell r="B7707" t="str">
            <v>Ớt Chuông Vàng</v>
          </cell>
          <cell r="C7707" t="str">
            <v>Kg</v>
          </cell>
          <cell r="D7707">
            <v>25000</v>
          </cell>
        </row>
        <row r="7708">
          <cell r="A7708">
            <v>45680</v>
          </cell>
          <cell r="B7708" t="str">
            <v>Củ Khoai Tây Vàng</v>
          </cell>
          <cell r="C7708" t="str">
            <v>Kg</v>
          </cell>
          <cell r="D7708">
            <v>16000</v>
          </cell>
        </row>
        <row r="7709">
          <cell r="A7709">
            <v>45680</v>
          </cell>
          <cell r="B7709" t="str">
            <v>Cà Chua Thường</v>
          </cell>
          <cell r="C7709" t="str">
            <v>Kg</v>
          </cell>
          <cell r="D7709">
            <v>13000</v>
          </cell>
        </row>
        <row r="7710">
          <cell r="A7710">
            <v>45680</v>
          </cell>
          <cell r="B7710" t="str">
            <v>Cà Chua Thường Trung</v>
          </cell>
          <cell r="C7710" t="str">
            <v>Kg</v>
          </cell>
          <cell r="D7710">
            <v>8000</v>
          </cell>
        </row>
        <row r="7711">
          <cell r="A7711">
            <v>45680</v>
          </cell>
          <cell r="B7711" t="str">
            <v>Cà Chua Socola</v>
          </cell>
          <cell r="C7711" t="str">
            <v>Hộp 250GR</v>
          </cell>
          <cell r="D7711">
            <v>10000</v>
          </cell>
        </row>
        <row r="7712">
          <cell r="A7712">
            <v>45680</v>
          </cell>
          <cell r="B7712" t="str">
            <v>Rau Bầu Đất</v>
          </cell>
          <cell r="C7712" t="str">
            <v>Kg</v>
          </cell>
          <cell r="D7712">
            <v>35000</v>
          </cell>
        </row>
        <row r="7713">
          <cell r="A7713">
            <v>45680</v>
          </cell>
          <cell r="B7713" t="str">
            <v>Dưa Leo Thường</v>
          </cell>
          <cell r="C7713" t="str">
            <v>Kg</v>
          </cell>
          <cell r="D7713">
            <v>16000</v>
          </cell>
        </row>
        <row r="7714">
          <cell r="A7714">
            <v>45680</v>
          </cell>
          <cell r="B7714" t="str">
            <v>Trái Khổ Qua</v>
          </cell>
          <cell r="C7714" t="str">
            <v>Kg</v>
          </cell>
          <cell r="D7714">
            <v>20000</v>
          </cell>
        </row>
        <row r="7715">
          <cell r="A7715">
            <v>45680</v>
          </cell>
          <cell r="B7715" t="str">
            <v>Trái Bưởi Tiến Vua</v>
          </cell>
          <cell r="C7715" t="str">
            <v>Trái</v>
          </cell>
          <cell r="D7715">
            <v>100000</v>
          </cell>
        </row>
        <row r="7716">
          <cell r="A7716">
            <v>45680</v>
          </cell>
          <cell r="B7716" t="str">
            <v>Ớt Sweet Palemo</v>
          </cell>
          <cell r="C7716" t="str">
            <v>Túi</v>
          </cell>
          <cell r="D7716">
            <v>18000</v>
          </cell>
        </row>
        <row r="7717">
          <cell r="A7717">
            <v>45680</v>
          </cell>
          <cell r="B7717" t="str">
            <v>Xà Lách Mỡ T.C</v>
          </cell>
          <cell r="C7717" t="str">
            <v>Kg</v>
          </cell>
          <cell r="D7717">
            <v>26000</v>
          </cell>
        </row>
        <row r="7718">
          <cell r="A7718">
            <v>45680</v>
          </cell>
          <cell r="B7718" t="str">
            <v>Xà Lách Thủy Tinh T.C Cây</v>
          </cell>
          <cell r="C7718" t="str">
            <v>Cây</v>
          </cell>
          <cell r="D7718">
            <v>7500</v>
          </cell>
        </row>
        <row r="7719">
          <cell r="A7719">
            <v>45680</v>
          </cell>
          <cell r="B7719" t="str">
            <v>Bí Non Nhật</v>
          </cell>
          <cell r="C7719" t="str">
            <v>Kg</v>
          </cell>
          <cell r="D7719">
            <v>10000</v>
          </cell>
        </row>
        <row r="7720">
          <cell r="A7720">
            <v>45680</v>
          </cell>
          <cell r="B7720" t="str">
            <v>Dưa Leo Baby</v>
          </cell>
          <cell r="C7720" t="str">
            <v>Vỉ</v>
          </cell>
          <cell r="D7720">
            <v>6000</v>
          </cell>
        </row>
        <row r="7721">
          <cell r="A7721">
            <v>45680</v>
          </cell>
          <cell r="B7721" t="str">
            <v>Dưa Leo Thường</v>
          </cell>
          <cell r="C7721" t="str">
            <v>Kg</v>
          </cell>
          <cell r="D7721">
            <v>20000</v>
          </cell>
        </row>
        <row r="7722">
          <cell r="A7722">
            <v>45680</v>
          </cell>
          <cell r="B7722" t="str">
            <v>Dưa Leo Nhật</v>
          </cell>
          <cell r="C7722" t="str">
            <v>Kg</v>
          </cell>
          <cell r="D7722">
            <v>19000</v>
          </cell>
        </row>
        <row r="7723">
          <cell r="A7723">
            <v>45680</v>
          </cell>
          <cell r="B7723" t="str">
            <v>Bí Non Nhật</v>
          </cell>
          <cell r="C7723" t="str">
            <v>Kg</v>
          </cell>
          <cell r="D7723">
            <v>15000</v>
          </cell>
        </row>
        <row r="7724">
          <cell r="A7724">
            <v>45680</v>
          </cell>
          <cell r="B7724" t="str">
            <v>Bắp Cải Trái Tim</v>
          </cell>
          <cell r="C7724" t="str">
            <v>Kg</v>
          </cell>
          <cell r="D7724">
            <v>4000</v>
          </cell>
        </row>
        <row r="7725">
          <cell r="A7725">
            <v>45680</v>
          </cell>
          <cell r="B7725" t="str">
            <v>Trái Su Su</v>
          </cell>
          <cell r="C7725" t="str">
            <v>Kg</v>
          </cell>
          <cell r="D7725">
            <v>9000</v>
          </cell>
        </row>
        <row r="7726">
          <cell r="A7726">
            <v>45680</v>
          </cell>
          <cell r="B7726" t="str">
            <v>Lá Nha Đam</v>
          </cell>
          <cell r="C7726" t="str">
            <v>Kg</v>
          </cell>
          <cell r="D7726">
            <v>14000</v>
          </cell>
        </row>
        <row r="7727">
          <cell r="A7727">
            <v>45680</v>
          </cell>
          <cell r="B7727" t="str">
            <v>Bí Đỏ Hồ Lô</v>
          </cell>
          <cell r="C7727" t="str">
            <v>Kg</v>
          </cell>
          <cell r="D7727">
            <v>9000</v>
          </cell>
        </row>
        <row r="7728">
          <cell r="A7728">
            <v>45680</v>
          </cell>
          <cell r="B7728" t="str">
            <v>Củ Su Hào</v>
          </cell>
          <cell r="C7728" t="str">
            <v>Kg</v>
          </cell>
          <cell r="D7728">
            <v>11000</v>
          </cell>
        </row>
        <row r="7729">
          <cell r="A7729">
            <v>45680</v>
          </cell>
          <cell r="B7729" t="str">
            <v>Xà Lách Mỡ T.C</v>
          </cell>
          <cell r="C7729" t="str">
            <v>Kg</v>
          </cell>
          <cell r="D7729">
            <v>24000</v>
          </cell>
        </row>
        <row r="7730">
          <cell r="A7730">
            <v>45680</v>
          </cell>
          <cell r="B7730" t="str">
            <v>Xà Lách Lolo Xanh T.C</v>
          </cell>
          <cell r="C7730" t="str">
            <v>Kg</v>
          </cell>
          <cell r="D7730">
            <v>25000</v>
          </cell>
        </row>
        <row r="7731">
          <cell r="A7731">
            <v>45680</v>
          </cell>
          <cell r="B7731" t="str">
            <v>Củ Cải Trắng</v>
          </cell>
          <cell r="C7731" t="str">
            <v>Kg</v>
          </cell>
          <cell r="D7731">
            <v>6000</v>
          </cell>
        </row>
        <row r="7732">
          <cell r="A7732">
            <v>45680</v>
          </cell>
          <cell r="B7732" t="str">
            <v>Củ Khoai Lang Nhật</v>
          </cell>
          <cell r="C7732" t="str">
            <v>Kg</v>
          </cell>
          <cell r="D7732">
            <v>17255</v>
          </cell>
        </row>
        <row r="7733">
          <cell r="A7733">
            <v>45680</v>
          </cell>
          <cell r="B7733" t="str">
            <v>Củ Khoai Lang Nhật</v>
          </cell>
          <cell r="C7733" t="str">
            <v>Kg</v>
          </cell>
          <cell r="D7733">
            <v>15225</v>
          </cell>
        </row>
        <row r="7734">
          <cell r="A7734">
            <v>45680</v>
          </cell>
          <cell r="B7734" t="str">
            <v>Đậu Cove Trắng</v>
          </cell>
          <cell r="C7734" t="str">
            <v>Túi 500gr</v>
          </cell>
          <cell r="D7734">
            <v>9000</v>
          </cell>
        </row>
        <row r="7735">
          <cell r="A7735">
            <v>45680</v>
          </cell>
          <cell r="B7735" t="str">
            <v>Đậu Cove Trắng</v>
          </cell>
          <cell r="C7735" t="str">
            <v>Túi 300gr</v>
          </cell>
          <cell r="D7735">
            <v>6000</v>
          </cell>
        </row>
        <row r="7736">
          <cell r="A7736">
            <v>45680</v>
          </cell>
          <cell r="B7736" t="str">
            <v>Đậu Cove Nhật</v>
          </cell>
          <cell r="C7736" t="str">
            <v>Túi</v>
          </cell>
          <cell r="D7736">
            <v>9500</v>
          </cell>
        </row>
        <row r="7737">
          <cell r="A7737">
            <v>45680</v>
          </cell>
          <cell r="B7737" t="str">
            <v>Cà Rốt</v>
          </cell>
          <cell r="C7737" t="str">
            <v>Kg</v>
          </cell>
          <cell r="D7737">
            <v>9000</v>
          </cell>
        </row>
        <row r="7738">
          <cell r="A7738">
            <v>45680</v>
          </cell>
          <cell r="B7738" t="str">
            <v>Bắp Cải Trắng</v>
          </cell>
          <cell r="C7738" t="str">
            <v>Kg</v>
          </cell>
          <cell r="D7738">
            <v>5500</v>
          </cell>
        </row>
        <row r="7739">
          <cell r="A7739">
            <v>45680</v>
          </cell>
          <cell r="B7739" t="str">
            <v>Đậu Đỏ</v>
          </cell>
          <cell r="C7739" t="str">
            <v>Kg</v>
          </cell>
          <cell r="D7739">
            <v>80000</v>
          </cell>
        </row>
        <row r="7740">
          <cell r="A7740">
            <v>45680</v>
          </cell>
          <cell r="B7740" t="str">
            <v>Đậu Ngự</v>
          </cell>
          <cell r="C7740" t="str">
            <v>Kg</v>
          </cell>
          <cell r="D7740">
            <v>70000</v>
          </cell>
        </row>
        <row r="7741">
          <cell r="A7741">
            <v>45680</v>
          </cell>
          <cell r="B7741" t="str">
            <v>Đậu Trắng</v>
          </cell>
          <cell r="C7741" t="str">
            <v>Kg</v>
          </cell>
          <cell r="D7741">
            <v>70000</v>
          </cell>
        </row>
        <row r="7742">
          <cell r="A7742">
            <v>45680</v>
          </cell>
          <cell r="B7742" t="str">
            <v>Cà Chua Socola</v>
          </cell>
          <cell r="C7742" t="str">
            <v>Hộp 300gr</v>
          </cell>
          <cell r="D7742">
            <v>9750</v>
          </cell>
        </row>
        <row r="7743">
          <cell r="A7743">
            <v>45680</v>
          </cell>
          <cell r="B7743" t="str">
            <v>Cà Chua Bi Mix</v>
          </cell>
          <cell r="C7743" t="str">
            <v>Hộp</v>
          </cell>
          <cell r="D7743">
            <v>10500</v>
          </cell>
        </row>
        <row r="7744">
          <cell r="A7744">
            <v>45680</v>
          </cell>
          <cell r="B7744" t="str">
            <v>Cải Kale</v>
          </cell>
          <cell r="C7744" t="str">
            <v>Túi</v>
          </cell>
          <cell r="D7744">
            <v>4200</v>
          </cell>
        </row>
        <row r="7745">
          <cell r="A7745">
            <v>45680</v>
          </cell>
          <cell r="B7745" t="str">
            <v>Chanh Không Hạt</v>
          </cell>
          <cell r="C7745" t="str">
            <v>Vỉ</v>
          </cell>
          <cell r="D7745">
            <v>6750</v>
          </cell>
        </row>
        <row r="7746">
          <cell r="A7746">
            <v>45680</v>
          </cell>
          <cell r="B7746" t="str">
            <v>Cải Bó Xôi</v>
          </cell>
          <cell r="C7746" t="str">
            <v>Túi</v>
          </cell>
          <cell r="D7746">
            <v>7200</v>
          </cell>
        </row>
        <row r="7747">
          <cell r="A7747">
            <v>45680</v>
          </cell>
          <cell r="B7747" t="str">
            <v>Cà Chua Beef Chùm</v>
          </cell>
          <cell r="C7747" t="str">
            <v>Kg</v>
          </cell>
          <cell r="D7747">
            <v>18000</v>
          </cell>
        </row>
        <row r="7748">
          <cell r="A7748">
            <v>45680</v>
          </cell>
          <cell r="B7748" t="str">
            <v>Cà Chua Beef</v>
          </cell>
          <cell r="C7748" t="str">
            <v>Kg</v>
          </cell>
          <cell r="D7748">
            <v>15000</v>
          </cell>
        </row>
        <row r="7749">
          <cell r="A7749">
            <v>45680</v>
          </cell>
          <cell r="B7749" t="str">
            <v>Cà Chua Beef</v>
          </cell>
          <cell r="C7749" t="str">
            <v>Vỉ 650gr</v>
          </cell>
          <cell r="D7749">
            <v>13650</v>
          </cell>
        </row>
        <row r="7750">
          <cell r="A7750">
            <v>45680</v>
          </cell>
          <cell r="B7750" t="str">
            <v>Cà Chua Beef Trung</v>
          </cell>
          <cell r="C7750" t="str">
            <v>Vỉ 500gr</v>
          </cell>
          <cell r="D7750">
            <v>8000</v>
          </cell>
        </row>
        <row r="7751">
          <cell r="A7751">
            <v>45680</v>
          </cell>
          <cell r="B7751" t="str">
            <v>Cà Chua Beef Trung</v>
          </cell>
          <cell r="C7751" t="str">
            <v>Kg</v>
          </cell>
          <cell r="D7751">
            <v>14000</v>
          </cell>
        </row>
        <row r="7752">
          <cell r="A7752">
            <v>45680</v>
          </cell>
          <cell r="B7752" t="str">
            <v>Cà Chua Thường</v>
          </cell>
          <cell r="C7752" t="str">
            <v>Kg</v>
          </cell>
          <cell r="D7752">
            <v>12000</v>
          </cell>
        </row>
        <row r="7753">
          <cell r="A7753">
            <v>45680</v>
          </cell>
          <cell r="B7753" t="str">
            <v>Cà Chua Thường Trung</v>
          </cell>
          <cell r="C7753" t="str">
            <v>Kg</v>
          </cell>
          <cell r="D7753">
            <v>8000</v>
          </cell>
        </row>
        <row r="7754">
          <cell r="A7754">
            <v>45680</v>
          </cell>
          <cell r="B7754" t="str">
            <v>Cà Rốt Baby</v>
          </cell>
          <cell r="C7754" t="str">
            <v>Vỉ</v>
          </cell>
          <cell r="D7754">
            <v>6000</v>
          </cell>
        </row>
        <row r="7755">
          <cell r="A7755">
            <v>45680</v>
          </cell>
          <cell r="B7755" t="str">
            <v>Lá Mè</v>
          </cell>
          <cell r="C7755" t="str">
            <v>Túi</v>
          </cell>
          <cell r="D7755">
            <v>3400</v>
          </cell>
        </row>
        <row r="7756">
          <cell r="A7756">
            <v>45680</v>
          </cell>
          <cell r="B7756" t="str">
            <v>Bông Cải Xanh Baby</v>
          </cell>
          <cell r="C7756" t="str">
            <v>Vỉ</v>
          </cell>
          <cell r="D7756">
            <v>6000</v>
          </cell>
        </row>
        <row r="7757">
          <cell r="A7757">
            <v>45680</v>
          </cell>
          <cell r="B7757" t="str">
            <v>Củ Cải Đỏ</v>
          </cell>
          <cell r="C7757" t="str">
            <v>Hộp</v>
          </cell>
          <cell r="D7757">
            <v>10000</v>
          </cell>
        </row>
        <row r="7758">
          <cell r="A7758">
            <v>45680</v>
          </cell>
          <cell r="B7758" t="str">
            <v>Xà Lách Lolo Tím</v>
          </cell>
          <cell r="C7758" t="str">
            <v>Kg</v>
          </cell>
          <cell r="D7758">
            <v>18000</v>
          </cell>
        </row>
        <row r="7759">
          <cell r="A7759">
            <v>45680</v>
          </cell>
          <cell r="B7759" t="str">
            <v>Cà Chua Socola</v>
          </cell>
          <cell r="C7759" t="str">
            <v>Hộp 250GR</v>
          </cell>
          <cell r="D7759">
            <v>9500</v>
          </cell>
        </row>
        <row r="7760">
          <cell r="A7760">
            <v>45680</v>
          </cell>
          <cell r="B7760" t="str">
            <v>Hồng Treo Gió</v>
          </cell>
          <cell r="C7760" t="str">
            <v>Kg</v>
          </cell>
          <cell r="D7760">
            <v>220000</v>
          </cell>
        </row>
        <row r="7761">
          <cell r="A7761">
            <v>45680</v>
          </cell>
          <cell r="B7761" t="str">
            <v>GIẤY BÁO DẦU (XUẤT CHUNG GIẤY VÀNG)</v>
          </cell>
          <cell r="C7761" t="str">
            <v>Kg</v>
          </cell>
          <cell r="D7761">
            <v>24000</v>
          </cell>
        </row>
        <row r="7762">
          <cell r="A7762">
            <v>45680</v>
          </cell>
          <cell r="B7762" t="str">
            <v>TÚI LƯỚI XANH 35CM CỨNG (LƯỚI L200-35CM XANH)</v>
          </cell>
          <cell r="C7762" t="str">
            <v>Kg</v>
          </cell>
          <cell r="D7762">
            <v>60000</v>
          </cell>
        </row>
        <row r="7763">
          <cell r="A7763">
            <v>45680</v>
          </cell>
          <cell r="B7763" t="str">
            <v>Dây rút ngắn  (LƯỚI L200 - 35CM ĐỎ)</v>
          </cell>
          <cell r="C7763" t="str">
            <v>Bịch</v>
          </cell>
          <cell r="D7763">
            <v>25000</v>
          </cell>
        </row>
        <row r="7764">
          <cell r="A7764">
            <v>45680</v>
          </cell>
          <cell r="B7764" t="str">
            <v>Hộp hồng treo gió VR (I350, 18x20x4) (HỘP HỒNG TREO GIÓ (HỘP GIẤY))</v>
          </cell>
          <cell r="C7764" t="str">
            <v>Cái</v>
          </cell>
          <cell r="D7764">
            <v>6708.33</v>
          </cell>
        </row>
        <row r="7765">
          <cell r="A7765">
            <v>45681</v>
          </cell>
          <cell r="B7765" t="str">
            <v>Dầu Do 0.001 S-V</v>
          </cell>
          <cell r="C7765" t="str">
            <v>Lít</v>
          </cell>
          <cell r="D7765">
            <v>19136.36</v>
          </cell>
        </row>
        <row r="7766">
          <cell r="A7766">
            <v>45681</v>
          </cell>
          <cell r="B7766" t="str">
            <v>DO 0.05S-II</v>
          </cell>
          <cell r="C7766" t="str">
            <v>Lít</v>
          </cell>
          <cell r="D7766">
            <v>18718.18</v>
          </cell>
        </row>
        <row r="7767">
          <cell r="A7767">
            <v>45681</v>
          </cell>
          <cell r="B7767" t="str">
            <v>Dầu Do 0.001 S-V</v>
          </cell>
          <cell r="C7767" t="str">
            <v>Lít</v>
          </cell>
          <cell r="D7767">
            <v>19136.36</v>
          </cell>
        </row>
        <row r="7768">
          <cell r="A7768">
            <v>45681</v>
          </cell>
          <cell r="B7768" t="str">
            <v>MÀNG CO 30CM (MÀNG BỌC THỰC PHẨM PVC 30CM)</v>
          </cell>
          <cell r="C7768" t="str">
            <v>Cuộn</v>
          </cell>
          <cell r="D7768">
            <v>120000</v>
          </cell>
        </row>
        <row r="7769">
          <cell r="A7769">
            <v>45681</v>
          </cell>
          <cell r="B7769" t="str">
            <v>Trái Mít Thái</v>
          </cell>
          <cell r="C7769" t="str">
            <v>Kg</v>
          </cell>
          <cell r="D7769">
            <v>19860</v>
          </cell>
        </row>
        <row r="7770">
          <cell r="A7770">
            <v>45681</v>
          </cell>
          <cell r="B7770" t="str">
            <v>Hạt Dẻ Ngố</v>
          </cell>
          <cell r="C7770" t="str">
            <v>Kg</v>
          </cell>
          <cell r="D7770">
            <v>25400</v>
          </cell>
        </row>
        <row r="7771">
          <cell r="A7771">
            <v>45681</v>
          </cell>
          <cell r="B7771" t="str">
            <v>Dưa Leo Thường</v>
          </cell>
          <cell r="C7771" t="str">
            <v>Kg</v>
          </cell>
          <cell r="D7771">
            <v>20000</v>
          </cell>
        </row>
        <row r="7772">
          <cell r="A7772">
            <v>45681</v>
          </cell>
          <cell r="B7772" t="str">
            <v>Dưa Leo Nhật</v>
          </cell>
          <cell r="C7772" t="str">
            <v>Kg</v>
          </cell>
          <cell r="D7772">
            <v>19000</v>
          </cell>
        </row>
        <row r="7773">
          <cell r="A7773">
            <v>45681</v>
          </cell>
          <cell r="B7773" t="str">
            <v>Bí Non Nhật</v>
          </cell>
          <cell r="C7773" t="str">
            <v>Kg</v>
          </cell>
          <cell r="D7773">
            <v>15000</v>
          </cell>
        </row>
        <row r="7774">
          <cell r="A7774">
            <v>45681</v>
          </cell>
          <cell r="B7774" t="str">
            <v>Dưa Leo Baby</v>
          </cell>
          <cell r="C7774" t="str">
            <v>Kg</v>
          </cell>
          <cell r="D7774">
            <v>12000</v>
          </cell>
        </row>
        <row r="7775">
          <cell r="A7775">
            <v>45681</v>
          </cell>
          <cell r="B7775" t="str">
            <v>Củ Hành Tây</v>
          </cell>
          <cell r="C7775" t="str">
            <v>Kg</v>
          </cell>
          <cell r="D7775">
            <v>9000</v>
          </cell>
        </row>
        <row r="7776">
          <cell r="A7776">
            <v>45681</v>
          </cell>
          <cell r="B7776" t="str">
            <v>Củ Hành Tây Trung</v>
          </cell>
          <cell r="C7776" t="str">
            <v>Kg</v>
          </cell>
          <cell r="D7776">
            <v>7000</v>
          </cell>
        </row>
        <row r="7777">
          <cell r="A7777">
            <v>45681</v>
          </cell>
          <cell r="B7777" t="str">
            <v>Bí Non Nhật</v>
          </cell>
          <cell r="C7777" t="str">
            <v>Kg</v>
          </cell>
          <cell r="D7777">
            <v>10000</v>
          </cell>
        </row>
        <row r="7778">
          <cell r="A7778">
            <v>45681</v>
          </cell>
          <cell r="B7778" t="str">
            <v>Bí Đao Xanh</v>
          </cell>
          <cell r="C7778" t="str">
            <v>Kg</v>
          </cell>
          <cell r="D7778">
            <v>10000</v>
          </cell>
        </row>
        <row r="7779">
          <cell r="A7779">
            <v>45681</v>
          </cell>
          <cell r="B7779" t="str">
            <v>Cà Tím</v>
          </cell>
          <cell r="C7779" t="str">
            <v>Kg</v>
          </cell>
          <cell r="D7779">
            <v>18000</v>
          </cell>
        </row>
        <row r="7780">
          <cell r="A7780">
            <v>45681</v>
          </cell>
          <cell r="B7780" t="str">
            <v>Xà Lách Mỡ T.C</v>
          </cell>
          <cell r="C7780" t="str">
            <v>Kg</v>
          </cell>
          <cell r="D7780">
            <v>26000</v>
          </cell>
        </row>
        <row r="7781">
          <cell r="A7781">
            <v>45681</v>
          </cell>
          <cell r="B7781" t="str">
            <v>Xà Lách Thủy Tinh T.C Cây</v>
          </cell>
          <cell r="C7781" t="str">
            <v>Cây</v>
          </cell>
          <cell r="D7781">
            <v>7500</v>
          </cell>
        </row>
        <row r="7782">
          <cell r="A7782">
            <v>45681</v>
          </cell>
          <cell r="B7782" t="str">
            <v>Cà Chua Bi Đỏ</v>
          </cell>
          <cell r="C7782" t="str">
            <v>Hộp 300gr</v>
          </cell>
          <cell r="D7782">
            <v>5400</v>
          </cell>
        </row>
        <row r="7783">
          <cell r="A7783">
            <v>45681</v>
          </cell>
          <cell r="B7783" t="str">
            <v>Cà Chua Bi Đỏ</v>
          </cell>
          <cell r="C7783" t="str">
            <v>Hộp 500gr</v>
          </cell>
          <cell r="D7783">
            <v>9000</v>
          </cell>
        </row>
        <row r="7784">
          <cell r="A7784">
            <v>45681</v>
          </cell>
          <cell r="B7784" t="str">
            <v>Ớt Chuông Đỏ</v>
          </cell>
          <cell r="C7784" t="str">
            <v>Kg</v>
          </cell>
          <cell r="D7784">
            <v>42000</v>
          </cell>
        </row>
        <row r="7785">
          <cell r="A7785">
            <v>45681</v>
          </cell>
          <cell r="B7785" t="str">
            <v>Ớt Chuông Vàng</v>
          </cell>
          <cell r="C7785" t="str">
            <v>Kg</v>
          </cell>
          <cell r="D7785">
            <v>30000</v>
          </cell>
        </row>
        <row r="7786">
          <cell r="A7786">
            <v>45681</v>
          </cell>
          <cell r="B7786" t="str">
            <v>Ớt Chuông Xanh</v>
          </cell>
          <cell r="C7786" t="str">
            <v>Kg</v>
          </cell>
          <cell r="D7786">
            <v>35000</v>
          </cell>
        </row>
        <row r="7787">
          <cell r="A7787">
            <v>45681</v>
          </cell>
          <cell r="B7787" t="str">
            <v>Ớt Chuông Baby</v>
          </cell>
          <cell r="C7787" t="str">
            <v>Kg</v>
          </cell>
          <cell r="D7787">
            <v>45000</v>
          </cell>
        </row>
        <row r="7788">
          <cell r="A7788">
            <v>45681</v>
          </cell>
          <cell r="B7788" t="str">
            <v>Ớt Chuông Snack</v>
          </cell>
          <cell r="C7788" t="str">
            <v>Kg</v>
          </cell>
          <cell r="D7788">
            <v>55000</v>
          </cell>
        </row>
        <row r="7789">
          <cell r="A7789">
            <v>45681</v>
          </cell>
          <cell r="B7789" t="str">
            <v>Hành Paro</v>
          </cell>
          <cell r="C7789" t="str">
            <v>Kg</v>
          </cell>
          <cell r="D7789">
            <v>13000</v>
          </cell>
        </row>
        <row r="7790">
          <cell r="A7790">
            <v>45681</v>
          </cell>
          <cell r="B7790" t="str">
            <v>Bí Ngòi Xanh</v>
          </cell>
          <cell r="C7790" t="str">
            <v>Kg</v>
          </cell>
          <cell r="D7790">
            <v>11000</v>
          </cell>
        </row>
        <row r="7791">
          <cell r="A7791">
            <v>45681</v>
          </cell>
          <cell r="B7791" t="str">
            <v>Bí Non Nhật</v>
          </cell>
          <cell r="C7791" t="str">
            <v>Kg</v>
          </cell>
          <cell r="D7791">
            <v>15000</v>
          </cell>
        </row>
        <row r="7792">
          <cell r="A7792">
            <v>45681</v>
          </cell>
          <cell r="B7792" t="str">
            <v>Đậu Cove Trắng</v>
          </cell>
          <cell r="C7792" t="str">
            <v>Túi 300gr</v>
          </cell>
          <cell r="D7792">
            <v>6000</v>
          </cell>
        </row>
        <row r="7793">
          <cell r="A7793">
            <v>45681</v>
          </cell>
          <cell r="B7793" t="str">
            <v>Đậu Cove Nhật</v>
          </cell>
          <cell r="C7793" t="str">
            <v>Túi</v>
          </cell>
          <cell r="D7793">
            <v>9500</v>
          </cell>
        </row>
        <row r="7794">
          <cell r="A7794">
            <v>45681</v>
          </cell>
          <cell r="B7794" t="str">
            <v>Đậu Cove Trắng</v>
          </cell>
          <cell r="C7794" t="str">
            <v>Túi 500gr</v>
          </cell>
          <cell r="D7794">
            <v>9000</v>
          </cell>
        </row>
        <row r="7795">
          <cell r="A7795">
            <v>45681</v>
          </cell>
          <cell r="B7795" t="str">
            <v>Bắp Cải Trái Tim</v>
          </cell>
          <cell r="C7795" t="str">
            <v>Kg</v>
          </cell>
          <cell r="D7795">
            <v>4000</v>
          </cell>
        </row>
        <row r="7796">
          <cell r="A7796">
            <v>45681</v>
          </cell>
          <cell r="B7796" t="str">
            <v>Dưa Leo Baby</v>
          </cell>
          <cell r="C7796" t="str">
            <v>Vỉ</v>
          </cell>
          <cell r="D7796">
            <v>6500</v>
          </cell>
        </row>
        <row r="7797">
          <cell r="A7797">
            <v>45681</v>
          </cell>
          <cell r="B7797" t="str">
            <v>Dưa Leo Baby</v>
          </cell>
          <cell r="C7797" t="str">
            <v>Vỉ</v>
          </cell>
          <cell r="D7797">
            <v>8500</v>
          </cell>
        </row>
        <row r="7798">
          <cell r="A7798">
            <v>45681</v>
          </cell>
          <cell r="B7798" t="str">
            <v>Củ Gừng</v>
          </cell>
          <cell r="C7798" t="str">
            <v>Kg</v>
          </cell>
          <cell r="D7798">
            <v>18000</v>
          </cell>
        </row>
        <row r="7799">
          <cell r="A7799">
            <v>45681</v>
          </cell>
          <cell r="B7799" t="str">
            <v>Củ Khoai Mỡ</v>
          </cell>
          <cell r="C7799" t="str">
            <v>Kg</v>
          </cell>
          <cell r="D7799">
            <v>24000</v>
          </cell>
        </row>
        <row r="7800">
          <cell r="A7800">
            <v>45681</v>
          </cell>
          <cell r="B7800" t="str">
            <v>Măng Tây</v>
          </cell>
          <cell r="C7800" t="str">
            <v>Kg</v>
          </cell>
          <cell r="D7800">
            <v>59000</v>
          </cell>
        </row>
        <row r="7801">
          <cell r="A7801">
            <v>45681</v>
          </cell>
          <cell r="B7801" t="str">
            <v>Măng Tây</v>
          </cell>
          <cell r="C7801" t="str">
            <v>Kg</v>
          </cell>
          <cell r="D7801">
            <v>49000</v>
          </cell>
        </row>
        <row r="7802">
          <cell r="A7802">
            <v>45681</v>
          </cell>
          <cell r="B7802" t="str">
            <v>Lá É</v>
          </cell>
          <cell r="C7802" t="str">
            <v>Kg</v>
          </cell>
          <cell r="D7802">
            <v>37000</v>
          </cell>
        </row>
        <row r="7803">
          <cell r="A7803">
            <v>45681</v>
          </cell>
          <cell r="B7803" t="str">
            <v>Củ Khoai Lang Mật Size 23</v>
          </cell>
          <cell r="C7803" t="str">
            <v>Kg</v>
          </cell>
          <cell r="D7803">
            <v>27000</v>
          </cell>
        </row>
        <row r="7804">
          <cell r="A7804">
            <v>45681</v>
          </cell>
          <cell r="B7804" t="str">
            <v>Bí Ngòi Vàng</v>
          </cell>
          <cell r="C7804" t="str">
            <v>Kg</v>
          </cell>
          <cell r="D7804">
            <v>12000</v>
          </cell>
        </row>
        <row r="7805">
          <cell r="A7805">
            <v>45681</v>
          </cell>
          <cell r="B7805" t="str">
            <v>Đậu Hà Lan Trái</v>
          </cell>
          <cell r="C7805" t="str">
            <v>Kg</v>
          </cell>
          <cell r="D7805">
            <v>70000</v>
          </cell>
        </row>
        <row r="7806">
          <cell r="A7806">
            <v>45681</v>
          </cell>
          <cell r="B7806" t="str">
            <v>Rau Bầu Đất</v>
          </cell>
          <cell r="C7806" t="str">
            <v>Kg</v>
          </cell>
          <cell r="D7806">
            <v>35000</v>
          </cell>
        </row>
        <row r="7807">
          <cell r="A7807">
            <v>45681</v>
          </cell>
          <cell r="B7807" t="str">
            <v>Bí Ngòi Xanh</v>
          </cell>
          <cell r="C7807" t="str">
            <v>Kg</v>
          </cell>
          <cell r="D7807">
            <v>16000</v>
          </cell>
        </row>
        <row r="7808">
          <cell r="A7808">
            <v>45681</v>
          </cell>
          <cell r="B7808" t="str">
            <v>Củ Khoai Lang Nhật</v>
          </cell>
          <cell r="C7808" t="str">
            <v>Kg</v>
          </cell>
          <cell r="D7808">
            <v>17255</v>
          </cell>
        </row>
        <row r="7809">
          <cell r="A7809">
            <v>45681</v>
          </cell>
          <cell r="B7809" t="str">
            <v>Củ Khoai Lang Nhật</v>
          </cell>
          <cell r="C7809" t="str">
            <v>Kg</v>
          </cell>
          <cell r="D7809">
            <v>15225</v>
          </cell>
        </row>
        <row r="7810">
          <cell r="A7810">
            <v>45681</v>
          </cell>
          <cell r="B7810" t="str">
            <v>Củ Cải Trắng</v>
          </cell>
          <cell r="C7810" t="str">
            <v>Kg</v>
          </cell>
          <cell r="D7810">
            <v>6000</v>
          </cell>
        </row>
        <row r="7811">
          <cell r="A7811">
            <v>45681</v>
          </cell>
          <cell r="B7811" t="str">
            <v>Xà Lách Mỡ T.C</v>
          </cell>
          <cell r="C7811" t="str">
            <v>Kg</v>
          </cell>
          <cell r="D7811">
            <v>24000</v>
          </cell>
        </row>
        <row r="7812">
          <cell r="A7812">
            <v>45681</v>
          </cell>
          <cell r="B7812" t="str">
            <v>Xà Lách Lolo Xanh T.C</v>
          </cell>
          <cell r="C7812" t="str">
            <v>Kg</v>
          </cell>
          <cell r="D7812">
            <v>25000</v>
          </cell>
        </row>
        <row r="7813">
          <cell r="A7813">
            <v>45681</v>
          </cell>
          <cell r="B7813" t="str">
            <v>Củ Su Hào</v>
          </cell>
          <cell r="C7813" t="str">
            <v>Kg</v>
          </cell>
          <cell r="D7813">
            <v>11000</v>
          </cell>
        </row>
        <row r="7814">
          <cell r="A7814">
            <v>45681</v>
          </cell>
          <cell r="B7814" t="str">
            <v>Trái Su Su</v>
          </cell>
          <cell r="C7814" t="str">
            <v>Kg</v>
          </cell>
          <cell r="D7814">
            <v>10000</v>
          </cell>
        </row>
        <row r="7815">
          <cell r="A7815">
            <v>45681</v>
          </cell>
          <cell r="B7815" t="str">
            <v>Lá Nha Đam</v>
          </cell>
          <cell r="C7815" t="str">
            <v>Kg</v>
          </cell>
          <cell r="D7815">
            <v>14000</v>
          </cell>
        </row>
        <row r="7816">
          <cell r="A7816">
            <v>45681</v>
          </cell>
          <cell r="B7816" t="str">
            <v>Chuối Laba</v>
          </cell>
          <cell r="C7816" t="str">
            <v>Kg</v>
          </cell>
          <cell r="D7816">
            <v>14000</v>
          </cell>
        </row>
        <row r="7817">
          <cell r="A7817">
            <v>45681</v>
          </cell>
          <cell r="B7817" t="str">
            <v>Bí Đỏ Hồ Lô</v>
          </cell>
          <cell r="C7817" t="str">
            <v>Kg</v>
          </cell>
          <cell r="D7817">
            <v>9500</v>
          </cell>
        </row>
        <row r="7818">
          <cell r="A7818">
            <v>45681</v>
          </cell>
          <cell r="B7818" t="str">
            <v>Cà Rốt</v>
          </cell>
          <cell r="C7818" t="str">
            <v>Kg</v>
          </cell>
          <cell r="D7818">
            <v>9000</v>
          </cell>
        </row>
        <row r="7819">
          <cell r="A7819">
            <v>45681</v>
          </cell>
          <cell r="B7819" t="str">
            <v>Củ Dền</v>
          </cell>
          <cell r="C7819" t="str">
            <v>Kg</v>
          </cell>
          <cell r="D7819">
            <v>11000</v>
          </cell>
        </row>
        <row r="7820">
          <cell r="A7820">
            <v>45681</v>
          </cell>
          <cell r="B7820" t="str">
            <v>Cà Chua Beef</v>
          </cell>
          <cell r="C7820" t="str">
            <v>Kg</v>
          </cell>
          <cell r="D7820">
            <v>16000</v>
          </cell>
        </row>
        <row r="7821">
          <cell r="A7821">
            <v>45681</v>
          </cell>
          <cell r="B7821" t="str">
            <v>Cà Chua Beef Trung</v>
          </cell>
          <cell r="C7821" t="str">
            <v>Kg</v>
          </cell>
          <cell r="D7821">
            <v>13000</v>
          </cell>
        </row>
        <row r="7822">
          <cell r="A7822">
            <v>45681</v>
          </cell>
          <cell r="B7822" t="str">
            <v>Ớt Sweet Palemo</v>
          </cell>
          <cell r="C7822" t="str">
            <v>Túi</v>
          </cell>
          <cell r="D7822">
            <v>16000</v>
          </cell>
        </row>
        <row r="7823">
          <cell r="A7823">
            <v>45681</v>
          </cell>
          <cell r="B7823" t="str">
            <v>Cải Thảo Hỏa Tiễn</v>
          </cell>
          <cell r="C7823" t="str">
            <v>Kg</v>
          </cell>
          <cell r="D7823">
            <v>14000</v>
          </cell>
        </row>
        <row r="7824">
          <cell r="A7824">
            <v>45681</v>
          </cell>
          <cell r="B7824" t="str">
            <v>Củ Hành Tây Tím</v>
          </cell>
          <cell r="C7824" t="str">
            <v>Kg</v>
          </cell>
          <cell r="D7824">
            <v>20000</v>
          </cell>
        </row>
        <row r="7825">
          <cell r="A7825">
            <v>45681</v>
          </cell>
          <cell r="B7825" t="str">
            <v>Bông Cải Trắng</v>
          </cell>
          <cell r="C7825" t="str">
            <v>Kg</v>
          </cell>
          <cell r="D7825">
            <v>12000</v>
          </cell>
        </row>
        <row r="7826">
          <cell r="A7826">
            <v>45681</v>
          </cell>
          <cell r="B7826" t="str">
            <v>Bí Ngòi Xanh</v>
          </cell>
          <cell r="C7826" t="str">
            <v>Kg</v>
          </cell>
          <cell r="D7826">
            <v>8000</v>
          </cell>
        </row>
        <row r="7827">
          <cell r="A7827">
            <v>45681</v>
          </cell>
          <cell r="B7827" t="str">
            <v>Gia Công Rau Củ Quả</v>
          </cell>
          <cell r="C7827" t="str">
            <v>Kg</v>
          </cell>
          <cell r="D7827">
            <v>1700</v>
          </cell>
        </row>
        <row r="7828">
          <cell r="A7828">
            <v>45681</v>
          </cell>
          <cell r="B7828" t="str">
            <v>Gia Công Rau Củ Quả</v>
          </cell>
          <cell r="C7828" t="str">
            <v>Kg</v>
          </cell>
          <cell r="D7828">
            <v>1700</v>
          </cell>
        </row>
        <row r="7829">
          <cell r="A7829">
            <v>45681</v>
          </cell>
          <cell r="B7829" t="str">
            <v>Gia Công Rau Củ Quả</v>
          </cell>
          <cell r="C7829" t="str">
            <v>Kg</v>
          </cell>
          <cell r="D7829">
            <v>1000</v>
          </cell>
        </row>
        <row r="7830">
          <cell r="A7830">
            <v>45681</v>
          </cell>
          <cell r="B7830" t="str">
            <v>Bí Ngòi Xanh</v>
          </cell>
          <cell r="C7830" t="str">
            <v>Kg</v>
          </cell>
          <cell r="D7830">
            <v>12000</v>
          </cell>
        </row>
        <row r="7831">
          <cell r="A7831">
            <v>45681</v>
          </cell>
          <cell r="B7831" t="str">
            <v>Trái Bưởi Diễn</v>
          </cell>
          <cell r="C7831" t="str">
            <v>Trái</v>
          </cell>
          <cell r="D7831">
            <v>9000</v>
          </cell>
        </row>
        <row r="7832">
          <cell r="A7832">
            <v>45681</v>
          </cell>
          <cell r="B7832" t="str">
            <v>Trái Bưởi Diễn</v>
          </cell>
          <cell r="C7832" t="str">
            <v>Trái</v>
          </cell>
          <cell r="D7832">
            <v>10000</v>
          </cell>
        </row>
        <row r="7833">
          <cell r="A7833">
            <v>45681</v>
          </cell>
          <cell r="B7833" t="str">
            <v>Bông Cải Xanh 7Cm</v>
          </cell>
          <cell r="C7833" t="str">
            <v>Kg</v>
          </cell>
          <cell r="D7833">
            <v>21000</v>
          </cell>
        </row>
        <row r="7834">
          <cell r="A7834">
            <v>45681</v>
          </cell>
          <cell r="B7834" t="str">
            <v>Bắp Cải Tím</v>
          </cell>
          <cell r="C7834" t="str">
            <v>Kg</v>
          </cell>
          <cell r="D7834">
            <v>8000</v>
          </cell>
        </row>
        <row r="7835">
          <cell r="A7835">
            <v>45681</v>
          </cell>
          <cell r="B7835" t="str">
            <v>Bông Cải Xanh 7Cm</v>
          </cell>
          <cell r="C7835" t="str">
            <v>Kg</v>
          </cell>
          <cell r="D7835">
            <v>17000</v>
          </cell>
        </row>
        <row r="7836">
          <cell r="A7836">
            <v>45681</v>
          </cell>
          <cell r="B7836" t="str">
            <v>Bông Cải Xanh 12Cm</v>
          </cell>
          <cell r="C7836" t="str">
            <v>Kg</v>
          </cell>
          <cell r="D7836">
            <v>13000</v>
          </cell>
        </row>
        <row r="7837">
          <cell r="A7837">
            <v>45681</v>
          </cell>
          <cell r="B7837" t="str">
            <v>Dưa Leo Baby</v>
          </cell>
          <cell r="C7837" t="str">
            <v>Kg</v>
          </cell>
          <cell r="D7837">
            <v>9500</v>
          </cell>
        </row>
        <row r="7838">
          <cell r="A7838">
            <v>45681</v>
          </cell>
          <cell r="B7838" t="str">
            <v>Dưa Leo Baby</v>
          </cell>
          <cell r="C7838" t="str">
            <v>Kg</v>
          </cell>
          <cell r="D7838">
            <v>8000</v>
          </cell>
        </row>
        <row r="7839">
          <cell r="A7839">
            <v>45681</v>
          </cell>
          <cell r="B7839" t="str">
            <v>Trái Su Su</v>
          </cell>
          <cell r="C7839" t="str">
            <v>Kg</v>
          </cell>
          <cell r="D7839">
            <v>7000</v>
          </cell>
        </row>
        <row r="7840">
          <cell r="A7840">
            <v>45681</v>
          </cell>
          <cell r="B7840" t="str">
            <v>Bông Cải Xanh 7Cm</v>
          </cell>
          <cell r="C7840" t="str">
            <v>Kg</v>
          </cell>
          <cell r="D7840">
            <v>21000</v>
          </cell>
        </row>
        <row r="7841">
          <cell r="A7841">
            <v>45681</v>
          </cell>
          <cell r="B7841" t="str">
            <v>Bông Cải Xanh 7Cm</v>
          </cell>
          <cell r="C7841" t="str">
            <v>Kg</v>
          </cell>
          <cell r="D7841">
            <v>21000</v>
          </cell>
        </row>
        <row r="7842">
          <cell r="A7842">
            <v>45681</v>
          </cell>
          <cell r="B7842" t="str">
            <v>Bông Cải Xanh 7Cm</v>
          </cell>
          <cell r="C7842" t="str">
            <v>Kg</v>
          </cell>
          <cell r="D7842">
            <v>21000</v>
          </cell>
        </row>
        <row r="7843">
          <cell r="A7843">
            <v>45681</v>
          </cell>
          <cell r="B7843" t="str">
            <v>Bông Cải Xanh 12Cm</v>
          </cell>
          <cell r="C7843" t="str">
            <v>Kg</v>
          </cell>
          <cell r="D7843">
            <v>10000</v>
          </cell>
        </row>
        <row r="7844">
          <cell r="A7844">
            <v>45681</v>
          </cell>
          <cell r="B7844" t="str">
            <v>Xà Lách Lolo Xanh</v>
          </cell>
          <cell r="C7844" t="str">
            <v>Kg</v>
          </cell>
          <cell r="D7844">
            <v>13000</v>
          </cell>
        </row>
        <row r="7845">
          <cell r="A7845">
            <v>45681</v>
          </cell>
          <cell r="B7845" t="str">
            <v>Cải Bó Xôi</v>
          </cell>
          <cell r="C7845" t="str">
            <v>Kg</v>
          </cell>
          <cell r="D7845">
            <v>15000</v>
          </cell>
        </row>
        <row r="7846">
          <cell r="A7846">
            <v>45681</v>
          </cell>
          <cell r="B7846" t="str">
            <v>Cải Bó Xôi</v>
          </cell>
          <cell r="C7846" t="str">
            <v>Kg</v>
          </cell>
          <cell r="D7846">
            <v>22000</v>
          </cell>
        </row>
        <row r="7847">
          <cell r="A7847">
            <v>45681</v>
          </cell>
          <cell r="B7847" t="str">
            <v>Cà Chua Beef</v>
          </cell>
          <cell r="C7847" t="str">
            <v>Kg</v>
          </cell>
          <cell r="D7847">
            <v>18000</v>
          </cell>
        </row>
        <row r="7848">
          <cell r="A7848">
            <v>45681</v>
          </cell>
          <cell r="B7848" t="str">
            <v>Cần Tây</v>
          </cell>
          <cell r="C7848" t="str">
            <v>Kg</v>
          </cell>
          <cell r="D7848">
            <v>11000</v>
          </cell>
        </row>
        <row r="7849">
          <cell r="A7849">
            <v>45681</v>
          </cell>
          <cell r="B7849" t="str">
            <v>Cần Tây</v>
          </cell>
          <cell r="C7849" t="str">
            <v>Kg</v>
          </cell>
          <cell r="D7849">
            <v>13000</v>
          </cell>
        </row>
        <row r="7850">
          <cell r="A7850">
            <v>45681</v>
          </cell>
          <cell r="B7850" t="str">
            <v>Xà Lách Thủy Tinh T.C Cây</v>
          </cell>
          <cell r="C7850" t="str">
            <v>Cây</v>
          </cell>
          <cell r="D7850">
            <v>6800</v>
          </cell>
        </row>
        <row r="7851">
          <cell r="A7851">
            <v>45681</v>
          </cell>
          <cell r="B7851" t="str">
            <v>Xà Lách Thủy Tinh T.C</v>
          </cell>
          <cell r="C7851" t="str">
            <v>Kg</v>
          </cell>
          <cell r="D7851">
            <v>30000</v>
          </cell>
        </row>
        <row r="7852">
          <cell r="A7852">
            <v>45681</v>
          </cell>
          <cell r="B7852" t="str">
            <v>Xà Lách Lolo Xanh T.C Cây</v>
          </cell>
          <cell r="C7852" t="str">
            <v>Cây</v>
          </cell>
          <cell r="D7852">
            <v>6800</v>
          </cell>
        </row>
        <row r="7853">
          <cell r="A7853">
            <v>45681</v>
          </cell>
          <cell r="B7853" t="str">
            <v>Xà Lách Mỡ T.C Cây</v>
          </cell>
          <cell r="C7853" t="str">
            <v>Cây</v>
          </cell>
          <cell r="D7853">
            <v>6800</v>
          </cell>
        </row>
        <row r="7854">
          <cell r="A7854">
            <v>45681</v>
          </cell>
          <cell r="B7854" t="str">
            <v>Xà Lách Mỡ T.C</v>
          </cell>
          <cell r="C7854" t="str">
            <v>Kg</v>
          </cell>
          <cell r="D7854">
            <v>28000</v>
          </cell>
        </row>
        <row r="7855">
          <cell r="A7855">
            <v>45681</v>
          </cell>
          <cell r="B7855" t="str">
            <v>Xà Lách Mỹ</v>
          </cell>
          <cell r="C7855" t="str">
            <v>Kg</v>
          </cell>
          <cell r="D7855">
            <v>20000</v>
          </cell>
        </row>
        <row r="7856">
          <cell r="A7856">
            <v>45681</v>
          </cell>
          <cell r="B7856" t="str">
            <v>Xà Lách Thủy Tinh T.C Cây</v>
          </cell>
          <cell r="C7856" t="str">
            <v>Cây</v>
          </cell>
          <cell r="D7856">
            <v>6800</v>
          </cell>
        </row>
        <row r="7857">
          <cell r="A7857">
            <v>45681</v>
          </cell>
          <cell r="B7857" t="str">
            <v>Bắp Cải Trắng</v>
          </cell>
          <cell r="C7857" t="str">
            <v>Kg</v>
          </cell>
          <cell r="D7857">
            <v>5500</v>
          </cell>
        </row>
        <row r="7858">
          <cell r="A7858">
            <v>45681</v>
          </cell>
          <cell r="B7858" t="str">
            <v>Ớt Chuông Đỏ</v>
          </cell>
          <cell r="C7858" t="str">
            <v>Kg</v>
          </cell>
          <cell r="D7858">
            <v>38000</v>
          </cell>
        </row>
        <row r="7859">
          <cell r="A7859">
            <v>45681</v>
          </cell>
          <cell r="B7859" t="str">
            <v>Ớt Chuông Vàng</v>
          </cell>
          <cell r="C7859" t="str">
            <v>Kg</v>
          </cell>
          <cell r="D7859">
            <v>25000</v>
          </cell>
        </row>
        <row r="7860">
          <cell r="A7860">
            <v>45681</v>
          </cell>
          <cell r="B7860" t="str">
            <v>Cà Rốt</v>
          </cell>
          <cell r="C7860" t="str">
            <v>Kg</v>
          </cell>
          <cell r="D7860">
            <v>9000</v>
          </cell>
        </row>
        <row r="7861">
          <cell r="A7861">
            <v>45681</v>
          </cell>
          <cell r="B7861" t="str">
            <v>Cải Thảo</v>
          </cell>
          <cell r="C7861" t="str">
            <v>Kg</v>
          </cell>
          <cell r="D7861">
            <v>6000</v>
          </cell>
        </row>
        <row r="7862">
          <cell r="A7862">
            <v>45681</v>
          </cell>
          <cell r="B7862" t="str">
            <v>Củ Cải Trắng</v>
          </cell>
          <cell r="C7862" t="str">
            <v>Kg</v>
          </cell>
          <cell r="D7862">
            <v>6000</v>
          </cell>
        </row>
        <row r="7863">
          <cell r="A7863">
            <v>45681</v>
          </cell>
          <cell r="B7863" t="str">
            <v>Củ Khoai Lang Nhật</v>
          </cell>
          <cell r="C7863" t="str">
            <v>Kg</v>
          </cell>
          <cell r="D7863">
            <v>15000</v>
          </cell>
        </row>
        <row r="7864">
          <cell r="A7864">
            <v>45681</v>
          </cell>
          <cell r="B7864" t="str">
            <v>Xà Lách Thủy Tinh T.C Cây</v>
          </cell>
          <cell r="C7864" t="str">
            <v>Cây</v>
          </cell>
          <cell r="D7864">
            <v>7000</v>
          </cell>
        </row>
        <row r="7865">
          <cell r="A7865">
            <v>45681</v>
          </cell>
          <cell r="B7865" t="str">
            <v>Đậu Đỏ</v>
          </cell>
          <cell r="C7865" t="str">
            <v>Kg</v>
          </cell>
          <cell r="D7865">
            <v>80000</v>
          </cell>
        </row>
        <row r="7866">
          <cell r="A7866">
            <v>45681</v>
          </cell>
          <cell r="B7866" t="str">
            <v>Đậu Ngự</v>
          </cell>
          <cell r="C7866" t="str">
            <v>Kg</v>
          </cell>
          <cell r="D7866">
            <v>70000</v>
          </cell>
        </row>
        <row r="7867">
          <cell r="A7867">
            <v>45681</v>
          </cell>
          <cell r="B7867" t="str">
            <v>Đậu Trắng</v>
          </cell>
          <cell r="C7867" t="str">
            <v>Kg</v>
          </cell>
          <cell r="D7867">
            <v>70000</v>
          </cell>
        </row>
        <row r="7868">
          <cell r="A7868">
            <v>45681</v>
          </cell>
          <cell r="B7868" t="str">
            <v>Ớt Chuông Đỏ</v>
          </cell>
          <cell r="C7868" t="str">
            <v>Kg</v>
          </cell>
          <cell r="D7868">
            <v>34000</v>
          </cell>
        </row>
        <row r="7869">
          <cell r="A7869">
            <v>45681</v>
          </cell>
          <cell r="B7869" t="str">
            <v>Ớt Chuông Vàng</v>
          </cell>
          <cell r="C7869" t="str">
            <v>Kg</v>
          </cell>
          <cell r="D7869">
            <v>26000</v>
          </cell>
        </row>
        <row r="7870">
          <cell r="A7870">
            <v>45681</v>
          </cell>
          <cell r="B7870" t="str">
            <v>Ớt Chuông Xanh</v>
          </cell>
          <cell r="C7870" t="str">
            <v>Kg</v>
          </cell>
          <cell r="D7870">
            <v>31000</v>
          </cell>
        </row>
        <row r="7871">
          <cell r="A7871">
            <v>45681</v>
          </cell>
          <cell r="B7871" t="str">
            <v>Cà Chua Thường</v>
          </cell>
          <cell r="C7871" t="str">
            <v>Kg</v>
          </cell>
          <cell r="D7871">
            <v>17000</v>
          </cell>
        </row>
        <row r="7872">
          <cell r="A7872">
            <v>45681</v>
          </cell>
          <cell r="B7872" t="str">
            <v>Cà Chua Thường Trung</v>
          </cell>
          <cell r="C7872" t="str">
            <v>Kg</v>
          </cell>
          <cell r="D7872">
            <v>12000</v>
          </cell>
        </row>
        <row r="7873">
          <cell r="A7873">
            <v>45681</v>
          </cell>
          <cell r="B7873" t="str">
            <v>Dưa Leo Thường</v>
          </cell>
          <cell r="C7873" t="str">
            <v>Kg</v>
          </cell>
          <cell r="D7873">
            <v>16000</v>
          </cell>
        </row>
        <row r="7874">
          <cell r="A7874">
            <v>45681</v>
          </cell>
          <cell r="B7874" t="str">
            <v>Bí Đao Xanh</v>
          </cell>
          <cell r="C7874" t="str">
            <v>Kg</v>
          </cell>
          <cell r="D7874">
            <v>12000</v>
          </cell>
        </row>
        <row r="7875">
          <cell r="A7875">
            <v>45681</v>
          </cell>
          <cell r="B7875" t="str">
            <v>Trái Khổ Qua</v>
          </cell>
          <cell r="C7875" t="str">
            <v>Kg</v>
          </cell>
          <cell r="D7875">
            <v>35000</v>
          </cell>
        </row>
        <row r="7876">
          <cell r="A7876">
            <v>45681</v>
          </cell>
          <cell r="B7876" t="str">
            <v>Cà Chua Socola</v>
          </cell>
          <cell r="C7876" t="str">
            <v>Kg</v>
          </cell>
          <cell r="D7876">
            <v>33000</v>
          </cell>
        </row>
        <row r="7877">
          <cell r="A7877">
            <v>45681</v>
          </cell>
          <cell r="B7877" t="str">
            <v>Cải Kale</v>
          </cell>
          <cell r="C7877" t="str">
            <v>Túi</v>
          </cell>
          <cell r="D7877">
            <v>4200</v>
          </cell>
        </row>
        <row r="7878">
          <cell r="A7878">
            <v>45681</v>
          </cell>
          <cell r="B7878" t="str">
            <v>Lá Mè</v>
          </cell>
          <cell r="C7878" t="str">
            <v>Túi</v>
          </cell>
          <cell r="D7878">
            <v>3200</v>
          </cell>
        </row>
        <row r="7879">
          <cell r="A7879">
            <v>45681</v>
          </cell>
          <cell r="B7879" t="str">
            <v>Bí Đỏ Tròn</v>
          </cell>
          <cell r="C7879" t="str">
            <v>Kg</v>
          </cell>
          <cell r="D7879">
            <v>11000</v>
          </cell>
        </row>
        <row r="7880">
          <cell r="A7880">
            <v>45681</v>
          </cell>
          <cell r="B7880" t="str">
            <v>Ớt Chuông Baby</v>
          </cell>
          <cell r="C7880" t="str">
            <v>Kg</v>
          </cell>
          <cell r="D7880">
            <v>48000</v>
          </cell>
        </row>
        <row r="7881">
          <cell r="A7881">
            <v>45681</v>
          </cell>
          <cell r="B7881" t="str">
            <v>Ớt Sweet Palemo</v>
          </cell>
          <cell r="C7881" t="str">
            <v>Túi</v>
          </cell>
          <cell r="D7881">
            <v>18000</v>
          </cell>
        </row>
        <row r="7882">
          <cell r="A7882">
            <v>45681</v>
          </cell>
          <cell r="B7882" t="str">
            <v>Xà Lách Mỹ</v>
          </cell>
          <cell r="C7882" t="str">
            <v>Kg</v>
          </cell>
          <cell r="D7882">
            <v>18000</v>
          </cell>
        </row>
        <row r="7883">
          <cell r="A7883">
            <v>45681</v>
          </cell>
          <cell r="B7883" t="str">
            <v>Hành Paro</v>
          </cell>
          <cell r="C7883" t="str">
            <v>Kg</v>
          </cell>
          <cell r="D7883">
            <v>13000</v>
          </cell>
        </row>
        <row r="7884">
          <cell r="A7884">
            <v>45681</v>
          </cell>
          <cell r="B7884" t="str">
            <v>Củ Cải Đỏ</v>
          </cell>
          <cell r="C7884" t="str">
            <v>Hộp</v>
          </cell>
          <cell r="D7884">
            <v>10000</v>
          </cell>
        </row>
        <row r="7885">
          <cell r="A7885">
            <v>45681</v>
          </cell>
          <cell r="B7885" t="str">
            <v>Bông Cải Xanh Baby</v>
          </cell>
          <cell r="C7885" t="str">
            <v>Vỉ</v>
          </cell>
          <cell r="D7885">
            <v>6000</v>
          </cell>
        </row>
        <row r="7886">
          <cell r="A7886">
            <v>45681</v>
          </cell>
          <cell r="B7886" t="str">
            <v>Xà Lách Lolo Xanh</v>
          </cell>
          <cell r="C7886" t="str">
            <v>Kg</v>
          </cell>
          <cell r="D7886">
            <v>19000</v>
          </cell>
        </row>
        <row r="7887">
          <cell r="A7887">
            <v>45681</v>
          </cell>
          <cell r="B7887" t="str">
            <v>Ớt Sweet Palemo</v>
          </cell>
          <cell r="C7887" t="str">
            <v>Túi</v>
          </cell>
          <cell r="D7887">
            <v>17000</v>
          </cell>
        </row>
        <row r="7888">
          <cell r="A7888">
            <v>45681</v>
          </cell>
          <cell r="B7888" t="str">
            <v>Xà Lách Romaine</v>
          </cell>
          <cell r="C7888" t="str">
            <v>Kg</v>
          </cell>
          <cell r="D7888">
            <v>35000</v>
          </cell>
        </row>
        <row r="7889">
          <cell r="A7889">
            <v>45681</v>
          </cell>
          <cell r="B7889" t="str">
            <v>Cà Chua Beef Trung</v>
          </cell>
          <cell r="C7889" t="str">
            <v>Vỉ 500gr</v>
          </cell>
          <cell r="D7889">
            <v>8000</v>
          </cell>
        </row>
        <row r="7890">
          <cell r="A7890">
            <v>45681</v>
          </cell>
          <cell r="B7890" t="str">
            <v>Xà Lách Rocket</v>
          </cell>
          <cell r="C7890" t="str">
            <v>Kg</v>
          </cell>
          <cell r="D7890">
            <v>70000</v>
          </cell>
        </row>
        <row r="7891">
          <cell r="A7891">
            <v>45681</v>
          </cell>
          <cell r="B7891" t="str">
            <v>Xà Lách Lolo Tím</v>
          </cell>
          <cell r="C7891" t="str">
            <v>Kg</v>
          </cell>
          <cell r="D7891">
            <v>18000</v>
          </cell>
        </row>
        <row r="7892">
          <cell r="A7892">
            <v>45681</v>
          </cell>
          <cell r="B7892" t="str">
            <v>Cà Chua Socola</v>
          </cell>
          <cell r="C7892" t="str">
            <v>Hộp 250GR</v>
          </cell>
          <cell r="D7892">
            <v>9500</v>
          </cell>
        </row>
        <row r="7893">
          <cell r="A7893">
            <v>45681</v>
          </cell>
          <cell r="B7893" t="str">
            <v>Xà Lách Lolo Xanh</v>
          </cell>
          <cell r="C7893" t="str">
            <v>Kg</v>
          </cell>
          <cell r="D7893">
            <v>22000</v>
          </cell>
        </row>
        <row r="7894">
          <cell r="A7894">
            <v>45681</v>
          </cell>
          <cell r="B7894" t="str">
            <v>Cà Rốt Baby</v>
          </cell>
          <cell r="C7894" t="str">
            <v>Vỉ</v>
          </cell>
          <cell r="D7894">
            <v>6000</v>
          </cell>
        </row>
        <row r="7895">
          <cell r="A7895">
            <v>45681</v>
          </cell>
          <cell r="B7895" t="str">
            <v>Cải Kale</v>
          </cell>
          <cell r="C7895" t="str">
            <v>Túi</v>
          </cell>
          <cell r="D7895">
            <v>3500</v>
          </cell>
        </row>
        <row r="7896">
          <cell r="A7896">
            <v>45681</v>
          </cell>
          <cell r="B7896" t="str">
            <v>Cải Kale</v>
          </cell>
          <cell r="C7896" t="str">
            <v>Túi 150gr</v>
          </cell>
          <cell r="D7896">
            <v>2000</v>
          </cell>
        </row>
        <row r="7897">
          <cell r="A7897">
            <v>45681</v>
          </cell>
          <cell r="B7897" t="str">
            <v>Cải Cầu Vồng</v>
          </cell>
          <cell r="C7897" t="str">
            <v>Túi</v>
          </cell>
          <cell r="D7897">
            <v>5000</v>
          </cell>
        </row>
        <row r="7898">
          <cell r="A7898">
            <v>45681</v>
          </cell>
          <cell r="B7898" t="str">
            <v>Lá Mè</v>
          </cell>
          <cell r="C7898" t="str">
            <v>Túi</v>
          </cell>
          <cell r="D7898">
            <v>3500</v>
          </cell>
        </row>
        <row r="7899">
          <cell r="A7899">
            <v>45681</v>
          </cell>
          <cell r="B7899" t="str">
            <v>Dưa Leo Baby</v>
          </cell>
          <cell r="C7899" t="str">
            <v>Vỉ</v>
          </cell>
          <cell r="D7899">
            <v>9000</v>
          </cell>
        </row>
        <row r="7900">
          <cell r="A7900">
            <v>45681</v>
          </cell>
          <cell r="B7900" t="str">
            <v>Cà Chua Bi Mix</v>
          </cell>
          <cell r="C7900" t="str">
            <v>Hộp</v>
          </cell>
          <cell r="D7900">
            <v>12000</v>
          </cell>
        </row>
        <row r="7901">
          <cell r="A7901">
            <v>45681</v>
          </cell>
          <cell r="B7901" t="str">
            <v>Cà Chua Bi Mix</v>
          </cell>
          <cell r="C7901" t="str">
            <v>Hộp</v>
          </cell>
          <cell r="D7901">
            <v>13500</v>
          </cell>
        </row>
        <row r="7902">
          <cell r="A7902">
            <v>45681</v>
          </cell>
          <cell r="B7902" t="str">
            <v>Cà Chua Socola</v>
          </cell>
          <cell r="C7902" t="str">
            <v>Hộp 300gr</v>
          </cell>
          <cell r="D7902">
            <v>11400</v>
          </cell>
        </row>
        <row r="7903">
          <cell r="A7903">
            <v>45681</v>
          </cell>
          <cell r="B7903" t="str">
            <v>Cà Chua Socola</v>
          </cell>
          <cell r="C7903" t="str">
            <v>Hộp 300gr</v>
          </cell>
          <cell r="D7903">
            <v>12900</v>
          </cell>
        </row>
        <row r="7904">
          <cell r="A7904">
            <v>45681</v>
          </cell>
          <cell r="B7904" t="str">
            <v>Cải Kale</v>
          </cell>
          <cell r="C7904" t="str">
            <v>Túi</v>
          </cell>
          <cell r="D7904">
            <v>6000</v>
          </cell>
        </row>
        <row r="7905">
          <cell r="A7905">
            <v>45681</v>
          </cell>
          <cell r="B7905" t="str">
            <v>Chanh Không Hạt</v>
          </cell>
          <cell r="C7905" t="str">
            <v>Vỉ</v>
          </cell>
          <cell r="D7905">
            <v>6750</v>
          </cell>
        </row>
        <row r="7906">
          <cell r="A7906">
            <v>45681</v>
          </cell>
          <cell r="B7906" t="str">
            <v>Cải Bó Xôi</v>
          </cell>
          <cell r="C7906" t="str">
            <v>Túi</v>
          </cell>
          <cell r="D7906">
            <v>7200</v>
          </cell>
        </row>
        <row r="7907">
          <cell r="A7907">
            <v>45681</v>
          </cell>
          <cell r="B7907" t="str">
            <v>Cà Chua Beef Chùm</v>
          </cell>
          <cell r="C7907" t="str">
            <v>Kg</v>
          </cell>
          <cell r="D7907">
            <v>19000</v>
          </cell>
        </row>
        <row r="7908">
          <cell r="A7908">
            <v>45681</v>
          </cell>
          <cell r="B7908" t="str">
            <v>Cà Chua Beef</v>
          </cell>
          <cell r="C7908" t="str">
            <v>Kg</v>
          </cell>
          <cell r="D7908">
            <v>17000</v>
          </cell>
        </row>
        <row r="7909">
          <cell r="A7909">
            <v>45681</v>
          </cell>
          <cell r="B7909" t="str">
            <v>Cà Chua Beef Trung</v>
          </cell>
          <cell r="C7909" t="str">
            <v>Vỉ 500gr</v>
          </cell>
          <cell r="D7909">
            <v>9000</v>
          </cell>
        </row>
        <row r="7910">
          <cell r="A7910">
            <v>45681</v>
          </cell>
          <cell r="B7910" t="str">
            <v>Cà Chua Beef Trung</v>
          </cell>
          <cell r="C7910" t="str">
            <v>Kg</v>
          </cell>
          <cell r="D7910">
            <v>16000</v>
          </cell>
        </row>
        <row r="7911">
          <cell r="A7911">
            <v>45681</v>
          </cell>
          <cell r="B7911" t="str">
            <v>Tags "bưởi đỏ tiến Vua"</v>
          </cell>
          <cell r="C7911" t="str">
            <v>Cái</v>
          </cell>
          <cell r="D7911">
            <v>1680</v>
          </cell>
        </row>
        <row r="7912">
          <cell r="A7912">
            <v>45681</v>
          </cell>
          <cell r="B7912" t="str">
            <v>GIẤY BÁO VÀNG (GIẤY VÀNG)</v>
          </cell>
          <cell r="C7912" t="str">
            <v>Kg</v>
          </cell>
          <cell r="D7912">
            <v>12550</v>
          </cell>
        </row>
        <row r="7913">
          <cell r="A7913">
            <v>45682</v>
          </cell>
          <cell r="B7913" t="str">
            <v>DO 0.05S-II</v>
          </cell>
          <cell r="C7913" t="str">
            <v>Lít</v>
          </cell>
          <cell r="D7913">
            <v>18718.18</v>
          </cell>
        </row>
        <row r="7914">
          <cell r="A7914">
            <v>45682</v>
          </cell>
          <cell r="B7914" t="str">
            <v>DO 0.05S-II</v>
          </cell>
          <cell r="C7914" t="str">
            <v>Lít</v>
          </cell>
          <cell r="D7914">
            <v>18718.18</v>
          </cell>
        </row>
        <row r="7915">
          <cell r="A7915">
            <v>45682</v>
          </cell>
          <cell r="B7915" t="str">
            <v>Trái Su Su</v>
          </cell>
          <cell r="C7915" t="str">
            <v>Kg</v>
          </cell>
          <cell r="D7915">
            <v>12000</v>
          </cell>
        </row>
        <row r="7916">
          <cell r="A7916">
            <v>45682</v>
          </cell>
          <cell r="B7916" t="str">
            <v>Lá Nha Đam</v>
          </cell>
          <cell r="C7916" t="str">
            <v>Kg</v>
          </cell>
          <cell r="D7916">
            <v>14000</v>
          </cell>
        </row>
        <row r="7917">
          <cell r="A7917">
            <v>45682</v>
          </cell>
          <cell r="B7917" t="str">
            <v>Bí Đỏ Hồ Lô</v>
          </cell>
          <cell r="C7917" t="str">
            <v>Kg</v>
          </cell>
          <cell r="D7917">
            <v>9500</v>
          </cell>
        </row>
        <row r="7918">
          <cell r="A7918">
            <v>45682</v>
          </cell>
          <cell r="B7918" t="str">
            <v>Rau Bầu Đất</v>
          </cell>
          <cell r="C7918" t="str">
            <v>Kg</v>
          </cell>
          <cell r="D7918">
            <v>35000</v>
          </cell>
        </row>
        <row r="7919">
          <cell r="A7919">
            <v>45682</v>
          </cell>
          <cell r="B7919" t="str">
            <v>Cải Bó Xôi</v>
          </cell>
          <cell r="C7919" t="str">
            <v>Kg</v>
          </cell>
          <cell r="D7919">
            <v>22000</v>
          </cell>
        </row>
        <row r="7920">
          <cell r="A7920">
            <v>45682</v>
          </cell>
          <cell r="B7920" t="str">
            <v>Bông Cải Xanh 12Cm</v>
          </cell>
          <cell r="C7920" t="str">
            <v>Kg</v>
          </cell>
          <cell r="D7920">
            <v>10000</v>
          </cell>
        </row>
        <row r="7921">
          <cell r="A7921">
            <v>45682</v>
          </cell>
          <cell r="B7921" t="str">
            <v>Bông Cải Xanh 7Cm</v>
          </cell>
          <cell r="C7921" t="str">
            <v>Kg</v>
          </cell>
          <cell r="D7921">
            <v>21000</v>
          </cell>
        </row>
        <row r="7922">
          <cell r="A7922">
            <v>45682</v>
          </cell>
          <cell r="B7922" t="str">
            <v>Bông Cải Xanh 7Cm</v>
          </cell>
          <cell r="C7922" t="str">
            <v>Kg</v>
          </cell>
          <cell r="D7922">
            <v>21000</v>
          </cell>
        </row>
        <row r="7923">
          <cell r="A7923">
            <v>45682</v>
          </cell>
          <cell r="B7923" t="str">
            <v>Cà Chua Socola</v>
          </cell>
          <cell r="C7923" t="str">
            <v>Hộp 250GR</v>
          </cell>
          <cell r="D7923">
            <v>7000</v>
          </cell>
        </row>
        <row r="7924">
          <cell r="A7924">
            <v>45682</v>
          </cell>
          <cell r="B7924" t="str">
            <v>Bông Cải Xanh 7Cm</v>
          </cell>
          <cell r="C7924" t="str">
            <v>Kg</v>
          </cell>
          <cell r="D7924">
            <v>23000</v>
          </cell>
        </row>
        <row r="7925">
          <cell r="A7925">
            <v>45682</v>
          </cell>
          <cell r="B7925" t="str">
            <v>Củ Dền</v>
          </cell>
          <cell r="C7925" t="str">
            <v>Kg</v>
          </cell>
          <cell r="D7925">
            <v>11000</v>
          </cell>
        </row>
        <row r="7926">
          <cell r="A7926">
            <v>45682</v>
          </cell>
          <cell r="B7926" t="str">
            <v>Cà Chua Socola</v>
          </cell>
          <cell r="C7926" t="str">
            <v>Kg</v>
          </cell>
          <cell r="D7926">
            <v>33000</v>
          </cell>
        </row>
        <row r="7927">
          <cell r="A7927">
            <v>45682</v>
          </cell>
          <cell r="B7927" t="str">
            <v>Cải Kale</v>
          </cell>
          <cell r="C7927" t="str">
            <v>Túi</v>
          </cell>
          <cell r="D7927">
            <v>4200</v>
          </cell>
        </row>
        <row r="7928">
          <cell r="A7928">
            <v>45682</v>
          </cell>
          <cell r="B7928" t="str">
            <v>Lá Mè</v>
          </cell>
          <cell r="C7928" t="str">
            <v>Túi</v>
          </cell>
          <cell r="D7928">
            <v>3200</v>
          </cell>
        </row>
        <row r="7929">
          <cell r="A7929">
            <v>45682</v>
          </cell>
          <cell r="B7929" t="str">
            <v>Bông Cải Xanh 12Cm</v>
          </cell>
          <cell r="C7929" t="str">
            <v>Kg</v>
          </cell>
          <cell r="D7929">
            <v>10000</v>
          </cell>
        </row>
        <row r="7930">
          <cell r="A7930">
            <v>45682</v>
          </cell>
          <cell r="B7930" t="str">
            <v>Xà Lách Lolo Xanh T.C Cây</v>
          </cell>
          <cell r="C7930" t="str">
            <v>Cây</v>
          </cell>
          <cell r="D7930">
            <v>6800</v>
          </cell>
        </row>
        <row r="7931">
          <cell r="A7931">
            <v>45682</v>
          </cell>
          <cell r="B7931" t="str">
            <v>Xà Lách Thủy Tinh T.C Cây</v>
          </cell>
          <cell r="C7931" t="str">
            <v>Cây</v>
          </cell>
          <cell r="D7931">
            <v>6800</v>
          </cell>
        </row>
        <row r="7932">
          <cell r="A7932">
            <v>45682</v>
          </cell>
          <cell r="B7932" t="str">
            <v>Xà Lách Thủy Tinh T.C</v>
          </cell>
          <cell r="C7932" t="str">
            <v>Kg</v>
          </cell>
          <cell r="D7932">
            <v>30000</v>
          </cell>
        </row>
        <row r="7933">
          <cell r="A7933">
            <v>45682</v>
          </cell>
          <cell r="B7933" t="str">
            <v>Trái Cam Canh</v>
          </cell>
          <cell r="C7933" t="str">
            <v>Kg</v>
          </cell>
          <cell r="D7933">
            <v>20500</v>
          </cell>
        </row>
        <row r="7934">
          <cell r="A7934">
            <v>45682</v>
          </cell>
          <cell r="B7934" t="str">
            <v>Bông Cải Trắng</v>
          </cell>
          <cell r="C7934" t="str">
            <v>Kg</v>
          </cell>
          <cell r="D7934">
            <v>12000</v>
          </cell>
        </row>
        <row r="7935">
          <cell r="A7935">
            <v>45682</v>
          </cell>
          <cell r="B7935" t="str">
            <v>Bí Ngòi Xanh</v>
          </cell>
          <cell r="C7935" t="str">
            <v>Kg</v>
          </cell>
          <cell r="D7935">
            <v>8000</v>
          </cell>
        </row>
        <row r="7936">
          <cell r="A7936">
            <v>45682</v>
          </cell>
          <cell r="B7936" t="str">
            <v>Bông Cải Xanh 7Cm</v>
          </cell>
          <cell r="C7936" t="str">
            <v>Kg</v>
          </cell>
          <cell r="D7936">
            <v>21000</v>
          </cell>
        </row>
        <row r="7937">
          <cell r="A7937">
            <v>45682</v>
          </cell>
          <cell r="B7937" t="str">
            <v>Cần Tây</v>
          </cell>
          <cell r="C7937" t="str">
            <v>Kg</v>
          </cell>
          <cell r="D7937">
            <v>12000</v>
          </cell>
        </row>
        <row r="7938">
          <cell r="A7938">
            <v>45682</v>
          </cell>
          <cell r="B7938" t="str">
            <v>Cần Tây</v>
          </cell>
          <cell r="C7938" t="str">
            <v>Kg</v>
          </cell>
          <cell r="D7938">
            <v>14000</v>
          </cell>
        </row>
        <row r="7939">
          <cell r="A7939">
            <v>45682</v>
          </cell>
          <cell r="B7939" t="str">
            <v>Cải Thảo Hỏa Tiễn</v>
          </cell>
          <cell r="C7939" t="str">
            <v>Kg</v>
          </cell>
          <cell r="D7939">
            <v>14000</v>
          </cell>
        </row>
        <row r="7940">
          <cell r="A7940">
            <v>45682</v>
          </cell>
          <cell r="B7940" t="str">
            <v>Củ Hành Tây</v>
          </cell>
          <cell r="C7940" t="str">
            <v>Kg</v>
          </cell>
          <cell r="D7940">
            <v>9000</v>
          </cell>
        </row>
        <row r="7941">
          <cell r="A7941">
            <v>45682</v>
          </cell>
          <cell r="B7941" t="str">
            <v>Củ Hành Tây Trung</v>
          </cell>
          <cell r="C7941" t="str">
            <v>Kg</v>
          </cell>
          <cell r="D7941">
            <v>7000</v>
          </cell>
        </row>
        <row r="7942">
          <cell r="A7942">
            <v>45682</v>
          </cell>
          <cell r="B7942" t="str">
            <v>Xà Lách Lolo Xanh T.C Cây</v>
          </cell>
          <cell r="C7942" t="str">
            <v>Cây</v>
          </cell>
          <cell r="D7942">
            <v>6800</v>
          </cell>
        </row>
        <row r="7943">
          <cell r="A7943">
            <v>45682</v>
          </cell>
          <cell r="B7943" t="str">
            <v>Xà Lách Mỡ T.C Cây</v>
          </cell>
          <cell r="C7943" t="str">
            <v>Cây</v>
          </cell>
          <cell r="D7943">
            <v>6800</v>
          </cell>
        </row>
        <row r="7944">
          <cell r="A7944">
            <v>45682</v>
          </cell>
          <cell r="B7944" t="str">
            <v>Xà Lách Mỡ T.C</v>
          </cell>
          <cell r="C7944" t="str">
            <v>Kg</v>
          </cell>
          <cell r="D7944">
            <v>28000</v>
          </cell>
        </row>
        <row r="7945">
          <cell r="A7945">
            <v>45682</v>
          </cell>
          <cell r="B7945" t="str">
            <v>Bí Ngòi Xanh</v>
          </cell>
          <cell r="C7945" t="str">
            <v>Kg</v>
          </cell>
          <cell r="D7945">
            <v>12000</v>
          </cell>
        </row>
        <row r="7946">
          <cell r="A7946">
            <v>45682</v>
          </cell>
          <cell r="B7946" t="str">
            <v>Hành Paro</v>
          </cell>
          <cell r="C7946" t="str">
            <v>Kg</v>
          </cell>
          <cell r="D7946">
            <v>14000</v>
          </cell>
        </row>
        <row r="7947">
          <cell r="A7947">
            <v>45682</v>
          </cell>
          <cell r="B7947" t="str">
            <v>Bắp Cải Tím</v>
          </cell>
          <cell r="C7947" t="str">
            <v>Kg</v>
          </cell>
          <cell r="D7947">
            <v>8000</v>
          </cell>
        </row>
        <row r="7948">
          <cell r="A7948">
            <v>45682</v>
          </cell>
          <cell r="B7948" t="str">
            <v>Bông Cải Xanh 7Cm</v>
          </cell>
          <cell r="C7948" t="str">
            <v>Kg</v>
          </cell>
          <cell r="D7948">
            <v>17000</v>
          </cell>
        </row>
        <row r="7949">
          <cell r="A7949">
            <v>45682</v>
          </cell>
          <cell r="B7949" t="str">
            <v>Hồng Treo Gió</v>
          </cell>
          <cell r="C7949" t="str">
            <v>Kg</v>
          </cell>
          <cell r="D7949">
            <v>200000</v>
          </cell>
        </row>
        <row r="7950">
          <cell r="A7950">
            <v>45682</v>
          </cell>
          <cell r="B7950" t="str">
            <v>Dưa Leo Baby</v>
          </cell>
          <cell r="C7950" t="str">
            <v>Kg</v>
          </cell>
          <cell r="D7950">
            <v>9500</v>
          </cell>
        </row>
        <row r="7951">
          <cell r="A7951">
            <v>45682</v>
          </cell>
          <cell r="B7951" t="str">
            <v>Cà Chua Socola</v>
          </cell>
          <cell r="C7951" t="str">
            <v>Kg</v>
          </cell>
          <cell r="D7951">
            <v>28000</v>
          </cell>
        </row>
        <row r="7952">
          <cell r="A7952">
            <v>45682</v>
          </cell>
          <cell r="B7952" t="str">
            <v>Cà Chua Bi Cam Sữa</v>
          </cell>
          <cell r="C7952" t="str">
            <v>Kg</v>
          </cell>
          <cell r="D7952">
            <v>40000</v>
          </cell>
        </row>
        <row r="7953">
          <cell r="A7953">
            <v>45682</v>
          </cell>
          <cell r="B7953" t="str">
            <v>Dưa Leo Baby</v>
          </cell>
          <cell r="C7953" t="str">
            <v>Kg</v>
          </cell>
          <cell r="D7953">
            <v>8000</v>
          </cell>
        </row>
        <row r="7954">
          <cell r="A7954">
            <v>45682</v>
          </cell>
          <cell r="B7954" t="str">
            <v>Gia Công Rau Củ Quả</v>
          </cell>
          <cell r="C7954" t="str">
            <v>Kg</v>
          </cell>
          <cell r="D7954">
            <v>700</v>
          </cell>
        </row>
        <row r="7955">
          <cell r="A7955">
            <v>45682</v>
          </cell>
          <cell r="B7955" t="str">
            <v>Gia Công Rau Củ Quả</v>
          </cell>
          <cell r="C7955" t="str">
            <v>Kg</v>
          </cell>
          <cell r="D7955">
            <v>700</v>
          </cell>
        </row>
        <row r="7956">
          <cell r="A7956">
            <v>45682</v>
          </cell>
          <cell r="B7956" t="str">
            <v>Gia Công Rau Củ Quả</v>
          </cell>
          <cell r="C7956" t="str">
            <v>Kg</v>
          </cell>
          <cell r="D7956">
            <v>1000</v>
          </cell>
        </row>
        <row r="7957">
          <cell r="A7957">
            <v>45682</v>
          </cell>
          <cell r="B7957" t="str">
            <v>Cần Tây</v>
          </cell>
          <cell r="C7957" t="str">
            <v>Kg</v>
          </cell>
          <cell r="D7957">
            <v>14000</v>
          </cell>
        </row>
        <row r="7958">
          <cell r="A7958">
            <v>45682</v>
          </cell>
          <cell r="B7958" t="str">
            <v>Củ Khoai Lang Mật Size 23</v>
          </cell>
          <cell r="C7958" t="str">
            <v>Kg</v>
          </cell>
          <cell r="D7958">
            <v>27000</v>
          </cell>
        </row>
        <row r="7959">
          <cell r="A7959">
            <v>45682</v>
          </cell>
          <cell r="B7959" t="str">
            <v>Ớt Chuông Đỏ</v>
          </cell>
          <cell r="C7959" t="str">
            <v>Kg</v>
          </cell>
          <cell r="D7959">
            <v>42000</v>
          </cell>
        </row>
        <row r="7960">
          <cell r="A7960">
            <v>45682</v>
          </cell>
          <cell r="B7960" t="str">
            <v>Ớt Chuông Vàng</v>
          </cell>
          <cell r="C7960" t="str">
            <v>Kg</v>
          </cell>
          <cell r="D7960">
            <v>30000</v>
          </cell>
        </row>
        <row r="7961">
          <cell r="A7961">
            <v>45682</v>
          </cell>
          <cell r="B7961" t="str">
            <v>Ớt Chuông Xanh</v>
          </cell>
          <cell r="C7961" t="str">
            <v>Kg</v>
          </cell>
          <cell r="D7961">
            <v>35000</v>
          </cell>
        </row>
        <row r="7962">
          <cell r="A7962">
            <v>45682</v>
          </cell>
          <cell r="B7962" t="str">
            <v>Ớt Chuông Baby</v>
          </cell>
          <cell r="C7962" t="str">
            <v>Kg</v>
          </cell>
          <cell r="D7962">
            <v>45000</v>
          </cell>
        </row>
        <row r="7963">
          <cell r="A7963">
            <v>45682</v>
          </cell>
          <cell r="B7963" t="str">
            <v>Ớt Chuông Đỏ Trung</v>
          </cell>
          <cell r="C7963" t="str">
            <v>Kg</v>
          </cell>
          <cell r="D7963">
            <v>37000</v>
          </cell>
        </row>
        <row r="7964">
          <cell r="A7964">
            <v>45682</v>
          </cell>
          <cell r="B7964" t="str">
            <v>Ớt Chuông Vàng Trung</v>
          </cell>
          <cell r="C7964" t="str">
            <v>Kg</v>
          </cell>
          <cell r="D7964">
            <v>25000</v>
          </cell>
        </row>
        <row r="7965">
          <cell r="A7965">
            <v>45682</v>
          </cell>
          <cell r="B7965" t="str">
            <v>Ớt Chuông Xanh Trung</v>
          </cell>
          <cell r="C7965" t="str">
            <v>Kg</v>
          </cell>
          <cell r="D7965">
            <v>30000</v>
          </cell>
        </row>
        <row r="7966">
          <cell r="A7966">
            <v>45682</v>
          </cell>
          <cell r="B7966" t="str">
            <v>Cà Chua Beef</v>
          </cell>
          <cell r="C7966" t="str">
            <v>Kg</v>
          </cell>
          <cell r="D7966">
            <v>20000</v>
          </cell>
        </row>
        <row r="7967">
          <cell r="A7967">
            <v>45682</v>
          </cell>
          <cell r="B7967" t="str">
            <v>Cà Rốt</v>
          </cell>
          <cell r="C7967" t="str">
            <v>Kg</v>
          </cell>
          <cell r="D7967">
            <v>10000</v>
          </cell>
        </row>
        <row r="7968">
          <cell r="A7968">
            <v>45682</v>
          </cell>
          <cell r="B7968" t="str">
            <v>Xà Lách Mỡ T.C</v>
          </cell>
          <cell r="C7968" t="str">
            <v>Kg</v>
          </cell>
          <cell r="D7968">
            <v>26000</v>
          </cell>
        </row>
        <row r="7969">
          <cell r="A7969">
            <v>45682</v>
          </cell>
          <cell r="B7969" t="str">
            <v>Xà Lách Thủy Tinh T.C Cây</v>
          </cell>
          <cell r="C7969" t="str">
            <v>Cây</v>
          </cell>
          <cell r="D7969">
            <v>7500</v>
          </cell>
        </row>
        <row r="7970">
          <cell r="A7970">
            <v>45682</v>
          </cell>
          <cell r="B7970" t="str">
            <v>Củ Khoai Lang Nhật</v>
          </cell>
          <cell r="C7970" t="str">
            <v>Kg</v>
          </cell>
          <cell r="D7970">
            <v>17000</v>
          </cell>
        </row>
        <row r="7971">
          <cell r="A7971">
            <v>45682</v>
          </cell>
          <cell r="B7971" t="str">
            <v>Cải Thảo</v>
          </cell>
          <cell r="C7971" t="str">
            <v>Kg</v>
          </cell>
          <cell r="D7971">
            <v>6500</v>
          </cell>
        </row>
        <row r="7972">
          <cell r="A7972">
            <v>45682</v>
          </cell>
          <cell r="B7972" t="str">
            <v>Bí Non Nhật</v>
          </cell>
          <cell r="C7972" t="str">
            <v>Kg</v>
          </cell>
          <cell r="D7972">
            <v>10000</v>
          </cell>
        </row>
        <row r="7973">
          <cell r="A7973">
            <v>45682</v>
          </cell>
          <cell r="B7973" t="str">
            <v>Cà Tím</v>
          </cell>
          <cell r="C7973" t="str">
            <v>Kg</v>
          </cell>
          <cell r="D7973">
            <v>8000</v>
          </cell>
        </row>
        <row r="7974">
          <cell r="A7974">
            <v>45682</v>
          </cell>
          <cell r="B7974" t="str">
            <v>Dưa Leo Thường</v>
          </cell>
          <cell r="C7974" t="str">
            <v>Kg</v>
          </cell>
          <cell r="D7974">
            <v>20000</v>
          </cell>
        </row>
        <row r="7975">
          <cell r="A7975">
            <v>45682</v>
          </cell>
          <cell r="B7975" t="str">
            <v>Dưa Leo Nhật</v>
          </cell>
          <cell r="C7975" t="str">
            <v>Kg</v>
          </cell>
          <cell r="D7975">
            <v>19000</v>
          </cell>
        </row>
        <row r="7976">
          <cell r="A7976">
            <v>45682</v>
          </cell>
          <cell r="B7976" t="str">
            <v>Bí Non Nhật</v>
          </cell>
          <cell r="C7976" t="str">
            <v>Kg</v>
          </cell>
          <cell r="D7976">
            <v>15000</v>
          </cell>
        </row>
        <row r="7977">
          <cell r="A7977">
            <v>45682</v>
          </cell>
          <cell r="B7977" t="str">
            <v>Đậu Cove Nhật</v>
          </cell>
          <cell r="C7977" t="str">
            <v>Túi</v>
          </cell>
          <cell r="D7977">
            <v>10000</v>
          </cell>
        </row>
        <row r="7978">
          <cell r="A7978">
            <v>45682</v>
          </cell>
          <cell r="B7978" t="str">
            <v>Đậu Cove Trắng</v>
          </cell>
          <cell r="C7978" t="str">
            <v>Túi 500gr</v>
          </cell>
          <cell r="D7978">
            <v>11000</v>
          </cell>
        </row>
        <row r="7979">
          <cell r="A7979">
            <v>45682</v>
          </cell>
          <cell r="B7979" t="str">
            <v>Cà Chua Beef</v>
          </cell>
          <cell r="C7979" t="str">
            <v>Kg</v>
          </cell>
          <cell r="D7979">
            <v>19000</v>
          </cell>
        </row>
        <row r="7980">
          <cell r="A7980">
            <v>45682</v>
          </cell>
          <cell r="B7980" t="str">
            <v>Ớt Chuông Đỏ</v>
          </cell>
          <cell r="C7980" t="str">
            <v>Kg</v>
          </cell>
          <cell r="D7980">
            <v>34000</v>
          </cell>
        </row>
        <row r="7981">
          <cell r="A7981">
            <v>45682</v>
          </cell>
          <cell r="B7981" t="str">
            <v>Ớt Chuông Vàng</v>
          </cell>
          <cell r="C7981" t="str">
            <v>Kg</v>
          </cell>
          <cell r="D7981">
            <v>26000</v>
          </cell>
        </row>
        <row r="7982">
          <cell r="A7982">
            <v>45682</v>
          </cell>
          <cell r="B7982" t="str">
            <v>Bắp Cải Trắng</v>
          </cell>
          <cell r="C7982" t="str">
            <v>Kg</v>
          </cell>
          <cell r="D7982">
            <v>5500</v>
          </cell>
        </row>
        <row r="7983">
          <cell r="A7983">
            <v>45682</v>
          </cell>
          <cell r="B7983" t="str">
            <v>Ớt Chuông Baby</v>
          </cell>
          <cell r="C7983" t="str">
            <v>Kg</v>
          </cell>
          <cell r="D7983">
            <v>50000</v>
          </cell>
        </row>
        <row r="7984">
          <cell r="A7984">
            <v>45682</v>
          </cell>
          <cell r="B7984" t="str">
            <v>Ớt Sweet Palemo</v>
          </cell>
          <cell r="C7984" t="str">
            <v>Túi</v>
          </cell>
          <cell r="D7984">
            <v>18000</v>
          </cell>
        </row>
        <row r="7985">
          <cell r="A7985">
            <v>45682</v>
          </cell>
          <cell r="B7985" t="str">
            <v>Rau Ngò Rí</v>
          </cell>
          <cell r="C7985" t="str">
            <v>Kg</v>
          </cell>
          <cell r="D7985">
            <v>35000</v>
          </cell>
        </row>
        <row r="7986">
          <cell r="A7986">
            <v>45682</v>
          </cell>
          <cell r="B7986" t="str">
            <v>Củ Cải Trắng</v>
          </cell>
          <cell r="C7986" t="str">
            <v>Kg</v>
          </cell>
          <cell r="D7986">
            <v>6000</v>
          </cell>
        </row>
        <row r="7987">
          <cell r="A7987">
            <v>45682</v>
          </cell>
          <cell r="B7987" t="str">
            <v>Trái Su Su</v>
          </cell>
          <cell r="C7987" t="str">
            <v>Kg</v>
          </cell>
          <cell r="D7987">
            <v>10000</v>
          </cell>
        </row>
        <row r="7988">
          <cell r="A7988">
            <v>45682</v>
          </cell>
          <cell r="B7988" t="str">
            <v>Củ Khoai Lang Nhật</v>
          </cell>
          <cell r="C7988" t="str">
            <v>Kg</v>
          </cell>
          <cell r="D7988">
            <v>17255</v>
          </cell>
        </row>
        <row r="7989">
          <cell r="A7989">
            <v>45682</v>
          </cell>
          <cell r="B7989" t="str">
            <v>Cà Rốt</v>
          </cell>
          <cell r="C7989" t="str">
            <v>Kg</v>
          </cell>
          <cell r="D7989">
            <v>10000</v>
          </cell>
        </row>
        <row r="7990">
          <cell r="A7990">
            <v>45682</v>
          </cell>
          <cell r="B7990" t="str">
            <v>Bắp Cải Trái Tim</v>
          </cell>
          <cell r="C7990" t="str">
            <v>Kg</v>
          </cell>
          <cell r="D7990">
            <v>4000</v>
          </cell>
        </row>
        <row r="7991">
          <cell r="A7991">
            <v>45682</v>
          </cell>
          <cell r="B7991" t="str">
            <v>Măng Tây</v>
          </cell>
          <cell r="C7991" t="str">
            <v>Kg</v>
          </cell>
          <cell r="D7991">
            <v>55000</v>
          </cell>
        </row>
        <row r="7992">
          <cell r="A7992">
            <v>45682</v>
          </cell>
          <cell r="B7992" t="str">
            <v>Măng Tây</v>
          </cell>
          <cell r="C7992" t="str">
            <v>Kg</v>
          </cell>
          <cell r="D7992">
            <v>45000</v>
          </cell>
        </row>
        <row r="7993">
          <cell r="A7993">
            <v>45682</v>
          </cell>
          <cell r="B7993" t="str">
            <v>Lá É</v>
          </cell>
          <cell r="C7993" t="str">
            <v>Kg</v>
          </cell>
          <cell r="D7993">
            <v>40000</v>
          </cell>
        </row>
        <row r="7994">
          <cell r="A7994">
            <v>45682</v>
          </cell>
          <cell r="B7994" t="str">
            <v>Đậu Đỏ</v>
          </cell>
          <cell r="C7994" t="str">
            <v>Kg</v>
          </cell>
          <cell r="D7994">
            <v>80000</v>
          </cell>
        </row>
        <row r="7995">
          <cell r="A7995">
            <v>45682</v>
          </cell>
          <cell r="B7995" t="str">
            <v>Đậu Ngự</v>
          </cell>
          <cell r="C7995" t="str">
            <v>Kg</v>
          </cell>
          <cell r="D7995">
            <v>70000</v>
          </cell>
        </row>
        <row r="7996">
          <cell r="A7996">
            <v>45682</v>
          </cell>
          <cell r="B7996" t="str">
            <v>Đậu Trắng</v>
          </cell>
          <cell r="C7996" t="str">
            <v>Kg</v>
          </cell>
          <cell r="D7996">
            <v>70000</v>
          </cell>
        </row>
        <row r="7997">
          <cell r="A7997">
            <v>45682</v>
          </cell>
          <cell r="B7997" t="str">
            <v>Bắp Cải Trái Tim</v>
          </cell>
          <cell r="C7997" t="str">
            <v>Kg</v>
          </cell>
          <cell r="D7997">
            <v>4000</v>
          </cell>
        </row>
        <row r="7998">
          <cell r="A7998">
            <v>45682</v>
          </cell>
          <cell r="B7998" t="str">
            <v>Xà Lách Lolo Xanh</v>
          </cell>
          <cell r="C7998" t="str">
            <v>Kg</v>
          </cell>
          <cell r="D7998">
            <v>13000</v>
          </cell>
        </row>
        <row r="7999">
          <cell r="A7999">
            <v>45682</v>
          </cell>
          <cell r="B7999" t="str">
            <v>Trái Bưởi Diễn</v>
          </cell>
          <cell r="C7999" t="str">
            <v>Trái</v>
          </cell>
          <cell r="D7999">
            <v>9000</v>
          </cell>
        </row>
        <row r="8000">
          <cell r="A8000">
            <v>45682</v>
          </cell>
          <cell r="B8000" t="str">
            <v>Củ Cải Trắng</v>
          </cell>
          <cell r="C8000" t="str">
            <v>Kg</v>
          </cell>
          <cell r="D8000">
            <v>6000</v>
          </cell>
        </row>
        <row r="8001">
          <cell r="A8001">
            <v>45682</v>
          </cell>
          <cell r="B8001" t="str">
            <v>Bắp Cải Trắng</v>
          </cell>
          <cell r="C8001" t="str">
            <v>Kg</v>
          </cell>
          <cell r="D8001">
            <v>6000</v>
          </cell>
        </row>
        <row r="8002">
          <cell r="A8002">
            <v>45682</v>
          </cell>
          <cell r="B8002" t="str">
            <v>Cà Chua Thường</v>
          </cell>
          <cell r="C8002" t="str">
            <v>Kg</v>
          </cell>
          <cell r="D8002">
            <v>22000</v>
          </cell>
        </row>
        <row r="8003">
          <cell r="A8003">
            <v>45682</v>
          </cell>
          <cell r="B8003" t="str">
            <v>Cà Chua Thường Trung</v>
          </cell>
          <cell r="C8003" t="str">
            <v>Kg</v>
          </cell>
          <cell r="D8003">
            <v>16000</v>
          </cell>
        </row>
        <row r="8004">
          <cell r="A8004">
            <v>45682</v>
          </cell>
          <cell r="B8004" t="str">
            <v>Xà Lách Thủy Tinh T.C Cây</v>
          </cell>
          <cell r="C8004" t="str">
            <v>Cây</v>
          </cell>
          <cell r="D8004">
            <v>7000</v>
          </cell>
        </row>
        <row r="8005">
          <cell r="A8005">
            <v>45682</v>
          </cell>
          <cell r="B8005" t="str">
            <v>Dưa Leo Baby</v>
          </cell>
          <cell r="C8005" t="str">
            <v>Vỉ</v>
          </cell>
          <cell r="D8005">
            <v>6500</v>
          </cell>
        </row>
        <row r="8006">
          <cell r="A8006">
            <v>45682</v>
          </cell>
          <cell r="B8006" t="str">
            <v>Dưa Leo Baby</v>
          </cell>
          <cell r="C8006" t="str">
            <v>Vỉ</v>
          </cell>
          <cell r="D8006">
            <v>8500</v>
          </cell>
        </row>
        <row r="8007">
          <cell r="A8007">
            <v>45682</v>
          </cell>
          <cell r="B8007" t="str">
            <v>Bí Đao Xanh</v>
          </cell>
          <cell r="C8007" t="str">
            <v>Kg</v>
          </cell>
          <cell r="D8007">
            <v>12000</v>
          </cell>
        </row>
        <row r="8008">
          <cell r="A8008">
            <v>45682</v>
          </cell>
          <cell r="B8008" t="str">
            <v>Củ Gừng</v>
          </cell>
          <cell r="C8008" t="str">
            <v>Kg</v>
          </cell>
          <cell r="D8008">
            <v>18000</v>
          </cell>
        </row>
        <row r="8009">
          <cell r="A8009">
            <v>45682</v>
          </cell>
          <cell r="B8009" t="str">
            <v>Củ Khoai Mỡ</v>
          </cell>
          <cell r="C8009" t="str">
            <v>Kg</v>
          </cell>
          <cell r="D8009">
            <v>24000</v>
          </cell>
        </row>
        <row r="8010">
          <cell r="A8010">
            <v>45682</v>
          </cell>
          <cell r="B8010" t="str">
            <v>Củ Khoai Tây Vàng</v>
          </cell>
          <cell r="C8010" t="str">
            <v>Kg</v>
          </cell>
          <cell r="D8010">
            <v>16000</v>
          </cell>
        </row>
        <row r="8011">
          <cell r="A8011">
            <v>45682</v>
          </cell>
          <cell r="B8011" t="str">
            <v>Củ Khoai Tây Vàng</v>
          </cell>
          <cell r="C8011" t="str">
            <v>Kg</v>
          </cell>
          <cell r="D8011">
            <v>11000</v>
          </cell>
        </row>
        <row r="8012">
          <cell r="A8012">
            <v>45682</v>
          </cell>
          <cell r="B8012" t="str">
            <v>Xà Lách Mỡ T.C</v>
          </cell>
          <cell r="C8012" t="str">
            <v>Kg</v>
          </cell>
          <cell r="D8012">
            <v>24000</v>
          </cell>
        </row>
        <row r="8013">
          <cell r="A8013">
            <v>45682</v>
          </cell>
          <cell r="B8013" t="str">
            <v>Xà Lách Lolo Xanh T.C</v>
          </cell>
          <cell r="C8013" t="str">
            <v>Kg</v>
          </cell>
          <cell r="D8013">
            <v>25000</v>
          </cell>
        </row>
        <row r="8014">
          <cell r="A8014">
            <v>45682</v>
          </cell>
          <cell r="B8014" t="str">
            <v>Củ Su Hào</v>
          </cell>
          <cell r="C8014" t="str">
            <v>Kg</v>
          </cell>
          <cell r="D8014">
            <v>11000</v>
          </cell>
        </row>
        <row r="8015">
          <cell r="A8015">
            <v>45682</v>
          </cell>
          <cell r="B8015" t="str">
            <v>Cà Chua Bi Đỏ</v>
          </cell>
          <cell r="C8015" t="str">
            <v>Hộp 300gr</v>
          </cell>
          <cell r="D8015">
            <v>5400</v>
          </cell>
        </row>
        <row r="8016">
          <cell r="A8016">
            <v>45682</v>
          </cell>
          <cell r="B8016" t="str">
            <v>Cà Chua Bi Đỏ</v>
          </cell>
          <cell r="C8016" t="str">
            <v>Hộp 500gr</v>
          </cell>
          <cell r="D8016">
            <v>9000</v>
          </cell>
        </row>
        <row r="8017">
          <cell r="A8017">
            <v>45682</v>
          </cell>
          <cell r="B8017" t="str">
            <v>Ớt Sweet Palemo</v>
          </cell>
          <cell r="C8017" t="str">
            <v>Túi</v>
          </cell>
          <cell r="D8017">
            <v>16000</v>
          </cell>
        </row>
        <row r="8018">
          <cell r="A8018">
            <v>45682</v>
          </cell>
          <cell r="B8018" t="str">
            <v>Cà Rốt Baby</v>
          </cell>
          <cell r="C8018" t="str">
            <v>Vỉ</v>
          </cell>
          <cell r="D8018">
            <v>6000</v>
          </cell>
        </row>
        <row r="8019">
          <cell r="A8019">
            <v>45682</v>
          </cell>
          <cell r="B8019" t="str">
            <v>Cải Kale</v>
          </cell>
          <cell r="C8019" t="str">
            <v>Túi</v>
          </cell>
          <cell r="D8019">
            <v>3600</v>
          </cell>
        </row>
        <row r="8020">
          <cell r="A8020">
            <v>45682</v>
          </cell>
          <cell r="B8020" t="str">
            <v>Cải Kale</v>
          </cell>
          <cell r="C8020" t="str">
            <v>Túi 150gr</v>
          </cell>
          <cell r="D8020">
            <v>2800</v>
          </cell>
        </row>
        <row r="8021">
          <cell r="A8021">
            <v>45682</v>
          </cell>
          <cell r="B8021" t="str">
            <v>Cải Cầu Vồng</v>
          </cell>
          <cell r="C8021" t="str">
            <v>Túi</v>
          </cell>
          <cell r="D8021">
            <v>5000</v>
          </cell>
        </row>
        <row r="8022">
          <cell r="A8022">
            <v>45682</v>
          </cell>
          <cell r="B8022" t="str">
            <v>Lá Mè</v>
          </cell>
          <cell r="C8022" t="str">
            <v>Túi</v>
          </cell>
          <cell r="D8022">
            <v>3600</v>
          </cell>
        </row>
        <row r="8023">
          <cell r="A8023">
            <v>45682</v>
          </cell>
          <cell r="B8023" t="str">
            <v>Dưa Leo Baby</v>
          </cell>
          <cell r="C8023" t="str">
            <v>Vỉ</v>
          </cell>
          <cell r="D8023">
            <v>11000</v>
          </cell>
        </row>
        <row r="8024">
          <cell r="A8024">
            <v>45682</v>
          </cell>
          <cell r="B8024" t="str">
            <v>Củ Cải Đỏ</v>
          </cell>
          <cell r="C8024" t="str">
            <v>Hộp</v>
          </cell>
          <cell r="D8024">
            <v>11000</v>
          </cell>
        </row>
        <row r="8025">
          <cell r="A8025">
            <v>45682</v>
          </cell>
          <cell r="B8025" t="str">
            <v>Bông Cải Xanh Baby</v>
          </cell>
          <cell r="C8025" t="str">
            <v>Vỉ</v>
          </cell>
          <cell r="D8025">
            <v>7000</v>
          </cell>
        </row>
        <row r="8026">
          <cell r="A8026">
            <v>45682</v>
          </cell>
          <cell r="B8026" t="str">
            <v>Xà Lách Lolo Xanh</v>
          </cell>
          <cell r="C8026" t="str">
            <v>Kg</v>
          </cell>
          <cell r="D8026">
            <v>20000</v>
          </cell>
        </row>
        <row r="8027">
          <cell r="A8027">
            <v>45682</v>
          </cell>
          <cell r="B8027" t="str">
            <v>Ớt Sweet Palemo</v>
          </cell>
          <cell r="C8027" t="str">
            <v>Túi</v>
          </cell>
          <cell r="D8027">
            <v>18000</v>
          </cell>
        </row>
        <row r="8028">
          <cell r="A8028">
            <v>45682</v>
          </cell>
          <cell r="B8028" t="str">
            <v>Xà Lách Romaine</v>
          </cell>
          <cell r="C8028" t="str">
            <v>Kg</v>
          </cell>
          <cell r="D8028">
            <v>40000</v>
          </cell>
        </row>
        <row r="8029">
          <cell r="A8029">
            <v>45682</v>
          </cell>
          <cell r="B8029" t="str">
            <v>Xà Lách Lolo Tím</v>
          </cell>
          <cell r="C8029" t="str">
            <v>Kg</v>
          </cell>
          <cell r="D8029">
            <v>20000</v>
          </cell>
        </row>
        <row r="8030">
          <cell r="A8030">
            <v>45682</v>
          </cell>
          <cell r="B8030" t="str">
            <v>Cà Chua Socola</v>
          </cell>
          <cell r="C8030" t="str">
            <v>Hộp 250GR</v>
          </cell>
          <cell r="D8030">
            <v>10000</v>
          </cell>
        </row>
        <row r="8031">
          <cell r="A8031">
            <v>45682</v>
          </cell>
          <cell r="B8031" t="str">
            <v>Cà Chua Thường</v>
          </cell>
          <cell r="C8031" t="str">
            <v>Vỉ</v>
          </cell>
          <cell r="D8031">
            <v>10000</v>
          </cell>
        </row>
        <row r="8032">
          <cell r="A8032">
            <v>45682</v>
          </cell>
          <cell r="B8032" t="str">
            <v>TÚI LƯỚI VÀNG 35CM CỨNG (LƯỚI L200-35CM VÀNG)</v>
          </cell>
          <cell r="C8032" t="str">
            <v>Kg</v>
          </cell>
          <cell r="D8032">
            <v>60000</v>
          </cell>
        </row>
        <row r="8033">
          <cell r="A8033">
            <v>45682</v>
          </cell>
          <cell r="B8033" t="str">
            <v>Dây rút ngắn  (LƯỚI L200 - 35CM ĐỎ)</v>
          </cell>
          <cell r="C8033" t="str">
            <v>Bịch</v>
          </cell>
          <cell r="D8033">
            <v>25000</v>
          </cell>
        </row>
        <row r="8034">
          <cell r="A8034">
            <v>45682</v>
          </cell>
          <cell r="B8034" t="str">
            <v>Dây rút ngắn  (LƯỚI L200 - 35CM ĐỎ)</v>
          </cell>
          <cell r="C8034" t="str">
            <v>Bịch</v>
          </cell>
          <cell r="D8034">
            <v>35000</v>
          </cell>
        </row>
        <row r="8035">
          <cell r="A8035">
            <v>45682</v>
          </cell>
          <cell r="B8035" t="str">
            <v>Cần Tây</v>
          </cell>
          <cell r="C8035" t="str">
            <v>Kg</v>
          </cell>
          <cell r="D8035">
            <v>17000</v>
          </cell>
        </row>
        <row r="8036">
          <cell r="A8036">
            <v>45682</v>
          </cell>
          <cell r="B8036" t="str">
            <v>Cà Chua Socola</v>
          </cell>
          <cell r="C8036" t="str">
            <v>Kg</v>
          </cell>
          <cell r="D8036">
            <v>35000</v>
          </cell>
        </row>
        <row r="8037">
          <cell r="A8037">
            <v>45682</v>
          </cell>
          <cell r="B8037" t="str">
            <v>Xà Lách Mỹ</v>
          </cell>
          <cell r="C8037" t="str">
            <v>Kg</v>
          </cell>
          <cell r="D8037">
            <v>18000</v>
          </cell>
        </row>
        <row r="8038">
          <cell r="A8038">
            <v>45682</v>
          </cell>
          <cell r="B8038" t="str">
            <v>Cải Bó Xôi</v>
          </cell>
          <cell r="C8038" t="str">
            <v>Túi</v>
          </cell>
          <cell r="D8038">
            <v>7200</v>
          </cell>
        </row>
        <row r="8039">
          <cell r="A8039">
            <v>45682</v>
          </cell>
          <cell r="B8039" t="str">
            <v>Cà Chua Beef Chùm</v>
          </cell>
          <cell r="C8039" t="str">
            <v>Kg</v>
          </cell>
          <cell r="D8039">
            <v>22000</v>
          </cell>
        </row>
        <row r="8040">
          <cell r="A8040">
            <v>45682</v>
          </cell>
          <cell r="B8040" t="str">
            <v>Cà Chua Beef</v>
          </cell>
          <cell r="C8040" t="str">
            <v>Kg</v>
          </cell>
          <cell r="D8040">
            <v>20000</v>
          </cell>
        </row>
        <row r="8041">
          <cell r="A8041">
            <v>45682</v>
          </cell>
          <cell r="B8041" t="str">
            <v>Cà Chua Beef Trung</v>
          </cell>
          <cell r="C8041" t="str">
            <v>Kg</v>
          </cell>
          <cell r="D8041">
            <v>18000</v>
          </cell>
        </row>
        <row r="8042">
          <cell r="A8042">
            <v>45682</v>
          </cell>
          <cell r="B8042" t="str">
            <v>Cà Chua Beef Trung</v>
          </cell>
          <cell r="C8042" t="str">
            <v>Vỉ 500gr</v>
          </cell>
          <cell r="D8042">
            <v>10000</v>
          </cell>
        </row>
        <row r="8043">
          <cell r="A8043">
            <v>45682</v>
          </cell>
          <cell r="B8043" t="str">
            <v>Cà Chua Thường</v>
          </cell>
          <cell r="C8043" t="str">
            <v>Kg</v>
          </cell>
          <cell r="D8043">
            <v>17000</v>
          </cell>
        </row>
        <row r="8044">
          <cell r="A8044">
            <v>45682</v>
          </cell>
          <cell r="B8044" t="str">
            <v>Cà Chua Thường Trung</v>
          </cell>
          <cell r="C8044" t="str">
            <v>Kg</v>
          </cell>
          <cell r="D8044">
            <v>13000</v>
          </cell>
        </row>
        <row r="8045">
          <cell r="A8045">
            <v>45682</v>
          </cell>
          <cell r="B8045" t="str">
            <v>Cà Chua Beef Chùm</v>
          </cell>
          <cell r="C8045" t="str">
            <v>Kg</v>
          </cell>
          <cell r="D8045">
            <v>22000</v>
          </cell>
        </row>
        <row r="8046">
          <cell r="A8046">
            <v>45682</v>
          </cell>
          <cell r="B8046" t="str">
            <v>Cà Chua Beef</v>
          </cell>
          <cell r="C8046" t="str">
            <v>Kg</v>
          </cell>
          <cell r="D8046">
            <v>20000</v>
          </cell>
        </row>
        <row r="8047">
          <cell r="A8047">
            <v>45682</v>
          </cell>
          <cell r="B8047" t="str">
            <v>Cà Chua Bi Mix</v>
          </cell>
          <cell r="C8047" t="str">
            <v>Hộp</v>
          </cell>
          <cell r="D8047">
            <v>13500</v>
          </cell>
        </row>
        <row r="8048">
          <cell r="A8048">
            <v>45682</v>
          </cell>
          <cell r="B8048" t="str">
            <v>Cà Chua Socola</v>
          </cell>
          <cell r="C8048" t="str">
            <v>Hộp 300gr</v>
          </cell>
          <cell r="D8048">
            <v>12900</v>
          </cell>
        </row>
        <row r="8049">
          <cell r="A8049">
            <v>45682</v>
          </cell>
          <cell r="B8049" t="str">
            <v>Cải Kale</v>
          </cell>
          <cell r="C8049" t="str">
            <v>Túi</v>
          </cell>
          <cell r="D8049">
            <v>6000</v>
          </cell>
        </row>
        <row r="8050">
          <cell r="A8050">
            <v>45682</v>
          </cell>
          <cell r="B8050" t="str">
            <v>Chanh Không Hạt</v>
          </cell>
          <cell r="C8050" t="str">
            <v>Vỉ</v>
          </cell>
          <cell r="D8050">
            <v>6750</v>
          </cell>
        </row>
        <row r="8051">
          <cell r="A8051">
            <v>45682</v>
          </cell>
          <cell r="B8051" t="str">
            <v>Ớt Chuông Vàng</v>
          </cell>
          <cell r="C8051" t="str">
            <v>Kg</v>
          </cell>
          <cell r="D8051">
            <v>25000</v>
          </cell>
        </row>
        <row r="8052">
          <cell r="A8052">
            <v>45682</v>
          </cell>
          <cell r="B8052" t="str">
            <v>TÚI CAROL</v>
          </cell>
          <cell r="C8052" t="str">
            <v>Kg</v>
          </cell>
          <cell r="D8052">
            <v>52000</v>
          </cell>
        </row>
        <row r="8053">
          <cell r="A8053">
            <v>45683</v>
          </cell>
          <cell r="B8053" t="str">
            <v>DO 0.05S-II</v>
          </cell>
          <cell r="C8053" t="str">
            <v>Lít</v>
          </cell>
          <cell r="D8053">
            <v>18718.18</v>
          </cell>
        </row>
        <row r="8054">
          <cell r="A8054">
            <v>45683</v>
          </cell>
          <cell r="B8054" t="str">
            <v>DO 0.05S-II</v>
          </cell>
          <cell r="C8054" t="str">
            <v>Lít</v>
          </cell>
          <cell r="D8054">
            <v>18718.18</v>
          </cell>
        </row>
        <row r="8055">
          <cell r="A8055">
            <v>45683</v>
          </cell>
          <cell r="B8055" t="str">
            <v>Dầu Do 0.001 S-V</v>
          </cell>
          <cell r="C8055" t="str">
            <v>Lít</v>
          </cell>
          <cell r="D8055">
            <v>19136.36</v>
          </cell>
        </row>
        <row r="8056">
          <cell r="A8056">
            <v>45683</v>
          </cell>
          <cell r="B8056" t="str">
            <v>Cước đường bộ phương tiện 49H00036, Loại 3, tại Định An hiệu lực bắt đầu từ ngày 27/01/2025 đến hết ngày 25/02/2025, mã GD 1585267069109021166</v>
          </cell>
          <cell r="C8056" t="str">
            <v>Lần</v>
          </cell>
          <cell r="D8056">
            <v>1361111</v>
          </cell>
        </row>
        <row r="8057">
          <cell r="A8057">
            <v>45683</v>
          </cell>
          <cell r="B8057" t="str">
            <v>Cước đường bộ phương tiện 49H00036, Loại 3, tại Trạm Liên Đầm hiệu lực bắt đầu từ ngày 27/01/2025 đến hết ngày 25/02/2025, mã GD 1585267069109021710</v>
          </cell>
          <cell r="C8057" t="str">
            <v>Lần</v>
          </cell>
          <cell r="D8057">
            <v>2373148</v>
          </cell>
        </row>
        <row r="8058">
          <cell r="A8058">
            <v>45683</v>
          </cell>
          <cell r="B8058" t="str">
            <v>Ớt Chuông Đỏ</v>
          </cell>
          <cell r="C8058" t="str">
            <v>Kg</v>
          </cell>
          <cell r="D8058">
            <v>34000</v>
          </cell>
        </row>
        <row r="8059">
          <cell r="A8059">
            <v>45683</v>
          </cell>
          <cell r="B8059" t="str">
            <v>Ớt Chuông Vàng</v>
          </cell>
          <cell r="C8059" t="str">
            <v>Kg</v>
          </cell>
          <cell r="D8059">
            <v>26000</v>
          </cell>
        </row>
        <row r="8060">
          <cell r="A8060">
            <v>45683</v>
          </cell>
          <cell r="B8060" t="str">
            <v>Ớt Chuông Xanh</v>
          </cell>
          <cell r="C8060" t="str">
            <v>Kg</v>
          </cell>
          <cell r="D8060">
            <v>31000</v>
          </cell>
        </row>
        <row r="8061">
          <cell r="A8061">
            <v>45683</v>
          </cell>
          <cell r="B8061" t="str">
            <v>Ớt Chuông Vàng Trung</v>
          </cell>
          <cell r="C8061" t="str">
            <v>Kg</v>
          </cell>
          <cell r="D8061">
            <v>21000</v>
          </cell>
        </row>
        <row r="8062">
          <cell r="A8062">
            <v>45683</v>
          </cell>
          <cell r="B8062" t="str">
            <v>Ớt Chuông Xanh Trung</v>
          </cell>
          <cell r="C8062" t="str">
            <v>Kg</v>
          </cell>
          <cell r="D8062">
            <v>26000</v>
          </cell>
        </row>
        <row r="8063">
          <cell r="A8063">
            <v>45683</v>
          </cell>
          <cell r="B8063" t="str">
            <v>Củ Cải Trắng</v>
          </cell>
          <cell r="C8063" t="str">
            <v>Kg</v>
          </cell>
          <cell r="D8063">
            <v>6000</v>
          </cell>
        </row>
        <row r="8064">
          <cell r="A8064">
            <v>45683</v>
          </cell>
          <cell r="B8064" t="str">
            <v>Cải Thảo</v>
          </cell>
          <cell r="C8064" t="str">
            <v>Kg</v>
          </cell>
          <cell r="D8064">
            <v>6500</v>
          </cell>
        </row>
        <row r="8065">
          <cell r="A8065">
            <v>45683</v>
          </cell>
          <cell r="B8065" t="str">
            <v>Cà Rốt</v>
          </cell>
          <cell r="C8065" t="str">
            <v>Kg</v>
          </cell>
          <cell r="D8065">
            <v>10000</v>
          </cell>
        </row>
        <row r="8066">
          <cell r="A8066">
            <v>45683</v>
          </cell>
          <cell r="B8066" t="str">
            <v>Cà Chua Bi Đỏ</v>
          </cell>
          <cell r="C8066" t="str">
            <v>Hộp 300gr</v>
          </cell>
          <cell r="D8066">
            <v>5400</v>
          </cell>
        </row>
        <row r="8067">
          <cell r="A8067">
            <v>45683</v>
          </cell>
          <cell r="B8067" t="str">
            <v>Cà Chua Bi Đỏ</v>
          </cell>
          <cell r="C8067" t="str">
            <v>Hộp 500gr</v>
          </cell>
          <cell r="D8067">
            <v>9000</v>
          </cell>
        </row>
        <row r="8068">
          <cell r="A8068">
            <v>45683</v>
          </cell>
          <cell r="B8068" t="str">
            <v>Dưa Leo Thường</v>
          </cell>
          <cell r="C8068" t="str">
            <v>Kg</v>
          </cell>
          <cell r="D8068">
            <v>30000</v>
          </cell>
        </row>
        <row r="8069">
          <cell r="A8069">
            <v>45683</v>
          </cell>
          <cell r="B8069" t="str">
            <v>Dưa Leo Nhật</v>
          </cell>
          <cell r="C8069" t="str">
            <v>Kg</v>
          </cell>
          <cell r="D8069">
            <v>19000</v>
          </cell>
        </row>
        <row r="8070">
          <cell r="A8070">
            <v>45683</v>
          </cell>
          <cell r="B8070" t="str">
            <v>Đậu Cove Nhật</v>
          </cell>
          <cell r="C8070" t="str">
            <v>Túi</v>
          </cell>
          <cell r="D8070">
            <v>10000</v>
          </cell>
        </row>
        <row r="8071">
          <cell r="A8071">
            <v>45683</v>
          </cell>
          <cell r="B8071" t="str">
            <v>Đậu Cove Trắng</v>
          </cell>
          <cell r="C8071" t="str">
            <v>Túi 500gr</v>
          </cell>
          <cell r="D8071">
            <v>13000</v>
          </cell>
        </row>
        <row r="8072">
          <cell r="A8072">
            <v>45683</v>
          </cell>
          <cell r="B8072" t="str">
            <v>Bắp Cải Trắng</v>
          </cell>
          <cell r="C8072" t="str">
            <v>Kg</v>
          </cell>
          <cell r="D8072">
            <v>5500</v>
          </cell>
        </row>
        <row r="8073">
          <cell r="A8073">
            <v>45683</v>
          </cell>
          <cell r="B8073" t="str">
            <v>Bắp Cải Trái Tim</v>
          </cell>
          <cell r="C8073" t="str">
            <v>Kg</v>
          </cell>
          <cell r="D8073">
            <v>4000</v>
          </cell>
        </row>
        <row r="8074">
          <cell r="A8074">
            <v>45683</v>
          </cell>
          <cell r="B8074" t="str">
            <v>Trái Su Su</v>
          </cell>
          <cell r="C8074" t="str">
            <v>Kg</v>
          </cell>
          <cell r="D8074">
            <v>12000</v>
          </cell>
        </row>
        <row r="8075">
          <cell r="A8075">
            <v>45683</v>
          </cell>
          <cell r="B8075" t="str">
            <v>Lá Nha Đam</v>
          </cell>
          <cell r="C8075" t="str">
            <v>Kg</v>
          </cell>
          <cell r="D8075">
            <v>14000</v>
          </cell>
        </row>
        <row r="8076">
          <cell r="A8076">
            <v>45683</v>
          </cell>
          <cell r="B8076" t="str">
            <v>Bí Đỏ Hồ Lô</v>
          </cell>
          <cell r="C8076" t="str">
            <v>Kg</v>
          </cell>
          <cell r="D8076">
            <v>9500</v>
          </cell>
        </row>
        <row r="8077">
          <cell r="A8077">
            <v>45683</v>
          </cell>
          <cell r="B8077" t="str">
            <v>Chuối Laba</v>
          </cell>
          <cell r="C8077" t="str">
            <v>Kg</v>
          </cell>
          <cell r="D8077">
            <v>14000</v>
          </cell>
        </row>
        <row r="8078">
          <cell r="A8078">
            <v>45683</v>
          </cell>
          <cell r="B8078" t="str">
            <v>Củ Khoai Tây Vàng</v>
          </cell>
          <cell r="C8078" t="str">
            <v>Kg</v>
          </cell>
          <cell r="D8078">
            <v>11000</v>
          </cell>
        </row>
        <row r="8079">
          <cell r="A8079">
            <v>45683</v>
          </cell>
          <cell r="B8079" t="str">
            <v>Củ Khoai Tây Bi Vàng</v>
          </cell>
          <cell r="C8079" t="str">
            <v>Kg</v>
          </cell>
          <cell r="D8079">
            <v>10000</v>
          </cell>
        </row>
        <row r="8080">
          <cell r="A8080">
            <v>45683</v>
          </cell>
          <cell r="B8080" t="str">
            <v>Củ Khoai Tây Vàng Trung</v>
          </cell>
          <cell r="C8080" t="str">
            <v>Kg</v>
          </cell>
          <cell r="D8080">
            <v>14000</v>
          </cell>
        </row>
        <row r="8081">
          <cell r="A8081">
            <v>45683</v>
          </cell>
          <cell r="B8081" t="str">
            <v>Củ Cải Trắng</v>
          </cell>
          <cell r="C8081" t="str">
            <v>Kg</v>
          </cell>
          <cell r="D8081">
            <v>6000</v>
          </cell>
        </row>
        <row r="8082">
          <cell r="A8082">
            <v>45683</v>
          </cell>
          <cell r="B8082" t="str">
            <v>Cà Rốt</v>
          </cell>
          <cell r="C8082" t="str">
            <v>Kg</v>
          </cell>
          <cell r="D8082">
            <v>10000</v>
          </cell>
        </row>
        <row r="8083">
          <cell r="A8083">
            <v>45683</v>
          </cell>
          <cell r="B8083" t="str">
            <v>Hành Paro</v>
          </cell>
          <cell r="C8083" t="str">
            <v>Kg</v>
          </cell>
          <cell r="D8083">
            <v>20000</v>
          </cell>
        </row>
        <row r="8084">
          <cell r="A8084">
            <v>45683</v>
          </cell>
          <cell r="B8084" t="str">
            <v>Củ Khoai Lang Nhật</v>
          </cell>
          <cell r="C8084" t="str">
            <v>Kg</v>
          </cell>
          <cell r="D8084">
            <v>17255</v>
          </cell>
        </row>
        <row r="8085">
          <cell r="A8085">
            <v>45683</v>
          </cell>
          <cell r="B8085" t="str">
            <v>Củ Su Hào</v>
          </cell>
          <cell r="C8085" t="str">
            <v>Kg</v>
          </cell>
          <cell r="D8085">
            <v>11000</v>
          </cell>
        </row>
        <row r="8086">
          <cell r="A8086">
            <v>45683</v>
          </cell>
          <cell r="B8086" t="str">
            <v>Trái Bưởi Diễn</v>
          </cell>
          <cell r="C8086" t="str">
            <v>Trái</v>
          </cell>
          <cell r="D8086">
            <v>9000</v>
          </cell>
        </row>
        <row r="8087">
          <cell r="A8087">
            <v>45683</v>
          </cell>
          <cell r="B8087" t="str">
            <v>Xà Lách Mỡ T.C</v>
          </cell>
          <cell r="C8087" t="str">
            <v>Kg</v>
          </cell>
          <cell r="D8087">
            <v>24000</v>
          </cell>
        </row>
        <row r="8088">
          <cell r="A8088">
            <v>45683</v>
          </cell>
          <cell r="B8088" t="str">
            <v>Xà Lách Lolo Xanh T.C</v>
          </cell>
          <cell r="C8088" t="str">
            <v>Kg</v>
          </cell>
          <cell r="D8088">
            <v>25000</v>
          </cell>
        </row>
        <row r="8089">
          <cell r="A8089">
            <v>45683</v>
          </cell>
          <cell r="B8089" t="str">
            <v>Xà Lách Thủy Tinh T.C Cây</v>
          </cell>
          <cell r="C8089" t="str">
            <v>Cây</v>
          </cell>
          <cell r="D8089">
            <v>7000</v>
          </cell>
        </row>
        <row r="8090">
          <cell r="A8090">
            <v>45683</v>
          </cell>
          <cell r="B8090" t="str">
            <v>Dưa Leo Baby</v>
          </cell>
          <cell r="C8090" t="str">
            <v>Vỉ</v>
          </cell>
          <cell r="D8090">
            <v>6500</v>
          </cell>
        </row>
        <row r="8091">
          <cell r="A8091">
            <v>45683</v>
          </cell>
          <cell r="B8091" t="str">
            <v>Dưa Leo Baby</v>
          </cell>
          <cell r="C8091" t="str">
            <v>Vỉ</v>
          </cell>
          <cell r="D8091">
            <v>8500</v>
          </cell>
        </row>
        <row r="8092">
          <cell r="A8092">
            <v>45683</v>
          </cell>
          <cell r="B8092" t="str">
            <v>Củ Gừng</v>
          </cell>
          <cell r="C8092" t="str">
            <v>Kg</v>
          </cell>
          <cell r="D8092">
            <v>18000</v>
          </cell>
        </row>
        <row r="8093">
          <cell r="A8093">
            <v>45683</v>
          </cell>
          <cell r="B8093" t="str">
            <v>Củ Khoai Mỡ</v>
          </cell>
          <cell r="C8093" t="str">
            <v>Kg</v>
          </cell>
          <cell r="D8093">
            <v>24000</v>
          </cell>
        </row>
        <row r="8094">
          <cell r="A8094">
            <v>45683</v>
          </cell>
          <cell r="B8094" t="str">
            <v>Bí Non Nhật</v>
          </cell>
          <cell r="C8094" t="str">
            <v>Kg</v>
          </cell>
          <cell r="D8094">
            <v>10000</v>
          </cell>
        </row>
        <row r="8095">
          <cell r="A8095">
            <v>45683</v>
          </cell>
          <cell r="B8095" t="str">
            <v>Cà Tím</v>
          </cell>
          <cell r="C8095" t="str">
            <v>Kg</v>
          </cell>
          <cell r="D8095">
            <v>8000</v>
          </cell>
        </row>
        <row r="8096">
          <cell r="A8096">
            <v>45683</v>
          </cell>
          <cell r="B8096" t="str">
            <v>Bí Đao Xanh</v>
          </cell>
          <cell r="C8096" t="str">
            <v>Kg</v>
          </cell>
          <cell r="D8096">
            <v>10000</v>
          </cell>
        </row>
        <row r="8097">
          <cell r="A8097">
            <v>45683</v>
          </cell>
          <cell r="B8097" t="str">
            <v>Xà Lách Mỡ T.C</v>
          </cell>
          <cell r="C8097" t="str">
            <v>Kg</v>
          </cell>
          <cell r="D8097">
            <v>26000</v>
          </cell>
        </row>
        <row r="8098">
          <cell r="A8098">
            <v>45683</v>
          </cell>
          <cell r="B8098" t="str">
            <v>Xà Lách Thủy Tinh T.C Cây</v>
          </cell>
          <cell r="C8098" t="str">
            <v>Cây</v>
          </cell>
          <cell r="D8098">
            <v>7500</v>
          </cell>
        </row>
        <row r="8099">
          <cell r="A8099">
            <v>45683</v>
          </cell>
          <cell r="B8099" t="str">
            <v>Cà Chua Thường</v>
          </cell>
          <cell r="C8099" t="str">
            <v>Kg</v>
          </cell>
          <cell r="D8099">
            <v>22000</v>
          </cell>
        </row>
        <row r="8100">
          <cell r="A8100">
            <v>45683</v>
          </cell>
          <cell r="B8100" t="str">
            <v>Cà Chua Thường Trung</v>
          </cell>
          <cell r="C8100" t="str">
            <v>Kg</v>
          </cell>
          <cell r="D8100">
            <v>16000</v>
          </cell>
        </row>
        <row r="8101">
          <cell r="A8101">
            <v>45683</v>
          </cell>
          <cell r="B8101" t="str">
            <v>Củ Khoai Lang Nhật</v>
          </cell>
          <cell r="C8101" t="str">
            <v>Kg</v>
          </cell>
          <cell r="D8101">
            <v>17000</v>
          </cell>
        </row>
        <row r="8102">
          <cell r="A8102">
            <v>45683</v>
          </cell>
          <cell r="B8102" t="str">
            <v>Bắp Cải Trắng</v>
          </cell>
          <cell r="C8102" t="str">
            <v>Kg</v>
          </cell>
          <cell r="D8102">
            <v>6000</v>
          </cell>
        </row>
        <row r="8103">
          <cell r="A8103">
            <v>45683</v>
          </cell>
          <cell r="B8103" t="str">
            <v>Rau Bầu Đất</v>
          </cell>
          <cell r="C8103" t="str">
            <v>Kg</v>
          </cell>
          <cell r="D8103">
            <v>35000</v>
          </cell>
        </row>
        <row r="8104">
          <cell r="A8104">
            <v>45683</v>
          </cell>
          <cell r="B8104" t="str">
            <v>Xà Lách Lolo Xanh</v>
          </cell>
          <cell r="C8104" t="str">
            <v>Kg</v>
          </cell>
          <cell r="D8104">
            <v>24000</v>
          </cell>
        </row>
        <row r="8105">
          <cell r="A8105">
            <v>45683</v>
          </cell>
          <cell r="B8105" t="str">
            <v>Củ Hành Tây</v>
          </cell>
          <cell r="C8105" t="str">
            <v>Kg</v>
          </cell>
          <cell r="D8105">
            <v>9000</v>
          </cell>
        </row>
        <row r="8106">
          <cell r="A8106">
            <v>45683</v>
          </cell>
          <cell r="B8106" t="str">
            <v>Củ Hành Tây Trung</v>
          </cell>
          <cell r="C8106" t="str">
            <v>Kg</v>
          </cell>
          <cell r="D8106">
            <v>7000</v>
          </cell>
        </row>
        <row r="8107">
          <cell r="A8107">
            <v>45683</v>
          </cell>
          <cell r="B8107" t="str">
            <v>Cà Chua Beef</v>
          </cell>
          <cell r="C8107" t="str">
            <v>Kg</v>
          </cell>
          <cell r="D8107">
            <v>23000</v>
          </cell>
        </row>
        <row r="8108">
          <cell r="A8108">
            <v>45683</v>
          </cell>
          <cell r="B8108" t="str">
            <v>Bông Cải Trắng</v>
          </cell>
          <cell r="C8108" t="str">
            <v>Kg</v>
          </cell>
          <cell r="D8108">
            <v>12000</v>
          </cell>
        </row>
        <row r="8109">
          <cell r="A8109">
            <v>45683</v>
          </cell>
          <cell r="B8109" t="str">
            <v>Bắp Cải Trái Tim</v>
          </cell>
          <cell r="C8109" t="str">
            <v>Kg</v>
          </cell>
          <cell r="D8109">
            <v>4000</v>
          </cell>
        </row>
        <row r="8110">
          <cell r="A8110">
            <v>45683</v>
          </cell>
          <cell r="B8110" t="str">
            <v>Bông Cải Xanh 7Cm</v>
          </cell>
          <cell r="C8110" t="str">
            <v>Kg</v>
          </cell>
          <cell r="D8110">
            <v>17000</v>
          </cell>
        </row>
        <row r="8111">
          <cell r="A8111">
            <v>45683</v>
          </cell>
          <cell r="B8111" t="str">
            <v>Ớt Chuông Baby</v>
          </cell>
          <cell r="C8111" t="str">
            <v>Kg</v>
          </cell>
          <cell r="D8111">
            <v>50000</v>
          </cell>
        </row>
        <row r="8112">
          <cell r="A8112">
            <v>45683</v>
          </cell>
          <cell r="B8112" t="str">
            <v>Ớt Sweet Palemo</v>
          </cell>
          <cell r="C8112" t="str">
            <v>Túi</v>
          </cell>
          <cell r="D8112">
            <v>18000</v>
          </cell>
        </row>
        <row r="8113">
          <cell r="A8113">
            <v>45683</v>
          </cell>
          <cell r="B8113" t="str">
            <v>Hành Paro</v>
          </cell>
          <cell r="C8113" t="str">
            <v>Kg</v>
          </cell>
          <cell r="D8113">
            <v>15000</v>
          </cell>
        </row>
        <row r="8114">
          <cell r="A8114">
            <v>45683</v>
          </cell>
          <cell r="B8114" t="str">
            <v>Xà Lách Lolo Xanh T.C Cây</v>
          </cell>
          <cell r="C8114" t="str">
            <v>Cây</v>
          </cell>
          <cell r="D8114">
            <v>6800</v>
          </cell>
        </row>
        <row r="8115">
          <cell r="A8115">
            <v>45683</v>
          </cell>
          <cell r="B8115" t="str">
            <v>Xà Lách Thủy Tinh T.C Cây</v>
          </cell>
          <cell r="C8115" t="str">
            <v>Cây</v>
          </cell>
          <cell r="D8115">
            <v>6800</v>
          </cell>
        </row>
        <row r="8116">
          <cell r="A8116">
            <v>45683</v>
          </cell>
          <cell r="B8116" t="str">
            <v>Xà Lách Thủy Tinh T.C</v>
          </cell>
          <cell r="C8116" t="str">
            <v>Kg</v>
          </cell>
          <cell r="D8116">
            <v>30000</v>
          </cell>
        </row>
        <row r="8117">
          <cell r="A8117">
            <v>45683</v>
          </cell>
          <cell r="B8117" t="str">
            <v>Ớt Sweet Palemo</v>
          </cell>
          <cell r="C8117" t="str">
            <v>Túi</v>
          </cell>
          <cell r="D8117">
            <v>16000</v>
          </cell>
        </row>
        <row r="8118">
          <cell r="A8118">
            <v>45683</v>
          </cell>
          <cell r="B8118" t="str">
            <v>Bắp Cải Tím</v>
          </cell>
          <cell r="C8118" t="str">
            <v>Kg</v>
          </cell>
          <cell r="D8118">
            <v>8000</v>
          </cell>
        </row>
        <row r="8119">
          <cell r="A8119">
            <v>45683</v>
          </cell>
          <cell r="B8119" t="str">
            <v>Bông Cải Xanh 12Cm</v>
          </cell>
          <cell r="C8119" t="str">
            <v>Kg</v>
          </cell>
          <cell r="D8119">
            <v>10000</v>
          </cell>
        </row>
        <row r="8120">
          <cell r="A8120">
            <v>45683</v>
          </cell>
          <cell r="B8120" t="str">
            <v>Cà Chua Beef</v>
          </cell>
          <cell r="C8120" t="str">
            <v>Kg</v>
          </cell>
          <cell r="D8120">
            <v>19000</v>
          </cell>
        </row>
        <row r="8121">
          <cell r="A8121">
            <v>45683</v>
          </cell>
          <cell r="B8121" t="str">
            <v>Dưa Leo Baby</v>
          </cell>
          <cell r="C8121" t="str">
            <v>Kg</v>
          </cell>
          <cell r="D8121">
            <v>9500</v>
          </cell>
        </row>
        <row r="8122">
          <cell r="A8122">
            <v>45683</v>
          </cell>
          <cell r="B8122" t="str">
            <v>Trái Su Su</v>
          </cell>
          <cell r="C8122" t="str">
            <v>Kg</v>
          </cell>
          <cell r="D8122">
            <v>6000</v>
          </cell>
        </row>
        <row r="8123">
          <cell r="A8123">
            <v>45683</v>
          </cell>
          <cell r="B8123" t="str">
            <v>Gia Công Rau Củ Quả</v>
          </cell>
          <cell r="C8123" t="str">
            <v>Kg</v>
          </cell>
          <cell r="D8123">
            <v>700</v>
          </cell>
        </row>
        <row r="8124">
          <cell r="A8124">
            <v>45683</v>
          </cell>
          <cell r="B8124" t="str">
            <v>Gia Công Rau Củ Quả</v>
          </cell>
          <cell r="C8124" t="str">
            <v>Kg</v>
          </cell>
          <cell r="D8124">
            <v>700</v>
          </cell>
        </row>
        <row r="8125">
          <cell r="A8125">
            <v>45683</v>
          </cell>
          <cell r="B8125" t="str">
            <v>Trái Su Su</v>
          </cell>
          <cell r="C8125" t="str">
            <v>Kg</v>
          </cell>
          <cell r="D8125">
            <v>6000</v>
          </cell>
        </row>
        <row r="8126">
          <cell r="A8126">
            <v>45683</v>
          </cell>
          <cell r="B8126" t="str">
            <v>Cải Bó Xôi</v>
          </cell>
          <cell r="C8126" t="str">
            <v>Kg</v>
          </cell>
          <cell r="D8126">
            <v>22000</v>
          </cell>
        </row>
        <row r="8127">
          <cell r="A8127">
            <v>45683</v>
          </cell>
          <cell r="B8127" t="str">
            <v>Bông Cải Xanh 7Cm</v>
          </cell>
          <cell r="C8127" t="str">
            <v>Kg</v>
          </cell>
          <cell r="D8127">
            <v>25000</v>
          </cell>
        </row>
        <row r="8128">
          <cell r="A8128">
            <v>45683</v>
          </cell>
          <cell r="B8128" t="str">
            <v>Cần Tây</v>
          </cell>
          <cell r="C8128" t="str">
            <v>Kg</v>
          </cell>
          <cell r="D8128">
            <v>14000</v>
          </cell>
        </row>
        <row r="8129">
          <cell r="A8129">
            <v>45683</v>
          </cell>
          <cell r="B8129" t="str">
            <v>Cần Tây</v>
          </cell>
          <cell r="C8129" t="str">
            <v>Kg</v>
          </cell>
          <cell r="D8129">
            <v>16000</v>
          </cell>
        </row>
        <row r="8130">
          <cell r="A8130">
            <v>45683</v>
          </cell>
          <cell r="B8130" t="str">
            <v>Cà Chua Socola</v>
          </cell>
          <cell r="C8130" t="str">
            <v>Kg</v>
          </cell>
          <cell r="D8130">
            <v>33000</v>
          </cell>
        </row>
        <row r="8131">
          <cell r="A8131">
            <v>45683</v>
          </cell>
          <cell r="B8131" t="str">
            <v>Bông Cải Xanh 7Cm</v>
          </cell>
          <cell r="C8131" t="str">
            <v>Kg</v>
          </cell>
          <cell r="D8131">
            <v>26000</v>
          </cell>
        </row>
        <row r="8132">
          <cell r="A8132">
            <v>45683</v>
          </cell>
          <cell r="B8132" t="str">
            <v>Bông Cải Xanh 12Cm</v>
          </cell>
          <cell r="C8132" t="str">
            <v>Kg</v>
          </cell>
          <cell r="D8132">
            <v>10000</v>
          </cell>
        </row>
        <row r="8133">
          <cell r="A8133">
            <v>45683</v>
          </cell>
          <cell r="B8133" t="str">
            <v>Bông Cải Xanh 12Cm</v>
          </cell>
          <cell r="C8133" t="str">
            <v>Kg</v>
          </cell>
          <cell r="D8133">
            <v>18000</v>
          </cell>
        </row>
        <row r="8134">
          <cell r="A8134">
            <v>45683</v>
          </cell>
          <cell r="B8134" t="str">
            <v>Bông Cải Xanh 7Cm</v>
          </cell>
          <cell r="C8134" t="str">
            <v>Kg</v>
          </cell>
          <cell r="D8134">
            <v>29000</v>
          </cell>
        </row>
        <row r="8135">
          <cell r="A8135">
            <v>45683</v>
          </cell>
          <cell r="B8135" t="str">
            <v>Bông Cải Xanh 7Cm</v>
          </cell>
          <cell r="C8135" t="str">
            <v>Kg</v>
          </cell>
          <cell r="D8135">
            <v>29000</v>
          </cell>
        </row>
        <row r="8136">
          <cell r="A8136">
            <v>45683</v>
          </cell>
          <cell r="B8136" t="str">
            <v>Bí Ngòi Xanh</v>
          </cell>
          <cell r="C8136" t="str">
            <v>Kg</v>
          </cell>
          <cell r="D8136">
            <v>8000</v>
          </cell>
        </row>
        <row r="8137">
          <cell r="A8137">
            <v>45683</v>
          </cell>
          <cell r="B8137" t="str">
            <v>Củ Dền</v>
          </cell>
          <cell r="C8137" t="str">
            <v>Kg</v>
          </cell>
          <cell r="D8137">
            <v>11000</v>
          </cell>
        </row>
        <row r="8138">
          <cell r="A8138">
            <v>45683</v>
          </cell>
          <cell r="B8138" t="str">
            <v>Bông Cải Xanh 7Cm</v>
          </cell>
          <cell r="C8138" t="str">
            <v>Kg</v>
          </cell>
          <cell r="D8138">
            <v>29000</v>
          </cell>
        </row>
        <row r="8139">
          <cell r="A8139">
            <v>45683</v>
          </cell>
          <cell r="B8139" t="str">
            <v>Cà Chua Beef</v>
          </cell>
          <cell r="C8139" t="str">
            <v>Kg</v>
          </cell>
          <cell r="D8139">
            <v>20000</v>
          </cell>
        </row>
        <row r="8140">
          <cell r="A8140">
            <v>45683</v>
          </cell>
          <cell r="B8140" t="str">
            <v>Cà Chua Beef Trung</v>
          </cell>
          <cell r="C8140" t="str">
            <v>Kg</v>
          </cell>
          <cell r="D8140">
            <v>20000</v>
          </cell>
        </row>
        <row r="8141">
          <cell r="A8141">
            <v>45683</v>
          </cell>
          <cell r="B8141" t="str">
            <v>Cà Chua Beef Trung</v>
          </cell>
          <cell r="C8141" t="str">
            <v>Vỉ 500gr</v>
          </cell>
          <cell r="D8141">
            <v>10000</v>
          </cell>
        </row>
        <row r="8142">
          <cell r="A8142">
            <v>45683</v>
          </cell>
          <cell r="B8142" t="str">
            <v>Cà Chua Bi Mix</v>
          </cell>
          <cell r="C8142" t="str">
            <v>Hộp</v>
          </cell>
          <cell r="D8142">
            <v>13500</v>
          </cell>
        </row>
        <row r="8143">
          <cell r="A8143">
            <v>45683</v>
          </cell>
          <cell r="B8143" t="str">
            <v>Cải Kale</v>
          </cell>
          <cell r="C8143" t="str">
            <v>Túi</v>
          </cell>
          <cell r="D8143">
            <v>6000</v>
          </cell>
        </row>
        <row r="8144">
          <cell r="A8144">
            <v>45683</v>
          </cell>
          <cell r="B8144" t="str">
            <v>Cải Bó Xôi</v>
          </cell>
          <cell r="C8144" t="str">
            <v>Túi</v>
          </cell>
          <cell r="D8144">
            <v>7200</v>
          </cell>
        </row>
        <row r="8145">
          <cell r="A8145">
            <v>45683</v>
          </cell>
          <cell r="B8145" t="str">
            <v>Cà Chua Beef</v>
          </cell>
          <cell r="C8145" t="str">
            <v>Vỉ 650gr</v>
          </cell>
          <cell r="D8145">
            <v>16250</v>
          </cell>
        </row>
        <row r="8146">
          <cell r="A8146">
            <v>45683</v>
          </cell>
          <cell r="B8146" t="str">
            <v>Cà Chua Beef Trung</v>
          </cell>
          <cell r="C8146" t="str">
            <v>Vỉ 500gr</v>
          </cell>
          <cell r="D8146">
            <v>10000</v>
          </cell>
        </row>
        <row r="8147">
          <cell r="A8147">
            <v>45683</v>
          </cell>
          <cell r="B8147" t="str">
            <v>Lá Mè</v>
          </cell>
          <cell r="C8147" t="str">
            <v>Túi</v>
          </cell>
          <cell r="D8147">
            <v>3800</v>
          </cell>
        </row>
        <row r="8148">
          <cell r="A8148">
            <v>45683</v>
          </cell>
          <cell r="B8148" t="str">
            <v>Dưa Leo Baby</v>
          </cell>
          <cell r="C8148" t="str">
            <v>Vỉ</v>
          </cell>
          <cell r="D8148">
            <v>13000</v>
          </cell>
        </row>
        <row r="8149">
          <cell r="A8149">
            <v>45683</v>
          </cell>
          <cell r="B8149" t="str">
            <v>Cà Rốt Baby</v>
          </cell>
          <cell r="C8149" t="str">
            <v>Vỉ</v>
          </cell>
          <cell r="D8149">
            <v>7000</v>
          </cell>
        </row>
        <row r="8150">
          <cell r="A8150">
            <v>45683</v>
          </cell>
          <cell r="B8150" t="str">
            <v>Cải Cầu Vồng</v>
          </cell>
          <cell r="C8150" t="str">
            <v>Túi</v>
          </cell>
          <cell r="D8150">
            <v>6000</v>
          </cell>
        </row>
        <row r="8151">
          <cell r="A8151">
            <v>45683</v>
          </cell>
          <cell r="B8151" t="str">
            <v>Cà Chua Beef</v>
          </cell>
          <cell r="C8151" t="str">
            <v>Kg</v>
          </cell>
          <cell r="D8151">
            <v>20000</v>
          </cell>
        </row>
        <row r="8152">
          <cell r="A8152">
            <v>45683</v>
          </cell>
          <cell r="B8152" t="str">
            <v>Bông Cải Xanh Baby</v>
          </cell>
          <cell r="C8152" t="str">
            <v>Vỉ</v>
          </cell>
          <cell r="D8152">
            <v>8000</v>
          </cell>
        </row>
        <row r="8153">
          <cell r="A8153">
            <v>45683</v>
          </cell>
          <cell r="B8153" t="str">
            <v>Củ Cải Đỏ</v>
          </cell>
          <cell r="C8153" t="str">
            <v>Hộp</v>
          </cell>
          <cell r="D8153">
            <v>12000</v>
          </cell>
        </row>
        <row r="8154">
          <cell r="A8154">
            <v>45683</v>
          </cell>
          <cell r="B8154" t="str">
            <v>Xà Lách Lolo Xanh</v>
          </cell>
          <cell r="C8154" t="str">
            <v>Kg</v>
          </cell>
          <cell r="D8154">
            <v>25000</v>
          </cell>
        </row>
        <row r="8155">
          <cell r="A8155">
            <v>45683</v>
          </cell>
          <cell r="B8155" t="str">
            <v>Cà Chua Socola</v>
          </cell>
          <cell r="C8155" t="str">
            <v>Hộp 250GR</v>
          </cell>
          <cell r="D8155">
            <v>10500</v>
          </cell>
        </row>
        <row r="8156">
          <cell r="A8156">
            <v>45683</v>
          </cell>
          <cell r="B8156" t="str">
            <v>Xà Lách Lolo Xanh</v>
          </cell>
          <cell r="C8156" t="str">
            <v>Kg</v>
          </cell>
          <cell r="D8156">
            <v>22000</v>
          </cell>
        </row>
        <row r="8157">
          <cell r="A8157">
            <v>45683</v>
          </cell>
          <cell r="B8157" t="str">
            <v>Ớt Sweet Palemo</v>
          </cell>
          <cell r="C8157" t="str">
            <v>Túi</v>
          </cell>
          <cell r="D8157">
            <v>20000</v>
          </cell>
        </row>
        <row r="8158">
          <cell r="A8158">
            <v>45684</v>
          </cell>
          <cell r="B8158" t="str">
            <v>Dầu Do 0.001 S-V</v>
          </cell>
          <cell r="C8158" t="str">
            <v>Lít</v>
          </cell>
          <cell r="D8158">
            <v>19136.36</v>
          </cell>
        </row>
        <row r="8159">
          <cell r="A8159">
            <v>45684</v>
          </cell>
          <cell r="B8159" t="str">
            <v>Phí dịch vụ cung ứng lao động tháng 1/2025</v>
          </cell>
          <cell r="C8159" t="str">
            <v>Tháng</v>
          </cell>
          <cell r="D8159">
            <v>0</v>
          </cell>
        </row>
        <row r="8160">
          <cell r="A8160">
            <v>45684</v>
          </cell>
          <cell r="B8160" t="str">
            <v>DO 0.05S-II</v>
          </cell>
          <cell r="C8160" t="str">
            <v>Lít</v>
          </cell>
          <cell r="D8160">
            <v>18718.18</v>
          </cell>
        </row>
        <row r="8161">
          <cell r="A8161">
            <v>45684</v>
          </cell>
          <cell r="B8161" t="str">
            <v>Cải Bó Xôi</v>
          </cell>
          <cell r="C8161" t="str">
            <v>Kg</v>
          </cell>
          <cell r="D8161">
            <v>22000</v>
          </cell>
        </row>
        <row r="8162">
          <cell r="A8162">
            <v>45684</v>
          </cell>
          <cell r="B8162" t="str">
            <v>Bông Cải Xanh 7Cm</v>
          </cell>
          <cell r="C8162" t="str">
            <v>Kg</v>
          </cell>
          <cell r="D8162">
            <v>29000</v>
          </cell>
        </row>
        <row r="8163">
          <cell r="A8163">
            <v>45684</v>
          </cell>
          <cell r="B8163" t="str">
            <v>Bông Cải Xanh 7Cm</v>
          </cell>
          <cell r="C8163" t="str">
            <v>Kg</v>
          </cell>
          <cell r="D8163">
            <v>29000</v>
          </cell>
        </row>
        <row r="8164">
          <cell r="A8164">
            <v>45684</v>
          </cell>
          <cell r="B8164" t="str">
            <v>Bông Cải Xanh 7Cm</v>
          </cell>
          <cell r="C8164" t="str">
            <v>Kg</v>
          </cell>
          <cell r="D8164">
            <v>25000</v>
          </cell>
        </row>
        <row r="8165">
          <cell r="A8165">
            <v>45684</v>
          </cell>
          <cell r="B8165" t="str">
            <v>Bông Cải Trắng</v>
          </cell>
          <cell r="C8165" t="str">
            <v>Kg</v>
          </cell>
          <cell r="D8165">
            <v>12000</v>
          </cell>
        </row>
        <row r="8166">
          <cell r="A8166">
            <v>45684</v>
          </cell>
          <cell r="B8166" t="str">
            <v>Bắp Cải Tím</v>
          </cell>
          <cell r="C8166" t="str">
            <v>Kg</v>
          </cell>
          <cell r="D8166">
            <v>8000</v>
          </cell>
        </row>
        <row r="8167">
          <cell r="A8167">
            <v>45684</v>
          </cell>
          <cell r="B8167" t="str">
            <v>Bông Cải Xanh 7Cm</v>
          </cell>
          <cell r="C8167" t="str">
            <v>Kg</v>
          </cell>
          <cell r="D8167">
            <v>17000</v>
          </cell>
        </row>
        <row r="8168">
          <cell r="A8168">
            <v>45684</v>
          </cell>
          <cell r="B8168" t="str">
            <v>Cà Chua Beef</v>
          </cell>
          <cell r="C8168" t="str">
            <v>Kg</v>
          </cell>
          <cell r="D8168">
            <v>16000</v>
          </cell>
        </row>
        <row r="8169">
          <cell r="A8169">
            <v>45684</v>
          </cell>
          <cell r="B8169" t="str">
            <v>Củ Hành Tây</v>
          </cell>
          <cell r="C8169" t="str">
            <v>Kg</v>
          </cell>
          <cell r="D8169">
            <v>10000</v>
          </cell>
        </row>
        <row r="8170">
          <cell r="A8170">
            <v>45684</v>
          </cell>
          <cell r="B8170" t="str">
            <v>Bông Cải Xanh 7Cm</v>
          </cell>
          <cell r="C8170" t="str">
            <v>Kg</v>
          </cell>
          <cell r="D8170">
            <v>15000</v>
          </cell>
        </row>
        <row r="8171">
          <cell r="A8171">
            <v>45684</v>
          </cell>
          <cell r="B8171" t="str">
            <v>Bắp Cải Trắng</v>
          </cell>
          <cell r="C8171" t="str">
            <v>Kg</v>
          </cell>
          <cell r="D8171">
            <v>5500</v>
          </cell>
        </row>
        <row r="8172">
          <cell r="A8172">
            <v>45684</v>
          </cell>
          <cell r="B8172" t="str">
            <v>Hành Paro</v>
          </cell>
          <cell r="C8172" t="str">
            <v>Kg</v>
          </cell>
          <cell r="D8172">
            <v>15000</v>
          </cell>
        </row>
        <row r="8173">
          <cell r="A8173">
            <v>45684</v>
          </cell>
          <cell r="B8173" t="str">
            <v>Bí Ngòi Xanh</v>
          </cell>
          <cell r="C8173" t="str">
            <v>Kg</v>
          </cell>
          <cell r="D8173">
            <v>13000</v>
          </cell>
        </row>
        <row r="8174">
          <cell r="A8174">
            <v>45684</v>
          </cell>
          <cell r="B8174" t="str">
            <v>Dưa Leo Baby</v>
          </cell>
          <cell r="C8174" t="str">
            <v>Vỉ</v>
          </cell>
          <cell r="D8174">
            <v>6500</v>
          </cell>
        </row>
        <row r="8175">
          <cell r="A8175">
            <v>45684</v>
          </cell>
          <cell r="B8175" t="str">
            <v>Dưa Leo Baby</v>
          </cell>
          <cell r="C8175" t="str">
            <v>Vỉ</v>
          </cell>
          <cell r="D8175">
            <v>8500</v>
          </cell>
        </row>
        <row r="8176">
          <cell r="A8176">
            <v>45684</v>
          </cell>
          <cell r="B8176" t="str">
            <v>Xà Lách Mỡ T.C</v>
          </cell>
          <cell r="C8176" t="str">
            <v>Kg</v>
          </cell>
          <cell r="D8176">
            <v>26000</v>
          </cell>
        </row>
        <row r="8177">
          <cell r="A8177">
            <v>45684</v>
          </cell>
          <cell r="B8177" t="str">
            <v>Xà Lách Thủy Tinh T.C Cây</v>
          </cell>
          <cell r="C8177" t="str">
            <v>Cây</v>
          </cell>
          <cell r="D8177">
            <v>7500</v>
          </cell>
        </row>
        <row r="8178">
          <cell r="A8178">
            <v>45684</v>
          </cell>
          <cell r="B8178" t="str">
            <v>Ớt Chuông Baby</v>
          </cell>
          <cell r="C8178" t="str">
            <v>Kg</v>
          </cell>
          <cell r="D8178">
            <v>55000</v>
          </cell>
        </row>
        <row r="8179">
          <cell r="A8179">
            <v>45684</v>
          </cell>
          <cell r="B8179" t="str">
            <v>Ớt Sweet Palemo</v>
          </cell>
          <cell r="C8179" t="str">
            <v>Túi</v>
          </cell>
          <cell r="D8179">
            <v>18000</v>
          </cell>
        </row>
        <row r="8180">
          <cell r="A8180">
            <v>45684</v>
          </cell>
          <cell r="B8180" t="str">
            <v>Bắp Cải Trắng</v>
          </cell>
          <cell r="C8180" t="str">
            <v>Kg</v>
          </cell>
          <cell r="D8180">
            <v>6000</v>
          </cell>
        </row>
        <row r="8181">
          <cell r="A8181">
            <v>45684</v>
          </cell>
          <cell r="B8181" t="str">
            <v>Dưa Leo Nhật</v>
          </cell>
          <cell r="C8181" t="str">
            <v>Kg</v>
          </cell>
          <cell r="D8181">
            <v>18000</v>
          </cell>
        </row>
        <row r="8182">
          <cell r="A8182">
            <v>45684</v>
          </cell>
          <cell r="B8182" t="str">
            <v>Cà Chua Beef</v>
          </cell>
          <cell r="C8182" t="str">
            <v>Kg</v>
          </cell>
          <cell r="D8182">
            <v>23000</v>
          </cell>
        </row>
        <row r="8183">
          <cell r="A8183">
            <v>45684</v>
          </cell>
          <cell r="B8183" t="str">
            <v>Cà Chua Beef Trung</v>
          </cell>
          <cell r="C8183" t="str">
            <v>Kg</v>
          </cell>
          <cell r="D8183">
            <v>18000</v>
          </cell>
        </row>
        <row r="8184">
          <cell r="A8184">
            <v>45684</v>
          </cell>
          <cell r="B8184" t="str">
            <v>Cần Tây</v>
          </cell>
          <cell r="C8184" t="str">
            <v>Kg</v>
          </cell>
          <cell r="D8184">
            <v>18000</v>
          </cell>
        </row>
        <row r="8185">
          <cell r="A8185">
            <v>45684</v>
          </cell>
          <cell r="B8185" t="str">
            <v>Cà Chua Beef</v>
          </cell>
          <cell r="C8185" t="str">
            <v>Kg</v>
          </cell>
          <cell r="D8185">
            <v>22000</v>
          </cell>
        </row>
        <row r="8186">
          <cell r="A8186">
            <v>45684</v>
          </cell>
          <cell r="B8186" t="str">
            <v>Rau Bầu Đất</v>
          </cell>
          <cell r="C8186" t="str">
            <v>Kg</v>
          </cell>
          <cell r="D8186">
            <v>35000</v>
          </cell>
        </row>
        <row r="8187">
          <cell r="A8187">
            <v>45684</v>
          </cell>
          <cell r="B8187" t="str">
            <v>Xà Lách Thủy Tinh T.C Cây</v>
          </cell>
          <cell r="C8187" t="str">
            <v>Cây</v>
          </cell>
          <cell r="D8187">
            <v>7000</v>
          </cell>
        </row>
        <row r="8188">
          <cell r="A8188">
            <v>45684</v>
          </cell>
          <cell r="B8188" t="str">
            <v>Cải Thảo</v>
          </cell>
          <cell r="C8188" t="str">
            <v>Kg</v>
          </cell>
          <cell r="D8188">
            <v>6500</v>
          </cell>
        </row>
        <row r="8189">
          <cell r="A8189">
            <v>45684</v>
          </cell>
          <cell r="B8189" t="str">
            <v>Củ Cải Trắng</v>
          </cell>
          <cell r="C8189" t="str">
            <v>Kg</v>
          </cell>
          <cell r="D8189">
            <v>6000</v>
          </cell>
        </row>
        <row r="8190">
          <cell r="A8190">
            <v>45684</v>
          </cell>
          <cell r="B8190" t="str">
            <v>Cà Rốt</v>
          </cell>
          <cell r="C8190" t="str">
            <v>Kg</v>
          </cell>
          <cell r="D8190">
            <v>11000</v>
          </cell>
        </row>
        <row r="8191">
          <cell r="A8191">
            <v>45684</v>
          </cell>
          <cell r="B8191" t="str">
            <v>Cà Rốt</v>
          </cell>
          <cell r="C8191" t="str">
            <v>Kg</v>
          </cell>
          <cell r="D8191">
            <v>10000</v>
          </cell>
        </row>
        <row r="8192">
          <cell r="A8192">
            <v>45684</v>
          </cell>
          <cell r="B8192" t="str">
            <v>Bắp Cải Trái Tim</v>
          </cell>
          <cell r="C8192" t="str">
            <v>Kg</v>
          </cell>
          <cell r="D8192">
            <v>4000</v>
          </cell>
        </row>
        <row r="8193">
          <cell r="A8193">
            <v>45684</v>
          </cell>
          <cell r="B8193" t="str">
            <v>Củ Cải Trắng</v>
          </cell>
          <cell r="C8193" t="str">
            <v>Kg</v>
          </cell>
          <cell r="D8193">
            <v>6000</v>
          </cell>
        </row>
        <row r="8194">
          <cell r="A8194">
            <v>45684</v>
          </cell>
          <cell r="B8194" t="str">
            <v>Củ Khoai Tây Vàng Trung</v>
          </cell>
          <cell r="C8194" t="str">
            <v>Kg</v>
          </cell>
          <cell r="D8194">
            <v>14000</v>
          </cell>
        </row>
        <row r="8195">
          <cell r="A8195">
            <v>45684</v>
          </cell>
          <cell r="B8195" t="str">
            <v>Củ Khoai Lang Nhật</v>
          </cell>
          <cell r="C8195" t="str">
            <v>Kg</v>
          </cell>
          <cell r="D8195">
            <v>16000</v>
          </cell>
        </row>
        <row r="8196">
          <cell r="A8196">
            <v>45684</v>
          </cell>
          <cell r="B8196" t="str">
            <v>Bí Đỏ Hồ Lô</v>
          </cell>
          <cell r="C8196" t="str">
            <v>Kg</v>
          </cell>
          <cell r="D8196">
            <v>9500</v>
          </cell>
        </row>
        <row r="8197">
          <cell r="A8197">
            <v>45684</v>
          </cell>
          <cell r="B8197" t="str">
            <v>Bí Non Nhật</v>
          </cell>
          <cell r="C8197" t="str">
            <v>Kg</v>
          </cell>
          <cell r="D8197">
            <v>10000</v>
          </cell>
        </row>
        <row r="8198">
          <cell r="A8198">
            <v>45684</v>
          </cell>
          <cell r="B8198" t="str">
            <v>Cà Tím</v>
          </cell>
          <cell r="C8198" t="str">
            <v>Kg</v>
          </cell>
          <cell r="D8198">
            <v>8000</v>
          </cell>
        </row>
        <row r="8199">
          <cell r="A8199">
            <v>45684</v>
          </cell>
          <cell r="B8199" t="str">
            <v>Trái Su Su</v>
          </cell>
          <cell r="C8199" t="str">
            <v>Kg</v>
          </cell>
          <cell r="D8199">
            <v>8000</v>
          </cell>
        </row>
        <row r="8200">
          <cell r="A8200">
            <v>45684</v>
          </cell>
          <cell r="B8200" t="str">
            <v>Cà Chua Beef</v>
          </cell>
          <cell r="C8200" t="str">
            <v>Kg</v>
          </cell>
          <cell r="D8200">
            <v>19000</v>
          </cell>
        </row>
        <row r="8201">
          <cell r="A8201">
            <v>45684</v>
          </cell>
          <cell r="B8201" t="str">
            <v>Bông Cải Xanh 7Cm</v>
          </cell>
          <cell r="C8201" t="str">
            <v>Kg</v>
          </cell>
          <cell r="D8201">
            <v>29000</v>
          </cell>
        </row>
        <row r="8202">
          <cell r="A8202">
            <v>45684</v>
          </cell>
          <cell r="B8202" t="str">
            <v>Củ Su Hào</v>
          </cell>
          <cell r="C8202" t="str">
            <v>Kg</v>
          </cell>
          <cell r="D8202">
            <v>11000</v>
          </cell>
        </row>
        <row r="8203">
          <cell r="A8203">
            <v>45684</v>
          </cell>
          <cell r="B8203" t="str">
            <v>Củ Gừng</v>
          </cell>
          <cell r="C8203" t="str">
            <v>Kg</v>
          </cell>
          <cell r="D8203">
            <v>18000</v>
          </cell>
        </row>
        <row r="8204">
          <cell r="A8204">
            <v>45684</v>
          </cell>
          <cell r="B8204" t="str">
            <v>Củ Khoai Mỡ</v>
          </cell>
          <cell r="C8204" t="str">
            <v>Kg</v>
          </cell>
          <cell r="D8204">
            <v>24000</v>
          </cell>
        </row>
        <row r="8205">
          <cell r="A8205">
            <v>45684</v>
          </cell>
          <cell r="B8205" t="str">
            <v>Dưa Leo Baby</v>
          </cell>
          <cell r="C8205" t="str">
            <v>Kg</v>
          </cell>
          <cell r="D8205">
            <v>9500</v>
          </cell>
        </row>
        <row r="8206">
          <cell r="A8206">
            <v>45684</v>
          </cell>
          <cell r="B8206" t="str">
            <v>Dưa Leo Baby</v>
          </cell>
          <cell r="C8206" t="str">
            <v>Kg</v>
          </cell>
          <cell r="D8206">
            <v>8000</v>
          </cell>
        </row>
        <row r="8207">
          <cell r="A8207">
            <v>45684</v>
          </cell>
          <cell r="B8207" t="str">
            <v>Trái Su Su</v>
          </cell>
          <cell r="C8207" t="str">
            <v>Kg</v>
          </cell>
          <cell r="D8207">
            <v>7000</v>
          </cell>
        </row>
        <row r="8208">
          <cell r="A8208">
            <v>45684</v>
          </cell>
          <cell r="B8208" t="str">
            <v>Gia Công Rau Củ Quả</v>
          </cell>
          <cell r="C8208" t="str">
            <v>Kg</v>
          </cell>
          <cell r="D8208">
            <v>700</v>
          </cell>
        </row>
        <row r="8209">
          <cell r="A8209">
            <v>45684</v>
          </cell>
          <cell r="B8209" t="str">
            <v>Gia Công Rau Củ Quả</v>
          </cell>
          <cell r="C8209" t="str">
            <v>Kg</v>
          </cell>
          <cell r="D8209">
            <v>1000</v>
          </cell>
        </row>
        <row r="8210">
          <cell r="A8210">
            <v>45684</v>
          </cell>
          <cell r="B8210" t="str">
            <v>Củ Cải Đỏ</v>
          </cell>
          <cell r="C8210" t="str">
            <v>Kg</v>
          </cell>
          <cell r="D8210">
            <v>35000</v>
          </cell>
        </row>
        <row r="8211">
          <cell r="A8211">
            <v>45684</v>
          </cell>
          <cell r="B8211" t="str">
            <v>Ớt Sweet Palemo</v>
          </cell>
          <cell r="C8211" t="str">
            <v>Túi</v>
          </cell>
          <cell r="D8211">
            <v>20000</v>
          </cell>
        </row>
        <row r="8212">
          <cell r="A8212">
            <v>45684</v>
          </cell>
          <cell r="B8212" t="str">
            <v>Cà Chua Socola</v>
          </cell>
          <cell r="C8212" t="str">
            <v>Hộp 250GR</v>
          </cell>
          <cell r="D8212">
            <v>11000</v>
          </cell>
        </row>
        <row r="8213">
          <cell r="A8213">
            <v>45684</v>
          </cell>
          <cell r="B8213" t="str">
            <v>Cà Chua Socola</v>
          </cell>
          <cell r="C8213" t="str">
            <v>Kg</v>
          </cell>
          <cell r="D8213">
            <v>40000</v>
          </cell>
        </row>
        <row r="8214">
          <cell r="A8214">
            <v>45684</v>
          </cell>
          <cell r="B8214" t="str">
            <v>Cà Chua Bi Đỏ</v>
          </cell>
          <cell r="C8214" t="str">
            <v>Kg</v>
          </cell>
          <cell r="D8214">
            <v>45000</v>
          </cell>
        </row>
        <row r="8215">
          <cell r="A8215">
            <v>45684</v>
          </cell>
          <cell r="B8215" t="str">
            <v>Cà Chua Bi Cam Sữa</v>
          </cell>
          <cell r="C8215" t="str">
            <v>Kg</v>
          </cell>
          <cell r="D8215">
            <v>40000</v>
          </cell>
        </row>
        <row r="8216">
          <cell r="A8216">
            <v>45684</v>
          </cell>
          <cell r="B8216" t="str">
            <v>Cà Chua Bi Cam Sữa</v>
          </cell>
          <cell r="C8216" t="str">
            <v>Kg</v>
          </cell>
          <cell r="D8216">
            <v>50000</v>
          </cell>
        </row>
        <row r="8217">
          <cell r="A8217">
            <v>45684</v>
          </cell>
          <cell r="B8217" t="str">
            <v>Cà Rốt Baby</v>
          </cell>
          <cell r="C8217" t="str">
            <v>Vỉ</v>
          </cell>
          <cell r="D8217">
            <v>8000</v>
          </cell>
        </row>
        <row r="8218">
          <cell r="A8218">
            <v>45684</v>
          </cell>
          <cell r="B8218" t="str">
            <v>Cà Rốt Baby</v>
          </cell>
          <cell r="C8218" t="str">
            <v>Kg</v>
          </cell>
          <cell r="D8218">
            <v>35000</v>
          </cell>
        </row>
        <row r="8219">
          <cell r="A8219">
            <v>45684</v>
          </cell>
          <cell r="B8219" t="str">
            <v>Dưa Leo Baby</v>
          </cell>
          <cell r="C8219" t="str">
            <v>Vỉ</v>
          </cell>
          <cell r="D8219">
            <v>14000</v>
          </cell>
        </row>
        <row r="8220">
          <cell r="A8220">
            <v>45684</v>
          </cell>
          <cell r="B8220" t="str">
            <v>Đậu Cove Nhật</v>
          </cell>
          <cell r="C8220" t="str">
            <v>Túi</v>
          </cell>
          <cell r="D8220">
            <v>10000</v>
          </cell>
        </row>
        <row r="8221">
          <cell r="A8221">
            <v>45684</v>
          </cell>
          <cell r="B8221" t="str">
            <v>Đậu Cove Trắng</v>
          </cell>
          <cell r="C8221" t="str">
            <v>Túi 500gr</v>
          </cell>
          <cell r="D8221">
            <v>13000</v>
          </cell>
        </row>
        <row r="8222">
          <cell r="A8222">
            <v>45684</v>
          </cell>
          <cell r="B8222" t="str">
            <v>Hành Paro</v>
          </cell>
          <cell r="C8222" t="str">
            <v>Kg</v>
          </cell>
          <cell r="D8222">
            <v>20000</v>
          </cell>
        </row>
        <row r="8223">
          <cell r="A8223">
            <v>45684</v>
          </cell>
          <cell r="B8223" t="str">
            <v>Xà Lách Lolo Xanh T.C Cây</v>
          </cell>
          <cell r="C8223" t="str">
            <v>Cây</v>
          </cell>
          <cell r="D8223">
            <v>6800</v>
          </cell>
        </row>
        <row r="8224">
          <cell r="A8224">
            <v>45684</v>
          </cell>
          <cell r="B8224" t="str">
            <v>Xà Lách Thủy Tinh T.C Cây</v>
          </cell>
          <cell r="C8224" t="str">
            <v>Cây</v>
          </cell>
          <cell r="D8224">
            <v>6800</v>
          </cell>
        </row>
        <row r="8225">
          <cell r="A8225">
            <v>45684</v>
          </cell>
          <cell r="B8225" t="str">
            <v>Ớt Chuông Đỏ</v>
          </cell>
          <cell r="C8225" t="str">
            <v>Kg</v>
          </cell>
          <cell r="D8225">
            <v>40000</v>
          </cell>
        </row>
        <row r="8226">
          <cell r="A8226">
            <v>45685</v>
          </cell>
          <cell r="B8226" t="str">
            <v>DO 0.05S-II</v>
          </cell>
          <cell r="C8226" t="str">
            <v>Lít</v>
          </cell>
          <cell r="D8226">
            <v>18718.18</v>
          </cell>
        </row>
        <row r="8227">
          <cell r="A8227">
            <v>45685</v>
          </cell>
          <cell r="B8227" t="str">
            <v>Phí tiền điện tháng 01/2025</v>
          </cell>
          <cell r="C8227" t="str">
            <v>Gói</v>
          </cell>
          <cell r="D8227">
            <v>630333</v>
          </cell>
        </row>
        <row r="8228">
          <cell r="A8228">
            <v>45685</v>
          </cell>
          <cell r="B8228" t="str">
            <v>Bông Cải Xanh 7Cm</v>
          </cell>
          <cell r="C8228" t="str">
            <v>Kg</v>
          </cell>
          <cell r="D8228">
            <v>29000</v>
          </cell>
        </row>
        <row r="8229">
          <cell r="A8229">
            <v>45685</v>
          </cell>
          <cell r="B8229" t="str">
            <v>Ớt Sweet Palemo</v>
          </cell>
          <cell r="C8229" t="str">
            <v>Túi</v>
          </cell>
          <cell r="D8229">
            <v>20000</v>
          </cell>
        </row>
        <row r="8230">
          <cell r="A8230">
            <v>45685</v>
          </cell>
          <cell r="B8230" t="str">
            <v>Xà Lách Lolo Xanh</v>
          </cell>
          <cell r="C8230" t="str">
            <v>Kg</v>
          </cell>
          <cell r="D8230">
            <v>13000</v>
          </cell>
        </row>
        <row r="8231">
          <cell r="A8231">
            <v>45685</v>
          </cell>
          <cell r="B8231" t="str">
            <v>Ớt Chuông Vàng</v>
          </cell>
          <cell r="C8231" t="str">
            <v>Kg</v>
          </cell>
          <cell r="D8231">
            <v>30000</v>
          </cell>
        </row>
        <row r="8232">
          <cell r="A8232">
            <v>45685</v>
          </cell>
          <cell r="B8232" t="str">
            <v>Xà Lách Thủy Tinh T.C Cây</v>
          </cell>
          <cell r="C8232" t="str">
            <v>Cây</v>
          </cell>
          <cell r="D8232">
            <v>7000</v>
          </cell>
        </row>
        <row r="8233">
          <cell r="A8233">
            <v>45685</v>
          </cell>
          <cell r="B8233" t="str">
            <v>Cà Chua Thường</v>
          </cell>
          <cell r="C8233" t="str">
            <v>Kg</v>
          </cell>
          <cell r="D8233">
            <v>18000</v>
          </cell>
        </row>
        <row r="8234">
          <cell r="A8234">
            <v>45685</v>
          </cell>
          <cell r="B8234" t="str">
            <v>Cà Chua Thường Trung</v>
          </cell>
          <cell r="C8234" t="str">
            <v>Kg</v>
          </cell>
          <cell r="D8234">
            <v>13000</v>
          </cell>
        </row>
        <row r="8235">
          <cell r="A8235">
            <v>45685</v>
          </cell>
          <cell r="B8235" t="str">
            <v>CT-DUA LEO BB</v>
          </cell>
          <cell r="C8235" t="str">
            <v>Kg</v>
          </cell>
          <cell r="D8235">
            <v>20000</v>
          </cell>
        </row>
        <row r="8236">
          <cell r="A8236">
            <v>45685</v>
          </cell>
          <cell r="B8236" t="str">
            <v>CT-DUA LEO BB</v>
          </cell>
          <cell r="C8236" t="str">
            <v>Kg</v>
          </cell>
          <cell r="D8236">
            <v>17500</v>
          </cell>
        </row>
        <row r="8237">
          <cell r="A8237">
            <v>45686</v>
          </cell>
          <cell r="B8237" t="str">
            <v>Cà Chua Bi Đỏ</v>
          </cell>
          <cell r="C8237" t="str">
            <v>Hộp 300gr</v>
          </cell>
          <cell r="D8237">
            <v>5400</v>
          </cell>
        </row>
        <row r="8238">
          <cell r="A8238">
            <v>45686</v>
          </cell>
          <cell r="B8238" t="str">
            <v>Cà Chua Bi Đỏ</v>
          </cell>
          <cell r="C8238" t="str">
            <v>Hộp 500gr</v>
          </cell>
          <cell r="D8238">
            <v>9000</v>
          </cell>
        </row>
        <row r="8239">
          <cell r="A8239">
            <v>45686</v>
          </cell>
          <cell r="B8239" t="str">
            <v>Bí Non Nhật</v>
          </cell>
          <cell r="C8239" t="str">
            <v>Kg</v>
          </cell>
          <cell r="D8239">
            <v>10000</v>
          </cell>
        </row>
        <row r="8240">
          <cell r="A8240">
            <v>45686</v>
          </cell>
          <cell r="B8240" t="str">
            <v>Cà Tím</v>
          </cell>
          <cell r="C8240" t="str">
            <v>Kg</v>
          </cell>
          <cell r="D8240">
            <v>8000</v>
          </cell>
        </row>
        <row r="8241">
          <cell r="A8241">
            <v>45686</v>
          </cell>
          <cell r="B8241" t="str">
            <v>Bí Đao Xanh</v>
          </cell>
          <cell r="C8241" t="str">
            <v>Kg</v>
          </cell>
          <cell r="D8241">
            <v>10000</v>
          </cell>
        </row>
        <row r="8242">
          <cell r="A8242">
            <v>45686</v>
          </cell>
          <cell r="B8242" t="str">
            <v>Củ Cải Trắng</v>
          </cell>
          <cell r="C8242" t="str">
            <v>Kg</v>
          </cell>
          <cell r="D8242">
            <v>7000</v>
          </cell>
        </row>
        <row r="8243">
          <cell r="A8243">
            <v>45686</v>
          </cell>
          <cell r="B8243" t="str">
            <v>Gia Công Rau Củ Quả</v>
          </cell>
          <cell r="C8243" t="str">
            <v>Kg</v>
          </cell>
          <cell r="D8243">
            <v>700</v>
          </cell>
        </row>
        <row r="8244">
          <cell r="A8244">
            <v>45686</v>
          </cell>
          <cell r="B8244" t="str">
            <v>Gia Công Rau Củ Quả</v>
          </cell>
          <cell r="C8244" t="str">
            <v>Kg</v>
          </cell>
          <cell r="D8244">
            <v>1000</v>
          </cell>
        </row>
        <row r="8245">
          <cell r="A8245">
            <v>45686</v>
          </cell>
          <cell r="B8245" t="str">
            <v>Dưa Leo Baby</v>
          </cell>
          <cell r="C8245" t="str">
            <v>Kg</v>
          </cell>
          <cell r="D8245">
            <v>8000</v>
          </cell>
        </row>
        <row r="8246">
          <cell r="A8246">
            <v>45686</v>
          </cell>
          <cell r="B8246" t="str">
            <v>Dưa Leo Baby</v>
          </cell>
          <cell r="C8246" t="str">
            <v>Kg</v>
          </cell>
          <cell r="D8246">
            <v>9500</v>
          </cell>
        </row>
        <row r="8247">
          <cell r="A8247">
            <v>45686</v>
          </cell>
          <cell r="B8247" t="str">
            <v>Cần Tây</v>
          </cell>
          <cell r="C8247" t="str">
            <v>Kg</v>
          </cell>
          <cell r="D8247">
            <v>15000</v>
          </cell>
        </row>
        <row r="8248">
          <cell r="A8248">
            <v>45686</v>
          </cell>
          <cell r="B8248" t="str">
            <v>Cần Tây</v>
          </cell>
          <cell r="C8248" t="str">
            <v>Kg</v>
          </cell>
          <cell r="D8248">
            <v>17000</v>
          </cell>
        </row>
        <row r="8249">
          <cell r="A8249">
            <v>45686</v>
          </cell>
          <cell r="B8249" t="str">
            <v>Cải Bó Xôi</v>
          </cell>
          <cell r="C8249" t="str">
            <v>Kg</v>
          </cell>
          <cell r="D8249">
            <v>22000</v>
          </cell>
        </row>
        <row r="8250">
          <cell r="A8250">
            <v>45686</v>
          </cell>
          <cell r="B8250" t="str">
            <v>Cà Chua Beef</v>
          </cell>
          <cell r="C8250" t="str">
            <v>Kg</v>
          </cell>
          <cell r="D8250">
            <v>17000</v>
          </cell>
        </row>
        <row r="8251">
          <cell r="A8251">
            <v>45686</v>
          </cell>
          <cell r="B8251" t="str">
            <v>Bắp Cải Trái Tim</v>
          </cell>
          <cell r="C8251" t="str">
            <v>Kg</v>
          </cell>
          <cell r="D8251">
            <v>4000</v>
          </cell>
        </row>
        <row r="8252">
          <cell r="A8252">
            <v>45686</v>
          </cell>
          <cell r="B8252" t="str">
            <v>Bông Cải Xanh 7Cm</v>
          </cell>
          <cell r="C8252" t="str">
            <v>Kg</v>
          </cell>
          <cell r="D8252">
            <v>22000</v>
          </cell>
        </row>
        <row r="8253">
          <cell r="A8253">
            <v>45686</v>
          </cell>
          <cell r="B8253" t="str">
            <v>Củ Dền</v>
          </cell>
          <cell r="C8253" t="str">
            <v>Kg</v>
          </cell>
          <cell r="D8253">
            <v>11000</v>
          </cell>
        </row>
        <row r="8254">
          <cell r="A8254">
            <v>45686</v>
          </cell>
          <cell r="B8254" t="str">
            <v>Bông Cải Trắng</v>
          </cell>
          <cell r="C8254" t="str">
            <v>Kg</v>
          </cell>
          <cell r="D8254">
            <v>12000</v>
          </cell>
        </row>
        <row r="8255">
          <cell r="A8255">
            <v>45686</v>
          </cell>
          <cell r="B8255" t="str">
            <v>Cà Chua Beef</v>
          </cell>
          <cell r="C8255" t="str">
            <v>Kg</v>
          </cell>
          <cell r="D8255">
            <v>23000</v>
          </cell>
        </row>
        <row r="8256">
          <cell r="A8256">
            <v>45686</v>
          </cell>
          <cell r="B8256" t="str">
            <v>Cà Chua Beef Trung</v>
          </cell>
          <cell r="C8256" t="str">
            <v>Kg</v>
          </cell>
          <cell r="D8256">
            <v>18000</v>
          </cell>
        </row>
        <row r="8257">
          <cell r="A8257">
            <v>45686</v>
          </cell>
          <cell r="B8257" t="str">
            <v>Cà Chua Beef Trung</v>
          </cell>
          <cell r="C8257" t="str">
            <v>Kg</v>
          </cell>
          <cell r="D8257">
            <v>19000</v>
          </cell>
        </row>
        <row r="8258">
          <cell r="A8258">
            <v>45686</v>
          </cell>
          <cell r="B8258" t="str">
            <v>Củ Hành Tây</v>
          </cell>
          <cell r="C8258" t="str">
            <v>Kg</v>
          </cell>
          <cell r="D8258">
            <v>9500</v>
          </cell>
        </row>
        <row r="8259">
          <cell r="A8259">
            <v>45686</v>
          </cell>
          <cell r="B8259" t="str">
            <v>Bắp Cải Tím</v>
          </cell>
          <cell r="C8259" t="str">
            <v>Kg</v>
          </cell>
          <cell r="D8259">
            <v>8000</v>
          </cell>
        </row>
        <row r="8260">
          <cell r="A8260">
            <v>45686</v>
          </cell>
          <cell r="B8260" t="str">
            <v>Bông Cải Xanh 7Cm</v>
          </cell>
          <cell r="C8260" t="str">
            <v>Kg</v>
          </cell>
          <cell r="D8260">
            <v>17000</v>
          </cell>
        </row>
        <row r="8261">
          <cell r="A8261">
            <v>45686</v>
          </cell>
          <cell r="B8261" t="str">
            <v>Bông Cải Xanh 12Cm</v>
          </cell>
          <cell r="C8261" t="str">
            <v>Kg</v>
          </cell>
          <cell r="D8261">
            <v>10000</v>
          </cell>
        </row>
        <row r="8262">
          <cell r="A8262">
            <v>45686</v>
          </cell>
          <cell r="B8262" t="str">
            <v>Cà Chua Beef</v>
          </cell>
          <cell r="C8262" t="str">
            <v>Kg</v>
          </cell>
          <cell r="D8262">
            <v>22000</v>
          </cell>
        </row>
        <row r="8263">
          <cell r="A8263">
            <v>45686</v>
          </cell>
          <cell r="B8263" t="str">
            <v>Rau Bầu Đất</v>
          </cell>
          <cell r="C8263" t="str">
            <v>Kg</v>
          </cell>
          <cell r="D8263">
            <v>35000</v>
          </cell>
        </row>
        <row r="8264">
          <cell r="A8264">
            <v>45686</v>
          </cell>
          <cell r="B8264" t="str">
            <v>Bí Ngòi Xanh</v>
          </cell>
          <cell r="C8264" t="str">
            <v>Kg</v>
          </cell>
          <cell r="D8264">
            <v>16000</v>
          </cell>
        </row>
        <row r="8265">
          <cell r="A8265">
            <v>45686</v>
          </cell>
          <cell r="B8265" t="str">
            <v>Cà Rốt</v>
          </cell>
          <cell r="C8265" t="str">
            <v>Kg</v>
          </cell>
          <cell r="D8265">
            <v>10000</v>
          </cell>
        </row>
        <row r="8266">
          <cell r="A8266">
            <v>45686</v>
          </cell>
          <cell r="B8266" t="str">
            <v>Cà Rốt</v>
          </cell>
          <cell r="C8266" t="str">
            <v>Kg</v>
          </cell>
          <cell r="D8266">
            <v>12000</v>
          </cell>
        </row>
        <row r="8267">
          <cell r="A8267">
            <v>45686</v>
          </cell>
          <cell r="B8267" t="str">
            <v>Cà Chua Thường</v>
          </cell>
          <cell r="C8267" t="str">
            <v>Kg</v>
          </cell>
          <cell r="D8267">
            <v>18000</v>
          </cell>
        </row>
        <row r="8268">
          <cell r="A8268">
            <v>45686</v>
          </cell>
          <cell r="B8268" t="str">
            <v>Cà Chua Thường Trung</v>
          </cell>
          <cell r="C8268" t="str">
            <v>Kg</v>
          </cell>
          <cell r="D8268">
            <v>13000</v>
          </cell>
        </row>
        <row r="8269">
          <cell r="A8269">
            <v>45686</v>
          </cell>
          <cell r="B8269" t="str">
            <v>Củ Khoai Lang Nhật</v>
          </cell>
          <cell r="C8269" t="str">
            <v>Kg</v>
          </cell>
          <cell r="D8269">
            <v>16000</v>
          </cell>
        </row>
        <row r="8270">
          <cell r="A8270">
            <v>45686</v>
          </cell>
          <cell r="B8270" t="str">
            <v>Dưa Leo Thường</v>
          </cell>
          <cell r="C8270" t="str">
            <v>Kg</v>
          </cell>
          <cell r="D8270">
            <v>20000</v>
          </cell>
        </row>
        <row r="8271">
          <cell r="A8271">
            <v>45686</v>
          </cell>
          <cell r="B8271" t="str">
            <v>Đậu Cove Trắng</v>
          </cell>
          <cell r="C8271" t="str">
            <v>Túi 500gr</v>
          </cell>
          <cell r="D8271">
            <v>13000</v>
          </cell>
        </row>
        <row r="8272">
          <cell r="A8272">
            <v>45686</v>
          </cell>
          <cell r="B8272" t="str">
            <v>Đậu Cove Nhật</v>
          </cell>
          <cell r="C8272" t="str">
            <v>Túi</v>
          </cell>
          <cell r="D8272">
            <v>11000</v>
          </cell>
        </row>
        <row r="8273">
          <cell r="A8273">
            <v>45686</v>
          </cell>
          <cell r="B8273" t="str">
            <v>Bí Non Nhật</v>
          </cell>
          <cell r="C8273" t="str">
            <v>Kg</v>
          </cell>
          <cell r="D8273">
            <v>15000</v>
          </cell>
        </row>
        <row r="8274">
          <cell r="A8274">
            <v>45686</v>
          </cell>
          <cell r="B8274" t="str">
            <v>Củ Su Hào</v>
          </cell>
          <cell r="C8274" t="str">
            <v>Kg</v>
          </cell>
          <cell r="D8274">
            <v>13000</v>
          </cell>
        </row>
        <row r="8275">
          <cell r="A8275">
            <v>45686</v>
          </cell>
          <cell r="B8275" t="str">
            <v>Trái Su Su</v>
          </cell>
          <cell r="C8275" t="str">
            <v>Kg</v>
          </cell>
          <cell r="D8275">
            <v>8000</v>
          </cell>
        </row>
        <row r="8276">
          <cell r="A8276">
            <v>45686</v>
          </cell>
          <cell r="B8276" t="str">
            <v>Chuối Laba</v>
          </cell>
          <cell r="C8276" t="str">
            <v>Kg</v>
          </cell>
          <cell r="D8276">
            <v>14000</v>
          </cell>
        </row>
        <row r="8277">
          <cell r="A8277">
            <v>45686</v>
          </cell>
          <cell r="B8277" t="str">
            <v>Dưa Leo Thường</v>
          </cell>
          <cell r="C8277" t="str">
            <v>Kg</v>
          </cell>
          <cell r="D8277">
            <v>15000</v>
          </cell>
        </row>
        <row r="8278">
          <cell r="A8278">
            <v>45686</v>
          </cell>
          <cell r="B8278" t="str">
            <v>Trái Khổ Qua</v>
          </cell>
          <cell r="C8278" t="str">
            <v>Kg</v>
          </cell>
          <cell r="D8278">
            <v>32000</v>
          </cell>
        </row>
        <row r="8279">
          <cell r="A8279">
            <v>45686</v>
          </cell>
          <cell r="B8279" t="str">
            <v>Bắp Cải Trắng</v>
          </cell>
          <cell r="C8279" t="str">
            <v>Kg</v>
          </cell>
          <cell r="D8279">
            <v>5500</v>
          </cell>
        </row>
        <row r="8280">
          <cell r="A8280">
            <v>45686</v>
          </cell>
          <cell r="B8280" t="str">
            <v>Hành Paro</v>
          </cell>
          <cell r="C8280" t="str">
            <v>Kg</v>
          </cell>
          <cell r="D8280">
            <v>17000</v>
          </cell>
        </row>
        <row r="8281">
          <cell r="A8281">
            <v>45686</v>
          </cell>
          <cell r="B8281" t="str">
            <v>Bí Ngòi Xanh</v>
          </cell>
          <cell r="C8281" t="str">
            <v>Kg</v>
          </cell>
          <cell r="D8281">
            <v>13000</v>
          </cell>
        </row>
        <row r="8282">
          <cell r="A8282">
            <v>45686</v>
          </cell>
          <cell r="B8282" t="str">
            <v>Ớt Sweet Palemo</v>
          </cell>
          <cell r="C8282" t="str">
            <v>Túi</v>
          </cell>
          <cell r="D8282">
            <v>20000</v>
          </cell>
        </row>
        <row r="8283">
          <cell r="A8283">
            <v>45686</v>
          </cell>
          <cell r="B8283" t="str">
            <v>Ớt Sweet Palemo</v>
          </cell>
          <cell r="C8283" t="str">
            <v>Kg</v>
          </cell>
          <cell r="D8283">
            <v>55000</v>
          </cell>
        </row>
        <row r="8284">
          <cell r="A8284">
            <v>45686</v>
          </cell>
          <cell r="B8284" t="str">
            <v>Ớt Chuông Đỏ</v>
          </cell>
          <cell r="C8284" t="str">
            <v>Kg</v>
          </cell>
          <cell r="D8284">
            <v>38000</v>
          </cell>
        </row>
        <row r="8285">
          <cell r="A8285">
            <v>45686</v>
          </cell>
          <cell r="B8285" t="str">
            <v>Ớt Chuông Vàng</v>
          </cell>
          <cell r="C8285" t="str">
            <v>Kg</v>
          </cell>
          <cell r="D8285">
            <v>30000</v>
          </cell>
        </row>
        <row r="8286">
          <cell r="A8286">
            <v>45686</v>
          </cell>
          <cell r="B8286" t="str">
            <v>Ớt Chuông Xanh</v>
          </cell>
          <cell r="C8286" t="str">
            <v>Kg</v>
          </cell>
          <cell r="D8286">
            <v>30000</v>
          </cell>
        </row>
        <row r="8287">
          <cell r="A8287">
            <v>45686</v>
          </cell>
          <cell r="B8287" t="str">
            <v>Bông Cải Xanh 7Cm</v>
          </cell>
          <cell r="C8287" t="str">
            <v>Kg</v>
          </cell>
          <cell r="D8287">
            <v>25000</v>
          </cell>
        </row>
        <row r="8288">
          <cell r="A8288">
            <v>45686</v>
          </cell>
          <cell r="B8288" t="str">
            <v>Cà Chua Beef</v>
          </cell>
          <cell r="C8288" t="str">
            <v>Kg</v>
          </cell>
          <cell r="D8288">
            <v>17000</v>
          </cell>
        </row>
        <row r="8289">
          <cell r="A8289">
            <v>45686</v>
          </cell>
          <cell r="B8289" t="str">
            <v>Bông Cải Xanh 7Cm</v>
          </cell>
          <cell r="C8289" t="str">
            <v>Kg</v>
          </cell>
          <cell r="D8289">
            <v>22000</v>
          </cell>
        </row>
        <row r="8290">
          <cell r="A8290">
            <v>45686</v>
          </cell>
          <cell r="B8290" t="str">
            <v>Cải Thảo</v>
          </cell>
          <cell r="C8290" t="str">
            <v>Kg</v>
          </cell>
          <cell r="D8290">
            <v>5500</v>
          </cell>
        </row>
        <row r="8291">
          <cell r="A8291">
            <v>45686</v>
          </cell>
          <cell r="B8291" t="str">
            <v>Dưa Leo Baby</v>
          </cell>
          <cell r="C8291" t="str">
            <v>Vỉ</v>
          </cell>
          <cell r="D8291">
            <v>6500</v>
          </cell>
        </row>
        <row r="8292">
          <cell r="A8292">
            <v>45686</v>
          </cell>
          <cell r="B8292" t="str">
            <v>Dưa Leo Baby</v>
          </cell>
          <cell r="C8292" t="str">
            <v>Vỉ</v>
          </cell>
          <cell r="D8292">
            <v>8000</v>
          </cell>
        </row>
        <row r="8293">
          <cell r="A8293">
            <v>45686</v>
          </cell>
          <cell r="B8293" t="str">
            <v>Xà Lách Lolo Xanh T.C Cây</v>
          </cell>
          <cell r="C8293" t="str">
            <v>Cây</v>
          </cell>
          <cell r="D8293">
            <v>6800</v>
          </cell>
        </row>
        <row r="8294">
          <cell r="A8294">
            <v>45686</v>
          </cell>
          <cell r="B8294" t="str">
            <v>Xà Lách Thủy Tinh T.C Cây</v>
          </cell>
          <cell r="C8294" t="str">
            <v>Cây</v>
          </cell>
          <cell r="D8294">
            <v>6800</v>
          </cell>
        </row>
        <row r="8295">
          <cell r="A8295">
            <v>45686</v>
          </cell>
          <cell r="B8295" t="str">
            <v>Xà Lách Mỡ T.C Cây</v>
          </cell>
          <cell r="C8295" t="str">
            <v>Cây</v>
          </cell>
          <cell r="D8295">
            <v>6800</v>
          </cell>
        </row>
        <row r="8296">
          <cell r="A8296">
            <v>45686</v>
          </cell>
          <cell r="B8296" t="str">
            <v>Xà Lách Mỡ T.C</v>
          </cell>
          <cell r="C8296" t="str">
            <v>Kg</v>
          </cell>
          <cell r="D8296">
            <v>28000</v>
          </cell>
        </row>
        <row r="8297">
          <cell r="A8297">
            <v>45686</v>
          </cell>
          <cell r="B8297" t="str">
            <v>Xà Lách Thủy Tinh T.C</v>
          </cell>
          <cell r="C8297" t="str">
            <v>Kg</v>
          </cell>
          <cell r="D8297">
            <v>30000</v>
          </cell>
        </row>
        <row r="8298">
          <cell r="A8298">
            <v>45687</v>
          </cell>
          <cell r="B8298" t="str">
            <v>DO 0.05S-II</v>
          </cell>
          <cell r="C8298" t="str">
            <v>Lít</v>
          </cell>
          <cell r="D8298">
            <v>18718.18</v>
          </cell>
        </row>
        <row r="8299">
          <cell r="A8299">
            <v>45687</v>
          </cell>
          <cell r="B8299" t="str">
            <v>Xà Lách Lolo Xanh T.C Cây</v>
          </cell>
          <cell r="C8299" t="str">
            <v>Cây</v>
          </cell>
          <cell r="D8299">
            <v>6800</v>
          </cell>
        </row>
        <row r="8300">
          <cell r="A8300">
            <v>45687</v>
          </cell>
          <cell r="B8300" t="str">
            <v>Xà Lách Thủy Tinh T.C Cây</v>
          </cell>
          <cell r="C8300" t="str">
            <v>Cây</v>
          </cell>
          <cell r="D8300">
            <v>6800</v>
          </cell>
        </row>
        <row r="8301">
          <cell r="A8301">
            <v>45687</v>
          </cell>
          <cell r="B8301" t="str">
            <v>Xà Lách Mỡ T.C Cây</v>
          </cell>
          <cell r="C8301" t="str">
            <v>Cây</v>
          </cell>
          <cell r="D8301">
            <v>6800</v>
          </cell>
        </row>
        <row r="8302">
          <cell r="A8302">
            <v>45687</v>
          </cell>
          <cell r="B8302" t="str">
            <v>Xà Lách Mỡ T.C</v>
          </cell>
          <cell r="C8302" t="str">
            <v>Kg</v>
          </cell>
          <cell r="D8302">
            <v>28000</v>
          </cell>
        </row>
        <row r="8303">
          <cell r="A8303">
            <v>45687</v>
          </cell>
          <cell r="B8303" t="str">
            <v>Xà Lách Lolo Xanh T.C</v>
          </cell>
          <cell r="C8303" t="str">
            <v>Kg</v>
          </cell>
          <cell r="D8303">
            <v>28000</v>
          </cell>
        </row>
        <row r="8304">
          <cell r="A8304">
            <v>45687</v>
          </cell>
          <cell r="B8304" t="str">
            <v>Dưa Leo Thường</v>
          </cell>
          <cell r="C8304" t="str">
            <v>Kg</v>
          </cell>
          <cell r="D8304">
            <v>20000</v>
          </cell>
        </row>
        <row r="8305">
          <cell r="A8305">
            <v>45687</v>
          </cell>
          <cell r="B8305" t="str">
            <v>Đậu Cove Trắng</v>
          </cell>
          <cell r="C8305" t="str">
            <v>Túi 500gr</v>
          </cell>
          <cell r="D8305">
            <v>13000</v>
          </cell>
        </row>
        <row r="8306">
          <cell r="A8306">
            <v>45687</v>
          </cell>
          <cell r="B8306" t="str">
            <v>Đậu Cove Nhật</v>
          </cell>
          <cell r="C8306" t="str">
            <v>Túi</v>
          </cell>
          <cell r="D8306">
            <v>11000</v>
          </cell>
        </row>
        <row r="8307">
          <cell r="A8307">
            <v>45687</v>
          </cell>
          <cell r="B8307" t="str">
            <v>Bí Non Nhật</v>
          </cell>
          <cell r="C8307" t="str">
            <v>Kg</v>
          </cell>
          <cell r="D8307">
            <v>15000</v>
          </cell>
        </row>
        <row r="8308">
          <cell r="A8308">
            <v>45687</v>
          </cell>
          <cell r="B8308" t="str">
            <v>Củ Su Hào</v>
          </cell>
          <cell r="C8308" t="str">
            <v>Kg</v>
          </cell>
          <cell r="D8308">
            <v>13000</v>
          </cell>
        </row>
        <row r="8309">
          <cell r="A8309">
            <v>45687</v>
          </cell>
          <cell r="B8309" t="str">
            <v>Cà Chua Beef</v>
          </cell>
          <cell r="C8309" t="str">
            <v>Kg</v>
          </cell>
          <cell r="D8309">
            <v>22000</v>
          </cell>
        </row>
        <row r="8310">
          <cell r="A8310">
            <v>45687</v>
          </cell>
          <cell r="B8310" t="str">
            <v>Cà Chua Beef Trung</v>
          </cell>
          <cell r="C8310" t="str">
            <v>Kg</v>
          </cell>
          <cell r="D8310">
            <v>17000</v>
          </cell>
        </row>
        <row r="8311">
          <cell r="A8311">
            <v>45687</v>
          </cell>
          <cell r="B8311" t="str">
            <v>Cà Chua Beef Trung</v>
          </cell>
          <cell r="C8311" t="str">
            <v>Kg</v>
          </cell>
          <cell r="D8311">
            <v>18000</v>
          </cell>
        </row>
        <row r="8312">
          <cell r="A8312">
            <v>45687</v>
          </cell>
          <cell r="B8312" t="str">
            <v>Ớt Chuông Đỏ</v>
          </cell>
          <cell r="C8312" t="str">
            <v>Kg</v>
          </cell>
          <cell r="D8312">
            <v>38000</v>
          </cell>
        </row>
        <row r="8313">
          <cell r="A8313">
            <v>45687</v>
          </cell>
          <cell r="B8313" t="str">
            <v>Ớt Chuông Vàng</v>
          </cell>
          <cell r="C8313" t="str">
            <v>Kg</v>
          </cell>
          <cell r="D8313">
            <v>30000</v>
          </cell>
        </row>
        <row r="8314">
          <cell r="A8314">
            <v>45687</v>
          </cell>
          <cell r="B8314" t="str">
            <v>Củ Hành Tây</v>
          </cell>
          <cell r="C8314" t="str">
            <v>Kg</v>
          </cell>
          <cell r="D8314">
            <v>9500</v>
          </cell>
        </row>
        <row r="8315">
          <cell r="A8315">
            <v>45687</v>
          </cell>
          <cell r="B8315" t="str">
            <v>Củ Hành Tây Trung</v>
          </cell>
          <cell r="C8315" t="str">
            <v>Kg</v>
          </cell>
          <cell r="D8315">
            <v>7000</v>
          </cell>
        </row>
        <row r="8316">
          <cell r="A8316">
            <v>45687</v>
          </cell>
          <cell r="B8316" t="str">
            <v>Cải Bó Xôi</v>
          </cell>
          <cell r="C8316" t="str">
            <v>Kg</v>
          </cell>
          <cell r="D8316">
            <v>22000</v>
          </cell>
        </row>
        <row r="8317">
          <cell r="A8317">
            <v>45687</v>
          </cell>
          <cell r="B8317" t="str">
            <v>Cà Chua Beef</v>
          </cell>
          <cell r="C8317" t="str">
            <v>Kg</v>
          </cell>
          <cell r="D8317">
            <v>16000</v>
          </cell>
        </row>
        <row r="8318">
          <cell r="A8318">
            <v>45687</v>
          </cell>
          <cell r="B8318" t="str">
            <v>Dưa Leo Baby</v>
          </cell>
          <cell r="C8318" t="str">
            <v>Vỉ</v>
          </cell>
          <cell r="D8318">
            <v>6500</v>
          </cell>
        </row>
        <row r="8319">
          <cell r="A8319">
            <v>45687</v>
          </cell>
          <cell r="B8319" t="str">
            <v>Dưa Leo Baby</v>
          </cell>
          <cell r="C8319" t="str">
            <v>Vỉ</v>
          </cell>
          <cell r="D8319">
            <v>8000</v>
          </cell>
        </row>
        <row r="8320">
          <cell r="A8320">
            <v>45687</v>
          </cell>
          <cell r="B8320" t="str">
            <v>Măng Tây</v>
          </cell>
          <cell r="C8320" t="str">
            <v>Kg</v>
          </cell>
          <cell r="D8320">
            <v>52000</v>
          </cell>
        </row>
        <row r="8321">
          <cell r="A8321">
            <v>45687</v>
          </cell>
          <cell r="B8321" t="str">
            <v>Măng Tây</v>
          </cell>
          <cell r="C8321" t="str">
            <v>Kg</v>
          </cell>
          <cell r="D8321">
            <v>40000</v>
          </cell>
        </row>
        <row r="8322">
          <cell r="A8322">
            <v>45687</v>
          </cell>
          <cell r="B8322" t="str">
            <v>Củ Hành Tây</v>
          </cell>
          <cell r="C8322" t="str">
            <v>Kg</v>
          </cell>
          <cell r="D8322">
            <v>10000</v>
          </cell>
        </row>
        <row r="8323">
          <cell r="A8323">
            <v>45687</v>
          </cell>
          <cell r="B8323" t="str">
            <v>Củ Gừng</v>
          </cell>
          <cell r="C8323" t="str">
            <v>Kg</v>
          </cell>
          <cell r="D8323">
            <v>18000</v>
          </cell>
        </row>
        <row r="8324">
          <cell r="A8324">
            <v>45687</v>
          </cell>
          <cell r="B8324" t="str">
            <v>Hành Paro</v>
          </cell>
          <cell r="C8324" t="str">
            <v>Kg</v>
          </cell>
          <cell r="D8324">
            <v>17000</v>
          </cell>
        </row>
        <row r="8325">
          <cell r="A8325">
            <v>45687</v>
          </cell>
          <cell r="B8325" t="str">
            <v>Bí Ngòi Xanh</v>
          </cell>
          <cell r="C8325" t="str">
            <v>Kg</v>
          </cell>
          <cell r="D8325">
            <v>13000</v>
          </cell>
        </row>
        <row r="8326">
          <cell r="A8326">
            <v>45687</v>
          </cell>
          <cell r="B8326" t="str">
            <v>Cà Rốt</v>
          </cell>
          <cell r="C8326" t="str">
            <v>Kg</v>
          </cell>
          <cell r="D8326">
            <v>10000</v>
          </cell>
        </row>
        <row r="8327">
          <cell r="A8327">
            <v>45687</v>
          </cell>
          <cell r="B8327" t="str">
            <v>Cải Kale</v>
          </cell>
          <cell r="C8327" t="str">
            <v>Kg</v>
          </cell>
          <cell r="D8327">
            <v>25000</v>
          </cell>
        </row>
        <row r="8328">
          <cell r="A8328">
            <v>45687</v>
          </cell>
          <cell r="B8328" t="str">
            <v>Bông Cải Xanh Baby</v>
          </cell>
          <cell r="C8328" t="str">
            <v>Kg</v>
          </cell>
          <cell r="D8328">
            <v>25000</v>
          </cell>
        </row>
        <row r="8329">
          <cell r="A8329">
            <v>45687</v>
          </cell>
          <cell r="B8329" t="str">
            <v>Bắp Cải Trái Tim</v>
          </cell>
          <cell r="C8329" t="str">
            <v>Kg</v>
          </cell>
          <cell r="D8329">
            <v>4000</v>
          </cell>
        </row>
        <row r="8330">
          <cell r="A8330">
            <v>45687</v>
          </cell>
          <cell r="B8330" t="str">
            <v>Bông Cải Xanh 7Cm</v>
          </cell>
          <cell r="C8330" t="str">
            <v>Kg</v>
          </cell>
          <cell r="D8330">
            <v>25000</v>
          </cell>
        </row>
        <row r="8331">
          <cell r="A8331">
            <v>45687</v>
          </cell>
          <cell r="B8331" t="str">
            <v>Trái Su Su</v>
          </cell>
          <cell r="C8331" t="str">
            <v>Kg</v>
          </cell>
          <cell r="D8331">
            <v>8000</v>
          </cell>
        </row>
        <row r="8332">
          <cell r="A8332">
            <v>45687</v>
          </cell>
          <cell r="B8332" t="str">
            <v>Chuối Laba</v>
          </cell>
          <cell r="C8332" t="str">
            <v>Kg</v>
          </cell>
          <cell r="D8332">
            <v>14000</v>
          </cell>
        </row>
        <row r="8333">
          <cell r="A8333">
            <v>45687</v>
          </cell>
          <cell r="B8333" t="str">
            <v>Lá Nha Đam</v>
          </cell>
          <cell r="C8333" t="str">
            <v>Kg</v>
          </cell>
          <cell r="D8333">
            <v>14000</v>
          </cell>
        </row>
        <row r="8334">
          <cell r="A8334">
            <v>45687</v>
          </cell>
          <cell r="B8334" t="str">
            <v>Củ Cải Trắng</v>
          </cell>
          <cell r="C8334" t="str">
            <v>Kg</v>
          </cell>
          <cell r="D8334">
            <v>7000</v>
          </cell>
        </row>
        <row r="8335">
          <cell r="A8335">
            <v>45687</v>
          </cell>
          <cell r="B8335" t="str">
            <v>Cà Chua Bi Đỏ</v>
          </cell>
          <cell r="C8335" t="str">
            <v>Hộp 300gr</v>
          </cell>
          <cell r="D8335">
            <v>5400</v>
          </cell>
        </row>
        <row r="8336">
          <cell r="A8336">
            <v>45687</v>
          </cell>
          <cell r="B8336" t="str">
            <v>Củ Khoai Lang Nhật</v>
          </cell>
          <cell r="C8336" t="str">
            <v>Kg</v>
          </cell>
          <cell r="D8336">
            <v>16000</v>
          </cell>
        </row>
        <row r="8337">
          <cell r="A8337">
            <v>45687</v>
          </cell>
          <cell r="B8337" t="str">
            <v>Cà Rốt</v>
          </cell>
          <cell r="C8337" t="str">
            <v>Kg</v>
          </cell>
          <cell r="D8337">
            <v>12000</v>
          </cell>
        </row>
        <row r="8338">
          <cell r="A8338">
            <v>45687</v>
          </cell>
          <cell r="B8338" t="str">
            <v>Bắp Cải Trắng</v>
          </cell>
          <cell r="C8338" t="str">
            <v>Kg</v>
          </cell>
          <cell r="D8338">
            <v>6000</v>
          </cell>
        </row>
        <row r="8339">
          <cell r="A8339">
            <v>45687</v>
          </cell>
          <cell r="B8339" t="str">
            <v>Dưa Leo Thường</v>
          </cell>
          <cell r="C8339" t="str">
            <v>Kg</v>
          </cell>
          <cell r="D8339">
            <v>15000</v>
          </cell>
        </row>
        <row r="8340">
          <cell r="A8340">
            <v>45687</v>
          </cell>
          <cell r="B8340" t="str">
            <v>Trái Khổ Qua</v>
          </cell>
          <cell r="C8340" t="str">
            <v>Kg</v>
          </cell>
          <cell r="D8340">
            <v>32000</v>
          </cell>
        </row>
        <row r="8341">
          <cell r="A8341">
            <v>45687</v>
          </cell>
          <cell r="B8341" t="str">
            <v>Cải Thảo</v>
          </cell>
          <cell r="C8341" t="str">
            <v>Kg</v>
          </cell>
          <cell r="D8341">
            <v>5500</v>
          </cell>
        </row>
        <row r="8342">
          <cell r="A8342">
            <v>45687</v>
          </cell>
          <cell r="B8342" t="str">
            <v>Cần Tây</v>
          </cell>
          <cell r="C8342" t="str">
            <v>Kg</v>
          </cell>
          <cell r="D8342">
            <v>19000</v>
          </cell>
        </row>
        <row r="8343">
          <cell r="A8343">
            <v>45687</v>
          </cell>
          <cell r="B8343" t="str">
            <v>Bắp Cải Trắng</v>
          </cell>
          <cell r="C8343" t="str">
            <v>Kg</v>
          </cell>
          <cell r="D8343">
            <v>5500</v>
          </cell>
        </row>
        <row r="8344">
          <cell r="A8344">
            <v>45687</v>
          </cell>
          <cell r="B8344" t="str">
            <v>Bông Cải Trắng</v>
          </cell>
          <cell r="C8344" t="str">
            <v>Kg</v>
          </cell>
          <cell r="D8344">
            <v>12000</v>
          </cell>
        </row>
        <row r="8345">
          <cell r="A8345">
            <v>45687</v>
          </cell>
          <cell r="B8345" t="str">
            <v>Bí Non Nhật</v>
          </cell>
          <cell r="C8345" t="str">
            <v>Kg</v>
          </cell>
          <cell r="D8345">
            <v>10000</v>
          </cell>
        </row>
        <row r="8346">
          <cell r="A8346">
            <v>45687</v>
          </cell>
          <cell r="B8346" t="str">
            <v>Cà Tím</v>
          </cell>
          <cell r="C8346" t="str">
            <v>Kg</v>
          </cell>
          <cell r="D8346">
            <v>8000</v>
          </cell>
        </row>
        <row r="8347">
          <cell r="A8347">
            <v>45687</v>
          </cell>
          <cell r="B8347" t="str">
            <v>Bông Cải Xanh 7Cm</v>
          </cell>
          <cell r="C8347" t="str">
            <v>Kg</v>
          </cell>
          <cell r="D8347">
            <v>17000</v>
          </cell>
        </row>
        <row r="8348">
          <cell r="A8348">
            <v>45687</v>
          </cell>
          <cell r="B8348" t="str">
            <v>Bông Cải Xanh 7Cm</v>
          </cell>
          <cell r="C8348" t="str">
            <v>Kg</v>
          </cell>
          <cell r="D8348">
            <v>22000</v>
          </cell>
        </row>
        <row r="8349">
          <cell r="A8349">
            <v>45687</v>
          </cell>
          <cell r="B8349" t="str">
            <v>Củ Dền</v>
          </cell>
          <cell r="C8349" t="str">
            <v>Kg</v>
          </cell>
          <cell r="D8349">
            <v>11000</v>
          </cell>
        </row>
        <row r="8350">
          <cell r="A8350">
            <v>45687</v>
          </cell>
          <cell r="B8350" t="str">
            <v>Bắp Cải Tím</v>
          </cell>
          <cell r="C8350" t="str">
            <v>Kg</v>
          </cell>
          <cell r="D8350">
            <v>8000</v>
          </cell>
        </row>
        <row r="8351">
          <cell r="A8351">
            <v>45687</v>
          </cell>
          <cell r="B8351" t="str">
            <v>Bông Cải Xanh 7Cm</v>
          </cell>
          <cell r="C8351" t="str">
            <v>Kg</v>
          </cell>
          <cell r="D8351">
            <v>17000</v>
          </cell>
        </row>
        <row r="8352">
          <cell r="A8352">
            <v>45687</v>
          </cell>
          <cell r="B8352" t="str">
            <v>Bông Cải Xanh 12Cm</v>
          </cell>
          <cell r="C8352" t="str">
            <v>Kg</v>
          </cell>
          <cell r="D8352">
            <v>10000</v>
          </cell>
        </row>
        <row r="8353">
          <cell r="A8353">
            <v>45687</v>
          </cell>
          <cell r="B8353" t="str">
            <v>Bông Cải Xanh 7Cm</v>
          </cell>
          <cell r="C8353" t="str">
            <v>Kg</v>
          </cell>
          <cell r="D8353">
            <v>22000</v>
          </cell>
        </row>
        <row r="8354">
          <cell r="A8354">
            <v>45687</v>
          </cell>
          <cell r="B8354" t="str">
            <v>Xà Lách Thủy Tinh T.C Cây</v>
          </cell>
          <cell r="C8354" t="str">
            <v>Cây</v>
          </cell>
          <cell r="D8354">
            <v>7000</v>
          </cell>
        </row>
        <row r="8355">
          <cell r="A8355">
            <v>45688</v>
          </cell>
          <cell r="B8355" t="str">
            <v>Dầu Do 0.001 S-V</v>
          </cell>
          <cell r="C8355" t="str">
            <v>Lít</v>
          </cell>
          <cell r="D8355">
            <v>19136.36</v>
          </cell>
        </row>
        <row r="8356">
          <cell r="A8356">
            <v>45688</v>
          </cell>
          <cell r="B8356" t="str">
            <v>Cước vận chuyển Bình Tân -Tân Phú - Phạm Văn Đồng - Long Bình - SOME - CTMAX - Jamila - ANAM (01/01/2025)</v>
          </cell>
          <cell r="C8356" t="str">
            <v/>
          </cell>
          <cell r="D8356">
            <v>2050000</v>
          </cell>
        </row>
        <row r="8357">
          <cell r="A8357">
            <v>45688</v>
          </cell>
          <cell r="B8357" t="str">
            <v>Cước vận chuyển Bình Tân -Tân Phú - Phạm Văn Đồng - Long Bình - Quận 2 - 303 - MCT - CTMAX - Gò Vấp - Q6 (02/01/2025)</v>
          </cell>
          <cell r="C8357" t="str">
            <v/>
          </cell>
          <cell r="D8357">
            <v>2150000</v>
          </cell>
        </row>
        <row r="8358">
          <cell r="A8358">
            <v>45688</v>
          </cell>
          <cell r="B8358" t="str">
            <v>Cước vận chuyển Bình Tân -Tân Phú - Phạm Văn Đồng - Long Bình - CTMAX - SOME - ANAM - KCHM - Quận 6 (03/01/2025)</v>
          </cell>
          <cell r="C8358" t="str">
            <v/>
          </cell>
          <cell r="D8358">
            <v>2350000</v>
          </cell>
        </row>
        <row r="8359">
          <cell r="A8359">
            <v>45688</v>
          </cell>
          <cell r="B8359" t="str">
            <v>Cước vận chuyển Bình Tân -Tân Phú - Phạm Văn Đồng - Long Bình - CTMAX - 303 - Quận 2 - MCT - ANAM (04/01/2025)</v>
          </cell>
          <cell r="C8359" t="str">
            <v/>
          </cell>
          <cell r="D8359">
            <v>1900000</v>
          </cell>
        </row>
        <row r="8360">
          <cell r="A8360">
            <v>45688</v>
          </cell>
          <cell r="B8360" t="str">
            <v>Cước vận chuyển Bình Tân -Tân Phú - Phạm Văn Đồng - Long Bình - SOME - CTMAX (05/01/2025)</v>
          </cell>
          <cell r="C8360" t="str">
            <v/>
          </cell>
          <cell r="D8360">
            <v>1800000</v>
          </cell>
        </row>
        <row r="8361">
          <cell r="A8361">
            <v>45688</v>
          </cell>
          <cell r="B8361" t="str">
            <v>Cước vận chuyển Bình Tân - Phạm Văn Đồng - Long Bình - Tân Phú - Jamila - CTMAX - ANAM - Quận 6 (06/01/2025)</v>
          </cell>
          <cell r="C8361" t="str">
            <v/>
          </cell>
          <cell r="D8361">
            <v>2100000</v>
          </cell>
        </row>
        <row r="8362">
          <cell r="A8362">
            <v>45688</v>
          </cell>
          <cell r="B8362" t="str">
            <v>Cước vận chuyển Bình Tân - Tân Phú - Phạm Văn Đồng - KCHM - KC Sỹ - SOME - CTMAX - Quận 2 - 303 - MCT - Jamila - Long Bình (07/01/2025)</v>
          </cell>
          <cell r="C8362" t="str">
            <v/>
          </cell>
          <cell r="D8362">
            <v>2950000</v>
          </cell>
        </row>
        <row r="8363">
          <cell r="A8363">
            <v>45688</v>
          </cell>
          <cell r="B8363" t="str">
            <v>Cước vận chuyển Bình Tân - Tân Phú - Phạm Văn Đồng - Long Bình - KCHM - ANAM - CTMAX (08/01/2025)</v>
          </cell>
          <cell r="C8363" t="str">
            <v/>
          </cell>
          <cell r="D8363">
            <v>2200000</v>
          </cell>
        </row>
        <row r="8364">
          <cell r="A8364">
            <v>45688</v>
          </cell>
          <cell r="B8364" t="str">
            <v>Cước vận chuyển Bình Tân - Tân Phú - Phạm Văn Đồng - Long Bình - KCHM - KC Sỹ - CTMAX - SOME - ANAM - MCT - Quận 2 - 303 (09/01/2025)</v>
          </cell>
          <cell r="C8364" t="str">
            <v/>
          </cell>
          <cell r="D8364">
            <v>2900000</v>
          </cell>
        </row>
        <row r="8365">
          <cell r="A8365">
            <v>45688</v>
          </cell>
          <cell r="B8365" t="str">
            <v>Cước vận chuyển Bình Tân - Tân Phú - Long Bình - Phạm Văn Đồng - ANAM - SOME - Quận 6 (10/01/2025)</v>
          </cell>
          <cell r="C8365" t="str">
            <v/>
          </cell>
          <cell r="D8365">
            <v>1850000</v>
          </cell>
        </row>
        <row r="8366">
          <cell r="A8366">
            <v>45688</v>
          </cell>
          <cell r="B8366" t="str">
            <v>Cước vận chuyển Bình Tân - Phạm Văn Đồng - Long Bình - Tân Phú - Quận 2 - MCT - 303 - CTMAX - ANAM (11/01/2025)</v>
          </cell>
          <cell r="C8366" t="str">
            <v/>
          </cell>
          <cell r="D8366">
            <v>1950000</v>
          </cell>
        </row>
        <row r="8367">
          <cell r="A8367">
            <v>45688</v>
          </cell>
          <cell r="B8367" t="str">
            <v>Cước vận chuyển Bình Tân - Tân Phú - Phạm Văn Đồng - Long Bình - SOME - CTMAX - Quận 6 - ANAM (12/01/2025)</v>
          </cell>
          <cell r="C8367" t="str">
            <v/>
          </cell>
          <cell r="D8367">
            <v>2000000</v>
          </cell>
        </row>
        <row r="8368">
          <cell r="A8368">
            <v>45688</v>
          </cell>
          <cell r="B8368" t="str">
            <v>Cước vận chuyển Bình Tân - Tân Phú - Phạm Văn Đồng - Long Bình - CTMAX - Quận 6 - ANAM - KC Sỹ (13/01/2025)</v>
          </cell>
          <cell r="C8368" t="str">
            <v/>
          </cell>
          <cell r="D8368">
            <v>2350000</v>
          </cell>
        </row>
        <row r="8369">
          <cell r="A8369">
            <v>45688</v>
          </cell>
          <cell r="B8369" t="str">
            <v>Cước vận chuyển Bình Tân - KCHM - KC Sỹ - Tân Phú - Phạm Văn Đồng - Long Bình - SOME - CTMAX - ANAM - Quận 2 - 303 - MCT (14/01/2025)</v>
          </cell>
          <cell r="C8369" t="str">
            <v/>
          </cell>
          <cell r="D8369">
            <v>3000000</v>
          </cell>
        </row>
        <row r="8370">
          <cell r="A8370">
            <v>45688</v>
          </cell>
          <cell r="B8370" t="str">
            <v>Cước vận chuyển Bình Tân - Tân Phú - Phạm Văn Đồng - Long Bình - CTMAX - SOME - KCHM - ANAM (15/01/2025)</v>
          </cell>
          <cell r="C8370" t="str">
            <v/>
          </cell>
          <cell r="D8370">
            <v>2050000</v>
          </cell>
        </row>
        <row r="8371">
          <cell r="A8371">
            <v>45688</v>
          </cell>
          <cell r="B8371" t="str">
            <v>Cước vận chuyển Bình Tân - Tân Phú - Phạm Văn Đồng - CTMAX - MCT - Quận 2 - 303 - Jamila - ANAM - Long Bình - KC Sỹ - KC HM (16/01/2025)</v>
          </cell>
          <cell r="C8371" t="str">
            <v/>
          </cell>
          <cell r="D8371">
            <v>3000000</v>
          </cell>
        </row>
        <row r="8372">
          <cell r="A8372">
            <v>45688</v>
          </cell>
          <cell r="B8372" t="str">
            <v>Cước vận chuyển Bình Tân - Phạm Văn Đồng  - Long Bình - ANAM - KCHM - CTMAX - SOME (17/01/2025)</v>
          </cell>
          <cell r="C8372" t="str">
            <v/>
          </cell>
          <cell r="D8372">
            <v>2100000</v>
          </cell>
        </row>
        <row r="8373">
          <cell r="A8373">
            <v>45688</v>
          </cell>
          <cell r="B8373" t="str">
            <v>Cước vận chuyển Bình Tân - Phạm Văn Đồng  - Long Bình - Tân Phú - MCT - 303 - CTMAX - Quận 6 (18/01/2025)</v>
          </cell>
          <cell r="C8373" t="str">
            <v/>
          </cell>
          <cell r="D8373">
            <v>1950000</v>
          </cell>
        </row>
        <row r="8374">
          <cell r="A8374">
            <v>45688</v>
          </cell>
          <cell r="B8374" t="str">
            <v>Cước vận chuyển Bình Tân - Tân Phú - Phạm Văn Đồng - Long Bình - SOME - CTMAX - ANAM - KC HM (19/01/2025)</v>
          </cell>
          <cell r="C8374" t="str">
            <v/>
          </cell>
          <cell r="D8374">
            <v>2250000</v>
          </cell>
        </row>
        <row r="8375">
          <cell r="A8375">
            <v>45688</v>
          </cell>
          <cell r="B8375" t="str">
            <v>Cước vận chuyển Bình Tân - Tân Phú - Phạm Văn Đồng - Long Bình - ANAM - CTMAX - KCHM (20/01/2025)</v>
          </cell>
          <cell r="C8375" t="str">
            <v/>
          </cell>
          <cell r="D8375">
            <v>2100000</v>
          </cell>
        </row>
        <row r="8376">
          <cell r="A8376">
            <v>45688</v>
          </cell>
          <cell r="B8376" t="str">
            <v>Cước vận chuyển Bình Tân - Tân Phú - Long Bình - Phạm Văn Đồng - KC HM - KC Sỹ - SOME - CTMAX - MCT - Quận 2 - 303 - ANAM (21/01/2025)</v>
          </cell>
          <cell r="C8376" t="str">
            <v/>
          </cell>
          <cell r="D8376">
            <v>3100000</v>
          </cell>
        </row>
        <row r="8377">
          <cell r="A8377">
            <v>45688</v>
          </cell>
          <cell r="B8377" t="str">
            <v>Cước vận chuyển Bình Tân - Tân Phú - Long Bình - Phạm Văn Đồng - SOME - CTMAX - MCT - Quận 2 - 303 - ANAM - KCHM - KC Sỹ (22/01/2025)</v>
          </cell>
          <cell r="C8377" t="str">
            <v/>
          </cell>
          <cell r="D8377">
            <v>3000000</v>
          </cell>
        </row>
        <row r="8378">
          <cell r="A8378">
            <v>45688</v>
          </cell>
          <cell r="B8378" t="str">
            <v>Cước vận chuyển Bình Tân - Tân Phú - Long Bình - Phạm Văn Đồng - CTMAX - KCHM (23/01/2025)</v>
          </cell>
          <cell r="C8378" t="str">
            <v/>
          </cell>
          <cell r="D8378">
            <v>2050000</v>
          </cell>
        </row>
        <row r="8379">
          <cell r="A8379">
            <v>45688</v>
          </cell>
          <cell r="B8379" t="str">
            <v>Cước vận chuyển Bình Tân - Phạm Văn Đồng - Long Bình - CTMAX - Tân Phú - An Lạc - Quận 2 - 303 - ANAM (24/01/2025)</v>
          </cell>
          <cell r="C8379" t="str">
            <v/>
          </cell>
          <cell r="D8379">
            <v>2100000</v>
          </cell>
        </row>
        <row r="8380">
          <cell r="A8380">
            <v>45688</v>
          </cell>
          <cell r="B8380" t="str">
            <v>Cước vận chuyển Bình Tân - CTMAX - SOME - Tân Phú - Long Bình - Phạm Văn Đồng (24/01/2025)</v>
          </cell>
          <cell r="C8380" t="str">
            <v/>
          </cell>
          <cell r="D8380">
            <v>1800000</v>
          </cell>
        </row>
        <row r="8381">
          <cell r="A8381">
            <v>45688</v>
          </cell>
          <cell r="B8381" t="str">
            <v>Cước vận chuyển Bình Tân - Phạm Văn Đồng - Long Bình - Tân Phú - An Lạc (26/01/2025)</v>
          </cell>
          <cell r="C8381" t="str">
            <v/>
          </cell>
          <cell r="D8381">
            <v>1750000</v>
          </cell>
        </row>
        <row r="8382">
          <cell r="A8382">
            <v>45688</v>
          </cell>
          <cell r="B8382" t="str">
            <v>Cước vận chuyển Bình Tân - Tân Phú - SOME - CTMAX (27/01/2025)</v>
          </cell>
          <cell r="C8382" t="str">
            <v/>
          </cell>
          <cell r="D8382">
            <v>3350000</v>
          </cell>
        </row>
        <row r="8383">
          <cell r="A8383">
            <v>45688</v>
          </cell>
          <cell r="B8383" t="str">
            <v>Cước vận chuyển Bình Tân - Tân Phú - SOME - CTMAX - Phạm Văn Đồng (30/01/2025)</v>
          </cell>
          <cell r="C8383" t="str">
            <v/>
          </cell>
          <cell r="D8383">
            <v>1350000</v>
          </cell>
        </row>
        <row r="8384">
          <cell r="A8384">
            <v>45688</v>
          </cell>
          <cell r="B8384" t="str">
            <v>Cước vận chuyển Bình Tân - Tân Phú - SOME - CTMAX  (31/01/2025)</v>
          </cell>
          <cell r="C8384" t="str">
            <v/>
          </cell>
          <cell r="D8384">
            <v>1100000</v>
          </cell>
        </row>
        <row r="8385">
          <cell r="A8385">
            <v>45688</v>
          </cell>
          <cell r="B8385" t="str">
            <v>DO 0.05S-II</v>
          </cell>
          <cell r="C8385" t="str">
            <v>Lít</v>
          </cell>
          <cell r="D8385">
            <v>18718.18</v>
          </cell>
        </row>
        <row r="8386">
          <cell r="A8386">
            <v>45688</v>
          </cell>
          <cell r="B8386" t="str">
            <v>Dầu Do 0.001 S-V</v>
          </cell>
          <cell r="C8386" t="str">
            <v>Lít</v>
          </cell>
          <cell r="D8386">
            <v>19136.36</v>
          </cell>
        </row>
        <row r="8387">
          <cell r="A8387">
            <v>45688</v>
          </cell>
          <cell r="B8387" t="str">
            <v>Bông Cải Xanh 7Cm</v>
          </cell>
          <cell r="C8387" t="str">
            <v>Kg</v>
          </cell>
          <cell r="D8387">
            <v>17000</v>
          </cell>
        </row>
        <row r="8388">
          <cell r="A8388">
            <v>45688</v>
          </cell>
          <cell r="B8388" t="str">
            <v>Bông Cải Xanh 7Cm</v>
          </cell>
          <cell r="C8388" t="str">
            <v>Kg</v>
          </cell>
          <cell r="D8388">
            <v>22000</v>
          </cell>
        </row>
        <row r="8389">
          <cell r="A8389">
            <v>45688</v>
          </cell>
          <cell r="B8389" t="str">
            <v>Bông Cải Xanh 7Cm</v>
          </cell>
          <cell r="C8389" t="str">
            <v>Kg</v>
          </cell>
          <cell r="D8389">
            <v>22000</v>
          </cell>
        </row>
        <row r="8390">
          <cell r="A8390">
            <v>45688</v>
          </cell>
          <cell r="B8390" t="str">
            <v>Cải Bó Xôi</v>
          </cell>
          <cell r="C8390" t="str">
            <v>Kg</v>
          </cell>
          <cell r="D8390">
            <v>22000</v>
          </cell>
        </row>
        <row r="8391">
          <cell r="A8391">
            <v>45688</v>
          </cell>
          <cell r="B8391" t="str">
            <v>Dưa Leo Baby</v>
          </cell>
          <cell r="C8391" t="str">
            <v>Kg</v>
          </cell>
          <cell r="D8391">
            <v>9500</v>
          </cell>
        </row>
        <row r="8392">
          <cell r="A8392">
            <v>45688</v>
          </cell>
          <cell r="B8392" t="str">
            <v>Dưa Leo Baby</v>
          </cell>
          <cell r="C8392" t="str">
            <v>Kg</v>
          </cell>
          <cell r="D8392">
            <v>8000</v>
          </cell>
        </row>
        <row r="8393">
          <cell r="A8393">
            <v>45688</v>
          </cell>
          <cell r="B8393" t="str">
            <v>Gia Công Rau Củ Quả</v>
          </cell>
          <cell r="C8393" t="str">
            <v>Kg</v>
          </cell>
          <cell r="D8393">
            <v>700</v>
          </cell>
        </row>
        <row r="8394">
          <cell r="A8394">
            <v>45688</v>
          </cell>
          <cell r="B8394" t="str">
            <v>Gia Công Rau Củ Quả</v>
          </cell>
          <cell r="C8394" t="str">
            <v>Kg</v>
          </cell>
          <cell r="D8394">
            <v>1700</v>
          </cell>
        </row>
        <row r="8395">
          <cell r="A8395">
            <v>45688</v>
          </cell>
          <cell r="B8395" t="str">
            <v>Gia Công Rau Củ Quả</v>
          </cell>
          <cell r="C8395" t="str">
            <v>Kg</v>
          </cell>
          <cell r="D8395">
            <v>1000</v>
          </cell>
        </row>
        <row r="8396">
          <cell r="A8396">
            <v>45688</v>
          </cell>
          <cell r="B8396" t="str">
            <v>Trái Su Su</v>
          </cell>
          <cell r="C8396" t="str">
            <v>Kg</v>
          </cell>
          <cell r="D8396">
            <v>6000</v>
          </cell>
        </row>
        <row r="8397">
          <cell r="A8397">
            <v>45688</v>
          </cell>
          <cell r="B8397" t="str">
            <v>Cà Chua Beef</v>
          </cell>
          <cell r="C8397" t="str">
            <v>Kg</v>
          </cell>
          <cell r="D8397">
            <v>16000</v>
          </cell>
        </row>
        <row r="8398">
          <cell r="A8398">
            <v>45688</v>
          </cell>
          <cell r="B8398" t="str">
            <v>Bông Cải Xanh 7Cm</v>
          </cell>
          <cell r="C8398" t="str">
            <v>Kg</v>
          </cell>
          <cell r="D8398">
            <v>22000</v>
          </cell>
        </row>
        <row r="8399">
          <cell r="A8399">
            <v>45688</v>
          </cell>
          <cell r="B8399" t="str">
            <v>Hành Paro</v>
          </cell>
          <cell r="C8399" t="str">
            <v>Kg</v>
          </cell>
          <cell r="D8399">
            <v>17000</v>
          </cell>
        </row>
        <row r="8400">
          <cell r="A8400">
            <v>45688</v>
          </cell>
          <cell r="B8400" t="str">
            <v>Bí Ngòi Xanh</v>
          </cell>
          <cell r="C8400" t="str">
            <v>Kg</v>
          </cell>
          <cell r="D8400">
            <v>13000</v>
          </cell>
        </row>
        <row r="8401">
          <cell r="A8401">
            <v>45688</v>
          </cell>
          <cell r="B8401" t="str">
            <v>Xà Lách Lolo Xanh T.C Cây</v>
          </cell>
          <cell r="C8401" t="str">
            <v>Cây</v>
          </cell>
          <cell r="D8401">
            <v>6800</v>
          </cell>
        </row>
        <row r="8402">
          <cell r="A8402">
            <v>45688</v>
          </cell>
          <cell r="B8402" t="str">
            <v>Xà Lách Thủy Tinh T.C Cây</v>
          </cell>
          <cell r="C8402" t="str">
            <v>Cây</v>
          </cell>
          <cell r="D8402">
            <v>6800</v>
          </cell>
        </row>
        <row r="8403">
          <cell r="A8403">
            <v>45688</v>
          </cell>
          <cell r="B8403" t="str">
            <v>Xà Lách Mỡ T.C Cây</v>
          </cell>
          <cell r="C8403" t="str">
            <v>Cây</v>
          </cell>
          <cell r="D8403">
            <v>6800</v>
          </cell>
        </row>
        <row r="8404">
          <cell r="A8404">
            <v>45688</v>
          </cell>
          <cell r="B8404" t="str">
            <v>Xà Lách Mỡ T.C</v>
          </cell>
          <cell r="C8404" t="str">
            <v>Kg</v>
          </cell>
          <cell r="D8404">
            <v>28000</v>
          </cell>
        </row>
        <row r="8405">
          <cell r="A8405">
            <v>45688</v>
          </cell>
          <cell r="B8405" t="str">
            <v>Xà Lách Lolo Xanh T.C</v>
          </cell>
          <cell r="C8405" t="str">
            <v>Kg</v>
          </cell>
          <cell r="D8405">
            <v>28000</v>
          </cell>
        </row>
        <row r="8406">
          <cell r="A8406">
            <v>45688</v>
          </cell>
          <cell r="B8406" t="str">
            <v>Xà Lách Thủy Tinh T.C</v>
          </cell>
          <cell r="C8406" t="str">
            <v>Kg</v>
          </cell>
          <cell r="D8406">
            <v>30000</v>
          </cell>
        </row>
        <row r="8407">
          <cell r="A8407">
            <v>45688</v>
          </cell>
          <cell r="B8407" t="str">
            <v>Bí Ngòi Xanh</v>
          </cell>
          <cell r="C8407" t="str">
            <v>Kg</v>
          </cell>
          <cell r="D8407">
            <v>16000</v>
          </cell>
        </row>
        <row r="8408">
          <cell r="A8408">
            <v>45688</v>
          </cell>
          <cell r="B8408" t="str">
            <v>Rau Bầu Đất</v>
          </cell>
          <cell r="C8408" t="str">
            <v>Kg</v>
          </cell>
          <cell r="D8408">
            <v>35000</v>
          </cell>
        </row>
        <row r="8409">
          <cell r="A8409">
            <v>45688</v>
          </cell>
          <cell r="B8409" t="str">
            <v>Xà Lách Lolo Xanh</v>
          </cell>
          <cell r="C8409" t="str">
            <v>Kg</v>
          </cell>
          <cell r="D8409">
            <v>18000</v>
          </cell>
        </row>
        <row r="8410">
          <cell r="A8410">
            <v>45688</v>
          </cell>
          <cell r="B8410" t="str">
            <v>Măng Tây</v>
          </cell>
          <cell r="C8410" t="str">
            <v>Kg</v>
          </cell>
          <cell r="D8410">
            <v>52000</v>
          </cell>
        </row>
        <row r="8411">
          <cell r="A8411">
            <v>45688</v>
          </cell>
          <cell r="B8411" t="str">
            <v>Củ Su Hào</v>
          </cell>
          <cell r="C8411" t="str">
            <v>Kg</v>
          </cell>
          <cell r="D8411">
            <v>13000</v>
          </cell>
        </row>
        <row r="8412">
          <cell r="A8412">
            <v>45688</v>
          </cell>
          <cell r="B8412" t="str">
            <v>Cà Chua Beef</v>
          </cell>
          <cell r="C8412" t="str">
            <v>Kg</v>
          </cell>
          <cell r="D8412">
            <v>18000</v>
          </cell>
        </row>
        <row r="8413">
          <cell r="A8413">
            <v>45688</v>
          </cell>
          <cell r="B8413" t="str">
            <v>Trái Su Su</v>
          </cell>
          <cell r="C8413" t="str">
            <v>Kg</v>
          </cell>
          <cell r="D8413">
            <v>10000</v>
          </cell>
        </row>
        <row r="8414">
          <cell r="A8414">
            <v>45688</v>
          </cell>
          <cell r="B8414" t="str">
            <v>Lá Nha Đam</v>
          </cell>
          <cell r="C8414" t="str">
            <v>Kg</v>
          </cell>
          <cell r="D8414">
            <v>14000</v>
          </cell>
        </row>
        <row r="8415">
          <cell r="A8415">
            <v>45688</v>
          </cell>
          <cell r="B8415" t="str">
            <v>Bí Đỏ Hồ Lô</v>
          </cell>
          <cell r="C8415" t="str">
            <v>Kg</v>
          </cell>
          <cell r="D8415">
            <v>9500</v>
          </cell>
        </row>
        <row r="8416">
          <cell r="A8416">
            <v>45688</v>
          </cell>
          <cell r="B8416" t="str">
            <v>Xà Lách Thủy Tinh T.C Cây</v>
          </cell>
          <cell r="C8416" t="str">
            <v>Cây</v>
          </cell>
          <cell r="D8416">
            <v>7000</v>
          </cell>
        </row>
        <row r="8417">
          <cell r="A8417">
            <v>45688</v>
          </cell>
          <cell r="B8417" t="str">
            <v>Củ Khoai Lang Nhật</v>
          </cell>
          <cell r="C8417" t="str">
            <v>Kg</v>
          </cell>
          <cell r="D8417">
            <v>18000</v>
          </cell>
        </row>
        <row r="8418">
          <cell r="A8418">
            <v>45688</v>
          </cell>
          <cell r="B8418" t="str">
            <v>Củ Cải Trắng</v>
          </cell>
          <cell r="C8418" t="str">
            <v>Kg</v>
          </cell>
          <cell r="D8418">
            <v>6500</v>
          </cell>
        </row>
        <row r="8419">
          <cell r="A8419">
            <v>45688</v>
          </cell>
          <cell r="B8419" t="str">
            <v>Trái Su Su</v>
          </cell>
          <cell r="C8419" t="str">
            <v>Kg</v>
          </cell>
          <cell r="D8419">
            <v>9000</v>
          </cell>
        </row>
        <row r="8420">
          <cell r="A8420">
            <v>45688</v>
          </cell>
          <cell r="B8420" t="str">
            <v>Củ Gừng</v>
          </cell>
          <cell r="C8420" t="str">
            <v>Kg</v>
          </cell>
          <cell r="D8420">
            <v>18000</v>
          </cell>
        </row>
        <row r="8421">
          <cell r="A8421">
            <v>45688</v>
          </cell>
          <cell r="B8421" t="str">
            <v>Dưa Leo Thường</v>
          </cell>
          <cell r="C8421" t="str">
            <v>Kg</v>
          </cell>
          <cell r="D8421">
            <v>13000</v>
          </cell>
        </row>
        <row r="8422">
          <cell r="A8422">
            <v>45688</v>
          </cell>
          <cell r="B8422" t="str">
            <v>Dưa Leo Baby</v>
          </cell>
          <cell r="C8422" t="str">
            <v>Vỉ</v>
          </cell>
          <cell r="D8422">
            <v>7000</v>
          </cell>
        </row>
        <row r="8423">
          <cell r="A8423">
            <v>45688</v>
          </cell>
          <cell r="B8423" t="str">
            <v>Ớt Sweet Palemo</v>
          </cell>
          <cell r="C8423" t="str">
            <v>Kg</v>
          </cell>
          <cell r="D8423">
            <v>55000</v>
          </cell>
        </row>
        <row r="8424">
          <cell r="A8424">
            <v>45688</v>
          </cell>
          <cell r="B8424" t="str">
            <v>Cà Chua Socola</v>
          </cell>
          <cell r="C8424" t="str">
            <v>Kg</v>
          </cell>
          <cell r="D8424">
            <v>39000</v>
          </cell>
        </row>
        <row r="8425">
          <cell r="A8425">
            <v>45688</v>
          </cell>
          <cell r="B8425" t="str">
            <v>Cà Chua Bi Đỏ</v>
          </cell>
          <cell r="C8425" t="str">
            <v>Kg</v>
          </cell>
          <cell r="D8425">
            <v>45000</v>
          </cell>
        </row>
        <row r="8426">
          <cell r="A8426">
            <v>45688</v>
          </cell>
          <cell r="B8426" t="str">
            <v>Cà Chua Bi Cam Sữa</v>
          </cell>
          <cell r="C8426" t="str">
            <v>Kg</v>
          </cell>
          <cell r="D8426">
            <v>45000</v>
          </cell>
        </row>
        <row r="8427">
          <cell r="A8427">
            <v>45688</v>
          </cell>
          <cell r="B8427" t="str">
            <v>Củ Dền</v>
          </cell>
          <cell r="C8427" t="str">
            <v>Kg</v>
          </cell>
          <cell r="D8427">
            <v>11000</v>
          </cell>
        </row>
        <row r="8428">
          <cell r="A8428">
            <v>45688</v>
          </cell>
          <cell r="B8428" t="str">
            <v>Dưa Leo Thường</v>
          </cell>
          <cell r="C8428" t="str">
            <v>Kg</v>
          </cell>
          <cell r="D8428">
            <v>20000</v>
          </cell>
        </row>
        <row r="8429">
          <cell r="A8429">
            <v>45688</v>
          </cell>
          <cell r="B8429" t="str">
            <v>Đậu Cove Trắng</v>
          </cell>
          <cell r="C8429" t="str">
            <v>Túi 500gr</v>
          </cell>
          <cell r="D8429">
            <v>13000</v>
          </cell>
        </row>
        <row r="8430">
          <cell r="A8430">
            <v>45688</v>
          </cell>
          <cell r="B8430" t="str">
            <v>Đậu Cove Nhật</v>
          </cell>
          <cell r="C8430" t="str">
            <v>Túi</v>
          </cell>
          <cell r="D8430">
            <v>11000</v>
          </cell>
        </row>
        <row r="8431">
          <cell r="A8431">
            <v>45688</v>
          </cell>
          <cell r="B8431" t="str">
            <v>Cà Chua Bi Mix</v>
          </cell>
          <cell r="C8431" t="str">
            <v>Hộp</v>
          </cell>
          <cell r="D8431">
            <v>12000</v>
          </cell>
        </row>
        <row r="8432">
          <cell r="A8432">
            <v>45688</v>
          </cell>
          <cell r="B8432" t="str">
            <v>Cải Kale</v>
          </cell>
          <cell r="C8432" t="str">
            <v>Túi</v>
          </cell>
          <cell r="D8432">
            <v>7500</v>
          </cell>
        </row>
        <row r="8433">
          <cell r="A8433">
            <v>45688</v>
          </cell>
          <cell r="B8433" t="str">
            <v>Cà Chua Socola</v>
          </cell>
          <cell r="C8433" t="str">
            <v>Hộp 300gr</v>
          </cell>
          <cell r="D8433">
            <v>12000</v>
          </cell>
        </row>
        <row r="8434">
          <cell r="A8434">
            <v>45688</v>
          </cell>
          <cell r="B8434" t="str">
            <v>Cải Thảo</v>
          </cell>
          <cell r="C8434" t="str">
            <v>Kg</v>
          </cell>
          <cell r="D8434">
            <v>5500</v>
          </cell>
        </row>
        <row r="8435">
          <cell r="A8435">
            <v>45689</v>
          </cell>
          <cell r="B8435" t="str">
            <v>DO 0.05S-II</v>
          </cell>
          <cell r="C8435" t="str">
            <v>Lít</v>
          </cell>
          <cell r="D8435">
            <v>18718.18</v>
          </cell>
        </row>
        <row r="8436">
          <cell r="A8436">
            <v>45689</v>
          </cell>
          <cell r="B8436" t="str">
            <v>Rau Bầu Đất</v>
          </cell>
          <cell r="C8436" t="str">
            <v>Kg</v>
          </cell>
          <cell r="D8436">
            <v>35000</v>
          </cell>
        </row>
        <row r="8437">
          <cell r="A8437">
            <v>45689</v>
          </cell>
          <cell r="B8437" t="str">
            <v>Xà Lách Carol</v>
          </cell>
          <cell r="C8437" t="str">
            <v>Kg</v>
          </cell>
          <cell r="D8437">
            <v>32000</v>
          </cell>
        </row>
        <row r="8438">
          <cell r="A8438">
            <v>45689</v>
          </cell>
          <cell r="B8438" t="str">
            <v>Xà Lách Rocket</v>
          </cell>
          <cell r="C8438" t="str">
            <v>Kg</v>
          </cell>
          <cell r="D8438">
            <v>140000</v>
          </cell>
        </row>
        <row r="8439">
          <cell r="A8439">
            <v>45689</v>
          </cell>
          <cell r="B8439" t="str">
            <v>Dưa Leo Thường</v>
          </cell>
          <cell r="C8439" t="str">
            <v>Kg</v>
          </cell>
          <cell r="D8439">
            <v>12000</v>
          </cell>
        </row>
        <row r="8440">
          <cell r="A8440">
            <v>45689</v>
          </cell>
          <cell r="B8440" t="str">
            <v>Dưa Leo Nhật</v>
          </cell>
          <cell r="C8440" t="str">
            <v>Kg</v>
          </cell>
          <cell r="D8440">
            <v>16000</v>
          </cell>
        </row>
        <row r="8441">
          <cell r="A8441">
            <v>45689</v>
          </cell>
          <cell r="B8441" t="str">
            <v>Cà Chua Socola</v>
          </cell>
          <cell r="C8441" t="str">
            <v>Hộp 250GR</v>
          </cell>
          <cell r="D8441">
            <v>7500</v>
          </cell>
        </row>
        <row r="8442">
          <cell r="A8442">
            <v>45689</v>
          </cell>
          <cell r="B8442" t="str">
            <v>Ớt Chuông Đỏ</v>
          </cell>
          <cell r="C8442" t="str">
            <v>Kg</v>
          </cell>
          <cell r="D8442">
            <v>38000</v>
          </cell>
        </row>
        <row r="8443">
          <cell r="A8443">
            <v>45689</v>
          </cell>
          <cell r="B8443" t="str">
            <v>Củ Khoai Tây Vàng</v>
          </cell>
          <cell r="C8443" t="str">
            <v>Kg</v>
          </cell>
          <cell r="D8443">
            <v>16000</v>
          </cell>
        </row>
        <row r="8444">
          <cell r="A8444">
            <v>45689</v>
          </cell>
          <cell r="B8444" t="str">
            <v>Củ Cải Trắng</v>
          </cell>
          <cell r="C8444" t="str">
            <v>Kg</v>
          </cell>
          <cell r="D8444">
            <v>6500</v>
          </cell>
        </row>
        <row r="8445">
          <cell r="A8445">
            <v>45689</v>
          </cell>
          <cell r="B8445" t="str">
            <v>Cà Rốt</v>
          </cell>
          <cell r="C8445" t="str">
            <v>Kg</v>
          </cell>
          <cell r="D8445">
            <v>10000</v>
          </cell>
        </row>
        <row r="8446">
          <cell r="A8446">
            <v>45689</v>
          </cell>
          <cell r="B8446" t="str">
            <v>Bông Cải Xanh 7Cm</v>
          </cell>
          <cell r="C8446" t="str">
            <v>Kg</v>
          </cell>
          <cell r="D8446">
            <v>22000</v>
          </cell>
        </row>
        <row r="8447">
          <cell r="A8447">
            <v>45689</v>
          </cell>
          <cell r="B8447" t="str">
            <v>Bông Cải Xanh 7Cm</v>
          </cell>
          <cell r="C8447" t="str">
            <v>Kg</v>
          </cell>
          <cell r="D8447">
            <v>10000</v>
          </cell>
        </row>
        <row r="8448">
          <cell r="A8448">
            <v>45689</v>
          </cell>
          <cell r="B8448" t="str">
            <v>Bông Cải Trắng</v>
          </cell>
          <cell r="C8448" t="str">
            <v>Kg</v>
          </cell>
          <cell r="D8448">
            <v>12000</v>
          </cell>
        </row>
        <row r="8449">
          <cell r="A8449">
            <v>45689</v>
          </cell>
          <cell r="B8449" t="str">
            <v>Củ Su Hào</v>
          </cell>
          <cell r="C8449" t="str">
            <v>Kg</v>
          </cell>
          <cell r="D8449">
            <v>13000</v>
          </cell>
        </row>
        <row r="8450">
          <cell r="A8450">
            <v>45689</v>
          </cell>
          <cell r="B8450" t="str">
            <v>Cải Thảo</v>
          </cell>
          <cell r="C8450" t="str">
            <v>Kg</v>
          </cell>
          <cell r="D8450">
            <v>5500</v>
          </cell>
        </row>
        <row r="8451">
          <cell r="A8451">
            <v>45689</v>
          </cell>
          <cell r="B8451" t="str">
            <v>Cà Chua Beef</v>
          </cell>
          <cell r="C8451" t="str">
            <v>Kg</v>
          </cell>
          <cell r="D8451">
            <v>16000</v>
          </cell>
        </row>
        <row r="8452">
          <cell r="A8452">
            <v>45689</v>
          </cell>
          <cell r="B8452" t="str">
            <v>Cà Chua Beef Trung</v>
          </cell>
          <cell r="C8452" t="str">
            <v>Kg</v>
          </cell>
          <cell r="D8452">
            <v>13000</v>
          </cell>
        </row>
        <row r="8453">
          <cell r="A8453">
            <v>45689</v>
          </cell>
          <cell r="B8453" t="str">
            <v>Xà Lách Lolo Xanh T.C Cây</v>
          </cell>
          <cell r="C8453" t="str">
            <v>Cây</v>
          </cell>
          <cell r="D8453">
            <v>6800</v>
          </cell>
        </row>
        <row r="8454">
          <cell r="A8454">
            <v>45689</v>
          </cell>
          <cell r="B8454" t="str">
            <v>Xà Lách Thủy Tinh T.C Cây</v>
          </cell>
          <cell r="C8454" t="str">
            <v>Cây</v>
          </cell>
          <cell r="D8454">
            <v>6800</v>
          </cell>
        </row>
        <row r="8455">
          <cell r="A8455">
            <v>45689</v>
          </cell>
          <cell r="B8455" t="str">
            <v>Xà Lách Mỡ T.C Cây</v>
          </cell>
          <cell r="C8455" t="str">
            <v>Cây</v>
          </cell>
          <cell r="D8455">
            <v>6800</v>
          </cell>
        </row>
        <row r="8456">
          <cell r="A8456">
            <v>45689</v>
          </cell>
          <cell r="B8456" t="str">
            <v>Xà Lách Mỡ T.C</v>
          </cell>
          <cell r="C8456" t="str">
            <v>Kg</v>
          </cell>
          <cell r="D8456">
            <v>28000</v>
          </cell>
        </row>
        <row r="8457">
          <cell r="A8457">
            <v>45689</v>
          </cell>
          <cell r="B8457" t="str">
            <v>Xà Lách Thủy Tinh T.C</v>
          </cell>
          <cell r="C8457" t="str">
            <v>Kg</v>
          </cell>
          <cell r="D8457">
            <v>30000</v>
          </cell>
        </row>
        <row r="8458">
          <cell r="A8458">
            <v>45689</v>
          </cell>
          <cell r="B8458" t="str">
            <v>Dưa Leo Baby</v>
          </cell>
          <cell r="C8458" t="str">
            <v>Kg</v>
          </cell>
          <cell r="D8458">
            <v>8000</v>
          </cell>
        </row>
        <row r="8459">
          <cell r="A8459">
            <v>45689</v>
          </cell>
          <cell r="B8459" t="str">
            <v>Gia Công Rau Củ Quả</v>
          </cell>
          <cell r="C8459" t="str">
            <v>Kg</v>
          </cell>
          <cell r="D8459">
            <v>700</v>
          </cell>
        </row>
        <row r="8460">
          <cell r="A8460">
            <v>45689</v>
          </cell>
          <cell r="B8460" t="str">
            <v>Gia Công Rau Củ Quả</v>
          </cell>
          <cell r="C8460" t="str">
            <v>Kg</v>
          </cell>
          <cell r="D8460">
            <v>700</v>
          </cell>
        </row>
        <row r="8461">
          <cell r="A8461">
            <v>45689</v>
          </cell>
          <cell r="B8461" t="str">
            <v>Gia Công Rau Củ Quả</v>
          </cell>
          <cell r="C8461" t="str">
            <v>Kg</v>
          </cell>
          <cell r="D8461">
            <v>1000</v>
          </cell>
        </row>
        <row r="8462">
          <cell r="A8462">
            <v>45689</v>
          </cell>
          <cell r="B8462" t="str">
            <v>Cà Rốt</v>
          </cell>
          <cell r="C8462" t="str">
            <v>Kg</v>
          </cell>
          <cell r="D8462">
            <v>10000</v>
          </cell>
        </row>
        <row r="8463">
          <cell r="A8463">
            <v>45689</v>
          </cell>
          <cell r="B8463" t="str">
            <v>Củ Khoai Lang Nhật</v>
          </cell>
          <cell r="C8463" t="str">
            <v>Kg</v>
          </cell>
          <cell r="D8463">
            <v>18000</v>
          </cell>
        </row>
        <row r="8464">
          <cell r="A8464">
            <v>45689</v>
          </cell>
          <cell r="B8464" t="str">
            <v>Cà Chua Thường</v>
          </cell>
          <cell r="C8464" t="str">
            <v>Kg</v>
          </cell>
          <cell r="D8464">
            <v>13000</v>
          </cell>
        </row>
        <row r="8465">
          <cell r="A8465">
            <v>45689</v>
          </cell>
          <cell r="B8465" t="str">
            <v>Trái Khổ Qua</v>
          </cell>
          <cell r="C8465" t="str">
            <v>Kg</v>
          </cell>
          <cell r="D8465">
            <v>15000</v>
          </cell>
        </row>
        <row r="8466">
          <cell r="A8466">
            <v>45689</v>
          </cell>
          <cell r="B8466" t="str">
            <v>Đậu Cove Nhật</v>
          </cell>
          <cell r="C8466" t="str">
            <v>Túi</v>
          </cell>
          <cell r="D8466">
            <v>6000</v>
          </cell>
        </row>
        <row r="8467">
          <cell r="A8467">
            <v>45689</v>
          </cell>
          <cell r="B8467" t="str">
            <v>Xà Lách Mỡ T.C</v>
          </cell>
          <cell r="C8467" t="str">
            <v>Kg</v>
          </cell>
          <cell r="D8467">
            <v>24000</v>
          </cell>
        </row>
        <row r="8468">
          <cell r="A8468">
            <v>45689</v>
          </cell>
          <cell r="B8468" t="str">
            <v>Xà Lách Lolo Xanh T.C</v>
          </cell>
          <cell r="C8468" t="str">
            <v>Kg</v>
          </cell>
          <cell r="D8468">
            <v>25000</v>
          </cell>
        </row>
        <row r="8469">
          <cell r="A8469">
            <v>45689</v>
          </cell>
          <cell r="B8469" t="str">
            <v>Cà Rốt</v>
          </cell>
          <cell r="C8469" t="str">
            <v>Kg</v>
          </cell>
          <cell r="D8469">
            <v>9500</v>
          </cell>
        </row>
        <row r="8470">
          <cell r="A8470">
            <v>45689</v>
          </cell>
          <cell r="B8470" t="str">
            <v>Bí Đỏ Hồ Lô</v>
          </cell>
          <cell r="C8470" t="str">
            <v>Kg</v>
          </cell>
          <cell r="D8470">
            <v>9500</v>
          </cell>
        </row>
        <row r="8471">
          <cell r="A8471">
            <v>45689</v>
          </cell>
          <cell r="B8471" t="str">
            <v>Dưa Leo Baby</v>
          </cell>
          <cell r="C8471" t="str">
            <v>Vỉ</v>
          </cell>
          <cell r="D8471">
            <v>6500</v>
          </cell>
        </row>
        <row r="8472">
          <cell r="A8472">
            <v>45689</v>
          </cell>
          <cell r="B8472" t="str">
            <v>Xà Lách Mỡ T.C</v>
          </cell>
          <cell r="C8472" t="str">
            <v>Kg</v>
          </cell>
          <cell r="D8472">
            <v>26000</v>
          </cell>
        </row>
        <row r="8473">
          <cell r="A8473">
            <v>45689</v>
          </cell>
          <cell r="B8473" t="str">
            <v>Xà Lách Thủy Tinh T.C Cây</v>
          </cell>
          <cell r="C8473" t="str">
            <v>Cây</v>
          </cell>
          <cell r="D8473">
            <v>7500</v>
          </cell>
        </row>
        <row r="8474">
          <cell r="A8474">
            <v>45689</v>
          </cell>
          <cell r="B8474" t="str">
            <v>Xà Lách Lolo Xanh T.C</v>
          </cell>
          <cell r="C8474" t="str">
            <v>Kg</v>
          </cell>
          <cell r="D8474">
            <v>26000</v>
          </cell>
        </row>
        <row r="8475">
          <cell r="A8475">
            <v>45689</v>
          </cell>
          <cell r="B8475" t="str">
            <v>Cà Chua Bi Đỏ</v>
          </cell>
          <cell r="C8475" t="str">
            <v>Hộp 300gr</v>
          </cell>
          <cell r="D8475">
            <v>5400</v>
          </cell>
        </row>
        <row r="8476">
          <cell r="A8476">
            <v>45689</v>
          </cell>
          <cell r="B8476" t="str">
            <v>Bông Cải Xanh 7Cm</v>
          </cell>
          <cell r="C8476" t="str">
            <v>Kg</v>
          </cell>
          <cell r="D8476">
            <v>20000</v>
          </cell>
        </row>
        <row r="8477">
          <cell r="A8477">
            <v>45689</v>
          </cell>
          <cell r="B8477" t="str">
            <v>Bông Cải Xanh 7Cm</v>
          </cell>
          <cell r="C8477" t="str">
            <v>Kg</v>
          </cell>
          <cell r="D8477">
            <v>17000</v>
          </cell>
        </row>
        <row r="8478">
          <cell r="A8478">
            <v>45689</v>
          </cell>
          <cell r="B8478" t="str">
            <v>Bông Cải Xanh 12Cm</v>
          </cell>
          <cell r="C8478" t="str">
            <v>Kg</v>
          </cell>
          <cell r="D8478">
            <v>10000</v>
          </cell>
        </row>
        <row r="8479">
          <cell r="A8479">
            <v>45689</v>
          </cell>
          <cell r="B8479" t="str">
            <v>Bắp Cải Tím</v>
          </cell>
          <cell r="C8479" t="str">
            <v>Kg</v>
          </cell>
          <cell r="D8479">
            <v>8000</v>
          </cell>
        </row>
        <row r="8480">
          <cell r="A8480">
            <v>45689</v>
          </cell>
          <cell r="B8480" t="str">
            <v>Ớt Sweet Palemo</v>
          </cell>
          <cell r="C8480" t="str">
            <v>Túi</v>
          </cell>
          <cell r="D8480">
            <v>18000</v>
          </cell>
        </row>
        <row r="8481">
          <cell r="A8481">
            <v>45689</v>
          </cell>
          <cell r="B8481" t="str">
            <v>Ớt Chuông Baby</v>
          </cell>
          <cell r="C8481" t="str">
            <v>Kg</v>
          </cell>
          <cell r="D8481">
            <v>55000</v>
          </cell>
        </row>
        <row r="8482">
          <cell r="A8482">
            <v>45689</v>
          </cell>
          <cell r="B8482" t="str">
            <v>Rau Ngò Rí</v>
          </cell>
          <cell r="C8482" t="str">
            <v>Kg</v>
          </cell>
          <cell r="D8482">
            <v>35000</v>
          </cell>
        </row>
        <row r="8483">
          <cell r="A8483">
            <v>45689</v>
          </cell>
          <cell r="B8483" t="str">
            <v>Cải Bó Xôi</v>
          </cell>
          <cell r="C8483" t="str">
            <v>Kg</v>
          </cell>
          <cell r="D8483">
            <v>20000</v>
          </cell>
        </row>
        <row r="8484">
          <cell r="A8484">
            <v>45689</v>
          </cell>
          <cell r="B8484" t="str">
            <v>Hành Paro</v>
          </cell>
          <cell r="C8484" t="str">
            <v>Kg</v>
          </cell>
          <cell r="D8484">
            <v>17000</v>
          </cell>
        </row>
        <row r="8485">
          <cell r="A8485">
            <v>45689</v>
          </cell>
          <cell r="B8485" t="str">
            <v>Bí Ngòi Vàng</v>
          </cell>
          <cell r="C8485" t="str">
            <v>Kg</v>
          </cell>
          <cell r="D8485">
            <v>11000</v>
          </cell>
        </row>
        <row r="8486">
          <cell r="A8486">
            <v>45689</v>
          </cell>
          <cell r="B8486" t="str">
            <v>Măng Tây</v>
          </cell>
          <cell r="C8486" t="str">
            <v>Kg</v>
          </cell>
          <cell r="D8486">
            <v>54000</v>
          </cell>
        </row>
        <row r="8487">
          <cell r="A8487">
            <v>45689</v>
          </cell>
          <cell r="B8487" t="str">
            <v>Lá É</v>
          </cell>
          <cell r="C8487" t="str">
            <v>Kg</v>
          </cell>
          <cell r="D8487">
            <v>30000</v>
          </cell>
        </row>
        <row r="8488">
          <cell r="A8488">
            <v>45689</v>
          </cell>
          <cell r="B8488" t="str">
            <v>Ớt Chuông Đỏ</v>
          </cell>
          <cell r="C8488" t="str">
            <v>Kg</v>
          </cell>
          <cell r="D8488">
            <v>52000</v>
          </cell>
        </row>
        <row r="8489">
          <cell r="A8489">
            <v>45689</v>
          </cell>
          <cell r="B8489" t="str">
            <v>Ớt Chuông Vàng</v>
          </cell>
          <cell r="C8489" t="str">
            <v>Kg</v>
          </cell>
          <cell r="D8489">
            <v>52000</v>
          </cell>
        </row>
        <row r="8490">
          <cell r="A8490">
            <v>45689</v>
          </cell>
          <cell r="B8490" t="str">
            <v>Ớt Chuông Baby</v>
          </cell>
          <cell r="C8490" t="str">
            <v>Kg</v>
          </cell>
          <cell r="D8490">
            <v>60000</v>
          </cell>
        </row>
        <row r="8491">
          <cell r="A8491">
            <v>45689</v>
          </cell>
          <cell r="B8491" t="str">
            <v>Ớt Chuông Đỏ Trung</v>
          </cell>
          <cell r="C8491" t="str">
            <v>Kg</v>
          </cell>
          <cell r="D8491">
            <v>47000</v>
          </cell>
        </row>
        <row r="8492">
          <cell r="A8492">
            <v>45689</v>
          </cell>
          <cell r="B8492" t="str">
            <v>Ớt Chuông Vàng Trung</v>
          </cell>
          <cell r="C8492" t="str">
            <v>Kg</v>
          </cell>
          <cell r="D8492">
            <v>47000</v>
          </cell>
        </row>
        <row r="8493">
          <cell r="A8493">
            <v>45689</v>
          </cell>
          <cell r="B8493" t="str">
            <v>Ớt Sweet Palemo</v>
          </cell>
          <cell r="C8493" t="str">
            <v>Kg</v>
          </cell>
          <cell r="D8493">
            <v>50000</v>
          </cell>
        </row>
        <row r="8494">
          <cell r="A8494">
            <v>45689</v>
          </cell>
          <cell r="B8494" t="str">
            <v>Ớt Sweet Palemo</v>
          </cell>
          <cell r="C8494" t="str">
            <v>Kg</v>
          </cell>
          <cell r="D8494">
            <v>40000</v>
          </cell>
        </row>
        <row r="8495">
          <cell r="A8495">
            <v>45689</v>
          </cell>
          <cell r="B8495" t="str">
            <v>Ớt Chuông Snack</v>
          </cell>
          <cell r="C8495" t="str">
            <v>Kg</v>
          </cell>
          <cell r="D8495">
            <v>60000</v>
          </cell>
        </row>
        <row r="8496">
          <cell r="A8496">
            <v>45689</v>
          </cell>
          <cell r="B8496" t="str">
            <v>Cà Chua Socola</v>
          </cell>
          <cell r="C8496" t="str">
            <v>Hộp 250GR</v>
          </cell>
          <cell r="D8496">
            <v>9000</v>
          </cell>
        </row>
        <row r="8497">
          <cell r="A8497">
            <v>45689</v>
          </cell>
          <cell r="B8497" t="str">
            <v>Củ Cải Đỏ</v>
          </cell>
          <cell r="C8497" t="str">
            <v>Hộp</v>
          </cell>
          <cell r="D8497">
            <v>11000</v>
          </cell>
        </row>
        <row r="8498">
          <cell r="A8498">
            <v>45689</v>
          </cell>
          <cell r="B8498" t="str">
            <v>Bông Cải Xanh Baby</v>
          </cell>
          <cell r="C8498" t="str">
            <v>Vỉ</v>
          </cell>
          <cell r="D8498">
            <v>6000</v>
          </cell>
        </row>
        <row r="8499">
          <cell r="A8499">
            <v>45689</v>
          </cell>
          <cell r="B8499" t="str">
            <v>Cà Chua Beef Trung</v>
          </cell>
          <cell r="C8499" t="str">
            <v>Vỉ 500gr</v>
          </cell>
          <cell r="D8499">
            <v>10000</v>
          </cell>
        </row>
        <row r="8500">
          <cell r="A8500">
            <v>45689</v>
          </cell>
          <cell r="B8500" t="str">
            <v>Xà Lách Lolo Xanh</v>
          </cell>
          <cell r="C8500" t="str">
            <v>Kg</v>
          </cell>
          <cell r="D8500">
            <v>19000</v>
          </cell>
        </row>
        <row r="8501">
          <cell r="A8501">
            <v>45689</v>
          </cell>
          <cell r="B8501" t="str">
            <v>Xà Lách Lolo Xanh</v>
          </cell>
          <cell r="C8501" t="str">
            <v>Kg</v>
          </cell>
          <cell r="D8501">
            <v>16000</v>
          </cell>
        </row>
        <row r="8502">
          <cell r="A8502">
            <v>45689</v>
          </cell>
          <cell r="B8502" t="str">
            <v>Ớt Sweet Palemo</v>
          </cell>
          <cell r="C8502" t="str">
            <v>Túi</v>
          </cell>
          <cell r="D8502">
            <v>18000</v>
          </cell>
        </row>
        <row r="8503">
          <cell r="A8503">
            <v>45689</v>
          </cell>
          <cell r="B8503" t="str">
            <v>Lá Mè</v>
          </cell>
          <cell r="C8503" t="str">
            <v>Túi</v>
          </cell>
          <cell r="D8503">
            <v>3400</v>
          </cell>
        </row>
        <row r="8504">
          <cell r="A8504">
            <v>45689</v>
          </cell>
          <cell r="B8504" t="str">
            <v>Cà Rốt Baby</v>
          </cell>
          <cell r="C8504" t="str">
            <v>Vỉ</v>
          </cell>
          <cell r="D8504">
            <v>6000</v>
          </cell>
        </row>
        <row r="8505">
          <cell r="A8505">
            <v>45689</v>
          </cell>
          <cell r="B8505" t="str">
            <v>Cải Kale</v>
          </cell>
          <cell r="C8505" t="str">
            <v>Túi</v>
          </cell>
          <cell r="D8505">
            <v>3300</v>
          </cell>
        </row>
        <row r="8506">
          <cell r="A8506">
            <v>45689</v>
          </cell>
          <cell r="B8506" t="str">
            <v>Cải Kale</v>
          </cell>
          <cell r="C8506" t="str">
            <v>Túi 150gr</v>
          </cell>
          <cell r="D8506">
            <v>1800</v>
          </cell>
        </row>
        <row r="8507">
          <cell r="A8507">
            <v>45689</v>
          </cell>
          <cell r="B8507" t="str">
            <v>Cà Chua Bi Mix</v>
          </cell>
          <cell r="C8507" t="str">
            <v>Hộp</v>
          </cell>
          <cell r="D8507">
            <v>12000</v>
          </cell>
        </row>
        <row r="8508">
          <cell r="A8508">
            <v>45689</v>
          </cell>
          <cell r="B8508" t="str">
            <v>Cà Chua Socola</v>
          </cell>
          <cell r="C8508" t="str">
            <v>Hộp 300gr</v>
          </cell>
          <cell r="D8508">
            <v>12000</v>
          </cell>
        </row>
        <row r="8509">
          <cell r="A8509">
            <v>45689</v>
          </cell>
          <cell r="B8509" t="str">
            <v>Xà Lách Mỹ</v>
          </cell>
          <cell r="C8509" t="str">
            <v>Kg</v>
          </cell>
          <cell r="D8509">
            <v>18000</v>
          </cell>
        </row>
        <row r="8510">
          <cell r="A8510">
            <v>45689</v>
          </cell>
          <cell r="B8510" t="str">
            <v>Cải Bó Xôi</v>
          </cell>
          <cell r="C8510" t="str">
            <v>Túi</v>
          </cell>
          <cell r="D8510">
            <v>7500</v>
          </cell>
        </row>
        <row r="8511">
          <cell r="A8511">
            <v>45689</v>
          </cell>
          <cell r="B8511" t="str">
            <v>CT-DUA LEO BB</v>
          </cell>
          <cell r="C8511" t="str">
            <v>Kg</v>
          </cell>
          <cell r="D8511">
            <v>18666</v>
          </cell>
        </row>
        <row r="8512">
          <cell r="A8512">
            <v>45690</v>
          </cell>
          <cell r="B8512" t="str">
            <v>Dầu Do 0.001 S-V</v>
          </cell>
          <cell r="C8512" t="str">
            <v>Lít</v>
          </cell>
          <cell r="D8512">
            <v>18254.54</v>
          </cell>
        </row>
        <row r="8513">
          <cell r="A8513">
            <v>45690</v>
          </cell>
          <cell r="B8513" t="str">
            <v>THUE PHONG DAI HAN - Actual Apt Rental - (01/02/2025 - 28/02/2025)</v>
          </cell>
          <cell r="C8513" t="str">
            <v>Gói</v>
          </cell>
          <cell r="D8513">
            <v>2782931.36</v>
          </cell>
        </row>
        <row r="8514">
          <cell r="A8514">
            <v>45690</v>
          </cell>
          <cell r="B8514" t="str">
            <v>PHI PHUC VU - Actual LT Service Charge - (01/02/2025 - 28/02/2025)  PO: 5701280899</v>
          </cell>
          <cell r="C8514" t="str">
            <v>Gói</v>
          </cell>
          <cell r="D8514">
            <v>139146.57</v>
          </cell>
        </row>
        <row r="8515">
          <cell r="A8515">
            <v>45690</v>
          </cell>
          <cell r="B8515" t="str">
            <v>DO 0.05S-II</v>
          </cell>
          <cell r="C8515" t="str">
            <v>Lít</v>
          </cell>
          <cell r="D8515">
            <v>17836.36</v>
          </cell>
        </row>
        <row r="8516">
          <cell r="A8516">
            <v>45690</v>
          </cell>
          <cell r="B8516" t="str">
            <v>Cải Bó Xôi</v>
          </cell>
          <cell r="C8516" t="str">
            <v>Túi</v>
          </cell>
          <cell r="D8516">
            <v>7500</v>
          </cell>
        </row>
        <row r="8517">
          <cell r="A8517">
            <v>45690</v>
          </cell>
          <cell r="B8517" t="str">
            <v>Bông Cải Xanh 7Cm</v>
          </cell>
          <cell r="C8517" t="str">
            <v>Kg</v>
          </cell>
          <cell r="D8517">
            <v>20000</v>
          </cell>
        </row>
        <row r="8518">
          <cell r="A8518">
            <v>45690</v>
          </cell>
          <cell r="B8518" t="str">
            <v>Bông Cải Xanh 7Cm</v>
          </cell>
          <cell r="C8518" t="str">
            <v>Kg</v>
          </cell>
          <cell r="D8518">
            <v>20000</v>
          </cell>
        </row>
        <row r="8519">
          <cell r="A8519">
            <v>45690</v>
          </cell>
          <cell r="B8519" t="str">
            <v>Bông Cải Trắng</v>
          </cell>
          <cell r="C8519" t="str">
            <v>Kg</v>
          </cell>
          <cell r="D8519">
            <v>10000</v>
          </cell>
        </row>
        <row r="8520">
          <cell r="A8520">
            <v>45690</v>
          </cell>
          <cell r="B8520" t="str">
            <v>Bắp Cải Tím</v>
          </cell>
          <cell r="C8520" t="str">
            <v>Kg</v>
          </cell>
          <cell r="D8520">
            <v>15000</v>
          </cell>
        </row>
        <row r="8521">
          <cell r="A8521">
            <v>45690</v>
          </cell>
          <cell r="B8521" t="str">
            <v>Cần Tây</v>
          </cell>
          <cell r="C8521" t="str">
            <v>Kg</v>
          </cell>
          <cell r="D8521">
            <v>18000</v>
          </cell>
        </row>
        <row r="8522">
          <cell r="A8522">
            <v>45690</v>
          </cell>
          <cell r="B8522" t="str">
            <v>Cần Tây</v>
          </cell>
          <cell r="C8522" t="str">
            <v>Kg</v>
          </cell>
          <cell r="D8522">
            <v>20000</v>
          </cell>
        </row>
        <row r="8523">
          <cell r="A8523">
            <v>45690</v>
          </cell>
          <cell r="B8523" t="str">
            <v>Cải Bó Xôi</v>
          </cell>
          <cell r="C8523" t="str">
            <v>Kg</v>
          </cell>
          <cell r="D8523">
            <v>19000</v>
          </cell>
        </row>
        <row r="8524">
          <cell r="A8524">
            <v>45690</v>
          </cell>
          <cell r="B8524" t="str">
            <v>Cà Chua Beef</v>
          </cell>
          <cell r="C8524" t="str">
            <v>Kg</v>
          </cell>
          <cell r="D8524">
            <v>16000</v>
          </cell>
        </row>
        <row r="8525">
          <cell r="A8525">
            <v>45690</v>
          </cell>
          <cell r="B8525" t="str">
            <v>Bông Cải Xanh 7Cm</v>
          </cell>
          <cell r="C8525" t="str">
            <v>Kg</v>
          </cell>
          <cell r="D8525">
            <v>20000</v>
          </cell>
        </row>
        <row r="8526">
          <cell r="A8526">
            <v>45690</v>
          </cell>
          <cell r="B8526" t="str">
            <v>Bông Cải Xanh 7Cm</v>
          </cell>
          <cell r="C8526" t="str">
            <v>Kg</v>
          </cell>
          <cell r="D8526">
            <v>20000</v>
          </cell>
        </row>
        <row r="8527">
          <cell r="A8527">
            <v>45690</v>
          </cell>
          <cell r="B8527" t="str">
            <v>Bông Cải Xanh 12Cm</v>
          </cell>
          <cell r="C8527" t="str">
            <v>Kg</v>
          </cell>
          <cell r="D8527">
            <v>12000</v>
          </cell>
        </row>
        <row r="8528">
          <cell r="A8528">
            <v>45690</v>
          </cell>
          <cell r="B8528" t="str">
            <v>Cần Tây</v>
          </cell>
          <cell r="C8528" t="str">
            <v>Kg</v>
          </cell>
          <cell r="D8528">
            <v>18000</v>
          </cell>
        </row>
        <row r="8529">
          <cell r="A8529">
            <v>45690</v>
          </cell>
          <cell r="B8529" t="str">
            <v>Gia Công Rau Củ Quả</v>
          </cell>
          <cell r="C8529" t="str">
            <v>Kg</v>
          </cell>
          <cell r="D8529">
            <v>700</v>
          </cell>
        </row>
        <row r="8530">
          <cell r="A8530">
            <v>45690</v>
          </cell>
          <cell r="B8530" t="str">
            <v>Gia Công Rau Củ Quả</v>
          </cell>
          <cell r="C8530" t="str">
            <v>Kg</v>
          </cell>
          <cell r="D8530">
            <v>700</v>
          </cell>
        </row>
        <row r="8531">
          <cell r="A8531">
            <v>45690</v>
          </cell>
          <cell r="B8531" t="str">
            <v>Dưa Leo Baby</v>
          </cell>
          <cell r="C8531" t="str">
            <v>Kg</v>
          </cell>
          <cell r="D8531">
            <v>9500</v>
          </cell>
        </row>
        <row r="8532">
          <cell r="A8532">
            <v>45690</v>
          </cell>
          <cell r="B8532" t="str">
            <v>Cà Chua Socola</v>
          </cell>
          <cell r="C8532" t="str">
            <v>Kg</v>
          </cell>
          <cell r="D8532">
            <v>25000</v>
          </cell>
        </row>
        <row r="8533">
          <cell r="A8533">
            <v>45690</v>
          </cell>
          <cell r="B8533" t="str">
            <v>Bông Cải Xanh Cây</v>
          </cell>
          <cell r="C8533" t="str">
            <v>Cây</v>
          </cell>
          <cell r="D8533">
            <v>5000</v>
          </cell>
        </row>
        <row r="8534">
          <cell r="A8534">
            <v>45690</v>
          </cell>
          <cell r="B8534" t="str">
            <v>Bắp Cải Tím</v>
          </cell>
          <cell r="C8534" t="str">
            <v>Kg</v>
          </cell>
          <cell r="D8534">
            <v>8000</v>
          </cell>
        </row>
        <row r="8535">
          <cell r="A8535">
            <v>45690</v>
          </cell>
          <cell r="B8535" t="str">
            <v>Bông Cải Xanh 12Cm</v>
          </cell>
          <cell r="C8535" t="str">
            <v>Kg</v>
          </cell>
          <cell r="D8535">
            <v>10000</v>
          </cell>
        </row>
        <row r="8536">
          <cell r="A8536">
            <v>45690</v>
          </cell>
          <cell r="B8536" t="str">
            <v>Bông Cải Xanh 7Cm</v>
          </cell>
          <cell r="C8536" t="str">
            <v>Kg</v>
          </cell>
          <cell r="D8536">
            <v>22000</v>
          </cell>
        </row>
        <row r="8537">
          <cell r="A8537">
            <v>45690</v>
          </cell>
          <cell r="B8537" t="str">
            <v>Hành Paro</v>
          </cell>
          <cell r="C8537" t="str">
            <v>Kg</v>
          </cell>
          <cell r="D8537">
            <v>14000</v>
          </cell>
        </row>
        <row r="8538">
          <cell r="A8538">
            <v>45690</v>
          </cell>
          <cell r="B8538" t="str">
            <v>Đậu Đỏ</v>
          </cell>
          <cell r="C8538" t="str">
            <v>Kg</v>
          </cell>
          <cell r="D8538">
            <v>80000</v>
          </cell>
        </row>
        <row r="8539">
          <cell r="A8539">
            <v>45690</v>
          </cell>
          <cell r="B8539" t="str">
            <v>Đậu Ngự</v>
          </cell>
          <cell r="C8539" t="str">
            <v>Kg</v>
          </cell>
          <cell r="D8539">
            <v>70000</v>
          </cell>
        </row>
        <row r="8540">
          <cell r="A8540">
            <v>45690</v>
          </cell>
          <cell r="B8540" t="str">
            <v>Đậu Trắng</v>
          </cell>
          <cell r="C8540" t="str">
            <v>Kg</v>
          </cell>
          <cell r="D8540">
            <v>70000</v>
          </cell>
        </row>
        <row r="8541">
          <cell r="A8541">
            <v>45690</v>
          </cell>
          <cell r="B8541" t="str">
            <v>Ớt Chuông Đỏ</v>
          </cell>
          <cell r="C8541" t="str">
            <v>Kg</v>
          </cell>
          <cell r="D8541">
            <v>40000</v>
          </cell>
        </row>
        <row r="8542">
          <cell r="A8542">
            <v>45690</v>
          </cell>
          <cell r="B8542" t="str">
            <v>Ớt Chuông Vàng</v>
          </cell>
          <cell r="C8542" t="str">
            <v>Kg</v>
          </cell>
          <cell r="D8542">
            <v>30000</v>
          </cell>
        </row>
        <row r="8543">
          <cell r="A8543">
            <v>45690</v>
          </cell>
          <cell r="B8543" t="str">
            <v>Ớt Chuông Xanh</v>
          </cell>
          <cell r="C8543" t="str">
            <v>Kg</v>
          </cell>
          <cell r="D8543">
            <v>30000</v>
          </cell>
        </row>
        <row r="8544">
          <cell r="A8544">
            <v>45690</v>
          </cell>
          <cell r="B8544" t="str">
            <v>Cà Chua Thường</v>
          </cell>
          <cell r="C8544" t="str">
            <v>Kg</v>
          </cell>
          <cell r="D8544">
            <v>12000</v>
          </cell>
        </row>
        <row r="8545">
          <cell r="A8545">
            <v>45690</v>
          </cell>
          <cell r="B8545" t="str">
            <v>Măng Tây</v>
          </cell>
          <cell r="C8545" t="str">
            <v>Kg</v>
          </cell>
          <cell r="D8545">
            <v>52000</v>
          </cell>
        </row>
        <row r="8546">
          <cell r="A8546">
            <v>45690</v>
          </cell>
          <cell r="B8546" t="str">
            <v>Bắp Cải Tím</v>
          </cell>
          <cell r="C8546" t="str">
            <v>Kg</v>
          </cell>
          <cell r="D8546">
            <v>30000</v>
          </cell>
        </row>
        <row r="8547">
          <cell r="A8547">
            <v>45690</v>
          </cell>
          <cell r="B8547" t="str">
            <v>Rau Bầu Đất</v>
          </cell>
          <cell r="C8547" t="str">
            <v>Kg</v>
          </cell>
          <cell r="D8547">
            <v>35000</v>
          </cell>
        </row>
        <row r="8548">
          <cell r="A8548">
            <v>45690</v>
          </cell>
          <cell r="B8548" t="str">
            <v>Củ Khoai Lang Mật Size 23</v>
          </cell>
          <cell r="C8548" t="str">
            <v>Kg</v>
          </cell>
          <cell r="D8548">
            <v>26500</v>
          </cell>
        </row>
        <row r="8549">
          <cell r="A8549">
            <v>45690</v>
          </cell>
          <cell r="B8549" t="str">
            <v>Cà Rốt</v>
          </cell>
          <cell r="C8549" t="str">
            <v>Kg</v>
          </cell>
          <cell r="D8549">
            <v>9500</v>
          </cell>
        </row>
        <row r="8550">
          <cell r="A8550">
            <v>45690</v>
          </cell>
          <cell r="B8550" t="str">
            <v>Xà Lách Mỡ T.C</v>
          </cell>
          <cell r="C8550" t="str">
            <v>Kg</v>
          </cell>
          <cell r="D8550">
            <v>26000</v>
          </cell>
        </row>
        <row r="8551">
          <cell r="A8551">
            <v>45690</v>
          </cell>
          <cell r="B8551" t="str">
            <v>Xà Lách Lolo Xanh T.C</v>
          </cell>
          <cell r="C8551" t="str">
            <v>Kg</v>
          </cell>
          <cell r="D8551">
            <v>26000</v>
          </cell>
        </row>
        <row r="8552">
          <cell r="A8552">
            <v>45690</v>
          </cell>
          <cell r="B8552" t="str">
            <v>Xà Lách Thủy Tinh T.C Cây</v>
          </cell>
          <cell r="C8552" t="str">
            <v>Cây</v>
          </cell>
          <cell r="D8552">
            <v>7500</v>
          </cell>
        </row>
        <row r="8553">
          <cell r="A8553">
            <v>45690</v>
          </cell>
          <cell r="B8553" t="str">
            <v>Cà Tím</v>
          </cell>
          <cell r="C8553" t="str">
            <v>Kg</v>
          </cell>
          <cell r="D8553">
            <v>8000</v>
          </cell>
        </row>
        <row r="8554">
          <cell r="A8554">
            <v>45690</v>
          </cell>
          <cell r="B8554" t="str">
            <v>Trái Su Su</v>
          </cell>
          <cell r="C8554" t="str">
            <v>Kg</v>
          </cell>
          <cell r="D8554">
            <v>8000</v>
          </cell>
        </row>
        <row r="8555">
          <cell r="A8555">
            <v>45690</v>
          </cell>
          <cell r="B8555" t="str">
            <v>Bí Non Nhật</v>
          </cell>
          <cell r="C8555" t="str">
            <v>Kg</v>
          </cell>
          <cell r="D8555">
            <v>10000</v>
          </cell>
        </row>
        <row r="8556">
          <cell r="A8556">
            <v>45690</v>
          </cell>
          <cell r="B8556" t="str">
            <v>Bí Đao Xanh</v>
          </cell>
          <cell r="C8556" t="str">
            <v>Kg</v>
          </cell>
          <cell r="D8556">
            <v>10000</v>
          </cell>
        </row>
        <row r="8557">
          <cell r="A8557">
            <v>45690</v>
          </cell>
          <cell r="B8557" t="str">
            <v>Củ Gừng</v>
          </cell>
          <cell r="C8557" t="str">
            <v>Kg</v>
          </cell>
          <cell r="D8557">
            <v>18000</v>
          </cell>
        </row>
        <row r="8558">
          <cell r="A8558">
            <v>45690</v>
          </cell>
          <cell r="B8558" t="str">
            <v>Củ Cải Trắng</v>
          </cell>
          <cell r="C8558" t="str">
            <v>Kg</v>
          </cell>
          <cell r="D8558">
            <v>6000</v>
          </cell>
        </row>
        <row r="8559">
          <cell r="A8559">
            <v>45690</v>
          </cell>
          <cell r="B8559" t="str">
            <v>Xà Lách Lolo Xanh</v>
          </cell>
          <cell r="C8559" t="str">
            <v>Kg</v>
          </cell>
          <cell r="D8559">
            <v>13000</v>
          </cell>
        </row>
        <row r="8560">
          <cell r="A8560">
            <v>45690</v>
          </cell>
          <cell r="B8560" t="str">
            <v>Củ Cải Trắng</v>
          </cell>
          <cell r="C8560" t="str">
            <v>Kg</v>
          </cell>
          <cell r="D8560">
            <v>6000</v>
          </cell>
        </row>
        <row r="8561">
          <cell r="A8561">
            <v>45690</v>
          </cell>
          <cell r="B8561" t="str">
            <v>Xà Lách Mỡ T.C</v>
          </cell>
          <cell r="C8561" t="str">
            <v>Kg</v>
          </cell>
          <cell r="D8561">
            <v>24000</v>
          </cell>
        </row>
        <row r="8562">
          <cell r="A8562">
            <v>45690</v>
          </cell>
          <cell r="B8562" t="str">
            <v>Xà Lách Lolo Xanh T.C</v>
          </cell>
          <cell r="C8562" t="str">
            <v>Kg</v>
          </cell>
          <cell r="D8562">
            <v>25000</v>
          </cell>
        </row>
        <row r="8563">
          <cell r="A8563">
            <v>45690</v>
          </cell>
          <cell r="B8563" t="str">
            <v>Củ Su Hào</v>
          </cell>
          <cell r="C8563" t="str">
            <v>Kg</v>
          </cell>
          <cell r="D8563">
            <v>13000</v>
          </cell>
        </row>
        <row r="8564">
          <cell r="A8564">
            <v>45690</v>
          </cell>
          <cell r="B8564" t="str">
            <v>Bí Đỏ Hồ Lô</v>
          </cell>
          <cell r="C8564" t="str">
            <v>Kg</v>
          </cell>
          <cell r="D8564">
            <v>9500</v>
          </cell>
        </row>
        <row r="8565">
          <cell r="A8565">
            <v>45690</v>
          </cell>
          <cell r="B8565" t="str">
            <v>Chuối Laba</v>
          </cell>
          <cell r="C8565" t="str">
            <v>Kg</v>
          </cell>
          <cell r="D8565">
            <v>14000</v>
          </cell>
        </row>
        <row r="8566">
          <cell r="A8566">
            <v>45690</v>
          </cell>
          <cell r="B8566" t="str">
            <v>Lá Nha Đam</v>
          </cell>
          <cell r="C8566" t="str">
            <v>Kg</v>
          </cell>
          <cell r="D8566">
            <v>14000</v>
          </cell>
        </row>
        <row r="8567">
          <cell r="A8567">
            <v>45690</v>
          </cell>
          <cell r="B8567" t="str">
            <v>Bắp Cải Trái Tim</v>
          </cell>
          <cell r="C8567" t="str">
            <v>Kg</v>
          </cell>
          <cell r="D8567">
            <v>4500</v>
          </cell>
        </row>
        <row r="8568">
          <cell r="A8568">
            <v>45690</v>
          </cell>
          <cell r="B8568" t="str">
            <v>Cà Rốt</v>
          </cell>
          <cell r="C8568" t="str">
            <v>Kg</v>
          </cell>
          <cell r="D8568">
            <v>9000</v>
          </cell>
        </row>
        <row r="8569">
          <cell r="A8569">
            <v>45690</v>
          </cell>
          <cell r="B8569" t="str">
            <v>Củ Dền</v>
          </cell>
          <cell r="C8569" t="str">
            <v>Kg</v>
          </cell>
          <cell r="D8569">
            <v>10000</v>
          </cell>
        </row>
        <row r="8570">
          <cell r="A8570">
            <v>45690</v>
          </cell>
          <cell r="B8570" t="str">
            <v>Đậu Cove Trắng</v>
          </cell>
          <cell r="C8570" t="str">
            <v>Túi 500gr</v>
          </cell>
          <cell r="D8570">
            <v>7500</v>
          </cell>
        </row>
        <row r="8571">
          <cell r="A8571">
            <v>45690</v>
          </cell>
          <cell r="B8571" t="str">
            <v>Củ Khoai Tây Vàng</v>
          </cell>
          <cell r="C8571" t="str">
            <v>Kg</v>
          </cell>
          <cell r="D8571">
            <v>14500</v>
          </cell>
        </row>
        <row r="8572">
          <cell r="A8572">
            <v>45690</v>
          </cell>
          <cell r="B8572" t="str">
            <v>Dưa Leo Nhật</v>
          </cell>
          <cell r="C8572" t="str">
            <v>Kg</v>
          </cell>
          <cell r="D8572">
            <v>16000</v>
          </cell>
        </row>
        <row r="8573">
          <cell r="A8573">
            <v>45690</v>
          </cell>
          <cell r="B8573" t="str">
            <v>Ớt Chuông Snack</v>
          </cell>
          <cell r="C8573" t="str">
            <v>Kg</v>
          </cell>
          <cell r="D8573">
            <v>60000</v>
          </cell>
        </row>
        <row r="8574">
          <cell r="A8574">
            <v>45690</v>
          </cell>
          <cell r="B8574" t="str">
            <v>Ớt Chuông Baby</v>
          </cell>
          <cell r="C8574" t="str">
            <v>Kg</v>
          </cell>
          <cell r="D8574">
            <v>60000</v>
          </cell>
        </row>
        <row r="8575">
          <cell r="A8575">
            <v>45690</v>
          </cell>
          <cell r="B8575" t="str">
            <v>Cà Chua Bi Đỏ</v>
          </cell>
          <cell r="C8575" t="str">
            <v>Hộp 300gr</v>
          </cell>
          <cell r="D8575">
            <v>5400</v>
          </cell>
        </row>
        <row r="8576">
          <cell r="A8576">
            <v>45690</v>
          </cell>
          <cell r="B8576" t="str">
            <v>Cà Chua Bi Đỏ</v>
          </cell>
          <cell r="C8576" t="str">
            <v>Hộp 500gr</v>
          </cell>
          <cell r="D8576">
            <v>9000</v>
          </cell>
        </row>
        <row r="8577">
          <cell r="A8577">
            <v>45690</v>
          </cell>
          <cell r="B8577" t="str">
            <v>Cà Rốt</v>
          </cell>
          <cell r="C8577" t="str">
            <v>Kg</v>
          </cell>
          <cell r="D8577">
            <v>9000</v>
          </cell>
        </row>
        <row r="8578">
          <cell r="A8578">
            <v>45690</v>
          </cell>
          <cell r="B8578" t="str">
            <v>Củ Khoai Lang Nhật</v>
          </cell>
          <cell r="C8578" t="str">
            <v>Kg</v>
          </cell>
          <cell r="D8578">
            <v>17000</v>
          </cell>
        </row>
        <row r="8579">
          <cell r="A8579">
            <v>45690</v>
          </cell>
          <cell r="B8579" t="str">
            <v>Đậu Cove Nhật</v>
          </cell>
          <cell r="C8579" t="str">
            <v>Túi</v>
          </cell>
          <cell r="D8579">
            <v>6000</v>
          </cell>
        </row>
        <row r="8580">
          <cell r="A8580">
            <v>45690</v>
          </cell>
          <cell r="B8580" t="str">
            <v>Cà Chua Bi Mix</v>
          </cell>
          <cell r="C8580" t="str">
            <v>Hộp</v>
          </cell>
          <cell r="D8580">
            <v>12000</v>
          </cell>
        </row>
        <row r="8581">
          <cell r="A8581">
            <v>45690</v>
          </cell>
          <cell r="B8581" t="str">
            <v>Cà Chua Socola</v>
          </cell>
          <cell r="C8581" t="str">
            <v>Hộp 300gr</v>
          </cell>
          <cell r="D8581">
            <v>12000</v>
          </cell>
        </row>
        <row r="8582">
          <cell r="A8582">
            <v>45690</v>
          </cell>
          <cell r="B8582" t="str">
            <v>Cải Kale</v>
          </cell>
          <cell r="C8582" t="str">
            <v>Túi</v>
          </cell>
          <cell r="D8582">
            <v>7500</v>
          </cell>
        </row>
        <row r="8583">
          <cell r="A8583">
            <v>45690</v>
          </cell>
          <cell r="B8583" t="str">
            <v>Chanh Không Hạt</v>
          </cell>
          <cell r="C8583" t="str">
            <v>Vỉ</v>
          </cell>
          <cell r="D8583">
            <v>9000</v>
          </cell>
        </row>
        <row r="8584">
          <cell r="A8584">
            <v>45690</v>
          </cell>
          <cell r="B8584" t="str">
            <v>Xà Lách Lolo Xanh T.C Cây</v>
          </cell>
          <cell r="C8584" t="str">
            <v>Cây</v>
          </cell>
          <cell r="D8584">
            <v>6800</v>
          </cell>
        </row>
        <row r="8585">
          <cell r="A8585">
            <v>45690</v>
          </cell>
          <cell r="B8585" t="str">
            <v>Xà Lách Thủy Tinh T.C Cây</v>
          </cell>
          <cell r="C8585" t="str">
            <v>Cây</v>
          </cell>
          <cell r="D8585">
            <v>6800</v>
          </cell>
        </row>
        <row r="8586">
          <cell r="A8586">
            <v>45690</v>
          </cell>
          <cell r="B8586" t="str">
            <v>Xà Lách Thủy Tinh T.C</v>
          </cell>
          <cell r="C8586" t="str">
            <v>Kg</v>
          </cell>
          <cell r="D8586">
            <v>30000</v>
          </cell>
        </row>
        <row r="8587">
          <cell r="A8587">
            <v>45690</v>
          </cell>
          <cell r="B8587" t="str">
            <v>Lá Mè</v>
          </cell>
          <cell r="C8587" t="str">
            <v>Túi</v>
          </cell>
          <cell r="D8587">
            <v>3400</v>
          </cell>
        </row>
        <row r="8588">
          <cell r="A8588">
            <v>45690</v>
          </cell>
          <cell r="B8588" t="str">
            <v>Cà Rốt Baby</v>
          </cell>
          <cell r="C8588" t="str">
            <v>Vỉ</v>
          </cell>
          <cell r="D8588">
            <v>6000</v>
          </cell>
        </row>
        <row r="8589">
          <cell r="A8589">
            <v>45690</v>
          </cell>
          <cell r="B8589" t="str">
            <v>Củ Cải Đỏ</v>
          </cell>
          <cell r="C8589" t="str">
            <v>Hộp</v>
          </cell>
          <cell r="D8589">
            <v>11000</v>
          </cell>
        </row>
        <row r="8590">
          <cell r="A8590">
            <v>45690</v>
          </cell>
          <cell r="B8590" t="str">
            <v>Cải Kale</v>
          </cell>
          <cell r="C8590" t="str">
            <v>Túi</v>
          </cell>
          <cell r="D8590">
            <v>3300</v>
          </cell>
        </row>
        <row r="8591">
          <cell r="A8591">
            <v>45690</v>
          </cell>
          <cell r="B8591" t="str">
            <v>Cải Kale</v>
          </cell>
          <cell r="C8591" t="str">
            <v>Túi 150gr</v>
          </cell>
          <cell r="D8591">
            <v>2000</v>
          </cell>
        </row>
        <row r="8592">
          <cell r="A8592">
            <v>45690</v>
          </cell>
          <cell r="B8592" t="str">
            <v>Cà Chua Beef Trung</v>
          </cell>
          <cell r="C8592" t="str">
            <v>Kg</v>
          </cell>
          <cell r="D8592">
            <v>15000</v>
          </cell>
        </row>
        <row r="8593">
          <cell r="A8593">
            <v>45690</v>
          </cell>
          <cell r="B8593" t="str">
            <v>Cà Chua Beef Trung</v>
          </cell>
          <cell r="C8593" t="str">
            <v>Kg</v>
          </cell>
          <cell r="D8593">
            <v>13000</v>
          </cell>
        </row>
        <row r="8594">
          <cell r="A8594">
            <v>45690</v>
          </cell>
          <cell r="B8594" t="str">
            <v>Ớt Sweet Palemo</v>
          </cell>
          <cell r="C8594" t="str">
            <v>Kg</v>
          </cell>
          <cell r="D8594">
            <v>48000</v>
          </cell>
        </row>
        <row r="8595">
          <cell r="A8595">
            <v>45690</v>
          </cell>
          <cell r="B8595" t="str">
            <v>Xà Lách Romaine</v>
          </cell>
          <cell r="C8595" t="str">
            <v>Kg</v>
          </cell>
          <cell r="D8595">
            <v>40000</v>
          </cell>
        </row>
        <row r="8596">
          <cell r="A8596">
            <v>45690</v>
          </cell>
          <cell r="B8596" t="str">
            <v>Xà Lách Mỹ</v>
          </cell>
          <cell r="C8596" t="str">
            <v>Kg</v>
          </cell>
          <cell r="D8596">
            <v>18000</v>
          </cell>
        </row>
        <row r="8597">
          <cell r="A8597">
            <v>45691</v>
          </cell>
          <cell r="B8597" t="str">
            <v>Dầu Do 0.001 S-V</v>
          </cell>
          <cell r="C8597" t="str">
            <v>Lít</v>
          </cell>
          <cell r="D8597">
            <v>18254.54</v>
          </cell>
        </row>
        <row r="8598">
          <cell r="A8598">
            <v>45691</v>
          </cell>
          <cell r="B8598" t="str">
            <v>DO 0.05S-II</v>
          </cell>
          <cell r="C8598" t="str">
            <v>Lít</v>
          </cell>
          <cell r="D8598">
            <v>17836.36</v>
          </cell>
        </row>
        <row r="8599">
          <cell r="A8599">
            <v>45691</v>
          </cell>
          <cell r="B8599" t="str">
            <v>7UP Nước ngọt chai 1.5L/1.75L</v>
          </cell>
          <cell r="C8599" t="str">
            <v/>
          </cell>
          <cell r="D8599">
            <v>19074</v>
          </cell>
        </row>
        <row r="8600">
          <cell r="A8600">
            <v>45691</v>
          </cell>
          <cell r="B8600" t="str">
            <v>Dosi Khô bò miếng 150g</v>
          </cell>
          <cell r="C8600" t="str">
            <v/>
          </cell>
          <cell r="D8600">
            <v>92130</v>
          </cell>
        </row>
        <row r="8601">
          <cell r="A8601">
            <v>45691</v>
          </cell>
          <cell r="B8601" t="str">
            <v>KL_Khô Bò vị Tứ Xuyên miếng 100g</v>
          </cell>
          <cell r="C8601" t="str">
            <v/>
          </cell>
          <cell r="D8601">
            <v>81296</v>
          </cell>
        </row>
        <row r="8602">
          <cell r="A8602">
            <v>45691</v>
          </cell>
          <cell r="B8602" t="str">
            <v>MINH DƯƠNG Ngô nếp tươi sấy gói 160g</v>
          </cell>
          <cell r="C8602" t="str">
            <v/>
          </cell>
          <cell r="D8602">
            <v>42593</v>
          </cell>
        </row>
        <row r="8603">
          <cell r="A8603">
            <v>45691</v>
          </cell>
          <cell r="B8603" t="str">
            <v>NUTRI BOOST Nước ngọt cam sữa 1L</v>
          </cell>
          <cell r="C8603" t="str">
            <v/>
          </cell>
          <cell r="D8603">
            <v>27315</v>
          </cell>
        </row>
        <row r="8604">
          <cell r="A8604">
            <v>45691</v>
          </cell>
          <cell r="B8604" t="str">
            <v>NUTRI BOOST Nước ngọt dâu sữa 1L</v>
          </cell>
          <cell r="C8604" t="str">
            <v/>
          </cell>
          <cell r="D8604">
            <v>27315</v>
          </cell>
        </row>
        <row r="8605">
          <cell r="A8605">
            <v>45691</v>
          </cell>
          <cell r="B8605" t="str">
            <v>PEPSI Nước ngọt chai 1.5/1.75L</v>
          </cell>
          <cell r="C8605" t="str">
            <v/>
          </cell>
          <cell r="D8605">
            <v>19167</v>
          </cell>
        </row>
        <row r="8606">
          <cell r="A8606">
            <v>45691</v>
          </cell>
          <cell r="B8606" t="str">
            <v>TÂN TÂN Đậu phộng da cá gói 265g</v>
          </cell>
          <cell r="C8606" t="str">
            <v/>
          </cell>
          <cell r="D8606">
            <v>41389</v>
          </cell>
        </row>
        <row r="8607">
          <cell r="A8607">
            <v>45691</v>
          </cell>
          <cell r="B8607" t="str">
            <v>TEA+ Trà Tea+ Oolong 1L</v>
          </cell>
          <cell r="C8607" t="str">
            <v/>
          </cell>
          <cell r="D8607">
            <v>18056</v>
          </cell>
        </row>
        <row r="8608">
          <cell r="A8608">
            <v>45691</v>
          </cell>
          <cell r="B8608" t="str">
            <v>VINAMIT Hạt sen sấy 250g</v>
          </cell>
          <cell r="C8608" t="str">
            <v/>
          </cell>
          <cell r="D8608">
            <v>156481</v>
          </cell>
        </row>
        <row r="8609">
          <cell r="A8609">
            <v>45691</v>
          </cell>
          <cell r="B8609" t="str">
            <v>VINAMIT Mít Sấy gói 210g</v>
          </cell>
          <cell r="C8609" t="str">
            <v/>
          </cell>
          <cell r="D8609">
            <v>62870</v>
          </cell>
        </row>
        <row r="8610">
          <cell r="A8610">
            <v>45691</v>
          </cell>
          <cell r="B8610" t="str">
            <v>WMH- Cốc giấy 9oz 270ml (20c/g)</v>
          </cell>
          <cell r="C8610" t="str">
            <v/>
          </cell>
          <cell r="D8610">
            <v>21297</v>
          </cell>
        </row>
        <row r="8611">
          <cell r="A8611">
            <v>45691</v>
          </cell>
          <cell r="B8611" t="str">
            <v>WOONGJIN Nước gạo 500ml</v>
          </cell>
          <cell r="C8611" t="str">
            <v/>
          </cell>
          <cell r="D8611">
            <v>30556</v>
          </cell>
        </row>
        <row r="8612">
          <cell r="A8612">
            <v>45691</v>
          </cell>
          <cell r="B8612" t="str">
            <v>Xà Lách Mỡ T.C Cây</v>
          </cell>
          <cell r="C8612" t="str">
            <v>Cây</v>
          </cell>
          <cell r="D8612">
            <v>6800</v>
          </cell>
        </row>
        <row r="8613">
          <cell r="A8613">
            <v>45691</v>
          </cell>
          <cell r="B8613" t="str">
            <v>Xà Lách Thủy Tinh T.C Cây</v>
          </cell>
          <cell r="C8613" t="str">
            <v>Cây</v>
          </cell>
          <cell r="D8613">
            <v>6800</v>
          </cell>
        </row>
        <row r="8614">
          <cell r="A8614">
            <v>45691</v>
          </cell>
          <cell r="B8614" t="str">
            <v>Xà Lách Lolo Xanh T.C Cây</v>
          </cell>
          <cell r="C8614" t="str">
            <v>Cây</v>
          </cell>
          <cell r="D8614">
            <v>6800</v>
          </cell>
        </row>
        <row r="8615">
          <cell r="A8615">
            <v>45691</v>
          </cell>
          <cell r="B8615" t="str">
            <v>Xà Lách Lolo Xanh T.C Cây</v>
          </cell>
          <cell r="C8615" t="str">
            <v>Cây</v>
          </cell>
          <cell r="D8615">
            <v>6800</v>
          </cell>
        </row>
        <row r="8616">
          <cell r="A8616">
            <v>45691</v>
          </cell>
          <cell r="B8616" t="str">
            <v>Xà Lách Thủy Tinh T.C Cây</v>
          </cell>
          <cell r="C8616" t="str">
            <v>Cây</v>
          </cell>
          <cell r="D8616">
            <v>6800</v>
          </cell>
        </row>
        <row r="8617">
          <cell r="A8617">
            <v>45691</v>
          </cell>
          <cell r="B8617" t="str">
            <v>Xà Lách Thủy Tinh T.C</v>
          </cell>
          <cell r="C8617" t="str">
            <v>Kg</v>
          </cell>
          <cell r="D8617">
            <v>30000</v>
          </cell>
        </row>
        <row r="8618">
          <cell r="A8618">
            <v>45691</v>
          </cell>
          <cell r="B8618" t="str">
            <v>Cà Chua Bi Đỏ</v>
          </cell>
          <cell r="C8618" t="str">
            <v>Hộp 300gr</v>
          </cell>
          <cell r="D8618">
            <v>5400</v>
          </cell>
        </row>
        <row r="8619">
          <cell r="A8619">
            <v>45691</v>
          </cell>
          <cell r="B8619" t="str">
            <v>Cà Chua Bi Đỏ</v>
          </cell>
          <cell r="C8619" t="str">
            <v>Hộp 500gr</v>
          </cell>
          <cell r="D8619">
            <v>9000</v>
          </cell>
        </row>
        <row r="8620">
          <cell r="A8620">
            <v>45691</v>
          </cell>
          <cell r="B8620" t="str">
            <v>Bí Non Nhật</v>
          </cell>
          <cell r="C8620" t="str">
            <v>Kg</v>
          </cell>
          <cell r="D8620">
            <v>12000</v>
          </cell>
        </row>
        <row r="8621">
          <cell r="A8621">
            <v>45691</v>
          </cell>
          <cell r="B8621" t="str">
            <v>Bắp Cải Tím</v>
          </cell>
          <cell r="C8621" t="str">
            <v>Kg</v>
          </cell>
          <cell r="D8621">
            <v>30000</v>
          </cell>
        </row>
        <row r="8622">
          <cell r="A8622">
            <v>45691</v>
          </cell>
          <cell r="B8622" t="str">
            <v>Rau Bầu Đất</v>
          </cell>
          <cell r="C8622" t="str">
            <v>Kg</v>
          </cell>
          <cell r="D8622">
            <v>35000</v>
          </cell>
        </row>
        <row r="8623">
          <cell r="A8623">
            <v>45691</v>
          </cell>
          <cell r="B8623" t="str">
            <v>Lá Tía Tô</v>
          </cell>
          <cell r="C8623" t="str">
            <v>Kg</v>
          </cell>
          <cell r="D8623">
            <v>32000</v>
          </cell>
        </row>
        <row r="8624">
          <cell r="A8624">
            <v>45691</v>
          </cell>
          <cell r="B8624" t="str">
            <v>Ớt Chuông Xanh</v>
          </cell>
          <cell r="C8624" t="str">
            <v>Kg</v>
          </cell>
          <cell r="D8624">
            <v>30000</v>
          </cell>
        </row>
        <row r="8625">
          <cell r="A8625">
            <v>45691</v>
          </cell>
          <cell r="B8625" t="str">
            <v>Ớt Chuông Snack</v>
          </cell>
          <cell r="C8625" t="str">
            <v>Kg</v>
          </cell>
          <cell r="D8625">
            <v>60000</v>
          </cell>
        </row>
        <row r="8626">
          <cell r="A8626">
            <v>45691</v>
          </cell>
          <cell r="B8626" t="str">
            <v>Ớt Chuông Baby</v>
          </cell>
          <cell r="C8626" t="str">
            <v>Kg</v>
          </cell>
          <cell r="D8626">
            <v>50000</v>
          </cell>
        </row>
        <row r="8627">
          <cell r="A8627">
            <v>45691</v>
          </cell>
          <cell r="B8627" t="str">
            <v>Ớt Chuông Đỏ</v>
          </cell>
          <cell r="C8627" t="str">
            <v>Kg</v>
          </cell>
          <cell r="D8627">
            <v>52000</v>
          </cell>
        </row>
        <row r="8628">
          <cell r="A8628">
            <v>45691</v>
          </cell>
          <cell r="B8628" t="str">
            <v>Ớt Chuông Vàng</v>
          </cell>
          <cell r="C8628" t="str">
            <v>Kg</v>
          </cell>
          <cell r="D8628">
            <v>52000</v>
          </cell>
        </row>
        <row r="8629">
          <cell r="A8629">
            <v>45691</v>
          </cell>
          <cell r="B8629" t="str">
            <v>Ớt Chuông Xanh</v>
          </cell>
          <cell r="C8629" t="str">
            <v>Kg</v>
          </cell>
          <cell r="D8629">
            <v>35000</v>
          </cell>
        </row>
        <row r="8630">
          <cell r="A8630">
            <v>45691</v>
          </cell>
          <cell r="B8630" t="str">
            <v>Dưa Leo Baby</v>
          </cell>
          <cell r="C8630" t="str">
            <v>Kg</v>
          </cell>
          <cell r="D8630">
            <v>10000</v>
          </cell>
        </row>
        <row r="8631">
          <cell r="A8631">
            <v>45691</v>
          </cell>
          <cell r="B8631" t="str">
            <v>Gia Công Rau Củ Quả</v>
          </cell>
          <cell r="C8631" t="str">
            <v>Kg</v>
          </cell>
          <cell r="D8631">
            <v>1700</v>
          </cell>
        </row>
        <row r="8632">
          <cell r="A8632">
            <v>45691</v>
          </cell>
          <cell r="B8632" t="str">
            <v>Gia Công Rau Củ Quả</v>
          </cell>
          <cell r="C8632" t="str">
            <v>Kg</v>
          </cell>
          <cell r="D8632">
            <v>700</v>
          </cell>
        </row>
        <row r="8633">
          <cell r="A8633">
            <v>45691</v>
          </cell>
          <cell r="B8633" t="str">
            <v>Gia Công Rau Củ Quả</v>
          </cell>
          <cell r="C8633" t="str">
            <v>Kg</v>
          </cell>
          <cell r="D8633">
            <v>700</v>
          </cell>
        </row>
        <row r="8634">
          <cell r="A8634">
            <v>45691</v>
          </cell>
          <cell r="B8634" t="str">
            <v>Gia Công Rau Củ Quả</v>
          </cell>
          <cell r="C8634" t="str">
            <v>Kg</v>
          </cell>
          <cell r="D8634">
            <v>700</v>
          </cell>
        </row>
        <row r="8635">
          <cell r="A8635">
            <v>45691</v>
          </cell>
          <cell r="B8635" t="str">
            <v>Gia Công Rau Củ Quả</v>
          </cell>
          <cell r="C8635" t="str">
            <v>Kg</v>
          </cell>
          <cell r="D8635">
            <v>1000</v>
          </cell>
        </row>
        <row r="8636">
          <cell r="A8636">
            <v>45691</v>
          </cell>
          <cell r="B8636" t="str">
            <v>Cà Chua Beef</v>
          </cell>
          <cell r="C8636" t="str">
            <v>Kg</v>
          </cell>
          <cell r="D8636">
            <v>20000</v>
          </cell>
        </row>
        <row r="8637">
          <cell r="A8637">
            <v>45691</v>
          </cell>
          <cell r="B8637" t="str">
            <v>Cà Chua Beef Chùm</v>
          </cell>
          <cell r="C8637" t="str">
            <v>Kg</v>
          </cell>
          <cell r="D8637">
            <v>20000</v>
          </cell>
        </row>
        <row r="8638">
          <cell r="A8638">
            <v>45691</v>
          </cell>
          <cell r="B8638" t="str">
            <v>Bắp Cải Trái Tim</v>
          </cell>
          <cell r="C8638" t="str">
            <v>Kg</v>
          </cell>
          <cell r="D8638">
            <v>6000</v>
          </cell>
        </row>
        <row r="8639">
          <cell r="A8639">
            <v>45691</v>
          </cell>
          <cell r="B8639" t="str">
            <v>Củ Su Hào</v>
          </cell>
          <cell r="C8639" t="str">
            <v>Kg</v>
          </cell>
          <cell r="D8639">
            <v>11000</v>
          </cell>
        </row>
        <row r="8640">
          <cell r="A8640">
            <v>45691</v>
          </cell>
          <cell r="B8640" t="str">
            <v>Củ Cải Trắng</v>
          </cell>
          <cell r="C8640" t="str">
            <v>Kg</v>
          </cell>
          <cell r="D8640">
            <v>5500</v>
          </cell>
        </row>
        <row r="8641">
          <cell r="A8641">
            <v>45691</v>
          </cell>
          <cell r="B8641" t="str">
            <v>Dưa Leo Nhật</v>
          </cell>
          <cell r="C8641" t="str">
            <v>Kg</v>
          </cell>
          <cell r="D8641">
            <v>14000</v>
          </cell>
        </row>
        <row r="8642">
          <cell r="A8642">
            <v>45691</v>
          </cell>
          <cell r="B8642" t="str">
            <v>Đậu Cove Trắng</v>
          </cell>
          <cell r="C8642" t="str">
            <v>Túi 500gr</v>
          </cell>
          <cell r="D8642">
            <v>7000</v>
          </cell>
        </row>
        <row r="8643">
          <cell r="A8643">
            <v>45691</v>
          </cell>
          <cell r="B8643" t="str">
            <v>Bí Non Nhật</v>
          </cell>
          <cell r="C8643" t="str">
            <v>Kg</v>
          </cell>
          <cell r="D8643">
            <v>16000</v>
          </cell>
        </row>
        <row r="8644">
          <cell r="A8644">
            <v>45691</v>
          </cell>
          <cell r="B8644" t="str">
            <v>Xà Lách Mỡ T.C</v>
          </cell>
          <cell r="C8644" t="str">
            <v>Kg</v>
          </cell>
          <cell r="D8644">
            <v>24000</v>
          </cell>
        </row>
        <row r="8645">
          <cell r="A8645">
            <v>45691</v>
          </cell>
          <cell r="B8645" t="str">
            <v>Xà Lách Lolo Xanh T.C</v>
          </cell>
          <cell r="C8645" t="str">
            <v>Kg</v>
          </cell>
          <cell r="D8645">
            <v>25000</v>
          </cell>
        </row>
        <row r="8646">
          <cell r="A8646">
            <v>45691</v>
          </cell>
          <cell r="B8646" t="str">
            <v>Trái Su Su</v>
          </cell>
          <cell r="C8646" t="str">
            <v>Kg</v>
          </cell>
          <cell r="D8646">
            <v>6000</v>
          </cell>
        </row>
        <row r="8647">
          <cell r="A8647">
            <v>45691</v>
          </cell>
          <cell r="B8647" t="str">
            <v>Xà Lách Thủy Tinh T.C Cây</v>
          </cell>
          <cell r="C8647" t="str">
            <v>Cây</v>
          </cell>
          <cell r="D8647">
            <v>7000</v>
          </cell>
        </row>
        <row r="8648">
          <cell r="A8648">
            <v>45691</v>
          </cell>
          <cell r="B8648" t="str">
            <v>Cà Rốt</v>
          </cell>
          <cell r="C8648" t="str">
            <v>Kg</v>
          </cell>
          <cell r="D8648">
            <v>10000</v>
          </cell>
        </row>
        <row r="8649">
          <cell r="A8649">
            <v>45691</v>
          </cell>
          <cell r="B8649" t="str">
            <v>Đậu Cove Nhật</v>
          </cell>
          <cell r="C8649" t="str">
            <v>Túi</v>
          </cell>
          <cell r="D8649">
            <v>6000</v>
          </cell>
        </row>
        <row r="8650">
          <cell r="A8650">
            <v>45691</v>
          </cell>
          <cell r="B8650" t="str">
            <v>Củ Hành Tây</v>
          </cell>
          <cell r="C8650" t="str">
            <v>Kg</v>
          </cell>
          <cell r="D8650">
            <v>9000</v>
          </cell>
        </row>
        <row r="8651">
          <cell r="A8651">
            <v>45691</v>
          </cell>
          <cell r="B8651" t="str">
            <v>Trái Mâm Xôi</v>
          </cell>
          <cell r="C8651" t="str">
            <v>Hộp</v>
          </cell>
          <cell r="D8651">
            <v>35000</v>
          </cell>
        </row>
        <row r="8652">
          <cell r="A8652">
            <v>45691</v>
          </cell>
          <cell r="B8652" t="str">
            <v>Ớt Sweet Palemo</v>
          </cell>
          <cell r="C8652" t="str">
            <v>Túi</v>
          </cell>
          <cell r="D8652">
            <v>18000</v>
          </cell>
        </row>
        <row r="8653">
          <cell r="A8653">
            <v>45691</v>
          </cell>
          <cell r="B8653" t="str">
            <v>Măng Tây</v>
          </cell>
          <cell r="C8653" t="str">
            <v>Kg</v>
          </cell>
          <cell r="D8653">
            <v>53000</v>
          </cell>
        </row>
        <row r="8654">
          <cell r="A8654">
            <v>45691</v>
          </cell>
          <cell r="B8654" t="str">
            <v>Măng Tây</v>
          </cell>
          <cell r="C8654" t="str">
            <v>Kg</v>
          </cell>
          <cell r="D8654">
            <v>40000</v>
          </cell>
        </row>
        <row r="8655">
          <cell r="A8655">
            <v>45691</v>
          </cell>
          <cell r="B8655" t="str">
            <v>Lá É</v>
          </cell>
          <cell r="C8655" t="str">
            <v>Kg</v>
          </cell>
          <cell r="D8655">
            <v>30000</v>
          </cell>
        </row>
        <row r="8656">
          <cell r="A8656">
            <v>45691</v>
          </cell>
          <cell r="B8656" t="str">
            <v>Củ Khoai Lang Mật Size 23</v>
          </cell>
          <cell r="C8656" t="str">
            <v>Kg</v>
          </cell>
          <cell r="D8656">
            <v>26500</v>
          </cell>
        </row>
        <row r="8657">
          <cell r="A8657">
            <v>45691</v>
          </cell>
          <cell r="B8657" t="str">
            <v>Trái Su Su</v>
          </cell>
          <cell r="C8657" t="str">
            <v>Kg</v>
          </cell>
          <cell r="D8657">
            <v>6000</v>
          </cell>
        </row>
        <row r="8658">
          <cell r="A8658">
            <v>45691</v>
          </cell>
          <cell r="B8658" t="str">
            <v>Bí Đỏ Hồ Lô</v>
          </cell>
          <cell r="C8658" t="str">
            <v>Kg</v>
          </cell>
          <cell r="D8658">
            <v>8500</v>
          </cell>
        </row>
        <row r="8659">
          <cell r="A8659">
            <v>45691</v>
          </cell>
          <cell r="B8659" t="str">
            <v>Chuối Laba</v>
          </cell>
          <cell r="C8659" t="str">
            <v>Kg</v>
          </cell>
          <cell r="D8659">
            <v>14000</v>
          </cell>
        </row>
        <row r="8660">
          <cell r="A8660">
            <v>45691</v>
          </cell>
          <cell r="B8660" t="str">
            <v>Lá Nha Đam</v>
          </cell>
          <cell r="C8660" t="str">
            <v>Kg</v>
          </cell>
          <cell r="D8660">
            <v>14000</v>
          </cell>
        </row>
        <row r="8661">
          <cell r="A8661">
            <v>45691</v>
          </cell>
          <cell r="B8661" t="str">
            <v>Hành Paro</v>
          </cell>
          <cell r="C8661" t="str">
            <v>Kg</v>
          </cell>
          <cell r="D8661">
            <v>13000</v>
          </cell>
        </row>
        <row r="8662">
          <cell r="A8662">
            <v>45691</v>
          </cell>
          <cell r="B8662" t="str">
            <v>Bí Ngòi Xanh</v>
          </cell>
          <cell r="C8662" t="str">
            <v>Kg</v>
          </cell>
          <cell r="D8662">
            <v>12000</v>
          </cell>
        </row>
        <row r="8663">
          <cell r="A8663">
            <v>45691</v>
          </cell>
          <cell r="B8663" t="str">
            <v>Cà Chua Thường</v>
          </cell>
          <cell r="C8663" t="str">
            <v>Kg</v>
          </cell>
          <cell r="D8663">
            <v>11000</v>
          </cell>
        </row>
        <row r="8664">
          <cell r="A8664">
            <v>45691</v>
          </cell>
          <cell r="B8664" t="str">
            <v>Xà Lách Mỡ T.C</v>
          </cell>
          <cell r="C8664" t="str">
            <v>Kg</v>
          </cell>
          <cell r="D8664">
            <v>26000</v>
          </cell>
        </row>
        <row r="8665">
          <cell r="A8665">
            <v>45691</v>
          </cell>
          <cell r="B8665" t="str">
            <v>Xà Lách Lolo Xanh T.C</v>
          </cell>
          <cell r="C8665" t="str">
            <v>Kg</v>
          </cell>
          <cell r="D8665">
            <v>26000</v>
          </cell>
        </row>
        <row r="8666">
          <cell r="A8666">
            <v>45691</v>
          </cell>
          <cell r="B8666" t="str">
            <v>Xà Lách Thủy Tinh T.C Cây</v>
          </cell>
          <cell r="C8666" t="str">
            <v>Cây</v>
          </cell>
          <cell r="D8666">
            <v>7500</v>
          </cell>
        </row>
        <row r="8667">
          <cell r="A8667">
            <v>45691</v>
          </cell>
          <cell r="B8667" t="str">
            <v>Bí Đao Xanh</v>
          </cell>
          <cell r="C8667" t="str">
            <v>Kg</v>
          </cell>
          <cell r="D8667">
            <v>10000</v>
          </cell>
        </row>
        <row r="8668">
          <cell r="A8668">
            <v>45691</v>
          </cell>
          <cell r="B8668" t="str">
            <v>Dưa Leo Thường</v>
          </cell>
          <cell r="C8668" t="str">
            <v>Kg</v>
          </cell>
          <cell r="D8668">
            <v>15000</v>
          </cell>
        </row>
        <row r="8669">
          <cell r="A8669">
            <v>45691</v>
          </cell>
          <cell r="B8669" t="str">
            <v>Trái Su Su</v>
          </cell>
          <cell r="C8669" t="str">
            <v>Kg</v>
          </cell>
          <cell r="D8669">
            <v>8000</v>
          </cell>
        </row>
        <row r="8670">
          <cell r="A8670">
            <v>45691</v>
          </cell>
          <cell r="B8670" t="str">
            <v>Bí Non Nhật</v>
          </cell>
          <cell r="C8670" t="str">
            <v>Kg</v>
          </cell>
          <cell r="D8670">
            <v>10000</v>
          </cell>
        </row>
        <row r="8671">
          <cell r="A8671">
            <v>45691</v>
          </cell>
          <cell r="B8671" t="str">
            <v>Củ Gừng</v>
          </cell>
          <cell r="C8671" t="str">
            <v>Kg</v>
          </cell>
          <cell r="D8671">
            <v>18000</v>
          </cell>
        </row>
        <row r="8672">
          <cell r="A8672">
            <v>45691</v>
          </cell>
          <cell r="B8672" t="str">
            <v>Dưa Leo Baby</v>
          </cell>
          <cell r="C8672" t="str">
            <v>Vỉ</v>
          </cell>
          <cell r="D8672">
            <v>6500</v>
          </cell>
        </row>
        <row r="8673">
          <cell r="A8673">
            <v>45691</v>
          </cell>
          <cell r="B8673" t="str">
            <v>Bông Cải Xanh 7Cm</v>
          </cell>
          <cell r="C8673" t="str">
            <v>Kg</v>
          </cell>
          <cell r="D8673">
            <v>20000</v>
          </cell>
        </row>
        <row r="8674">
          <cell r="A8674">
            <v>45691</v>
          </cell>
          <cell r="B8674" t="str">
            <v>Đậu Đỏ</v>
          </cell>
          <cell r="C8674" t="str">
            <v>Kg</v>
          </cell>
          <cell r="D8674">
            <v>80000</v>
          </cell>
        </row>
        <row r="8675">
          <cell r="A8675">
            <v>45691</v>
          </cell>
          <cell r="B8675" t="str">
            <v>Đậu Ngự</v>
          </cell>
          <cell r="C8675" t="str">
            <v>Kg</v>
          </cell>
          <cell r="D8675">
            <v>70000</v>
          </cell>
        </row>
        <row r="8676">
          <cell r="A8676">
            <v>45691</v>
          </cell>
          <cell r="B8676" t="str">
            <v>Đậu Trắng</v>
          </cell>
          <cell r="C8676" t="str">
            <v>Kg</v>
          </cell>
          <cell r="D8676">
            <v>70000</v>
          </cell>
        </row>
        <row r="8677">
          <cell r="A8677">
            <v>45691</v>
          </cell>
          <cell r="B8677" t="str">
            <v>Củ Dền</v>
          </cell>
          <cell r="C8677" t="str">
            <v>Kg</v>
          </cell>
          <cell r="D8677">
            <v>10000</v>
          </cell>
        </row>
        <row r="8678">
          <cell r="A8678">
            <v>45691</v>
          </cell>
          <cell r="B8678" t="str">
            <v>Cải Bó Xôi</v>
          </cell>
          <cell r="C8678" t="str">
            <v>Kg</v>
          </cell>
          <cell r="D8678">
            <v>16000</v>
          </cell>
        </row>
        <row r="8679">
          <cell r="A8679">
            <v>45691</v>
          </cell>
          <cell r="B8679" t="str">
            <v>Cần Tây</v>
          </cell>
          <cell r="C8679" t="str">
            <v>Kg</v>
          </cell>
          <cell r="D8679">
            <v>20000</v>
          </cell>
        </row>
        <row r="8680">
          <cell r="A8680">
            <v>45691</v>
          </cell>
          <cell r="B8680" t="str">
            <v>Bông Cải Trắng</v>
          </cell>
          <cell r="C8680" t="str">
            <v>Kg</v>
          </cell>
          <cell r="D8680">
            <v>10000</v>
          </cell>
        </row>
        <row r="8681">
          <cell r="A8681">
            <v>45691</v>
          </cell>
          <cell r="B8681" t="str">
            <v>Bông Cải Xanh 7Cm</v>
          </cell>
          <cell r="C8681" t="str">
            <v>Kg</v>
          </cell>
          <cell r="D8681">
            <v>22000</v>
          </cell>
        </row>
        <row r="8682">
          <cell r="A8682">
            <v>45691</v>
          </cell>
          <cell r="B8682" t="str">
            <v>Bông Cải Xanh 7Cm</v>
          </cell>
          <cell r="C8682" t="str">
            <v>Kg</v>
          </cell>
          <cell r="D8682">
            <v>20000</v>
          </cell>
        </row>
        <row r="8683">
          <cell r="A8683">
            <v>45691</v>
          </cell>
          <cell r="B8683" t="str">
            <v>Bắp Cải Tím</v>
          </cell>
          <cell r="C8683" t="str">
            <v>Kg</v>
          </cell>
          <cell r="D8683">
            <v>8000</v>
          </cell>
        </row>
        <row r="8684">
          <cell r="A8684">
            <v>45691</v>
          </cell>
          <cell r="B8684" t="str">
            <v>Bông Cải Xanh 12Cm</v>
          </cell>
          <cell r="C8684" t="str">
            <v>Kg</v>
          </cell>
          <cell r="D8684">
            <v>10000</v>
          </cell>
        </row>
        <row r="8685">
          <cell r="A8685">
            <v>45691</v>
          </cell>
          <cell r="B8685" t="str">
            <v>Xà Lách Lolo Xanh</v>
          </cell>
          <cell r="C8685" t="str">
            <v>Kg</v>
          </cell>
          <cell r="D8685">
            <v>13000</v>
          </cell>
        </row>
        <row r="8686">
          <cell r="A8686">
            <v>45691</v>
          </cell>
          <cell r="B8686" t="str">
            <v>Củ Cải Trắng</v>
          </cell>
          <cell r="C8686" t="str">
            <v>Kg</v>
          </cell>
          <cell r="D8686">
            <v>5500</v>
          </cell>
        </row>
        <row r="8687">
          <cell r="A8687">
            <v>45691</v>
          </cell>
          <cell r="B8687" t="str">
            <v>Củ Khoai Lang Nhật</v>
          </cell>
          <cell r="C8687" t="str">
            <v>Kg</v>
          </cell>
          <cell r="D8687">
            <v>17000</v>
          </cell>
        </row>
        <row r="8688">
          <cell r="A8688">
            <v>45691</v>
          </cell>
          <cell r="B8688" t="str">
            <v>Cà Rốt</v>
          </cell>
          <cell r="C8688" t="str">
            <v>Kg</v>
          </cell>
          <cell r="D8688">
            <v>9500</v>
          </cell>
        </row>
        <row r="8689">
          <cell r="A8689">
            <v>45691</v>
          </cell>
          <cell r="B8689" t="str">
            <v>Cải Kale</v>
          </cell>
          <cell r="C8689" t="str">
            <v>Túi</v>
          </cell>
          <cell r="D8689">
            <v>4000</v>
          </cell>
        </row>
        <row r="8690">
          <cell r="A8690">
            <v>45691</v>
          </cell>
          <cell r="B8690" t="str">
            <v>Lá Mè</v>
          </cell>
          <cell r="C8690" t="str">
            <v>Túi</v>
          </cell>
          <cell r="D8690">
            <v>3000</v>
          </cell>
        </row>
        <row r="8691">
          <cell r="A8691">
            <v>45691</v>
          </cell>
          <cell r="B8691" t="str">
            <v>Cà Chua Beef Trung</v>
          </cell>
          <cell r="C8691" t="str">
            <v>Vỉ 500gr</v>
          </cell>
          <cell r="D8691">
            <v>7000</v>
          </cell>
        </row>
        <row r="8692">
          <cell r="A8692">
            <v>45691</v>
          </cell>
          <cell r="B8692" t="str">
            <v>Cà Chua Bi Mix</v>
          </cell>
          <cell r="C8692" t="str">
            <v>Hộp</v>
          </cell>
          <cell r="D8692">
            <v>11400</v>
          </cell>
        </row>
        <row r="8693">
          <cell r="A8693">
            <v>45691</v>
          </cell>
          <cell r="B8693" t="str">
            <v>Cà Chua Socola</v>
          </cell>
          <cell r="C8693" t="str">
            <v>Hộp 300gr</v>
          </cell>
          <cell r="D8693">
            <v>10050</v>
          </cell>
        </row>
        <row r="8694">
          <cell r="A8694">
            <v>45691</v>
          </cell>
          <cell r="B8694" t="str">
            <v>Cải Kale</v>
          </cell>
          <cell r="C8694" t="str">
            <v>Túi</v>
          </cell>
          <cell r="D8694">
            <v>5100</v>
          </cell>
        </row>
        <row r="8695">
          <cell r="A8695">
            <v>45691</v>
          </cell>
          <cell r="B8695" t="str">
            <v>Chanh Không Hạt</v>
          </cell>
          <cell r="C8695" t="str">
            <v>Vỉ</v>
          </cell>
          <cell r="D8695">
            <v>6750</v>
          </cell>
        </row>
        <row r="8696">
          <cell r="A8696">
            <v>45691</v>
          </cell>
          <cell r="B8696" t="str">
            <v>Cải Bó Xôi</v>
          </cell>
          <cell r="C8696" t="str">
            <v>Túi</v>
          </cell>
          <cell r="D8696">
            <v>6300</v>
          </cell>
        </row>
        <row r="8697">
          <cell r="A8697">
            <v>45691</v>
          </cell>
          <cell r="B8697" t="str">
            <v>Xà Lách Mỹ</v>
          </cell>
          <cell r="C8697" t="str">
            <v>Kg</v>
          </cell>
          <cell r="D8697">
            <v>18000</v>
          </cell>
        </row>
        <row r="8698">
          <cell r="A8698">
            <v>45691</v>
          </cell>
          <cell r="B8698" t="str">
            <v>Bông Cải Xanh Baby</v>
          </cell>
          <cell r="C8698" t="str">
            <v>Vỉ</v>
          </cell>
          <cell r="D8698">
            <v>6000</v>
          </cell>
        </row>
        <row r="8699">
          <cell r="A8699">
            <v>45691</v>
          </cell>
          <cell r="B8699" t="str">
            <v>Củ Cải Đỏ</v>
          </cell>
          <cell r="C8699" t="str">
            <v>Hộp</v>
          </cell>
          <cell r="D8699">
            <v>11000</v>
          </cell>
        </row>
        <row r="8700">
          <cell r="A8700">
            <v>45691</v>
          </cell>
          <cell r="B8700" t="str">
            <v>Xà Lách Lolo Xanh</v>
          </cell>
          <cell r="C8700" t="str">
            <v>Kg</v>
          </cell>
          <cell r="D8700">
            <v>18000</v>
          </cell>
        </row>
        <row r="8701">
          <cell r="A8701">
            <v>45691</v>
          </cell>
          <cell r="B8701" t="str">
            <v>Cà Chua Beef Trung</v>
          </cell>
          <cell r="C8701" t="str">
            <v>Vỉ 500gr</v>
          </cell>
          <cell r="D8701">
            <v>8000</v>
          </cell>
        </row>
        <row r="8702">
          <cell r="A8702">
            <v>45691</v>
          </cell>
          <cell r="B8702" t="str">
            <v>Ớt Sweet Palemo</v>
          </cell>
          <cell r="C8702" t="str">
            <v>Túi</v>
          </cell>
          <cell r="D8702">
            <v>17000</v>
          </cell>
        </row>
        <row r="8703">
          <cell r="A8703">
            <v>45691</v>
          </cell>
          <cell r="B8703" t="str">
            <v>Xà Lách Lolo Tím</v>
          </cell>
          <cell r="C8703" t="str">
            <v>Kg</v>
          </cell>
          <cell r="D8703">
            <v>20000</v>
          </cell>
        </row>
        <row r="8704">
          <cell r="A8704">
            <v>45691</v>
          </cell>
          <cell r="B8704" t="str">
            <v>Xà Lách Romaine</v>
          </cell>
          <cell r="C8704" t="str">
            <v>Kg</v>
          </cell>
          <cell r="D8704">
            <v>40000</v>
          </cell>
        </row>
        <row r="8705">
          <cell r="A8705">
            <v>45691</v>
          </cell>
          <cell r="B8705" t="str">
            <v>Lá Mè</v>
          </cell>
          <cell r="C8705" t="str">
            <v>Túi</v>
          </cell>
          <cell r="D8705">
            <v>3400</v>
          </cell>
        </row>
        <row r="8706">
          <cell r="A8706">
            <v>45691</v>
          </cell>
          <cell r="B8706" t="str">
            <v>Cà Rốt Baby</v>
          </cell>
          <cell r="C8706" t="str">
            <v>Vỉ</v>
          </cell>
          <cell r="D8706">
            <v>6000</v>
          </cell>
        </row>
        <row r="8707">
          <cell r="A8707">
            <v>45691</v>
          </cell>
          <cell r="B8707" t="str">
            <v>Cải Kale</v>
          </cell>
          <cell r="C8707" t="str">
            <v>Túi</v>
          </cell>
          <cell r="D8707">
            <v>3300</v>
          </cell>
        </row>
        <row r="8708">
          <cell r="A8708">
            <v>45691</v>
          </cell>
          <cell r="B8708" t="str">
            <v>Cải Kale</v>
          </cell>
          <cell r="C8708" t="str">
            <v>Túi 150gr</v>
          </cell>
          <cell r="D8708">
            <v>1900</v>
          </cell>
        </row>
        <row r="8709">
          <cell r="A8709">
            <v>45692</v>
          </cell>
          <cell r="B8709" t="str">
            <v>DO 0.05S-II</v>
          </cell>
          <cell r="C8709" t="str">
            <v>Lít</v>
          </cell>
          <cell r="D8709">
            <v>17836.36</v>
          </cell>
        </row>
        <row r="8710">
          <cell r="A8710">
            <v>45692</v>
          </cell>
          <cell r="B8710" t="str">
            <v>CƯỚC VẬN CHUYỂN TUYẾN LONG BIÊN THÁNG 1 2025</v>
          </cell>
          <cell r="C8710" t="str">
            <v>Tháng</v>
          </cell>
          <cell r="D8710">
            <v>4550000</v>
          </cell>
        </row>
        <row r="8711">
          <cell r="A8711">
            <v>45692</v>
          </cell>
          <cell r="B8711" t="str">
            <v>Cà Chua Thường</v>
          </cell>
          <cell r="C8711" t="str">
            <v>Kg</v>
          </cell>
          <cell r="D8711">
            <v>10000</v>
          </cell>
        </row>
        <row r="8712">
          <cell r="A8712">
            <v>45692</v>
          </cell>
          <cell r="B8712" t="str">
            <v>Cà Chua Thường</v>
          </cell>
          <cell r="C8712" t="str">
            <v>Kg</v>
          </cell>
          <cell r="D8712">
            <v>8000</v>
          </cell>
        </row>
        <row r="8713">
          <cell r="A8713">
            <v>45692</v>
          </cell>
          <cell r="B8713" t="str">
            <v>Cà Chua Thường Trung</v>
          </cell>
          <cell r="C8713" t="str">
            <v>Kg</v>
          </cell>
          <cell r="D8713">
            <v>7000</v>
          </cell>
        </row>
        <row r="8714">
          <cell r="A8714">
            <v>45692</v>
          </cell>
          <cell r="B8714" t="str">
            <v>Cà Chua Thường Trung</v>
          </cell>
          <cell r="C8714" t="str">
            <v>Kg</v>
          </cell>
          <cell r="D8714">
            <v>5000</v>
          </cell>
        </row>
        <row r="8715">
          <cell r="A8715">
            <v>45692</v>
          </cell>
          <cell r="B8715" t="str">
            <v>Cải Bó Xôi</v>
          </cell>
          <cell r="C8715" t="str">
            <v>Túi</v>
          </cell>
          <cell r="D8715">
            <v>6300</v>
          </cell>
        </row>
        <row r="8716">
          <cell r="A8716">
            <v>45692</v>
          </cell>
          <cell r="B8716" t="str">
            <v>Cà Chua Bi Mix</v>
          </cell>
          <cell r="C8716" t="str">
            <v>Hộp</v>
          </cell>
          <cell r="D8716">
            <v>11400</v>
          </cell>
        </row>
        <row r="8717">
          <cell r="A8717">
            <v>45692</v>
          </cell>
          <cell r="B8717" t="str">
            <v>Cà Chua Socola</v>
          </cell>
          <cell r="C8717" t="str">
            <v>Hộp 300gr</v>
          </cell>
          <cell r="D8717">
            <v>10050</v>
          </cell>
        </row>
        <row r="8718">
          <cell r="A8718">
            <v>45692</v>
          </cell>
          <cell r="B8718" t="str">
            <v>Cà Chua Socola</v>
          </cell>
          <cell r="C8718" t="str">
            <v>Hộp 250GR</v>
          </cell>
          <cell r="D8718">
            <v>8625</v>
          </cell>
        </row>
        <row r="8719">
          <cell r="A8719">
            <v>45692</v>
          </cell>
          <cell r="B8719" t="str">
            <v>Chanh Không Hạt</v>
          </cell>
          <cell r="C8719" t="str">
            <v>Vỉ</v>
          </cell>
          <cell r="D8719">
            <v>6750</v>
          </cell>
        </row>
        <row r="8720">
          <cell r="A8720">
            <v>45692</v>
          </cell>
          <cell r="B8720" t="str">
            <v>Cà Chua Beef</v>
          </cell>
          <cell r="C8720" t="str">
            <v>Vỉ 650gr</v>
          </cell>
          <cell r="D8720">
            <v>13000</v>
          </cell>
        </row>
        <row r="8721">
          <cell r="A8721">
            <v>45692</v>
          </cell>
          <cell r="B8721" t="str">
            <v>Bông Cải Xanh Baby</v>
          </cell>
          <cell r="C8721" t="str">
            <v>Vỉ</v>
          </cell>
          <cell r="D8721">
            <v>6000</v>
          </cell>
        </row>
        <row r="8722">
          <cell r="A8722">
            <v>45692</v>
          </cell>
          <cell r="B8722" t="str">
            <v>Cà Chua Socola</v>
          </cell>
          <cell r="C8722" t="str">
            <v>Hộp 250GR</v>
          </cell>
          <cell r="D8722">
            <v>9000</v>
          </cell>
        </row>
        <row r="8723">
          <cell r="A8723">
            <v>45692</v>
          </cell>
          <cell r="B8723" t="str">
            <v>Cà Chua Beef Trung</v>
          </cell>
          <cell r="C8723" t="str">
            <v>Vỉ 500gr</v>
          </cell>
          <cell r="D8723">
            <v>7500</v>
          </cell>
        </row>
        <row r="8724">
          <cell r="A8724">
            <v>45692</v>
          </cell>
          <cell r="B8724" t="str">
            <v>Ớt Sweet Palemo</v>
          </cell>
          <cell r="C8724" t="str">
            <v>Túi</v>
          </cell>
          <cell r="D8724">
            <v>18000</v>
          </cell>
        </row>
        <row r="8725">
          <cell r="A8725">
            <v>45692</v>
          </cell>
          <cell r="B8725" t="str">
            <v>Xà Lách Lolo Tím</v>
          </cell>
          <cell r="C8725" t="str">
            <v>Kg</v>
          </cell>
          <cell r="D8725">
            <v>20000</v>
          </cell>
        </row>
        <row r="8726">
          <cell r="A8726">
            <v>45692</v>
          </cell>
          <cell r="B8726" t="str">
            <v>Củ Cải Đỏ</v>
          </cell>
          <cell r="C8726" t="str">
            <v>Hộp</v>
          </cell>
          <cell r="D8726">
            <v>11000</v>
          </cell>
        </row>
        <row r="8727">
          <cell r="A8727">
            <v>45692</v>
          </cell>
          <cell r="B8727" t="str">
            <v>Xà Lách Rocket</v>
          </cell>
          <cell r="C8727" t="str">
            <v>Kg</v>
          </cell>
          <cell r="D8727">
            <v>70000</v>
          </cell>
        </row>
        <row r="8728">
          <cell r="A8728">
            <v>45692</v>
          </cell>
          <cell r="B8728" t="str">
            <v>Lá Mè</v>
          </cell>
          <cell r="C8728" t="str">
            <v>Túi</v>
          </cell>
          <cell r="D8728">
            <v>3200</v>
          </cell>
        </row>
        <row r="8729">
          <cell r="A8729">
            <v>45692</v>
          </cell>
          <cell r="B8729" t="str">
            <v>Dưa Leo Baby</v>
          </cell>
          <cell r="C8729" t="str">
            <v>Vỉ</v>
          </cell>
          <cell r="D8729">
            <v>8000</v>
          </cell>
        </row>
        <row r="8730">
          <cell r="A8730">
            <v>45692</v>
          </cell>
          <cell r="B8730" t="str">
            <v>Cà Rốt Baby</v>
          </cell>
          <cell r="C8730" t="str">
            <v>Vỉ</v>
          </cell>
          <cell r="D8730">
            <v>6000</v>
          </cell>
        </row>
        <row r="8731">
          <cell r="A8731">
            <v>45692</v>
          </cell>
          <cell r="B8731" t="str">
            <v>Cải Kale</v>
          </cell>
          <cell r="C8731" t="str">
            <v>Túi</v>
          </cell>
          <cell r="D8731">
            <v>3300</v>
          </cell>
        </row>
        <row r="8732">
          <cell r="A8732">
            <v>45692</v>
          </cell>
          <cell r="B8732" t="str">
            <v>Đậu Cove Trắng</v>
          </cell>
          <cell r="C8732" t="str">
            <v>Kg</v>
          </cell>
          <cell r="D8732">
            <v>11000</v>
          </cell>
        </row>
        <row r="8733">
          <cell r="A8733">
            <v>45692</v>
          </cell>
          <cell r="B8733" t="str">
            <v>Bông Cải Xanh 7Cm</v>
          </cell>
          <cell r="C8733" t="str">
            <v>Kg</v>
          </cell>
          <cell r="D8733">
            <v>20000</v>
          </cell>
        </row>
        <row r="8734">
          <cell r="A8734">
            <v>45692</v>
          </cell>
          <cell r="B8734" t="str">
            <v>Cần Tây</v>
          </cell>
          <cell r="C8734" t="str">
            <v>Kg</v>
          </cell>
          <cell r="D8734">
            <v>20000</v>
          </cell>
        </row>
        <row r="8735">
          <cell r="A8735">
            <v>45692</v>
          </cell>
          <cell r="B8735" t="str">
            <v>Bông Cải Xanh 7Cm</v>
          </cell>
          <cell r="C8735" t="str">
            <v>Kg</v>
          </cell>
          <cell r="D8735">
            <v>22000</v>
          </cell>
        </row>
        <row r="8736">
          <cell r="A8736">
            <v>45692</v>
          </cell>
          <cell r="B8736" t="str">
            <v>Củ Dền</v>
          </cell>
          <cell r="C8736" t="str">
            <v>Kg</v>
          </cell>
          <cell r="D8736">
            <v>10000</v>
          </cell>
        </row>
        <row r="8737">
          <cell r="A8737">
            <v>45692</v>
          </cell>
          <cell r="B8737" t="str">
            <v>Bông Cải Trắng</v>
          </cell>
          <cell r="C8737" t="str">
            <v>Kg</v>
          </cell>
          <cell r="D8737">
            <v>10000</v>
          </cell>
        </row>
        <row r="8738">
          <cell r="A8738">
            <v>45692</v>
          </cell>
          <cell r="B8738" t="str">
            <v>Bắp Cải Tím</v>
          </cell>
          <cell r="C8738" t="str">
            <v>Kg</v>
          </cell>
          <cell r="D8738">
            <v>8000</v>
          </cell>
        </row>
        <row r="8739">
          <cell r="A8739">
            <v>45692</v>
          </cell>
          <cell r="B8739" t="str">
            <v>Bông Cải Xanh 12Cm</v>
          </cell>
          <cell r="C8739" t="str">
            <v>Kg</v>
          </cell>
          <cell r="D8739">
            <v>10000</v>
          </cell>
        </row>
        <row r="8740">
          <cell r="A8740">
            <v>45692</v>
          </cell>
          <cell r="B8740" t="str">
            <v>Bông Cải Xanh 7Cm</v>
          </cell>
          <cell r="C8740" t="str">
            <v>Kg</v>
          </cell>
          <cell r="D8740">
            <v>17000</v>
          </cell>
        </row>
        <row r="8741">
          <cell r="A8741">
            <v>45692</v>
          </cell>
          <cell r="B8741" t="str">
            <v>Cải Bó Xôi</v>
          </cell>
          <cell r="C8741" t="str">
            <v>Kg</v>
          </cell>
          <cell r="D8741">
            <v>16000</v>
          </cell>
        </row>
        <row r="8742">
          <cell r="A8742">
            <v>45692</v>
          </cell>
          <cell r="B8742" t="str">
            <v>Trái Su Su</v>
          </cell>
          <cell r="C8742" t="str">
            <v>Kg</v>
          </cell>
          <cell r="D8742">
            <v>4000</v>
          </cell>
        </row>
        <row r="8743">
          <cell r="A8743">
            <v>45692</v>
          </cell>
          <cell r="B8743" t="str">
            <v>Gia Công Rau Củ Quả</v>
          </cell>
          <cell r="C8743" t="str">
            <v>Kg</v>
          </cell>
          <cell r="D8743">
            <v>1700</v>
          </cell>
        </row>
        <row r="8744">
          <cell r="A8744">
            <v>45692</v>
          </cell>
          <cell r="B8744" t="str">
            <v>Gia Công Rau Củ Quả</v>
          </cell>
          <cell r="C8744" t="str">
            <v>Kg</v>
          </cell>
          <cell r="D8744">
            <v>1700</v>
          </cell>
        </row>
        <row r="8745">
          <cell r="A8745">
            <v>45692</v>
          </cell>
          <cell r="B8745" t="str">
            <v>Gia Công Rau Củ Quả</v>
          </cell>
          <cell r="C8745" t="str">
            <v>Kg</v>
          </cell>
          <cell r="D8745">
            <v>700</v>
          </cell>
        </row>
        <row r="8746">
          <cell r="A8746">
            <v>45692</v>
          </cell>
          <cell r="B8746" t="str">
            <v>Gia Công Rau Củ Quả</v>
          </cell>
          <cell r="C8746" t="str">
            <v>Kg</v>
          </cell>
          <cell r="D8746">
            <v>700</v>
          </cell>
        </row>
        <row r="8747">
          <cell r="A8747">
            <v>45692</v>
          </cell>
          <cell r="B8747" t="str">
            <v>Gia Công Rau Củ Quả</v>
          </cell>
          <cell r="C8747" t="str">
            <v>Kg</v>
          </cell>
          <cell r="D8747">
            <v>1000</v>
          </cell>
        </row>
        <row r="8748">
          <cell r="A8748">
            <v>45692</v>
          </cell>
          <cell r="B8748" t="str">
            <v>Dưa Leo Baby</v>
          </cell>
          <cell r="C8748" t="str">
            <v>Kg</v>
          </cell>
          <cell r="D8748">
            <v>10000</v>
          </cell>
        </row>
        <row r="8749">
          <cell r="A8749">
            <v>45692</v>
          </cell>
          <cell r="B8749" t="str">
            <v>Dưa Leo Baby</v>
          </cell>
          <cell r="C8749" t="str">
            <v>Kg</v>
          </cell>
          <cell r="D8749">
            <v>9500</v>
          </cell>
        </row>
        <row r="8750">
          <cell r="A8750">
            <v>45692</v>
          </cell>
          <cell r="B8750" t="str">
            <v>Xà Lách Lolo Xanh</v>
          </cell>
          <cell r="C8750" t="str">
            <v>Kg</v>
          </cell>
          <cell r="D8750">
            <v>13000</v>
          </cell>
        </row>
        <row r="8751">
          <cell r="A8751">
            <v>45692</v>
          </cell>
          <cell r="B8751" t="str">
            <v>Bông Cải Xanh 7Cm</v>
          </cell>
          <cell r="C8751" t="str">
            <v>Kg</v>
          </cell>
          <cell r="D8751">
            <v>20000</v>
          </cell>
        </row>
        <row r="8752">
          <cell r="A8752">
            <v>45692</v>
          </cell>
          <cell r="B8752" t="str">
            <v>Xà Lách Lolo Xanh T.C Cây</v>
          </cell>
          <cell r="C8752" t="str">
            <v>Cây</v>
          </cell>
          <cell r="D8752">
            <v>6800</v>
          </cell>
        </row>
        <row r="8753">
          <cell r="A8753">
            <v>45692</v>
          </cell>
          <cell r="B8753" t="str">
            <v>Xà Lách Thủy Tinh T.C Cây</v>
          </cell>
          <cell r="C8753" t="str">
            <v>Cây</v>
          </cell>
          <cell r="D8753">
            <v>6800</v>
          </cell>
        </row>
        <row r="8754">
          <cell r="A8754">
            <v>45692</v>
          </cell>
          <cell r="B8754" t="str">
            <v>Xà Lách Lolo Xanh T.C Cây</v>
          </cell>
          <cell r="C8754" t="str">
            <v>Cây</v>
          </cell>
          <cell r="D8754">
            <v>6800</v>
          </cell>
        </row>
        <row r="8755">
          <cell r="A8755">
            <v>45692</v>
          </cell>
          <cell r="B8755" t="str">
            <v>Xà Lách Mỡ T.C Cây</v>
          </cell>
          <cell r="C8755" t="str">
            <v>Cây</v>
          </cell>
          <cell r="D8755">
            <v>6800</v>
          </cell>
        </row>
        <row r="8756">
          <cell r="A8756">
            <v>45692</v>
          </cell>
          <cell r="B8756" t="str">
            <v>Xà Lách Thủy Tinh T.C Cây</v>
          </cell>
          <cell r="C8756" t="str">
            <v>Cây</v>
          </cell>
          <cell r="D8756">
            <v>6800</v>
          </cell>
        </row>
        <row r="8757">
          <cell r="A8757">
            <v>45692</v>
          </cell>
          <cell r="B8757" t="str">
            <v>Củ Cải Trắng</v>
          </cell>
          <cell r="C8757" t="str">
            <v>Kg</v>
          </cell>
          <cell r="D8757">
            <v>5500</v>
          </cell>
        </row>
        <row r="8758">
          <cell r="A8758">
            <v>45692</v>
          </cell>
          <cell r="B8758" t="str">
            <v>Củ Khoai Lang Nhật</v>
          </cell>
          <cell r="C8758" t="str">
            <v>Kg</v>
          </cell>
          <cell r="D8758">
            <v>17000</v>
          </cell>
        </row>
        <row r="8759">
          <cell r="A8759">
            <v>45692</v>
          </cell>
          <cell r="B8759" t="str">
            <v>Xà Lách Thủy Tinh T.C Cây</v>
          </cell>
          <cell r="C8759" t="str">
            <v>Cây</v>
          </cell>
          <cell r="D8759">
            <v>7000</v>
          </cell>
        </row>
        <row r="8760">
          <cell r="A8760">
            <v>45692</v>
          </cell>
          <cell r="B8760" t="str">
            <v>Cà Chua Thường</v>
          </cell>
          <cell r="C8760" t="str">
            <v>Kg</v>
          </cell>
          <cell r="D8760">
            <v>11000</v>
          </cell>
        </row>
        <row r="8761">
          <cell r="A8761">
            <v>45692</v>
          </cell>
          <cell r="B8761" t="str">
            <v>Cà Chua Thường Trung</v>
          </cell>
          <cell r="C8761" t="str">
            <v>Kg</v>
          </cell>
          <cell r="D8761">
            <v>7000</v>
          </cell>
        </row>
        <row r="8762">
          <cell r="A8762">
            <v>45692</v>
          </cell>
          <cell r="B8762" t="str">
            <v>Cà Rốt</v>
          </cell>
          <cell r="C8762" t="str">
            <v>Kg</v>
          </cell>
          <cell r="D8762">
            <v>9500</v>
          </cell>
        </row>
        <row r="8763">
          <cell r="A8763">
            <v>45692</v>
          </cell>
          <cell r="B8763" t="str">
            <v>Cà Rốt Trung</v>
          </cell>
          <cell r="C8763" t="str">
            <v>Kg</v>
          </cell>
          <cell r="D8763">
            <v>7000</v>
          </cell>
        </row>
        <row r="8764">
          <cell r="A8764">
            <v>45692</v>
          </cell>
          <cell r="B8764" t="str">
            <v>Bí Đao Xanh</v>
          </cell>
          <cell r="C8764" t="str">
            <v>Kg</v>
          </cell>
          <cell r="D8764">
            <v>12000</v>
          </cell>
        </row>
        <row r="8765">
          <cell r="A8765">
            <v>45692</v>
          </cell>
          <cell r="B8765" t="str">
            <v>Dưa Leo Thường</v>
          </cell>
          <cell r="C8765" t="str">
            <v>Kg</v>
          </cell>
          <cell r="D8765">
            <v>15000</v>
          </cell>
        </row>
        <row r="8766">
          <cell r="A8766">
            <v>45692</v>
          </cell>
          <cell r="B8766" t="str">
            <v>Trái Khổ Qua</v>
          </cell>
          <cell r="C8766" t="str">
            <v>Kg</v>
          </cell>
          <cell r="D8766">
            <v>14000</v>
          </cell>
        </row>
        <row r="8767">
          <cell r="A8767">
            <v>45692</v>
          </cell>
          <cell r="B8767" t="str">
            <v>Xà Lách Mỡ T.C</v>
          </cell>
          <cell r="C8767" t="str">
            <v>Kg</v>
          </cell>
          <cell r="D8767">
            <v>24000</v>
          </cell>
        </row>
        <row r="8768">
          <cell r="A8768">
            <v>45692</v>
          </cell>
          <cell r="B8768" t="str">
            <v>Xà Lách Lolo Xanh T.C</v>
          </cell>
          <cell r="C8768" t="str">
            <v>Kg</v>
          </cell>
          <cell r="D8768">
            <v>25000</v>
          </cell>
        </row>
        <row r="8769">
          <cell r="A8769">
            <v>45692</v>
          </cell>
          <cell r="B8769" t="str">
            <v>Cà Rốt</v>
          </cell>
          <cell r="C8769" t="str">
            <v>Kg</v>
          </cell>
          <cell r="D8769">
            <v>10000</v>
          </cell>
        </row>
        <row r="8770">
          <cell r="A8770">
            <v>45692</v>
          </cell>
          <cell r="B8770" t="str">
            <v>Đậu Cove Nhật</v>
          </cell>
          <cell r="C8770" t="str">
            <v>Túi</v>
          </cell>
          <cell r="D8770">
            <v>6000</v>
          </cell>
        </row>
        <row r="8771">
          <cell r="A8771">
            <v>45692</v>
          </cell>
          <cell r="B8771" t="str">
            <v>Củ Khoai Lang Mật Size 23</v>
          </cell>
          <cell r="C8771" t="str">
            <v>Kg</v>
          </cell>
          <cell r="D8771">
            <v>26500</v>
          </cell>
        </row>
        <row r="8772">
          <cell r="A8772">
            <v>45692</v>
          </cell>
          <cell r="B8772" t="str">
            <v>Ớt Chuông Đỏ</v>
          </cell>
          <cell r="C8772" t="str">
            <v>Kg</v>
          </cell>
          <cell r="D8772">
            <v>50000</v>
          </cell>
        </row>
        <row r="8773">
          <cell r="A8773">
            <v>45692</v>
          </cell>
          <cell r="B8773" t="str">
            <v>Ớt Chuông Vàng</v>
          </cell>
          <cell r="C8773" t="str">
            <v>Kg</v>
          </cell>
          <cell r="D8773">
            <v>47000</v>
          </cell>
        </row>
        <row r="8774">
          <cell r="A8774">
            <v>45692</v>
          </cell>
          <cell r="B8774" t="str">
            <v>Ớt Chuông Xanh</v>
          </cell>
          <cell r="C8774" t="str">
            <v>Kg</v>
          </cell>
          <cell r="D8774">
            <v>32000</v>
          </cell>
        </row>
        <row r="8775">
          <cell r="A8775">
            <v>45692</v>
          </cell>
          <cell r="B8775" t="str">
            <v>Bắp Cải Trái Tim</v>
          </cell>
          <cell r="C8775" t="str">
            <v>Kg</v>
          </cell>
          <cell r="D8775">
            <v>6000</v>
          </cell>
        </row>
        <row r="8776">
          <cell r="A8776">
            <v>45692</v>
          </cell>
          <cell r="B8776" t="str">
            <v>Cà Rốt</v>
          </cell>
          <cell r="C8776" t="str">
            <v>Kg</v>
          </cell>
          <cell r="D8776">
            <v>10000</v>
          </cell>
        </row>
        <row r="8777">
          <cell r="A8777">
            <v>45692</v>
          </cell>
          <cell r="B8777" t="str">
            <v>Hành Paro</v>
          </cell>
          <cell r="C8777" t="str">
            <v>Kg</v>
          </cell>
          <cell r="D8777">
            <v>13000</v>
          </cell>
        </row>
        <row r="8778">
          <cell r="A8778">
            <v>45692</v>
          </cell>
          <cell r="B8778" t="str">
            <v>Bí Ngòi Xanh</v>
          </cell>
          <cell r="C8778" t="str">
            <v>Kg</v>
          </cell>
          <cell r="D8778">
            <v>12000</v>
          </cell>
        </row>
        <row r="8779">
          <cell r="A8779">
            <v>45692</v>
          </cell>
          <cell r="B8779" t="str">
            <v>Ớt Chuông Snack</v>
          </cell>
          <cell r="C8779" t="str">
            <v>Kg</v>
          </cell>
          <cell r="D8779">
            <v>60000</v>
          </cell>
        </row>
        <row r="8780">
          <cell r="A8780">
            <v>45692</v>
          </cell>
          <cell r="B8780" t="str">
            <v>Ớt Chuông Baby</v>
          </cell>
          <cell r="C8780" t="str">
            <v>Kg</v>
          </cell>
          <cell r="D8780">
            <v>50000</v>
          </cell>
        </row>
        <row r="8781">
          <cell r="A8781">
            <v>45692</v>
          </cell>
          <cell r="B8781" t="str">
            <v>Ớt Chuông Đỏ</v>
          </cell>
          <cell r="C8781" t="str">
            <v>Kg</v>
          </cell>
          <cell r="D8781">
            <v>52000</v>
          </cell>
        </row>
        <row r="8782">
          <cell r="A8782">
            <v>45692</v>
          </cell>
          <cell r="B8782" t="str">
            <v>Ớt Chuông Xanh</v>
          </cell>
          <cell r="C8782" t="str">
            <v>Kg</v>
          </cell>
          <cell r="D8782">
            <v>35000</v>
          </cell>
        </row>
        <row r="8783">
          <cell r="A8783">
            <v>45692</v>
          </cell>
          <cell r="B8783" t="str">
            <v>Củ Gừng</v>
          </cell>
          <cell r="C8783" t="str">
            <v>Kg</v>
          </cell>
          <cell r="D8783">
            <v>18000</v>
          </cell>
        </row>
        <row r="8784">
          <cell r="A8784">
            <v>45692</v>
          </cell>
          <cell r="B8784" t="str">
            <v>Ớt Sweet Palemo</v>
          </cell>
          <cell r="C8784" t="str">
            <v>Túi</v>
          </cell>
          <cell r="D8784">
            <v>18000</v>
          </cell>
        </row>
        <row r="8785">
          <cell r="A8785">
            <v>45692</v>
          </cell>
          <cell r="B8785" t="str">
            <v>Xà Lách Lolo Xanh T.C</v>
          </cell>
          <cell r="C8785" t="str">
            <v>Kg</v>
          </cell>
          <cell r="D8785">
            <v>26000</v>
          </cell>
        </row>
        <row r="8786">
          <cell r="A8786">
            <v>45692</v>
          </cell>
          <cell r="B8786" t="str">
            <v>Xà Lách Thủy Tinh T.C Cây</v>
          </cell>
          <cell r="C8786" t="str">
            <v>Cây</v>
          </cell>
          <cell r="D8786">
            <v>7500</v>
          </cell>
        </row>
        <row r="8787">
          <cell r="A8787">
            <v>45692</v>
          </cell>
          <cell r="B8787" t="str">
            <v>Dưa Leo Baby</v>
          </cell>
          <cell r="C8787" t="str">
            <v>Vỉ</v>
          </cell>
          <cell r="D8787">
            <v>6500</v>
          </cell>
        </row>
        <row r="8788">
          <cell r="A8788">
            <v>45692</v>
          </cell>
          <cell r="B8788" t="str">
            <v>Dưa Leo Baby</v>
          </cell>
          <cell r="C8788" t="str">
            <v>Vỉ</v>
          </cell>
          <cell r="D8788">
            <v>7500</v>
          </cell>
        </row>
        <row r="8789">
          <cell r="A8789">
            <v>45692</v>
          </cell>
          <cell r="B8789" t="str">
            <v>Dưa Leo Nhật</v>
          </cell>
          <cell r="C8789" t="str">
            <v>Kg</v>
          </cell>
          <cell r="D8789">
            <v>14000</v>
          </cell>
        </row>
        <row r="8790">
          <cell r="A8790">
            <v>45692</v>
          </cell>
          <cell r="B8790" t="str">
            <v>Đậu Cove Trắng</v>
          </cell>
          <cell r="C8790" t="str">
            <v>Túi 500gr</v>
          </cell>
          <cell r="D8790">
            <v>7000</v>
          </cell>
        </row>
        <row r="8791">
          <cell r="A8791">
            <v>45692</v>
          </cell>
          <cell r="B8791" t="str">
            <v>Cà Chua Bi Đỏ</v>
          </cell>
          <cell r="C8791" t="str">
            <v>Hộp 300gr</v>
          </cell>
          <cell r="D8791">
            <v>5400</v>
          </cell>
        </row>
        <row r="8792">
          <cell r="A8792">
            <v>45692</v>
          </cell>
          <cell r="B8792" t="str">
            <v>Cà Chua Bi Đỏ</v>
          </cell>
          <cell r="C8792" t="str">
            <v>Hộp 500gr</v>
          </cell>
          <cell r="D8792">
            <v>9000</v>
          </cell>
        </row>
        <row r="8793">
          <cell r="A8793">
            <v>45692</v>
          </cell>
          <cell r="B8793" t="str">
            <v>CT-MÍT</v>
          </cell>
          <cell r="C8793" t="str">
            <v>Kg</v>
          </cell>
          <cell r="D8793">
            <v>19273</v>
          </cell>
        </row>
        <row r="8794">
          <cell r="A8794">
            <v>45692</v>
          </cell>
          <cell r="B8794" t="str">
            <v>Đậu Cove Trắng</v>
          </cell>
          <cell r="C8794" t="str">
            <v>Túi 300gr</v>
          </cell>
          <cell r="D8794">
            <v>4500</v>
          </cell>
        </row>
        <row r="8795">
          <cell r="A8795">
            <v>45692</v>
          </cell>
          <cell r="B8795" t="str">
            <v>Củ Khoai Lang Nhật</v>
          </cell>
          <cell r="C8795" t="str">
            <v>Kg</v>
          </cell>
          <cell r="D8795">
            <v>18270</v>
          </cell>
        </row>
        <row r="8796">
          <cell r="A8796">
            <v>45692</v>
          </cell>
          <cell r="B8796" t="str">
            <v>Củ Khoai Lang Nhật Baby</v>
          </cell>
          <cell r="C8796" t="str">
            <v>Kg</v>
          </cell>
          <cell r="D8796">
            <v>15225</v>
          </cell>
        </row>
        <row r="8797">
          <cell r="A8797">
            <v>45692</v>
          </cell>
          <cell r="B8797" t="str">
            <v>Củ Su Hào</v>
          </cell>
          <cell r="C8797" t="str">
            <v>Kg</v>
          </cell>
          <cell r="D8797">
            <v>11000</v>
          </cell>
        </row>
        <row r="8798">
          <cell r="A8798">
            <v>45692</v>
          </cell>
          <cell r="B8798" t="str">
            <v>Trái Su Su</v>
          </cell>
          <cell r="C8798" t="str">
            <v>Kg</v>
          </cell>
          <cell r="D8798">
            <v>5000</v>
          </cell>
        </row>
        <row r="8799">
          <cell r="A8799">
            <v>45692</v>
          </cell>
          <cell r="B8799" t="str">
            <v>Bí Đỏ Hồ Lô</v>
          </cell>
          <cell r="C8799" t="str">
            <v>Kg</v>
          </cell>
          <cell r="D8799">
            <v>9000</v>
          </cell>
        </row>
        <row r="8800">
          <cell r="A8800">
            <v>45692</v>
          </cell>
          <cell r="B8800" t="str">
            <v>Chuối Laba</v>
          </cell>
          <cell r="C8800" t="str">
            <v>Kg</v>
          </cell>
          <cell r="D8800">
            <v>14000</v>
          </cell>
        </row>
        <row r="8801">
          <cell r="A8801">
            <v>45692</v>
          </cell>
          <cell r="B8801" t="str">
            <v>Lá Nha Đam</v>
          </cell>
          <cell r="C8801" t="str">
            <v>Kg</v>
          </cell>
          <cell r="D8801">
            <v>14000</v>
          </cell>
        </row>
        <row r="8802">
          <cell r="A8802">
            <v>45692</v>
          </cell>
          <cell r="B8802" t="str">
            <v>Cần Tây</v>
          </cell>
          <cell r="C8802" t="str">
            <v>Kg</v>
          </cell>
          <cell r="D8802">
            <v>18000</v>
          </cell>
        </row>
        <row r="8803">
          <cell r="A8803">
            <v>45692</v>
          </cell>
          <cell r="B8803" t="str">
            <v>Măng Tây</v>
          </cell>
          <cell r="C8803" t="str">
            <v>Kg</v>
          </cell>
          <cell r="D8803">
            <v>52000</v>
          </cell>
        </row>
        <row r="8804">
          <cell r="A8804">
            <v>45692</v>
          </cell>
          <cell r="B8804" t="str">
            <v>Cải Kale</v>
          </cell>
          <cell r="C8804" t="str">
            <v>Túi</v>
          </cell>
          <cell r="D8804">
            <v>4000</v>
          </cell>
        </row>
        <row r="8805">
          <cell r="A8805">
            <v>45692</v>
          </cell>
          <cell r="B8805" t="str">
            <v>Lá Mè</v>
          </cell>
          <cell r="C8805" t="str">
            <v>Túi</v>
          </cell>
          <cell r="D8805">
            <v>3000</v>
          </cell>
        </row>
        <row r="8806">
          <cell r="A8806">
            <v>45692</v>
          </cell>
          <cell r="B8806" t="str">
            <v>Cà Chua Socola</v>
          </cell>
          <cell r="C8806" t="str">
            <v>Kg</v>
          </cell>
          <cell r="D8806">
            <v>33000</v>
          </cell>
        </row>
        <row r="8807">
          <cell r="A8807">
            <v>45692</v>
          </cell>
          <cell r="B8807" t="str">
            <v>Rau Bầu Đất</v>
          </cell>
          <cell r="C8807" t="str">
            <v>Kg</v>
          </cell>
          <cell r="D8807">
            <v>35000</v>
          </cell>
        </row>
        <row r="8808">
          <cell r="A8808">
            <v>45692</v>
          </cell>
          <cell r="B8808" t="str">
            <v>Bắp Cải Tím</v>
          </cell>
          <cell r="C8808" t="str">
            <v>Kg</v>
          </cell>
          <cell r="D8808">
            <v>30000</v>
          </cell>
        </row>
        <row r="8809">
          <cell r="A8809">
            <v>45692</v>
          </cell>
          <cell r="B8809" t="str">
            <v>Lá Tía Tô</v>
          </cell>
          <cell r="C8809" t="str">
            <v>Kg</v>
          </cell>
          <cell r="D8809">
            <v>32000</v>
          </cell>
        </row>
        <row r="8810">
          <cell r="A8810">
            <v>45692</v>
          </cell>
          <cell r="B8810" t="str">
            <v>Xà Lách Mỹ</v>
          </cell>
          <cell r="C8810" t="str">
            <v>Kg</v>
          </cell>
          <cell r="D8810">
            <v>18000</v>
          </cell>
        </row>
        <row r="8811">
          <cell r="A8811">
            <v>45692</v>
          </cell>
          <cell r="B8811" t="str">
            <v>Củ Hành Tây</v>
          </cell>
          <cell r="C8811" t="str">
            <v>Kg</v>
          </cell>
          <cell r="D8811">
            <v>9000</v>
          </cell>
        </row>
        <row r="8812">
          <cell r="A8812">
            <v>45692</v>
          </cell>
          <cell r="B8812" t="str">
            <v>Củ Hành Tây Trung</v>
          </cell>
          <cell r="C8812" t="str">
            <v>Kg</v>
          </cell>
          <cell r="D8812">
            <v>7000</v>
          </cell>
        </row>
        <row r="8813">
          <cell r="A8813">
            <v>45692</v>
          </cell>
          <cell r="B8813" t="str">
            <v>Cà Chua Socola</v>
          </cell>
          <cell r="C8813" t="str">
            <v>Hộp 250GR</v>
          </cell>
          <cell r="D8813">
            <v>7500</v>
          </cell>
        </row>
        <row r="8814">
          <cell r="A8814">
            <v>45692</v>
          </cell>
          <cell r="B8814" t="str">
            <v>Dưa Leo Baby</v>
          </cell>
          <cell r="C8814" t="str">
            <v>Vỉ</v>
          </cell>
          <cell r="D8814">
            <v>6500</v>
          </cell>
        </row>
        <row r="8815">
          <cell r="A8815">
            <v>45693</v>
          </cell>
          <cell r="B8815" t="str">
            <v>Kiểm soát chuột + côn trùng tháng 01/2025</v>
          </cell>
          <cell r="C8815" t="str">
            <v>Tháng</v>
          </cell>
          <cell r="D8815">
            <v>1500000</v>
          </cell>
        </row>
        <row r="8816">
          <cell r="A8816">
            <v>45693</v>
          </cell>
          <cell r="B8816" t="str">
            <v>Cần Tây</v>
          </cell>
          <cell r="C8816" t="str">
            <v>Kg</v>
          </cell>
          <cell r="D8816">
            <v>19000</v>
          </cell>
        </row>
        <row r="8817">
          <cell r="A8817">
            <v>45693</v>
          </cell>
          <cell r="B8817" t="str">
            <v>Xà Lách Lolo Xanh T.C Cây</v>
          </cell>
          <cell r="C8817" t="str">
            <v>Cây</v>
          </cell>
          <cell r="D8817">
            <v>6800</v>
          </cell>
        </row>
        <row r="8818">
          <cell r="A8818">
            <v>45693</v>
          </cell>
          <cell r="B8818" t="str">
            <v>Xà Lách Mỡ T.C Cây</v>
          </cell>
          <cell r="C8818" t="str">
            <v>Cây</v>
          </cell>
          <cell r="D8818">
            <v>6800</v>
          </cell>
        </row>
        <row r="8819">
          <cell r="A8819">
            <v>45693</v>
          </cell>
          <cell r="B8819" t="str">
            <v>Xà Lách Thủy Tinh T.C Cây</v>
          </cell>
          <cell r="C8819" t="str">
            <v>Cây</v>
          </cell>
          <cell r="D8819">
            <v>6800</v>
          </cell>
        </row>
        <row r="8820">
          <cell r="A8820">
            <v>45693</v>
          </cell>
          <cell r="B8820" t="str">
            <v>Xà Lách Thủy Tinh T.C</v>
          </cell>
          <cell r="C8820" t="str">
            <v>Kg</v>
          </cell>
          <cell r="D8820">
            <v>30000</v>
          </cell>
        </row>
        <row r="8821">
          <cell r="A8821">
            <v>45693</v>
          </cell>
          <cell r="B8821" t="str">
            <v>Xà Lách Lolo Xanh T.C Cây</v>
          </cell>
          <cell r="C8821" t="str">
            <v>Cây</v>
          </cell>
          <cell r="D8821">
            <v>6800</v>
          </cell>
        </row>
        <row r="8822">
          <cell r="A8822">
            <v>45693</v>
          </cell>
          <cell r="B8822" t="str">
            <v>Xà Lách Mỡ T.C</v>
          </cell>
          <cell r="C8822" t="str">
            <v>Kg</v>
          </cell>
          <cell r="D8822">
            <v>28000</v>
          </cell>
        </row>
        <row r="8823">
          <cell r="A8823">
            <v>45693</v>
          </cell>
          <cell r="B8823" t="str">
            <v>Trái Mâm Xôi</v>
          </cell>
          <cell r="C8823" t="str">
            <v>Hộp</v>
          </cell>
          <cell r="D8823">
            <v>35000</v>
          </cell>
        </row>
        <row r="8824">
          <cell r="A8824">
            <v>45693</v>
          </cell>
          <cell r="B8824" t="str">
            <v>Cà Rốt</v>
          </cell>
          <cell r="C8824" t="str">
            <v>Kg</v>
          </cell>
          <cell r="D8824">
            <v>9000</v>
          </cell>
        </row>
        <row r="8825">
          <cell r="A8825">
            <v>45693</v>
          </cell>
          <cell r="B8825" t="str">
            <v>Trái Khổ Qua</v>
          </cell>
          <cell r="C8825" t="str">
            <v>Kg</v>
          </cell>
          <cell r="D8825">
            <v>14000</v>
          </cell>
        </row>
        <row r="8826">
          <cell r="A8826">
            <v>45693</v>
          </cell>
          <cell r="B8826" t="str">
            <v>Củ Cải Trắng</v>
          </cell>
          <cell r="C8826" t="str">
            <v>Kg</v>
          </cell>
          <cell r="D8826">
            <v>5500</v>
          </cell>
        </row>
        <row r="8827">
          <cell r="A8827">
            <v>45693</v>
          </cell>
          <cell r="B8827" t="str">
            <v>Xà Lách Mỡ T.C</v>
          </cell>
          <cell r="C8827" t="str">
            <v>Kg</v>
          </cell>
          <cell r="D8827">
            <v>24000</v>
          </cell>
        </row>
        <row r="8828">
          <cell r="A8828">
            <v>45693</v>
          </cell>
          <cell r="B8828" t="str">
            <v>Xà Lách Lolo Xanh T.C</v>
          </cell>
          <cell r="C8828" t="str">
            <v>Kg</v>
          </cell>
          <cell r="D8828">
            <v>25000</v>
          </cell>
        </row>
        <row r="8829">
          <cell r="A8829">
            <v>45693</v>
          </cell>
          <cell r="B8829" t="str">
            <v>Cần Tây</v>
          </cell>
          <cell r="C8829" t="str">
            <v>Kg</v>
          </cell>
          <cell r="D8829">
            <v>18000</v>
          </cell>
        </row>
        <row r="8830">
          <cell r="A8830">
            <v>45693</v>
          </cell>
          <cell r="B8830" t="str">
            <v>Củ Hành Tây</v>
          </cell>
          <cell r="C8830" t="str">
            <v>Kg</v>
          </cell>
          <cell r="D8830">
            <v>9000</v>
          </cell>
        </row>
        <row r="8831">
          <cell r="A8831">
            <v>45693</v>
          </cell>
          <cell r="B8831" t="str">
            <v>Bông Cải Xanh 7Cm</v>
          </cell>
          <cell r="C8831" t="str">
            <v>Kg</v>
          </cell>
          <cell r="D8831">
            <v>20000</v>
          </cell>
        </row>
        <row r="8832">
          <cell r="A8832">
            <v>45693</v>
          </cell>
          <cell r="B8832" t="str">
            <v>Bí Ngòi Xanh</v>
          </cell>
          <cell r="C8832" t="str">
            <v>Kg</v>
          </cell>
          <cell r="D8832">
            <v>8000</v>
          </cell>
        </row>
        <row r="8833">
          <cell r="A8833">
            <v>45693</v>
          </cell>
          <cell r="B8833" t="str">
            <v>Củ Hành Tây</v>
          </cell>
          <cell r="C8833" t="str">
            <v>Kg</v>
          </cell>
          <cell r="D8833">
            <v>9000</v>
          </cell>
        </row>
        <row r="8834">
          <cell r="A8834">
            <v>45693</v>
          </cell>
          <cell r="B8834" t="str">
            <v>Ớt Sweet Palemo</v>
          </cell>
          <cell r="C8834" t="str">
            <v>Túi</v>
          </cell>
          <cell r="D8834">
            <v>17000</v>
          </cell>
        </row>
        <row r="8835">
          <cell r="A8835">
            <v>45693</v>
          </cell>
          <cell r="B8835" t="str">
            <v>Bông Cải Xanh 7Cm</v>
          </cell>
          <cell r="C8835" t="str">
            <v>Kg</v>
          </cell>
          <cell r="D8835">
            <v>22000</v>
          </cell>
        </row>
        <row r="8836">
          <cell r="A8836">
            <v>45693</v>
          </cell>
          <cell r="B8836" t="str">
            <v>Bông Cải Xanh 12Cm</v>
          </cell>
          <cell r="C8836" t="str">
            <v>Kg</v>
          </cell>
          <cell r="D8836">
            <v>10000</v>
          </cell>
        </row>
        <row r="8837">
          <cell r="A8837">
            <v>45693</v>
          </cell>
          <cell r="B8837" t="str">
            <v>Gia Công Rau Củ Quả</v>
          </cell>
          <cell r="C8837" t="str">
            <v>Kg</v>
          </cell>
          <cell r="D8837">
            <v>1700</v>
          </cell>
        </row>
        <row r="8838">
          <cell r="A8838">
            <v>45693</v>
          </cell>
          <cell r="B8838" t="str">
            <v>Gia Công Rau Củ Quả</v>
          </cell>
          <cell r="C8838" t="str">
            <v>Kg</v>
          </cell>
          <cell r="D8838">
            <v>700</v>
          </cell>
        </row>
        <row r="8839">
          <cell r="A8839">
            <v>45693</v>
          </cell>
          <cell r="B8839" t="str">
            <v>Gia Công Rau Củ Quả</v>
          </cell>
          <cell r="C8839" t="str">
            <v>Kg</v>
          </cell>
          <cell r="D8839">
            <v>1000</v>
          </cell>
        </row>
        <row r="8840">
          <cell r="A8840">
            <v>45693</v>
          </cell>
          <cell r="B8840" t="str">
            <v>Đậu Cove Trắng</v>
          </cell>
          <cell r="C8840" t="str">
            <v>Kg</v>
          </cell>
          <cell r="D8840">
            <v>11000</v>
          </cell>
        </row>
        <row r="8841">
          <cell r="A8841">
            <v>45693</v>
          </cell>
          <cell r="B8841" t="str">
            <v>Dưa Leo Baby</v>
          </cell>
          <cell r="C8841" t="str">
            <v>Kg</v>
          </cell>
          <cell r="D8841">
            <v>11000</v>
          </cell>
        </row>
        <row r="8842">
          <cell r="A8842">
            <v>45693</v>
          </cell>
          <cell r="B8842" t="str">
            <v>Dưa Leo Baby</v>
          </cell>
          <cell r="C8842" t="str">
            <v>Kg</v>
          </cell>
          <cell r="D8842">
            <v>9500</v>
          </cell>
        </row>
        <row r="8843">
          <cell r="A8843">
            <v>45693</v>
          </cell>
          <cell r="B8843" t="str">
            <v>Bắp Cải Tím</v>
          </cell>
          <cell r="C8843" t="str">
            <v>Kg</v>
          </cell>
          <cell r="D8843">
            <v>15000</v>
          </cell>
        </row>
        <row r="8844">
          <cell r="A8844">
            <v>45693</v>
          </cell>
          <cell r="B8844" t="str">
            <v>Cần Tây</v>
          </cell>
          <cell r="C8844" t="str">
            <v>Kg</v>
          </cell>
          <cell r="D8844">
            <v>20000</v>
          </cell>
        </row>
        <row r="8845">
          <cell r="A8845">
            <v>45693</v>
          </cell>
          <cell r="B8845" t="str">
            <v>Cải Bó Xôi</v>
          </cell>
          <cell r="C8845" t="str">
            <v>Kg</v>
          </cell>
          <cell r="D8845">
            <v>15000</v>
          </cell>
        </row>
        <row r="8846">
          <cell r="A8846">
            <v>45693</v>
          </cell>
          <cell r="B8846" t="str">
            <v>Hành Paro</v>
          </cell>
          <cell r="C8846" t="str">
            <v>Kg</v>
          </cell>
          <cell r="D8846">
            <v>11000</v>
          </cell>
        </row>
        <row r="8847">
          <cell r="A8847">
            <v>45693</v>
          </cell>
          <cell r="B8847" t="str">
            <v>Ớt Chuông Snack</v>
          </cell>
          <cell r="C8847" t="str">
            <v>Kg</v>
          </cell>
          <cell r="D8847">
            <v>57000</v>
          </cell>
        </row>
        <row r="8848">
          <cell r="A8848">
            <v>45693</v>
          </cell>
          <cell r="B8848" t="str">
            <v>Ớt Chuông Baby</v>
          </cell>
          <cell r="C8848" t="str">
            <v>Kg</v>
          </cell>
          <cell r="D8848">
            <v>55000</v>
          </cell>
        </row>
        <row r="8849">
          <cell r="A8849">
            <v>45693</v>
          </cell>
          <cell r="B8849" t="str">
            <v>Ớt Sweet Palemo</v>
          </cell>
          <cell r="C8849" t="str">
            <v>Túi</v>
          </cell>
          <cell r="D8849">
            <v>18000</v>
          </cell>
        </row>
        <row r="8850">
          <cell r="A8850">
            <v>45693</v>
          </cell>
          <cell r="B8850" t="str">
            <v>Rau Mầm</v>
          </cell>
          <cell r="C8850" t="str">
            <v>Kg</v>
          </cell>
          <cell r="D8850">
            <v>60000</v>
          </cell>
        </row>
        <row r="8851">
          <cell r="A8851">
            <v>45693</v>
          </cell>
          <cell r="B8851" t="str">
            <v>Xà Lách Mỹ</v>
          </cell>
          <cell r="C8851" t="str">
            <v>Kg</v>
          </cell>
          <cell r="D8851">
            <v>18000</v>
          </cell>
        </row>
        <row r="8852">
          <cell r="A8852">
            <v>45693</v>
          </cell>
          <cell r="B8852" t="str">
            <v>Xà Lách Lolo Xanh</v>
          </cell>
          <cell r="C8852" t="str">
            <v>Kg</v>
          </cell>
          <cell r="D8852">
            <v>13000</v>
          </cell>
        </row>
        <row r="8853">
          <cell r="A8853">
            <v>45693</v>
          </cell>
          <cell r="B8853" t="str">
            <v>Củ Dền</v>
          </cell>
          <cell r="C8853" t="str">
            <v>Kg</v>
          </cell>
          <cell r="D8853">
            <v>10000</v>
          </cell>
        </row>
        <row r="8854">
          <cell r="A8854">
            <v>45693</v>
          </cell>
          <cell r="B8854" t="str">
            <v>Củ Su Hào</v>
          </cell>
          <cell r="C8854" t="str">
            <v>Kg</v>
          </cell>
          <cell r="D8854">
            <v>11000</v>
          </cell>
        </row>
        <row r="8855">
          <cell r="A8855">
            <v>45693</v>
          </cell>
          <cell r="B8855" t="str">
            <v>Cà Rốt</v>
          </cell>
          <cell r="C8855" t="str">
            <v>Kg</v>
          </cell>
          <cell r="D8855">
            <v>9000</v>
          </cell>
        </row>
        <row r="8856">
          <cell r="A8856">
            <v>45693</v>
          </cell>
          <cell r="B8856" t="str">
            <v>Củ Cải Trắng</v>
          </cell>
          <cell r="C8856" t="str">
            <v>Kg</v>
          </cell>
          <cell r="D8856">
            <v>5500</v>
          </cell>
        </row>
        <row r="8857">
          <cell r="A8857">
            <v>45693</v>
          </cell>
          <cell r="B8857" t="str">
            <v>Đậu Cove Nhật</v>
          </cell>
          <cell r="C8857" t="str">
            <v>Túi</v>
          </cell>
          <cell r="D8857">
            <v>6000</v>
          </cell>
        </row>
        <row r="8858">
          <cell r="A8858">
            <v>45693</v>
          </cell>
          <cell r="B8858" t="str">
            <v>Củ Khoai Lang Nhật</v>
          </cell>
          <cell r="C8858" t="str">
            <v>Kg</v>
          </cell>
          <cell r="D8858">
            <v>17000</v>
          </cell>
        </row>
        <row r="8859">
          <cell r="A8859">
            <v>45693</v>
          </cell>
          <cell r="B8859" t="str">
            <v>Xà Lách Thủy Tinh T.C Cây</v>
          </cell>
          <cell r="C8859" t="str">
            <v>Cây</v>
          </cell>
          <cell r="D8859">
            <v>7000</v>
          </cell>
        </row>
        <row r="8860">
          <cell r="A8860">
            <v>45693</v>
          </cell>
          <cell r="B8860" t="str">
            <v>Cà Chua Thường</v>
          </cell>
          <cell r="C8860" t="str">
            <v>Kg</v>
          </cell>
          <cell r="D8860">
            <v>12000</v>
          </cell>
        </row>
        <row r="8861">
          <cell r="A8861">
            <v>45693</v>
          </cell>
          <cell r="B8861" t="str">
            <v>Dưa Leo Baby</v>
          </cell>
          <cell r="C8861" t="str">
            <v>Vỉ</v>
          </cell>
          <cell r="D8861">
            <v>6500</v>
          </cell>
        </row>
        <row r="8862">
          <cell r="A8862">
            <v>45693</v>
          </cell>
          <cell r="B8862" t="str">
            <v>Dưa Leo Baby</v>
          </cell>
          <cell r="C8862" t="str">
            <v>Vỉ</v>
          </cell>
          <cell r="D8862">
            <v>7000</v>
          </cell>
        </row>
        <row r="8863">
          <cell r="A8863">
            <v>45693</v>
          </cell>
          <cell r="B8863" t="str">
            <v>Bí Non Nhật</v>
          </cell>
          <cell r="C8863" t="str">
            <v>Kg</v>
          </cell>
          <cell r="D8863">
            <v>10000</v>
          </cell>
        </row>
        <row r="8864">
          <cell r="A8864">
            <v>45693</v>
          </cell>
          <cell r="B8864" t="str">
            <v>Cà Tím</v>
          </cell>
          <cell r="C8864" t="str">
            <v>Kg</v>
          </cell>
          <cell r="D8864">
            <v>8000</v>
          </cell>
        </row>
        <row r="8865">
          <cell r="A8865">
            <v>45693</v>
          </cell>
          <cell r="B8865" t="str">
            <v>Bắp Cải Trái Tim</v>
          </cell>
          <cell r="C8865" t="str">
            <v>Kg</v>
          </cell>
          <cell r="D8865">
            <v>6000</v>
          </cell>
        </row>
        <row r="8866">
          <cell r="A8866">
            <v>45693</v>
          </cell>
          <cell r="B8866" t="str">
            <v>Bí Đỏ Hồ Lô</v>
          </cell>
          <cell r="C8866" t="str">
            <v>Kg</v>
          </cell>
          <cell r="D8866">
            <v>9000</v>
          </cell>
        </row>
        <row r="8867">
          <cell r="A8867">
            <v>45693</v>
          </cell>
          <cell r="B8867" t="str">
            <v>Chuối Laba</v>
          </cell>
          <cell r="C8867" t="str">
            <v>Kg</v>
          </cell>
          <cell r="D8867">
            <v>14000</v>
          </cell>
        </row>
        <row r="8868">
          <cell r="A8868">
            <v>45693</v>
          </cell>
          <cell r="B8868" t="str">
            <v>Lá Nha Đam</v>
          </cell>
          <cell r="C8868" t="str">
            <v>Kg</v>
          </cell>
          <cell r="D8868">
            <v>14000</v>
          </cell>
        </row>
        <row r="8869">
          <cell r="A8869">
            <v>45693</v>
          </cell>
          <cell r="B8869" t="str">
            <v>Bí Non Nhật</v>
          </cell>
          <cell r="C8869" t="str">
            <v>Kg</v>
          </cell>
          <cell r="D8869">
            <v>16000</v>
          </cell>
        </row>
        <row r="8870">
          <cell r="A8870">
            <v>45693</v>
          </cell>
          <cell r="B8870" t="str">
            <v>Dưa Leo Nhật</v>
          </cell>
          <cell r="C8870" t="str">
            <v>Kg</v>
          </cell>
          <cell r="D8870">
            <v>14000</v>
          </cell>
        </row>
        <row r="8871">
          <cell r="A8871">
            <v>45693</v>
          </cell>
          <cell r="B8871" t="str">
            <v>Dưa Leo Thường</v>
          </cell>
          <cell r="C8871" t="str">
            <v>Kg</v>
          </cell>
          <cell r="D8871">
            <v>12000</v>
          </cell>
        </row>
        <row r="8872">
          <cell r="A8872">
            <v>45693</v>
          </cell>
          <cell r="B8872" t="str">
            <v>Ớt Chuông Đỏ</v>
          </cell>
          <cell r="C8872" t="str">
            <v>Kg</v>
          </cell>
          <cell r="D8872">
            <v>55000</v>
          </cell>
        </row>
        <row r="8873">
          <cell r="A8873">
            <v>45693</v>
          </cell>
          <cell r="B8873" t="str">
            <v>Ớt Chuông Xanh</v>
          </cell>
          <cell r="C8873" t="str">
            <v>Kg</v>
          </cell>
          <cell r="D8873">
            <v>35000</v>
          </cell>
        </row>
        <row r="8874">
          <cell r="A8874">
            <v>45693</v>
          </cell>
          <cell r="B8874" t="str">
            <v>Ớt Chuông Baby</v>
          </cell>
          <cell r="C8874" t="str">
            <v>Kg</v>
          </cell>
          <cell r="D8874">
            <v>50000</v>
          </cell>
        </row>
        <row r="8875">
          <cell r="A8875">
            <v>45693</v>
          </cell>
          <cell r="B8875" t="str">
            <v>Cà Chua Bi Đỏ</v>
          </cell>
          <cell r="C8875" t="str">
            <v>Hộp 300gr</v>
          </cell>
          <cell r="D8875">
            <v>5400</v>
          </cell>
        </row>
        <row r="8876">
          <cell r="A8876">
            <v>45693</v>
          </cell>
          <cell r="B8876" t="str">
            <v>Cà Chua Bi Đỏ</v>
          </cell>
          <cell r="C8876" t="str">
            <v>Hộp 500gr</v>
          </cell>
          <cell r="D8876">
            <v>9000</v>
          </cell>
        </row>
        <row r="8877">
          <cell r="A8877">
            <v>45693</v>
          </cell>
          <cell r="B8877" t="str">
            <v>Xà Lách Mỡ T.C</v>
          </cell>
          <cell r="C8877" t="str">
            <v>Kg</v>
          </cell>
          <cell r="D8877">
            <v>26000</v>
          </cell>
        </row>
        <row r="8878">
          <cell r="A8878">
            <v>45693</v>
          </cell>
          <cell r="B8878" t="str">
            <v>Xà Lách Thủy Tinh T.C Cây</v>
          </cell>
          <cell r="C8878" t="str">
            <v>Cây</v>
          </cell>
          <cell r="D8878">
            <v>7500</v>
          </cell>
        </row>
        <row r="8879">
          <cell r="A8879">
            <v>45693</v>
          </cell>
          <cell r="B8879" t="str">
            <v>Rau Bầu Đất</v>
          </cell>
          <cell r="C8879" t="str">
            <v>Kg</v>
          </cell>
          <cell r="D8879">
            <v>35000</v>
          </cell>
        </row>
        <row r="8880">
          <cell r="A8880">
            <v>45693</v>
          </cell>
          <cell r="B8880" t="str">
            <v>Củ Cải Đỏ</v>
          </cell>
          <cell r="C8880" t="str">
            <v>Kg</v>
          </cell>
          <cell r="D8880">
            <v>25000</v>
          </cell>
        </row>
        <row r="8881">
          <cell r="A8881">
            <v>45693</v>
          </cell>
          <cell r="B8881" t="str">
            <v>Cà Chua Beef Chùm</v>
          </cell>
          <cell r="C8881" t="str">
            <v>Kg</v>
          </cell>
          <cell r="D8881">
            <v>12000</v>
          </cell>
        </row>
        <row r="8882">
          <cell r="A8882">
            <v>45693</v>
          </cell>
          <cell r="B8882" t="str">
            <v>Cải Kale</v>
          </cell>
          <cell r="C8882" t="str">
            <v>Túi</v>
          </cell>
          <cell r="D8882">
            <v>4000</v>
          </cell>
        </row>
        <row r="8883">
          <cell r="A8883">
            <v>45693</v>
          </cell>
          <cell r="B8883" t="str">
            <v>Lá Mè</v>
          </cell>
          <cell r="C8883" t="str">
            <v>Túi</v>
          </cell>
          <cell r="D8883">
            <v>3000</v>
          </cell>
        </row>
        <row r="8884">
          <cell r="A8884">
            <v>45693</v>
          </cell>
          <cell r="B8884" t="str">
            <v>Hành Paro</v>
          </cell>
          <cell r="C8884" t="str">
            <v>Kg</v>
          </cell>
          <cell r="D8884">
            <v>13000</v>
          </cell>
        </row>
        <row r="8885">
          <cell r="A8885">
            <v>45693</v>
          </cell>
          <cell r="B8885" t="str">
            <v>Bí Ngòi Xanh</v>
          </cell>
          <cell r="C8885" t="str">
            <v>Kg</v>
          </cell>
          <cell r="D8885">
            <v>13000</v>
          </cell>
        </row>
        <row r="8886">
          <cell r="A8886">
            <v>45693</v>
          </cell>
          <cell r="B8886" t="str">
            <v>Ớt Chuông Đỏ</v>
          </cell>
          <cell r="C8886" t="str">
            <v>Kg</v>
          </cell>
          <cell r="D8886">
            <v>50000</v>
          </cell>
        </row>
        <row r="8887">
          <cell r="A8887">
            <v>45693</v>
          </cell>
          <cell r="B8887" t="str">
            <v>Ớt Chuông Vàng</v>
          </cell>
          <cell r="C8887" t="str">
            <v>Kg</v>
          </cell>
          <cell r="D8887">
            <v>47000</v>
          </cell>
        </row>
        <row r="8888">
          <cell r="A8888">
            <v>45693</v>
          </cell>
          <cell r="B8888" t="str">
            <v>Ớt Chuông Xanh</v>
          </cell>
          <cell r="C8888" t="str">
            <v>Kg</v>
          </cell>
          <cell r="D8888">
            <v>32000</v>
          </cell>
        </row>
        <row r="8889">
          <cell r="A8889">
            <v>45693</v>
          </cell>
          <cell r="B8889" t="str">
            <v>Măng Tây</v>
          </cell>
          <cell r="C8889" t="str">
            <v>Kg</v>
          </cell>
          <cell r="D8889">
            <v>52000</v>
          </cell>
        </row>
        <row r="8890">
          <cell r="A8890">
            <v>45693</v>
          </cell>
          <cell r="B8890" t="str">
            <v>Măng Tây</v>
          </cell>
          <cell r="C8890" t="str">
            <v>Kg</v>
          </cell>
          <cell r="D8890">
            <v>41000</v>
          </cell>
        </row>
        <row r="8891">
          <cell r="A8891">
            <v>45693</v>
          </cell>
          <cell r="B8891" t="str">
            <v>Lá É</v>
          </cell>
          <cell r="C8891" t="str">
            <v>Kg</v>
          </cell>
          <cell r="D8891">
            <v>25000</v>
          </cell>
        </row>
        <row r="8892">
          <cell r="A8892">
            <v>45693</v>
          </cell>
          <cell r="B8892" t="str">
            <v>Củ Gừng</v>
          </cell>
          <cell r="C8892" t="str">
            <v>Kg</v>
          </cell>
          <cell r="D8892">
            <v>18000</v>
          </cell>
        </row>
        <row r="8893">
          <cell r="A8893">
            <v>45693</v>
          </cell>
          <cell r="B8893" t="str">
            <v>Cà Chua Beef</v>
          </cell>
          <cell r="C8893" t="str">
            <v>Kg</v>
          </cell>
          <cell r="D8893">
            <v>12000</v>
          </cell>
        </row>
        <row r="8894">
          <cell r="A8894">
            <v>45693</v>
          </cell>
          <cell r="B8894" t="str">
            <v>Cà Chua Beef</v>
          </cell>
          <cell r="C8894" t="str">
            <v>Vỉ 650gr</v>
          </cell>
          <cell r="D8894">
            <v>11500</v>
          </cell>
        </row>
        <row r="8895">
          <cell r="A8895">
            <v>45693</v>
          </cell>
          <cell r="B8895" t="str">
            <v>Cà Chua Beef Trung</v>
          </cell>
          <cell r="C8895" t="str">
            <v>Vỉ 500gr</v>
          </cell>
          <cell r="D8895">
            <v>7000</v>
          </cell>
        </row>
        <row r="8896">
          <cell r="A8896">
            <v>45693</v>
          </cell>
          <cell r="B8896" t="str">
            <v>Cà Chua Bi Mix</v>
          </cell>
          <cell r="C8896" t="str">
            <v>Hộp</v>
          </cell>
          <cell r="D8896">
            <v>11400</v>
          </cell>
        </row>
        <row r="8897">
          <cell r="A8897">
            <v>45693</v>
          </cell>
          <cell r="B8897" t="str">
            <v>Cà Chua Socola</v>
          </cell>
          <cell r="C8897" t="str">
            <v>Hộp 300gr</v>
          </cell>
          <cell r="D8897">
            <v>10500</v>
          </cell>
        </row>
        <row r="8898">
          <cell r="A8898">
            <v>45693</v>
          </cell>
          <cell r="B8898" t="str">
            <v>Chanh Không Hạt</v>
          </cell>
          <cell r="C8898" t="str">
            <v>Vỉ</v>
          </cell>
          <cell r="D8898">
            <v>6750</v>
          </cell>
        </row>
        <row r="8899">
          <cell r="A8899">
            <v>45693</v>
          </cell>
          <cell r="B8899" t="str">
            <v>Cải Bó Xôi</v>
          </cell>
          <cell r="C8899" t="str">
            <v>Túi</v>
          </cell>
          <cell r="D8899">
            <v>6300</v>
          </cell>
        </row>
        <row r="8900">
          <cell r="A8900">
            <v>45693</v>
          </cell>
          <cell r="B8900" t="str">
            <v>Củ Cải Đỏ</v>
          </cell>
          <cell r="C8900" t="str">
            <v>Hộp</v>
          </cell>
          <cell r="D8900">
            <v>10000</v>
          </cell>
        </row>
        <row r="8901">
          <cell r="A8901">
            <v>45693</v>
          </cell>
          <cell r="B8901" t="str">
            <v>Xà Lách Lolo Xanh</v>
          </cell>
          <cell r="C8901" t="str">
            <v>Kg</v>
          </cell>
          <cell r="D8901">
            <v>13000</v>
          </cell>
        </row>
        <row r="8902">
          <cell r="A8902">
            <v>45693</v>
          </cell>
          <cell r="B8902" t="str">
            <v>Xà Lách Lolo Xanh</v>
          </cell>
          <cell r="C8902" t="str">
            <v>Kg</v>
          </cell>
          <cell r="D8902">
            <v>10000</v>
          </cell>
        </row>
        <row r="8903">
          <cell r="A8903">
            <v>45693</v>
          </cell>
          <cell r="B8903" t="str">
            <v>Ớt Sweet Palemo</v>
          </cell>
          <cell r="C8903" t="str">
            <v>Túi</v>
          </cell>
          <cell r="D8903">
            <v>17500</v>
          </cell>
        </row>
        <row r="8904">
          <cell r="A8904">
            <v>45693</v>
          </cell>
          <cell r="B8904" t="str">
            <v>Cà Chua Beef Trung</v>
          </cell>
          <cell r="C8904" t="str">
            <v>Vỉ 500gr</v>
          </cell>
          <cell r="D8904">
            <v>7500</v>
          </cell>
        </row>
        <row r="8905">
          <cell r="A8905">
            <v>45693</v>
          </cell>
          <cell r="B8905" t="str">
            <v>Củ Cải Đỏ</v>
          </cell>
          <cell r="C8905" t="str">
            <v>Kg</v>
          </cell>
          <cell r="D8905">
            <v>28000</v>
          </cell>
        </row>
        <row r="8906">
          <cell r="A8906">
            <v>45693</v>
          </cell>
          <cell r="B8906" t="str">
            <v>Lá Mè</v>
          </cell>
          <cell r="C8906" t="str">
            <v>Túi</v>
          </cell>
          <cell r="D8906">
            <v>3200</v>
          </cell>
        </row>
        <row r="8907">
          <cell r="A8907">
            <v>45693</v>
          </cell>
          <cell r="B8907" t="str">
            <v>Cà Rốt Baby</v>
          </cell>
          <cell r="C8907" t="str">
            <v>Vỉ</v>
          </cell>
          <cell r="D8907">
            <v>6000</v>
          </cell>
        </row>
        <row r="8908">
          <cell r="A8908">
            <v>45693</v>
          </cell>
          <cell r="B8908" t="str">
            <v>Cải Cầu Vồng</v>
          </cell>
          <cell r="C8908" t="str">
            <v>Túi</v>
          </cell>
          <cell r="D8908">
            <v>3000</v>
          </cell>
        </row>
        <row r="8909">
          <cell r="A8909">
            <v>45693</v>
          </cell>
          <cell r="B8909" t="str">
            <v>Cải Kale</v>
          </cell>
          <cell r="C8909" t="str">
            <v>Túi</v>
          </cell>
          <cell r="D8909">
            <v>3300</v>
          </cell>
        </row>
        <row r="8910">
          <cell r="A8910">
            <v>45693</v>
          </cell>
          <cell r="B8910" t="str">
            <v>Cải Kale</v>
          </cell>
          <cell r="C8910" t="str">
            <v>Túi 150gr</v>
          </cell>
          <cell r="D8910">
            <v>1900</v>
          </cell>
        </row>
        <row r="8911">
          <cell r="A8911">
            <v>45694</v>
          </cell>
          <cell r="B8911" t="str">
            <v>Trái Mít Thái</v>
          </cell>
          <cell r="C8911" t="str">
            <v>Kg</v>
          </cell>
          <cell r="D8911">
            <v>19890</v>
          </cell>
        </row>
        <row r="8912">
          <cell r="A8912">
            <v>45694</v>
          </cell>
          <cell r="B8912" t="str">
            <v>Đậu Đỏ</v>
          </cell>
          <cell r="C8912" t="str">
            <v>Kg</v>
          </cell>
          <cell r="D8912">
            <v>80000</v>
          </cell>
        </row>
        <row r="8913">
          <cell r="A8913">
            <v>45694</v>
          </cell>
          <cell r="B8913" t="str">
            <v>Trái Su Su</v>
          </cell>
          <cell r="C8913" t="str">
            <v>Kg</v>
          </cell>
          <cell r="D8913">
            <v>4000</v>
          </cell>
        </row>
        <row r="8914">
          <cell r="A8914">
            <v>45694</v>
          </cell>
          <cell r="B8914" t="str">
            <v>Bí Ngòi Xanh</v>
          </cell>
          <cell r="C8914" t="str">
            <v>Kg</v>
          </cell>
          <cell r="D8914">
            <v>9000</v>
          </cell>
        </row>
        <row r="8915">
          <cell r="A8915">
            <v>45694</v>
          </cell>
          <cell r="B8915" t="str">
            <v>Dưa Leo Baby</v>
          </cell>
          <cell r="C8915" t="str">
            <v>Kg</v>
          </cell>
          <cell r="D8915">
            <v>10000</v>
          </cell>
        </row>
        <row r="8916">
          <cell r="A8916">
            <v>45694</v>
          </cell>
          <cell r="B8916" t="str">
            <v>Dưa Leo Baby</v>
          </cell>
          <cell r="C8916" t="str">
            <v>Kg</v>
          </cell>
          <cell r="D8916">
            <v>9500</v>
          </cell>
        </row>
        <row r="8917">
          <cell r="A8917">
            <v>45694</v>
          </cell>
          <cell r="B8917" t="str">
            <v>Gia Công Rau Củ Quả</v>
          </cell>
          <cell r="C8917" t="str">
            <v>Kg</v>
          </cell>
          <cell r="D8917">
            <v>1700</v>
          </cell>
        </row>
        <row r="8918">
          <cell r="A8918">
            <v>45694</v>
          </cell>
          <cell r="B8918" t="str">
            <v>Gia Công Rau Củ Quả</v>
          </cell>
          <cell r="C8918" t="str">
            <v>Kg</v>
          </cell>
          <cell r="D8918">
            <v>1700</v>
          </cell>
        </row>
        <row r="8919">
          <cell r="A8919">
            <v>45694</v>
          </cell>
          <cell r="B8919" t="str">
            <v>Gia Công Rau Củ Quả</v>
          </cell>
          <cell r="C8919" t="str">
            <v>Kg</v>
          </cell>
          <cell r="D8919">
            <v>700</v>
          </cell>
        </row>
        <row r="8920">
          <cell r="A8920">
            <v>45694</v>
          </cell>
          <cell r="B8920" t="str">
            <v>Gia Công Rau Củ Quả</v>
          </cell>
          <cell r="C8920" t="str">
            <v>Kg</v>
          </cell>
          <cell r="D8920">
            <v>1000</v>
          </cell>
        </row>
        <row r="8921">
          <cell r="A8921">
            <v>45694</v>
          </cell>
          <cell r="B8921" t="str">
            <v>Rau Bầu Đất</v>
          </cell>
          <cell r="C8921" t="str">
            <v>Kg</v>
          </cell>
          <cell r="D8921">
            <v>26700</v>
          </cell>
        </row>
        <row r="8922">
          <cell r="A8922">
            <v>45694</v>
          </cell>
          <cell r="B8922" t="str">
            <v>Bông Cải Xanh Cây</v>
          </cell>
          <cell r="C8922" t="str">
            <v>Cây</v>
          </cell>
          <cell r="D8922">
            <v>5000</v>
          </cell>
        </row>
        <row r="8923">
          <cell r="A8923">
            <v>45694</v>
          </cell>
          <cell r="B8923" t="str">
            <v>Xà Lách Mỹ</v>
          </cell>
          <cell r="C8923" t="str">
            <v>Kg</v>
          </cell>
          <cell r="D8923">
            <v>18000</v>
          </cell>
        </row>
        <row r="8924">
          <cell r="A8924">
            <v>45694</v>
          </cell>
          <cell r="B8924" t="str">
            <v>Củ Dền</v>
          </cell>
          <cell r="C8924" t="str">
            <v>Kg</v>
          </cell>
          <cell r="D8924">
            <v>10000</v>
          </cell>
        </row>
        <row r="8925">
          <cell r="A8925">
            <v>45694</v>
          </cell>
          <cell r="B8925" t="str">
            <v>Bông Cải Xanh 7Cm</v>
          </cell>
          <cell r="C8925" t="str">
            <v>Kg</v>
          </cell>
          <cell r="D8925">
            <v>22000</v>
          </cell>
        </row>
        <row r="8926">
          <cell r="A8926">
            <v>45694</v>
          </cell>
          <cell r="B8926" t="str">
            <v>Bông Cải Trắng</v>
          </cell>
          <cell r="C8926" t="str">
            <v>Kg</v>
          </cell>
          <cell r="D8926">
            <v>10000</v>
          </cell>
        </row>
        <row r="8927">
          <cell r="A8927">
            <v>45694</v>
          </cell>
          <cell r="B8927" t="str">
            <v>Xà Lách Lolo Xanh T.C Cây</v>
          </cell>
          <cell r="C8927" t="str">
            <v>Cây</v>
          </cell>
          <cell r="D8927">
            <v>6800</v>
          </cell>
        </row>
        <row r="8928">
          <cell r="A8928">
            <v>45694</v>
          </cell>
          <cell r="B8928" t="str">
            <v>Xà Lách Mỡ T.C</v>
          </cell>
          <cell r="C8928" t="str">
            <v>Kg</v>
          </cell>
          <cell r="D8928">
            <v>28000</v>
          </cell>
        </row>
        <row r="8929">
          <cell r="A8929">
            <v>45694</v>
          </cell>
          <cell r="B8929" t="str">
            <v>Xà Lách Mỡ T.C Cây</v>
          </cell>
          <cell r="C8929" t="str">
            <v>Cây</v>
          </cell>
          <cell r="D8929">
            <v>6800</v>
          </cell>
        </row>
        <row r="8930">
          <cell r="A8930">
            <v>45694</v>
          </cell>
          <cell r="B8930" t="str">
            <v>Xà Lách Thủy Tinh T.C Cây</v>
          </cell>
          <cell r="C8930" t="str">
            <v>Cây</v>
          </cell>
          <cell r="D8930">
            <v>6800</v>
          </cell>
        </row>
        <row r="8931">
          <cell r="A8931">
            <v>45694</v>
          </cell>
          <cell r="B8931" t="str">
            <v>Bông Cải Xanh 12Cm</v>
          </cell>
          <cell r="C8931" t="str">
            <v>Kg</v>
          </cell>
          <cell r="D8931">
            <v>10000</v>
          </cell>
        </row>
        <row r="8932">
          <cell r="A8932">
            <v>45694</v>
          </cell>
          <cell r="B8932" t="str">
            <v>Cần Tây</v>
          </cell>
          <cell r="C8932" t="str">
            <v>Kg</v>
          </cell>
          <cell r="D8932">
            <v>15000</v>
          </cell>
        </row>
        <row r="8933">
          <cell r="A8933">
            <v>45694</v>
          </cell>
          <cell r="B8933" t="str">
            <v>Bắp Cải Tím</v>
          </cell>
          <cell r="C8933" t="str">
            <v>Kg</v>
          </cell>
          <cell r="D8933">
            <v>15000</v>
          </cell>
        </row>
        <row r="8934">
          <cell r="A8934">
            <v>45694</v>
          </cell>
          <cell r="B8934" t="str">
            <v>Cần Tây</v>
          </cell>
          <cell r="C8934" t="str">
            <v>Kg</v>
          </cell>
          <cell r="D8934">
            <v>17000</v>
          </cell>
        </row>
        <row r="8935">
          <cell r="A8935">
            <v>45694</v>
          </cell>
          <cell r="B8935" t="str">
            <v>Củ Hành Tây Trung</v>
          </cell>
          <cell r="C8935" t="str">
            <v>Kg</v>
          </cell>
          <cell r="D8935">
            <v>7000</v>
          </cell>
        </row>
        <row r="8936">
          <cell r="A8936">
            <v>45694</v>
          </cell>
          <cell r="B8936" t="str">
            <v>Cải Bó Xôi</v>
          </cell>
          <cell r="C8936" t="str">
            <v>Kg</v>
          </cell>
          <cell r="D8936">
            <v>15000</v>
          </cell>
        </row>
        <row r="8937">
          <cell r="A8937">
            <v>45694</v>
          </cell>
          <cell r="B8937" t="str">
            <v>Ớt Chuông Baby</v>
          </cell>
          <cell r="C8937" t="str">
            <v>Kg</v>
          </cell>
          <cell r="D8937">
            <v>55000</v>
          </cell>
        </row>
        <row r="8938">
          <cell r="A8938">
            <v>45694</v>
          </cell>
          <cell r="B8938" t="str">
            <v>Ớt Sweet Palemo</v>
          </cell>
          <cell r="C8938" t="str">
            <v>Túi</v>
          </cell>
          <cell r="D8938">
            <v>18000</v>
          </cell>
        </row>
        <row r="8939">
          <cell r="A8939">
            <v>45694</v>
          </cell>
          <cell r="B8939" t="str">
            <v>Xà Lách Lolo Xanh</v>
          </cell>
          <cell r="C8939" t="str">
            <v>Kg</v>
          </cell>
          <cell r="D8939">
            <v>13000</v>
          </cell>
        </row>
        <row r="8940">
          <cell r="A8940">
            <v>45694</v>
          </cell>
          <cell r="B8940" t="str">
            <v>Trái Khổ Qua</v>
          </cell>
          <cell r="C8940" t="str">
            <v>Kg</v>
          </cell>
          <cell r="D8940">
            <v>7000</v>
          </cell>
        </row>
        <row r="8941">
          <cell r="A8941">
            <v>45694</v>
          </cell>
          <cell r="B8941" t="str">
            <v>Bí Đao Xanh</v>
          </cell>
          <cell r="C8941" t="str">
            <v>Kg</v>
          </cell>
          <cell r="D8941">
            <v>12000</v>
          </cell>
        </row>
        <row r="8942">
          <cell r="A8942">
            <v>45694</v>
          </cell>
          <cell r="B8942" t="str">
            <v>Dưa Leo Thường</v>
          </cell>
          <cell r="C8942" t="str">
            <v>Kg</v>
          </cell>
          <cell r="D8942">
            <v>12000</v>
          </cell>
        </row>
        <row r="8943">
          <cell r="A8943">
            <v>45694</v>
          </cell>
          <cell r="B8943" t="str">
            <v>Đậu Cove Nhật</v>
          </cell>
          <cell r="C8943" t="str">
            <v>Túi</v>
          </cell>
          <cell r="D8943">
            <v>6000</v>
          </cell>
        </row>
        <row r="8944">
          <cell r="A8944">
            <v>45694</v>
          </cell>
          <cell r="B8944" t="str">
            <v>Bắp Cải Trắng</v>
          </cell>
          <cell r="C8944" t="str">
            <v>Kg</v>
          </cell>
          <cell r="D8944">
            <v>6000</v>
          </cell>
        </row>
        <row r="8945">
          <cell r="A8945">
            <v>45694</v>
          </cell>
          <cell r="B8945" t="str">
            <v>Củ Khoai Lang Nhật</v>
          </cell>
          <cell r="C8945" t="str">
            <v>Kg</v>
          </cell>
          <cell r="D8945">
            <v>17000</v>
          </cell>
        </row>
        <row r="8946">
          <cell r="A8946">
            <v>45694</v>
          </cell>
          <cell r="B8946" t="str">
            <v>Xà Lách Thủy Tinh T.C Cây</v>
          </cell>
          <cell r="C8946" t="str">
            <v>Cây</v>
          </cell>
          <cell r="D8946">
            <v>6500</v>
          </cell>
        </row>
        <row r="8947">
          <cell r="A8947">
            <v>45694</v>
          </cell>
          <cell r="B8947" t="str">
            <v>Củ Khoai Lang Nhật</v>
          </cell>
          <cell r="C8947" t="str">
            <v>Kg</v>
          </cell>
          <cell r="D8947">
            <v>17255</v>
          </cell>
        </row>
        <row r="8948">
          <cell r="A8948">
            <v>45694</v>
          </cell>
          <cell r="B8948" t="str">
            <v>Củ Khoai Lang Nhật Baby</v>
          </cell>
          <cell r="C8948" t="str">
            <v>Kg</v>
          </cell>
          <cell r="D8948">
            <v>15225</v>
          </cell>
        </row>
        <row r="8949">
          <cell r="A8949">
            <v>45694</v>
          </cell>
          <cell r="B8949" t="str">
            <v>Xà Lách Mỡ T.C</v>
          </cell>
          <cell r="C8949" t="str">
            <v>Kg</v>
          </cell>
          <cell r="D8949">
            <v>24000</v>
          </cell>
        </row>
        <row r="8950">
          <cell r="A8950">
            <v>45694</v>
          </cell>
          <cell r="B8950" t="str">
            <v>Xà Lách Lolo Xanh T.C</v>
          </cell>
          <cell r="C8950" t="str">
            <v>Kg</v>
          </cell>
          <cell r="D8950">
            <v>25000</v>
          </cell>
        </row>
        <row r="8951">
          <cell r="A8951">
            <v>45694</v>
          </cell>
          <cell r="B8951" t="str">
            <v>Củ Su Hào</v>
          </cell>
          <cell r="C8951" t="str">
            <v>Kg</v>
          </cell>
          <cell r="D8951">
            <v>10000</v>
          </cell>
        </row>
        <row r="8952">
          <cell r="A8952">
            <v>45694</v>
          </cell>
          <cell r="B8952" t="str">
            <v>Cà Rốt</v>
          </cell>
          <cell r="C8952" t="str">
            <v>Kg</v>
          </cell>
          <cell r="D8952">
            <v>10000</v>
          </cell>
        </row>
        <row r="8953">
          <cell r="A8953">
            <v>45694</v>
          </cell>
          <cell r="B8953" t="str">
            <v>Trái Mâm Xôi</v>
          </cell>
          <cell r="C8953" t="str">
            <v>Hộp</v>
          </cell>
          <cell r="D8953">
            <v>35000</v>
          </cell>
        </row>
        <row r="8954">
          <cell r="A8954">
            <v>45694</v>
          </cell>
          <cell r="B8954" t="str">
            <v>Bông Cải Xanh 7Cm</v>
          </cell>
          <cell r="C8954" t="str">
            <v>Kg</v>
          </cell>
          <cell r="D8954">
            <v>20000</v>
          </cell>
        </row>
        <row r="8955">
          <cell r="A8955">
            <v>45694</v>
          </cell>
          <cell r="B8955" t="str">
            <v>Cà Chua Socola</v>
          </cell>
          <cell r="C8955" t="str">
            <v>Hộp 250GR</v>
          </cell>
          <cell r="D8955">
            <v>7500</v>
          </cell>
        </row>
        <row r="8956">
          <cell r="A8956">
            <v>45694</v>
          </cell>
          <cell r="B8956" t="str">
            <v>Dưa Leo Baby</v>
          </cell>
          <cell r="C8956" t="str">
            <v>Vỉ</v>
          </cell>
          <cell r="D8956">
            <v>6500</v>
          </cell>
        </row>
        <row r="8957">
          <cell r="A8957">
            <v>45694</v>
          </cell>
          <cell r="B8957" t="str">
            <v>Ớt Chuông Đỏ</v>
          </cell>
          <cell r="C8957" t="str">
            <v>Kg</v>
          </cell>
          <cell r="D8957">
            <v>58000</v>
          </cell>
        </row>
        <row r="8958">
          <cell r="A8958">
            <v>45694</v>
          </cell>
          <cell r="B8958" t="str">
            <v>Ớt Chuông Vàng</v>
          </cell>
          <cell r="C8958" t="str">
            <v>Kg</v>
          </cell>
          <cell r="D8958">
            <v>58000</v>
          </cell>
        </row>
        <row r="8959">
          <cell r="A8959">
            <v>45694</v>
          </cell>
          <cell r="B8959" t="str">
            <v>Ớt Chuông Xanh</v>
          </cell>
          <cell r="C8959" t="str">
            <v>Kg</v>
          </cell>
          <cell r="D8959">
            <v>30000</v>
          </cell>
        </row>
        <row r="8960">
          <cell r="A8960">
            <v>45694</v>
          </cell>
          <cell r="B8960" t="str">
            <v>Ớt Sweet Palemo</v>
          </cell>
          <cell r="C8960" t="str">
            <v>Kg</v>
          </cell>
          <cell r="D8960">
            <v>45000</v>
          </cell>
        </row>
        <row r="8961">
          <cell r="A8961">
            <v>45694</v>
          </cell>
          <cell r="B8961" t="str">
            <v>Dưa Leo Baby</v>
          </cell>
          <cell r="C8961" t="str">
            <v>Vỉ</v>
          </cell>
          <cell r="D8961">
            <v>7000</v>
          </cell>
        </row>
        <row r="8962">
          <cell r="A8962">
            <v>45694</v>
          </cell>
          <cell r="B8962" t="str">
            <v>Cà Chua Thường</v>
          </cell>
          <cell r="C8962" t="str">
            <v>Kg</v>
          </cell>
          <cell r="D8962">
            <v>16000</v>
          </cell>
        </row>
        <row r="8963">
          <cell r="A8963">
            <v>45694</v>
          </cell>
          <cell r="B8963" t="str">
            <v>Cà Chua Thường Trung</v>
          </cell>
          <cell r="C8963" t="str">
            <v>Kg</v>
          </cell>
          <cell r="D8963">
            <v>11000</v>
          </cell>
        </row>
        <row r="8964">
          <cell r="A8964">
            <v>45694</v>
          </cell>
          <cell r="B8964" t="str">
            <v>Dưa Leo Nhật</v>
          </cell>
          <cell r="C8964" t="str">
            <v>Kg</v>
          </cell>
          <cell r="D8964">
            <v>13000</v>
          </cell>
        </row>
        <row r="8965">
          <cell r="A8965">
            <v>45694</v>
          </cell>
          <cell r="B8965" t="str">
            <v>Dưa Leo Thường</v>
          </cell>
          <cell r="C8965" t="str">
            <v>Kg</v>
          </cell>
          <cell r="D8965">
            <v>12000</v>
          </cell>
        </row>
        <row r="8966">
          <cell r="A8966">
            <v>45694</v>
          </cell>
          <cell r="B8966" t="str">
            <v>Cà Rốt</v>
          </cell>
          <cell r="C8966" t="str">
            <v>Kg</v>
          </cell>
          <cell r="D8966">
            <v>8000</v>
          </cell>
        </row>
        <row r="8967">
          <cell r="A8967">
            <v>45694</v>
          </cell>
          <cell r="B8967" t="str">
            <v>Bắp Cải Trái Tim</v>
          </cell>
          <cell r="C8967" t="str">
            <v>Kg</v>
          </cell>
          <cell r="D8967">
            <v>6000</v>
          </cell>
        </row>
        <row r="8968">
          <cell r="A8968">
            <v>45694</v>
          </cell>
          <cell r="B8968" t="str">
            <v>Cà Chua Bi Đỏ</v>
          </cell>
          <cell r="C8968" t="str">
            <v>Hộp 300gr</v>
          </cell>
          <cell r="D8968">
            <v>5400</v>
          </cell>
        </row>
        <row r="8969">
          <cell r="A8969">
            <v>45694</v>
          </cell>
          <cell r="B8969" t="str">
            <v>Cà Chua Bi Đỏ</v>
          </cell>
          <cell r="C8969" t="str">
            <v>Hộp 500gr</v>
          </cell>
          <cell r="D8969">
            <v>9000</v>
          </cell>
        </row>
        <row r="8970">
          <cell r="A8970">
            <v>45694</v>
          </cell>
          <cell r="B8970" t="str">
            <v>Củ Cải Trắng</v>
          </cell>
          <cell r="C8970" t="str">
            <v>Kg</v>
          </cell>
          <cell r="D8970">
            <v>5000</v>
          </cell>
        </row>
        <row r="8971">
          <cell r="A8971">
            <v>45694</v>
          </cell>
          <cell r="B8971" t="str">
            <v>Bí Ngòi Xanh</v>
          </cell>
          <cell r="C8971" t="str">
            <v>Kg</v>
          </cell>
          <cell r="D8971">
            <v>15000</v>
          </cell>
        </row>
        <row r="8972">
          <cell r="A8972">
            <v>45694</v>
          </cell>
          <cell r="B8972" t="str">
            <v>Hành Paro</v>
          </cell>
          <cell r="C8972" t="str">
            <v>Kg</v>
          </cell>
          <cell r="D8972">
            <v>12000</v>
          </cell>
        </row>
        <row r="8973">
          <cell r="A8973">
            <v>45694</v>
          </cell>
          <cell r="B8973" t="str">
            <v>Măng Tây</v>
          </cell>
          <cell r="C8973" t="str">
            <v>Kg</v>
          </cell>
          <cell r="D8973">
            <v>55000</v>
          </cell>
        </row>
        <row r="8974">
          <cell r="A8974">
            <v>45694</v>
          </cell>
          <cell r="B8974" t="str">
            <v>Măng Tây</v>
          </cell>
          <cell r="C8974" t="str">
            <v>Kg</v>
          </cell>
          <cell r="D8974">
            <v>40000</v>
          </cell>
        </row>
        <row r="8975">
          <cell r="A8975">
            <v>45694</v>
          </cell>
          <cell r="B8975" t="str">
            <v>Lá É</v>
          </cell>
          <cell r="C8975" t="str">
            <v>Kg</v>
          </cell>
          <cell r="D8975">
            <v>25000</v>
          </cell>
        </row>
        <row r="8976">
          <cell r="A8976">
            <v>45694</v>
          </cell>
          <cell r="B8976" t="str">
            <v>Củ Gừng</v>
          </cell>
          <cell r="C8976" t="str">
            <v>Kg</v>
          </cell>
          <cell r="D8976">
            <v>18000</v>
          </cell>
        </row>
        <row r="8977">
          <cell r="A8977">
            <v>45694</v>
          </cell>
          <cell r="B8977" t="str">
            <v>Xà Lách Mỡ T.C</v>
          </cell>
          <cell r="C8977" t="str">
            <v>Kg</v>
          </cell>
          <cell r="D8977">
            <v>26000</v>
          </cell>
        </row>
        <row r="8978">
          <cell r="A8978">
            <v>45694</v>
          </cell>
          <cell r="B8978" t="str">
            <v>Xà Lách Lolo Xanh T.C</v>
          </cell>
          <cell r="C8978" t="str">
            <v>Kg</v>
          </cell>
          <cell r="D8978">
            <v>26000</v>
          </cell>
        </row>
        <row r="8979">
          <cell r="A8979">
            <v>45694</v>
          </cell>
          <cell r="B8979" t="str">
            <v>Xà Lách Thủy Tinh T.C Cây</v>
          </cell>
          <cell r="C8979" t="str">
            <v>Cây</v>
          </cell>
          <cell r="D8979">
            <v>7500</v>
          </cell>
        </row>
        <row r="8980">
          <cell r="A8980">
            <v>45694</v>
          </cell>
          <cell r="B8980" t="str">
            <v>Củ Cải Trắng</v>
          </cell>
          <cell r="C8980" t="str">
            <v>Kg</v>
          </cell>
          <cell r="D8980">
            <v>5000</v>
          </cell>
        </row>
        <row r="8981">
          <cell r="A8981">
            <v>45694</v>
          </cell>
          <cell r="B8981" t="str">
            <v>Cà Chua Beef</v>
          </cell>
          <cell r="C8981" t="str">
            <v>Kg</v>
          </cell>
          <cell r="D8981">
            <v>13000</v>
          </cell>
        </row>
        <row r="8982">
          <cell r="A8982">
            <v>45694</v>
          </cell>
          <cell r="B8982" t="str">
            <v>Đậu Cove Trắng</v>
          </cell>
          <cell r="C8982" t="str">
            <v>Túi 500gr</v>
          </cell>
          <cell r="D8982">
            <v>6000</v>
          </cell>
        </row>
        <row r="8983">
          <cell r="A8983">
            <v>45694</v>
          </cell>
          <cell r="B8983" t="str">
            <v>Bí Non Nhật</v>
          </cell>
          <cell r="C8983" t="str">
            <v>Kg</v>
          </cell>
          <cell r="D8983">
            <v>11000</v>
          </cell>
        </row>
        <row r="8984">
          <cell r="A8984">
            <v>45694</v>
          </cell>
          <cell r="B8984" t="str">
            <v>Ớt Chuông Xanh</v>
          </cell>
          <cell r="C8984" t="str">
            <v>Kg</v>
          </cell>
          <cell r="D8984">
            <v>32000</v>
          </cell>
        </row>
        <row r="8985">
          <cell r="A8985">
            <v>45694</v>
          </cell>
          <cell r="B8985" t="str">
            <v>Lá Mè</v>
          </cell>
          <cell r="C8985" t="str">
            <v>Túi</v>
          </cell>
          <cell r="D8985">
            <v>3000</v>
          </cell>
        </row>
        <row r="8986">
          <cell r="A8986">
            <v>45694</v>
          </cell>
          <cell r="B8986" t="str">
            <v>Cải Bó Xôi</v>
          </cell>
          <cell r="C8986" t="str">
            <v>Túi</v>
          </cell>
          <cell r="D8986">
            <v>6300</v>
          </cell>
        </row>
        <row r="8987">
          <cell r="A8987">
            <v>45694</v>
          </cell>
          <cell r="B8987" t="str">
            <v>Cà Chua Beef Chùm</v>
          </cell>
          <cell r="C8987" t="str">
            <v>Kg</v>
          </cell>
          <cell r="D8987">
            <v>15000</v>
          </cell>
        </row>
        <row r="8988">
          <cell r="A8988">
            <v>45694</v>
          </cell>
          <cell r="B8988" t="str">
            <v>Cà Chua Beef</v>
          </cell>
          <cell r="C8988" t="str">
            <v>Kg</v>
          </cell>
          <cell r="D8988">
            <v>13000</v>
          </cell>
        </row>
        <row r="8989">
          <cell r="A8989">
            <v>45694</v>
          </cell>
          <cell r="B8989" t="str">
            <v>Cà Chua Beef</v>
          </cell>
          <cell r="C8989" t="str">
            <v>Vỉ 650gr</v>
          </cell>
          <cell r="D8989">
            <v>10400</v>
          </cell>
        </row>
        <row r="8990">
          <cell r="A8990">
            <v>45694</v>
          </cell>
          <cell r="B8990" t="str">
            <v>Cà Chua Beef Trung</v>
          </cell>
          <cell r="C8990" t="str">
            <v>Vỉ 500gr</v>
          </cell>
          <cell r="D8990">
            <v>7000</v>
          </cell>
        </row>
        <row r="8991">
          <cell r="A8991">
            <v>45694</v>
          </cell>
          <cell r="B8991" t="str">
            <v>Cà Chua Beef Trung</v>
          </cell>
          <cell r="C8991" t="str">
            <v>Kg</v>
          </cell>
          <cell r="D8991">
            <v>11000</v>
          </cell>
        </row>
        <row r="8992">
          <cell r="A8992">
            <v>45694</v>
          </cell>
          <cell r="B8992" t="str">
            <v>Cà Chua Bi Mix</v>
          </cell>
          <cell r="C8992" t="str">
            <v>Hộp</v>
          </cell>
          <cell r="D8992">
            <v>11100</v>
          </cell>
        </row>
        <row r="8993">
          <cell r="A8993">
            <v>45694</v>
          </cell>
          <cell r="B8993" t="str">
            <v>Cà Chua Socola</v>
          </cell>
          <cell r="C8993" t="str">
            <v>Hộp 300gr</v>
          </cell>
          <cell r="D8993">
            <v>10500</v>
          </cell>
        </row>
        <row r="8994">
          <cell r="A8994">
            <v>45694</v>
          </cell>
          <cell r="B8994" t="str">
            <v>Cải Kale</v>
          </cell>
          <cell r="C8994" t="str">
            <v>Túi</v>
          </cell>
          <cell r="D8994">
            <v>4800</v>
          </cell>
        </row>
        <row r="8995">
          <cell r="A8995">
            <v>45694</v>
          </cell>
          <cell r="B8995" t="str">
            <v>Chanh Không Hạt</v>
          </cell>
          <cell r="C8995" t="str">
            <v>Vỉ</v>
          </cell>
          <cell r="D8995">
            <v>7500</v>
          </cell>
        </row>
        <row r="8996">
          <cell r="A8996">
            <v>45694</v>
          </cell>
          <cell r="B8996" t="str">
            <v>Củ Cải Đỏ</v>
          </cell>
          <cell r="C8996" t="str">
            <v>Hộp</v>
          </cell>
          <cell r="D8996">
            <v>10000</v>
          </cell>
        </row>
        <row r="8997">
          <cell r="A8997">
            <v>45694</v>
          </cell>
          <cell r="B8997" t="str">
            <v>Bông Cải Xanh Baby</v>
          </cell>
          <cell r="C8997" t="str">
            <v>Vỉ</v>
          </cell>
          <cell r="D8997">
            <v>5000</v>
          </cell>
        </row>
        <row r="8998">
          <cell r="A8998">
            <v>45694</v>
          </cell>
          <cell r="B8998" t="str">
            <v>Xà Lách Lolo Tím</v>
          </cell>
          <cell r="C8998" t="str">
            <v>Kg</v>
          </cell>
          <cell r="D8998">
            <v>20000</v>
          </cell>
        </row>
        <row r="8999">
          <cell r="A8999">
            <v>45694</v>
          </cell>
          <cell r="B8999" t="str">
            <v>Xà Lách Lolo Xanh</v>
          </cell>
          <cell r="C8999" t="str">
            <v>Kg</v>
          </cell>
          <cell r="D8999">
            <v>13000</v>
          </cell>
        </row>
        <row r="9000">
          <cell r="A9000">
            <v>45694</v>
          </cell>
          <cell r="B9000" t="str">
            <v>Lá Hương Thảo</v>
          </cell>
          <cell r="C9000" t="str">
            <v>Kg</v>
          </cell>
          <cell r="D9000">
            <v>130000</v>
          </cell>
        </row>
        <row r="9001">
          <cell r="A9001">
            <v>45694</v>
          </cell>
          <cell r="B9001" t="str">
            <v>Cà Chua Beef Trung</v>
          </cell>
          <cell r="C9001" t="str">
            <v>Vỉ 500gr</v>
          </cell>
          <cell r="D9001">
            <v>7500</v>
          </cell>
        </row>
        <row r="9002">
          <cell r="A9002">
            <v>45694</v>
          </cell>
          <cell r="B9002" t="str">
            <v>Ớt Sweet Palemo</v>
          </cell>
          <cell r="C9002" t="str">
            <v>Túi</v>
          </cell>
          <cell r="D9002">
            <v>17500</v>
          </cell>
        </row>
        <row r="9003">
          <cell r="A9003">
            <v>45694</v>
          </cell>
          <cell r="B9003" t="str">
            <v>Cải Kale</v>
          </cell>
          <cell r="C9003" t="str">
            <v>Túi 150gr</v>
          </cell>
          <cell r="D9003">
            <v>1900</v>
          </cell>
        </row>
        <row r="9004">
          <cell r="A9004">
            <v>45694</v>
          </cell>
          <cell r="B9004" t="str">
            <v>Lá Mè</v>
          </cell>
          <cell r="C9004" t="str">
            <v>Túi</v>
          </cell>
          <cell r="D9004">
            <v>3000</v>
          </cell>
        </row>
        <row r="9005">
          <cell r="A9005">
            <v>45695</v>
          </cell>
          <cell r="B9005" t="str">
            <v>DO 0.05S-II</v>
          </cell>
          <cell r="C9005" t="str">
            <v>Lít</v>
          </cell>
          <cell r="D9005">
            <v>17663.64</v>
          </cell>
        </row>
        <row r="9006">
          <cell r="A9006">
            <v>45695</v>
          </cell>
          <cell r="B9006" t="str">
            <v>Xà Lách Lolo Xanh T.C Cây</v>
          </cell>
          <cell r="C9006" t="str">
            <v>Cây</v>
          </cell>
          <cell r="D9006">
            <v>6800</v>
          </cell>
        </row>
        <row r="9007">
          <cell r="A9007">
            <v>45695</v>
          </cell>
          <cell r="B9007" t="str">
            <v>Xà Lách Mỡ T.C</v>
          </cell>
          <cell r="C9007" t="str">
            <v>Kg</v>
          </cell>
          <cell r="D9007">
            <v>28000</v>
          </cell>
        </row>
        <row r="9008">
          <cell r="A9008">
            <v>45695</v>
          </cell>
          <cell r="B9008" t="str">
            <v>Xà Lách Thủy Tinh T.C Cây</v>
          </cell>
          <cell r="C9008" t="str">
            <v>Cây</v>
          </cell>
          <cell r="D9008">
            <v>6800</v>
          </cell>
        </row>
        <row r="9009">
          <cell r="A9009">
            <v>45695</v>
          </cell>
          <cell r="B9009" t="str">
            <v>Xà Lách Lolo Xanh T.C Cây</v>
          </cell>
          <cell r="C9009" t="str">
            <v>Cây</v>
          </cell>
          <cell r="D9009">
            <v>6800</v>
          </cell>
        </row>
        <row r="9010">
          <cell r="A9010">
            <v>45695</v>
          </cell>
          <cell r="B9010" t="str">
            <v>Xà Lách Thủy Tinh T.C Cây</v>
          </cell>
          <cell r="C9010" t="str">
            <v>Cây</v>
          </cell>
          <cell r="D9010">
            <v>6800</v>
          </cell>
        </row>
        <row r="9011">
          <cell r="A9011">
            <v>45695</v>
          </cell>
          <cell r="B9011" t="str">
            <v>Xà Lách Thủy Tinh T.C</v>
          </cell>
          <cell r="C9011" t="str">
            <v>Kg</v>
          </cell>
          <cell r="D9011">
            <v>30000</v>
          </cell>
        </row>
        <row r="9012">
          <cell r="A9012">
            <v>45695</v>
          </cell>
          <cell r="B9012" t="str">
            <v>Cà Chua Socola</v>
          </cell>
          <cell r="C9012" t="str">
            <v>Kg</v>
          </cell>
          <cell r="D9012">
            <v>20000</v>
          </cell>
        </row>
        <row r="9013">
          <cell r="A9013">
            <v>45695</v>
          </cell>
          <cell r="B9013" t="str">
            <v>Dưa Leo Baby</v>
          </cell>
          <cell r="C9013" t="str">
            <v>Kg</v>
          </cell>
          <cell r="D9013">
            <v>7000</v>
          </cell>
        </row>
        <row r="9014">
          <cell r="A9014">
            <v>45695</v>
          </cell>
          <cell r="B9014" t="str">
            <v>Bí Ngòi Xanh</v>
          </cell>
          <cell r="C9014" t="str">
            <v>Kg</v>
          </cell>
          <cell r="D9014">
            <v>9000</v>
          </cell>
        </row>
        <row r="9015">
          <cell r="A9015">
            <v>45695</v>
          </cell>
          <cell r="B9015" t="str">
            <v>Dưa Leo Baby</v>
          </cell>
          <cell r="C9015" t="str">
            <v>Kg</v>
          </cell>
          <cell r="D9015">
            <v>9500</v>
          </cell>
        </row>
        <row r="9016">
          <cell r="A9016">
            <v>45695</v>
          </cell>
          <cell r="B9016" t="str">
            <v>Đậu Cove Trắng</v>
          </cell>
          <cell r="C9016" t="str">
            <v>Kg</v>
          </cell>
          <cell r="D9016">
            <v>11000</v>
          </cell>
        </row>
        <row r="9017">
          <cell r="A9017">
            <v>45695</v>
          </cell>
          <cell r="B9017" t="str">
            <v>Gia Công Rau Củ Quả</v>
          </cell>
          <cell r="C9017" t="str">
            <v>Kg</v>
          </cell>
          <cell r="D9017">
            <v>1000</v>
          </cell>
        </row>
        <row r="9018">
          <cell r="A9018">
            <v>45695</v>
          </cell>
          <cell r="B9018" t="str">
            <v>Gia Công Rau Củ Quả</v>
          </cell>
          <cell r="C9018" t="str">
            <v>Kg</v>
          </cell>
          <cell r="D9018">
            <v>1000</v>
          </cell>
        </row>
        <row r="9019">
          <cell r="A9019">
            <v>45695</v>
          </cell>
          <cell r="B9019" t="str">
            <v>Gia Công Rau Củ Quả</v>
          </cell>
          <cell r="C9019" t="str">
            <v>Kg</v>
          </cell>
          <cell r="D9019">
            <v>1000</v>
          </cell>
        </row>
        <row r="9020">
          <cell r="A9020">
            <v>45695</v>
          </cell>
          <cell r="B9020" t="str">
            <v>Gia Công Rau Củ Quả</v>
          </cell>
          <cell r="C9020" t="str">
            <v>Kg</v>
          </cell>
          <cell r="D9020">
            <v>1000</v>
          </cell>
        </row>
        <row r="9021">
          <cell r="A9021">
            <v>45695</v>
          </cell>
          <cell r="B9021" t="str">
            <v>Bắp Cải Trắng</v>
          </cell>
          <cell r="C9021" t="str">
            <v>Kg</v>
          </cell>
          <cell r="D9021">
            <v>5500</v>
          </cell>
        </row>
        <row r="9022">
          <cell r="A9022">
            <v>45695</v>
          </cell>
          <cell r="B9022" t="str">
            <v>Củ Gừng</v>
          </cell>
          <cell r="C9022" t="str">
            <v>Kg</v>
          </cell>
          <cell r="D9022">
            <v>18000</v>
          </cell>
        </row>
        <row r="9023">
          <cell r="A9023">
            <v>45695</v>
          </cell>
          <cell r="B9023" t="str">
            <v>Củ Khoai Mỡ</v>
          </cell>
          <cell r="C9023" t="str">
            <v>Kg</v>
          </cell>
          <cell r="D9023">
            <v>29000</v>
          </cell>
        </row>
        <row r="9024">
          <cell r="A9024">
            <v>45695</v>
          </cell>
          <cell r="B9024" t="str">
            <v>Dưa Leo Baby</v>
          </cell>
          <cell r="C9024" t="str">
            <v>Vỉ</v>
          </cell>
          <cell r="D9024">
            <v>6500</v>
          </cell>
        </row>
        <row r="9025">
          <cell r="A9025">
            <v>45695</v>
          </cell>
          <cell r="B9025" t="str">
            <v>Xà Lách Mỡ T.C</v>
          </cell>
          <cell r="C9025" t="str">
            <v>Kg</v>
          </cell>
          <cell r="D9025">
            <v>26000</v>
          </cell>
        </row>
        <row r="9026">
          <cell r="A9026">
            <v>45695</v>
          </cell>
          <cell r="B9026" t="str">
            <v>Xà Lách Lolo Xanh T.C</v>
          </cell>
          <cell r="C9026" t="str">
            <v>Kg</v>
          </cell>
          <cell r="D9026">
            <v>26000</v>
          </cell>
        </row>
        <row r="9027">
          <cell r="A9027">
            <v>45695</v>
          </cell>
          <cell r="B9027" t="str">
            <v>Xà Lách Thủy Tinh T.C Cây</v>
          </cell>
          <cell r="C9027" t="str">
            <v>Cây</v>
          </cell>
          <cell r="D9027">
            <v>7500</v>
          </cell>
        </row>
        <row r="9028">
          <cell r="A9028">
            <v>45695</v>
          </cell>
          <cell r="B9028" t="str">
            <v>Cà Chua Thường</v>
          </cell>
          <cell r="C9028" t="str">
            <v>Kg</v>
          </cell>
          <cell r="D9028">
            <v>17000</v>
          </cell>
        </row>
        <row r="9029">
          <cell r="A9029">
            <v>45695</v>
          </cell>
          <cell r="B9029" t="str">
            <v>Xà Lách Thủy Tinh T.C Cây</v>
          </cell>
          <cell r="C9029" t="str">
            <v>Cây</v>
          </cell>
          <cell r="D9029">
            <v>6500</v>
          </cell>
        </row>
        <row r="9030">
          <cell r="A9030">
            <v>45695</v>
          </cell>
          <cell r="B9030" t="str">
            <v>Củ Khoai Lang Nhật</v>
          </cell>
          <cell r="C9030" t="str">
            <v>Kg</v>
          </cell>
          <cell r="D9030">
            <v>17000</v>
          </cell>
        </row>
        <row r="9031">
          <cell r="A9031">
            <v>45695</v>
          </cell>
          <cell r="B9031" t="str">
            <v>Bắp Cải Trắng</v>
          </cell>
          <cell r="C9031" t="str">
            <v>Kg</v>
          </cell>
          <cell r="D9031">
            <v>6000</v>
          </cell>
        </row>
        <row r="9032">
          <cell r="A9032">
            <v>45695</v>
          </cell>
          <cell r="B9032" t="str">
            <v>Đậu Cove Nhật</v>
          </cell>
          <cell r="C9032" t="str">
            <v>Túi</v>
          </cell>
          <cell r="D9032">
            <v>6000</v>
          </cell>
        </row>
        <row r="9033">
          <cell r="A9033">
            <v>45695</v>
          </cell>
          <cell r="B9033" t="str">
            <v>Củ Cải Trắng</v>
          </cell>
          <cell r="C9033" t="str">
            <v>Kg</v>
          </cell>
          <cell r="D9033">
            <v>5000</v>
          </cell>
        </row>
        <row r="9034">
          <cell r="A9034">
            <v>45695</v>
          </cell>
          <cell r="B9034" t="str">
            <v>Cải Kale</v>
          </cell>
          <cell r="C9034" t="str">
            <v>Túi</v>
          </cell>
          <cell r="D9034">
            <v>3900</v>
          </cell>
        </row>
        <row r="9035">
          <cell r="A9035">
            <v>45695</v>
          </cell>
          <cell r="B9035" t="str">
            <v>Lá Mè</v>
          </cell>
          <cell r="C9035" t="str">
            <v>Túi</v>
          </cell>
          <cell r="D9035">
            <v>2900</v>
          </cell>
        </row>
        <row r="9036">
          <cell r="A9036">
            <v>45695</v>
          </cell>
          <cell r="B9036" t="str">
            <v>Xà Lách Carol</v>
          </cell>
          <cell r="C9036" t="str">
            <v>Kg</v>
          </cell>
          <cell r="D9036">
            <v>32000</v>
          </cell>
        </row>
        <row r="9037">
          <cell r="A9037">
            <v>45695</v>
          </cell>
          <cell r="B9037" t="str">
            <v>Cà Chua Bi Đỏ</v>
          </cell>
          <cell r="C9037" t="str">
            <v>Kg</v>
          </cell>
          <cell r="D9037">
            <v>20000</v>
          </cell>
        </row>
        <row r="9038">
          <cell r="A9038">
            <v>45695</v>
          </cell>
          <cell r="B9038" t="str">
            <v>Bông Cải Xanh 12Cm</v>
          </cell>
          <cell r="C9038" t="str">
            <v>Kg</v>
          </cell>
          <cell r="D9038">
            <v>12000</v>
          </cell>
        </row>
        <row r="9039">
          <cell r="A9039">
            <v>45695</v>
          </cell>
          <cell r="B9039" t="str">
            <v>Trái Su Su</v>
          </cell>
          <cell r="C9039" t="str">
            <v>Kg</v>
          </cell>
          <cell r="D9039">
            <v>4000</v>
          </cell>
        </row>
        <row r="9040">
          <cell r="A9040">
            <v>45695</v>
          </cell>
          <cell r="B9040" t="str">
            <v>Trái Su Su</v>
          </cell>
          <cell r="C9040" t="str">
            <v>Kg</v>
          </cell>
          <cell r="D9040">
            <v>4000</v>
          </cell>
        </row>
        <row r="9041">
          <cell r="A9041">
            <v>45695</v>
          </cell>
          <cell r="B9041" t="str">
            <v>Bông Cải Xanh 12Cm</v>
          </cell>
          <cell r="C9041" t="str">
            <v>Kg</v>
          </cell>
          <cell r="D9041">
            <v>10000</v>
          </cell>
        </row>
        <row r="9042">
          <cell r="A9042">
            <v>45695</v>
          </cell>
          <cell r="B9042" t="str">
            <v>Bông Cải Trắng</v>
          </cell>
          <cell r="C9042" t="str">
            <v>Kg</v>
          </cell>
          <cell r="D9042">
            <v>10000</v>
          </cell>
        </row>
        <row r="9043">
          <cell r="A9043">
            <v>45695</v>
          </cell>
          <cell r="B9043" t="str">
            <v>Củ Hành Tây</v>
          </cell>
          <cell r="C9043" t="str">
            <v>Kg</v>
          </cell>
          <cell r="D9043">
            <v>8700</v>
          </cell>
        </row>
        <row r="9044">
          <cell r="A9044">
            <v>45695</v>
          </cell>
          <cell r="B9044" t="str">
            <v>Rau Ngò Rí</v>
          </cell>
          <cell r="C9044" t="str">
            <v>Kg</v>
          </cell>
          <cell r="D9044">
            <v>35000</v>
          </cell>
        </row>
        <row r="9045">
          <cell r="A9045">
            <v>45695</v>
          </cell>
          <cell r="B9045" t="str">
            <v>Ớt Chuông Baby</v>
          </cell>
          <cell r="C9045" t="str">
            <v>Kg</v>
          </cell>
          <cell r="D9045">
            <v>55000</v>
          </cell>
        </row>
        <row r="9046">
          <cell r="A9046">
            <v>45695</v>
          </cell>
          <cell r="B9046" t="str">
            <v>Ớt Sweet Palemo</v>
          </cell>
          <cell r="C9046" t="str">
            <v>Túi</v>
          </cell>
          <cell r="D9046">
            <v>18000</v>
          </cell>
        </row>
        <row r="9047">
          <cell r="A9047">
            <v>45695</v>
          </cell>
          <cell r="B9047" t="str">
            <v>Cà Rốt</v>
          </cell>
          <cell r="C9047" t="str">
            <v>Kg</v>
          </cell>
          <cell r="D9047">
            <v>9000</v>
          </cell>
        </row>
        <row r="9048">
          <cell r="A9048">
            <v>45695</v>
          </cell>
          <cell r="B9048" t="str">
            <v>Cà Chua Bi Đỏ</v>
          </cell>
          <cell r="C9048" t="str">
            <v>Hộp 300gr</v>
          </cell>
          <cell r="D9048">
            <v>5400</v>
          </cell>
        </row>
        <row r="9049">
          <cell r="A9049">
            <v>45695</v>
          </cell>
          <cell r="B9049" t="str">
            <v>Cà Chua Bi Đỏ</v>
          </cell>
          <cell r="C9049" t="str">
            <v>Hộp 500gr</v>
          </cell>
          <cell r="D9049">
            <v>9000</v>
          </cell>
        </row>
        <row r="9050">
          <cell r="A9050">
            <v>45695</v>
          </cell>
          <cell r="B9050" t="str">
            <v>Ớt Chuông Đỏ</v>
          </cell>
          <cell r="C9050" t="str">
            <v>Kg</v>
          </cell>
          <cell r="D9050">
            <v>58000</v>
          </cell>
        </row>
        <row r="9051">
          <cell r="A9051">
            <v>45695</v>
          </cell>
          <cell r="B9051" t="str">
            <v>Ớt Chuông Vàng</v>
          </cell>
          <cell r="C9051" t="str">
            <v>Kg</v>
          </cell>
          <cell r="D9051">
            <v>58000</v>
          </cell>
        </row>
        <row r="9052">
          <cell r="A9052">
            <v>45695</v>
          </cell>
          <cell r="B9052" t="str">
            <v>Ớt Chuông Xanh</v>
          </cell>
          <cell r="C9052" t="str">
            <v>Kg</v>
          </cell>
          <cell r="D9052">
            <v>30000</v>
          </cell>
        </row>
        <row r="9053">
          <cell r="A9053">
            <v>45695</v>
          </cell>
          <cell r="B9053" t="str">
            <v>Bí Non Nhật</v>
          </cell>
          <cell r="C9053" t="str">
            <v>Kg</v>
          </cell>
          <cell r="D9053">
            <v>10000</v>
          </cell>
        </row>
        <row r="9054">
          <cell r="A9054">
            <v>45695</v>
          </cell>
          <cell r="B9054" t="str">
            <v>Cà Tím</v>
          </cell>
          <cell r="C9054" t="str">
            <v>Kg</v>
          </cell>
          <cell r="D9054">
            <v>8000</v>
          </cell>
        </row>
        <row r="9055">
          <cell r="A9055">
            <v>45695</v>
          </cell>
          <cell r="B9055" t="str">
            <v>Dưa Leo Baby</v>
          </cell>
          <cell r="C9055" t="str">
            <v>Vỉ</v>
          </cell>
          <cell r="D9055">
            <v>6500</v>
          </cell>
        </row>
        <row r="9056">
          <cell r="A9056">
            <v>45695</v>
          </cell>
          <cell r="B9056" t="str">
            <v>Cà Rốt</v>
          </cell>
          <cell r="C9056" t="str">
            <v>Kg</v>
          </cell>
          <cell r="D9056">
            <v>9000</v>
          </cell>
        </row>
        <row r="9057">
          <cell r="A9057">
            <v>45695</v>
          </cell>
          <cell r="B9057" t="str">
            <v>Bắp Cải Trái Tim</v>
          </cell>
          <cell r="C9057" t="str">
            <v>Kg</v>
          </cell>
          <cell r="D9057">
            <v>6000</v>
          </cell>
        </row>
        <row r="9058">
          <cell r="A9058">
            <v>45695</v>
          </cell>
          <cell r="B9058" t="str">
            <v>Củ Su Hào</v>
          </cell>
          <cell r="C9058" t="str">
            <v>Kg</v>
          </cell>
          <cell r="D9058">
            <v>9000</v>
          </cell>
        </row>
        <row r="9059">
          <cell r="A9059">
            <v>45695</v>
          </cell>
          <cell r="B9059" t="str">
            <v>Xà Lách Mỡ T.C</v>
          </cell>
          <cell r="C9059" t="str">
            <v>Kg</v>
          </cell>
          <cell r="D9059">
            <v>24000</v>
          </cell>
        </row>
        <row r="9060">
          <cell r="A9060">
            <v>45695</v>
          </cell>
          <cell r="B9060" t="str">
            <v>Xà Lách Lolo Xanh T.C</v>
          </cell>
          <cell r="C9060" t="str">
            <v>Kg</v>
          </cell>
          <cell r="D9060">
            <v>25000</v>
          </cell>
        </row>
        <row r="9061">
          <cell r="A9061">
            <v>45695</v>
          </cell>
          <cell r="B9061" t="str">
            <v>Củ Cải Trắng</v>
          </cell>
          <cell r="C9061" t="str">
            <v>Kg</v>
          </cell>
          <cell r="D9061">
            <v>5000</v>
          </cell>
        </row>
        <row r="9062">
          <cell r="A9062">
            <v>45695</v>
          </cell>
          <cell r="B9062" t="str">
            <v>Củ Khoai Lang Nhật</v>
          </cell>
          <cell r="C9062" t="str">
            <v>Kg</v>
          </cell>
          <cell r="D9062">
            <v>17255</v>
          </cell>
        </row>
        <row r="9063">
          <cell r="A9063">
            <v>45695</v>
          </cell>
          <cell r="B9063" t="str">
            <v>Củ Khoai Lang Nhật Baby</v>
          </cell>
          <cell r="C9063" t="str">
            <v>Kg</v>
          </cell>
          <cell r="D9063">
            <v>15225</v>
          </cell>
        </row>
        <row r="9064">
          <cell r="A9064">
            <v>45695</v>
          </cell>
          <cell r="B9064" t="str">
            <v>Dưa Leo Nhật</v>
          </cell>
          <cell r="C9064" t="str">
            <v>Kg</v>
          </cell>
          <cell r="D9064">
            <v>13000</v>
          </cell>
        </row>
        <row r="9065">
          <cell r="A9065">
            <v>45695</v>
          </cell>
          <cell r="B9065" t="str">
            <v>Dưa Leo Thường</v>
          </cell>
          <cell r="C9065" t="str">
            <v>Kg</v>
          </cell>
          <cell r="D9065">
            <v>15000</v>
          </cell>
        </row>
        <row r="9066">
          <cell r="A9066">
            <v>45695</v>
          </cell>
          <cell r="B9066" t="str">
            <v>Bí Non Nhật</v>
          </cell>
          <cell r="C9066" t="str">
            <v>Kg</v>
          </cell>
          <cell r="D9066">
            <v>15000</v>
          </cell>
        </row>
        <row r="9067">
          <cell r="A9067">
            <v>45695</v>
          </cell>
          <cell r="B9067" t="str">
            <v>Đậu Cove Trắng</v>
          </cell>
          <cell r="C9067" t="str">
            <v>Túi 500gr</v>
          </cell>
          <cell r="D9067">
            <v>9000</v>
          </cell>
        </row>
        <row r="9068">
          <cell r="A9068">
            <v>45695</v>
          </cell>
          <cell r="B9068" t="str">
            <v>Đậu Cove Nhật</v>
          </cell>
          <cell r="C9068" t="str">
            <v>Túi</v>
          </cell>
          <cell r="D9068">
            <v>7000</v>
          </cell>
        </row>
        <row r="9069">
          <cell r="A9069">
            <v>45695</v>
          </cell>
          <cell r="B9069" t="str">
            <v>Bí Non Nhật</v>
          </cell>
          <cell r="C9069" t="str">
            <v>Kg</v>
          </cell>
          <cell r="D9069">
            <v>12000</v>
          </cell>
        </row>
        <row r="9070">
          <cell r="A9070">
            <v>45695</v>
          </cell>
          <cell r="B9070" t="str">
            <v>Măng Tây</v>
          </cell>
          <cell r="C9070" t="str">
            <v>Kg</v>
          </cell>
          <cell r="D9070">
            <v>52089</v>
          </cell>
        </row>
        <row r="9071">
          <cell r="A9071">
            <v>45695</v>
          </cell>
          <cell r="B9071" t="str">
            <v>Lá É</v>
          </cell>
          <cell r="C9071" t="str">
            <v>Kg</v>
          </cell>
          <cell r="D9071">
            <v>25000</v>
          </cell>
        </row>
        <row r="9072">
          <cell r="A9072">
            <v>45695</v>
          </cell>
          <cell r="B9072" t="str">
            <v>Bí Ngô Mini</v>
          </cell>
          <cell r="C9072" t="str">
            <v>Kg</v>
          </cell>
          <cell r="D9072">
            <v>65000</v>
          </cell>
        </row>
        <row r="9073">
          <cell r="A9073">
            <v>45695</v>
          </cell>
          <cell r="B9073" t="str">
            <v>Xà Lách Mỹ</v>
          </cell>
          <cell r="C9073" t="str">
            <v>Kg</v>
          </cell>
          <cell r="D9073">
            <v>18000</v>
          </cell>
        </row>
        <row r="9074">
          <cell r="A9074">
            <v>45695</v>
          </cell>
          <cell r="B9074" t="str">
            <v>Cà Chua Beef</v>
          </cell>
          <cell r="C9074" t="str">
            <v>Kg</v>
          </cell>
          <cell r="D9074">
            <v>14000</v>
          </cell>
        </row>
        <row r="9075">
          <cell r="A9075">
            <v>45695</v>
          </cell>
          <cell r="B9075" t="str">
            <v>Ớt Chuông Đỏ</v>
          </cell>
          <cell r="C9075" t="str">
            <v>Kg</v>
          </cell>
          <cell r="D9075">
            <v>47000</v>
          </cell>
        </row>
        <row r="9076">
          <cell r="A9076">
            <v>45695</v>
          </cell>
          <cell r="B9076" t="str">
            <v>Ớt Chuông Vàng</v>
          </cell>
          <cell r="C9076" t="str">
            <v>Kg</v>
          </cell>
          <cell r="D9076">
            <v>47000</v>
          </cell>
        </row>
        <row r="9077">
          <cell r="A9077">
            <v>45695</v>
          </cell>
          <cell r="B9077" t="str">
            <v>Ớt Chuông Xanh</v>
          </cell>
          <cell r="C9077" t="str">
            <v>Kg</v>
          </cell>
          <cell r="D9077">
            <v>29000</v>
          </cell>
        </row>
        <row r="9078">
          <cell r="A9078">
            <v>45695</v>
          </cell>
          <cell r="B9078" t="str">
            <v>Cải Bó Xôi</v>
          </cell>
          <cell r="C9078" t="str">
            <v>Kg</v>
          </cell>
          <cell r="D9078">
            <v>15000</v>
          </cell>
        </row>
        <row r="9079">
          <cell r="A9079">
            <v>45695</v>
          </cell>
          <cell r="B9079" t="str">
            <v>Ớt Sweet Palemo</v>
          </cell>
          <cell r="C9079" t="str">
            <v>Túi</v>
          </cell>
          <cell r="D9079">
            <v>17000</v>
          </cell>
        </row>
        <row r="9080">
          <cell r="A9080">
            <v>45695</v>
          </cell>
          <cell r="B9080" t="str">
            <v>Đậu Đỏ</v>
          </cell>
          <cell r="C9080" t="str">
            <v>Kg</v>
          </cell>
          <cell r="D9080">
            <v>80000</v>
          </cell>
        </row>
        <row r="9081">
          <cell r="A9081">
            <v>45695</v>
          </cell>
          <cell r="B9081" t="str">
            <v>Đậu Ngự</v>
          </cell>
          <cell r="C9081" t="str">
            <v>Kg</v>
          </cell>
          <cell r="D9081">
            <v>70000</v>
          </cell>
        </row>
        <row r="9082">
          <cell r="A9082">
            <v>45695</v>
          </cell>
          <cell r="B9082" t="str">
            <v>Đậu Trắng</v>
          </cell>
          <cell r="C9082" t="str">
            <v>Kg</v>
          </cell>
          <cell r="D9082">
            <v>70000</v>
          </cell>
        </row>
        <row r="9083">
          <cell r="A9083">
            <v>45695</v>
          </cell>
          <cell r="B9083" t="str">
            <v>Củ Dền</v>
          </cell>
          <cell r="C9083" t="str">
            <v>Kg</v>
          </cell>
          <cell r="D9083">
            <v>10000</v>
          </cell>
        </row>
        <row r="9084">
          <cell r="A9084">
            <v>45695</v>
          </cell>
          <cell r="B9084" t="str">
            <v>Cần Tây</v>
          </cell>
          <cell r="C9084" t="str">
            <v>Kg</v>
          </cell>
          <cell r="D9084">
            <v>17000</v>
          </cell>
        </row>
        <row r="9085">
          <cell r="A9085">
            <v>45695</v>
          </cell>
          <cell r="B9085" t="str">
            <v>Xà Lách Lolo Xanh</v>
          </cell>
          <cell r="C9085" t="str">
            <v>Kg</v>
          </cell>
          <cell r="D9085">
            <v>13000</v>
          </cell>
        </row>
        <row r="9086">
          <cell r="A9086">
            <v>45695</v>
          </cell>
          <cell r="B9086" t="str">
            <v>Cải Thảo Hỏa Tiễn</v>
          </cell>
          <cell r="C9086" t="str">
            <v>Kg</v>
          </cell>
          <cell r="D9086">
            <v>14000</v>
          </cell>
        </row>
        <row r="9087">
          <cell r="A9087">
            <v>45695</v>
          </cell>
          <cell r="B9087" t="str">
            <v>Bí Ngòi Xanh</v>
          </cell>
          <cell r="C9087" t="str">
            <v>Kg</v>
          </cell>
          <cell r="D9087">
            <v>8000</v>
          </cell>
        </row>
        <row r="9088">
          <cell r="A9088">
            <v>45695</v>
          </cell>
          <cell r="B9088" t="str">
            <v>Cần Tây</v>
          </cell>
          <cell r="C9088" t="str">
            <v>Kg</v>
          </cell>
          <cell r="D9088">
            <v>15000</v>
          </cell>
        </row>
        <row r="9089">
          <cell r="A9089">
            <v>45695</v>
          </cell>
          <cell r="B9089" t="str">
            <v>Bắp Cải Tím</v>
          </cell>
          <cell r="C9089" t="str">
            <v>Kg</v>
          </cell>
          <cell r="D9089">
            <v>16000</v>
          </cell>
        </row>
        <row r="9090">
          <cell r="A9090">
            <v>45695</v>
          </cell>
          <cell r="B9090" t="str">
            <v>Cần Tây</v>
          </cell>
          <cell r="C9090" t="str">
            <v>Kg</v>
          </cell>
          <cell r="D9090">
            <v>17000</v>
          </cell>
        </row>
        <row r="9091">
          <cell r="A9091">
            <v>45695</v>
          </cell>
          <cell r="B9091" t="str">
            <v>Bông Cải Xanh 7Cm</v>
          </cell>
          <cell r="C9091" t="str">
            <v>Kg</v>
          </cell>
          <cell r="D9091">
            <v>20000</v>
          </cell>
        </row>
        <row r="9092">
          <cell r="A9092">
            <v>45695</v>
          </cell>
          <cell r="B9092" t="str">
            <v>Bông Cải Xanh 7Cm</v>
          </cell>
          <cell r="C9092" t="str">
            <v>Kg</v>
          </cell>
          <cell r="D9092">
            <v>20000</v>
          </cell>
        </row>
        <row r="9093">
          <cell r="A9093">
            <v>45695</v>
          </cell>
          <cell r="B9093" t="str">
            <v>Bông Cải Xanh 7Cm</v>
          </cell>
          <cell r="C9093" t="str">
            <v>Kg</v>
          </cell>
          <cell r="D9093">
            <v>20000</v>
          </cell>
        </row>
        <row r="9094">
          <cell r="A9094">
            <v>45695</v>
          </cell>
          <cell r="B9094" t="str">
            <v>Bí Ngòi Xanh</v>
          </cell>
          <cell r="C9094" t="str">
            <v>Kg</v>
          </cell>
          <cell r="D9094">
            <v>16000</v>
          </cell>
        </row>
        <row r="9095">
          <cell r="A9095">
            <v>45695</v>
          </cell>
          <cell r="B9095" t="str">
            <v>Hành Paro</v>
          </cell>
          <cell r="C9095" t="str">
            <v>Kg</v>
          </cell>
          <cell r="D9095">
            <v>12000</v>
          </cell>
        </row>
        <row r="9096">
          <cell r="A9096">
            <v>45695</v>
          </cell>
          <cell r="B9096" t="str">
            <v>Hành Paro</v>
          </cell>
          <cell r="C9096" t="str">
            <v>Kg</v>
          </cell>
          <cell r="D9096">
            <v>11000</v>
          </cell>
        </row>
        <row r="9097">
          <cell r="A9097">
            <v>45695</v>
          </cell>
          <cell r="B9097" t="str">
            <v>Bí Ngòi Xanh</v>
          </cell>
          <cell r="C9097" t="str">
            <v>Kg</v>
          </cell>
          <cell r="D9097">
            <v>15000</v>
          </cell>
        </row>
        <row r="9098">
          <cell r="A9098">
            <v>45695</v>
          </cell>
          <cell r="B9098" t="str">
            <v>Bông Cải Xanh 7Cm</v>
          </cell>
          <cell r="C9098" t="str">
            <v>Kg</v>
          </cell>
          <cell r="D9098">
            <v>20000</v>
          </cell>
        </row>
        <row r="9099">
          <cell r="A9099">
            <v>45695</v>
          </cell>
          <cell r="B9099" t="str">
            <v>Cải Bó Xôi</v>
          </cell>
          <cell r="C9099" t="str">
            <v>Túi</v>
          </cell>
          <cell r="D9099">
            <v>6000</v>
          </cell>
        </row>
        <row r="9100">
          <cell r="A9100">
            <v>45695</v>
          </cell>
          <cell r="B9100" t="str">
            <v>Cà Chua Beef Chùm</v>
          </cell>
          <cell r="C9100" t="str">
            <v>Kg</v>
          </cell>
          <cell r="D9100">
            <v>15000</v>
          </cell>
        </row>
        <row r="9101">
          <cell r="A9101">
            <v>45695</v>
          </cell>
          <cell r="B9101" t="str">
            <v>Cà Chua Beef</v>
          </cell>
          <cell r="C9101" t="str">
            <v>Kg</v>
          </cell>
          <cell r="D9101">
            <v>13000</v>
          </cell>
        </row>
        <row r="9102">
          <cell r="A9102">
            <v>45695</v>
          </cell>
          <cell r="B9102" t="str">
            <v>Cà Chua Beef</v>
          </cell>
          <cell r="C9102" t="str">
            <v>Vỉ 650gr</v>
          </cell>
          <cell r="D9102">
            <v>11050</v>
          </cell>
        </row>
        <row r="9103">
          <cell r="A9103">
            <v>45695</v>
          </cell>
          <cell r="B9103" t="str">
            <v>Cà Chua Beef Trung</v>
          </cell>
          <cell r="C9103" t="str">
            <v>Vỉ 500gr</v>
          </cell>
          <cell r="D9103">
            <v>6351.85</v>
          </cell>
        </row>
        <row r="9104">
          <cell r="A9104">
            <v>45695</v>
          </cell>
          <cell r="B9104" t="str">
            <v>Cà Chua Beef Trung</v>
          </cell>
          <cell r="C9104" t="str">
            <v>Kg</v>
          </cell>
          <cell r="D9104">
            <v>12000</v>
          </cell>
        </row>
        <row r="9105">
          <cell r="A9105">
            <v>45695</v>
          </cell>
          <cell r="B9105" t="str">
            <v>Cà Chua Bi Mix</v>
          </cell>
          <cell r="C9105" t="str">
            <v>Hộp</v>
          </cell>
          <cell r="D9105">
            <v>11100</v>
          </cell>
        </row>
        <row r="9106">
          <cell r="A9106">
            <v>45695</v>
          </cell>
          <cell r="B9106" t="str">
            <v>Cà Chua Socola</v>
          </cell>
          <cell r="C9106" t="str">
            <v>Hộp 300gr</v>
          </cell>
          <cell r="D9106">
            <v>10500</v>
          </cell>
        </row>
        <row r="9107">
          <cell r="A9107">
            <v>45695</v>
          </cell>
          <cell r="B9107" t="str">
            <v>Cải Kale</v>
          </cell>
          <cell r="C9107" t="str">
            <v>Túi</v>
          </cell>
          <cell r="D9107">
            <v>4200</v>
          </cell>
        </row>
        <row r="9108">
          <cell r="A9108">
            <v>45695</v>
          </cell>
          <cell r="B9108" t="str">
            <v>Chanh Không Hạt</v>
          </cell>
          <cell r="C9108" t="str">
            <v>Vỉ</v>
          </cell>
          <cell r="D9108">
            <v>7500</v>
          </cell>
        </row>
        <row r="9109">
          <cell r="A9109">
            <v>45695</v>
          </cell>
          <cell r="B9109" t="str">
            <v>Lá Mè</v>
          </cell>
          <cell r="C9109" t="str">
            <v>Túi</v>
          </cell>
          <cell r="D9109">
            <v>3000</v>
          </cell>
        </row>
        <row r="9110">
          <cell r="A9110">
            <v>45695</v>
          </cell>
          <cell r="B9110" t="str">
            <v>Dưa Leo Baby</v>
          </cell>
          <cell r="C9110" t="str">
            <v>Vỉ</v>
          </cell>
          <cell r="D9110">
            <v>6500</v>
          </cell>
        </row>
        <row r="9111">
          <cell r="A9111">
            <v>45695</v>
          </cell>
          <cell r="B9111" t="str">
            <v>Cà Rốt Baby</v>
          </cell>
          <cell r="C9111" t="str">
            <v>Vỉ</v>
          </cell>
          <cell r="D9111">
            <v>5000</v>
          </cell>
        </row>
        <row r="9112">
          <cell r="A9112">
            <v>45695</v>
          </cell>
          <cell r="B9112" t="str">
            <v>Cải Cầu Vồng</v>
          </cell>
          <cell r="C9112" t="str">
            <v>Túi</v>
          </cell>
          <cell r="D9112">
            <v>3000</v>
          </cell>
        </row>
        <row r="9113">
          <cell r="A9113">
            <v>45695</v>
          </cell>
          <cell r="B9113" t="str">
            <v>Cải Kale</v>
          </cell>
          <cell r="C9113" t="str">
            <v>Túi 150gr</v>
          </cell>
          <cell r="D9113">
            <v>2000</v>
          </cell>
        </row>
        <row r="9114">
          <cell r="A9114">
            <v>45695</v>
          </cell>
          <cell r="B9114" t="str">
            <v>Bông Cải Xanh Baby</v>
          </cell>
          <cell r="C9114" t="str">
            <v>Vỉ</v>
          </cell>
          <cell r="D9114">
            <v>5000</v>
          </cell>
        </row>
        <row r="9115">
          <cell r="A9115">
            <v>45695</v>
          </cell>
          <cell r="B9115" t="str">
            <v>Xà Lách Lolo Xanh</v>
          </cell>
          <cell r="C9115" t="str">
            <v>Kg</v>
          </cell>
          <cell r="D9115">
            <v>12000</v>
          </cell>
        </row>
        <row r="9116">
          <cell r="A9116">
            <v>45695</v>
          </cell>
          <cell r="B9116" t="str">
            <v>Xà Lách Lolo Xanh</v>
          </cell>
          <cell r="C9116" t="str">
            <v>Kg</v>
          </cell>
          <cell r="D9116">
            <v>9000</v>
          </cell>
        </row>
        <row r="9117">
          <cell r="A9117">
            <v>45695</v>
          </cell>
          <cell r="B9117" t="str">
            <v>Ớt Sweet Palemo</v>
          </cell>
          <cell r="C9117" t="str">
            <v>Túi</v>
          </cell>
          <cell r="D9117">
            <v>18000</v>
          </cell>
        </row>
        <row r="9118">
          <cell r="A9118">
            <v>45695</v>
          </cell>
          <cell r="B9118" t="str">
            <v>Cà Chua Beef</v>
          </cell>
          <cell r="C9118" t="str">
            <v>Kg</v>
          </cell>
          <cell r="D9118">
            <v>13000</v>
          </cell>
        </row>
        <row r="9119">
          <cell r="A9119">
            <v>45695</v>
          </cell>
          <cell r="B9119" t="str">
            <v>Cà Chua Beef Trung</v>
          </cell>
          <cell r="C9119" t="str">
            <v>Vỉ 500gr</v>
          </cell>
          <cell r="D9119">
            <v>7500</v>
          </cell>
        </row>
        <row r="9120">
          <cell r="A9120">
            <v>45695</v>
          </cell>
          <cell r="B9120" t="str">
            <v>Xà Lách Romaine</v>
          </cell>
          <cell r="C9120" t="str">
            <v>Kg</v>
          </cell>
          <cell r="D9120">
            <v>20000</v>
          </cell>
        </row>
        <row r="9121">
          <cell r="A9121">
            <v>45695</v>
          </cell>
          <cell r="B9121" t="str">
            <v>Dây rút nhựa 3x100</v>
          </cell>
          <cell r="C9121" t="str">
            <v>Túi</v>
          </cell>
          <cell r="D9121">
            <v>35000</v>
          </cell>
        </row>
        <row r="9122">
          <cell r="A9122">
            <v>45695</v>
          </cell>
          <cell r="B9122" t="str">
            <v>HỘP NHỰA - P250A</v>
          </cell>
          <cell r="C9122" t="str">
            <v>Cái</v>
          </cell>
          <cell r="D9122">
            <v>1000</v>
          </cell>
        </row>
        <row r="9123">
          <cell r="A9123">
            <v>45695</v>
          </cell>
          <cell r="B9123" t="str">
            <v>Hộp nhựa P500D</v>
          </cell>
          <cell r="C9123" t="str">
            <v>Cái</v>
          </cell>
          <cell r="D9123">
            <v>1400</v>
          </cell>
        </row>
        <row r="9124">
          <cell r="A9124">
            <v>45695</v>
          </cell>
          <cell r="B9124" t="str">
            <v>Túi PP (80x120)</v>
          </cell>
          <cell r="C9124" t="str">
            <v>Kg</v>
          </cell>
          <cell r="D9124">
            <v>30000</v>
          </cell>
        </row>
        <row r="9125">
          <cell r="A9125">
            <v>45695</v>
          </cell>
          <cell r="B9125" t="str">
            <v>TÚI PP (50 X 80)</v>
          </cell>
          <cell r="C9125" t="str">
            <v>Kg</v>
          </cell>
          <cell r="D9125">
            <v>37000</v>
          </cell>
        </row>
        <row r="9126">
          <cell r="A9126">
            <v>45696</v>
          </cell>
          <cell r="B9126" t="str">
            <v>Bí Ngòi Xanh</v>
          </cell>
          <cell r="C9126" t="str">
            <v>Kg</v>
          </cell>
          <cell r="D9126">
            <v>15000</v>
          </cell>
        </row>
        <row r="9127">
          <cell r="A9127">
            <v>45696</v>
          </cell>
          <cell r="B9127" t="str">
            <v>Gia Công Rau Củ Quả</v>
          </cell>
          <cell r="C9127" t="str">
            <v>Kg</v>
          </cell>
          <cell r="D9127">
            <v>1700</v>
          </cell>
        </row>
        <row r="9128">
          <cell r="A9128">
            <v>45696</v>
          </cell>
          <cell r="B9128" t="str">
            <v>Gia Công Rau Củ Quả</v>
          </cell>
          <cell r="C9128" t="str">
            <v>Kg</v>
          </cell>
          <cell r="D9128">
            <v>1700</v>
          </cell>
        </row>
        <row r="9129">
          <cell r="A9129">
            <v>45696</v>
          </cell>
          <cell r="B9129" t="str">
            <v>Gia Công Rau Củ Quả</v>
          </cell>
          <cell r="C9129" t="str">
            <v>Kg</v>
          </cell>
          <cell r="D9129">
            <v>1700</v>
          </cell>
        </row>
        <row r="9130">
          <cell r="A9130">
            <v>45696</v>
          </cell>
          <cell r="B9130" t="str">
            <v>Gia Công Rau Củ Quả</v>
          </cell>
          <cell r="C9130" t="str">
            <v>Kg</v>
          </cell>
          <cell r="D9130">
            <v>1000</v>
          </cell>
        </row>
        <row r="9131">
          <cell r="A9131">
            <v>45696</v>
          </cell>
          <cell r="B9131" t="str">
            <v>Gia Công Rau Củ Quả</v>
          </cell>
          <cell r="C9131" t="str">
            <v>Kg</v>
          </cell>
          <cell r="D9131">
            <v>700</v>
          </cell>
        </row>
        <row r="9132">
          <cell r="A9132">
            <v>45696</v>
          </cell>
          <cell r="B9132" t="str">
            <v>Trái Khổ Qua</v>
          </cell>
          <cell r="C9132" t="str">
            <v>Kg</v>
          </cell>
          <cell r="D9132">
            <v>10000</v>
          </cell>
        </row>
        <row r="9133">
          <cell r="A9133">
            <v>45696</v>
          </cell>
          <cell r="B9133" t="str">
            <v>Cà Rốt</v>
          </cell>
          <cell r="C9133" t="str">
            <v>Kg</v>
          </cell>
          <cell r="D9133">
            <v>8500</v>
          </cell>
        </row>
        <row r="9134">
          <cell r="A9134">
            <v>45696</v>
          </cell>
          <cell r="B9134" t="str">
            <v>Xà Lách Thủy Tinh T.C Cây</v>
          </cell>
          <cell r="C9134" t="str">
            <v>Cây</v>
          </cell>
          <cell r="D9134">
            <v>6500</v>
          </cell>
        </row>
        <row r="9135">
          <cell r="A9135">
            <v>45696</v>
          </cell>
          <cell r="B9135" t="str">
            <v>Củ Khoai Lang Nhật</v>
          </cell>
          <cell r="C9135" t="str">
            <v>Kg</v>
          </cell>
          <cell r="D9135">
            <v>16000</v>
          </cell>
        </row>
        <row r="9136">
          <cell r="A9136">
            <v>45696</v>
          </cell>
          <cell r="B9136" t="str">
            <v>Đậu Cove Nhật</v>
          </cell>
          <cell r="C9136" t="str">
            <v>Túi</v>
          </cell>
          <cell r="D9136">
            <v>6000</v>
          </cell>
        </row>
        <row r="9137">
          <cell r="A9137">
            <v>45696</v>
          </cell>
          <cell r="B9137" t="str">
            <v>Củ Cải Trắng</v>
          </cell>
          <cell r="C9137" t="str">
            <v>Kg</v>
          </cell>
          <cell r="D9137">
            <v>4500</v>
          </cell>
        </row>
        <row r="9138">
          <cell r="A9138">
            <v>45696</v>
          </cell>
          <cell r="B9138" t="str">
            <v>Cà Rốt</v>
          </cell>
          <cell r="C9138" t="str">
            <v>Kg</v>
          </cell>
          <cell r="D9138">
            <v>9000</v>
          </cell>
        </row>
        <row r="9139">
          <cell r="A9139">
            <v>45696</v>
          </cell>
          <cell r="B9139" t="str">
            <v>Bí Đỏ Tròn</v>
          </cell>
          <cell r="C9139" t="str">
            <v>Kg</v>
          </cell>
          <cell r="D9139">
            <v>12000</v>
          </cell>
        </row>
        <row r="9140">
          <cell r="A9140">
            <v>45696</v>
          </cell>
          <cell r="B9140" t="str">
            <v>Bắp Cải Trắng</v>
          </cell>
          <cell r="C9140" t="str">
            <v>Kg</v>
          </cell>
          <cell r="D9140">
            <v>5500</v>
          </cell>
        </row>
        <row r="9141">
          <cell r="A9141">
            <v>45696</v>
          </cell>
          <cell r="B9141" t="str">
            <v>Cà Rốt</v>
          </cell>
          <cell r="C9141" t="str">
            <v>Kg</v>
          </cell>
          <cell r="D9141">
            <v>9000</v>
          </cell>
        </row>
        <row r="9142">
          <cell r="A9142">
            <v>45696</v>
          </cell>
          <cell r="B9142" t="str">
            <v>Củ Su Hào</v>
          </cell>
          <cell r="C9142" t="str">
            <v>Kg</v>
          </cell>
          <cell r="D9142">
            <v>9000</v>
          </cell>
        </row>
        <row r="9143">
          <cell r="A9143">
            <v>45696</v>
          </cell>
          <cell r="B9143" t="str">
            <v>Xà Lách Mỡ T.C</v>
          </cell>
          <cell r="C9143" t="str">
            <v>Kg</v>
          </cell>
          <cell r="D9143">
            <v>24000</v>
          </cell>
        </row>
        <row r="9144">
          <cell r="A9144">
            <v>45696</v>
          </cell>
          <cell r="B9144" t="str">
            <v>Xà Lách Lolo Xanh T.C</v>
          </cell>
          <cell r="C9144" t="str">
            <v>Kg</v>
          </cell>
          <cell r="D9144">
            <v>25000</v>
          </cell>
        </row>
        <row r="9145">
          <cell r="A9145">
            <v>45696</v>
          </cell>
          <cell r="B9145" t="str">
            <v>Củ Cải Trắng</v>
          </cell>
          <cell r="C9145" t="str">
            <v>Kg</v>
          </cell>
          <cell r="D9145">
            <v>5000</v>
          </cell>
        </row>
        <row r="9146">
          <cell r="A9146">
            <v>45696</v>
          </cell>
          <cell r="B9146" t="str">
            <v>Củ Khoai Lang Nhật</v>
          </cell>
          <cell r="C9146" t="str">
            <v>Kg</v>
          </cell>
          <cell r="D9146">
            <v>17255</v>
          </cell>
        </row>
        <row r="9147">
          <cell r="A9147">
            <v>45696</v>
          </cell>
          <cell r="B9147" t="str">
            <v>Rau Bầu Đất</v>
          </cell>
          <cell r="C9147" t="str">
            <v>Kg</v>
          </cell>
          <cell r="D9147">
            <v>35000</v>
          </cell>
        </row>
        <row r="9148">
          <cell r="A9148">
            <v>45696</v>
          </cell>
          <cell r="B9148" t="str">
            <v>Xà Lách Lolo Xanh T.C Cây</v>
          </cell>
          <cell r="C9148" t="str">
            <v>Cây</v>
          </cell>
          <cell r="D9148">
            <v>6800</v>
          </cell>
        </row>
        <row r="9149">
          <cell r="A9149">
            <v>45696</v>
          </cell>
          <cell r="B9149" t="str">
            <v>Xà Lách Thủy Tinh T.C Cây</v>
          </cell>
          <cell r="C9149" t="str">
            <v>Cây</v>
          </cell>
          <cell r="D9149">
            <v>6800</v>
          </cell>
        </row>
        <row r="9150">
          <cell r="A9150">
            <v>45696</v>
          </cell>
          <cell r="B9150" t="str">
            <v>Xà Lách Thủy Tinh T.C</v>
          </cell>
          <cell r="C9150" t="str">
            <v>Kg</v>
          </cell>
          <cell r="D9150">
            <v>30000</v>
          </cell>
        </row>
        <row r="9151">
          <cell r="A9151">
            <v>45696</v>
          </cell>
          <cell r="B9151" t="str">
            <v>Xà Lách Lolo Xanh T.C Cây</v>
          </cell>
          <cell r="C9151" t="str">
            <v>Cây</v>
          </cell>
          <cell r="D9151">
            <v>6800</v>
          </cell>
        </row>
        <row r="9152">
          <cell r="A9152">
            <v>45696</v>
          </cell>
          <cell r="B9152" t="str">
            <v>Xà Lách Mỡ T.C Cây</v>
          </cell>
          <cell r="C9152" t="str">
            <v>Cây</v>
          </cell>
          <cell r="D9152">
            <v>6800</v>
          </cell>
        </row>
        <row r="9153">
          <cell r="A9153">
            <v>45696</v>
          </cell>
          <cell r="B9153" t="str">
            <v>Xà Lách Mỡ T.C</v>
          </cell>
          <cell r="C9153" t="str">
            <v>Kg</v>
          </cell>
          <cell r="D9153">
            <v>28000</v>
          </cell>
        </row>
        <row r="9154">
          <cell r="A9154">
            <v>45696</v>
          </cell>
          <cell r="B9154" t="str">
            <v>Xà Lách Thủy Tinh T.C Cây</v>
          </cell>
          <cell r="C9154" t="str">
            <v>Cây</v>
          </cell>
          <cell r="D9154">
            <v>6800</v>
          </cell>
        </row>
        <row r="9155">
          <cell r="A9155">
            <v>45696</v>
          </cell>
          <cell r="B9155" t="str">
            <v>Bí Ngòi Xanh</v>
          </cell>
          <cell r="C9155" t="str">
            <v>Kg</v>
          </cell>
          <cell r="D9155">
            <v>17000</v>
          </cell>
        </row>
        <row r="9156">
          <cell r="A9156">
            <v>45696</v>
          </cell>
          <cell r="B9156" t="str">
            <v>Hành Paro</v>
          </cell>
          <cell r="C9156" t="str">
            <v>Kg</v>
          </cell>
          <cell r="D9156">
            <v>12000</v>
          </cell>
        </row>
        <row r="9157">
          <cell r="A9157">
            <v>45696</v>
          </cell>
          <cell r="B9157" t="str">
            <v>Rau Ngò Rí</v>
          </cell>
          <cell r="C9157" t="str">
            <v>Kg</v>
          </cell>
          <cell r="D9157">
            <v>35000</v>
          </cell>
        </row>
        <row r="9158">
          <cell r="A9158">
            <v>45696</v>
          </cell>
          <cell r="B9158" t="str">
            <v>Ớt Sweet Palemo</v>
          </cell>
          <cell r="C9158" t="str">
            <v>Túi</v>
          </cell>
          <cell r="D9158">
            <v>18000</v>
          </cell>
        </row>
        <row r="9159">
          <cell r="A9159">
            <v>45696</v>
          </cell>
          <cell r="B9159" t="str">
            <v>Xà Lách Lolo Xanh</v>
          </cell>
          <cell r="C9159" t="str">
            <v>Kg</v>
          </cell>
          <cell r="D9159">
            <v>13000</v>
          </cell>
        </row>
        <row r="9160">
          <cell r="A9160">
            <v>45696</v>
          </cell>
          <cell r="B9160" t="str">
            <v>Bông Cải Xanh 7Cm</v>
          </cell>
          <cell r="C9160" t="str">
            <v>Kg</v>
          </cell>
          <cell r="D9160">
            <v>20000</v>
          </cell>
        </row>
        <row r="9161">
          <cell r="A9161">
            <v>45696</v>
          </cell>
          <cell r="B9161" t="str">
            <v>Bông Cải Xanh 12Cm</v>
          </cell>
          <cell r="C9161" t="str">
            <v>Kg</v>
          </cell>
          <cell r="D9161">
            <v>17000</v>
          </cell>
        </row>
        <row r="9162">
          <cell r="A9162">
            <v>45696</v>
          </cell>
          <cell r="B9162" t="str">
            <v>Củ Khoai Lang Mật Size 23</v>
          </cell>
          <cell r="C9162" t="str">
            <v>Kg</v>
          </cell>
          <cell r="D9162">
            <v>26500</v>
          </cell>
        </row>
        <row r="9163">
          <cell r="A9163">
            <v>45696</v>
          </cell>
          <cell r="B9163" t="str">
            <v>Củ Hành Tây</v>
          </cell>
          <cell r="C9163" t="str">
            <v>Kg</v>
          </cell>
          <cell r="D9163">
            <v>9000</v>
          </cell>
        </row>
        <row r="9164">
          <cell r="A9164">
            <v>45696</v>
          </cell>
          <cell r="B9164" t="str">
            <v>Củ Hành Tây Trung</v>
          </cell>
          <cell r="C9164" t="str">
            <v>Kg</v>
          </cell>
          <cell r="D9164">
            <v>6500</v>
          </cell>
        </row>
        <row r="9165">
          <cell r="A9165">
            <v>45696</v>
          </cell>
          <cell r="B9165" t="str">
            <v>Bí Ngòi Xanh</v>
          </cell>
          <cell r="C9165" t="str">
            <v>Kg</v>
          </cell>
          <cell r="D9165">
            <v>9000</v>
          </cell>
        </row>
        <row r="9166">
          <cell r="A9166">
            <v>45696</v>
          </cell>
          <cell r="B9166" t="str">
            <v>Trái Su Su</v>
          </cell>
          <cell r="C9166" t="str">
            <v>Kg</v>
          </cell>
          <cell r="D9166">
            <v>4000</v>
          </cell>
        </row>
        <row r="9167">
          <cell r="A9167">
            <v>45696</v>
          </cell>
          <cell r="B9167" t="str">
            <v>Trái Su Su</v>
          </cell>
          <cell r="C9167" t="str">
            <v>Kg</v>
          </cell>
          <cell r="D9167">
            <v>4000</v>
          </cell>
        </row>
        <row r="9168">
          <cell r="A9168">
            <v>45696</v>
          </cell>
          <cell r="B9168" t="str">
            <v>Đậu Cove Trắng</v>
          </cell>
          <cell r="C9168" t="str">
            <v>Kg</v>
          </cell>
          <cell r="D9168">
            <v>11000</v>
          </cell>
        </row>
        <row r="9169">
          <cell r="A9169">
            <v>45696</v>
          </cell>
          <cell r="B9169" t="str">
            <v>Cà Chua Socola</v>
          </cell>
          <cell r="C9169" t="str">
            <v>Kg</v>
          </cell>
          <cell r="D9169">
            <v>20000</v>
          </cell>
        </row>
        <row r="9170">
          <cell r="A9170">
            <v>45696</v>
          </cell>
          <cell r="B9170" t="str">
            <v>Dưa Leo Baby</v>
          </cell>
          <cell r="C9170" t="str">
            <v>Kg</v>
          </cell>
          <cell r="D9170">
            <v>7000</v>
          </cell>
        </row>
        <row r="9171">
          <cell r="A9171">
            <v>45696</v>
          </cell>
          <cell r="B9171" t="str">
            <v>Dưa Leo Baby</v>
          </cell>
          <cell r="C9171" t="str">
            <v>Kg</v>
          </cell>
          <cell r="D9171">
            <v>9500</v>
          </cell>
        </row>
        <row r="9172">
          <cell r="A9172">
            <v>45696</v>
          </cell>
          <cell r="B9172" t="str">
            <v>Cần Tây</v>
          </cell>
          <cell r="C9172" t="str">
            <v>Kg</v>
          </cell>
          <cell r="D9172">
            <v>15000</v>
          </cell>
        </row>
        <row r="9173">
          <cell r="A9173">
            <v>45696</v>
          </cell>
          <cell r="B9173" t="str">
            <v>Ớt Sweet Palemo</v>
          </cell>
          <cell r="C9173" t="str">
            <v>Túi</v>
          </cell>
          <cell r="D9173">
            <v>17000</v>
          </cell>
        </row>
        <row r="9174">
          <cell r="A9174">
            <v>45696</v>
          </cell>
          <cell r="B9174" t="str">
            <v>Hành Paro</v>
          </cell>
          <cell r="C9174" t="str">
            <v>Kg</v>
          </cell>
          <cell r="D9174">
            <v>11000</v>
          </cell>
        </row>
        <row r="9175">
          <cell r="A9175">
            <v>45696</v>
          </cell>
          <cell r="B9175" t="str">
            <v>Bông Cải Xanh 12Cm</v>
          </cell>
          <cell r="C9175" t="str">
            <v>Kg</v>
          </cell>
          <cell r="D9175">
            <v>10000</v>
          </cell>
        </row>
        <row r="9176">
          <cell r="A9176">
            <v>45696</v>
          </cell>
          <cell r="B9176" t="str">
            <v>Bông Cải Xanh 12Cm</v>
          </cell>
          <cell r="C9176" t="str">
            <v>Kg</v>
          </cell>
          <cell r="D9176">
            <v>9000</v>
          </cell>
        </row>
        <row r="9177">
          <cell r="A9177">
            <v>45696</v>
          </cell>
          <cell r="B9177" t="str">
            <v>Củ Dền</v>
          </cell>
          <cell r="C9177" t="str">
            <v>Kg</v>
          </cell>
          <cell r="D9177">
            <v>10000</v>
          </cell>
        </row>
        <row r="9178">
          <cell r="A9178">
            <v>45696</v>
          </cell>
          <cell r="B9178" t="str">
            <v>Bông Cải Xanh 7Cm</v>
          </cell>
          <cell r="C9178" t="str">
            <v>Kg</v>
          </cell>
          <cell r="D9178">
            <v>20000</v>
          </cell>
        </row>
        <row r="9179">
          <cell r="A9179">
            <v>45696</v>
          </cell>
          <cell r="B9179" t="str">
            <v>Cải Thảo Hỏa Tiễn</v>
          </cell>
          <cell r="C9179" t="str">
            <v>Kg</v>
          </cell>
          <cell r="D9179">
            <v>14000</v>
          </cell>
        </row>
        <row r="9180">
          <cell r="A9180">
            <v>45696</v>
          </cell>
          <cell r="B9180" t="str">
            <v>Bông Cải Xanh 7Cm</v>
          </cell>
          <cell r="C9180" t="str">
            <v>Kg</v>
          </cell>
          <cell r="D9180">
            <v>20000</v>
          </cell>
        </row>
        <row r="9181">
          <cell r="A9181">
            <v>45696</v>
          </cell>
          <cell r="B9181" t="str">
            <v>Bông Cải Trắng</v>
          </cell>
          <cell r="C9181" t="str">
            <v>Kg</v>
          </cell>
          <cell r="D9181">
            <v>10000</v>
          </cell>
        </row>
        <row r="9182">
          <cell r="A9182">
            <v>45696</v>
          </cell>
          <cell r="B9182" t="str">
            <v>Trái Mít Thái</v>
          </cell>
          <cell r="C9182" t="str">
            <v>Kg</v>
          </cell>
          <cell r="D9182">
            <v>20125</v>
          </cell>
        </row>
        <row r="9183">
          <cell r="A9183">
            <v>45696</v>
          </cell>
          <cell r="B9183" t="str">
            <v>Bông Cải Xanh 7Cm</v>
          </cell>
          <cell r="C9183" t="str">
            <v>Kg</v>
          </cell>
          <cell r="D9183">
            <v>22000</v>
          </cell>
        </row>
        <row r="9184">
          <cell r="A9184">
            <v>45696</v>
          </cell>
          <cell r="B9184" t="str">
            <v>Cần Tây</v>
          </cell>
          <cell r="C9184" t="str">
            <v>Kg</v>
          </cell>
          <cell r="D9184">
            <v>14000</v>
          </cell>
        </row>
        <row r="9185">
          <cell r="A9185">
            <v>45696</v>
          </cell>
          <cell r="B9185" t="str">
            <v>Bắp Cải Tím</v>
          </cell>
          <cell r="C9185" t="str">
            <v>Kg</v>
          </cell>
          <cell r="D9185">
            <v>17000</v>
          </cell>
        </row>
        <row r="9186">
          <cell r="A9186">
            <v>45696</v>
          </cell>
          <cell r="B9186" t="str">
            <v>Cần Tây</v>
          </cell>
          <cell r="C9186" t="str">
            <v>Kg</v>
          </cell>
          <cell r="D9186">
            <v>16000</v>
          </cell>
        </row>
        <row r="9187">
          <cell r="A9187">
            <v>45696</v>
          </cell>
          <cell r="B9187" t="str">
            <v>Cải Bó Xôi</v>
          </cell>
          <cell r="C9187" t="str">
            <v>Kg</v>
          </cell>
          <cell r="D9187">
            <v>14000</v>
          </cell>
        </row>
        <row r="9188">
          <cell r="A9188">
            <v>45696</v>
          </cell>
          <cell r="B9188" t="str">
            <v>Cà Chua Socola</v>
          </cell>
          <cell r="C9188" t="str">
            <v>Hộp 250GR</v>
          </cell>
          <cell r="D9188">
            <v>7500</v>
          </cell>
        </row>
        <row r="9189">
          <cell r="A9189">
            <v>45696</v>
          </cell>
          <cell r="B9189" t="str">
            <v>Dưa Leo Baby</v>
          </cell>
          <cell r="C9189" t="str">
            <v>Vỉ</v>
          </cell>
          <cell r="D9189">
            <v>6500</v>
          </cell>
        </row>
        <row r="9190">
          <cell r="A9190">
            <v>45696</v>
          </cell>
          <cell r="B9190" t="str">
            <v>Cần Tây</v>
          </cell>
          <cell r="C9190" t="str">
            <v>Kg</v>
          </cell>
          <cell r="D9190">
            <v>17000</v>
          </cell>
        </row>
        <row r="9191">
          <cell r="A9191">
            <v>45696</v>
          </cell>
          <cell r="B9191" t="str">
            <v>Bông Cải Xanh 7Cm</v>
          </cell>
          <cell r="C9191" t="str">
            <v>Kg</v>
          </cell>
          <cell r="D9191">
            <v>20000</v>
          </cell>
        </row>
        <row r="9192">
          <cell r="A9192">
            <v>45696</v>
          </cell>
          <cell r="B9192" t="str">
            <v>Bông Cải Xanh 12Cm</v>
          </cell>
          <cell r="C9192" t="str">
            <v>Kg</v>
          </cell>
          <cell r="D9192">
            <v>12000</v>
          </cell>
        </row>
        <row r="9193">
          <cell r="A9193">
            <v>45696</v>
          </cell>
          <cell r="B9193" t="str">
            <v>Cải Bó Xôi</v>
          </cell>
          <cell r="C9193" t="str">
            <v>Túi</v>
          </cell>
          <cell r="D9193">
            <v>6000</v>
          </cell>
        </row>
        <row r="9194">
          <cell r="A9194">
            <v>45696</v>
          </cell>
          <cell r="B9194" t="str">
            <v>Cải Bó Xôi</v>
          </cell>
          <cell r="C9194" t="str">
            <v>Kg</v>
          </cell>
          <cell r="D9194">
            <v>17000</v>
          </cell>
        </row>
        <row r="9195">
          <cell r="A9195">
            <v>45696</v>
          </cell>
          <cell r="B9195" t="str">
            <v>Cà Chua Beef</v>
          </cell>
          <cell r="C9195" t="str">
            <v>Vỉ 650gr</v>
          </cell>
          <cell r="D9195">
            <v>11050</v>
          </cell>
        </row>
        <row r="9196">
          <cell r="A9196">
            <v>45696</v>
          </cell>
          <cell r="B9196" t="str">
            <v>Cà Chua Beef Trung</v>
          </cell>
          <cell r="C9196" t="str">
            <v>Vỉ 500gr</v>
          </cell>
          <cell r="D9196">
            <v>7000</v>
          </cell>
        </row>
        <row r="9197">
          <cell r="A9197">
            <v>45696</v>
          </cell>
          <cell r="B9197" t="str">
            <v>Cà Chua Beef Trung</v>
          </cell>
          <cell r="C9197" t="str">
            <v>Kg</v>
          </cell>
          <cell r="D9197">
            <v>12000</v>
          </cell>
        </row>
        <row r="9198">
          <cell r="A9198">
            <v>45696</v>
          </cell>
          <cell r="B9198" t="str">
            <v>Cà Chua Bi Mix</v>
          </cell>
          <cell r="C9198" t="str">
            <v>Hộp</v>
          </cell>
          <cell r="D9198">
            <v>11100</v>
          </cell>
        </row>
        <row r="9199">
          <cell r="A9199">
            <v>45696</v>
          </cell>
          <cell r="B9199" t="str">
            <v>Cải Kale</v>
          </cell>
          <cell r="C9199" t="str">
            <v>Túi</v>
          </cell>
          <cell r="D9199">
            <v>4200</v>
          </cell>
        </row>
        <row r="9200">
          <cell r="A9200">
            <v>45696</v>
          </cell>
          <cell r="B9200" t="str">
            <v>Chanh Không Hạt</v>
          </cell>
          <cell r="C9200" t="str">
            <v>Vỉ</v>
          </cell>
          <cell r="D9200">
            <v>7500</v>
          </cell>
        </row>
        <row r="9201">
          <cell r="A9201">
            <v>45696</v>
          </cell>
          <cell r="B9201" t="str">
            <v>CT - BÍ NGÒI XANH</v>
          </cell>
          <cell r="C9201" t="str">
            <v>Kg</v>
          </cell>
          <cell r="D9201">
            <v>15000</v>
          </cell>
        </row>
        <row r="9202">
          <cell r="A9202">
            <v>45696</v>
          </cell>
          <cell r="B9202" t="str">
            <v>Cải Thảo</v>
          </cell>
          <cell r="C9202" t="str">
            <v>Kg</v>
          </cell>
          <cell r="D9202">
            <v>4500</v>
          </cell>
        </row>
        <row r="9203">
          <cell r="A9203">
            <v>45696</v>
          </cell>
          <cell r="B9203" t="str">
            <v>Bắp Cải Trắng</v>
          </cell>
          <cell r="C9203" t="str">
            <v>Kg</v>
          </cell>
          <cell r="D9203">
            <v>6000</v>
          </cell>
        </row>
        <row r="9204">
          <cell r="A9204">
            <v>45696</v>
          </cell>
          <cell r="B9204" t="str">
            <v>Bí Ngô Mini</v>
          </cell>
          <cell r="C9204" t="str">
            <v>Kg</v>
          </cell>
          <cell r="D9204">
            <v>65000</v>
          </cell>
        </row>
        <row r="9205">
          <cell r="A9205">
            <v>45696</v>
          </cell>
          <cell r="B9205" t="str">
            <v>Cà Tím Sọc Pha Lê</v>
          </cell>
          <cell r="C9205" t="str">
            <v>Kg</v>
          </cell>
          <cell r="D9205">
            <v>18000</v>
          </cell>
        </row>
        <row r="9206">
          <cell r="A9206">
            <v>45696</v>
          </cell>
          <cell r="B9206" t="str">
            <v>Xà Lách Mỹ</v>
          </cell>
          <cell r="C9206" t="str">
            <v>Kg</v>
          </cell>
          <cell r="D9206">
            <v>18000</v>
          </cell>
        </row>
        <row r="9207">
          <cell r="A9207">
            <v>45696</v>
          </cell>
          <cell r="B9207" t="str">
            <v>Ớt Chuông Đỏ</v>
          </cell>
          <cell r="C9207" t="str">
            <v>Kg</v>
          </cell>
          <cell r="D9207">
            <v>47000</v>
          </cell>
        </row>
        <row r="9208">
          <cell r="A9208">
            <v>45696</v>
          </cell>
          <cell r="B9208" t="str">
            <v>Ớt Chuông Vàng</v>
          </cell>
          <cell r="C9208" t="str">
            <v>Kg</v>
          </cell>
          <cell r="D9208">
            <v>47000</v>
          </cell>
        </row>
        <row r="9209">
          <cell r="A9209">
            <v>45696</v>
          </cell>
          <cell r="B9209" t="str">
            <v>Cà Chua Bi Đỏ</v>
          </cell>
          <cell r="C9209" t="str">
            <v>Hộp 300gr</v>
          </cell>
          <cell r="D9209">
            <v>5400</v>
          </cell>
        </row>
        <row r="9210">
          <cell r="A9210">
            <v>45696</v>
          </cell>
          <cell r="B9210" t="str">
            <v>Ớt Chuông Đỏ</v>
          </cell>
          <cell r="C9210" t="str">
            <v>Kg</v>
          </cell>
          <cell r="D9210">
            <v>60000</v>
          </cell>
        </row>
        <row r="9211">
          <cell r="A9211">
            <v>45696</v>
          </cell>
          <cell r="B9211" t="str">
            <v>Ớt Chuông Vàng</v>
          </cell>
          <cell r="C9211" t="str">
            <v>Kg</v>
          </cell>
          <cell r="D9211">
            <v>60000</v>
          </cell>
        </row>
        <row r="9212">
          <cell r="A9212">
            <v>45696</v>
          </cell>
          <cell r="B9212" t="str">
            <v>Ớt Chuông Xanh</v>
          </cell>
          <cell r="C9212" t="str">
            <v>Kg</v>
          </cell>
          <cell r="D9212">
            <v>30000</v>
          </cell>
        </row>
        <row r="9213">
          <cell r="A9213">
            <v>45696</v>
          </cell>
          <cell r="B9213" t="str">
            <v>Ớt Chuông Baby</v>
          </cell>
          <cell r="C9213" t="str">
            <v>Kg</v>
          </cell>
          <cell r="D9213">
            <v>50000</v>
          </cell>
        </row>
        <row r="9214">
          <cell r="A9214">
            <v>45696</v>
          </cell>
          <cell r="B9214" t="str">
            <v>Ớt Chuông Snack</v>
          </cell>
          <cell r="C9214" t="str">
            <v>Kg</v>
          </cell>
          <cell r="D9214">
            <v>60000</v>
          </cell>
        </row>
        <row r="9215">
          <cell r="A9215">
            <v>45696</v>
          </cell>
          <cell r="B9215" t="str">
            <v>Dưa Leo Baby</v>
          </cell>
          <cell r="C9215" t="str">
            <v>Vỉ</v>
          </cell>
          <cell r="D9215">
            <v>6500</v>
          </cell>
        </row>
        <row r="9216">
          <cell r="A9216">
            <v>45696</v>
          </cell>
          <cell r="B9216" t="str">
            <v>Dưa Leo Baby</v>
          </cell>
          <cell r="C9216" t="str">
            <v>Vỉ</v>
          </cell>
          <cell r="D9216">
            <v>6300</v>
          </cell>
        </row>
        <row r="9217">
          <cell r="A9217">
            <v>45696</v>
          </cell>
          <cell r="B9217" t="str">
            <v>Bí Non Nhật</v>
          </cell>
          <cell r="C9217" t="str">
            <v>Kg</v>
          </cell>
          <cell r="D9217">
            <v>13000</v>
          </cell>
        </row>
        <row r="9218">
          <cell r="A9218">
            <v>45696</v>
          </cell>
          <cell r="B9218" t="str">
            <v>Dưa Leo Nhật</v>
          </cell>
          <cell r="C9218" t="str">
            <v>Kg</v>
          </cell>
          <cell r="D9218">
            <v>12000</v>
          </cell>
        </row>
        <row r="9219">
          <cell r="A9219">
            <v>45696</v>
          </cell>
          <cell r="B9219" t="str">
            <v>Dưa Leo Thường</v>
          </cell>
          <cell r="C9219" t="str">
            <v>Kg</v>
          </cell>
          <cell r="D9219">
            <v>15000</v>
          </cell>
        </row>
        <row r="9220">
          <cell r="A9220">
            <v>45696</v>
          </cell>
          <cell r="B9220" t="str">
            <v>Dưa Leo Baby</v>
          </cell>
          <cell r="C9220" t="str">
            <v>Vỉ</v>
          </cell>
          <cell r="D9220">
            <v>6000</v>
          </cell>
        </row>
        <row r="9221">
          <cell r="A9221">
            <v>45696</v>
          </cell>
          <cell r="B9221" t="str">
            <v>Bắp Cải Trái Tim</v>
          </cell>
          <cell r="C9221" t="str">
            <v>Kg</v>
          </cell>
          <cell r="D9221">
            <v>6000</v>
          </cell>
        </row>
        <row r="9222">
          <cell r="A9222">
            <v>45696</v>
          </cell>
          <cell r="B9222" t="str">
            <v>Măng Tây</v>
          </cell>
          <cell r="C9222" t="str">
            <v>Kg</v>
          </cell>
          <cell r="D9222">
            <v>53000</v>
          </cell>
        </row>
        <row r="9223">
          <cell r="A9223">
            <v>45696</v>
          </cell>
          <cell r="B9223" t="str">
            <v>Măng Tây</v>
          </cell>
          <cell r="C9223" t="str">
            <v>Kg</v>
          </cell>
          <cell r="D9223">
            <v>40000</v>
          </cell>
        </row>
        <row r="9224">
          <cell r="A9224">
            <v>45696</v>
          </cell>
          <cell r="B9224" t="str">
            <v>Lá É</v>
          </cell>
          <cell r="C9224" t="str">
            <v>Kg</v>
          </cell>
          <cell r="D9224">
            <v>25000</v>
          </cell>
        </row>
        <row r="9225">
          <cell r="A9225">
            <v>45696</v>
          </cell>
          <cell r="B9225" t="str">
            <v>Củ Gừng</v>
          </cell>
          <cell r="C9225" t="str">
            <v>Kg</v>
          </cell>
          <cell r="D9225">
            <v>18000</v>
          </cell>
        </row>
        <row r="9226">
          <cell r="A9226">
            <v>45696</v>
          </cell>
          <cell r="B9226" t="str">
            <v>Cà Tím</v>
          </cell>
          <cell r="C9226" t="str">
            <v>Kg</v>
          </cell>
          <cell r="D9226">
            <v>8000</v>
          </cell>
        </row>
        <row r="9227">
          <cell r="A9227">
            <v>45696</v>
          </cell>
          <cell r="B9227" t="str">
            <v>Trái Su Su</v>
          </cell>
          <cell r="C9227" t="str">
            <v>Kg</v>
          </cell>
          <cell r="D9227">
            <v>8000</v>
          </cell>
        </row>
        <row r="9228">
          <cell r="A9228">
            <v>45696</v>
          </cell>
          <cell r="B9228" t="str">
            <v>Xà Lách Mỡ T.C</v>
          </cell>
          <cell r="C9228" t="str">
            <v>Kg</v>
          </cell>
          <cell r="D9228">
            <v>26000</v>
          </cell>
        </row>
        <row r="9229">
          <cell r="A9229">
            <v>45696</v>
          </cell>
          <cell r="B9229" t="str">
            <v>Xà Lách Lolo Xanh T.C</v>
          </cell>
          <cell r="C9229" t="str">
            <v>Kg</v>
          </cell>
          <cell r="D9229">
            <v>26000</v>
          </cell>
        </row>
        <row r="9230">
          <cell r="A9230">
            <v>45696</v>
          </cell>
          <cell r="B9230" t="str">
            <v>Xà Lách Thủy Tinh T.C Cây</v>
          </cell>
          <cell r="C9230" t="str">
            <v>Cây</v>
          </cell>
          <cell r="D9230">
            <v>7500</v>
          </cell>
        </row>
        <row r="9231">
          <cell r="A9231">
            <v>45696</v>
          </cell>
          <cell r="B9231" t="str">
            <v>Cà Chua Thường</v>
          </cell>
          <cell r="C9231" t="str">
            <v>Kg</v>
          </cell>
          <cell r="D9231">
            <v>17000</v>
          </cell>
        </row>
        <row r="9232">
          <cell r="A9232">
            <v>45696</v>
          </cell>
          <cell r="B9232" t="str">
            <v>Cà Chua Thường Trung</v>
          </cell>
          <cell r="C9232" t="str">
            <v>Kg</v>
          </cell>
          <cell r="D9232">
            <v>12000</v>
          </cell>
        </row>
        <row r="9233">
          <cell r="A9233">
            <v>45696</v>
          </cell>
          <cell r="B9233" t="str">
            <v>Cà Chua Beef</v>
          </cell>
          <cell r="C9233" t="str">
            <v>Kg</v>
          </cell>
          <cell r="D9233">
            <v>12000</v>
          </cell>
        </row>
        <row r="9234">
          <cell r="A9234">
            <v>45696</v>
          </cell>
          <cell r="B9234" t="str">
            <v>Cải Kale</v>
          </cell>
          <cell r="C9234" t="str">
            <v>Túi</v>
          </cell>
          <cell r="D9234">
            <v>3900</v>
          </cell>
        </row>
        <row r="9235">
          <cell r="A9235">
            <v>45696</v>
          </cell>
          <cell r="B9235" t="str">
            <v>Lá Mè</v>
          </cell>
          <cell r="C9235" t="str">
            <v>Túi</v>
          </cell>
          <cell r="D9235">
            <v>2900</v>
          </cell>
        </row>
        <row r="9236">
          <cell r="A9236">
            <v>45696</v>
          </cell>
          <cell r="B9236" t="str">
            <v>Tem dán VR 50*50MM</v>
          </cell>
          <cell r="C9236" t="str">
            <v>Cái</v>
          </cell>
          <cell r="D9236">
            <v>50</v>
          </cell>
        </row>
        <row r="9237">
          <cell r="A9237">
            <v>45696</v>
          </cell>
          <cell r="B9237" t="str">
            <v>Bông Cải Xanh Baby</v>
          </cell>
          <cell r="C9237" t="str">
            <v>Vỉ</v>
          </cell>
          <cell r="D9237">
            <v>5000</v>
          </cell>
        </row>
        <row r="9238">
          <cell r="A9238">
            <v>45696</v>
          </cell>
          <cell r="B9238" t="str">
            <v>Xà Lách Lolo Xanh</v>
          </cell>
          <cell r="C9238" t="str">
            <v>Kg</v>
          </cell>
          <cell r="D9238">
            <v>9000</v>
          </cell>
        </row>
        <row r="9239">
          <cell r="A9239">
            <v>45696</v>
          </cell>
          <cell r="B9239" t="str">
            <v>Xà Lách Lolo Xanh</v>
          </cell>
          <cell r="C9239" t="str">
            <v>Kg</v>
          </cell>
          <cell r="D9239">
            <v>12000</v>
          </cell>
        </row>
        <row r="9240">
          <cell r="A9240">
            <v>45696</v>
          </cell>
          <cell r="B9240" t="str">
            <v>Ớt Sweet Palemo</v>
          </cell>
          <cell r="C9240" t="str">
            <v>Túi</v>
          </cell>
          <cell r="D9240">
            <v>18000</v>
          </cell>
        </row>
        <row r="9241">
          <cell r="A9241">
            <v>45696</v>
          </cell>
          <cell r="B9241" t="str">
            <v>Xà Lách Rocket</v>
          </cell>
          <cell r="C9241" t="str">
            <v>Kg</v>
          </cell>
          <cell r="D9241">
            <v>70000</v>
          </cell>
        </row>
        <row r="9242">
          <cell r="A9242">
            <v>45696</v>
          </cell>
          <cell r="B9242" t="str">
            <v>Cà Chua Beef Trung</v>
          </cell>
          <cell r="C9242" t="str">
            <v>Vỉ 500gr</v>
          </cell>
          <cell r="D9242">
            <v>6500</v>
          </cell>
        </row>
        <row r="9243">
          <cell r="A9243">
            <v>45696</v>
          </cell>
          <cell r="B9243" t="str">
            <v>Củ Cải Đỏ</v>
          </cell>
          <cell r="C9243" t="str">
            <v>Hộp</v>
          </cell>
          <cell r="D9243">
            <v>10000</v>
          </cell>
        </row>
        <row r="9244">
          <cell r="A9244">
            <v>45696</v>
          </cell>
          <cell r="B9244" t="str">
            <v>Xà Lách Lolo Tím</v>
          </cell>
          <cell r="C9244" t="str">
            <v>Kg</v>
          </cell>
          <cell r="D9244">
            <v>18000</v>
          </cell>
        </row>
        <row r="9245">
          <cell r="A9245">
            <v>45696</v>
          </cell>
          <cell r="B9245" t="str">
            <v>Cà Rốt Baby</v>
          </cell>
          <cell r="C9245" t="str">
            <v>Vỉ</v>
          </cell>
          <cell r="D9245">
            <v>5000</v>
          </cell>
        </row>
        <row r="9246">
          <cell r="A9246">
            <v>45696</v>
          </cell>
          <cell r="B9246" t="str">
            <v>Cải Cầu Vồng</v>
          </cell>
          <cell r="C9246" t="str">
            <v>Túi</v>
          </cell>
          <cell r="D9246">
            <v>3000</v>
          </cell>
        </row>
        <row r="9247">
          <cell r="A9247">
            <v>45696</v>
          </cell>
          <cell r="B9247" t="str">
            <v>Cải Kale</v>
          </cell>
          <cell r="C9247" t="str">
            <v>Túi</v>
          </cell>
          <cell r="D9247">
            <v>3300</v>
          </cell>
        </row>
        <row r="9248">
          <cell r="A9248">
            <v>45696</v>
          </cell>
          <cell r="B9248" t="str">
            <v>Cải Kale</v>
          </cell>
          <cell r="C9248" t="str">
            <v>Túi 150gr</v>
          </cell>
          <cell r="D9248">
            <v>1900</v>
          </cell>
        </row>
        <row r="9249">
          <cell r="A9249">
            <v>45696</v>
          </cell>
          <cell r="B9249" t="str">
            <v>Lá Mè</v>
          </cell>
          <cell r="C9249" t="str">
            <v>Túi</v>
          </cell>
          <cell r="D9249">
            <v>3000</v>
          </cell>
        </row>
        <row r="9250">
          <cell r="A9250">
            <v>45696</v>
          </cell>
          <cell r="B9250" t="str">
            <v>Dưa Leo Baby</v>
          </cell>
          <cell r="C9250" t="str">
            <v>Vỉ</v>
          </cell>
          <cell r="D9250">
            <v>7000</v>
          </cell>
        </row>
        <row r="9251">
          <cell r="A9251">
            <v>45697</v>
          </cell>
          <cell r="B9251" t="str">
            <v>Xà Lách Mỡ T.C</v>
          </cell>
          <cell r="C9251" t="str">
            <v>Kg</v>
          </cell>
          <cell r="D9251">
            <v>28000</v>
          </cell>
        </row>
        <row r="9252">
          <cell r="A9252">
            <v>45697</v>
          </cell>
          <cell r="B9252" t="str">
            <v>Xà Lách Lolo Xanh T.C Cây</v>
          </cell>
          <cell r="C9252" t="str">
            <v>Cây</v>
          </cell>
          <cell r="D9252">
            <v>6800</v>
          </cell>
        </row>
        <row r="9253">
          <cell r="A9253">
            <v>45697</v>
          </cell>
          <cell r="B9253" t="str">
            <v>Xà Lách Thủy Tinh T.C Cây</v>
          </cell>
          <cell r="C9253" t="str">
            <v>Cây</v>
          </cell>
          <cell r="D9253">
            <v>6800</v>
          </cell>
        </row>
        <row r="9254">
          <cell r="A9254">
            <v>45697</v>
          </cell>
          <cell r="B9254" t="str">
            <v>Xà Lách Thủy Tinh T.C</v>
          </cell>
          <cell r="C9254" t="str">
            <v>Kg</v>
          </cell>
          <cell r="D9254">
            <v>30000</v>
          </cell>
        </row>
        <row r="9255">
          <cell r="A9255">
            <v>45697</v>
          </cell>
          <cell r="B9255" t="str">
            <v>Bí Ngòi Xanh</v>
          </cell>
          <cell r="C9255" t="str">
            <v>Kg</v>
          </cell>
          <cell r="D9255">
            <v>15000</v>
          </cell>
        </row>
        <row r="9256">
          <cell r="A9256">
            <v>45697</v>
          </cell>
          <cell r="B9256" t="str">
            <v>Lá Mè</v>
          </cell>
          <cell r="C9256" t="str">
            <v>Túi</v>
          </cell>
          <cell r="D9256">
            <v>2800</v>
          </cell>
        </row>
        <row r="9257">
          <cell r="A9257">
            <v>45697</v>
          </cell>
          <cell r="B9257" t="str">
            <v>Dưa Leo Nhật</v>
          </cell>
          <cell r="C9257" t="str">
            <v>Kg</v>
          </cell>
          <cell r="D9257">
            <v>12000</v>
          </cell>
        </row>
        <row r="9258">
          <cell r="A9258">
            <v>45697</v>
          </cell>
          <cell r="B9258" t="str">
            <v>Dưa Leo Thường</v>
          </cell>
          <cell r="C9258" t="str">
            <v>Kg</v>
          </cell>
          <cell r="D9258">
            <v>13000</v>
          </cell>
        </row>
        <row r="9259">
          <cell r="A9259">
            <v>45697</v>
          </cell>
          <cell r="B9259" t="str">
            <v>Đậu Cove Trắng</v>
          </cell>
          <cell r="C9259" t="str">
            <v>Túi 500gr</v>
          </cell>
          <cell r="D9259">
            <v>8500</v>
          </cell>
        </row>
        <row r="9260">
          <cell r="A9260">
            <v>45697</v>
          </cell>
          <cell r="B9260" t="str">
            <v>Dưa Leo Baby</v>
          </cell>
          <cell r="C9260" t="str">
            <v>Vỉ</v>
          </cell>
          <cell r="D9260">
            <v>7000</v>
          </cell>
        </row>
        <row r="9261">
          <cell r="A9261">
            <v>45697</v>
          </cell>
          <cell r="B9261" t="str">
            <v>Bí Non Nhật</v>
          </cell>
          <cell r="C9261" t="str">
            <v>Kg</v>
          </cell>
          <cell r="D9261">
            <v>15000</v>
          </cell>
        </row>
        <row r="9262">
          <cell r="A9262">
            <v>45697</v>
          </cell>
          <cell r="B9262" t="str">
            <v>Ớt Chuông Đỏ</v>
          </cell>
          <cell r="C9262" t="str">
            <v>Kg</v>
          </cell>
          <cell r="D9262">
            <v>60000</v>
          </cell>
        </row>
        <row r="9263">
          <cell r="A9263">
            <v>45697</v>
          </cell>
          <cell r="B9263" t="str">
            <v>Ớt Chuông Vàng</v>
          </cell>
          <cell r="C9263" t="str">
            <v>Kg</v>
          </cell>
          <cell r="D9263">
            <v>60000</v>
          </cell>
        </row>
        <row r="9264">
          <cell r="A9264">
            <v>45697</v>
          </cell>
          <cell r="B9264" t="str">
            <v>Ớt Chuông Xanh</v>
          </cell>
          <cell r="C9264" t="str">
            <v>Kg</v>
          </cell>
          <cell r="D9264">
            <v>30000</v>
          </cell>
        </row>
        <row r="9265">
          <cell r="A9265">
            <v>45697</v>
          </cell>
          <cell r="B9265" t="str">
            <v>Ớt Chuông Baby</v>
          </cell>
          <cell r="C9265" t="str">
            <v>Kg</v>
          </cell>
          <cell r="D9265">
            <v>50000</v>
          </cell>
        </row>
        <row r="9266">
          <cell r="A9266">
            <v>45697</v>
          </cell>
          <cell r="B9266" t="str">
            <v>Ớt Chuông Snack</v>
          </cell>
          <cell r="C9266" t="str">
            <v>Kg</v>
          </cell>
          <cell r="D9266">
            <v>60000</v>
          </cell>
        </row>
        <row r="9267">
          <cell r="A9267">
            <v>45697</v>
          </cell>
          <cell r="B9267" t="str">
            <v>Bắp Cải Trắng</v>
          </cell>
          <cell r="C9267" t="str">
            <v>Kg</v>
          </cell>
          <cell r="D9267">
            <v>6000</v>
          </cell>
        </row>
        <row r="9268">
          <cell r="A9268">
            <v>45697</v>
          </cell>
          <cell r="B9268" t="str">
            <v>Đậu Cove Nhật</v>
          </cell>
          <cell r="C9268" t="str">
            <v>Túi</v>
          </cell>
          <cell r="D9268">
            <v>6000</v>
          </cell>
        </row>
        <row r="9269">
          <cell r="A9269">
            <v>45697</v>
          </cell>
          <cell r="B9269" t="str">
            <v>Cà Chua Thường</v>
          </cell>
          <cell r="C9269" t="str">
            <v>Kg</v>
          </cell>
          <cell r="D9269">
            <v>16000</v>
          </cell>
        </row>
        <row r="9270">
          <cell r="A9270">
            <v>45697</v>
          </cell>
          <cell r="B9270" t="str">
            <v>Cải Bó Xôi</v>
          </cell>
          <cell r="C9270" t="str">
            <v>Kg</v>
          </cell>
          <cell r="D9270">
            <v>14000</v>
          </cell>
        </row>
        <row r="9271">
          <cell r="A9271">
            <v>45697</v>
          </cell>
          <cell r="B9271" t="str">
            <v>Củ Khoai Lang Nhật</v>
          </cell>
          <cell r="C9271" t="str">
            <v>Kg</v>
          </cell>
          <cell r="D9271">
            <v>17255</v>
          </cell>
        </row>
        <row r="9272">
          <cell r="A9272">
            <v>45697</v>
          </cell>
          <cell r="B9272" t="str">
            <v>Củ Khoai Lang Nhật Baby</v>
          </cell>
          <cell r="C9272" t="str">
            <v>Kg</v>
          </cell>
          <cell r="D9272">
            <v>15225</v>
          </cell>
        </row>
        <row r="9273">
          <cell r="A9273">
            <v>45697</v>
          </cell>
          <cell r="B9273" t="str">
            <v>Củ Gừng</v>
          </cell>
          <cell r="C9273" t="str">
            <v>Kg</v>
          </cell>
          <cell r="D9273">
            <v>18000</v>
          </cell>
        </row>
        <row r="9274">
          <cell r="A9274">
            <v>45697</v>
          </cell>
          <cell r="B9274" t="str">
            <v>Củ Khoai Mỡ</v>
          </cell>
          <cell r="C9274" t="str">
            <v>Kg</v>
          </cell>
          <cell r="D9274">
            <v>29000</v>
          </cell>
        </row>
        <row r="9275">
          <cell r="A9275">
            <v>45697</v>
          </cell>
          <cell r="B9275" t="str">
            <v>Cà Chua Bi Đỏ</v>
          </cell>
          <cell r="C9275" t="str">
            <v>Hộp 300gr</v>
          </cell>
          <cell r="D9275">
            <v>5400</v>
          </cell>
        </row>
        <row r="9276">
          <cell r="A9276">
            <v>45697</v>
          </cell>
          <cell r="B9276" t="str">
            <v>Cà Chua Bi Đỏ</v>
          </cell>
          <cell r="C9276" t="str">
            <v>Hộp 500gr</v>
          </cell>
          <cell r="D9276">
            <v>9000</v>
          </cell>
        </row>
        <row r="9277">
          <cell r="A9277">
            <v>45697</v>
          </cell>
          <cell r="B9277" t="str">
            <v>Cà Rốt</v>
          </cell>
          <cell r="C9277" t="str">
            <v>Kg</v>
          </cell>
          <cell r="D9277">
            <v>9000</v>
          </cell>
        </row>
        <row r="9278">
          <cell r="A9278">
            <v>45697</v>
          </cell>
          <cell r="B9278" t="str">
            <v>Củ Cải Trắng</v>
          </cell>
          <cell r="C9278" t="str">
            <v>Kg</v>
          </cell>
          <cell r="D9278">
            <v>4300</v>
          </cell>
        </row>
        <row r="9279">
          <cell r="A9279">
            <v>45697</v>
          </cell>
          <cell r="B9279" t="str">
            <v>Xà Lách Mỡ T.C</v>
          </cell>
          <cell r="C9279" t="str">
            <v>Kg</v>
          </cell>
          <cell r="D9279">
            <v>26000</v>
          </cell>
        </row>
        <row r="9280">
          <cell r="A9280">
            <v>45697</v>
          </cell>
          <cell r="B9280" t="str">
            <v>Xà Lách Lolo Xanh T.C</v>
          </cell>
          <cell r="C9280" t="str">
            <v>Kg</v>
          </cell>
          <cell r="D9280">
            <v>26000</v>
          </cell>
        </row>
        <row r="9281">
          <cell r="A9281">
            <v>45697</v>
          </cell>
          <cell r="B9281" t="str">
            <v>Xà Lách Thủy Tinh T.C Cây</v>
          </cell>
          <cell r="C9281" t="str">
            <v>Cây</v>
          </cell>
          <cell r="D9281">
            <v>7500</v>
          </cell>
        </row>
        <row r="9282">
          <cell r="A9282">
            <v>45697</v>
          </cell>
          <cell r="B9282" t="str">
            <v>Bí Ngòi Xanh</v>
          </cell>
          <cell r="C9282" t="str">
            <v>Kg</v>
          </cell>
          <cell r="D9282">
            <v>15000</v>
          </cell>
        </row>
        <row r="9283">
          <cell r="A9283">
            <v>45697</v>
          </cell>
          <cell r="B9283" t="str">
            <v>Xà Lách Mỡ T.C</v>
          </cell>
          <cell r="C9283" t="str">
            <v>Kg</v>
          </cell>
          <cell r="D9283">
            <v>24000</v>
          </cell>
        </row>
        <row r="9284">
          <cell r="A9284">
            <v>45697</v>
          </cell>
          <cell r="B9284" t="str">
            <v>Xà Lách Lolo Xanh T.C</v>
          </cell>
          <cell r="C9284" t="str">
            <v>Kg</v>
          </cell>
          <cell r="D9284">
            <v>25000</v>
          </cell>
        </row>
        <row r="9285">
          <cell r="A9285">
            <v>45697</v>
          </cell>
          <cell r="B9285" t="str">
            <v>Xà Lách Thủy Tinh T.C Cây</v>
          </cell>
          <cell r="C9285" t="str">
            <v>Cây</v>
          </cell>
          <cell r="D9285">
            <v>6500</v>
          </cell>
        </row>
        <row r="9286">
          <cell r="A9286">
            <v>45697</v>
          </cell>
          <cell r="B9286" t="str">
            <v>Củ Su Hào</v>
          </cell>
          <cell r="C9286" t="str">
            <v>Kg</v>
          </cell>
          <cell r="D9286">
            <v>9000</v>
          </cell>
        </row>
        <row r="9287">
          <cell r="A9287">
            <v>45697</v>
          </cell>
          <cell r="B9287" t="str">
            <v>Bí Đỏ Tròn</v>
          </cell>
          <cell r="C9287" t="str">
            <v>Kg</v>
          </cell>
          <cell r="D9287">
            <v>12000</v>
          </cell>
        </row>
        <row r="9288">
          <cell r="A9288">
            <v>45697</v>
          </cell>
          <cell r="B9288" t="str">
            <v>Cà Rốt</v>
          </cell>
          <cell r="C9288" t="str">
            <v>Kg</v>
          </cell>
          <cell r="D9288">
            <v>9000</v>
          </cell>
        </row>
        <row r="9289">
          <cell r="A9289">
            <v>45697</v>
          </cell>
          <cell r="B9289" t="str">
            <v>Củ Khoai Tây Vàng</v>
          </cell>
          <cell r="C9289" t="str">
            <v>Kg</v>
          </cell>
          <cell r="D9289">
            <v>11700</v>
          </cell>
        </row>
        <row r="9290">
          <cell r="A9290">
            <v>45697</v>
          </cell>
          <cell r="B9290" t="str">
            <v>Cà Tím</v>
          </cell>
          <cell r="C9290" t="str">
            <v>Kg</v>
          </cell>
          <cell r="D9290">
            <v>8000</v>
          </cell>
        </row>
        <row r="9291">
          <cell r="A9291">
            <v>45697</v>
          </cell>
          <cell r="B9291" t="str">
            <v>Trái Su Su</v>
          </cell>
          <cell r="C9291" t="str">
            <v>Kg</v>
          </cell>
          <cell r="D9291">
            <v>8000</v>
          </cell>
        </row>
        <row r="9292">
          <cell r="A9292">
            <v>45697</v>
          </cell>
          <cell r="B9292" t="str">
            <v>Bí Non Nhật</v>
          </cell>
          <cell r="C9292" t="str">
            <v>Kg</v>
          </cell>
          <cell r="D9292">
            <v>10000</v>
          </cell>
        </row>
        <row r="9293">
          <cell r="A9293">
            <v>45697</v>
          </cell>
          <cell r="B9293" t="str">
            <v>Bí Ngòi Xanh</v>
          </cell>
          <cell r="C9293" t="str">
            <v>Kg</v>
          </cell>
          <cell r="D9293">
            <v>19000</v>
          </cell>
        </row>
        <row r="9294">
          <cell r="A9294">
            <v>45697</v>
          </cell>
          <cell r="B9294" t="str">
            <v>Rau Bầu Đất</v>
          </cell>
          <cell r="C9294" t="str">
            <v>Kg</v>
          </cell>
          <cell r="D9294">
            <v>35000</v>
          </cell>
        </row>
        <row r="9295">
          <cell r="A9295">
            <v>45697</v>
          </cell>
          <cell r="B9295" t="str">
            <v>Dưa Leo Baby</v>
          </cell>
          <cell r="C9295" t="str">
            <v>Vỉ</v>
          </cell>
          <cell r="D9295">
            <v>6500</v>
          </cell>
        </row>
        <row r="9296">
          <cell r="A9296">
            <v>45697</v>
          </cell>
          <cell r="B9296" t="str">
            <v>Ớt Sweet Palemo</v>
          </cell>
          <cell r="C9296" t="str">
            <v>Túi</v>
          </cell>
          <cell r="D9296">
            <v>17000</v>
          </cell>
        </row>
        <row r="9297">
          <cell r="A9297">
            <v>45697</v>
          </cell>
          <cell r="B9297" t="str">
            <v>Xà Lách Lolo Xanh</v>
          </cell>
          <cell r="C9297" t="str">
            <v>Kg</v>
          </cell>
          <cell r="D9297">
            <v>13000</v>
          </cell>
        </row>
        <row r="9298">
          <cell r="A9298">
            <v>45697</v>
          </cell>
          <cell r="B9298" t="str">
            <v>Xà Lách Mỹ</v>
          </cell>
          <cell r="C9298" t="str">
            <v>Kg</v>
          </cell>
          <cell r="D9298">
            <v>18000</v>
          </cell>
        </row>
        <row r="9299">
          <cell r="A9299">
            <v>45697</v>
          </cell>
          <cell r="B9299" t="str">
            <v>Bông Cải Xanh 7Cm</v>
          </cell>
          <cell r="C9299" t="str">
            <v>Kg</v>
          </cell>
          <cell r="D9299">
            <v>20000</v>
          </cell>
        </row>
        <row r="9300">
          <cell r="A9300">
            <v>45697</v>
          </cell>
          <cell r="B9300" t="str">
            <v>Bắp Cải Tím</v>
          </cell>
          <cell r="C9300" t="str">
            <v>Kg</v>
          </cell>
          <cell r="D9300">
            <v>18000</v>
          </cell>
        </row>
        <row r="9301">
          <cell r="A9301">
            <v>45697</v>
          </cell>
          <cell r="B9301" t="str">
            <v>Cần Tây</v>
          </cell>
          <cell r="C9301" t="str">
            <v>Kg</v>
          </cell>
          <cell r="D9301">
            <v>16000</v>
          </cell>
        </row>
        <row r="9302">
          <cell r="A9302">
            <v>45697</v>
          </cell>
          <cell r="B9302" t="str">
            <v>Củ Dền</v>
          </cell>
          <cell r="C9302" t="str">
            <v>Kg</v>
          </cell>
          <cell r="D9302">
            <v>10000</v>
          </cell>
        </row>
        <row r="9303">
          <cell r="A9303">
            <v>45697</v>
          </cell>
          <cell r="B9303" t="str">
            <v>Bắp Cải Trắng</v>
          </cell>
          <cell r="C9303" t="str">
            <v>Kg</v>
          </cell>
          <cell r="D9303">
            <v>5500</v>
          </cell>
        </row>
        <row r="9304">
          <cell r="A9304">
            <v>45697</v>
          </cell>
          <cell r="B9304" t="str">
            <v>Bông Cải Trắng</v>
          </cell>
          <cell r="C9304" t="str">
            <v>Kg</v>
          </cell>
          <cell r="D9304">
            <v>10000</v>
          </cell>
        </row>
        <row r="9305">
          <cell r="A9305">
            <v>45697</v>
          </cell>
          <cell r="B9305" t="str">
            <v>Bông Cải Xanh Gốc Dài</v>
          </cell>
          <cell r="C9305" t="str">
            <v>Kg</v>
          </cell>
          <cell r="D9305">
            <v>12000</v>
          </cell>
        </row>
        <row r="9306">
          <cell r="A9306">
            <v>45697</v>
          </cell>
          <cell r="B9306" t="str">
            <v>Bông Cải Xanh 7Cm</v>
          </cell>
          <cell r="C9306" t="str">
            <v>Kg</v>
          </cell>
          <cell r="D9306">
            <v>25000</v>
          </cell>
        </row>
        <row r="9307">
          <cell r="A9307">
            <v>45697</v>
          </cell>
          <cell r="B9307" t="str">
            <v>Măng Tây</v>
          </cell>
          <cell r="C9307" t="str">
            <v>Kg</v>
          </cell>
          <cell r="D9307">
            <v>50000</v>
          </cell>
        </row>
        <row r="9308">
          <cell r="A9308">
            <v>45697</v>
          </cell>
          <cell r="B9308" t="str">
            <v>Lá É</v>
          </cell>
          <cell r="C9308" t="str">
            <v>Kg</v>
          </cell>
          <cell r="D9308">
            <v>25000</v>
          </cell>
        </row>
        <row r="9309">
          <cell r="A9309">
            <v>45697</v>
          </cell>
          <cell r="B9309" t="str">
            <v>Củ Hành Tây</v>
          </cell>
          <cell r="C9309" t="str">
            <v>Kg</v>
          </cell>
          <cell r="D9309">
            <v>9000</v>
          </cell>
        </row>
        <row r="9310">
          <cell r="A9310">
            <v>45697</v>
          </cell>
          <cell r="B9310" t="str">
            <v>Củ Hành Tây Tím</v>
          </cell>
          <cell r="C9310" t="str">
            <v>Kg</v>
          </cell>
          <cell r="D9310">
            <v>20000</v>
          </cell>
        </row>
        <row r="9311">
          <cell r="A9311">
            <v>45697</v>
          </cell>
          <cell r="B9311" t="str">
            <v>Hành Paro</v>
          </cell>
          <cell r="C9311" t="str">
            <v>Kg</v>
          </cell>
          <cell r="D9311">
            <v>11000</v>
          </cell>
        </row>
        <row r="9312">
          <cell r="A9312">
            <v>45697</v>
          </cell>
          <cell r="B9312" t="str">
            <v>Bí Ngòi Vàng</v>
          </cell>
          <cell r="C9312" t="str">
            <v>Kg</v>
          </cell>
          <cell r="D9312">
            <v>18000</v>
          </cell>
        </row>
        <row r="9313">
          <cell r="A9313">
            <v>45697</v>
          </cell>
          <cell r="B9313" t="str">
            <v>Bí Ngòi Xanh</v>
          </cell>
          <cell r="C9313" t="str">
            <v>Kg</v>
          </cell>
          <cell r="D9313">
            <v>18000</v>
          </cell>
        </row>
        <row r="9314">
          <cell r="A9314">
            <v>45697</v>
          </cell>
          <cell r="B9314" t="str">
            <v>Hành Paro</v>
          </cell>
          <cell r="C9314" t="str">
            <v>Kg</v>
          </cell>
          <cell r="D9314">
            <v>12000</v>
          </cell>
        </row>
        <row r="9315">
          <cell r="A9315">
            <v>45697</v>
          </cell>
          <cell r="B9315" t="str">
            <v>Bông Atiso</v>
          </cell>
          <cell r="C9315" t="str">
            <v>Kg</v>
          </cell>
          <cell r="D9315">
            <v>240000</v>
          </cell>
        </row>
        <row r="9316">
          <cell r="A9316">
            <v>45697</v>
          </cell>
          <cell r="B9316" t="str">
            <v>Ớt Sweet Palemo</v>
          </cell>
          <cell r="C9316" t="str">
            <v>Túi</v>
          </cell>
          <cell r="D9316">
            <v>18000</v>
          </cell>
        </row>
        <row r="9317">
          <cell r="A9317">
            <v>45697</v>
          </cell>
          <cell r="B9317" t="str">
            <v>Củ Khoai Lang Mật Size 23</v>
          </cell>
          <cell r="C9317" t="str">
            <v>Kg</v>
          </cell>
          <cell r="D9317">
            <v>26500</v>
          </cell>
        </row>
        <row r="9318">
          <cell r="A9318">
            <v>45697</v>
          </cell>
          <cell r="B9318" t="str">
            <v>Dưa Leo Baby</v>
          </cell>
          <cell r="C9318" t="str">
            <v>Kg</v>
          </cell>
          <cell r="D9318">
            <v>9500</v>
          </cell>
        </row>
        <row r="9319">
          <cell r="A9319">
            <v>45697</v>
          </cell>
          <cell r="B9319" t="str">
            <v>Trái Su Su</v>
          </cell>
          <cell r="C9319" t="str">
            <v>Kg</v>
          </cell>
          <cell r="D9319">
            <v>4000</v>
          </cell>
        </row>
        <row r="9320">
          <cell r="A9320">
            <v>45697</v>
          </cell>
          <cell r="B9320" t="str">
            <v>Trái Su Su</v>
          </cell>
          <cell r="C9320" t="str">
            <v>Kg</v>
          </cell>
          <cell r="D9320">
            <v>4000</v>
          </cell>
        </row>
        <row r="9321">
          <cell r="A9321">
            <v>45697</v>
          </cell>
          <cell r="B9321" t="str">
            <v>Đậu Cove Trắng</v>
          </cell>
          <cell r="C9321" t="str">
            <v>Kg</v>
          </cell>
          <cell r="D9321">
            <v>11000</v>
          </cell>
        </row>
        <row r="9322">
          <cell r="A9322">
            <v>45697</v>
          </cell>
          <cell r="B9322" t="str">
            <v>Cà Chua Socola</v>
          </cell>
          <cell r="C9322" t="str">
            <v>Kg</v>
          </cell>
          <cell r="D9322">
            <v>20000</v>
          </cell>
        </row>
        <row r="9323">
          <cell r="A9323">
            <v>45697</v>
          </cell>
          <cell r="B9323" t="str">
            <v>Gia Công Rau Củ Quả</v>
          </cell>
          <cell r="C9323" t="str">
            <v>Kg</v>
          </cell>
          <cell r="D9323">
            <v>1700</v>
          </cell>
        </row>
        <row r="9324">
          <cell r="A9324">
            <v>45697</v>
          </cell>
          <cell r="B9324" t="str">
            <v>Gia Công Rau Củ Quả</v>
          </cell>
          <cell r="C9324" t="str">
            <v>Kg</v>
          </cell>
          <cell r="D9324">
            <v>700</v>
          </cell>
        </row>
        <row r="9325">
          <cell r="A9325">
            <v>45697</v>
          </cell>
          <cell r="B9325" t="str">
            <v>Đậu Đỏ</v>
          </cell>
          <cell r="C9325" t="str">
            <v>Kg</v>
          </cell>
          <cell r="D9325">
            <v>80000</v>
          </cell>
        </row>
        <row r="9326">
          <cell r="A9326">
            <v>45697</v>
          </cell>
          <cell r="B9326" t="str">
            <v>Đậu Cúc</v>
          </cell>
          <cell r="C9326" t="str">
            <v>Kg</v>
          </cell>
          <cell r="D9326">
            <v>70000</v>
          </cell>
        </row>
        <row r="9327">
          <cell r="A9327">
            <v>45697</v>
          </cell>
          <cell r="B9327" t="str">
            <v>Đậu Ngự</v>
          </cell>
          <cell r="C9327" t="str">
            <v>Kg</v>
          </cell>
          <cell r="D9327">
            <v>70000</v>
          </cell>
        </row>
        <row r="9328">
          <cell r="A9328">
            <v>45697</v>
          </cell>
          <cell r="B9328" t="str">
            <v>Đậu Trắng</v>
          </cell>
          <cell r="C9328" t="str">
            <v>Kg</v>
          </cell>
          <cell r="D9328">
            <v>70000</v>
          </cell>
        </row>
        <row r="9329">
          <cell r="A9329">
            <v>45697</v>
          </cell>
          <cell r="B9329" t="str">
            <v>Dưa Leo Baby</v>
          </cell>
          <cell r="C9329" t="str">
            <v>Vỉ</v>
          </cell>
          <cell r="D9329">
            <v>6300</v>
          </cell>
        </row>
        <row r="9330">
          <cell r="A9330">
            <v>45697</v>
          </cell>
          <cell r="B9330" t="str">
            <v>Củ Hành Tây</v>
          </cell>
          <cell r="C9330" t="str">
            <v>Kg</v>
          </cell>
          <cell r="D9330">
            <v>8700</v>
          </cell>
        </row>
        <row r="9331">
          <cell r="A9331">
            <v>45697</v>
          </cell>
          <cell r="B9331" t="str">
            <v>Bí Đao Xanh</v>
          </cell>
          <cell r="C9331" t="str">
            <v>Kg</v>
          </cell>
          <cell r="D9331">
            <v>12000</v>
          </cell>
        </row>
        <row r="9332">
          <cell r="A9332">
            <v>45697</v>
          </cell>
          <cell r="B9332" t="str">
            <v>Trái Bầu</v>
          </cell>
          <cell r="C9332" t="str">
            <v>Kg</v>
          </cell>
          <cell r="D9332">
            <v>6000</v>
          </cell>
        </row>
        <row r="9333">
          <cell r="A9333">
            <v>45697</v>
          </cell>
          <cell r="B9333" t="str">
            <v>Cà Rốt Baby</v>
          </cell>
          <cell r="C9333" t="str">
            <v>Vỉ</v>
          </cell>
          <cell r="D9333">
            <v>5000</v>
          </cell>
        </row>
        <row r="9334">
          <cell r="A9334">
            <v>45697</v>
          </cell>
          <cell r="B9334" t="str">
            <v>Cải Kale</v>
          </cell>
          <cell r="C9334" t="str">
            <v>Túi</v>
          </cell>
          <cell r="D9334">
            <v>3300</v>
          </cell>
        </row>
        <row r="9335">
          <cell r="A9335">
            <v>45697</v>
          </cell>
          <cell r="B9335" t="str">
            <v>Cải Kale</v>
          </cell>
          <cell r="C9335" t="str">
            <v>Túi 150gr</v>
          </cell>
          <cell r="D9335">
            <v>1900</v>
          </cell>
        </row>
        <row r="9336">
          <cell r="A9336">
            <v>45697</v>
          </cell>
          <cell r="B9336" t="str">
            <v>Lá Mè</v>
          </cell>
          <cell r="C9336" t="str">
            <v>Túi</v>
          </cell>
          <cell r="D9336">
            <v>3000</v>
          </cell>
        </row>
        <row r="9337">
          <cell r="A9337">
            <v>45697</v>
          </cell>
          <cell r="B9337" t="str">
            <v>Dưa Leo Baby</v>
          </cell>
          <cell r="C9337" t="str">
            <v>Vỉ</v>
          </cell>
          <cell r="D9337">
            <v>7000</v>
          </cell>
        </row>
        <row r="9338">
          <cell r="A9338">
            <v>45697</v>
          </cell>
          <cell r="B9338" t="str">
            <v>Bông Cải Xanh Baby</v>
          </cell>
          <cell r="C9338" t="str">
            <v>Vỉ</v>
          </cell>
          <cell r="D9338">
            <v>5000</v>
          </cell>
        </row>
        <row r="9339">
          <cell r="A9339">
            <v>45697</v>
          </cell>
          <cell r="B9339" t="str">
            <v>Cà Chua Beef Trung</v>
          </cell>
          <cell r="C9339" t="str">
            <v>Vỉ 500gr</v>
          </cell>
          <cell r="D9339">
            <v>6500</v>
          </cell>
        </row>
        <row r="9340">
          <cell r="A9340">
            <v>45697</v>
          </cell>
          <cell r="B9340" t="str">
            <v>Cà Chua Bi Mix</v>
          </cell>
          <cell r="C9340" t="str">
            <v>Hộp</v>
          </cell>
          <cell r="D9340">
            <v>10000</v>
          </cell>
        </row>
        <row r="9341">
          <cell r="A9341">
            <v>45697</v>
          </cell>
          <cell r="B9341" t="str">
            <v>Củ Cải Đỏ</v>
          </cell>
          <cell r="C9341" t="str">
            <v>Hộp</v>
          </cell>
          <cell r="D9341">
            <v>10000</v>
          </cell>
        </row>
        <row r="9342">
          <cell r="A9342">
            <v>45697</v>
          </cell>
          <cell r="B9342" t="str">
            <v>Lá Hương Thảo</v>
          </cell>
          <cell r="C9342" t="str">
            <v>Kg</v>
          </cell>
          <cell r="D9342">
            <v>130000</v>
          </cell>
        </row>
        <row r="9343">
          <cell r="A9343">
            <v>45697</v>
          </cell>
          <cell r="B9343" t="str">
            <v>Ớt Sweet Palemo</v>
          </cell>
          <cell r="C9343" t="str">
            <v>Túi</v>
          </cell>
          <cell r="D9343">
            <v>19000</v>
          </cell>
        </row>
        <row r="9344">
          <cell r="A9344">
            <v>45697</v>
          </cell>
          <cell r="B9344" t="str">
            <v>BỊCH 5KG (MANH PE)</v>
          </cell>
          <cell r="C9344" t="str">
            <v>Kg</v>
          </cell>
          <cell r="D9344">
            <v>33200</v>
          </cell>
        </row>
        <row r="9345">
          <cell r="A9345">
            <v>45697</v>
          </cell>
          <cell r="B9345" t="str">
            <v>BỊCH 10KG (MANH PE)</v>
          </cell>
          <cell r="C9345" t="str">
            <v>Kg</v>
          </cell>
          <cell r="D9345">
            <v>33200</v>
          </cell>
        </row>
        <row r="9346">
          <cell r="A9346">
            <v>45697</v>
          </cell>
          <cell r="B9346" t="str">
            <v>Xà Lách Lolo Xanh</v>
          </cell>
          <cell r="C9346" t="str">
            <v>Kg</v>
          </cell>
          <cell r="D9346">
            <v>8000</v>
          </cell>
        </row>
        <row r="9347">
          <cell r="A9347">
            <v>45697</v>
          </cell>
          <cell r="B9347" t="str">
            <v>Cà Chua Beef</v>
          </cell>
          <cell r="C9347" t="str">
            <v>Kg</v>
          </cell>
          <cell r="D9347">
            <v>13000</v>
          </cell>
        </row>
        <row r="9348">
          <cell r="A9348">
            <v>45697</v>
          </cell>
          <cell r="B9348" t="str">
            <v>Cà Chua Beef</v>
          </cell>
          <cell r="C9348" t="str">
            <v>Kg</v>
          </cell>
          <cell r="D9348">
            <v>17000</v>
          </cell>
        </row>
        <row r="9349">
          <cell r="A9349">
            <v>45697</v>
          </cell>
          <cell r="B9349" t="str">
            <v>Cà Chua Beef Trung</v>
          </cell>
          <cell r="C9349" t="str">
            <v>Kg</v>
          </cell>
          <cell r="D9349">
            <v>14000</v>
          </cell>
        </row>
        <row r="9350">
          <cell r="A9350">
            <v>45697</v>
          </cell>
          <cell r="B9350" t="str">
            <v>Cải Bó Xôi</v>
          </cell>
          <cell r="C9350" t="str">
            <v>Kg</v>
          </cell>
          <cell r="D9350">
            <v>20000</v>
          </cell>
        </row>
        <row r="9351">
          <cell r="A9351">
            <v>45697</v>
          </cell>
          <cell r="B9351" t="str">
            <v>Chanh Không Hạt</v>
          </cell>
          <cell r="C9351" t="str">
            <v>Kg</v>
          </cell>
          <cell r="D9351">
            <v>30000</v>
          </cell>
        </row>
        <row r="9352">
          <cell r="A9352">
            <v>45698</v>
          </cell>
          <cell r="B9352" t="str">
            <v>Mực Châm Máy Photo Ricoh AF1075 (túi bạc) (XS1000VCPB)</v>
          </cell>
          <cell r="C9352" t="str">
            <v/>
          </cell>
          <cell r="D9352">
            <v>400000</v>
          </cell>
        </row>
        <row r="9353">
          <cell r="A9353">
            <v>45698</v>
          </cell>
          <cell r="B9353" t="str">
            <v>DO 0.05S-II</v>
          </cell>
          <cell r="C9353" t="str">
            <v>Lít</v>
          </cell>
          <cell r="D9353">
            <v>17663.64</v>
          </cell>
        </row>
        <row r="9354">
          <cell r="A9354">
            <v>45698</v>
          </cell>
          <cell r="B9354" t="str">
            <v>Bao rác đen  (Cuộn PP 90x120)</v>
          </cell>
          <cell r="C9354" t="str">
            <v>Kg</v>
          </cell>
          <cell r="D9354">
            <v>25000</v>
          </cell>
        </row>
        <row r="9355">
          <cell r="A9355">
            <v>45698</v>
          </cell>
          <cell r="B9355" t="str">
            <v>Đậu Cove Trắng</v>
          </cell>
          <cell r="C9355" t="str">
            <v>Kg</v>
          </cell>
          <cell r="D9355">
            <v>14500</v>
          </cell>
        </row>
        <row r="9356">
          <cell r="A9356">
            <v>45698</v>
          </cell>
          <cell r="B9356" t="str">
            <v>Cà Chua Thường</v>
          </cell>
          <cell r="C9356" t="str">
            <v>Kg</v>
          </cell>
          <cell r="D9356">
            <v>15000</v>
          </cell>
        </row>
        <row r="9357">
          <cell r="A9357">
            <v>45698</v>
          </cell>
          <cell r="B9357" t="str">
            <v>Cà Chua Thường Trung</v>
          </cell>
          <cell r="C9357" t="str">
            <v>Kg</v>
          </cell>
          <cell r="D9357">
            <v>11000</v>
          </cell>
        </row>
        <row r="9358">
          <cell r="A9358">
            <v>45698</v>
          </cell>
          <cell r="B9358" t="str">
            <v>Trái Su Su</v>
          </cell>
          <cell r="C9358" t="str">
            <v>Kg</v>
          </cell>
          <cell r="D9358">
            <v>4000</v>
          </cell>
        </row>
        <row r="9359">
          <cell r="A9359">
            <v>45698</v>
          </cell>
          <cell r="B9359" t="str">
            <v>Cà Rốt</v>
          </cell>
          <cell r="C9359" t="str">
            <v>Kg</v>
          </cell>
          <cell r="D9359">
            <v>8000</v>
          </cell>
        </row>
        <row r="9360">
          <cell r="A9360">
            <v>45698</v>
          </cell>
          <cell r="B9360" t="str">
            <v>Gia Công Rau Củ Quả</v>
          </cell>
          <cell r="C9360" t="str">
            <v>Kg</v>
          </cell>
          <cell r="D9360">
            <v>1700</v>
          </cell>
        </row>
        <row r="9361">
          <cell r="A9361">
            <v>45698</v>
          </cell>
          <cell r="B9361" t="str">
            <v>Gia Công Rau Củ Quả</v>
          </cell>
          <cell r="C9361" t="str">
            <v>Kg</v>
          </cell>
          <cell r="D9361">
            <v>700</v>
          </cell>
        </row>
        <row r="9362">
          <cell r="A9362">
            <v>45698</v>
          </cell>
          <cell r="B9362" t="str">
            <v>Gia Công Rau Củ Quả</v>
          </cell>
          <cell r="C9362" t="str">
            <v>Kg</v>
          </cell>
          <cell r="D9362">
            <v>700</v>
          </cell>
        </row>
        <row r="9363">
          <cell r="A9363">
            <v>45698</v>
          </cell>
          <cell r="B9363" t="str">
            <v>Gia Công Rau Củ Quả</v>
          </cell>
          <cell r="C9363" t="str">
            <v>Kg</v>
          </cell>
          <cell r="D9363">
            <v>1000</v>
          </cell>
        </row>
        <row r="9364">
          <cell r="A9364">
            <v>45698</v>
          </cell>
          <cell r="B9364" t="str">
            <v>Cà Chua Beef</v>
          </cell>
          <cell r="C9364" t="str">
            <v>Kg</v>
          </cell>
          <cell r="D9364">
            <v>13000</v>
          </cell>
        </row>
        <row r="9365">
          <cell r="A9365">
            <v>45698</v>
          </cell>
          <cell r="B9365" t="str">
            <v>Cà Chua Beef</v>
          </cell>
          <cell r="C9365" t="str">
            <v>Vỉ</v>
          </cell>
          <cell r="D9365">
            <v>11050</v>
          </cell>
        </row>
        <row r="9366">
          <cell r="A9366">
            <v>45698</v>
          </cell>
          <cell r="B9366" t="str">
            <v>Cà Chua Beef Trung</v>
          </cell>
          <cell r="C9366" t="str">
            <v>Vỉ 500gr</v>
          </cell>
          <cell r="D9366">
            <v>7000</v>
          </cell>
        </row>
        <row r="9367">
          <cell r="A9367">
            <v>45698</v>
          </cell>
          <cell r="B9367" t="str">
            <v>Cải Bó Xôi</v>
          </cell>
          <cell r="C9367" t="str">
            <v>Túi</v>
          </cell>
          <cell r="D9367">
            <v>6000</v>
          </cell>
        </row>
        <row r="9368">
          <cell r="A9368">
            <v>45698</v>
          </cell>
          <cell r="B9368" t="str">
            <v>Cà Chua Bi Mix</v>
          </cell>
          <cell r="C9368" t="str">
            <v>Hộp</v>
          </cell>
          <cell r="D9368">
            <v>11100</v>
          </cell>
        </row>
        <row r="9369">
          <cell r="A9369">
            <v>45698</v>
          </cell>
          <cell r="B9369" t="str">
            <v>Cải Kale</v>
          </cell>
          <cell r="C9369" t="str">
            <v>Túi</v>
          </cell>
          <cell r="D9369">
            <v>4200</v>
          </cell>
        </row>
        <row r="9370">
          <cell r="A9370">
            <v>45698</v>
          </cell>
          <cell r="B9370" t="str">
            <v>Chanh Không Hạt</v>
          </cell>
          <cell r="C9370" t="str">
            <v>Vỉ</v>
          </cell>
          <cell r="D9370">
            <v>7500</v>
          </cell>
        </row>
        <row r="9371">
          <cell r="A9371">
            <v>45698</v>
          </cell>
          <cell r="B9371" t="str">
            <v>Cà Rốt Baby</v>
          </cell>
          <cell r="C9371" t="str">
            <v>Vỉ</v>
          </cell>
          <cell r="D9371">
            <v>5500</v>
          </cell>
        </row>
        <row r="9372">
          <cell r="A9372">
            <v>45698</v>
          </cell>
          <cell r="B9372" t="str">
            <v>Cải Kale</v>
          </cell>
          <cell r="C9372" t="str">
            <v>Túi</v>
          </cell>
          <cell r="D9372">
            <v>3300</v>
          </cell>
        </row>
        <row r="9373">
          <cell r="A9373">
            <v>45698</v>
          </cell>
          <cell r="B9373" t="str">
            <v>Cải Kale</v>
          </cell>
          <cell r="C9373" t="str">
            <v>Túi 150gr</v>
          </cell>
          <cell r="D9373">
            <v>1900</v>
          </cell>
        </row>
        <row r="9374">
          <cell r="A9374">
            <v>45698</v>
          </cell>
          <cell r="B9374" t="str">
            <v>Lá Mè</v>
          </cell>
          <cell r="C9374" t="str">
            <v>Túi</v>
          </cell>
          <cell r="D9374">
            <v>3000</v>
          </cell>
        </row>
        <row r="9375">
          <cell r="A9375">
            <v>45698</v>
          </cell>
          <cell r="B9375" t="str">
            <v>Dưa Leo Baby</v>
          </cell>
          <cell r="C9375" t="str">
            <v>Vỉ</v>
          </cell>
          <cell r="D9375">
            <v>7000</v>
          </cell>
        </row>
        <row r="9376">
          <cell r="A9376">
            <v>45698</v>
          </cell>
          <cell r="B9376" t="str">
            <v>Bông Cải Xanh Baby</v>
          </cell>
          <cell r="C9376" t="str">
            <v>Vỉ</v>
          </cell>
          <cell r="D9376">
            <v>5000</v>
          </cell>
        </row>
        <row r="9377">
          <cell r="A9377">
            <v>45698</v>
          </cell>
          <cell r="B9377" t="str">
            <v>Cà Chua Beef Trung</v>
          </cell>
          <cell r="C9377" t="str">
            <v>Vỉ 500gr</v>
          </cell>
          <cell r="D9377">
            <v>6500</v>
          </cell>
        </row>
        <row r="9378">
          <cell r="A9378">
            <v>45698</v>
          </cell>
          <cell r="B9378" t="str">
            <v>Củ Cải Đỏ</v>
          </cell>
          <cell r="C9378" t="str">
            <v>Hộp</v>
          </cell>
          <cell r="D9378">
            <v>10000</v>
          </cell>
        </row>
        <row r="9379">
          <cell r="A9379">
            <v>45698</v>
          </cell>
          <cell r="B9379" t="str">
            <v>Ớt Sweet Palemo</v>
          </cell>
          <cell r="C9379" t="str">
            <v>Túi</v>
          </cell>
          <cell r="D9379">
            <v>18000</v>
          </cell>
        </row>
        <row r="9380">
          <cell r="A9380">
            <v>45698</v>
          </cell>
          <cell r="B9380" t="str">
            <v>Xà Lách Lolo Tím</v>
          </cell>
          <cell r="C9380" t="str">
            <v>Kg</v>
          </cell>
          <cell r="D9380">
            <v>18000</v>
          </cell>
        </row>
        <row r="9381">
          <cell r="A9381">
            <v>45698</v>
          </cell>
          <cell r="B9381" t="str">
            <v>Xà Lách Lolo Xanh</v>
          </cell>
          <cell r="C9381" t="str">
            <v>Kg</v>
          </cell>
          <cell r="D9381">
            <v>12000</v>
          </cell>
        </row>
        <row r="9382">
          <cell r="A9382">
            <v>45698</v>
          </cell>
          <cell r="B9382" t="str">
            <v>Củ Cải Trắng</v>
          </cell>
          <cell r="C9382" t="str">
            <v>Kg</v>
          </cell>
          <cell r="D9382">
            <v>4500</v>
          </cell>
        </row>
        <row r="9383">
          <cell r="A9383">
            <v>45698</v>
          </cell>
          <cell r="B9383" t="str">
            <v>Xà Lách Lolo Xanh</v>
          </cell>
          <cell r="C9383" t="str">
            <v>Kg</v>
          </cell>
          <cell r="D9383">
            <v>13000</v>
          </cell>
        </row>
        <row r="9384">
          <cell r="A9384">
            <v>45698</v>
          </cell>
          <cell r="B9384" t="str">
            <v>Ớt Chuông Đỏ</v>
          </cell>
          <cell r="C9384" t="str">
            <v>Kg</v>
          </cell>
          <cell r="D9384">
            <v>60000</v>
          </cell>
        </row>
        <row r="9385">
          <cell r="A9385">
            <v>45698</v>
          </cell>
          <cell r="B9385" t="str">
            <v>Ớt Chuông Vàng</v>
          </cell>
          <cell r="C9385" t="str">
            <v>Kg</v>
          </cell>
          <cell r="D9385">
            <v>60000</v>
          </cell>
        </row>
        <row r="9386">
          <cell r="A9386">
            <v>45698</v>
          </cell>
          <cell r="B9386" t="str">
            <v>Ớt Chuông Xanh</v>
          </cell>
          <cell r="C9386" t="str">
            <v>Kg</v>
          </cell>
          <cell r="D9386">
            <v>30000</v>
          </cell>
        </row>
        <row r="9387">
          <cell r="A9387">
            <v>45698</v>
          </cell>
          <cell r="B9387" t="str">
            <v>Ớt Chuông Baby</v>
          </cell>
          <cell r="C9387" t="str">
            <v>Kg</v>
          </cell>
          <cell r="D9387">
            <v>50000</v>
          </cell>
        </row>
        <row r="9388">
          <cell r="A9388">
            <v>45698</v>
          </cell>
          <cell r="B9388" t="str">
            <v>Ớt Chuông Snack</v>
          </cell>
          <cell r="C9388" t="str">
            <v>Kg</v>
          </cell>
          <cell r="D9388">
            <v>60000</v>
          </cell>
        </row>
        <row r="9389">
          <cell r="A9389">
            <v>45698</v>
          </cell>
          <cell r="B9389" t="str">
            <v>Ớt Sweet Palemo</v>
          </cell>
          <cell r="C9389" t="str">
            <v>Kg</v>
          </cell>
          <cell r="D9389">
            <v>45000</v>
          </cell>
        </row>
        <row r="9390">
          <cell r="A9390">
            <v>45698</v>
          </cell>
          <cell r="B9390" t="str">
            <v>Cà Rốt</v>
          </cell>
          <cell r="C9390" t="str">
            <v>Kg</v>
          </cell>
          <cell r="D9390">
            <v>8500</v>
          </cell>
        </row>
        <row r="9391">
          <cell r="A9391">
            <v>45698</v>
          </cell>
          <cell r="B9391" t="str">
            <v>Xà Lách Mỡ T.C</v>
          </cell>
          <cell r="C9391" t="str">
            <v>Kg</v>
          </cell>
          <cell r="D9391">
            <v>25000</v>
          </cell>
        </row>
        <row r="9392">
          <cell r="A9392">
            <v>45698</v>
          </cell>
          <cell r="B9392" t="str">
            <v>Xà Lách Thủy Tinh T.C</v>
          </cell>
          <cell r="C9392" t="str">
            <v>Kg</v>
          </cell>
          <cell r="D9392">
            <v>25000</v>
          </cell>
        </row>
        <row r="9393">
          <cell r="A9393">
            <v>45698</v>
          </cell>
          <cell r="B9393" t="str">
            <v>Bí Ngòi Xanh</v>
          </cell>
          <cell r="C9393" t="str">
            <v>Kg</v>
          </cell>
          <cell r="D9393">
            <v>17500</v>
          </cell>
        </row>
        <row r="9394">
          <cell r="A9394">
            <v>45698</v>
          </cell>
          <cell r="B9394" t="str">
            <v>Dưa Leo Thường</v>
          </cell>
          <cell r="C9394" t="str">
            <v>Kg</v>
          </cell>
          <cell r="D9394">
            <v>13000</v>
          </cell>
        </row>
        <row r="9395">
          <cell r="A9395">
            <v>45698</v>
          </cell>
          <cell r="B9395" t="str">
            <v>Trái Khổ Qua</v>
          </cell>
          <cell r="C9395" t="str">
            <v>Kg</v>
          </cell>
          <cell r="D9395">
            <v>12000</v>
          </cell>
        </row>
        <row r="9396">
          <cell r="A9396">
            <v>45698</v>
          </cell>
          <cell r="B9396" t="str">
            <v>Bí Đao Xanh</v>
          </cell>
          <cell r="C9396" t="str">
            <v>Kg</v>
          </cell>
          <cell r="D9396">
            <v>12000</v>
          </cell>
        </row>
        <row r="9397">
          <cell r="A9397">
            <v>45698</v>
          </cell>
          <cell r="B9397" t="str">
            <v>Củ Khoai Lang Nhật</v>
          </cell>
          <cell r="C9397" t="str">
            <v>Kg</v>
          </cell>
          <cell r="D9397">
            <v>16500</v>
          </cell>
        </row>
        <row r="9398">
          <cell r="A9398">
            <v>45698</v>
          </cell>
          <cell r="B9398" t="str">
            <v>Củ Khoai Lang Nhật Baby</v>
          </cell>
          <cell r="C9398" t="str">
            <v>Kg</v>
          </cell>
          <cell r="D9398">
            <v>14500</v>
          </cell>
        </row>
        <row r="9399">
          <cell r="A9399">
            <v>45698</v>
          </cell>
          <cell r="B9399" t="str">
            <v>Dưa Leo Baby</v>
          </cell>
          <cell r="C9399" t="str">
            <v>Kg</v>
          </cell>
          <cell r="D9399">
            <v>9500</v>
          </cell>
        </row>
        <row r="9400">
          <cell r="A9400">
            <v>45698</v>
          </cell>
          <cell r="B9400" t="str">
            <v>Xà Lách Thủy Tinh T.C Cây</v>
          </cell>
          <cell r="C9400" t="str">
            <v>Cây</v>
          </cell>
          <cell r="D9400">
            <v>6000</v>
          </cell>
        </row>
        <row r="9401">
          <cell r="A9401">
            <v>45698</v>
          </cell>
          <cell r="B9401" t="str">
            <v>Dưa Leo Baby</v>
          </cell>
          <cell r="C9401" t="str">
            <v>Vỉ</v>
          </cell>
          <cell r="D9401">
            <v>6500</v>
          </cell>
        </row>
        <row r="9402">
          <cell r="A9402">
            <v>45698</v>
          </cell>
          <cell r="B9402" t="str">
            <v>Măng Tây</v>
          </cell>
          <cell r="C9402" t="str">
            <v>Kg</v>
          </cell>
          <cell r="D9402">
            <v>52830</v>
          </cell>
        </row>
        <row r="9403">
          <cell r="A9403">
            <v>45698</v>
          </cell>
          <cell r="B9403" t="str">
            <v>Măng Tây</v>
          </cell>
          <cell r="C9403" t="str">
            <v>Kg</v>
          </cell>
          <cell r="D9403">
            <v>40000</v>
          </cell>
        </row>
        <row r="9404">
          <cell r="A9404">
            <v>45698</v>
          </cell>
          <cell r="B9404" t="str">
            <v>Lá É</v>
          </cell>
          <cell r="C9404" t="str">
            <v>Kg</v>
          </cell>
          <cell r="D9404">
            <v>25000</v>
          </cell>
        </row>
        <row r="9405">
          <cell r="A9405">
            <v>45698</v>
          </cell>
          <cell r="B9405" t="str">
            <v>Củ Hành Tây</v>
          </cell>
          <cell r="C9405" t="str">
            <v>Kg</v>
          </cell>
          <cell r="D9405">
            <v>9000</v>
          </cell>
        </row>
        <row r="9406">
          <cell r="A9406">
            <v>45698</v>
          </cell>
          <cell r="B9406" t="str">
            <v>Củ Hành Tây Trung</v>
          </cell>
          <cell r="C9406" t="str">
            <v>Kg</v>
          </cell>
          <cell r="D9406">
            <v>7000</v>
          </cell>
        </row>
        <row r="9407">
          <cell r="A9407">
            <v>45698</v>
          </cell>
          <cell r="B9407" t="str">
            <v>Bí Ngòi Xanh</v>
          </cell>
          <cell r="C9407" t="str">
            <v>Kg</v>
          </cell>
          <cell r="D9407">
            <v>19000</v>
          </cell>
        </row>
        <row r="9408">
          <cell r="A9408">
            <v>45698</v>
          </cell>
          <cell r="B9408" t="str">
            <v>Rau Bầu Đất</v>
          </cell>
          <cell r="C9408" t="str">
            <v>Kg</v>
          </cell>
          <cell r="D9408">
            <v>35000</v>
          </cell>
        </row>
        <row r="9409">
          <cell r="A9409">
            <v>45698</v>
          </cell>
          <cell r="B9409" t="str">
            <v>Xà Lách Carol</v>
          </cell>
          <cell r="C9409" t="str">
            <v>Kg</v>
          </cell>
          <cell r="D9409">
            <v>32000</v>
          </cell>
        </row>
        <row r="9410">
          <cell r="A9410">
            <v>45698</v>
          </cell>
          <cell r="B9410" t="str">
            <v>Đậu Hà Lan Trái</v>
          </cell>
          <cell r="C9410" t="str">
            <v>Kg</v>
          </cell>
          <cell r="D9410">
            <v>70000</v>
          </cell>
        </row>
        <row r="9411">
          <cell r="A9411">
            <v>45698</v>
          </cell>
          <cell r="B9411" t="str">
            <v>Dưa Leo Baby</v>
          </cell>
          <cell r="C9411" t="str">
            <v>Kg</v>
          </cell>
          <cell r="D9411">
            <v>10000</v>
          </cell>
        </row>
        <row r="9412">
          <cell r="A9412">
            <v>45698</v>
          </cell>
          <cell r="B9412" t="str">
            <v>Trái Su Su</v>
          </cell>
          <cell r="C9412" t="str">
            <v>Kg</v>
          </cell>
          <cell r="D9412">
            <v>4000</v>
          </cell>
        </row>
        <row r="9413">
          <cell r="A9413">
            <v>45698</v>
          </cell>
          <cell r="B9413" t="str">
            <v>Cà Chua Beef</v>
          </cell>
          <cell r="C9413" t="str">
            <v>Kg</v>
          </cell>
          <cell r="D9413">
            <v>12000</v>
          </cell>
        </row>
        <row r="9414">
          <cell r="A9414">
            <v>45698</v>
          </cell>
          <cell r="B9414" t="str">
            <v>Bắp Cải Trái Tim</v>
          </cell>
          <cell r="C9414" t="str">
            <v>Kg</v>
          </cell>
          <cell r="D9414">
            <v>5000</v>
          </cell>
        </row>
        <row r="9415">
          <cell r="A9415">
            <v>45698</v>
          </cell>
          <cell r="B9415" t="str">
            <v>Bông Cải Xanh 12Cm</v>
          </cell>
          <cell r="C9415" t="str">
            <v>Kg</v>
          </cell>
          <cell r="D9415">
            <v>20000</v>
          </cell>
        </row>
        <row r="9416">
          <cell r="A9416">
            <v>45698</v>
          </cell>
          <cell r="B9416" t="str">
            <v>Bông Cải Xanh 7Cm</v>
          </cell>
          <cell r="C9416" t="str">
            <v>Kg</v>
          </cell>
          <cell r="D9416">
            <v>25000</v>
          </cell>
        </row>
        <row r="9417">
          <cell r="A9417">
            <v>45698</v>
          </cell>
          <cell r="B9417" t="str">
            <v>Ớt Chuông Đỏ</v>
          </cell>
          <cell r="C9417" t="str">
            <v>Kg</v>
          </cell>
          <cell r="D9417">
            <v>47000</v>
          </cell>
        </row>
        <row r="9418">
          <cell r="A9418">
            <v>45698</v>
          </cell>
          <cell r="B9418" t="str">
            <v>Cải Kale</v>
          </cell>
          <cell r="C9418" t="str">
            <v>Túi</v>
          </cell>
          <cell r="D9418">
            <v>3900</v>
          </cell>
        </row>
        <row r="9419">
          <cell r="A9419">
            <v>45698</v>
          </cell>
          <cell r="B9419" t="str">
            <v>Lá Mè</v>
          </cell>
          <cell r="C9419" t="str">
            <v>Túi</v>
          </cell>
          <cell r="D9419">
            <v>2800</v>
          </cell>
        </row>
        <row r="9420">
          <cell r="A9420">
            <v>45698</v>
          </cell>
          <cell r="B9420" t="str">
            <v>Xà Lách Mỹ</v>
          </cell>
          <cell r="C9420" t="str">
            <v>Kg</v>
          </cell>
          <cell r="D9420">
            <v>18000</v>
          </cell>
        </row>
        <row r="9421">
          <cell r="A9421">
            <v>45698</v>
          </cell>
          <cell r="B9421" t="str">
            <v>Củ Dền</v>
          </cell>
          <cell r="C9421" t="str">
            <v>Kg</v>
          </cell>
          <cell r="D9421">
            <v>10000</v>
          </cell>
        </row>
        <row r="9422">
          <cell r="A9422">
            <v>45698</v>
          </cell>
          <cell r="B9422" t="str">
            <v>Xà Lách Lolo Xanh T.C Cây</v>
          </cell>
          <cell r="C9422" t="str">
            <v>Cây</v>
          </cell>
          <cell r="D9422">
            <v>6800</v>
          </cell>
        </row>
        <row r="9423">
          <cell r="A9423">
            <v>45698</v>
          </cell>
          <cell r="B9423" t="str">
            <v>Xà Lách Lolo Xanh T.C</v>
          </cell>
          <cell r="C9423" t="str">
            <v>Kg</v>
          </cell>
          <cell r="D9423">
            <v>28000</v>
          </cell>
        </row>
        <row r="9424">
          <cell r="A9424">
            <v>45698</v>
          </cell>
          <cell r="B9424" t="str">
            <v>Xà Lách Mỡ T.C</v>
          </cell>
          <cell r="C9424" t="str">
            <v>Kg</v>
          </cell>
          <cell r="D9424">
            <v>28000</v>
          </cell>
        </row>
        <row r="9425">
          <cell r="A9425">
            <v>45698</v>
          </cell>
          <cell r="B9425" t="str">
            <v>Xà Lách Thủy Tinh T.C Cây</v>
          </cell>
          <cell r="C9425" t="str">
            <v>Cây</v>
          </cell>
          <cell r="D9425">
            <v>6800</v>
          </cell>
        </row>
        <row r="9426">
          <cell r="A9426">
            <v>45698</v>
          </cell>
          <cell r="B9426" t="str">
            <v>Bông Cải Xanh 12Cm</v>
          </cell>
          <cell r="C9426" t="str">
            <v>Kg</v>
          </cell>
          <cell r="D9426">
            <v>12000</v>
          </cell>
        </row>
        <row r="9427">
          <cell r="A9427">
            <v>45698</v>
          </cell>
          <cell r="B9427" t="str">
            <v>Hành Paro</v>
          </cell>
          <cell r="C9427" t="str">
            <v>Kg</v>
          </cell>
          <cell r="D9427">
            <v>10000</v>
          </cell>
        </row>
        <row r="9428">
          <cell r="A9428">
            <v>45698</v>
          </cell>
          <cell r="B9428" t="str">
            <v>Bông Cải Xanh 12Cm</v>
          </cell>
          <cell r="C9428" t="str">
            <v>Kg</v>
          </cell>
          <cell r="D9428">
            <v>12000</v>
          </cell>
        </row>
        <row r="9429">
          <cell r="A9429">
            <v>45698</v>
          </cell>
          <cell r="B9429" t="str">
            <v>Cà Chua Socola</v>
          </cell>
          <cell r="C9429" t="str">
            <v>Hộp 250GR</v>
          </cell>
          <cell r="D9429">
            <v>7500</v>
          </cell>
        </row>
        <row r="9430">
          <cell r="A9430">
            <v>45698</v>
          </cell>
          <cell r="B9430" t="str">
            <v>Dưa Leo Baby</v>
          </cell>
          <cell r="C9430" t="str">
            <v>Vỉ</v>
          </cell>
          <cell r="D9430">
            <v>6500</v>
          </cell>
        </row>
        <row r="9431">
          <cell r="A9431">
            <v>45698</v>
          </cell>
          <cell r="B9431" t="str">
            <v>Bông Cải Trắng</v>
          </cell>
          <cell r="C9431" t="str">
            <v>Kg</v>
          </cell>
          <cell r="D9431">
            <v>10000</v>
          </cell>
        </row>
        <row r="9432">
          <cell r="A9432">
            <v>45698</v>
          </cell>
          <cell r="B9432" t="str">
            <v>Bông Cải Xanh 7Cm</v>
          </cell>
          <cell r="C9432" t="str">
            <v>Kg</v>
          </cell>
          <cell r="D9432">
            <v>25000</v>
          </cell>
        </row>
        <row r="9433">
          <cell r="A9433">
            <v>45698</v>
          </cell>
          <cell r="B9433" t="str">
            <v>Cải Bó Xôi</v>
          </cell>
          <cell r="C9433" t="str">
            <v>Kg</v>
          </cell>
          <cell r="D9433">
            <v>12000</v>
          </cell>
        </row>
        <row r="9434">
          <cell r="A9434">
            <v>45698</v>
          </cell>
          <cell r="B9434" t="str">
            <v>Cần Tây</v>
          </cell>
          <cell r="C9434" t="str">
            <v>Kg</v>
          </cell>
          <cell r="D9434">
            <v>15000</v>
          </cell>
        </row>
        <row r="9435">
          <cell r="A9435">
            <v>45698</v>
          </cell>
          <cell r="B9435" t="str">
            <v>Củ Gừng</v>
          </cell>
          <cell r="C9435" t="str">
            <v>Kg</v>
          </cell>
          <cell r="D9435">
            <v>18000</v>
          </cell>
        </row>
        <row r="9436">
          <cell r="A9436">
            <v>45698</v>
          </cell>
          <cell r="B9436" t="str">
            <v>Củ Khoai Mỡ</v>
          </cell>
          <cell r="C9436" t="str">
            <v>Kg</v>
          </cell>
          <cell r="D9436">
            <v>29000</v>
          </cell>
        </row>
        <row r="9437">
          <cell r="A9437">
            <v>45698</v>
          </cell>
          <cell r="B9437" t="str">
            <v>Ớt Chuông Baby</v>
          </cell>
          <cell r="C9437" t="str">
            <v>Kg</v>
          </cell>
          <cell r="D9437">
            <v>55000</v>
          </cell>
        </row>
        <row r="9438">
          <cell r="A9438">
            <v>45698</v>
          </cell>
          <cell r="B9438" t="str">
            <v>Ớt Sweet Palemo</v>
          </cell>
          <cell r="C9438" t="str">
            <v>Túi</v>
          </cell>
          <cell r="D9438">
            <v>18000</v>
          </cell>
        </row>
        <row r="9439">
          <cell r="A9439">
            <v>45698</v>
          </cell>
          <cell r="B9439" t="str">
            <v>Bắp Cải Tím</v>
          </cell>
          <cell r="C9439" t="str">
            <v>Kg</v>
          </cell>
          <cell r="D9439">
            <v>18000</v>
          </cell>
        </row>
        <row r="9440">
          <cell r="A9440">
            <v>45698</v>
          </cell>
          <cell r="B9440" t="str">
            <v>Cần Tây</v>
          </cell>
          <cell r="C9440" t="str">
            <v>Kg</v>
          </cell>
          <cell r="D9440">
            <v>14000</v>
          </cell>
        </row>
        <row r="9441">
          <cell r="A9441">
            <v>45698</v>
          </cell>
          <cell r="B9441" t="str">
            <v>Cần Tây</v>
          </cell>
          <cell r="C9441" t="str">
            <v>Kg</v>
          </cell>
          <cell r="D9441">
            <v>16000</v>
          </cell>
        </row>
        <row r="9442">
          <cell r="A9442">
            <v>45698</v>
          </cell>
          <cell r="B9442" t="str">
            <v>CT - BÍ NGÒI XANH</v>
          </cell>
          <cell r="C9442" t="str">
            <v>Kg</v>
          </cell>
          <cell r="D9442">
            <v>15000</v>
          </cell>
        </row>
        <row r="9443">
          <cell r="A9443">
            <v>45698</v>
          </cell>
          <cell r="B9443" t="str">
            <v>Bí Non Nhật</v>
          </cell>
          <cell r="C9443" t="str">
            <v>Kg</v>
          </cell>
          <cell r="D9443">
            <v>13500</v>
          </cell>
        </row>
        <row r="9444">
          <cell r="A9444">
            <v>45698</v>
          </cell>
          <cell r="B9444" t="str">
            <v>Củ Su Hào</v>
          </cell>
          <cell r="C9444" t="str">
            <v>Kg</v>
          </cell>
          <cell r="D9444">
            <v>8000</v>
          </cell>
        </row>
        <row r="9445">
          <cell r="A9445">
            <v>45698</v>
          </cell>
          <cell r="B9445" t="str">
            <v>Cà Chua Bi Đỏ</v>
          </cell>
          <cell r="C9445" t="str">
            <v>Hộp 300gr</v>
          </cell>
          <cell r="D9445">
            <v>5100</v>
          </cell>
        </row>
        <row r="9446">
          <cell r="A9446">
            <v>45698</v>
          </cell>
          <cell r="B9446" t="str">
            <v>Cà Chua Bi Đỏ</v>
          </cell>
          <cell r="C9446" t="str">
            <v>Hộp 500gr</v>
          </cell>
          <cell r="D9446">
            <v>8500</v>
          </cell>
        </row>
        <row r="9447">
          <cell r="A9447">
            <v>45698</v>
          </cell>
          <cell r="B9447" t="str">
            <v>Dưa Leo Thường</v>
          </cell>
          <cell r="C9447" t="str">
            <v>Kg</v>
          </cell>
          <cell r="D9447">
            <v>15000</v>
          </cell>
        </row>
        <row r="9448">
          <cell r="A9448">
            <v>45698</v>
          </cell>
          <cell r="B9448" t="str">
            <v>Đậu Cove Trắng</v>
          </cell>
          <cell r="C9448" t="str">
            <v>Túi 500gr</v>
          </cell>
          <cell r="D9448">
            <v>7000</v>
          </cell>
        </row>
        <row r="9449">
          <cell r="A9449">
            <v>45698</v>
          </cell>
          <cell r="B9449" t="str">
            <v>Dưa Leo Nhật</v>
          </cell>
          <cell r="C9449" t="str">
            <v>Kg</v>
          </cell>
          <cell r="D9449">
            <v>16000</v>
          </cell>
        </row>
        <row r="9450">
          <cell r="A9450">
            <v>45698</v>
          </cell>
          <cell r="B9450" t="str">
            <v>Bí Non Nhật</v>
          </cell>
          <cell r="C9450" t="str">
            <v>Kg</v>
          </cell>
          <cell r="D9450">
            <v>15000</v>
          </cell>
        </row>
        <row r="9451">
          <cell r="A9451">
            <v>45698</v>
          </cell>
          <cell r="B9451" t="str">
            <v>Đậu Cove Trắng</v>
          </cell>
          <cell r="C9451" t="str">
            <v>Túi 300gr</v>
          </cell>
          <cell r="D9451">
            <v>5000</v>
          </cell>
        </row>
        <row r="9452">
          <cell r="A9452">
            <v>45698</v>
          </cell>
          <cell r="B9452" t="str">
            <v>Đậu Cove Nhật</v>
          </cell>
          <cell r="C9452" t="str">
            <v>Túi</v>
          </cell>
          <cell r="D9452">
            <v>6000</v>
          </cell>
        </row>
        <row r="9453">
          <cell r="A9453">
            <v>45698</v>
          </cell>
          <cell r="B9453" t="str">
            <v>Bắp Cải Trái Tim</v>
          </cell>
          <cell r="C9453" t="str">
            <v>Kg</v>
          </cell>
          <cell r="D9453">
            <v>5500</v>
          </cell>
        </row>
        <row r="9454">
          <cell r="A9454">
            <v>45698</v>
          </cell>
          <cell r="B9454" t="str">
            <v>Xà Lách Mỡ T.C</v>
          </cell>
          <cell r="C9454" t="str">
            <v>Kg</v>
          </cell>
          <cell r="D9454">
            <v>26000</v>
          </cell>
        </row>
        <row r="9455">
          <cell r="A9455">
            <v>45698</v>
          </cell>
          <cell r="B9455" t="str">
            <v>Xà Lách Lolo Xanh T.C</v>
          </cell>
          <cell r="C9455" t="str">
            <v>Kg</v>
          </cell>
          <cell r="D9455">
            <v>26000</v>
          </cell>
        </row>
        <row r="9456">
          <cell r="A9456">
            <v>45698</v>
          </cell>
          <cell r="B9456" t="str">
            <v>Xà Lách Thủy Tinh T.C Cây</v>
          </cell>
          <cell r="C9456" t="str">
            <v>Cây</v>
          </cell>
          <cell r="D9456">
            <v>7500</v>
          </cell>
        </row>
        <row r="9457">
          <cell r="A9457">
            <v>45698</v>
          </cell>
          <cell r="B9457" t="str">
            <v>Cà Chua Thường</v>
          </cell>
          <cell r="C9457" t="str">
            <v>Kg</v>
          </cell>
          <cell r="D9457">
            <v>15000</v>
          </cell>
        </row>
        <row r="9458">
          <cell r="A9458">
            <v>45698</v>
          </cell>
          <cell r="B9458" t="str">
            <v>Cà Tím</v>
          </cell>
          <cell r="C9458" t="str">
            <v>Kg</v>
          </cell>
          <cell r="D9458">
            <v>8000</v>
          </cell>
        </row>
        <row r="9459">
          <cell r="A9459">
            <v>45698</v>
          </cell>
          <cell r="B9459" t="str">
            <v>Bí Non Nhật</v>
          </cell>
          <cell r="C9459" t="str">
            <v>Kg</v>
          </cell>
          <cell r="D9459">
            <v>10000</v>
          </cell>
        </row>
        <row r="9460">
          <cell r="A9460">
            <v>45698</v>
          </cell>
          <cell r="B9460" t="str">
            <v>Hành Paro</v>
          </cell>
          <cell r="C9460" t="str">
            <v>Kg</v>
          </cell>
          <cell r="D9460">
            <v>12000</v>
          </cell>
        </row>
        <row r="9461">
          <cell r="A9461">
            <v>45698</v>
          </cell>
          <cell r="B9461" t="str">
            <v>Bí Ngòi Xanh</v>
          </cell>
          <cell r="C9461" t="str">
            <v>Kg</v>
          </cell>
          <cell r="D9461">
            <v>18000</v>
          </cell>
        </row>
        <row r="9462">
          <cell r="A9462">
            <v>45698</v>
          </cell>
          <cell r="B9462" t="str">
            <v>Bí Ngòi Vàng</v>
          </cell>
          <cell r="C9462" t="str">
            <v>Kg</v>
          </cell>
          <cell r="D9462">
            <v>23000</v>
          </cell>
        </row>
        <row r="9463">
          <cell r="A9463">
            <v>45699</v>
          </cell>
          <cell r="B9463" t="str">
            <v>DO 0.05S-II</v>
          </cell>
          <cell r="C9463" t="str">
            <v>Lít</v>
          </cell>
          <cell r="D9463">
            <v>17663.64</v>
          </cell>
        </row>
        <row r="9464">
          <cell r="A9464">
            <v>45699</v>
          </cell>
          <cell r="B9464" t="str">
            <v>Củ Khoai Tây Vàng</v>
          </cell>
          <cell r="C9464" t="str">
            <v>Kg</v>
          </cell>
          <cell r="D9464">
            <v>12000</v>
          </cell>
        </row>
        <row r="9465">
          <cell r="A9465">
            <v>45699</v>
          </cell>
          <cell r="B9465" t="str">
            <v>Trái Bưởi Diễn</v>
          </cell>
          <cell r="C9465" t="str">
            <v>Trái</v>
          </cell>
          <cell r="D9465">
            <v>9000</v>
          </cell>
        </row>
        <row r="9466">
          <cell r="A9466">
            <v>45699</v>
          </cell>
          <cell r="B9466" t="str">
            <v>Mận Hậu</v>
          </cell>
          <cell r="C9466" t="str">
            <v>Kg</v>
          </cell>
          <cell r="D9466">
            <v>50000</v>
          </cell>
        </row>
        <row r="9467">
          <cell r="A9467">
            <v>45699</v>
          </cell>
          <cell r="B9467" t="str">
            <v>Xà Lách Mỹ</v>
          </cell>
          <cell r="C9467" t="str">
            <v>Kg</v>
          </cell>
          <cell r="D9467">
            <v>16000</v>
          </cell>
        </row>
        <row r="9468">
          <cell r="A9468">
            <v>45699</v>
          </cell>
          <cell r="B9468" t="str">
            <v>Cà Tím Sọc Pha Lê</v>
          </cell>
          <cell r="C9468" t="str">
            <v>Kg</v>
          </cell>
          <cell r="D9468">
            <v>18000</v>
          </cell>
        </row>
        <row r="9469">
          <cell r="A9469">
            <v>45699</v>
          </cell>
          <cell r="B9469" t="str">
            <v>Bí Đỏ Hồ Lô</v>
          </cell>
          <cell r="C9469" t="str">
            <v>Kg</v>
          </cell>
          <cell r="D9469">
            <v>8000</v>
          </cell>
        </row>
        <row r="9470">
          <cell r="A9470">
            <v>45699</v>
          </cell>
          <cell r="B9470" t="str">
            <v>Chuối Laba</v>
          </cell>
          <cell r="C9470" t="str">
            <v>Kg</v>
          </cell>
          <cell r="D9470">
            <v>14000</v>
          </cell>
        </row>
        <row r="9471">
          <cell r="A9471">
            <v>45699</v>
          </cell>
          <cell r="B9471" t="str">
            <v>Lá Nha Đam</v>
          </cell>
          <cell r="C9471" t="str">
            <v>Kg</v>
          </cell>
          <cell r="D9471">
            <v>14000</v>
          </cell>
        </row>
        <row r="9472">
          <cell r="A9472">
            <v>45699</v>
          </cell>
          <cell r="B9472" t="str">
            <v>Bí Đỏ Tròn</v>
          </cell>
          <cell r="C9472" t="str">
            <v>Kg</v>
          </cell>
          <cell r="D9472">
            <v>11500</v>
          </cell>
        </row>
        <row r="9473">
          <cell r="A9473">
            <v>45699</v>
          </cell>
          <cell r="B9473" t="str">
            <v>Bí Non Nhật</v>
          </cell>
          <cell r="C9473" t="str">
            <v>Kg</v>
          </cell>
          <cell r="D9473">
            <v>10000</v>
          </cell>
        </row>
        <row r="9474">
          <cell r="A9474">
            <v>45699</v>
          </cell>
          <cell r="B9474" t="str">
            <v>Cà Tím</v>
          </cell>
          <cell r="C9474" t="str">
            <v>Kg</v>
          </cell>
          <cell r="D9474">
            <v>8000</v>
          </cell>
        </row>
        <row r="9475">
          <cell r="A9475">
            <v>45699</v>
          </cell>
          <cell r="B9475" t="str">
            <v>Xà Lách Mỡ T.C</v>
          </cell>
          <cell r="C9475" t="str">
            <v>Kg</v>
          </cell>
          <cell r="D9475">
            <v>26000</v>
          </cell>
        </row>
        <row r="9476">
          <cell r="A9476">
            <v>45699</v>
          </cell>
          <cell r="B9476" t="str">
            <v>Xà Lách Lolo Xanh T.C</v>
          </cell>
          <cell r="C9476" t="str">
            <v>Kg</v>
          </cell>
          <cell r="D9476">
            <v>26000</v>
          </cell>
        </row>
        <row r="9477">
          <cell r="A9477">
            <v>45699</v>
          </cell>
          <cell r="B9477" t="str">
            <v>Xà Lách Thủy Tinh T.C Cây</v>
          </cell>
          <cell r="C9477" t="str">
            <v>Cây</v>
          </cell>
          <cell r="D9477">
            <v>7500</v>
          </cell>
        </row>
        <row r="9478">
          <cell r="A9478">
            <v>45699</v>
          </cell>
          <cell r="B9478" t="str">
            <v>Dưa Leo Baby</v>
          </cell>
          <cell r="C9478" t="str">
            <v>Vỉ</v>
          </cell>
          <cell r="D9478">
            <v>8000</v>
          </cell>
        </row>
        <row r="9479">
          <cell r="A9479">
            <v>45699</v>
          </cell>
          <cell r="B9479" t="str">
            <v>Ớt Chuông Xanh</v>
          </cell>
          <cell r="C9479" t="str">
            <v>Kg</v>
          </cell>
          <cell r="D9479">
            <v>35000</v>
          </cell>
        </row>
        <row r="9480">
          <cell r="A9480">
            <v>45699</v>
          </cell>
          <cell r="B9480" t="str">
            <v>Đậu Cove Trắng</v>
          </cell>
          <cell r="C9480" t="str">
            <v>Túi 300gr</v>
          </cell>
          <cell r="D9480">
            <v>6000</v>
          </cell>
        </row>
        <row r="9481">
          <cell r="A9481">
            <v>45699</v>
          </cell>
          <cell r="B9481" t="str">
            <v>Đậu Cove Trắng</v>
          </cell>
          <cell r="C9481" t="str">
            <v>Túi 500gr</v>
          </cell>
          <cell r="D9481">
            <v>8000</v>
          </cell>
        </row>
        <row r="9482">
          <cell r="A9482">
            <v>45699</v>
          </cell>
          <cell r="B9482" t="str">
            <v>Dưa Leo Nhật</v>
          </cell>
          <cell r="C9482" t="str">
            <v>Kg</v>
          </cell>
          <cell r="D9482">
            <v>16000</v>
          </cell>
        </row>
        <row r="9483">
          <cell r="A9483">
            <v>45699</v>
          </cell>
          <cell r="B9483" t="str">
            <v>Dưa Leo Thường</v>
          </cell>
          <cell r="C9483" t="str">
            <v>Kg</v>
          </cell>
          <cell r="D9483">
            <v>15000</v>
          </cell>
        </row>
        <row r="9484">
          <cell r="A9484">
            <v>45699</v>
          </cell>
          <cell r="B9484" t="str">
            <v>Dưa Leo Baby</v>
          </cell>
          <cell r="C9484" t="str">
            <v>Vỉ</v>
          </cell>
          <cell r="D9484">
            <v>7000</v>
          </cell>
        </row>
        <row r="9485">
          <cell r="A9485">
            <v>45699</v>
          </cell>
          <cell r="B9485" t="str">
            <v>Cà Chua Thường</v>
          </cell>
          <cell r="C9485" t="str">
            <v>Kg</v>
          </cell>
          <cell r="D9485">
            <v>11000</v>
          </cell>
        </row>
        <row r="9486">
          <cell r="A9486">
            <v>45699</v>
          </cell>
          <cell r="B9486" t="str">
            <v>Cà Chua Thường Trung</v>
          </cell>
          <cell r="C9486" t="str">
            <v>Kg</v>
          </cell>
          <cell r="D9486">
            <v>8000</v>
          </cell>
        </row>
        <row r="9487">
          <cell r="A9487">
            <v>45699</v>
          </cell>
          <cell r="B9487" t="str">
            <v>Xà Lách Lolo Xanh T.C Cây</v>
          </cell>
          <cell r="C9487" t="str">
            <v>Cây</v>
          </cell>
          <cell r="D9487">
            <v>6800</v>
          </cell>
        </row>
        <row r="9488">
          <cell r="A9488">
            <v>45699</v>
          </cell>
          <cell r="B9488" t="str">
            <v>Xà Lách Mỡ T.C</v>
          </cell>
          <cell r="C9488" t="str">
            <v>Kg</v>
          </cell>
          <cell r="D9488">
            <v>28000</v>
          </cell>
        </row>
        <row r="9489">
          <cell r="A9489">
            <v>45699</v>
          </cell>
          <cell r="B9489" t="str">
            <v>Cải Bó Xôi</v>
          </cell>
          <cell r="C9489" t="str">
            <v>Kg</v>
          </cell>
          <cell r="D9489">
            <v>14000</v>
          </cell>
        </row>
        <row r="9490">
          <cell r="A9490">
            <v>45699</v>
          </cell>
          <cell r="B9490" t="str">
            <v>Cải Bó Xôi</v>
          </cell>
          <cell r="C9490" t="str">
            <v>Túi</v>
          </cell>
          <cell r="D9490">
            <v>5100</v>
          </cell>
        </row>
        <row r="9491">
          <cell r="A9491">
            <v>45699</v>
          </cell>
          <cell r="B9491" t="str">
            <v>Cà Chua Beef</v>
          </cell>
          <cell r="C9491" t="str">
            <v>Vỉ 650gr</v>
          </cell>
          <cell r="D9491">
            <v>11050</v>
          </cell>
        </row>
        <row r="9492">
          <cell r="A9492">
            <v>45699</v>
          </cell>
          <cell r="B9492" t="str">
            <v>Cà Chua Beef Trung</v>
          </cell>
          <cell r="C9492" t="str">
            <v>Vỉ 500gr</v>
          </cell>
          <cell r="D9492">
            <v>7000</v>
          </cell>
        </row>
        <row r="9493">
          <cell r="A9493">
            <v>45699</v>
          </cell>
          <cell r="B9493" t="str">
            <v>Cà Chua Beef Trung</v>
          </cell>
          <cell r="C9493" t="str">
            <v>Kg</v>
          </cell>
          <cell r="D9493">
            <v>12000</v>
          </cell>
        </row>
        <row r="9494">
          <cell r="A9494">
            <v>45699</v>
          </cell>
          <cell r="B9494" t="str">
            <v>Cà Chua Bi Mix</v>
          </cell>
          <cell r="C9494" t="str">
            <v>Hộp</v>
          </cell>
          <cell r="D9494">
            <v>11100</v>
          </cell>
        </row>
        <row r="9495">
          <cell r="A9495">
            <v>45699</v>
          </cell>
          <cell r="B9495" t="str">
            <v>Cà Chua Socola</v>
          </cell>
          <cell r="C9495" t="str">
            <v>Hộp 300gr</v>
          </cell>
          <cell r="D9495">
            <v>9900</v>
          </cell>
        </row>
        <row r="9496">
          <cell r="A9496">
            <v>45699</v>
          </cell>
          <cell r="B9496" t="str">
            <v>Cải Kale</v>
          </cell>
          <cell r="C9496" t="str">
            <v>Túi</v>
          </cell>
          <cell r="D9496">
            <v>4200</v>
          </cell>
        </row>
        <row r="9497">
          <cell r="A9497">
            <v>45699</v>
          </cell>
          <cell r="B9497" t="str">
            <v>Chanh Không Hạt</v>
          </cell>
          <cell r="C9497" t="str">
            <v>Vỉ</v>
          </cell>
          <cell r="D9497">
            <v>7500</v>
          </cell>
        </row>
        <row r="9498">
          <cell r="A9498">
            <v>45699</v>
          </cell>
          <cell r="B9498" t="str">
            <v>Măng Tây</v>
          </cell>
          <cell r="C9498" t="str">
            <v>Kg</v>
          </cell>
          <cell r="D9498">
            <v>52000</v>
          </cell>
        </row>
        <row r="9499">
          <cell r="A9499">
            <v>45699</v>
          </cell>
          <cell r="B9499" t="str">
            <v>Măng Tây</v>
          </cell>
          <cell r="C9499" t="str">
            <v>Kg</v>
          </cell>
          <cell r="D9499">
            <v>44000</v>
          </cell>
        </row>
        <row r="9500">
          <cell r="A9500">
            <v>45699</v>
          </cell>
          <cell r="B9500" t="str">
            <v>Lá É</v>
          </cell>
          <cell r="C9500" t="str">
            <v>Kg</v>
          </cell>
          <cell r="D9500">
            <v>25000</v>
          </cell>
        </row>
        <row r="9501">
          <cell r="A9501">
            <v>45699</v>
          </cell>
          <cell r="B9501" t="str">
            <v>Bí Đỏ Hồ Lô</v>
          </cell>
          <cell r="C9501" t="str">
            <v>Kg</v>
          </cell>
          <cell r="D9501">
            <v>8000</v>
          </cell>
        </row>
        <row r="9502">
          <cell r="A9502">
            <v>45699</v>
          </cell>
          <cell r="B9502" t="str">
            <v>CT - BÍ NGÒI XANH</v>
          </cell>
          <cell r="C9502" t="str">
            <v>Kg</v>
          </cell>
          <cell r="D9502">
            <v>15000</v>
          </cell>
        </row>
        <row r="9503">
          <cell r="A9503">
            <v>45699</v>
          </cell>
          <cell r="B9503" t="str">
            <v>Cà Chua Thường</v>
          </cell>
          <cell r="C9503" t="str">
            <v>Kg</v>
          </cell>
          <cell r="D9503">
            <v>15000</v>
          </cell>
        </row>
        <row r="9504">
          <cell r="A9504">
            <v>45699</v>
          </cell>
          <cell r="B9504" t="str">
            <v>Cà Chua Thường Trung</v>
          </cell>
          <cell r="C9504" t="str">
            <v>Kg</v>
          </cell>
          <cell r="D9504">
            <v>11000</v>
          </cell>
        </row>
        <row r="9505">
          <cell r="A9505">
            <v>45699</v>
          </cell>
          <cell r="B9505" t="str">
            <v>Bắp Cải Trắng</v>
          </cell>
          <cell r="C9505" t="str">
            <v>Kg</v>
          </cell>
          <cell r="D9505">
            <v>5500</v>
          </cell>
        </row>
        <row r="9506">
          <cell r="A9506">
            <v>45699</v>
          </cell>
          <cell r="B9506" t="str">
            <v>Cà Rốt</v>
          </cell>
          <cell r="C9506" t="str">
            <v>Kg</v>
          </cell>
          <cell r="D9506">
            <v>8000</v>
          </cell>
        </row>
        <row r="9507">
          <cell r="A9507">
            <v>45699</v>
          </cell>
          <cell r="B9507" t="str">
            <v>Củ Su Hào</v>
          </cell>
          <cell r="C9507" t="str">
            <v>Kg</v>
          </cell>
          <cell r="D9507">
            <v>9000</v>
          </cell>
        </row>
        <row r="9508">
          <cell r="A9508">
            <v>45699</v>
          </cell>
          <cell r="B9508" t="str">
            <v>Xà Lách Mỡ T.C</v>
          </cell>
          <cell r="C9508" t="str">
            <v>Kg</v>
          </cell>
          <cell r="D9508">
            <v>24000</v>
          </cell>
        </row>
        <row r="9509">
          <cell r="A9509">
            <v>45699</v>
          </cell>
          <cell r="B9509" t="str">
            <v>Xà Lách Lolo Xanh T.C</v>
          </cell>
          <cell r="C9509" t="str">
            <v>Kg</v>
          </cell>
          <cell r="D9509">
            <v>25000</v>
          </cell>
        </row>
        <row r="9510">
          <cell r="A9510">
            <v>45699</v>
          </cell>
          <cell r="B9510" t="str">
            <v>Xà Lách Thủy Tinh T.C</v>
          </cell>
          <cell r="C9510" t="str">
            <v>Kg</v>
          </cell>
          <cell r="D9510">
            <v>25000</v>
          </cell>
        </row>
        <row r="9511">
          <cell r="A9511">
            <v>45699</v>
          </cell>
          <cell r="B9511" t="str">
            <v>Củ Khoai Tây Vàng Trung</v>
          </cell>
          <cell r="C9511" t="str">
            <v>Kg</v>
          </cell>
          <cell r="D9511">
            <v>13000</v>
          </cell>
        </row>
        <row r="9512">
          <cell r="A9512">
            <v>45699</v>
          </cell>
          <cell r="B9512" t="str">
            <v>Củ Khoai Lang Nhật</v>
          </cell>
          <cell r="C9512" t="str">
            <v>Kg</v>
          </cell>
          <cell r="D9512">
            <v>16500</v>
          </cell>
        </row>
        <row r="9513">
          <cell r="A9513">
            <v>45699</v>
          </cell>
          <cell r="B9513" t="str">
            <v>Củ Gừng</v>
          </cell>
          <cell r="C9513" t="str">
            <v>Kg</v>
          </cell>
          <cell r="D9513">
            <v>18000</v>
          </cell>
        </row>
        <row r="9514">
          <cell r="A9514">
            <v>45699</v>
          </cell>
          <cell r="B9514" t="str">
            <v>Củ Khoai Mỡ</v>
          </cell>
          <cell r="C9514" t="str">
            <v>Kg</v>
          </cell>
          <cell r="D9514">
            <v>28000</v>
          </cell>
        </row>
        <row r="9515">
          <cell r="A9515">
            <v>45699</v>
          </cell>
          <cell r="B9515" t="str">
            <v>Dưa Leo Thường</v>
          </cell>
          <cell r="C9515" t="str">
            <v>Kg</v>
          </cell>
          <cell r="D9515">
            <v>16000</v>
          </cell>
        </row>
        <row r="9516">
          <cell r="A9516">
            <v>45699</v>
          </cell>
          <cell r="B9516" t="str">
            <v>Trái Khổ Qua</v>
          </cell>
          <cell r="C9516" t="str">
            <v>Kg</v>
          </cell>
          <cell r="D9516">
            <v>12000</v>
          </cell>
        </row>
        <row r="9517">
          <cell r="A9517">
            <v>45699</v>
          </cell>
          <cell r="B9517" t="str">
            <v>Bí Đao Xanh</v>
          </cell>
          <cell r="C9517" t="str">
            <v>Kg</v>
          </cell>
          <cell r="D9517">
            <v>12000</v>
          </cell>
        </row>
        <row r="9518">
          <cell r="A9518">
            <v>45699</v>
          </cell>
          <cell r="B9518" t="str">
            <v>Trái Bầu</v>
          </cell>
          <cell r="C9518" t="str">
            <v>Kg</v>
          </cell>
          <cell r="D9518">
            <v>6000</v>
          </cell>
        </row>
        <row r="9519">
          <cell r="A9519">
            <v>45699</v>
          </cell>
          <cell r="B9519" t="str">
            <v>Bí Ngòi Xanh</v>
          </cell>
          <cell r="C9519" t="str">
            <v>Kg</v>
          </cell>
          <cell r="D9519">
            <v>17500</v>
          </cell>
        </row>
        <row r="9520">
          <cell r="A9520">
            <v>45699</v>
          </cell>
          <cell r="B9520" t="str">
            <v>Cà Rốt</v>
          </cell>
          <cell r="C9520" t="str">
            <v>Kg</v>
          </cell>
          <cell r="D9520">
            <v>7700</v>
          </cell>
        </row>
        <row r="9521">
          <cell r="A9521">
            <v>45699</v>
          </cell>
          <cell r="B9521" t="str">
            <v>Xà Lách Thủy Tinh T.C Cây</v>
          </cell>
          <cell r="C9521" t="str">
            <v>Cây</v>
          </cell>
          <cell r="D9521">
            <v>6000</v>
          </cell>
        </row>
        <row r="9522">
          <cell r="A9522">
            <v>45699</v>
          </cell>
          <cell r="B9522" t="str">
            <v>Bắp Cải Trắng</v>
          </cell>
          <cell r="C9522" t="str">
            <v>Kg</v>
          </cell>
          <cell r="D9522">
            <v>6000</v>
          </cell>
        </row>
        <row r="9523">
          <cell r="A9523">
            <v>45699</v>
          </cell>
          <cell r="B9523" t="str">
            <v>Củ Cải Trắng</v>
          </cell>
          <cell r="C9523" t="str">
            <v>Kg</v>
          </cell>
          <cell r="D9523">
            <v>4200</v>
          </cell>
        </row>
        <row r="9524">
          <cell r="A9524">
            <v>45699</v>
          </cell>
          <cell r="B9524" t="str">
            <v>Cải Kale</v>
          </cell>
          <cell r="C9524" t="str">
            <v>Túi</v>
          </cell>
          <cell r="D9524">
            <v>3900</v>
          </cell>
        </row>
        <row r="9525">
          <cell r="A9525">
            <v>45699</v>
          </cell>
          <cell r="B9525" t="str">
            <v>Lá Mè</v>
          </cell>
          <cell r="C9525" t="str">
            <v>Túi</v>
          </cell>
          <cell r="D9525">
            <v>2800</v>
          </cell>
        </row>
        <row r="9526">
          <cell r="A9526">
            <v>45699</v>
          </cell>
          <cell r="B9526" t="str">
            <v>Cà Rốt</v>
          </cell>
          <cell r="C9526" t="str">
            <v>Kg</v>
          </cell>
          <cell r="D9526">
            <v>7500</v>
          </cell>
        </row>
        <row r="9527">
          <cell r="A9527">
            <v>45699</v>
          </cell>
          <cell r="B9527" t="str">
            <v>Cà Chua Bi Đỏ</v>
          </cell>
          <cell r="C9527" t="str">
            <v>Hộp 500gr</v>
          </cell>
          <cell r="D9527">
            <v>8500</v>
          </cell>
        </row>
        <row r="9528">
          <cell r="A9528">
            <v>45699</v>
          </cell>
          <cell r="B9528" t="str">
            <v>Cà Chua Bi Đỏ</v>
          </cell>
          <cell r="C9528" t="str">
            <v>Hộp 300gr</v>
          </cell>
          <cell r="D9528">
            <v>5100</v>
          </cell>
        </row>
        <row r="9529">
          <cell r="A9529">
            <v>45699</v>
          </cell>
          <cell r="B9529" t="str">
            <v>Bí Ngòi Xanh</v>
          </cell>
          <cell r="C9529" t="str">
            <v>Kg</v>
          </cell>
          <cell r="D9529">
            <v>19000</v>
          </cell>
        </row>
        <row r="9530">
          <cell r="A9530">
            <v>45699</v>
          </cell>
          <cell r="B9530" t="str">
            <v>Rau Bầu Đất</v>
          </cell>
          <cell r="C9530" t="str">
            <v>Kg</v>
          </cell>
          <cell r="D9530">
            <v>35000</v>
          </cell>
        </row>
        <row r="9531">
          <cell r="A9531">
            <v>45699</v>
          </cell>
          <cell r="B9531" t="str">
            <v>Củ Khoai Lang Mật Size 23</v>
          </cell>
          <cell r="C9531" t="str">
            <v>Kg</v>
          </cell>
          <cell r="D9531">
            <v>26500</v>
          </cell>
        </row>
        <row r="9532">
          <cell r="A9532">
            <v>45699</v>
          </cell>
          <cell r="B9532" t="str">
            <v>Ớt Chuông Baby</v>
          </cell>
          <cell r="C9532" t="str">
            <v>Kg</v>
          </cell>
          <cell r="D9532">
            <v>55000</v>
          </cell>
        </row>
        <row r="9533">
          <cell r="A9533">
            <v>45699</v>
          </cell>
          <cell r="B9533" t="str">
            <v>Ớt Sweet Palemo</v>
          </cell>
          <cell r="C9533" t="str">
            <v>Túi</v>
          </cell>
          <cell r="D9533">
            <v>18000</v>
          </cell>
        </row>
        <row r="9534">
          <cell r="A9534">
            <v>45699</v>
          </cell>
          <cell r="B9534" t="str">
            <v>Củ Hành Tây</v>
          </cell>
          <cell r="C9534" t="str">
            <v>Kg</v>
          </cell>
          <cell r="D9534">
            <v>8700</v>
          </cell>
        </row>
        <row r="9535">
          <cell r="A9535">
            <v>45699</v>
          </cell>
          <cell r="B9535" t="str">
            <v>Củ Hành Tây Trung</v>
          </cell>
          <cell r="C9535" t="str">
            <v>Kg</v>
          </cell>
          <cell r="D9535">
            <v>7000</v>
          </cell>
        </row>
        <row r="9536">
          <cell r="A9536">
            <v>45699</v>
          </cell>
          <cell r="B9536" t="str">
            <v>Củ Hành Tây</v>
          </cell>
          <cell r="C9536" t="str">
            <v>Kg</v>
          </cell>
          <cell r="D9536">
            <v>8500</v>
          </cell>
        </row>
        <row r="9537">
          <cell r="A9537">
            <v>45699</v>
          </cell>
          <cell r="B9537" t="str">
            <v>Củ Hành Tây Tím</v>
          </cell>
          <cell r="C9537" t="str">
            <v>Kg</v>
          </cell>
          <cell r="D9537">
            <v>20000</v>
          </cell>
        </row>
        <row r="9538">
          <cell r="A9538">
            <v>45699</v>
          </cell>
          <cell r="B9538" t="str">
            <v>Ớt Sweet Palemo</v>
          </cell>
          <cell r="C9538" t="str">
            <v>Túi</v>
          </cell>
          <cell r="D9538">
            <v>17500</v>
          </cell>
        </row>
        <row r="9539">
          <cell r="A9539">
            <v>45699</v>
          </cell>
          <cell r="B9539" t="str">
            <v>Cải Thảo</v>
          </cell>
          <cell r="C9539" t="str">
            <v>Kg</v>
          </cell>
          <cell r="D9539">
            <v>3000</v>
          </cell>
        </row>
        <row r="9540">
          <cell r="A9540">
            <v>45699</v>
          </cell>
          <cell r="B9540" t="str">
            <v>Hành Paro</v>
          </cell>
          <cell r="C9540" t="str">
            <v>Kg</v>
          </cell>
          <cell r="D9540">
            <v>12000</v>
          </cell>
        </row>
        <row r="9541">
          <cell r="A9541">
            <v>45699</v>
          </cell>
          <cell r="B9541" t="str">
            <v>Bí Ngòi Vàng</v>
          </cell>
          <cell r="C9541" t="str">
            <v>Kg</v>
          </cell>
          <cell r="D9541">
            <v>25000</v>
          </cell>
        </row>
        <row r="9542">
          <cell r="A9542">
            <v>45699</v>
          </cell>
          <cell r="B9542" t="str">
            <v>Cần Tây</v>
          </cell>
          <cell r="C9542" t="str">
            <v>Kg</v>
          </cell>
          <cell r="D9542">
            <v>13000</v>
          </cell>
        </row>
        <row r="9543">
          <cell r="A9543">
            <v>45699</v>
          </cell>
          <cell r="B9543" t="str">
            <v>Cải Bó Xôi</v>
          </cell>
          <cell r="C9543" t="str">
            <v>Kg</v>
          </cell>
          <cell r="D9543">
            <v>12000</v>
          </cell>
        </row>
        <row r="9544">
          <cell r="A9544">
            <v>45699</v>
          </cell>
          <cell r="B9544" t="str">
            <v>Củ Dền</v>
          </cell>
          <cell r="C9544" t="str">
            <v>Kg</v>
          </cell>
          <cell r="D9544">
            <v>10000</v>
          </cell>
        </row>
        <row r="9545">
          <cell r="A9545">
            <v>45699</v>
          </cell>
          <cell r="B9545" t="str">
            <v>Bông Cải Trắng</v>
          </cell>
          <cell r="C9545" t="str">
            <v>Kg</v>
          </cell>
          <cell r="D9545">
            <v>9000</v>
          </cell>
        </row>
        <row r="9546">
          <cell r="A9546">
            <v>45699</v>
          </cell>
          <cell r="B9546" t="str">
            <v>Trái Su Su</v>
          </cell>
          <cell r="C9546" t="str">
            <v>Kg</v>
          </cell>
          <cell r="D9546">
            <v>4000</v>
          </cell>
        </row>
        <row r="9547">
          <cell r="A9547">
            <v>45699</v>
          </cell>
          <cell r="B9547" t="str">
            <v>Đậu Cove Trắng</v>
          </cell>
          <cell r="C9547" t="str">
            <v>Kg</v>
          </cell>
          <cell r="D9547">
            <v>14500</v>
          </cell>
        </row>
        <row r="9548">
          <cell r="A9548">
            <v>45699</v>
          </cell>
          <cell r="B9548" t="str">
            <v>Dưa Leo Baby</v>
          </cell>
          <cell r="C9548" t="str">
            <v>Kg</v>
          </cell>
          <cell r="D9548">
            <v>9500</v>
          </cell>
        </row>
        <row r="9549">
          <cell r="A9549">
            <v>45699</v>
          </cell>
          <cell r="B9549" t="str">
            <v>Dưa Leo Baby</v>
          </cell>
          <cell r="C9549" t="str">
            <v>Kg</v>
          </cell>
          <cell r="D9549">
            <v>10000</v>
          </cell>
        </row>
        <row r="9550">
          <cell r="A9550">
            <v>45699</v>
          </cell>
          <cell r="B9550" t="str">
            <v>Bí Ngòi Xanh</v>
          </cell>
          <cell r="C9550" t="str">
            <v>Kg</v>
          </cell>
          <cell r="D9550">
            <v>9000</v>
          </cell>
        </row>
        <row r="9551">
          <cell r="A9551">
            <v>45699</v>
          </cell>
          <cell r="B9551" t="str">
            <v>Gia Công Rau Củ Quả</v>
          </cell>
          <cell r="C9551" t="str">
            <v>Kg</v>
          </cell>
          <cell r="D9551">
            <v>1700</v>
          </cell>
        </row>
        <row r="9552">
          <cell r="A9552">
            <v>45699</v>
          </cell>
          <cell r="B9552" t="str">
            <v>Gia Công Rau Củ Quả</v>
          </cell>
          <cell r="C9552" t="str">
            <v>Kg</v>
          </cell>
          <cell r="D9552">
            <v>1700</v>
          </cell>
        </row>
        <row r="9553">
          <cell r="A9553">
            <v>45699</v>
          </cell>
          <cell r="B9553" t="str">
            <v>Gia Công Rau Củ Quả</v>
          </cell>
          <cell r="C9553" t="str">
            <v>Kg</v>
          </cell>
          <cell r="D9553">
            <v>1000</v>
          </cell>
        </row>
        <row r="9554">
          <cell r="A9554">
            <v>45699</v>
          </cell>
          <cell r="B9554" t="str">
            <v>Gia Công Rau Củ Quả</v>
          </cell>
          <cell r="C9554" t="str">
            <v>Kg</v>
          </cell>
          <cell r="D9554">
            <v>700</v>
          </cell>
        </row>
        <row r="9555">
          <cell r="A9555">
            <v>45699</v>
          </cell>
          <cell r="B9555" t="str">
            <v>Bông Cải Xanh 7Cm</v>
          </cell>
          <cell r="C9555" t="str">
            <v>Kg</v>
          </cell>
          <cell r="D9555">
            <v>24000</v>
          </cell>
        </row>
        <row r="9556">
          <cell r="A9556">
            <v>45699</v>
          </cell>
          <cell r="B9556" t="str">
            <v>Bông Cải Xanh Cây</v>
          </cell>
          <cell r="C9556" t="str">
            <v>Cây</v>
          </cell>
          <cell r="D9556">
            <v>5000</v>
          </cell>
        </row>
        <row r="9557">
          <cell r="A9557">
            <v>45699</v>
          </cell>
          <cell r="B9557" t="str">
            <v>Bông Cải Xanh Cây</v>
          </cell>
          <cell r="C9557" t="str">
            <v>Cây</v>
          </cell>
          <cell r="D9557">
            <v>5000</v>
          </cell>
        </row>
        <row r="9558">
          <cell r="A9558">
            <v>45699</v>
          </cell>
          <cell r="B9558" t="str">
            <v>Xà Lách Lolo Xanh</v>
          </cell>
          <cell r="C9558" t="str">
            <v>Kg</v>
          </cell>
          <cell r="D9558">
            <v>13000</v>
          </cell>
        </row>
        <row r="9559">
          <cell r="A9559">
            <v>45699</v>
          </cell>
          <cell r="B9559" t="str">
            <v>Bông Cải Xanh 7Cm</v>
          </cell>
          <cell r="C9559" t="str">
            <v>Kg</v>
          </cell>
          <cell r="D9559">
            <v>24000</v>
          </cell>
        </row>
        <row r="9560">
          <cell r="A9560">
            <v>45699</v>
          </cell>
          <cell r="B9560" t="str">
            <v>Trái Mít Thái</v>
          </cell>
          <cell r="C9560" t="str">
            <v>Kg</v>
          </cell>
          <cell r="D9560">
            <v>19125</v>
          </cell>
        </row>
        <row r="9561">
          <cell r="A9561">
            <v>45699</v>
          </cell>
          <cell r="B9561" t="str">
            <v>Dưa Leo Baby</v>
          </cell>
          <cell r="C9561" t="str">
            <v>Vỉ</v>
          </cell>
          <cell r="D9561">
            <v>6500</v>
          </cell>
        </row>
        <row r="9562">
          <cell r="A9562">
            <v>45699</v>
          </cell>
          <cell r="B9562" t="str">
            <v>Cà Chua Beef</v>
          </cell>
          <cell r="C9562" t="str">
            <v>Kg</v>
          </cell>
          <cell r="D9562">
            <v>12000</v>
          </cell>
        </row>
        <row r="9563">
          <cell r="A9563">
            <v>45699</v>
          </cell>
          <cell r="B9563" t="str">
            <v>Bông Cải Xanh 7Cm</v>
          </cell>
          <cell r="C9563" t="str">
            <v>Kg</v>
          </cell>
          <cell r="D9563">
            <v>23000</v>
          </cell>
        </row>
        <row r="9564">
          <cell r="A9564">
            <v>45699</v>
          </cell>
          <cell r="B9564" t="str">
            <v>Bông Cải Xanh Cây</v>
          </cell>
          <cell r="C9564" t="str">
            <v>Cây</v>
          </cell>
          <cell r="D9564">
            <v>7000</v>
          </cell>
        </row>
        <row r="9565">
          <cell r="A9565">
            <v>45699</v>
          </cell>
          <cell r="B9565" t="str">
            <v>Bông Cải Xanh 7Cm</v>
          </cell>
          <cell r="C9565" t="str">
            <v>Kg</v>
          </cell>
          <cell r="D9565">
            <v>12000</v>
          </cell>
        </row>
        <row r="9566">
          <cell r="A9566">
            <v>45699</v>
          </cell>
          <cell r="B9566" t="str">
            <v>Cần Tây</v>
          </cell>
          <cell r="C9566" t="str">
            <v>Kg</v>
          </cell>
          <cell r="D9566">
            <v>15000</v>
          </cell>
        </row>
        <row r="9567">
          <cell r="A9567">
            <v>45699</v>
          </cell>
          <cell r="B9567" t="str">
            <v>Bắp Cải Tím</v>
          </cell>
          <cell r="C9567" t="str">
            <v>Kg</v>
          </cell>
          <cell r="D9567">
            <v>18000</v>
          </cell>
        </row>
        <row r="9568">
          <cell r="A9568">
            <v>45699</v>
          </cell>
          <cell r="B9568" t="str">
            <v>Ớt Chuông Đỏ</v>
          </cell>
          <cell r="C9568" t="str">
            <v>Kg</v>
          </cell>
          <cell r="D9568">
            <v>60000</v>
          </cell>
        </row>
        <row r="9569">
          <cell r="A9569">
            <v>45699</v>
          </cell>
          <cell r="B9569" t="str">
            <v>Ớt Chuông Vàng</v>
          </cell>
          <cell r="C9569" t="str">
            <v>Kg</v>
          </cell>
          <cell r="D9569">
            <v>60000</v>
          </cell>
        </row>
        <row r="9570">
          <cell r="A9570">
            <v>45699</v>
          </cell>
          <cell r="B9570" t="str">
            <v>Ớt Chuông Snack</v>
          </cell>
          <cell r="C9570" t="str">
            <v>Kg</v>
          </cell>
          <cell r="D9570">
            <v>60000</v>
          </cell>
        </row>
        <row r="9571">
          <cell r="A9571">
            <v>45699</v>
          </cell>
          <cell r="B9571" t="str">
            <v>Ớt Chuông Baby</v>
          </cell>
          <cell r="C9571" t="str">
            <v>Kg</v>
          </cell>
          <cell r="D9571">
            <v>50000</v>
          </cell>
        </row>
        <row r="9572">
          <cell r="A9572">
            <v>45700</v>
          </cell>
          <cell r="B9572" t="str">
            <v>Dầu Do 0.001 S-V</v>
          </cell>
          <cell r="C9572" t="str">
            <v>Lít</v>
          </cell>
          <cell r="D9572">
            <v>18081.82</v>
          </cell>
        </row>
        <row r="9573">
          <cell r="A9573">
            <v>45700</v>
          </cell>
          <cell r="B9573" t="str">
            <v>DO 0.05S-II</v>
          </cell>
          <cell r="C9573" t="str">
            <v>Lít</v>
          </cell>
          <cell r="D9573">
            <v>17663.64</v>
          </cell>
        </row>
        <row r="9574">
          <cell r="A9574">
            <v>45700</v>
          </cell>
          <cell r="B9574" t="str">
            <v>Đậu Cove Nhật</v>
          </cell>
          <cell r="C9574" t="str">
            <v>Túi</v>
          </cell>
          <cell r="D9574">
            <v>6000</v>
          </cell>
        </row>
        <row r="9575">
          <cell r="A9575">
            <v>45700</v>
          </cell>
          <cell r="B9575" t="str">
            <v>Cà Tím</v>
          </cell>
          <cell r="C9575" t="str">
            <v>Kg</v>
          </cell>
          <cell r="D9575">
            <v>8000</v>
          </cell>
        </row>
        <row r="9576">
          <cell r="A9576">
            <v>45700</v>
          </cell>
          <cell r="B9576" t="str">
            <v>Trái Su Su</v>
          </cell>
          <cell r="C9576" t="str">
            <v>Kg</v>
          </cell>
          <cell r="D9576">
            <v>8000</v>
          </cell>
        </row>
        <row r="9577">
          <cell r="A9577">
            <v>45700</v>
          </cell>
          <cell r="B9577" t="str">
            <v>Củ Khoai Mỡ</v>
          </cell>
          <cell r="C9577" t="str">
            <v>Kg</v>
          </cell>
          <cell r="D9577">
            <v>28000</v>
          </cell>
        </row>
        <row r="9578">
          <cell r="A9578">
            <v>45700</v>
          </cell>
          <cell r="B9578" t="str">
            <v>Dưa Leo Baby</v>
          </cell>
          <cell r="C9578" t="str">
            <v>Vỉ</v>
          </cell>
          <cell r="D9578">
            <v>9000</v>
          </cell>
        </row>
        <row r="9579">
          <cell r="A9579">
            <v>45700</v>
          </cell>
          <cell r="B9579" t="str">
            <v>Dưa Leo Baby</v>
          </cell>
          <cell r="C9579" t="str">
            <v>Vỉ</v>
          </cell>
          <cell r="D9579">
            <v>9000</v>
          </cell>
        </row>
        <row r="9580">
          <cell r="A9580">
            <v>45700</v>
          </cell>
          <cell r="B9580" t="str">
            <v>Cải Thảo</v>
          </cell>
          <cell r="C9580" t="str">
            <v>Kg</v>
          </cell>
          <cell r="D9580">
            <v>5500</v>
          </cell>
        </row>
        <row r="9581">
          <cell r="A9581">
            <v>45700</v>
          </cell>
          <cell r="B9581" t="str">
            <v>Ớt Chuông Đỏ</v>
          </cell>
          <cell r="C9581" t="str">
            <v>Kg</v>
          </cell>
          <cell r="D9581">
            <v>60000</v>
          </cell>
        </row>
        <row r="9582">
          <cell r="A9582">
            <v>45700</v>
          </cell>
          <cell r="B9582" t="str">
            <v>Ớt Chuông Vàng</v>
          </cell>
          <cell r="C9582" t="str">
            <v>Kg</v>
          </cell>
          <cell r="D9582">
            <v>60000</v>
          </cell>
        </row>
        <row r="9583">
          <cell r="A9583">
            <v>45700</v>
          </cell>
          <cell r="B9583" t="str">
            <v>Ớt Chuông Xanh</v>
          </cell>
          <cell r="C9583" t="str">
            <v>Kg</v>
          </cell>
          <cell r="D9583">
            <v>35000</v>
          </cell>
        </row>
        <row r="9584">
          <cell r="A9584">
            <v>45700</v>
          </cell>
          <cell r="B9584" t="str">
            <v>Trái Su Su</v>
          </cell>
          <cell r="C9584" t="str">
            <v>Kg</v>
          </cell>
          <cell r="D9584">
            <v>4500</v>
          </cell>
        </row>
        <row r="9585">
          <cell r="A9585">
            <v>45700</v>
          </cell>
          <cell r="B9585" t="str">
            <v>Lá Nha Đam</v>
          </cell>
          <cell r="C9585" t="str">
            <v>Kg</v>
          </cell>
          <cell r="D9585">
            <v>14000</v>
          </cell>
        </row>
        <row r="9586">
          <cell r="A9586">
            <v>45700</v>
          </cell>
          <cell r="B9586" t="str">
            <v>Bí Đỏ Tròn</v>
          </cell>
          <cell r="C9586" t="str">
            <v>Kg</v>
          </cell>
          <cell r="D9586">
            <v>11500</v>
          </cell>
        </row>
        <row r="9587">
          <cell r="A9587">
            <v>45700</v>
          </cell>
          <cell r="B9587" t="str">
            <v>Chuối Laba</v>
          </cell>
          <cell r="C9587" t="str">
            <v>Kg</v>
          </cell>
          <cell r="D9587">
            <v>14000</v>
          </cell>
        </row>
        <row r="9588">
          <cell r="A9588">
            <v>45700</v>
          </cell>
          <cell r="B9588" t="str">
            <v>Củ Gừng</v>
          </cell>
          <cell r="C9588" t="str">
            <v>Kg</v>
          </cell>
          <cell r="D9588">
            <v>18000</v>
          </cell>
        </row>
        <row r="9589">
          <cell r="A9589">
            <v>45700</v>
          </cell>
          <cell r="B9589" t="str">
            <v>Bông Cải Xanh Cây</v>
          </cell>
          <cell r="C9589" t="str">
            <v>Cây</v>
          </cell>
          <cell r="D9589">
            <v>8000</v>
          </cell>
        </row>
        <row r="9590">
          <cell r="A9590">
            <v>45700</v>
          </cell>
          <cell r="B9590" t="str">
            <v>Ớt Chuông Đỏ</v>
          </cell>
          <cell r="C9590" t="str">
            <v>Kg</v>
          </cell>
          <cell r="D9590">
            <v>53000</v>
          </cell>
        </row>
        <row r="9591">
          <cell r="A9591">
            <v>45700</v>
          </cell>
          <cell r="B9591" t="str">
            <v>Cần Tây</v>
          </cell>
          <cell r="C9591" t="str">
            <v>Kg</v>
          </cell>
          <cell r="D9591">
            <v>12000</v>
          </cell>
        </row>
        <row r="9592">
          <cell r="A9592">
            <v>45700</v>
          </cell>
          <cell r="B9592" t="str">
            <v>Củ Khoai Tây Vàng</v>
          </cell>
          <cell r="C9592" t="str">
            <v>Kg</v>
          </cell>
          <cell r="D9592">
            <v>13000</v>
          </cell>
        </row>
        <row r="9593">
          <cell r="A9593">
            <v>45700</v>
          </cell>
          <cell r="B9593" t="str">
            <v>Hành Paro</v>
          </cell>
          <cell r="C9593" t="str">
            <v>Kg</v>
          </cell>
          <cell r="D9593">
            <v>10000</v>
          </cell>
        </row>
        <row r="9594">
          <cell r="A9594">
            <v>45700</v>
          </cell>
          <cell r="B9594" t="str">
            <v>Bắp Cải Tím</v>
          </cell>
          <cell r="C9594" t="str">
            <v>Kg</v>
          </cell>
          <cell r="D9594">
            <v>20000</v>
          </cell>
        </row>
        <row r="9595">
          <cell r="A9595">
            <v>45700</v>
          </cell>
          <cell r="B9595" t="str">
            <v>Cần Tây</v>
          </cell>
          <cell r="C9595" t="str">
            <v>Kg</v>
          </cell>
          <cell r="D9595">
            <v>13000</v>
          </cell>
        </row>
        <row r="9596">
          <cell r="A9596">
            <v>45700</v>
          </cell>
          <cell r="B9596" t="str">
            <v>Bí Đỏ Hồ Lô</v>
          </cell>
          <cell r="C9596" t="str">
            <v>Kg</v>
          </cell>
          <cell r="D9596">
            <v>7500</v>
          </cell>
        </row>
        <row r="9597">
          <cell r="A9597">
            <v>45700</v>
          </cell>
          <cell r="B9597" t="str">
            <v>Bí Ngòi Xanh</v>
          </cell>
          <cell r="C9597" t="str">
            <v>Kg</v>
          </cell>
          <cell r="D9597">
            <v>17500</v>
          </cell>
        </row>
        <row r="9598">
          <cell r="A9598">
            <v>45700</v>
          </cell>
          <cell r="B9598" t="str">
            <v>Cà Rốt</v>
          </cell>
          <cell r="C9598" t="str">
            <v>Kg</v>
          </cell>
          <cell r="D9598">
            <v>7500</v>
          </cell>
        </row>
        <row r="9599">
          <cell r="A9599">
            <v>45700</v>
          </cell>
          <cell r="B9599" t="str">
            <v>Xà Lách Thủy Tinh T.C Cây</v>
          </cell>
          <cell r="C9599" t="str">
            <v>Cây</v>
          </cell>
          <cell r="D9599">
            <v>6000</v>
          </cell>
        </row>
        <row r="9600">
          <cell r="A9600">
            <v>45700</v>
          </cell>
          <cell r="B9600" t="str">
            <v>Củ Khoai Lang Nhật</v>
          </cell>
          <cell r="C9600" t="str">
            <v>Kg</v>
          </cell>
          <cell r="D9600">
            <v>17500</v>
          </cell>
        </row>
        <row r="9601">
          <cell r="A9601">
            <v>45700</v>
          </cell>
          <cell r="B9601" t="str">
            <v>Củ Cải Trắng</v>
          </cell>
          <cell r="C9601" t="str">
            <v>Kg</v>
          </cell>
          <cell r="D9601">
            <v>4000</v>
          </cell>
        </row>
        <row r="9602">
          <cell r="A9602">
            <v>45700</v>
          </cell>
          <cell r="B9602" t="str">
            <v>Cà Rốt</v>
          </cell>
          <cell r="C9602" t="str">
            <v>Kg</v>
          </cell>
          <cell r="D9602">
            <v>8000</v>
          </cell>
        </row>
        <row r="9603">
          <cell r="A9603">
            <v>45700</v>
          </cell>
          <cell r="B9603" t="str">
            <v>Hành Paro</v>
          </cell>
          <cell r="C9603" t="str">
            <v>Kg</v>
          </cell>
          <cell r="D9603">
            <v>11500</v>
          </cell>
        </row>
        <row r="9604">
          <cell r="A9604">
            <v>45700</v>
          </cell>
          <cell r="B9604" t="str">
            <v>Bí Ngòi Xanh</v>
          </cell>
          <cell r="C9604" t="str">
            <v>Kg</v>
          </cell>
          <cell r="D9604">
            <v>18000</v>
          </cell>
        </row>
        <row r="9605">
          <cell r="A9605">
            <v>45700</v>
          </cell>
          <cell r="B9605" t="str">
            <v>Củ Hành Tây</v>
          </cell>
          <cell r="C9605" t="str">
            <v>Kg</v>
          </cell>
          <cell r="D9605">
            <v>8700</v>
          </cell>
        </row>
        <row r="9606">
          <cell r="A9606">
            <v>45700</v>
          </cell>
          <cell r="B9606" t="str">
            <v>Cà Chua Beef</v>
          </cell>
          <cell r="C9606" t="str">
            <v>Kg</v>
          </cell>
          <cell r="D9606">
            <v>12500</v>
          </cell>
        </row>
        <row r="9607">
          <cell r="A9607">
            <v>45700</v>
          </cell>
          <cell r="B9607" t="str">
            <v>Đậu Hà Lan Trái</v>
          </cell>
          <cell r="C9607" t="str">
            <v>Kg</v>
          </cell>
          <cell r="D9607">
            <v>70000</v>
          </cell>
        </row>
        <row r="9608">
          <cell r="A9608">
            <v>45700</v>
          </cell>
          <cell r="B9608" t="str">
            <v>Rau Bầu Đất</v>
          </cell>
          <cell r="C9608" t="str">
            <v>Kg</v>
          </cell>
          <cell r="D9608">
            <v>35000</v>
          </cell>
        </row>
        <row r="9609">
          <cell r="A9609">
            <v>45700</v>
          </cell>
          <cell r="B9609" t="str">
            <v>Xà Lách Carol</v>
          </cell>
          <cell r="C9609" t="str">
            <v>Kg</v>
          </cell>
          <cell r="D9609">
            <v>32000</v>
          </cell>
        </row>
        <row r="9610">
          <cell r="A9610">
            <v>45700</v>
          </cell>
          <cell r="B9610" t="str">
            <v>Củ Hành Tây</v>
          </cell>
          <cell r="C9610" t="str">
            <v>Kg</v>
          </cell>
          <cell r="D9610">
            <v>8500</v>
          </cell>
        </row>
        <row r="9611">
          <cell r="A9611">
            <v>45700</v>
          </cell>
          <cell r="B9611" t="str">
            <v>Củ Hành Tây Tím</v>
          </cell>
          <cell r="C9611" t="str">
            <v>Kg</v>
          </cell>
          <cell r="D9611">
            <v>20000</v>
          </cell>
        </row>
        <row r="9612">
          <cell r="A9612">
            <v>45700</v>
          </cell>
          <cell r="B9612" t="str">
            <v>Cà Chua Bi Mix</v>
          </cell>
          <cell r="C9612" t="str">
            <v>Hộp</v>
          </cell>
          <cell r="D9612">
            <v>11100</v>
          </cell>
        </row>
        <row r="9613">
          <cell r="A9613">
            <v>45700</v>
          </cell>
          <cell r="B9613" t="str">
            <v>Cà Chua Socola</v>
          </cell>
          <cell r="C9613" t="str">
            <v>Hộp 300gr</v>
          </cell>
          <cell r="D9613">
            <v>10000</v>
          </cell>
        </row>
        <row r="9614">
          <cell r="A9614">
            <v>45700</v>
          </cell>
          <cell r="B9614" t="str">
            <v>Cải Kale</v>
          </cell>
          <cell r="C9614" t="str">
            <v>Túi</v>
          </cell>
          <cell r="D9614">
            <v>4200</v>
          </cell>
        </row>
        <row r="9615">
          <cell r="A9615">
            <v>45700</v>
          </cell>
          <cell r="B9615" t="str">
            <v>Chanh Không Hạt</v>
          </cell>
          <cell r="C9615" t="str">
            <v>Vỉ</v>
          </cell>
          <cell r="D9615">
            <v>7500</v>
          </cell>
        </row>
        <row r="9616">
          <cell r="A9616">
            <v>45700</v>
          </cell>
          <cell r="B9616" t="str">
            <v>Cải Bó Xôi</v>
          </cell>
          <cell r="C9616" t="str">
            <v>Túi</v>
          </cell>
          <cell r="D9616">
            <v>5100</v>
          </cell>
        </row>
        <row r="9617">
          <cell r="A9617">
            <v>45700</v>
          </cell>
          <cell r="B9617" t="str">
            <v>Cà Chua Beef</v>
          </cell>
          <cell r="C9617" t="str">
            <v>Kg</v>
          </cell>
          <cell r="D9617">
            <v>13000</v>
          </cell>
        </row>
        <row r="9618">
          <cell r="A9618">
            <v>45700</v>
          </cell>
          <cell r="B9618" t="str">
            <v>Cà Chua Beef</v>
          </cell>
          <cell r="C9618" t="str">
            <v>Kg</v>
          </cell>
          <cell r="D9618">
            <v>17000</v>
          </cell>
        </row>
        <row r="9619">
          <cell r="A9619">
            <v>45700</v>
          </cell>
          <cell r="B9619" t="str">
            <v>Cà Chua Beef Trung</v>
          </cell>
          <cell r="C9619" t="str">
            <v>Kg</v>
          </cell>
          <cell r="D9619">
            <v>14000</v>
          </cell>
        </row>
        <row r="9620">
          <cell r="A9620">
            <v>45700</v>
          </cell>
          <cell r="B9620" t="str">
            <v>Cà Rốt Baby</v>
          </cell>
          <cell r="C9620" t="str">
            <v>Vỉ</v>
          </cell>
          <cell r="D9620">
            <v>5500</v>
          </cell>
        </row>
        <row r="9621">
          <cell r="A9621">
            <v>45700</v>
          </cell>
          <cell r="B9621" t="str">
            <v>Cải Kale</v>
          </cell>
          <cell r="C9621" t="str">
            <v>Túi</v>
          </cell>
          <cell r="D9621">
            <v>3300</v>
          </cell>
        </row>
        <row r="9622">
          <cell r="A9622">
            <v>45700</v>
          </cell>
          <cell r="B9622" t="str">
            <v>Cải Kale</v>
          </cell>
          <cell r="C9622" t="str">
            <v>Túi 150gr</v>
          </cell>
          <cell r="D9622">
            <v>1900</v>
          </cell>
        </row>
        <row r="9623">
          <cell r="A9623">
            <v>45700</v>
          </cell>
          <cell r="B9623" t="str">
            <v>Lá Mè</v>
          </cell>
          <cell r="C9623" t="str">
            <v>Túi</v>
          </cell>
          <cell r="D9623">
            <v>3000</v>
          </cell>
        </row>
        <row r="9624">
          <cell r="A9624">
            <v>45700</v>
          </cell>
          <cell r="B9624" t="str">
            <v>Dưa Leo Baby</v>
          </cell>
          <cell r="C9624" t="str">
            <v>Vỉ</v>
          </cell>
          <cell r="D9624">
            <v>10000</v>
          </cell>
        </row>
        <row r="9625">
          <cell r="A9625">
            <v>45700</v>
          </cell>
          <cell r="B9625" t="str">
            <v>Cà Chua Bi Cherry Đỏ</v>
          </cell>
          <cell r="C9625" t="str">
            <v>Kg</v>
          </cell>
          <cell r="D9625">
            <v>40000</v>
          </cell>
        </row>
        <row r="9626">
          <cell r="A9626">
            <v>45700</v>
          </cell>
          <cell r="B9626" t="str">
            <v>Bông Cải Xanh Baby</v>
          </cell>
          <cell r="C9626" t="str">
            <v>Vỉ</v>
          </cell>
          <cell r="D9626">
            <v>5000</v>
          </cell>
        </row>
        <row r="9627">
          <cell r="A9627">
            <v>45700</v>
          </cell>
          <cell r="B9627" t="str">
            <v>Củ Cải Đỏ</v>
          </cell>
          <cell r="C9627" t="str">
            <v>Hộp</v>
          </cell>
          <cell r="D9627">
            <v>10000</v>
          </cell>
        </row>
        <row r="9628">
          <cell r="A9628">
            <v>45700</v>
          </cell>
          <cell r="B9628" t="str">
            <v>Cà Chua Beef Trung</v>
          </cell>
          <cell r="C9628" t="str">
            <v>Vỉ 500gr</v>
          </cell>
          <cell r="D9628">
            <v>6500</v>
          </cell>
        </row>
        <row r="9629">
          <cell r="A9629">
            <v>45700</v>
          </cell>
          <cell r="B9629" t="str">
            <v>Lá Hương Thảo</v>
          </cell>
          <cell r="C9629" t="str">
            <v>Kg</v>
          </cell>
          <cell r="D9629">
            <v>130000</v>
          </cell>
        </row>
        <row r="9630">
          <cell r="A9630">
            <v>45700</v>
          </cell>
          <cell r="B9630" t="str">
            <v>Ớt Sweet Palemo</v>
          </cell>
          <cell r="C9630" t="str">
            <v>Túi</v>
          </cell>
          <cell r="D9630">
            <v>19000</v>
          </cell>
        </row>
        <row r="9631">
          <cell r="A9631">
            <v>45700</v>
          </cell>
          <cell r="B9631" t="str">
            <v>Xà Lách Lolo Tím</v>
          </cell>
          <cell r="C9631" t="str">
            <v>Kg</v>
          </cell>
          <cell r="D9631">
            <v>18000</v>
          </cell>
        </row>
        <row r="9632">
          <cell r="A9632">
            <v>45700</v>
          </cell>
          <cell r="B9632" t="str">
            <v>Xà Lách Romaine</v>
          </cell>
          <cell r="C9632" t="str">
            <v>Kg</v>
          </cell>
          <cell r="D9632">
            <v>15000</v>
          </cell>
        </row>
        <row r="9633">
          <cell r="A9633">
            <v>45700</v>
          </cell>
          <cell r="B9633" t="str">
            <v>Bông Cải Xanh Cây</v>
          </cell>
          <cell r="C9633" t="str">
            <v>Cây</v>
          </cell>
          <cell r="D9633">
            <v>9000</v>
          </cell>
        </row>
        <row r="9634">
          <cell r="A9634">
            <v>45700</v>
          </cell>
          <cell r="B9634" t="str">
            <v>Đậu Cove Trắng</v>
          </cell>
          <cell r="C9634" t="str">
            <v>Túi 300gr</v>
          </cell>
          <cell r="D9634">
            <v>6000</v>
          </cell>
        </row>
        <row r="9635">
          <cell r="A9635">
            <v>45700</v>
          </cell>
          <cell r="B9635" t="str">
            <v>Dưa Leo Nhật</v>
          </cell>
          <cell r="C9635" t="str">
            <v>Kg</v>
          </cell>
          <cell r="D9635">
            <v>17000</v>
          </cell>
        </row>
        <row r="9636">
          <cell r="A9636">
            <v>45700</v>
          </cell>
          <cell r="B9636" t="str">
            <v>Dưa Leo Thường</v>
          </cell>
          <cell r="C9636" t="str">
            <v>Kg</v>
          </cell>
          <cell r="D9636">
            <v>15000</v>
          </cell>
        </row>
        <row r="9637">
          <cell r="A9637">
            <v>45700</v>
          </cell>
          <cell r="B9637" t="str">
            <v>Dưa Leo Baby</v>
          </cell>
          <cell r="C9637" t="str">
            <v>Kg</v>
          </cell>
          <cell r="D9637">
            <v>14000</v>
          </cell>
        </row>
        <row r="9638">
          <cell r="A9638">
            <v>45700</v>
          </cell>
          <cell r="B9638" t="str">
            <v>Bí Non Nhật</v>
          </cell>
          <cell r="C9638" t="str">
            <v>Kg</v>
          </cell>
          <cell r="D9638">
            <v>15000</v>
          </cell>
        </row>
        <row r="9639">
          <cell r="A9639">
            <v>45700</v>
          </cell>
          <cell r="B9639" t="str">
            <v>Xà Lách Mỡ T.C</v>
          </cell>
          <cell r="C9639" t="str">
            <v>Kg</v>
          </cell>
          <cell r="D9639">
            <v>26000</v>
          </cell>
        </row>
        <row r="9640">
          <cell r="A9640">
            <v>45700</v>
          </cell>
          <cell r="B9640" t="str">
            <v>Xà Lách Lolo Xanh T.C</v>
          </cell>
          <cell r="C9640" t="str">
            <v>Kg</v>
          </cell>
          <cell r="D9640">
            <v>26000</v>
          </cell>
        </row>
        <row r="9641">
          <cell r="A9641">
            <v>45700</v>
          </cell>
          <cell r="B9641" t="str">
            <v>Xà Lách Thủy Tinh T.C Cây</v>
          </cell>
          <cell r="C9641" t="str">
            <v>Cây</v>
          </cell>
          <cell r="D9641">
            <v>7500</v>
          </cell>
        </row>
        <row r="9642">
          <cell r="A9642">
            <v>45700</v>
          </cell>
          <cell r="B9642" t="str">
            <v>CT - BÍ NGÒI XANH</v>
          </cell>
          <cell r="C9642" t="str">
            <v>Kg</v>
          </cell>
          <cell r="D9642">
            <v>15000</v>
          </cell>
        </row>
        <row r="9643">
          <cell r="A9643">
            <v>45700</v>
          </cell>
          <cell r="B9643" t="str">
            <v>Cà Chua Bi Đỏ</v>
          </cell>
          <cell r="C9643" t="str">
            <v>Hộp 500gr</v>
          </cell>
          <cell r="D9643">
            <v>8500</v>
          </cell>
        </row>
        <row r="9644">
          <cell r="A9644">
            <v>45700</v>
          </cell>
          <cell r="B9644" t="str">
            <v>Cà Chua Bi Đỏ</v>
          </cell>
          <cell r="C9644" t="str">
            <v>Hộp 300gr</v>
          </cell>
          <cell r="D9644">
            <v>5100</v>
          </cell>
        </row>
        <row r="9645">
          <cell r="A9645">
            <v>45700</v>
          </cell>
          <cell r="B9645" t="str">
            <v>Củ Su Hào</v>
          </cell>
          <cell r="C9645" t="str">
            <v>Kg</v>
          </cell>
          <cell r="D9645">
            <v>9000</v>
          </cell>
        </row>
        <row r="9646">
          <cell r="A9646">
            <v>45700</v>
          </cell>
          <cell r="B9646" t="str">
            <v>Xà Lách Mỡ T.C</v>
          </cell>
          <cell r="C9646" t="str">
            <v>Kg</v>
          </cell>
          <cell r="D9646">
            <v>24000</v>
          </cell>
        </row>
        <row r="9647">
          <cell r="A9647">
            <v>45700</v>
          </cell>
          <cell r="B9647" t="str">
            <v>Xà Lách Lolo Xanh T.C</v>
          </cell>
          <cell r="C9647" t="str">
            <v>Kg</v>
          </cell>
          <cell r="D9647">
            <v>25000</v>
          </cell>
        </row>
        <row r="9648">
          <cell r="A9648">
            <v>45700</v>
          </cell>
          <cell r="B9648" t="str">
            <v>Măng Tây</v>
          </cell>
          <cell r="C9648" t="str">
            <v>Kg</v>
          </cell>
          <cell r="D9648">
            <v>53913</v>
          </cell>
        </row>
        <row r="9649">
          <cell r="A9649">
            <v>45700</v>
          </cell>
          <cell r="B9649" t="str">
            <v>Măng Tây</v>
          </cell>
          <cell r="C9649" t="str">
            <v>Kg</v>
          </cell>
          <cell r="D9649">
            <v>40000</v>
          </cell>
        </row>
        <row r="9650">
          <cell r="A9650">
            <v>45700</v>
          </cell>
          <cell r="B9650" t="str">
            <v>Lá É</v>
          </cell>
          <cell r="C9650" t="str">
            <v>Kg</v>
          </cell>
          <cell r="D9650">
            <v>25000</v>
          </cell>
        </row>
        <row r="9651">
          <cell r="A9651">
            <v>45700</v>
          </cell>
          <cell r="B9651" t="str">
            <v>Xà Lách Lolo Xanh</v>
          </cell>
          <cell r="C9651" t="str">
            <v>Kg</v>
          </cell>
          <cell r="D9651">
            <v>13000</v>
          </cell>
        </row>
        <row r="9652">
          <cell r="A9652">
            <v>45700</v>
          </cell>
          <cell r="B9652" t="str">
            <v>Xà Lách Mỹ</v>
          </cell>
          <cell r="C9652" t="str">
            <v>Kg</v>
          </cell>
          <cell r="D9652">
            <v>16000</v>
          </cell>
        </row>
        <row r="9653">
          <cell r="A9653">
            <v>45700</v>
          </cell>
          <cell r="B9653" t="str">
            <v>Cải Thảo Hỏa Tiễn</v>
          </cell>
          <cell r="C9653" t="str">
            <v>Kg</v>
          </cell>
          <cell r="D9653">
            <v>10000</v>
          </cell>
        </row>
        <row r="9654">
          <cell r="A9654">
            <v>45700</v>
          </cell>
          <cell r="B9654" t="str">
            <v>Cải Bó Xôi</v>
          </cell>
          <cell r="C9654" t="str">
            <v>Kg</v>
          </cell>
          <cell r="D9654">
            <v>12000</v>
          </cell>
        </row>
        <row r="9655">
          <cell r="A9655">
            <v>45700</v>
          </cell>
          <cell r="B9655" t="str">
            <v>Cà Chua Socola</v>
          </cell>
          <cell r="C9655" t="str">
            <v>Hộp 250GR</v>
          </cell>
          <cell r="D9655">
            <v>7500</v>
          </cell>
        </row>
        <row r="9656">
          <cell r="A9656">
            <v>45700</v>
          </cell>
          <cell r="B9656" t="str">
            <v>Dưa Leo Baby</v>
          </cell>
          <cell r="C9656" t="str">
            <v>Vỉ</v>
          </cell>
          <cell r="D9656">
            <v>6500</v>
          </cell>
        </row>
        <row r="9657">
          <cell r="A9657">
            <v>45700</v>
          </cell>
          <cell r="B9657" t="str">
            <v>Xà Lách Lolo Xanh T.C Cây</v>
          </cell>
          <cell r="C9657" t="str">
            <v>Cây</v>
          </cell>
          <cell r="D9657">
            <v>6800</v>
          </cell>
        </row>
        <row r="9658">
          <cell r="A9658">
            <v>45700</v>
          </cell>
          <cell r="B9658" t="str">
            <v>Xà Lách Mỡ T.C</v>
          </cell>
          <cell r="C9658" t="str">
            <v>Kg</v>
          </cell>
          <cell r="D9658">
            <v>28000</v>
          </cell>
        </row>
        <row r="9659">
          <cell r="A9659">
            <v>45700</v>
          </cell>
          <cell r="B9659" t="str">
            <v>Xà Lách Thủy Tinh T.C Cây</v>
          </cell>
          <cell r="C9659" t="str">
            <v>Cây</v>
          </cell>
          <cell r="D9659">
            <v>6800</v>
          </cell>
        </row>
        <row r="9660">
          <cell r="A9660">
            <v>45700</v>
          </cell>
          <cell r="B9660" t="str">
            <v>Xà Lách Thủy Tinh T.C Cây</v>
          </cell>
          <cell r="C9660" t="str">
            <v>Cây</v>
          </cell>
          <cell r="D9660">
            <v>6800</v>
          </cell>
        </row>
        <row r="9661">
          <cell r="A9661">
            <v>45700</v>
          </cell>
          <cell r="B9661" t="str">
            <v>Xà Lách Thủy Tinh T.C</v>
          </cell>
          <cell r="C9661" t="str">
            <v>Kg</v>
          </cell>
          <cell r="D9661">
            <v>30000</v>
          </cell>
        </row>
        <row r="9662">
          <cell r="A9662">
            <v>45700</v>
          </cell>
          <cell r="B9662" t="str">
            <v>Bông Cải Xanh 7Cm</v>
          </cell>
          <cell r="C9662" t="str">
            <v>Kg</v>
          </cell>
          <cell r="D9662">
            <v>25000</v>
          </cell>
        </row>
        <row r="9663">
          <cell r="A9663">
            <v>45700</v>
          </cell>
          <cell r="B9663" t="str">
            <v>Xà Lách Lolo Xanh</v>
          </cell>
          <cell r="C9663" t="str">
            <v>Kg</v>
          </cell>
          <cell r="D9663">
            <v>8000</v>
          </cell>
        </row>
        <row r="9664">
          <cell r="A9664">
            <v>45700</v>
          </cell>
          <cell r="B9664" t="str">
            <v>Đậu Đỏ</v>
          </cell>
          <cell r="C9664" t="str">
            <v>Kg</v>
          </cell>
          <cell r="D9664">
            <v>80000</v>
          </cell>
        </row>
        <row r="9665">
          <cell r="A9665">
            <v>45700</v>
          </cell>
          <cell r="B9665" t="str">
            <v>Đậu Ngự</v>
          </cell>
          <cell r="C9665" t="str">
            <v>Kg</v>
          </cell>
          <cell r="D9665">
            <v>70000</v>
          </cell>
        </row>
        <row r="9666">
          <cell r="A9666">
            <v>45700</v>
          </cell>
          <cell r="B9666" t="str">
            <v>Đậu Trắng</v>
          </cell>
          <cell r="C9666" t="str">
            <v>Kg</v>
          </cell>
          <cell r="D9666">
            <v>70000</v>
          </cell>
        </row>
        <row r="9667">
          <cell r="A9667">
            <v>45700</v>
          </cell>
          <cell r="B9667" t="str">
            <v>Dưa Leo Thường</v>
          </cell>
          <cell r="C9667" t="str">
            <v>Kg</v>
          </cell>
          <cell r="D9667">
            <v>16000</v>
          </cell>
        </row>
        <row r="9668">
          <cell r="A9668">
            <v>45700</v>
          </cell>
          <cell r="B9668" t="str">
            <v>Bí Đao Xanh</v>
          </cell>
          <cell r="C9668" t="str">
            <v>Kg</v>
          </cell>
          <cell r="D9668">
            <v>12000</v>
          </cell>
        </row>
        <row r="9669">
          <cell r="A9669">
            <v>45700</v>
          </cell>
          <cell r="B9669" t="str">
            <v>Ớt Chuông Đỏ</v>
          </cell>
          <cell r="C9669" t="str">
            <v>Kg</v>
          </cell>
          <cell r="D9669">
            <v>60000</v>
          </cell>
        </row>
        <row r="9670">
          <cell r="A9670">
            <v>45700</v>
          </cell>
          <cell r="B9670" t="str">
            <v>Ớt Chuông Vàng</v>
          </cell>
          <cell r="C9670" t="str">
            <v>Kg</v>
          </cell>
          <cell r="D9670">
            <v>60000</v>
          </cell>
        </row>
        <row r="9671">
          <cell r="A9671">
            <v>45700</v>
          </cell>
          <cell r="B9671" t="str">
            <v>Ớt Chuông Snack</v>
          </cell>
          <cell r="C9671" t="str">
            <v>Kg</v>
          </cell>
          <cell r="D9671">
            <v>55000</v>
          </cell>
        </row>
        <row r="9672">
          <cell r="A9672">
            <v>45700</v>
          </cell>
          <cell r="B9672" t="str">
            <v>Ớt Chuông Baby</v>
          </cell>
          <cell r="C9672" t="str">
            <v>Kg</v>
          </cell>
          <cell r="D9672">
            <v>50000</v>
          </cell>
        </row>
        <row r="9673">
          <cell r="A9673">
            <v>45700</v>
          </cell>
          <cell r="B9673" t="str">
            <v>Bắp Cải Trắng</v>
          </cell>
          <cell r="C9673" t="str">
            <v>Kg</v>
          </cell>
          <cell r="D9673">
            <v>5500</v>
          </cell>
        </row>
        <row r="9674">
          <cell r="A9674">
            <v>45700</v>
          </cell>
          <cell r="B9674" t="str">
            <v>Cải Kale</v>
          </cell>
          <cell r="C9674" t="str">
            <v>Túi</v>
          </cell>
          <cell r="D9674">
            <v>3900</v>
          </cell>
        </row>
        <row r="9675">
          <cell r="A9675">
            <v>45700</v>
          </cell>
          <cell r="B9675" t="str">
            <v>Lá Mè</v>
          </cell>
          <cell r="C9675" t="str">
            <v>Túi</v>
          </cell>
          <cell r="D9675">
            <v>2800</v>
          </cell>
        </row>
        <row r="9676">
          <cell r="A9676">
            <v>45700</v>
          </cell>
          <cell r="B9676" t="str">
            <v>Ớt Sweet Palemo</v>
          </cell>
          <cell r="C9676" t="str">
            <v>Túi</v>
          </cell>
          <cell r="D9676">
            <v>17500</v>
          </cell>
        </row>
        <row r="9677">
          <cell r="A9677">
            <v>45700</v>
          </cell>
          <cell r="B9677" t="str">
            <v>Mận Hậu</v>
          </cell>
          <cell r="C9677" t="str">
            <v>Kg</v>
          </cell>
          <cell r="D9677">
            <v>50000</v>
          </cell>
        </row>
        <row r="9678">
          <cell r="A9678">
            <v>45700</v>
          </cell>
          <cell r="B9678" t="str">
            <v>Ớt Chuông Baby</v>
          </cell>
          <cell r="C9678" t="str">
            <v>Kg</v>
          </cell>
          <cell r="D9678">
            <v>55000</v>
          </cell>
        </row>
        <row r="9679">
          <cell r="A9679">
            <v>45700</v>
          </cell>
          <cell r="B9679" t="str">
            <v>Ớt Sweet Palemo</v>
          </cell>
          <cell r="C9679" t="str">
            <v>Túi</v>
          </cell>
          <cell r="D9679">
            <v>18000</v>
          </cell>
        </row>
        <row r="9680">
          <cell r="A9680">
            <v>45700</v>
          </cell>
          <cell r="B9680" t="str">
            <v>Rau Mầm</v>
          </cell>
          <cell r="C9680" t="str">
            <v>Kg</v>
          </cell>
          <cell r="D9680">
            <v>60000</v>
          </cell>
        </row>
        <row r="9681">
          <cell r="A9681">
            <v>45700</v>
          </cell>
          <cell r="B9681" t="str">
            <v>Bông Cải Xanh 12Cm</v>
          </cell>
          <cell r="C9681" t="str">
            <v>Kg</v>
          </cell>
          <cell r="D9681">
            <v>20000</v>
          </cell>
        </row>
        <row r="9682">
          <cell r="A9682">
            <v>45700</v>
          </cell>
          <cell r="B9682" t="str">
            <v>Củ Dền</v>
          </cell>
          <cell r="C9682" t="str">
            <v>Kg</v>
          </cell>
          <cell r="D9682">
            <v>10000</v>
          </cell>
        </row>
        <row r="9683">
          <cell r="A9683">
            <v>45700</v>
          </cell>
          <cell r="B9683" t="str">
            <v>Trái Mít Thái</v>
          </cell>
          <cell r="C9683" t="str">
            <v>Kg</v>
          </cell>
          <cell r="D9683">
            <v>18959</v>
          </cell>
        </row>
        <row r="9684">
          <cell r="A9684">
            <v>45700</v>
          </cell>
          <cell r="B9684" t="str">
            <v>Bông Cải Trắng</v>
          </cell>
          <cell r="C9684" t="str">
            <v>Kg</v>
          </cell>
          <cell r="D9684">
            <v>9000</v>
          </cell>
        </row>
        <row r="9685">
          <cell r="A9685">
            <v>45700</v>
          </cell>
          <cell r="B9685" t="str">
            <v>Trái Su Su</v>
          </cell>
          <cell r="C9685" t="str">
            <v>Kg</v>
          </cell>
          <cell r="D9685">
            <v>4000</v>
          </cell>
        </row>
        <row r="9686">
          <cell r="A9686">
            <v>45700</v>
          </cell>
          <cell r="B9686" t="str">
            <v>Dưa Leo Baby</v>
          </cell>
          <cell r="C9686" t="str">
            <v>Kg</v>
          </cell>
          <cell r="D9686">
            <v>14000</v>
          </cell>
        </row>
        <row r="9687">
          <cell r="A9687">
            <v>45700</v>
          </cell>
          <cell r="B9687" t="str">
            <v>Dưa Leo Baby</v>
          </cell>
          <cell r="C9687" t="str">
            <v>Kg</v>
          </cell>
          <cell r="D9687">
            <v>9500</v>
          </cell>
        </row>
        <row r="9688">
          <cell r="A9688">
            <v>45700</v>
          </cell>
          <cell r="B9688" t="str">
            <v>Gia Công Rau Củ Quả</v>
          </cell>
          <cell r="C9688" t="str">
            <v>Kg</v>
          </cell>
          <cell r="D9688">
            <v>1700</v>
          </cell>
        </row>
        <row r="9689">
          <cell r="A9689">
            <v>45700</v>
          </cell>
          <cell r="B9689" t="str">
            <v>Gia Công Rau Củ Quả</v>
          </cell>
          <cell r="C9689" t="str">
            <v>Kg</v>
          </cell>
          <cell r="D9689">
            <v>1000</v>
          </cell>
        </row>
        <row r="9690">
          <cell r="A9690">
            <v>45700</v>
          </cell>
          <cell r="B9690" t="str">
            <v>Gia Công Rau Củ Quả</v>
          </cell>
          <cell r="C9690" t="str">
            <v>Kg</v>
          </cell>
          <cell r="D9690">
            <v>700</v>
          </cell>
        </row>
        <row r="9691">
          <cell r="A9691">
            <v>45700</v>
          </cell>
          <cell r="B9691" t="str">
            <v>Đậu Cove Trắng</v>
          </cell>
          <cell r="C9691" t="str">
            <v>Kg</v>
          </cell>
          <cell r="D9691">
            <v>14500</v>
          </cell>
        </row>
        <row r="9692">
          <cell r="A9692">
            <v>45701</v>
          </cell>
          <cell r="B9692" t="str">
            <v>DO 0.05S-II</v>
          </cell>
          <cell r="C9692" t="str">
            <v>Lít</v>
          </cell>
          <cell r="D9692">
            <v>17663.64</v>
          </cell>
        </row>
        <row r="9693">
          <cell r="A9693">
            <v>45701</v>
          </cell>
          <cell r="B9693" t="str">
            <v>Trái Su Su</v>
          </cell>
          <cell r="C9693" t="str">
            <v>Kg</v>
          </cell>
          <cell r="D9693">
            <v>4000</v>
          </cell>
        </row>
        <row r="9694">
          <cell r="A9694">
            <v>45701</v>
          </cell>
          <cell r="B9694" t="str">
            <v>Trái Su Su</v>
          </cell>
          <cell r="C9694" t="str">
            <v>Kg</v>
          </cell>
          <cell r="D9694">
            <v>4000</v>
          </cell>
        </row>
        <row r="9695">
          <cell r="A9695">
            <v>45701</v>
          </cell>
          <cell r="B9695" t="str">
            <v>Đậu Cove Trắng</v>
          </cell>
          <cell r="C9695" t="str">
            <v>Kg</v>
          </cell>
          <cell r="D9695">
            <v>14500</v>
          </cell>
        </row>
        <row r="9696">
          <cell r="A9696">
            <v>45701</v>
          </cell>
          <cell r="B9696" t="str">
            <v>Dưa Leo Baby</v>
          </cell>
          <cell r="C9696" t="str">
            <v>Kg</v>
          </cell>
          <cell r="D9696">
            <v>14000</v>
          </cell>
        </row>
        <row r="9697">
          <cell r="A9697">
            <v>45701</v>
          </cell>
          <cell r="B9697" t="str">
            <v>Dưa Leo Baby</v>
          </cell>
          <cell r="C9697" t="str">
            <v>Kg</v>
          </cell>
          <cell r="D9697">
            <v>9500</v>
          </cell>
        </row>
        <row r="9698">
          <cell r="A9698">
            <v>45701</v>
          </cell>
          <cell r="B9698" t="str">
            <v>Đậu Cove Nhật</v>
          </cell>
          <cell r="C9698" t="str">
            <v>Túi</v>
          </cell>
          <cell r="D9698">
            <v>6500</v>
          </cell>
        </row>
        <row r="9699">
          <cell r="A9699">
            <v>45701</v>
          </cell>
          <cell r="B9699" t="str">
            <v>Bí Non Nhật</v>
          </cell>
          <cell r="C9699" t="str">
            <v>Kg</v>
          </cell>
          <cell r="D9699">
            <v>16000</v>
          </cell>
        </row>
        <row r="9700">
          <cell r="A9700">
            <v>45701</v>
          </cell>
          <cell r="B9700" t="str">
            <v>Đậu Cove Trắng</v>
          </cell>
          <cell r="C9700" t="str">
            <v>Túi 300gr</v>
          </cell>
          <cell r="D9700">
            <v>5500</v>
          </cell>
        </row>
        <row r="9701">
          <cell r="A9701">
            <v>45701</v>
          </cell>
          <cell r="B9701" t="str">
            <v>Dưa Leo Nhật</v>
          </cell>
          <cell r="C9701" t="str">
            <v>Kg</v>
          </cell>
          <cell r="D9701">
            <v>17000</v>
          </cell>
        </row>
        <row r="9702">
          <cell r="A9702">
            <v>45701</v>
          </cell>
          <cell r="B9702" t="str">
            <v>Dưa Leo Thường</v>
          </cell>
          <cell r="C9702" t="str">
            <v>Kg</v>
          </cell>
          <cell r="D9702">
            <v>15000</v>
          </cell>
        </row>
        <row r="9703">
          <cell r="A9703">
            <v>45701</v>
          </cell>
          <cell r="B9703" t="str">
            <v>Dưa Leo Baby</v>
          </cell>
          <cell r="C9703" t="str">
            <v>Kg</v>
          </cell>
          <cell r="D9703">
            <v>15000</v>
          </cell>
        </row>
        <row r="9704">
          <cell r="A9704">
            <v>45701</v>
          </cell>
          <cell r="B9704" t="str">
            <v>Dưa Leo Baby</v>
          </cell>
          <cell r="C9704" t="str">
            <v>Vỉ</v>
          </cell>
          <cell r="D9704">
            <v>10000</v>
          </cell>
        </row>
        <row r="9705">
          <cell r="A9705">
            <v>45701</v>
          </cell>
          <cell r="B9705" t="str">
            <v>Dưa Leo Baby</v>
          </cell>
          <cell r="C9705" t="str">
            <v>Vỉ</v>
          </cell>
          <cell r="D9705">
            <v>10000</v>
          </cell>
        </row>
        <row r="9706">
          <cell r="A9706">
            <v>45701</v>
          </cell>
          <cell r="B9706" t="str">
            <v>Cà Chua Bi Đỏ</v>
          </cell>
          <cell r="C9706" t="str">
            <v>Hộp 500gr</v>
          </cell>
          <cell r="D9706">
            <v>8500</v>
          </cell>
        </row>
        <row r="9707">
          <cell r="A9707">
            <v>45701</v>
          </cell>
          <cell r="B9707" t="str">
            <v>Cà Chua Bi Đỏ</v>
          </cell>
          <cell r="C9707" t="str">
            <v>Hộp 300gr</v>
          </cell>
          <cell r="D9707">
            <v>5100</v>
          </cell>
        </row>
        <row r="9708">
          <cell r="A9708">
            <v>45701</v>
          </cell>
          <cell r="B9708" t="str">
            <v>Củ Khoai Tây Vàng</v>
          </cell>
          <cell r="C9708" t="str">
            <v>Kg</v>
          </cell>
          <cell r="D9708">
            <v>11700</v>
          </cell>
        </row>
        <row r="9709">
          <cell r="A9709">
            <v>45701</v>
          </cell>
          <cell r="B9709" t="str">
            <v>CT - BÍ NGÒI XANH</v>
          </cell>
          <cell r="C9709" t="str">
            <v>Kg</v>
          </cell>
          <cell r="D9709">
            <v>15000</v>
          </cell>
        </row>
        <row r="9710">
          <cell r="A9710">
            <v>45701</v>
          </cell>
          <cell r="B9710" t="str">
            <v>Xà Lách Mỡ T.C</v>
          </cell>
          <cell r="C9710" t="str">
            <v>Kg</v>
          </cell>
          <cell r="D9710">
            <v>26000</v>
          </cell>
        </row>
        <row r="9711">
          <cell r="A9711">
            <v>45701</v>
          </cell>
          <cell r="B9711" t="str">
            <v>Xà Lách Lolo Xanh T.C</v>
          </cell>
          <cell r="C9711" t="str">
            <v>Kg</v>
          </cell>
          <cell r="D9711">
            <v>26000</v>
          </cell>
        </row>
        <row r="9712">
          <cell r="A9712">
            <v>45701</v>
          </cell>
          <cell r="B9712" t="str">
            <v>Xà Lách Thủy Tinh T.C Cây</v>
          </cell>
          <cell r="C9712" t="str">
            <v>Cây</v>
          </cell>
          <cell r="D9712">
            <v>7500</v>
          </cell>
        </row>
        <row r="9713">
          <cell r="A9713">
            <v>45701</v>
          </cell>
          <cell r="B9713" t="str">
            <v>Ớt Chuông Đỏ</v>
          </cell>
          <cell r="C9713" t="str">
            <v>Kg</v>
          </cell>
          <cell r="D9713">
            <v>60000</v>
          </cell>
        </row>
        <row r="9714">
          <cell r="A9714">
            <v>45701</v>
          </cell>
          <cell r="B9714" t="str">
            <v>Ớt Chuông Vàng</v>
          </cell>
          <cell r="C9714" t="str">
            <v>Kg</v>
          </cell>
          <cell r="D9714">
            <v>60000</v>
          </cell>
        </row>
        <row r="9715">
          <cell r="A9715">
            <v>45701</v>
          </cell>
          <cell r="B9715" t="str">
            <v>Ớt Chuông Xanh</v>
          </cell>
          <cell r="C9715" t="str">
            <v>Kg</v>
          </cell>
          <cell r="D9715">
            <v>32000</v>
          </cell>
        </row>
        <row r="9716">
          <cell r="A9716">
            <v>45701</v>
          </cell>
          <cell r="B9716" t="str">
            <v>Ớt Chuông Snack</v>
          </cell>
          <cell r="C9716" t="str">
            <v>Kg</v>
          </cell>
          <cell r="D9716">
            <v>55000</v>
          </cell>
        </row>
        <row r="9717">
          <cell r="A9717">
            <v>45701</v>
          </cell>
          <cell r="B9717" t="str">
            <v>Ớt Chuông Baby</v>
          </cell>
          <cell r="C9717" t="str">
            <v>Kg</v>
          </cell>
          <cell r="D9717">
            <v>50000</v>
          </cell>
        </row>
        <row r="9718">
          <cell r="A9718">
            <v>45701</v>
          </cell>
          <cell r="B9718" t="str">
            <v>Củ Khoai Lang Nhật</v>
          </cell>
          <cell r="C9718" t="str">
            <v>Kg</v>
          </cell>
          <cell r="D9718">
            <v>16000</v>
          </cell>
        </row>
        <row r="9719">
          <cell r="A9719">
            <v>45701</v>
          </cell>
          <cell r="B9719" t="str">
            <v>Củ Khoai Lang Nhật Baby</v>
          </cell>
          <cell r="C9719" t="str">
            <v>Kg</v>
          </cell>
          <cell r="D9719">
            <v>14000</v>
          </cell>
        </row>
        <row r="9720">
          <cell r="A9720">
            <v>45701</v>
          </cell>
          <cell r="B9720" t="str">
            <v>Xà Lách Mỡ T.C</v>
          </cell>
          <cell r="C9720" t="str">
            <v>Kg</v>
          </cell>
          <cell r="D9720">
            <v>24000</v>
          </cell>
        </row>
        <row r="9721">
          <cell r="A9721">
            <v>45701</v>
          </cell>
          <cell r="B9721" t="str">
            <v>Xà Lách Lolo Xanh T.C</v>
          </cell>
          <cell r="C9721" t="str">
            <v>Kg</v>
          </cell>
          <cell r="D9721">
            <v>21000</v>
          </cell>
        </row>
        <row r="9722">
          <cell r="A9722">
            <v>45701</v>
          </cell>
          <cell r="B9722" t="str">
            <v>Xà Lách Thủy Tinh T.C</v>
          </cell>
          <cell r="C9722" t="str">
            <v>Kg</v>
          </cell>
          <cell r="D9722">
            <v>25000</v>
          </cell>
        </row>
        <row r="9723">
          <cell r="A9723">
            <v>45701</v>
          </cell>
          <cell r="B9723" t="str">
            <v>Củ Su Hào</v>
          </cell>
          <cell r="C9723" t="str">
            <v>Kg</v>
          </cell>
          <cell r="D9723">
            <v>8000</v>
          </cell>
        </row>
        <row r="9724">
          <cell r="A9724">
            <v>45701</v>
          </cell>
          <cell r="B9724" t="str">
            <v>Cà Rốt</v>
          </cell>
          <cell r="C9724" t="str">
            <v>Kg</v>
          </cell>
          <cell r="D9724">
            <v>8000</v>
          </cell>
        </row>
        <row r="9725">
          <cell r="A9725">
            <v>45701</v>
          </cell>
          <cell r="B9725" t="str">
            <v>Trái Su Su</v>
          </cell>
          <cell r="C9725" t="str">
            <v>Kg</v>
          </cell>
          <cell r="D9725">
            <v>4500</v>
          </cell>
        </row>
        <row r="9726">
          <cell r="A9726">
            <v>45701</v>
          </cell>
          <cell r="B9726" t="str">
            <v>Lá Nha Đam</v>
          </cell>
          <cell r="C9726" t="str">
            <v>Kg</v>
          </cell>
          <cell r="D9726">
            <v>14000</v>
          </cell>
        </row>
        <row r="9727">
          <cell r="A9727">
            <v>45701</v>
          </cell>
          <cell r="B9727" t="str">
            <v>Bí Đỏ Hồ Lô</v>
          </cell>
          <cell r="C9727" t="str">
            <v>Kg</v>
          </cell>
          <cell r="D9727">
            <v>8000</v>
          </cell>
        </row>
        <row r="9728">
          <cell r="A9728">
            <v>45701</v>
          </cell>
          <cell r="B9728" t="str">
            <v>Chuối Laba</v>
          </cell>
          <cell r="C9728" t="str">
            <v>Kg</v>
          </cell>
          <cell r="D9728">
            <v>14000</v>
          </cell>
        </row>
        <row r="9729">
          <cell r="A9729">
            <v>45701</v>
          </cell>
          <cell r="B9729" t="str">
            <v>Củ Gừng</v>
          </cell>
          <cell r="C9729" t="str">
            <v>Kg</v>
          </cell>
          <cell r="D9729">
            <v>19000</v>
          </cell>
        </row>
        <row r="9730">
          <cell r="A9730">
            <v>45701</v>
          </cell>
          <cell r="B9730" t="str">
            <v>Củ Khoai Mỡ</v>
          </cell>
          <cell r="C9730" t="str">
            <v>Kg</v>
          </cell>
          <cell r="D9730">
            <v>28000</v>
          </cell>
        </row>
        <row r="9731">
          <cell r="A9731">
            <v>45701</v>
          </cell>
          <cell r="B9731" t="str">
            <v>Bí Đỏ Hồ Lô</v>
          </cell>
          <cell r="C9731" t="str">
            <v>Kg</v>
          </cell>
          <cell r="D9731">
            <v>7500</v>
          </cell>
        </row>
        <row r="9732">
          <cell r="A9732">
            <v>45701</v>
          </cell>
          <cell r="B9732" t="str">
            <v>Trái Khổ Qua</v>
          </cell>
          <cell r="C9732" t="str">
            <v>Kg</v>
          </cell>
          <cell r="D9732">
            <v>12000</v>
          </cell>
        </row>
        <row r="9733">
          <cell r="A9733">
            <v>45701</v>
          </cell>
          <cell r="B9733" t="str">
            <v>Dưa Leo Thường</v>
          </cell>
          <cell r="C9733" t="str">
            <v>Kg</v>
          </cell>
          <cell r="D9733">
            <v>16000</v>
          </cell>
        </row>
        <row r="9734">
          <cell r="A9734">
            <v>45701</v>
          </cell>
          <cell r="B9734" t="str">
            <v>Bí Ngòi Xanh</v>
          </cell>
          <cell r="C9734" t="str">
            <v>Kg</v>
          </cell>
          <cell r="D9734">
            <v>17500</v>
          </cell>
        </row>
        <row r="9735">
          <cell r="A9735">
            <v>45701</v>
          </cell>
          <cell r="B9735" t="str">
            <v>Cà Rốt</v>
          </cell>
          <cell r="C9735" t="str">
            <v>Kg</v>
          </cell>
          <cell r="D9735">
            <v>7500</v>
          </cell>
        </row>
        <row r="9736">
          <cell r="A9736">
            <v>45701</v>
          </cell>
          <cell r="B9736" t="str">
            <v>Cà Chua Thường</v>
          </cell>
          <cell r="C9736" t="str">
            <v>Kg</v>
          </cell>
          <cell r="D9736">
            <v>14000</v>
          </cell>
        </row>
        <row r="9737">
          <cell r="A9737">
            <v>45701</v>
          </cell>
          <cell r="B9737" t="str">
            <v>Cà Chua Thường Trung</v>
          </cell>
          <cell r="C9737" t="str">
            <v>Kg</v>
          </cell>
          <cell r="D9737">
            <v>10000</v>
          </cell>
        </row>
        <row r="9738">
          <cell r="A9738">
            <v>45701</v>
          </cell>
          <cell r="B9738" t="str">
            <v>Xà Lách Thủy Tinh T.C Cây</v>
          </cell>
          <cell r="C9738" t="str">
            <v>Cây</v>
          </cell>
          <cell r="D9738">
            <v>6000</v>
          </cell>
        </row>
        <row r="9739">
          <cell r="A9739">
            <v>45701</v>
          </cell>
          <cell r="B9739" t="str">
            <v>Củ Cải Trắng</v>
          </cell>
          <cell r="C9739" t="str">
            <v>Kg</v>
          </cell>
          <cell r="D9739">
            <v>4000</v>
          </cell>
        </row>
        <row r="9740">
          <cell r="A9740">
            <v>45701</v>
          </cell>
          <cell r="B9740" t="str">
            <v>Cà Rốt</v>
          </cell>
          <cell r="C9740" t="str">
            <v>Kg</v>
          </cell>
          <cell r="D9740">
            <v>7500</v>
          </cell>
        </row>
        <row r="9741">
          <cell r="A9741">
            <v>45701</v>
          </cell>
          <cell r="B9741" t="str">
            <v>Củ Khoai Lang Nhật</v>
          </cell>
          <cell r="C9741" t="str">
            <v>Kg</v>
          </cell>
          <cell r="D9741">
            <v>14000</v>
          </cell>
        </row>
        <row r="9742">
          <cell r="A9742">
            <v>45701</v>
          </cell>
          <cell r="B9742" t="str">
            <v>Cải Bó Xôi</v>
          </cell>
          <cell r="C9742" t="str">
            <v>Kg</v>
          </cell>
          <cell r="D9742">
            <v>12000</v>
          </cell>
        </row>
        <row r="9743">
          <cell r="A9743">
            <v>45701</v>
          </cell>
          <cell r="B9743" t="str">
            <v>Cải Kale</v>
          </cell>
          <cell r="C9743" t="str">
            <v>Túi</v>
          </cell>
          <cell r="D9743">
            <v>3900</v>
          </cell>
        </row>
        <row r="9744">
          <cell r="A9744">
            <v>45701</v>
          </cell>
          <cell r="B9744" t="str">
            <v>Lá Mè</v>
          </cell>
          <cell r="C9744" t="str">
            <v>Túi</v>
          </cell>
          <cell r="D9744">
            <v>2800</v>
          </cell>
        </row>
        <row r="9745">
          <cell r="A9745">
            <v>45701</v>
          </cell>
          <cell r="B9745" t="str">
            <v>Xà Lách Mỹ</v>
          </cell>
          <cell r="C9745" t="str">
            <v>Kg</v>
          </cell>
          <cell r="D9745">
            <v>16000</v>
          </cell>
        </row>
        <row r="9746">
          <cell r="A9746">
            <v>45701</v>
          </cell>
          <cell r="B9746" t="str">
            <v>Bắp Cải Trái Tim</v>
          </cell>
          <cell r="C9746" t="str">
            <v>Kg</v>
          </cell>
          <cell r="D9746">
            <v>5000</v>
          </cell>
        </row>
        <row r="9747">
          <cell r="A9747">
            <v>45701</v>
          </cell>
          <cell r="B9747" t="str">
            <v>Cần Tây</v>
          </cell>
          <cell r="C9747" t="str">
            <v>Kg</v>
          </cell>
          <cell r="D9747">
            <v>12000</v>
          </cell>
        </row>
        <row r="9748">
          <cell r="A9748">
            <v>45701</v>
          </cell>
          <cell r="B9748" t="str">
            <v>Củ Hành Tây</v>
          </cell>
          <cell r="C9748" t="str">
            <v>Kg</v>
          </cell>
          <cell r="D9748">
            <v>8700</v>
          </cell>
        </row>
        <row r="9749">
          <cell r="A9749">
            <v>45701</v>
          </cell>
          <cell r="B9749" t="str">
            <v>Củ Hành Tây Trung</v>
          </cell>
          <cell r="C9749" t="str">
            <v>Kg</v>
          </cell>
          <cell r="D9749">
            <v>7000</v>
          </cell>
        </row>
        <row r="9750">
          <cell r="A9750">
            <v>45701</v>
          </cell>
          <cell r="B9750" t="str">
            <v>Cà Chua Beef</v>
          </cell>
          <cell r="C9750" t="str">
            <v>Kg</v>
          </cell>
          <cell r="D9750">
            <v>12500</v>
          </cell>
        </row>
        <row r="9751">
          <cell r="A9751">
            <v>45701</v>
          </cell>
          <cell r="B9751" t="str">
            <v>Bí Ngòi Xanh</v>
          </cell>
          <cell r="C9751" t="str">
            <v>Kg</v>
          </cell>
          <cell r="D9751">
            <v>19000</v>
          </cell>
        </row>
        <row r="9752">
          <cell r="A9752">
            <v>45701</v>
          </cell>
          <cell r="B9752" t="str">
            <v>Bông Atiso</v>
          </cell>
          <cell r="C9752" t="str">
            <v>Kg</v>
          </cell>
          <cell r="D9752">
            <v>200000</v>
          </cell>
        </row>
        <row r="9753">
          <cell r="A9753">
            <v>45701</v>
          </cell>
          <cell r="B9753" t="str">
            <v>Cải Thảo Hỏa Tiễn</v>
          </cell>
          <cell r="C9753" t="str">
            <v>Kg</v>
          </cell>
          <cell r="D9753">
            <v>12000</v>
          </cell>
        </row>
        <row r="9754">
          <cell r="A9754">
            <v>45701</v>
          </cell>
          <cell r="B9754" t="str">
            <v>Rau Bầu Đất</v>
          </cell>
          <cell r="C9754" t="str">
            <v>Kg</v>
          </cell>
          <cell r="D9754">
            <v>35000</v>
          </cell>
        </row>
        <row r="9755">
          <cell r="A9755">
            <v>45701</v>
          </cell>
          <cell r="B9755" t="str">
            <v>Hành Paro</v>
          </cell>
          <cell r="C9755" t="str">
            <v>Kg</v>
          </cell>
          <cell r="D9755">
            <v>11500</v>
          </cell>
        </row>
        <row r="9756">
          <cell r="A9756">
            <v>45701</v>
          </cell>
          <cell r="B9756" t="str">
            <v>Bí Ngòi Xanh</v>
          </cell>
          <cell r="C9756" t="str">
            <v>Kg</v>
          </cell>
          <cell r="D9756">
            <v>18000</v>
          </cell>
        </row>
        <row r="9757">
          <cell r="A9757">
            <v>45701</v>
          </cell>
          <cell r="B9757" t="str">
            <v>Bí Ngòi Vàng</v>
          </cell>
          <cell r="C9757" t="str">
            <v>Kg</v>
          </cell>
          <cell r="D9757">
            <v>15000</v>
          </cell>
        </row>
        <row r="9758">
          <cell r="A9758">
            <v>45701</v>
          </cell>
          <cell r="B9758" t="str">
            <v>Củ Hành Tây</v>
          </cell>
          <cell r="C9758" t="str">
            <v>Kg</v>
          </cell>
          <cell r="D9758">
            <v>8500</v>
          </cell>
        </row>
        <row r="9759">
          <cell r="A9759">
            <v>45701</v>
          </cell>
          <cell r="B9759" t="str">
            <v>Ớt Chuông Đỏ</v>
          </cell>
          <cell r="C9759" t="str">
            <v>Kg</v>
          </cell>
          <cell r="D9759">
            <v>53000</v>
          </cell>
        </row>
        <row r="9760">
          <cell r="A9760">
            <v>45701</v>
          </cell>
          <cell r="B9760" t="str">
            <v>Ớt Chuông Vàng</v>
          </cell>
          <cell r="C9760" t="str">
            <v>Kg</v>
          </cell>
          <cell r="D9760">
            <v>55000</v>
          </cell>
        </row>
        <row r="9761">
          <cell r="A9761">
            <v>45701</v>
          </cell>
          <cell r="B9761" t="str">
            <v>Ớt Chuông Xanh</v>
          </cell>
          <cell r="C9761" t="str">
            <v>Kg</v>
          </cell>
          <cell r="D9761">
            <v>27000</v>
          </cell>
        </row>
        <row r="9762">
          <cell r="A9762">
            <v>45701</v>
          </cell>
          <cell r="B9762" t="str">
            <v>Bông Cải Xanh 7Cm</v>
          </cell>
          <cell r="C9762" t="str">
            <v>Kg</v>
          </cell>
          <cell r="D9762">
            <v>25000</v>
          </cell>
        </row>
        <row r="9763">
          <cell r="A9763">
            <v>45701</v>
          </cell>
          <cell r="B9763" t="str">
            <v>Trái Mít Thái</v>
          </cell>
          <cell r="C9763" t="str">
            <v>Kg</v>
          </cell>
          <cell r="D9763">
            <v>18967</v>
          </cell>
        </row>
        <row r="9764">
          <cell r="A9764">
            <v>45701</v>
          </cell>
          <cell r="B9764" t="str">
            <v>Cà Chua Socola</v>
          </cell>
          <cell r="C9764" t="str">
            <v>Hộp 250GR</v>
          </cell>
          <cell r="D9764">
            <v>7500</v>
          </cell>
        </row>
        <row r="9765">
          <cell r="A9765">
            <v>45701</v>
          </cell>
          <cell r="B9765" t="str">
            <v>Dưa Leo Baby</v>
          </cell>
          <cell r="C9765" t="str">
            <v>Vỉ</v>
          </cell>
          <cell r="D9765">
            <v>7000</v>
          </cell>
        </row>
        <row r="9766">
          <cell r="A9766">
            <v>45701</v>
          </cell>
          <cell r="B9766" t="str">
            <v>Bông Cải Xanh 7Cm</v>
          </cell>
          <cell r="C9766" t="str">
            <v>Kg</v>
          </cell>
          <cell r="D9766">
            <v>24000</v>
          </cell>
        </row>
        <row r="9767">
          <cell r="A9767">
            <v>45701</v>
          </cell>
          <cell r="B9767" t="str">
            <v>Cần Tây</v>
          </cell>
          <cell r="C9767" t="str">
            <v>Kg</v>
          </cell>
          <cell r="D9767">
            <v>12000</v>
          </cell>
        </row>
        <row r="9768">
          <cell r="A9768">
            <v>45701</v>
          </cell>
          <cell r="B9768" t="str">
            <v>Cần Tây</v>
          </cell>
          <cell r="C9768" t="str">
            <v>Kg</v>
          </cell>
          <cell r="D9768">
            <v>13000</v>
          </cell>
        </row>
        <row r="9769">
          <cell r="A9769">
            <v>45701</v>
          </cell>
          <cell r="B9769" t="str">
            <v>Bắp Cải Tím</v>
          </cell>
          <cell r="C9769" t="str">
            <v>Kg</v>
          </cell>
          <cell r="D9769">
            <v>20000</v>
          </cell>
        </row>
        <row r="9770">
          <cell r="A9770">
            <v>45701</v>
          </cell>
          <cell r="B9770" t="str">
            <v>Xà Lách Lolo Xanh</v>
          </cell>
          <cell r="C9770" t="str">
            <v>Kg</v>
          </cell>
          <cell r="D9770">
            <v>13000</v>
          </cell>
        </row>
        <row r="9771">
          <cell r="A9771">
            <v>45701</v>
          </cell>
          <cell r="B9771" t="str">
            <v>Bông Cải Xanh 7Cm</v>
          </cell>
          <cell r="C9771" t="str">
            <v>Kg</v>
          </cell>
          <cell r="D9771">
            <v>25000</v>
          </cell>
        </row>
        <row r="9772">
          <cell r="A9772">
            <v>45701</v>
          </cell>
          <cell r="B9772" t="str">
            <v>Ớt Sweet Palemo</v>
          </cell>
          <cell r="C9772" t="str">
            <v>Túi</v>
          </cell>
          <cell r="D9772">
            <v>18000</v>
          </cell>
        </row>
        <row r="9773">
          <cell r="A9773">
            <v>45701</v>
          </cell>
          <cell r="B9773" t="str">
            <v>Củ Dền</v>
          </cell>
          <cell r="C9773" t="str">
            <v>Kg</v>
          </cell>
          <cell r="D9773">
            <v>10000</v>
          </cell>
        </row>
        <row r="9774">
          <cell r="A9774">
            <v>45701</v>
          </cell>
          <cell r="B9774" t="str">
            <v>Bông Cải Trắng</v>
          </cell>
          <cell r="C9774" t="str">
            <v>Kg</v>
          </cell>
          <cell r="D9774">
            <v>9000</v>
          </cell>
        </row>
        <row r="9775">
          <cell r="A9775">
            <v>45701</v>
          </cell>
          <cell r="B9775" t="str">
            <v>Gia Công Rau Củ Quả</v>
          </cell>
          <cell r="C9775" t="str">
            <v>Kg</v>
          </cell>
          <cell r="D9775">
            <v>700</v>
          </cell>
        </row>
        <row r="9776">
          <cell r="A9776">
            <v>45701</v>
          </cell>
          <cell r="B9776" t="str">
            <v>Gia Công Rau Củ Quả</v>
          </cell>
          <cell r="C9776" t="str">
            <v>Kg</v>
          </cell>
          <cell r="D9776">
            <v>1700</v>
          </cell>
        </row>
        <row r="9777">
          <cell r="A9777">
            <v>45701</v>
          </cell>
          <cell r="B9777" t="str">
            <v>Gia Công Rau Củ Quả</v>
          </cell>
          <cell r="C9777" t="str">
            <v>Kg</v>
          </cell>
          <cell r="D9777">
            <v>1000</v>
          </cell>
        </row>
        <row r="9778">
          <cell r="A9778">
            <v>45701</v>
          </cell>
          <cell r="B9778" t="str">
            <v>Mận Hậu</v>
          </cell>
          <cell r="C9778" t="str">
            <v>Kg</v>
          </cell>
          <cell r="D9778">
            <v>50000</v>
          </cell>
        </row>
        <row r="9779">
          <cell r="A9779">
            <v>45701</v>
          </cell>
          <cell r="B9779" t="str">
            <v>Măng Tây</v>
          </cell>
          <cell r="C9779" t="str">
            <v>Kg</v>
          </cell>
          <cell r="D9779">
            <v>52941</v>
          </cell>
        </row>
        <row r="9780">
          <cell r="A9780">
            <v>45701</v>
          </cell>
          <cell r="B9780" t="str">
            <v>Măng Tây</v>
          </cell>
          <cell r="C9780" t="str">
            <v>Kg</v>
          </cell>
          <cell r="D9780">
            <v>40000</v>
          </cell>
        </row>
        <row r="9781">
          <cell r="A9781">
            <v>45701</v>
          </cell>
          <cell r="B9781" t="str">
            <v>Lá É</v>
          </cell>
          <cell r="C9781" t="str">
            <v>Kg</v>
          </cell>
          <cell r="D9781">
            <v>25000</v>
          </cell>
        </row>
        <row r="9782">
          <cell r="A9782">
            <v>45701</v>
          </cell>
          <cell r="B9782" t="str">
            <v>Bí Non Nhật</v>
          </cell>
          <cell r="C9782" t="str">
            <v>Kg</v>
          </cell>
          <cell r="D9782">
            <v>10000</v>
          </cell>
        </row>
        <row r="9783">
          <cell r="A9783">
            <v>45701</v>
          </cell>
          <cell r="B9783" t="str">
            <v>Cà Tím</v>
          </cell>
          <cell r="C9783" t="str">
            <v>Kg</v>
          </cell>
          <cell r="D9783">
            <v>8000</v>
          </cell>
        </row>
        <row r="9784">
          <cell r="A9784">
            <v>45701</v>
          </cell>
          <cell r="B9784" t="str">
            <v>Trái Su Su</v>
          </cell>
          <cell r="C9784" t="str">
            <v>Kg</v>
          </cell>
          <cell r="D9784">
            <v>8000</v>
          </cell>
        </row>
        <row r="9785">
          <cell r="A9785">
            <v>45701</v>
          </cell>
          <cell r="B9785" t="str">
            <v>Bông Cải Xanh Baby</v>
          </cell>
          <cell r="C9785" t="str">
            <v>Vỉ</v>
          </cell>
          <cell r="D9785">
            <v>5000</v>
          </cell>
        </row>
        <row r="9786">
          <cell r="A9786">
            <v>45701</v>
          </cell>
          <cell r="B9786" t="str">
            <v>Cà Chua Beef Trung</v>
          </cell>
          <cell r="C9786" t="str">
            <v>Vỉ 500gr</v>
          </cell>
          <cell r="D9786">
            <v>6500</v>
          </cell>
        </row>
        <row r="9787">
          <cell r="A9787">
            <v>45701</v>
          </cell>
          <cell r="B9787" t="str">
            <v>Củ Cải Đỏ</v>
          </cell>
          <cell r="C9787" t="str">
            <v>Hộp</v>
          </cell>
          <cell r="D9787">
            <v>10000</v>
          </cell>
        </row>
        <row r="9788">
          <cell r="A9788">
            <v>45701</v>
          </cell>
          <cell r="B9788" t="str">
            <v>Lá Quế Tây</v>
          </cell>
          <cell r="C9788" t="str">
            <v>Kg</v>
          </cell>
          <cell r="D9788">
            <v>90000</v>
          </cell>
        </row>
        <row r="9789">
          <cell r="A9789">
            <v>45701</v>
          </cell>
          <cell r="B9789" t="str">
            <v>Ớt Sweet Palemo</v>
          </cell>
          <cell r="C9789" t="str">
            <v>Túi</v>
          </cell>
          <cell r="D9789">
            <v>19000</v>
          </cell>
        </row>
        <row r="9790">
          <cell r="A9790">
            <v>45701</v>
          </cell>
          <cell r="B9790" t="str">
            <v>Ớt Sweet Palemo</v>
          </cell>
          <cell r="C9790" t="str">
            <v>Kg</v>
          </cell>
          <cell r="D9790">
            <v>60000</v>
          </cell>
        </row>
        <row r="9791">
          <cell r="A9791">
            <v>45701</v>
          </cell>
          <cell r="B9791" t="str">
            <v>Xà Lách Lolo Tím</v>
          </cell>
          <cell r="C9791" t="str">
            <v>Kg</v>
          </cell>
          <cell r="D9791">
            <v>18000</v>
          </cell>
        </row>
        <row r="9792">
          <cell r="A9792">
            <v>45701</v>
          </cell>
          <cell r="B9792" t="str">
            <v>Xà Lách Rocket</v>
          </cell>
          <cell r="C9792" t="str">
            <v>Kg</v>
          </cell>
          <cell r="D9792">
            <v>70000</v>
          </cell>
        </row>
        <row r="9793">
          <cell r="A9793">
            <v>45701</v>
          </cell>
          <cell r="B9793" t="str">
            <v>Xà Lách Romaine</v>
          </cell>
          <cell r="C9793" t="str">
            <v>Kg</v>
          </cell>
          <cell r="D9793">
            <v>15000</v>
          </cell>
        </row>
        <row r="9794">
          <cell r="A9794">
            <v>45701</v>
          </cell>
          <cell r="B9794" t="str">
            <v>Xà Lách Lolo Xanh</v>
          </cell>
          <cell r="C9794" t="str">
            <v>Kg</v>
          </cell>
          <cell r="D9794">
            <v>8000</v>
          </cell>
        </row>
        <row r="9795">
          <cell r="A9795">
            <v>45701</v>
          </cell>
          <cell r="B9795" t="str">
            <v>Xà Lách Lolo Xanh</v>
          </cell>
          <cell r="C9795" t="str">
            <v>Kg</v>
          </cell>
          <cell r="D9795">
            <v>12000</v>
          </cell>
        </row>
        <row r="9796">
          <cell r="A9796">
            <v>45701</v>
          </cell>
          <cell r="B9796" t="str">
            <v>Cà Rốt Baby</v>
          </cell>
          <cell r="C9796" t="str">
            <v>Vỉ</v>
          </cell>
          <cell r="D9796">
            <v>5500</v>
          </cell>
        </row>
        <row r="9797">
          <cell r="A9797">
            <v>45701</v>
          </cell>
          <cell r="B9797" t="str">
            <v>Cải Kale</v>
          </cell>
          <cell r="C9797" t="str">
            <v>Túi</v>
          </cell>
          <cell r="D9797">
            <v>3300</v>
          </cell>
        </row>
        <row r="9798">
          <cell r="A9798">
            <v>45701</v>
          </cell>
          <cell r="B9798" t="str">
            <v>Cải Kale</v>
          </cell>
          <cell r="C9798" t="str">
            <v>Túi 150gr</v>
          </cell>
          <cell r="D9798">
            <v>1900</v>
          </cell>
        </row>
        <row r="9799">
          <cell r="A9799">
            <v>45701</v>
          </cell>
          <cell r="B9799" t="str">
            <v>Lá Mè</v>
          </cell>
          <cell r="C9799" t="str">
            <v>Túi</v>
          </cell>
          <cell r="D9799">
            <v>3000</v>
          </cell>
        </row>
        <row r="9800">
          <cell r="A9800">
            <v>45701</v>
          </cell>
          <cell r="B9800" t="str">
            <v>Dưa Leo Baby</v>
          </cell>
          <cell r="C9800" t="str">
            <v>Vỉ</v>
          </cell>
          <cell r="D9800">
            <v>10000</v>
          </cell>
        </row>
        <row r="9801">
          <cell r="A9801">
            <v>45701</v>
          </cell>
          <cell r="B9801" t="str">
            <v>Cà Chua Bi Mix</v>
          </cell>
          <cell r="C9801" t="str">
            <v>Hộp</v>
          </cell>
          <cell r="D9801">
            <v>11100</v>
          </cell>
        </row>
        <row r="9802">
          <cell r="A9802">
            <v>45701</v>
          </cell>
          <cell r="B9802" t="str">
            <v>Cà Chua Socola</v>
          </cell>
          <cell r="C9802" t="str">
            <v>Hộp 300gr</v>
          </cell>
          <cell r="D9802">
            <v>10000</v>
          </cell>
        </row>
        <row r="9803">
          <cell r="A9803">
            <v>45701</v>
          </cell>
          <cell r="B9803" t="str">
            <v>Cải Kale</v>
          </cell>
          <cell r="C9803" t="str">
            <v>Túi</v>
          </cell>
          <cell r="D9803">
            <v>4200</v>
          </cell>
        </row>
        <row r="9804">
          <cell r="A9804">
            <v>45701</v>
          </cell>
          <cell r="B9804" t="str">
            <v>Chanh Không Hạt</v>
          </cell>
          <cell r="C9804" t="str">
            <v>Vỉ</v>
          </cell>
          <cell r="D9804">
            <v>7500</v>
          </cell>
        </row>
        <row r="9805">
          <cell r="A9805">
            <v>45701</v>
          </cell>
          <cell r="B9805" t="str">
            <v>Cà Chua Beef Chùm</v>
          </cell>
          <cell r="C9805" t="str">
            <v>Kg</v>
          </cell>
          <cell r="D9805">
            <v>15000</v>
          </cell>
        </row>
        <row r="9806">
          <cell r="A9806">
            <v>45701</v>
          </cell>
          <cell r="B9806" t="str">
            <v>Cà Chua Beef</v>
          </cell>
          <cell r="C9806" t="str">
            <v>Kg</v>
          </cell>
          <cell r="D9806">
            <v>13000</v>
          </cell>
        </row>
        <row r="9807">
          <cell r="A9807">
            <v>45701</v>
          </cell>
          <cell r="B9807" t="str">
            <v>Cà Chua Beef</v>
          </cell>
          <cell r="C9807" t="str">
            <v>Vỉ 650gr</v>
          </cell>
          <cell r="D9807">
            <v>11050</v>
          </cell>
        </row>
        <row r="9808">
          <cell r="A9808">
            <v>45701</v>
          </cell>
          <cell r="B9808" t="str">
            <v>Cà Chua Beef Trung</v>
          </cell>
          <cell r="C9808" t="str">
            <v>Vỉ 500gr</v>
          </cell>
          <cell r="D9808">
            <v>7000</v>
          </cell>
        </row>
        <row r="9809">
          <cell r="A9809">
            <v>45701</v>
          </cell>
          <cell r="B9809" t="str">
            <v>Cải Bó Xôi</v>
          </cell>
          <cell r="C9809" t="str">
            <v>Túi</v>
          </cell>
          <cell r="D9809">
            <v>5100</v>
          </cell>
        </row>
        <row r="9810">
          <cell r="A9810">
            <v>45701</v>
          </cell>
          <cell r="B9810" t="str">
            <v>Xà Lách Lolo Xanh T.C Cây</v>
          </cell>
          <cell r="C9810" t="str">
            <v>Cây</v>
          </cell>
          <cell r="D9810">
            <v>6800</v>
          </cell>
        </row>
        <row r="9811">
          <cell r="A9811">
            <v>45701</v>
          </cell>
          <cell r="B9811" t="str">
            <v>Xà Lách Mỡ T.C Cây</v>
          </cell>
          <cell r="C9811" t="str">
            <v>Cây</v>
          </cell>
          <cell r="D9811">
            <v>6800</v>
          </cell>
        </row>
        <row r="9812">
          <cell r="A9812">
            <v>45701</v>
          </cell>
          <cell r="B9812" t="str">
            <v>Xà Lách Mỡ T.C</v>
          </cell>
          <cell r="C9812" t="str">
            <v>Kg</v>
          </cell>
          <cell r="D9812">
            <v>28000</v>
          </cell>
        </row>
        <row r="9813">
          <cell r="A9813">
            <v>45701</v>
          </cell>
          <cell r="B9813" t="str">
            <v>Xà Lách Thủy Tinh T.C Cây</v>
          </cell>
          <cell r="C9813" t="str">
            <v>Cây</v>
          </cell>
          <cell r="D9813">
            <v>6800</v>
          </cell>
        </row>
        <row r="9814">
          <cell r="A9814">
            <v>45702</v>
          </cell>
          <cell r="B9814" t="str">
            <v>Bắp Cải Trái Tim</v>
          </cell>
          <cell r="C9814" t="str">
            <v>Kg</v>
          </cell>
          <cell r="D9814">
            <v>5000</v>
          </cell>
        </row>
        <row r="9815">
          <cell r="A9815">
            <v>45702</v>
          </cell>
          <cell r="B9815" t="str">
            <v>Cải Kale</v>
          </cell>
          <cell r="C9815" t="str">
            <v>Túi</v>
          </cell>
          <cell r="D9815">
            <v>3900</v>
          </cell>
        </row>
        <row r="9816">
          <cell r="A9816">
            <v>45702</v>
          </cell>
          <cell r="B9816" t="str">
            <v>Lá Mè</v>
          </cell>
          <cell r="C9816" t="str">
            <v>Túi</v>
          </cell>
          <cell r="D9816">
            <v>2800</v>
          </cell>
        </row>
        <row r="9817">
          <cell r="A9817">
            <v>45702</v>
          </cell>
          <cell r="B9817" t="str">
            <v>Bông Cải Xanh 7Cm</v>
          </cell>
          <cell r="C9817" t="str">
            <v>Kg</v>
          </cell>
          <cell r="D9817">
            <v>25000</v>
          </cell>
        </row>
        <row r="9818">
          <cell r="A9818">
            <v>45702</v>
          </cell>
          <cell r="B9818" t="str">
            <v>Bông Cải Xanh 7Cm</v>
          </cell>
          <cell r="C9818" t="str">
            <v>Kg</v>
          </cell>
          <cell r="D9818">
            <v>25000</v>
          </cell>
        </row>
        <row r="9819">
          <cell r="A9819">
            <v>45702</v>
          </cell>
          <cell r="B9819" t="str">
            <v>Cà Chua Socola</v>
          </cell>
          <cell r="C9819" t="str">
            <v>Hộp 250GR</v>
          </cell>
          <cell r="D9819">
            <v>7500</v>
          </cell>
        </row>
        <row r="9820">
          <cell r="A9820">
            <v>45702</v>
          </cell>
          <cell r="B9820" t="str">
            <v>Dưa Leo Baby</v>
          </cell>
          <cell r="C9820" t="str">
            <v>Vỉ</v>
          </cell>
          <cell r="D9820">
            <v>7000</v>
          </cell>
        </row>
        <row r="9821">
          <cell r="A9821">
            <v>45702</v>
          </cell>
          <cell r="B9821" t="str">
            <v>CT-MÍT</v>
          </cell>
          <cell r="C9821" t="str">
            <v>Kg</v>
          </cell>
          <cell r="D9821">
            <v>21040</v>
          </cell>
        </row>
        <row r="9822">
          <cell r="A9822">
            <v>45702</v>
          </cell>
          <cell r="B9822" t="str">
            <v>Củ Dền</v>
          </cell>
          <cell r="C9822" t="str">
            <v>Kg</v>
          </cell>
          <cell r="D9822">
            <v>9000</v>
          </cell>
        </row>
        <row r="9823">
          <cell r="A9823">
            <v>45702</v>
          </cell>
          <cell r="B9823" t="str">
            <v>Hành Paro</v>
          </cell>
          <cell r="C9823" t="str">
            <v>Kg</v>
          </cell>
          <cell r="D9823">
            <v>10000</v>
          </cell>
        </row>
        <row r="9824">
          <cell r="A9824">
            <v>45702</v>
          </cell>
          <cell r="B9824" t="str">
            <v>Cải Bó Xôi</v>
          </cell>
          <cell r="C9824" t="str">
            <v>Kg</v>
          </cell>
          <cell r="D9824">
            <v>12000</v>
          </cell>
        </row>
        <row r="9825">
          <cell r="A9825">
            <v>45702</v>
          </cell>
          <cell r="B9825" t="str">
            <v>Xà Lách Lolo Xanh T.C Cây</v>
          </cell>
          <cell r="C9825" t="str">
            <v>Cây</v>
          </cell>
          <cell r="D9825">
            <v>6800</v>
          </cell>
        </row>
        <row r="9826">
          <cell r="A9826">
            <v>45702</v>
          </cell>
          <cell r="B9826" t="str">
            <v>Xà Lách Mỡ T.C</v>
          </cell>
          <cell r="C9826" t="str">
            <v>Kg</v>
          </cell>
          <cell r="D9826">
            <v>28000</v>
          </cell>
        </row>
        <row r="9827">
          <cell r="A9827">
            <v>45702</v>
          </cell>
          <cell r="B9827" t="str">
            <v>Xà Lách Thủy Tinh T.C Cây</v>
          </cell>
          <cell r="C9827" t="str">
            <v>Cây</v>
          </cell>
          <cell r="D9827">
            <v>6800</v>
          </cell>
        </row>
        <row r="9828">
          <cell r="A9828">
            <v>45702</v>
          </cell>
          <cell r="B9828" t="str">
            <v>Củ Khoai Tây Vàng</v>
          </cell>
          <cell r="C9828" t="str">
            <v>Kg</v>
          </cell>
          <cell r="D9828">
            <v>12500</v>
          </cell>
        </row>
        <row r="9829">
          <cell r="A9829">
            <v>45702</v>
          </cell>
          <cell r="B9829" t="str">
            <v>Ớt Sweet Palemo</v>
          </cell>
          <cell r="C9829" t="str">
            <v>Túi</v>
          </cell>
          <cell r="D9829">
            <v>18000</v>
          </cell>
        </row>
        <row r="9830">
          <cell r="A9830">
            <v>45702</v>
          </cell>
          <cell r="B9830" t="str">
            <v>Ớt Chuông Baby</v>
          </cell>
          <cell r="C9830" t="str">
            <v>Kg</v>
          </cell>
          <cell r="D9830">
            <v>55000</v>
          </cell>
        </row>
        <row r="9831">
          <cell r="A9831">
            <v>45702</v>
          </cell>
          <cell r="B9831" t="str">
            <v>Gia Công Rau Củ Quả</v>
          </cell>
          <cell r="C9831" t="str">
            <v>Kg</v>
          </cell>
          <cell r="D9831">
            <v>1700</v>
          </cell>
        </row>
        <row r="9832">
          <cell r="A9832">
            <v>45702</v>
          </cell>
          <cell r="B9832" t="str">
            <v>Gia Công Rau Củ Quả</v>
          </cell>
          <cell r="C9832" t="str">
            <v>Kg</v>
          </cell>
          <cell r="D9832">
            <v>1700</v>
          </cell>
        </row>
        <row r="9833">
          <cell r="A9833">
            <v>45702</v>
          </cell>
          <cell r="B9833" t="str">
            <v>Gia Công Rau Củ Quả</v>
          </cell>
          <cell r="C9833" t="str">
            <v>Kg</v>
          </cell>
          <cell r="D9833">
            <v>1000</v>
          </cell>
        </row>
        <row r="9834">
          <cell r="A9834">
            <v>45702</v>
          </cell>
          <cell r="B9834" t="str">
            <v>Trái Su Su</v>
          </cell>
          <cell r="C9834" t="str">
            <v>Kg</v>
          </cell>
          <cell r="D9834">
            <v>4000</v>
          </cell>
        </row>
        <row r="9835">
          <cell r="A9835">
            <v>45702</v>
          </cell>
          <cell r="B9835" t="str">
            <v>Cà Chua Socola</v>
          </cell>
          <cell r="C9835" t="str">
            <v>Kg</v>
          </cell>
          <cell r="D9835">
            <v>18000</v>
          </cell>
        </row>
        <row r="9836">
          <cell r="A9836">
            <v>45702</v>
          </cell>
          <cell r="B9836" t="str">
            <v>Đậu Cove Trắng</v>
          </cell>
          <cell r="C9836" t="str">
            <v>Kg</v>
          </cell>
          <cell r="D9836">
            <v>14500</v>
          </cell>
        </row>
        <row r="9837">
          <cell r="A9837">
            <v>45702</v>
          </cell>
          <cell r="B9837" t="str">
            <v>Dưa Leo Baby</v>
          </cell>
          <cell r="C9837" t="str">
            <v>Kg</v>
          </cell>
          <cell r="D9837">
            <v>9500</v>
          </cell>
        </row>
        <row r="9838">
          <cell r="A9838">
            <v>45702</v>
          </cell>
          <cell r="B9838" t="str">
            <v>Dưa Leo Baby</v>
          </cell>
          <cell r="C9838" t="str">
            <v>Kg</v>
          </cell>
          <cell r="D9838">
            <v>14000</v>
          </cell>
        </row>
        <row r="9839">
          <cell r="A9839">
            <v>45702</v>
          </cell>
          <cell r="B9839" t="str">
            <v>Bí Ngòi Xanh</v>
          </cell>
          <cell r="C9839" t="str">
            <v>Kg</v>
          </cell>
          <cell r="D9839">
            <v>9000</v>
          </cell>
        </row>
        <row r="9840">
          <cell r="A9840">
            <v>45702</v>
          </cell>
          <cell r="B9840" t="str">
            <v>Cà Chua Beef</v>
          </cell>
          <cell r="C9840" t="str">
            <v>Kg</v>
          </cell>
          <cell r="D9840">
            <v>11000</v>
          </cell>
        </row>
        <row r="9841">
          <cell r="A9841">
            <v>45702</v>
          </cell>
          <cell r="B9841" t="str">
            <v>Cà Chua Beef</v>
          </cell>
          <cell r="C9841" t="str">
            <v>Kg</v>
          </cell>
          <cell r="D9841">
            <v>12500</v>
          </cell>
        </row>
        <row r="9842">
          <cell r="A9842">
            <v>45702</v>
          </cell>
          <cell r="B9842" t="str">
            <v>Bông Cải Trắng</v>
          </cell>
          <cell r="C9842" t="str">
            <v>Kg</v>
          </cell>
          <cell r="D9842">
            <v>9000</v>
          </cell>
        </row>
        <row r="9843">
          <cell r="A9843">
            <v>45702</v>
          </cell>
          <cell r="B9843" t="str">
            <v>Đậu Đỏ</v>
          </cell>
          <cell r="C9843" t="str">
            <v>Kg</v>
          </cell>
          <cell r="D9843">
            <v>80000</v>
          </cell>
        </row>
        <row r="9844">
          <cell r="A9844">
            <v>45702</v>
          </cell>
          <cell r="B9844" t="str">
            <v>Đậu Ngự</v>
          </cell>
          <cell r="C9844" t="str">
            <v>Kg</v>
          </cell>
          <cell r="D9844">
            <v>70000</v>
          </cell>
        </row>
        <row r="9845">
          <cell r="A9845">
            <v>45702</v>
          </cell>
          <cell r="B9845" t="str">
            <v>Đậu Trắng</v>
          </cell>
          <cell r="C9845" t="str">
            <v>Kg</v>
          </cell>
          <cell r="D9845">
            <v>70000</v>
          </cell>
        </row>
        <row r="9846">
          <cell r="A9846">
            <v>45702</v>
          </cell>
          <cell r="B9846" t="str">
            <v>Hành Paro</v>
          </cell>
          <cell r="C9846" t="str">
            <v>Kg</v>
          </cell>
          <cell r="D9846">
            <v>11500</v>
          </cell>
        </row>
        <row r="9847">
          <cell r="A9847">
            <v>45702</v>
          </cell>
          <cell r="B9847" t="str">
            <v>Bí Ngòi Xanh</v>
          </cell>
          <cell r="C9847" t="str">
            <v>Kg</v>
          </cell>
          <cell r="D9847">
            <v>18000</v>
          </cell>
        </row>
        <row r="9848">
          <cell r="A9848">
            <v>45702</v>
          </cell>
          <cell r="B9848" t="str">
            <v>Bí Ngòi Vàng</v>
          </cell>
          <cell r="C9848" t="str">
            <v>Kg</v>
          </cell>
          <cell r="D9848">
            <v>25000</v>
          </cell>
        </row>
        <row r="9849">
          <cell r="A9849">
            <v>45702</v>
          </cell>
          <cell r="B9849" t="str">
            <v>Củ Hành Tây</v>
          </cell>
          <cell r="C9849" t="str">
            <v>Kg</v>
          </cell>
          <cell r="D9849">
            <v>8000</v>
          </cell>
        </row>
        <row r="9850">
          <cell r="A9850">
            <v>45702</v>
          </cell>
          <cell r="B9850" t="str">
            <v>Củ Hành Tây Trung</v>
          </cell>
          <cell r="C9850" t="str">
            <v>Kg</v>
          </cell>
          <cell r="D9850">
            <v>6000</v>
          </cell>
        </row>
        <row r="9851">
          <cell r="A9851">
            <v>45702</v>
          </cell>
          <cell r="B9851" t="str">
            <v>Xà Lách Lolo Xanh</v>
          </cell>
          <cell r="C9851" t="str">
            <v>Kg</v>
          </cell>
          <cell r="D9851">
            <v>13000</v>
          </cell>
        </row>
        <row r="9852">
          <cell r="A9852">
            <v>45702</v>
          </cell>
          <cell r="B9852" t="str">
            <v>Ớt Sweet Palemo</v>
          </cell>
          <cell r="C9852" t="str">
            <v>Túi</v>
          </cell>
          <cell r="D9852">
            <v>17500</v>
          </cell>
        </row>
        <row r="9853">
          <cell r="A9853">
            <v>45702</v>
          </cell>
          <cell r="B9853" t="str">
            <v>Củ Khoai Mỡ</v>
          </cell>
          <cell r="C9853" t="str">
            <v>Kg</v>
          </cell>
          <cell r="D9853">
            <v>28000</v>
          </cell>
        </row>
        <row r="9854">
          <cell r="A9854">
            <v>45702</v>
          </cell>
          <cell r="B9854" t="str">
            <v>Bí Đỏ Hồ Lô</v>
          </cell>
          <cell r="C9854" t="str">
            <v>Kg</v>
          </cell>
          <cell r="D9854">
            <v>7500</v>
          </cell>
        </row>
        <row r="9855">
          <cell r="A9855">
            <v>45702</v>
          </cell>
          <cell r="B9855" t="str">
            <v>Trái Khổ Qua</v>
          </cell>
          <cell r="C9855" t="str">
            <v>Kg</v>
          </cell>
          <cell r="D9855">
            <v>12000</v>
          </cell>
        </row>
        <row r="9856">
          <cell r="A9856">
            <v>45702</v>
          </cell>
          <cell r="B9856" t="str">
            <v>Bí Đao Xanh</v>
          </cell>
          <cell r="C9856" t="str">
            <v>Kg</v>
          </cell>
          <cell r="D9856">
            <v>12000</v>
          </cell>
        </row>
        <row r="9857">
          <cell r="A9857">
            <v>45702</v>
          </cell>
          <cell r="B9857" t="str">
            <v>Dưa Leo Thường</v>
          </cell>
          <cell r="C9857" t="str">
            <v>Kg</v>
          </cell>
          <cell r="D9857">
            <v>12000</v>
          </cell>
        </row>
        <row r="9858">
          <cell r="A9858">
            <v>45702</v>
          </cell>
          <cell r="B9858" t="str">
            <v>Bí Ngòi Xanh</v>
          </cell>
          <cell r="C9858" t="str">
            <v>Kg</v>
          </cell>
          <cell r="D9858">
            <v>17500</v>
          </cell>
        </row>
        <row r="9859">
          <cell r="A9859">
            <v>45702</v>
          </cell>
          <cell r="B9859" t="str">
            <v>Cà Chua Thường</v>
          </cell>
          <cell r="C9859" t="str">
            <v>Kg</v>
          </cell>
          <cell r="D9859">
            <v>16000</v>
          </cell>
        </row>
        <row r="9860">
          <cell r="A9860">
            <v>45702</v>
          </cell>
          <cell r="B9860" t="str">
            <v>Cà Chua Thường Trung</v>
          </cell>
          <cell r="C9860" t="str">
            <v>Kg</v>
          </cell>
          <cell r="D9860">
            <v>11000</v>
          </cell>
        </row>
        <row r="9861">
          <cell r="A9861">
            <v>45702</v>
          </cell>
          <cell r="B9861" t="str">
            <v>Xà Lách Thủy Tinh T.C Cây</v>
          </cell>
          <cell r="C9861" t="str">
            <v>Cây</v>
          </cell>
          <cell r="D9861">
            <v>6000</v>
          </cell>
        </row>
        <row r="9862">
          <cell r="A9862">
            <v>45702</v>
          </cell>
          <cell r="B9862" t="str">
            <v>Củ Khoai Lang Nhật</v>
          </cell>
          <cell r="C9862" t="str">
            <v>Kg</v>
          </cell>
          <cell r="D9862">
            <v>15500</v>
          </cell>
        </row>
        <row r="9863">
          <cell r="A9863">
            <v>45702</v>
          </cell>
          <cell r="B9863" t="str">
            <v>Măng Tây</v>
          </cell>
          <cell r="C9863" t="str">
            <v>Kg</v>
          </cell>
          <cell r="D9863">
            <v>53000</v>
          </cell>
        </row>
        <row r="9864">
          <cell r="A9864">
            <v>45702</v>
          </cell>
          <cell r="B9864" t="str">
            <v>Măng Tây</v>
          </cell>
          <cell r="C9864" t="str">
            <v>Kg</v>
          </cell>
          <cell r="D9864">
            <v>40000</v>
          </cell>
        </row>
        <row r="9865">
          <cell r="A9865">
            <v>45702</v>
          </cell>
          <cell r="B9865" t="str">
            <v>Lá É</v>
          </cell>
          <cell r="C9865" t="str">
            <v>Kg</v>
          </cell>
          <cell r="D9865">
            <v>25000</v>
          </cell>
        </row>
        <row r="9866">
          <cell r="A9866">
            <v>45702</v>
          </cell>
          <cell r="B9866" t="str">
            <v>CT - BÍ NGÒI XANH</v>
          </cell>
          <cell r="C9866" t="str">
            <v>Kg</v>
          </cell>
          <cell r="D9866">
            <v>14000</v>
          </cell>
        </row>
        <row r="9867">
          <cell r="A9867">
            <v>45702</v>
          </cell>
          <cell r="B9867" t="str">
            <v>Củ Cải Trắng</v>
          </cell>
          <cell r="C9867" t="str">
            <v>Kg</v>
          </cell>
          <cell r="D9867">
            <v>4000</v>
          </cell>
        </row>
        <row r="9868">
          <cell r="A9868">
            <v>45702</v>
          </cell>
          <cell r="B9868" t="str">
            <v>Cà Rốt</v>
          </cell>
          <cell r="C9868" t="str">
            <v>Kg</v>
          </cell>
          <cell r="D9868">
            <v>7000</v>
          </cell>
        </row>
        <row r="9869">
          <cell r="A9869">
            <v>45702</v>
          </cell>
          <cell r="B9869" t="str">
            <v>Cà Rốt</v>
          </cell>
          <cell r="C9869" t="str">
            <v>Kg</v>
          </cell>
          <cell r="D9869">
            <v>8000</v>
          </cell>
        </row>
        <row r="9870">
          <cell r="A9870">
            <v>45702</v>
          </cell>
          <cell r="B9870" t="str">
            <v>Lá Nha Đam</v>
          </cell>
          <cell r="C9870" t="str">
            <v>Kg</v>
          </cell>
          <cell r="D9870">
            <v>14000</v>
          </cell>
        </row>
        <row r="9871">
          <cell r="A9871">
            <v>45702</v>
          </cell>
          <cell r="B9871" t="str">
            <v>Bí Đỏ Hồ Lô</v>
          </cell>
          <cell r="C9871" t="str">
            <v>Kg</v>
          </cell>
          <cell r="D9871">
            <v>7500</v>
          </cell>
        </row>
        <row r="9872">
          <cell r="A9872">
            <v>45702</v>
          </cell>
          <cell r="B9872" t="str">
            <v>Chuối Laba</v>
          </cell>
          <cell r="C9872" t="str">
            <v>Kg</v>
          </cell>
          <cell r="D9872">
            <v>14000</v>
          </cell>
        </row>
        <row r="9873">
          <cell r="A9873">
            <v>45702</v>
          </cell>
          <cell r="B9873" t="str">
            <v>Củ Gừng</v>
          </cell>
          <cell r="C9873" t="str">
            <v>Kg</v>
          </cell>
          <cell r="D9873">
            <v>19000</v>
          </cell>
        </row>
        <row r="9874">
          <cell r="A9874">
            <v>45702</v>
          </cell>
          <cell r="B9874" t="str">
            <v>Củ Khoai Mỡ</v>
          </cell>
          <cell r="C9874" t="str">
            <v>Kg</v>
          </cell>
          <cell r="D9874">
            <v>27000</v>
          </cell>
        </row>
        <row r="9875">
          <cell r="A9875">
            <v>45702</v>
          </cell>
          <cell r="B9875" t="str">
            <v>Củ Su Hào</v>
          </cell>
          <cell r="C9875" t="str">
            <v>Kg</v>
          </cell>
          <cell r="D9875">
            <v>8000</v>
          </cell>
        </row>
        <row r="9876">
          <cell r="A9876">
            <v>45702</v>
          </cell>
          <cell r="B9876" t="str">
            <v>Xà Lách Mỡ T.C</v>
          </cell>
          <cell r="C9876" t="str">
            <v>Kg</v>
          </cell>
          <cell r="D9876">
            <v>24000</v>
          </cell>
        </row>
        <row r="9877">
          <cell r="A9877">
            <v>45702</v>
          </cell>
          <cell r="B9877" t="str">
            <v>Xà Lách Lolo Xanh T.C</v>
          </cell>
          <cell r="C9877" t="str">
            <v>Kg</v>
          </cell>
          <cell r="D9877">
            <v>21000</v>
          </cell>
        </row>
        <row r="9878">
          <cell r="A9878">
            <v>45702</v>
          </cell>
          <cell r="B9878" t="str">
            <v>Cần Tây</v>
          </cell>
          <cell r="C9878" t="str">
            <v>Kg</v>
          </cell>
          <cell r="D9878">
            <v>13000</v>
          </cell>
        </row>
        <row r="9879">
          <cell r="A9879">
            <v>45702</v>
          </cell>
          <cell r="B9879" t="str">
            <v>Bắp Cải Tím</v>
          </cell>
          <cell r="C9879" t="str">
            <v>Kg</v>
          </cell>
          <cell r="D9879">
            <v>20000</v>
          </cell>
        </row>
        <row r="9880">
          <cell r="A9880">
            <v>45702</v>
          </cell>
          <cell r="B9880" t="str">
            <v>Củ Khoai Lang Mật Size 23</v>
          </cell>
          <cell r="C9880" t="str">
            <v>Kg</v>
          </cell>
          <cell r="D9880">
            <v>25000</v>
          </cell>
        </row>
        <row r="9881">
          <cell r="A9881">
            <v>45702</v>
          </cell>
          <cell r="B9881" t="str">
            <v>Củ Khoai Lang Mật Size 46</v>
          </cell>
          <cell r="C9881" t="str">
            <v>Kg</v>
          </cell>
          <cell r="D9881">
            <v>25000</v>
          </cell>
        </row>
        <row r="9882">
          <cell r="A9882">
            <v>45702</v>
          </cell>
          <cell r="B9882" t="str">
            <v>Ớt Chuông Đỏ</v>
          </cell>
          <cell r="C9882" t="str">
            <v>Kg</v>
          </cell>
          <cell r="D9882">
            <v>55000</v>
          </cell>
        </row>
        <row r="9883">
          <cell r="A9883">
            <v>45702</v>
          </cell>
          <cell r="B9883" t="str">
            <v>Ớt Chuông Vàng</v>
          </cell>
          <cell r="C9883" t="str">
            <v>Kg</v>
          </cell>
          <cell r="D9883">
            <v>60000</v>
          </cell>
        </row>
        <row r="9884">
          <cell r="A9884">
            <v>45702</v>
          </cell>
          <cell r="B9884" t="str">
            <v>Ớt Chuông Xanh</v>
          </cell>
          <cell r="C9884" t="str">
            <v>Kg</v>
          </cell>
          <cell r="D9884">
            <v>35000</v>
          </cell>
        </row>
        <row r="9885">
          <cell r="A9885">
            <v>45702</v>
          </cell>
          <cell r="B9885" t="str">
            <v>Cà Chua Socola</v>
          </cell>
          <cell r="C9885" t="str">
            <v>Hộp 250GR</v>
          </cell>
          <cell r="D9885">
            <v>7000</v>
          </cell>
        </row>
        <row r="9886">
          <cell r="A9886">
            <v>45702</v>
          </cell>
          <cell r="B9886" t="str">
            <v>Đậu Hà Lan Trái</v>
          </cell>
          <cell r="C9886" t="str">
            <v>Kg</v>
          </cell>
          <cell r="D9886">
            <v>70000</v>
          </cell>
        </row>
        <row r="9887">
          <cell r="A9887">
            <v>45702</v>
          </cell>
          <cell r="B9887" t="str">
            <v>Xà Lách Carol</v>
          </cell>
          <cell r="C9887" t="str">
            <v>Kg</v>
          </cell>
          <cell r="D9887">
            <v>32000</v>
          </cell>
        </row>
        <row r="9888">
          <cell r="A9888">
            <v>45702</v>
          </cell>
          <cell r="B9888" t="str">
            <v>Bông Atiso</v>
          </cell>
          <cell r="C9888" t="str">
            <v>Kg</v>
          </cell>
          <cell r="D9888">
            <v>200000</v>
          </cell>
        </row>
        <row r="9889">
          <cell r="A9889">
            <v>45702</v>
          </cell>
          <cell r="B9889" t="str">
            <v>Rau Bầu Đất</v>
          </cell>
          <cell r="C9889" t="str">
            <v>Kg</v>
          </cell>
          <cell r="D9889">
            <v>35000</v>
          </cell>
        </row>
        <row r="9890">
          <cell r="A9890">
            <v>45702</v>
          </cell>
          <cell r="B9890" t="str">
            <v>Cà Rốt Baby</v>
          </cell>
          <cell r="C9890" t="str">
            <v>Vỉ</v>
          </cell>
          <cell r="D9890">
            <v>5500</v>
          </cell>
        </row>
        <row r="9891">
          <cell r="A9891">
            <v>45702</v>
          </cell>
          <cell r="B9891" t="str">
            <v>Cải Kale</v>
          </cell>
          <cell r="C9891" t="str">
            <v>Túi</v>
          </cell>
          <cell r="D9891">
            <v>3300</v>
          </cell>
        </row>
        <row r="9892">
          <cell r="A9892">
            <v>45702</v>
          </cell>
          <cell r="B9892" t="str">
            <v>Cải Kale</v>
          </cell>
          <cell r="C9892" t="str">
            <v>Túi 150gr</v>
          </cell>
          <cell r="D9892">
            <v>1900</v>
          </cell>
        </row>
        <row r="9893">
          <cell r="A9893">
            <v>45702</v>
          </cell>
          <cell r="B9893" t="str">
            <v>Lá Mè</v>
          </cell>
          <cell r="C9893" t="str">
            <v>Túi</v>
          </cell>
          <cell r="D9893">
            <v>3000</v>
          </cell>
        </row>
        <row r="9894">
          <cell r="A9894">
            <v>45702</v>
          </cell>
          <cell r="B9894" t="str">
            <v>Dưa Leo Baby</v>
          </cell>
          <cell r="C9894" t="str">
            <v>Vỉ</v>
          </cell>
          <cell r="D9894">
            <v>10000</v>
          </cell>
        </row>
        <row r="9895">
          <cell r="A9895">
            <v>45702</v>
          </cell>
          <cell r="B9895" t="str">
            <v>Bông Cải Xanh Baby</v>
          </cell>
          <cell r="C9895" t="str">
            <v>Vỉ</v>
          </cell>
          <cell r="D9895">
            <v>5500</v>
          </cell>
        </row>
        <row r="9896">
          <cell r="A9896">
            <v>45702</v>
          </cell>
          <cell r="B9896" t="str">
            <v>Cà Chua Beef Trung</v>
          </cell>
          <cell r="C9896" t="str">
            <v>Vỉ 500gr</v>
          </cell>
          <cell r="D9896">
            <v>6500</v>
          </cell>
        </row>
        <row r="9897">
          <cell r="A9897">
            <v>45702</v>
          </cell>
          <cell r="B9897" t="str">
            <v>Củ Cải Đỏ</v>
          </cell>
          <cell r="C9897" t="str">
            <v>Hộp</v>
          </cell>
          <cell r="D9897">
            <v>10000</v>
          </cell>
        </row>
        <row r="9898">
          <cell r="A9898">
            <v>45702</v>
          </cell>
          <cell r="B9898" t="str">
            <v>Ớt Sweet Palemo</v>
          </cell>
          <cell r="C9898" t="str">
            <v>Túi</v>
          </cell>
          <cell r="D9898">
            <v>19500</v>
          </cell>
        </row>
        <row r="9899">
          <cell r="A9899">
            <v>45702</v>
          </cell>
          <cell r="B9899" t="str">
            <v>Xà Lách Lolo Tím</v>
          </cell>
          <cell r="C9899" t="str">
            <v>Kg</v>
          </cell>
          <cell r="D9899">
            <v>18000</v>
          </cell>
        </row>
        <row r="9900">
          <cell r="A9900">
            <v>45702</v>
          </cell>
          <cell r="B9900" t="str">
            <v>Lá Hương Thảo</v>
          </cell>
          <cell r="C9900" t="str">
            <v>Kg</v>
          </cell>
          <cell r="D9900">
            <v>130000</v>
          </cell>
        </row>
        <row r="9901">
          <cell r="A9901">
            <v>45702</v>
          </cell>
          <cell r="B9901" t="str">
            <v>Cà Chua Beef</v>
          </cell>
          <cell r="C9901" t="str">
            <v>Kg</v>
          </cell>
          <cell r="D9901">
            <v>13000</v>
          </cell>
        </row>
        <row r="9902">
          <cell r="A9902">
            <v>45702</v>
          </cell>
          <cell r="B9902" t="str">
            <v>Cà Chua Beef</v>
          </cell>
          <cell r="C9902" t="str">
            <v>Vỉ 650gr</v>
          </cell>
          <cell r="D9902">
            <v>11050</v>
          </cell>
        </row>
        <row r="9903">
          <cell r="A9903">
            <v>45702</v>
          </cell>
          <cell r="B9903" t="str">
            <v>Cà Chua Beef Trung</v>
          </cell>
          <cell r="C9903" t="str">
            <v>Vỉ 500gr</v>
          </cell>
          <cell r="D9903">
            <v>7000</v>
          </cell>
        </row>
        <row r="9904">
          <cell r="A9904">
            <v>45702</v>
          </cell>
          <cell r="B9904" t="str">
            <v>Cà Chua Beef Trung</v>
          </cell>
          <cell r="C9904" t="str">
            <v>Kg</v>
          </cell>
          <cell r="D9904">
            <v>12000</v>
          </cell>
        </row>
        <row r="9905">
          <cell r="A9905">
            <v>45702</v>
          </cell>
          <cell r="B9905" t="str">
            <v>Cà Chua Bi Mix</v>
          </cell>
          <cell r="C9905" t="str">
            <v>Hộp</v>
          </cell>
          <cell r="D9905">
            <v>11100</v>
          </cell>
        </row>
        <row r="9906">
          <cell r="A9906">
            <v>45702</v>
          </cell>
          <cell r="B9906" t="str">
            <v>Cà Chua Socola</v>
          </cell>
          <cell r="C9906" t="str">
            <v>Hộp 300gr</v>
          </cell>
          <cell r="D9906">
            <v>9900</v>
          </cell>
        </row>
        <row r="9907">
          <cell r="A9907">
            <v>45702</v>
          </cell>
          <cell r="B9907" t="str">
            <v>Cải Kale</v>
          </cell>
          <cell r="C9907" t="str">
            <v>Túi</v>
          </cell>
          <cell r="D9907">
            <v>4200</v>
          </cell>
        </row>
        <row r="9908">
          <cell r="A9908">
            <v>45702</v>
          </cell>
          <cell r="B9908" t="str">
            <v>Cải Cầu Vồng</v>
          </cell>
          <cell r="C9908" t="str">
            <v>Túi</v>
          </cell>
          <cell r="D9908">
            <v>4800</v>
          </cell>
        </row>
        <row r="9909">
          <cell r="A9909">
            <v>45702</v>
          </cell>
          <cell r="B9909" t="str">
            <v>Lá Mè</v>
          </cell>
          <cell r="C9909" t="str">
            <v>Túi</v>
          </cell>
          <cell r="D9909">
            <v>3000</v>
          </cell>
        </row>
        <row r="9910">
          <cell r="A9910">
            <v>45702</v>
          </cell>
          <cell r="B9910" t="str">
            <v>Cải Bó Xôi</v>
          </cell>
          <cell r="C9910" t="str">
            <v>Túi</v>
          </cell>
          <cell r="D9910">
            <v>5100</v>
          </cell>
        </row>
        <row r="9911">
          <cell r="A9911">
            <v>45702</v>
          </cell>
          <cell r="B9911" t="str">
            <v>Ớt Chuông Đỏ</v>
          </cell>
          <cell r="C9911" t="str">
            <v>Kg</v>
          </cell>
          <cell r="D9911">
            <v>48000</v>
          </cell>
        </row>
        <row r="9912">
          <cell r="A9912">
            <v>45702</v>
          </cell>
          <cell r="B9912" t="str">
            <v>Ớt Chuông Vàng</v>
          </cell>
          <cell r="C9912" t="str">
            <v>Kg</v>
          </cell>
          <cell r="D9912">
            <v>52000</v>
          </cell>
        </row>
        <row r="9913">
          <cell r="A9913">
            <v>45702</v>
          </cell>
          <cell r="B9913" t="str">
            <v>Đậu Cove Trắng</v>
          </cell>
          <cell r="C9913" t="str">
            <v>Túi 500gr</v>
          </cell>
          <cell r="D9913">
            <v>7000</v>
          </cell>
        </row>
        <row r="9914">
          <cell r="A9914">
            <v>45702</v>
          </cell>
          <cell r="B9914" t="str">
            <v>Đậu Cove Trắng</v>
          </cell>
          <cell r="C9914" t="str">
            <v>Túi 300gr</v>
          </cell>
          <cell r="D9914">
            <v>5500</v>
          </cell>
        </row>
        <row r="9915">
          <cell r="A9915">
            <v>45702</v>
          </cell>
          <cell r="B9915" t="str">
            <v>Bí Non Nhật</v>
          </cell>
          <cell r="C9915" t="str">
            <v>Kg</v>
          </cell>
          <cell r="D9915">
            <v>18000</v>
          </cell>
        </row>
        <row r="9916">
          <cell r="A9916">
            <v>45702</v>
          </cell>
          <cell r="B9916" t="str">
            <v>Dưa Leo Baby</v>
          </cell>
          <cell r="C9916" t="str">
            <v>Kg</v>
          </cell>
          <cell r="D9916">
            <v>15000</v>
          </cell>
        </row>
        <row r="9917">
          <cell r="A9917">
            <v>45702</v>
          </cell>
          <cell r="B9917" t="str">
            <v>Dưa Leo Thường</v>
          </cell>
          <cell r="C9917" t="str">
            <v>Kg</v>
          </cell>
          <cell r="D9917">
            <v>15000</v>
          </cell>
        </row>
        <row r="9918">
          <cell r="A9918">
            <v>45702</v>
          </cell>
          <cell r="B9918" t="str">
            <v>Dưa Leo Nhật</v>
          </cell>
          <cell r="C9918" t="str">
            <v>Kg</v>
          </cell>
          <cell r="D9918">
            <v>17000</v>
          </cell>
        </row>
        <row r="9919">
          <cell r="A9919">
            <v>45702</v>
          </cell>
          <cell r="B9919" t="str">
            <v>Dưa Leo Baby</v>
          </cell>
          <cell r="C9919" t="str">
            <v>Vỉ</v>
          </cell>
          <cell r="D9919">
            <v>10000</v>
          </cell>
        </row>
        <row r="9920">
          <cell r="A9920">
            <v>45702</v>
          </cell>
          <cell r="B9920" t="str">
            <v>Đậu Cove Nhật</v>
          </cell>
          <cell r="C9920" t="str">
            <v>Túi</v>
          </cell>
          <cell r="D9920">
            <v>6500</v>
          </cell>
        </row>
        <row r="9921">
          <cell r="A9921">
            <v>45702</v>
          </cell>
          <cell r="B9921" t="str">
            <v>Cà Chua Bi Đỏ</v>
          </cell>
          <cell r="C9921" t="str">
            <v>Hộp 500gr</v>
          </cell>
          <cell r="D9921">
            <v>8500</v>
          </cell>
        </row>
        <row r="9922">
          <cell r="A9922">
            <v>45702</v>
          </cell>
          <cell r="B9922" t="str">
            <v>Cà Chua Bi Đỏ</v>
          </cell>
          <cell r="C9922" t="str">
            <v>Hộp 300gr</v>
          </cell>
          <cell r="D9922">
            <v>5100</v>
          </cell>
        </row>
        <row r="9923">
          <cell r="A9923">
            <v>45702</v>
          </cell>
          <cell r="B9923" t="str">
            <v>Xà Lách Mỡ T.C</v>
          </cell>
          <cell r="C9923" t="str">
            <v>Kg</v>
          </cell>
          <cell r="D9923">
            <v>26000</v>
          </cell>
        </row>
        <row r="9924">
          <cell r="A9924">
            <v>45702</v>
          </cell>
          <cell r="B9924" t="str">
            <v>Xà Lách Lolo Xanh T.C</v>
          </cell>
          <cell r="C9924" t="str">
            <v>Kg</v>
          </cell>
          <cell r="D9924">
            <v>26000</v>
          </cell>
        </row>
        <row r="9925">
          <cell r="A9925">
            <v>45702</v>
          </cell>
          <cell r="B9925" t="str">
            <v>Xà Lách Thủy Tinh T.C Cây</v>
          </cell>
          <cell r="C9925" t="str">
            <v>Cây</v>
          </cell>
          <cell r="D9925">
            <v>7500</v>
          </cell>
        </row>
        <row r="9926">
          <cell r="A9926">
            <v>45702</v>
          </cell>
          <cell r="B9926" t="str">
            <v>Bí Non Nhật</v>
          </cell>
          <cell r="C9926" t="str">
            <v>Kg</v>
          </cell>
          <cell r="D9926">
            <v>10000</v>
          </cell>
        </row>
        <row r="9927">
          <cell r="A9927">
            <v>45702</v>
          </cell>
          <cell r="B9927" t="str">
            <v>Cà Tím</v>
          </cell>
          <cell r="C9927" t="str">
            <v>Kg</v>
          </cell>
          <cell r="D9927">
            <v>8000</v>
          </cell>
        </row>
        <row r="9928">
          <cell r="A9928">
            <v>45702</v>
          </cell>
          <cell r="B9928" t="str">
            <v>Trái Su Su</v>
          </cell>
          <cell r="C9928" t="str">
            <v>Kg</v>
          </cell>
          <cell r="D9928">
            <v>8000</v>
          </cell>
        </row>
        <row r="9929">
          <cell r="A9929">
            <v>45702</v>
          </cell>
          <cell r="B9929" t="str">
            <v>Cà Tím</v>
          </cell>
          <cell r="C9929" t="str">
            <v>Kg</v>
          </cell>
          <cell r="D9929">
            <v>10000</v>
          </cell>
        </row>
        <row r="9930">
          <cell r="A9930">
            <v>45702</v>
          </cell>
          <cell r="B9930" t="str">
            <v>Cà Tím</v>
          </cell>
          <cell r="C9930" t="str">
            <v>Cặp</v>
          </cell>
          <cell r="D9930">
            <v>6000</v>
          </cell>
        </row>
        <row r="9931">
          <cell r="A9931">
            <v>45702</v>
          </cell>
          <cell r="B9931" t="str">
            <v>Củ Khoai Lang Nhật</v>
          </cell>
          <cell r="C9931" t="str">
            <v>Kg</v>
          </cell>
          <cell r="D9931">
            <v>16000</v>
          </cell>
        </row>
        <row r="9932">
          <cell r="A9932">
            <v>45702</v>
          </cell>
          <cell r="B9932" t="str">
            <v>Ớt Chuông Đỏ</v>
          </cell>
          <cell r="C9932" t="str">
            <v>Kg</v>
          </cell>
          <cell r="D9932">
            <v>56000</v>
          </cell>
        </row>
        <row r="9933">
          <cell r="A9933">
            <v>45702</v>
          </cell>
          <cell r="B9933" t="str">
            <v>Ớt Chuông Vàng</v>
          </cell>
          <cell r="C9933" t="str">
            <v>Kg</v>
          </cell>
          <cell r="D9933">
            <v>56000</v>
          </cell>
        </row>
        <row r="9934">
          <cell r="A9934">
            <v>45702</v>
          </cell>
          <cell r="B9934" t="str">
            <v>Ớt Chuông Xanh</v>
          </cell>
          <cell r="C9934" t="str">
            <v>Kg</v>
          </cell>
          <cell r="D9934">
            <v>32000</v>
          </cell>
        </row>
        <row r="9935">
          <cell r="A9935">
            <v>45702</v>
          </cell>
          <cell r="B9935" t="str">
            <v>Ớt Chuông Snack</v>
          </cell>
          <cell r="C9935" t="str">
            <v>Kg</v>
          </cell>
          <cell r="D9935">
            <v>55000</v>
          </cell>
        </row>
        <row r="9936">
          <cell r="A9936">
            <v>45702</v>
          </cell>
          <cell r="B9936" t="str">
            <v>Ớt Chuông Baby</v>
          </cell>
          <cell r="C9936" t="str">
            <v>Kg</v>
          </cell>
          <cell r="D9936">
            <v>50000</v>
          </cell>
        </row>
        <row r="9937">
          <cell r="A9937">
            <v>45702</v>
          </cell>
          <cell r="B9937" t="str">
            <v>Củ Khoai Lang Mật Size 23</v>
          </cell>
          <cell r="C9937" t="str">
            <v>Kg</v>
          </cell>
          <cell r="D9937">
            <v>25000</v>
          </cell>
        </row>
        <row r="9938">
          <cell r="A9938">
            <v>45703</v>
          </cell>
          <cell r="B9938" t="str">
            <v>Bông Cải Xanh 7Cm</v>
          </cell>
          <cell r="C9938" t="str">
            <v>Kg</v>
          </cell>
          <cell r="D9938">
            <v>25000</v>
          </cell>
        </row>
        <row r="9939">
          <cell r="A9939">
            <v>45703</v>
          </cell>
          <cell r="B9939" t="str">
            <v>Cà Chua Socola</v>
          </cell>
          <cell r="C9939" t="str">
            <v>Hộp 250GR</v>
          </cell>
          <cell r="D9939">
            <v>7500</v>
          </cell>
        </row>
        <row r="9940">
          <cell r="A9940">
            <v>45703</v>
          </cell>
          <cell r="B9940" t="str">
            <v>Dưa Leo Baby</v>
          </cell>
          <cell r="C9940" t="str">
            <v>Vỉ</v>
          </cell>
          <cell r="D9940">
            <v>7000</v>
          </cell>
        </row>
        <row r="9941">
          <cell r="A9941">
            <v>45703</v>
          </cell>
          <cell r="B9941" t="str">
            <v>Hành Paro</v>
          </cell>
          <cell r="C9941" t="str">
            <v>Kg</v>
          </cell>
          <cell r="D9941">
            <v>10000</v>
          </cell>
        </row>
        <row r="9942">
          <cell r="A9942">
            <v>45703</v>
          </cell>
          <cell r="B9942" t="str">
            <v>Ớt Sweet Palemo</v>
          </cell>
          <cell r="C9942" t="str">
            <v>Túi</v>
          </cell>
          <cell r="D9942">
            <v>18000</v>
          </cell>
        </row>
        <row r="9943">
          <cell r="A9943">
            <v>45703</v>
          </cell>
          <cell r="B9943" t="str">
            <v>Ớt Chuông Baby</v>
          </cell>
          <cell r="C9943" t="str">
            <v>Kg</v>
          </cell>
          <cell r="D9943">
            <v>55000</v>
          </cell>
        </row>
        <row r="9944">
          <cell r="A9944">
            <v>45703</v>
          </cell>
          <cell r="B9944" t="str">
            <v>Hành Paro</v>
          </cell>
          <cell r="C9944" t="str">
            <v>Kg</v>
          </cell>
          <cell r="D9944">
            <v>11500</v>
          </cell>
        </row>
        <row r="9945">
          <cell r="A9945">
            <v>45703</v>
          </cell>
          <cell r="B9945" t="str">
            <v>Bí Ngòi Xanh</v>
          </cell>
          <cell r="C9945" t="str">
            <v>Kg</v>
          </cell>
          <cell r="D9945">
            <v>18000</v>
          </cell>
        </row>
        <row r="9946">
          <cell r="A9946">
            <v>45703</v>
          </cell>
          <cell r="B9946" t="str">
            <v>Bí Ngòi Vàng</v>
          </cell>
          <cell r="C9946" t="str">
            <v>Kg</v>
          </cell>
          <cell r="D9946">
            <v>25000</v>
          </cell>
        </row>
        <row r="9947">
          <cell r="A9947">
            <v>45703</v>
          </cell>
          <cell r="B9947" t="str">
            <v>Cà Chua Beef</v>
          </cell>
          <cell r="C9947" t="str">
            <v>Kg</v>
          </cell>
          <cell r="D9947">
            <v>12500</v>
          </cell>
        </row>
        <row r="9948">
          <cell r="A9948">
            <v>45703</v>
          </cell>
          <cell r="B9948" t="str">
            <v>Củ Hành Tây</v>
          </cell>
          <cell r="C9948" t="str">
            <v>Kg</v>
          </cell>
          <cell r="D9948">
            <v>8000</v>
          </cell>
        </row>
        <row r="9949">
          <cell r="A9949">
            <v>45703</v>
          </cell>
          <cell r="B9949" t="str">
            <v>Cần Tây</v>
          </cell>
          <cell r="C9949" t="str">
            <v>Kg</v>
          </cell>
          <cell r="D9949">
            <v>12000</v>
          </cell>
        </row>
        <row r="9950">
          <cell r="A9950">
            <v>45703</v>
          </cell>
          <cell r="B9950" t="str">
            <v>Cần Tây</v>
          </cell>
          <cell r="C9950" t="str">
            <v>Kg</v>
          </cell>
          <cell r="D9950">
            <v>13000</v>
          </cell>
        </row>
        <row r="9951">
          <cell r="A9951">
            <v>45703</v>
          </cell>
          <cell r="B9951" t="str">
            <v>Bắp Cải Tím</v>
          </cell>
          <cell r="C9951" t="str">
            <v>Kg</v>
          </cell>
          <cell r="D9951">
            <v>20000</v>
          </cell>
        </row>
        <row r="9952">
          <cell r="A9952">
            <v>45703</v>
          </cell>
          <cell r="B9952" t="str">
            <v>Xà Lách Lolo Xanh</v>
          </cell>
          <cell r="C9952" t="str">
            <v>Kg</v>
          </cell>
          <cell r="D9952">
            <v>13000</v>
          </cell>
        </row>
        <row r="9953">
          <cell r="A9953">
            <v>45703</v>
          </cell>
          <cell r="B9953" t="str">
            <v>Cần Tây</v>
          </cell>
          <cell r="C9953" t="str">
            <v>Kg</v>
          </cell>
          <cell r="D9953">
            <v>12000</v>
          </cell>
        </row>
        <row r="9954">
          <cell r="A9954">
            <v>45703</v>
          </cell>
          <cell r="B9954" t="str">
            <v>Cải Kale</v>
          </cell>
          <cell r="C9954" t="str">
            <v>Túi</v>
          </cell>
          <cell r="D9954">
            <v>3900</v>
          </cell>
        </row>
        <row r="9955">
          <cell r="A9955">
            <v>45703</v>
          </cell>
          <cell r="B9955" t="str">
            <v>Lá Mè</v>
          </cell>
          <cell r="C9955" t="str">
            <v>Túi</v>
          </cell>
          <cell r="D9955">
            <v>2700</v>
          </cell>
        </row>
        <row r="9956">
          <cell r="A9956">
            <v>45703</v>
          </cell>
          <cell r="B9956" t="str">
            <v>Củ Khoai Tây Vàng</v>
          </cell>
          <cell r="C9956" t="str">
            <v>Kg</v>
          </cell>
          <cell r="D9956">
            <v>12500</v>
          </cell>
        </row>
        <row r="9957">
          <cell r="A9957">
            <v>45703</v>
          </cell>
          <cell r="B9957" t="str">
            <v>Xà Lách Lolo Xanh T.C Cây</v>
          </cell>
          <cell r="C9957" t="str">
            <v>Cây</v>
          </cell>
          <cell r="D9957">
            <v>6800</v>
          </cell>
        </row>
        <row r="9958">
          <cell r="A9958">
            <v>45703</v>
          </cell>
          <cell r="B9958" t="str">
            <v>Xà Lách Mỡ T.C</v>
          </cell>
          <cell r="C9958" t="str">
            <v>Kg</v>
          </cell>
          <cell r="D9958">
            <v>28000</v>
          </cell>
        </row>
        <row r="9959">
          <cell r="A9959">
            <v>45703</v>
          </cell>
          <cell r="B9959" t="str">
            <v>Bông Cải Xanh 12Cm</v>
          </cell>
          <cell r="C9959" t="str">
            <v>Kg</v>
          </cell>
          <cell r="D9959">
            <v>17000</v>
          </cell>
        </row>
        <row r="9960">
          <cell r="A9960">
            <v>45703</v>
          </cell>
          <cell r="B9960" t="str">
            <v>Bông Cải Xanh 7Cm</v>
          </cell>
          <cell r="C9960" t="str">
            <v>Kg</v>
          </cell>
          <cell r="D9960">
            <v>25000</v>
          </cell>
        </row>
        <row r="9961">
          <cell r="A9961">
            <v>45703</v>
          </cell>
          <cell r="B9961" t="str">
            <v>Bông Atiso</v>
          </cell>
          <cell r="C9961" t="str">
            <v>Kg</v>
          </cell>
          <cell r="D9961">
            <v>190000</v>
          </cell>
        </row>
        <row r="9962">
          <cell r="A9962">
            <v>45703</v>
          </cell>
          <cell r="B9962" t="str">
            <v>Rau Bầu Đất</v>
          </cell>
          <cell r="C9962" t="str">
            <v>Kg</v>
          </cell>
          <cell r="D9962">
            <v>35000</v>
          </cell>
        </row>
        <row r="9963">
          <cell r="A9963">
            <v>45703</v>
          </cell>
          <cell r="B9963" t="str">
            <v>Xà Lách Thủy Tinh T.C Cây</v>
          </cell>
          <cell r="C9963" t="str">
            <v>Cây</v>
          </cell>
          <cell r="D9963">
            <v>5000</v>
          </cell>
        </row>
        <row r="9964">
          <cell r="A9964">
            <v>45703</v>
          </cell>
          <cell r="B9964" t="str">
            <v>Củ Khoai Mỡ</v>
          </cell>
          <cell r="C9964" t="str">
            <v>Kg</v>
          </cell>
          <cell r="D9964">
            <v>26000</v>
          </cell>
        </row>
        <row r="9965">
          <cell r="A9965">
            <v>45703</v>
          </cell>
          <cell r="B9965" t="str">
            <v>Củ Khoai Lang Nhật Baby</v>
          </cell>
          <cell r="C9965" t="str">
            <v>Kg</v>
          </cell>
          <cell r="D9965">
            <v>14000</v>
          </cell>
        </row>
        <row r="9966">
          <cell r="A9966">
            <v>45703</v>
          </cell>
          <cell r="B9966" t="str">
            <v>Cà Chua Bi Đỏ</v>
          </cell>
          <cell r="C9966" t="str">
            <v>Hộp 500gr</v>
          </cell>
          <cell r="D9966">
            <v>8500</v>
          </cell>
        </row>
        <row r="9967">
          <cell r="A9967">
            <v>45703</v>
          </cell>
          <cell r="B9967" t="str">
            <v>Cà Chua Bi Đỏ</v>
          </cell>
          <cell r="C9967" t="str">
            <v>Hộp 300gr</v>
          </cell>
          <cell r="D9967">
            <v>5100</v>
          </cell>
        </row>
        <row r="9968">
          <cell r="A9968">
            <v>45703</v>
          </cell>
          <cell r="B9968" t="str">
            <v>Xà Lách Mỡ T.C</v>
          </cell>
          <cell r="C9968" t="str">
            <v>Kg</v>
          </cell>
          <cell r="D9968">
            <v>26000</v>
          </cell>
        </row>
        <row r="9969">
          <cell r="A9969">
            <v>45703</v>
          </cell>
          <cell r="B9969" t="str">
            <v>Xà Lách Lolo Xanh T.C</v>
          </cell>
          <cell r="C9969" t="str">
            <v>Kg</v>
          </cell>
          <cell r="D9969">
            <v>26000</v>
          </cell>
        </row>
        <row r="9970">
          <cell r="A9970">
            <v>45703</v>
          </cell>
          <cell r="B9970" t="str">
            <v>Xà Lách Thủy Tinh T.C Cây</v>
          </cell>
          <cell r="C9970" t="str">
            <v>Cây</v>
          </cell>
          <cell r="D9970">
            <v>7500</v>
          </cell>
        </row>
        <row r="9971">
          <cell r="A9971">
            <v>45703</v>
          </cell>
          <cell r="B9971" t="str">
            <v>Bí Non Nhật</v>
          </cell>
          <cell r="C9971" t="str">
            <v>Kg</v>
          </cell>
          <cell r="D9971">
            <v>10000</v>
          </cell>
        </row>
        <row r="9972">
          <cell r="A9972">
            <v>45703</v>
          </cell>
          <cell r="B9972" t="str">
            <v>Cà Tím</v>
          </cell>
          <cell r="C9972" t="str">
            <v>Kg</v>
          </cell>
          <cell r="D9972">
            <v>8000</v>
          </cell>
        </row>
        <row r="9973">
          <cell r="A9973">
            <v>45703</v>
          </cell>
          <cell r="B9973" t="str">
            <v>Củ Khoai Lang Nhật</v>
          </cell>
          <cell r="C9973" t="str">
            <v>Kg</v>
          </cell>
          <cell r="D9973">
            <v>15000</v>
          </cell>
        </row>
        <row r="9974">
          <cell r="A9974">
            <v>45703</v>
          </cell>
          <cell r="B9974" t="str">
            <v>Bắp Cải Trắng</v>
          </cell>
          <cell r="C9974" t="str">
            <v>Kg</v>
          </cell>
          <cell r="D9974">
            <v>6000</v>
          </cell>
        </row>
        <row r="9975">
          <cell r="A9975">
            <v>45703</v>
          </cell>
          <cell r="B9975" t="str">
            <v>Củ Su Hào</v>
          </cell>
          <cell r="C9975" t="str">
            <v>Kg</v>
          </cell>
          <cell r="D9975">
            <v>8000</v>
          </cell>
        </row>
        <row r="9976">
          <cell r="A9976">
            <v>45703</v>
          </cell>
          <cell r="B9976" t="str">
            <v>Xà Lách Mỡ T.C</v>
          </cell>
          <cell r="C9976" t="str">
            <v>Kg</v>
          </cell>
          <cell r="D9976">
            <v>24000</v>
          </cell>
        </row>
        <row r="9977">
          <cell r="A9977">
            <v>45703</v>
          </cell>
          <cell r="B9977" t="str">
            <v>Xà Lách Thủy Tinh T.C</v>
          </cell>
          <cell r="C9977" t="str">
            <v>Kg</v>
          </cell>
          <cell r="D9977">
            <v>25000</v>
          </cell>
        </row>
        <row r="9978">
          <cell r="A9978">
            <v>45703</v>
          </cell>
          <cell r="B9978" t="str">
            <v>Xà Lách Lolo Xanh T.C</v>
          </cell>
          <cell r="C9978" t="str">
            <v>Kg</v>
          </cell>
          <cell r="D9978">
            <v>21000</v>
          </cell>
        </row>
        <row r="9979">
          <cell r="A9979">
            <v>45703</v>
          </cell>
          <cell r="B9979" t="str">
            <v>Trái Khổ Qua</v>
          </cell>
          <cell r="C9979" t="str">
            <v>Kg</v>
          </cell>
          <cell r="D9979">
            <v>12000</v>
          </cell>
        </row>
        <row r="9980">
          <cell r="A9980">
            <v>45703</v>
          </cell>
          <cell r="B9980" t="str">
            <v>Bí Đao Xanh</v>
          </cell>
          <cell r="C9980" t="str">
            <v>Kg</v>
          </cell>
          <cell r="D9980">
            <v>12000</v>
          </cell>
        </row>
        <row r="9981">
          <cell r="A9981">
            <v>45703</v>
          </cell>
          <cell r="B9981" t="str">
            <v>Dưa Leo Thường</v>
          </cell>
          <cell r="C9981" t="str">
            <v>Kg</v>
          </cell>
          <cell r="D9981">
            <v>12000</v>
          </cell>
        </row>
        <row r="9982">
          <cell r="A9982">
            <v>45703</v>
          </cell>
          <cell r="B9982" t="str">
            <v>Cà Tím</v>
          </cell>
          <cell r="C9982" t="str">
            <v>Cặp</v>
          </cell>
          <cell r="D9982">
            <v>6000</v>
          </cell>
        </row>
        <row r="9983">
          <cell r="A9983">
            <v>45703</v>
          </cell>
          <cell r="B9983" t="str">
            <v>Cà Rốt</v>
          </cell>
          <cell r="C9983" t="str">
            <v>Kg</v>
          </cell>
          <cell r="D9983">
            <v>7000</v>
          </cell>
        </row>
        <row r="9984">
          <cell r="A9984">
            <v>45703</v>
          </cell>
          <cell r="B9984" t="str">
            <v>Cải Thảo</v>
          </cell>
          <cell r="C9984" t="str">
            <v>Kg</v>
          </cell>
          <cell r="D9984">
            <v>4500</v>
          </cell>
        </row>
        <row r="9985">
          <cell r="A9985">
            <v>45703</v>
          </cell>
          <cell r="B9985" t="str">
            <v>Cà Rốt</v>
          </cell>
          <cell r="C9985" t="str">
            <v>Kg</v>
          </cell>
          <cell r="D9985">
            <v>6800</v>
          </cell>
        </row>
        <row r="9986">
          <cell r="A9986">
            <v>45703</v>
          </cell>
          <cell r="B9986" t="str">
            <v>Bắp Cải Trái Tim</v>
          </cell>
          <cell r="C9986" t="str">
            <v>Kg</v>
          </cell>
          <cell r="D9986">
            <v>5000</v>
          </cell>
        </row>
        <row r="9987">
          <cell r="A9987">
            <v>45703</v>
          </cell>
          <cell r="B9987" t="str">
            <v>Ớt Sweet Palemo</v>
          </cell>
          <cell r="C9987" t="str">
            <v>Túi</v>
          </cell>
          <cell r="D9987">
            <v>17500</v>
          </cell>
        </row>
        <row r="9988">
          <cell r="A9988">
            <v>45703</v>
          </cell>
          <cell r="B9988" t="str">
            <v>Củ Cải Trắng</v>
          </cell>
          <cell r="C9988" t="str">
            <v>Kg</v>
          </cell>
          <cell r="D9988">
            <v>4000</v>
          </cell>
        </row>
        <row r="9989">
          <cell r="A9989">
            <v>45703</v>
          </cell>
          <cell r="B9989" t="str">
            <v>Bông Cải Xanh Baby</v>
          </cell>
          <cell r="C9989" t="str">
            <v>Vỉ</v>
          </cell>
          <cell r="D9989">
            <v>5500</v>
          </cell>
        </row>
        <row r="9990">
          <cell r="A9990">
            <v>45703</v>
          </cell>
          <cell r="B9990" t="str">
            <v>Cà Chua Beef Trung</v>
          </cell>
          <cell r="C9990" t="str">
            <v>Vỉ 500gr</v>
          </cell>
          <cell r="D9990">
            <v>6500</v>
          </cell>
        </row>
        <row r="9991">
          <cell r="A9991">
            <v>45703</v>
          </cell>
          <cell r="B9991" t="str">
            <v>Củ Cải Đỏ</v>
          </cell>
          <cell r="C9991" t="str">
            <v>Hộp</v>
          </cell>
          <cell r="D9991">
            <v>10000</v>
          </cell>
        </row>
        <row r="9992">
          <cell r="A9992">
            <v>45703</v>
          </cell>
          <cell r="B9992" t="str">
            <v>Lá Hương Thảo</v>
          </cell>
          <cell r="C9992" t="str">
            <v>Kg</v>
          </cell>
          <cell r="D9992">
            <v>130000</v>
          </cell>
        </row>
        <row r="9993">
          <cell r="A9993">
            <v>45703</v>
          </cell>
          <cell r="B9993" t="str">
            <v>Xà Lách Rocket</v>
          </cell>
          <cell r="C9993" t="str">
            <v>Kg</v>
          </cell>
          <cell r="D9993">
            <v>70000</v>
          </cell>
        </row>
        <row r="9994">
          <cell r="A9994">
            <v>45703</v>
          </cell>
          <cell r="B9994" t="str">
            <v>Cà Rốt Baby</v>
          </cell>
          <cell r="C9994" t="str">
            <v>Vỉ</v>
          </cell>
          <cell r="D9994">
            <v>5500</v>
          </cell>
        </row>
        <row r="9995">
          <cell r="A9995">
            <v>45703</v>
          </cell>
          <cell r="B9995" t="str">
            <v>Cải Kale</v>
          </cell>
          <cell r="C9995" t="str">
            <v>Túi 150gr</v>
          </cell>
          <cell r="D9995">
            <v>1900</v>
          </cell>
        </row>
        <row r="9996">
          <cell r="A9996">
            <v>45703</v>
          </cell>
          <cell r="B9996" t="str">
            <v>Cải Cầu Vồng</v>
          </cell>
          <cell r="C9996" t="str">
            <v>Túi</v>
          </cell>
          <cell r="D9996">
            <v>3000</v>
          </cell>
        </row>
        <row r="9997">
          <cell r="A9997">
            <v>45703</v>
          </cell>
          <cell r="B9997" t="str">
            <v>Dưa Leo Baby</v>
          </cell>
          <cell r="C9997" t="str">
            <v>Vỉ</v>
          </cell>
          <cell r="D9997">
            <v>8500</v>
          </cell>
        </row>
        <row r="9998">
          <cell r="A9998">
            <v>45703</v>
          </cell>
          <cell r="B9998" t="str">
            <v>CT - BÍ NGÒI XANH</v>
          </cell>
          <cell r="C9998" t="str">
            <v>Kg</v>
          </cell>
          <cell r="D9998">
            <v>14000</v>
          </cell>
        </row>
        <row r="9999">
          <cell r="A9999">
            <v>45703</v>
          </cell>
          <cell r="B9999" t="str">
            <v>Cà Chua Bi Mix</v>
          </cell>
          <cell r="C9999" t="str">
            <v>Hộp</v>
          </cell>
          <cell r="D9999">
            <v>11100</v>
          </cell>
        </row>
        <row r="10000">
          <cell r="A10000">
            <v>45703</v>
          </cell>
          <cell r="B10000" t="str">
            <v>Cải Kale</v>
          </cell>
          <cell r="C10000" t="str">
            <v>Túi</v>
          </cell>
          <cell r="D10000">
            <v>4200</v>
          </cell>
        </row>
        <row r="10001">
          <cell r="A10001">
            <v>45703</v>
          </cell>
          <cell r="B10001" t="str">
            <v>Chanh Không Hạt</v>
          </cell>
          <cell r="C10001" t="str">
            <v>Vỉ</v>
          </cell>
          <cell r="D10001">
            <v>7500</v>
          </cell>
        </row>
        <row r="10002">
          <cell r="A10002">
            <v>45703</v>
          </cell>
          <cell r="B10002" t="str">
            <v>Cà Chua Beef</v>
          </cell>
          <cell r="C10002" t="str">
            <v>Kg</v>
          </cell>
          <cell r="D10002">
            <v>12000</v>
          </cell>
        </row>
        <row r="10003">
          <cell r="A10003">
            <v>45703</v>
          </cell>
          <cell r="B10003" t="str">
            <v>Cà Chua Beef</v>
          </cell>
          <cell r="C10003" t="str">
            <v>Vỉ 650gr</v>
          </cell>
          <cell r="D10003">
            <v>11050</v>
          </cell>
        </row>
        <row r="10004">
          <cell r="A10004">
            <v>45703</v>
          </cell>
          <cell r="B10004" t="str">
            <v>Cải Bó Xôi</v>
          </cell>
          <cell r="C10004" t="str">
            <v>Túi</v>
          </cell>
          <cell r="D10004">
            <v>5100</v>
          </cell>
        </row>
        <row r="10005">
          <cell r="A10005">
            <v>45703</v>
          </cell>
          <cell r="B10005" t="str">
            <v>Bí Đỏ Hồ Lô</v>
          </cell>
          <cell r="C10005" t="str">
            <v>Kg</v>
          </cell>
          <cell r="D10005">
            <v>7500</v>
          </cell>
        </row>
        <row r="10006">
          <cell r="A10006">
            <v>45703</v>
          </cell>
          <cell r="B10006" t="str">
            <v>Cà Chua Thường</v>
          </cell>
          <cell r="C10006" t="str">
            <v>Kg</v>
          </cell>
          <cell r="D10006">
            <v>17000</v>
          </cell>
        </row>
        <row r="10007">
          <cell r="A10007">
            <v>45703</v>
          </cell>
          <cell r="B10007" t="str">
            <v>Cà Chua Thường Trung</v>
          </cell>
          <cell r="C10007" t="str">
            <v>Kg</v>
          </cell>
          <cell r="D10007">
            <v>12000</v>
          </cell>
        </row>
        <row r="10008">
          <cell r="A10008">
            <v>45703</v>
          </cell>
          <cell r="B10008" t="str">
            <v>Dưa Leo Baby</v>
          </cell>
          <cell r="C10008" t="str">
            <v>Vỉ</v>
          </cell>
          <cell r="D10008">
            <v>9000</v>
          </cell>
        </row>
        <row r="10009">
          <cell r="A10009">
            <v>45703</v>
          </cell>
          <cell r="B10009" t="str">
            <v>Đậu Cove Trắng</v>
          </cell>
          <cell r="C10009" t="str">
            <v>Túi 300gr</v>
          </cell>
          <cell r="D10009">
            <v>5000</v>
          </cell>
        </row>
        <row r="10010">
          <cell r="A10010">
            <v>45703</v>
          </cell>
          <cell r="B10010" t="str">
            <v>Bí Non Nhật</v>
          </cell>
          <cell r="C10010" t="str">
            <v>Kg</v>
          </cell>
          <cell r="D10010">
            <v>15000</v>
          </cell>
        </row>
        <row r="10011">
          <cell r="A10011">
            <v>45703</v>
          </cell>
          <cell r="B10011" t="str">
            <v>Dưa Leo Thường</v>
          </cell>
          <cell r="C10011" t="str">
            <v>Kg</v>
          </cell>
          <cell r="D10011">
            <v>15000</v>
          </cell>
        </row>
        <row r="10012">
          <cell r="A10012">
            <v>45703</v>
          </cell>
          <cell r="B10012" t="str">
            <v>Dưa Leo Nhật</v>
          </cell>
          <cell r="C10012" t="str">
            <v>Kg</v>
          </cell>
          <cell r="D10012">
            <v>17000</v>
          </cell>
        </row>
        <row r="10013">
          <cell r="A10013">
            <v>45703</v>
          </cell>
          <cell r="B10013" t="str">
            <v>Lá Nha Đam</v>
          </cell>
          <cell r="C10013" t="str">
            <v>Kg</v>
          </cell>
          <cell r="D10013">
            <v>14000</v>
          </cell>
        </row>
        <row r="10014">
          <cell r="A10014">
            <v>45703</v>
          </cell>
          <cell r="B10014" t="str">
            <v>Bí Đỏ Hồ Lô</v>
          </cell>
          <cell r="C10014" t="str">
            <v>Kg</v>
          </cell>
          <cell r="D10014">
            <v>7500</v>
          </cell>
        </row>
        <row r="10015">
          <cell r="A10015">
            <v>45703</v>
          </cell>
          <cell r="B10015" t="str">
            <v>Chuối Laba</v>
          </cell>
          <cell r="C10015" t="str">
            <v>Kg</v>
          </cell>
          <cell r="D10015">
            <v>14000</v>
          </cell>
        </row>
        <row r="10016">
          <cell r="A10016">
            <v>45703</v>
          </cell>
          <cell r="B10016" t="str">
            <v>Củ Gừng</v>
          </cell>
          <cell r="C10016" t="str">
            <v>Kg</v>
          </cell>
          <cell r="D10016">
            <v>19000</v>
          </cell>
        </row>
        <row r="10017">
          <cell r="A10017">
            <v>45703</v>
          </cell>
          <cell r="B10017" t="str">
            <v>Củ Khoai Mỡ</v>
          </cell>
          <cell r="C10017" t="str">
            <v>Kg</v>
          </cell>
          <cell r="D10017">
            <v>27000</v>
          </cell>
        </row>
        <row r="10018">
          <cell r="A10018">
            <v>45703</v>
          </cell>
          <cell r="B10018" t="str">
            <v>Bí Đỏ Tròn</v>
          </cell>
          <cell r="C10018" t="str">
            <v>Kg</v>
          </cell>
          <cell r="D10018">
            <v>9000</v>
          </cell>
        </row>
        <row r="10019">
          <cell r="A10019">
            <v>45703</v>
          </cell>
          <cell r="B10019" t="str">
            <v>Trái Su Su</v>
          </cell>
          <cell r="C10019" t="str">
            <v>Kg</v>
          </cell>
          <cell r="D10019">
            <v>4500</v>
          </cell>
        </row>
        <row r="10020">
          <cell r="A10020">
            <v>45703</v>
          </cell>
          <cell r="B10020" t="str">
            <v>Bí Ngòi Xanh</v>
          </cell>
          <cell r="C10020" t="str">
            <v>Kg</v>
          </cell>
          <cell r="D10020">
            <v>17000</v>
          </cell>
        </row>
        <row r="10021">
          <cell r="A10021">
            <v>45703</v>
          </cell>
          <cell r="B10021" t="str">
            <v>Dưa Leo Baby</v>
          </cell>
          <cell r="C10021" t="str">
            <v>Vỉ</v>
          </cell>
          <cell r="D10021">
            <v>9000</v>
          </cell>
        </row>
        <row r="10022">
          <cell r="A10022">
            <v>45703</v>
          </cell>
          <cell r="B10022" t="str">
            <v>Củ Cải Trắng</v>
          </cell>
          <cell r="C10022" t="str">
            <v>Kg</v>
          </cell>
          <cell r="D10022">
            <v>4000</v>
          </cell>
        </row>
        <row r="10023">
          <cell r="A10023">
            <v>45703</v>
          </cell>
          <cell r="B10023" t="str">
            <v>Củ Dền</v>
          </cell>
          <cell r="C10023" t="str">
            <v>Kg</v>
          </cell>
          <cell r="D10023">
            <v>9000</v>
          </cell>
        </row>
        <row r="10024">
          <cell r="A10024">
            <v>45703</v>
          </cell>
          <cell r="B10024" t="str">
            <v>Trái Su Su</v>
          </cell>
          <cell r="C10024" t="str">
            <v>Kg</v>
          </cell>
          <cell r="D10024">
            <v>4000</v>
          </cell>
        </row>
        <row r="10025">
          <cell r="A10025">
            <v>45703</v>
          </cell>
          <cell r="B10025" t="str">
            <v>Dưa Leo Baby</v>
          </cell>
          <cell r="C10025" t="str">
            <v>Kg</v>
          </cell>
          <cell r="D10025">
            <v>9500</v>
          </cell>
        </row>
        <row r="10026">
          <cell r="A10026">
            <v>45703</v>
          </cell>
          <cell r="B10026" t="str">
            <v>Dưa Leo Baby</v>
          </cell>
          <cell r="C10026" t="str">
            <v>Kg</v>
          </cell>
          <cell r="D10026">
            <v>10000</v>
          </cell>
        </row>
        <row r="10027">
          <cell r="A10027">
            <v>45703</v>
          </cell>
          <cell r="B10027" t="str">
            <v>Măng Tây</v>
          </cell>
          <cell r="C10027" t="str">
            <v>Kg</v>
          </cell>
          <cell r="D10027">
            <v>45000</v>
          </cell>
        </row>
        <row r="10028">
          <cell r="A10028">
            <v>45703</v>
          </cell>
          <cell r="B10028" t="str">
            <v>Lá É</v>
          </cell>
          <cell r="C10028" t="str">
            <v>Kg</v>
          </cell>
          <cell r="D10028">
            <v>33000</v>
          </cell>
        </row>
        <row r="10029">
          <cell r="A10029">
            <v>45703</v>
          </cell>
          <cell r="B10029" t="str">
            <v>Đậu Cove Nhật</v>
          </cell>
          <cell r="C10029" t="str">
            <v>Túi</v>
          </cell>
          <cell r="D10029">
            <v>6500</v>
          </cell>
        </row>
        <row r="10030">
          <cell r="A10030">
            <v>45703</v>
          </cell>
          <cell r="B10030" t="str">
            <v>Gia Công Rau Củ Quả</v>
          </cell>
          <cell r="C10030" t="str">
            <v>Kg</v>
          </cell>
          <cell r="D10030">
            <v>1700</v>
          </cell>
        </row>
        <row r="10031">
          <cell r="A10031">
            <v>45703</v>
          </cell>
          <cell r="B10031" t="str">
            <v>Gia Công Rau Củ Quả</v>
          </cell>
          <cell r="C10031" t="str">
            <v>Kg</v>
          </cell>
          <cell r="D10031">
            <v>1700</v>
          </cell>
        </row>
        <row r="10032">
          <cell r="A10032">
            <v>45703</v>
          </cell>
          <cell r="B10032" t="str">
            <v>Gia Công Rau Củ Quả</v>
          </cell>
          <cell r="C10032" t="str">
            <v>Kg</v>
          </cell>
          <cell r="D10032">
            <v>700</v>
          </cell>
        </row>
        <row r="10033">
          <cell r="A10033">
            <v>45703</v>
          </cell>
          <cell r="B10033" t="str">
            <v>Gia Công Rau Củ Quả</v>
          </cell>
          <cell r="C10033" t="str">
            <v>Kg</v>
          </cell>
          <cell r="D10033">
            <v>1000</v>
          </cell>
        </row>
        <row r="10034">
          <cell r="A10034">
            <v>45703</v>
          </cell>
          <cell r="B10034" t="str">
            <v>Gia Công Rau Củ Quả</v>
          </cell>
          <cell r="C10034" t="str">
            <v>Kg</v>
          </cell>
          <cell r="D10034">
            <v>700</v>
          </cell>
        </row>
        <row r="10035">
          <cell r="A10035">
            <v>45703</v>
          </cell>
          <cell r="B10035" t="str">
            <v>Trái Mít Thái</v>
          </cell>
          <cell r="C10035" t="str">
            <v>Kg</v>
          </cell>
          <cell r="D10035">
            <v>19404</v>
          </cell>
        </row>
        <row r="10036">
          <cell r="A10036">
            <v>45703</v>
          </cell>
          <cell r="B10036" t="str">
            <v>Bông Cải Xanh Cây</v>
          </cell>
          <cell r="C10036" t="str">
            <v>Cây</v>
          </cell>
          <cell r="D10036">
            <v>5000</v>
          </cell>
        </row>
        <row r="10037">
          <cell r="A10037">
            <v>45704</v>
          </cell>
          <cell r="B10037" t="str">
            <v>Ớt Chuông Xanh</v>
          </cell>
          <cell r="C10037" t="str">
            <v>Kg</v>
          </cell>
          <cell r="D10037">
            <v>28000</v>
          </cell>
        </row>
        <row r="10038">
          <cell r="A10038">
            <v>45704</v>
          </cell>
          <cell r="B10038" t="str">
            <v>Bông Cải Trắng</v>
          </cell>
          <cell r="C10038" t="str">
            <v>Kg</v>
          </cell>
          <cell r="D10038">
            <v>9000</v>
          </cell>
        </row>
        <row r="10039">
          <cell r="A10039">
            <v>45704</v>
          </cell>
          <cell r="B10039" t="str">
            <v>Cải Thảo Kim Chi</v>
          </cell>
          <cell r="C10039" t="str">
            <v>Kg</v>
          </cell>
          <cell r="D10039">
            <v>0</v>
          </cell>
        </row>
        <row r="10040">
          <cell r="A10040">
            <v>45704</v>
          </cell>
          <cell r="B10040" t="str">
            <v>Cần Tây</v>
          </cell>
          <cell r="C10040" t="str">
            <v>Kg</v>
          </cell>
          <cell r="D10040">
            <v>0</v>
          </cell>
        </row>
        <row r="10041">
          <cell r="A10041">
            <v>45704</v>
          </cell>
          <cell r="B10041" t="str">
            <v>Hành Paro</v>
          </cell>
          <cell r="C10041" t="str">
            <v>Kg</v>
          </cell>
          <cell r="D10041">
            <v>11500</v>
          </cell>
        </row>
        <row r="10042">
          <cell r="A10042">
            <v>45704</v>
          </cell>
          <cell r="B10042" t="str">
            <v>Bí Ngòi Xanh</v>
          </cell>
          <cell r="C10042" t="str">
            <v>Kg</v>
          </cell>
          <cell r="D10042">
            <v>18000</v>
          </cell>
        </row>
        <row r="10043">
          <cell r="A10043">
            <v>45704</v>
          </cell>
          <cell r="B10043" t="str">
            <v>Bí Ngòi Vàng</v>
          </cell>
          <cell r="C10043" t="str">
            <v>Kg</v>
          </cell>
          <cell r="D10043">
            <v>25000</v>
          </cell>
        </row>
        <row r="10044">
          <cell r="A10044">
            <v>45704</v>
          </cell>
          <cell r="B10044" t="str">
            <v>Ớt Sweet Palemo</v>
          </cell>
          <cell r="C10044" t="str">
            <v>Túi</v>
          </cell>
          <cell r="D10044">
            <v>17500</v>
          </cell>
        </row>
        <row r="10045">
          <cell r="A10045">
            <v>45704</v>
          </cell>
          <cell r="B10045" t="str">
            <v>Bắp Cải Trái Tim</v>
          </cell>
          <cell r="C10045" t="str">
            <v>Kg</v>
          </cell>
          <cell r="D10045">
            <v>5000</v>
          </cell>
        </row>
        <row r="10046">
          <cell r="A10046">
            <v>45704</v>
          </cell>
          <cell r="B10046" t="str">
            <v>Bí Ngòi Xanh</v>
          </cell>
          <cell r="C10046" t="str">
            <v>Kg</v>
          </cell>
          <cell r="D10046">
            <v>20000</v>
          </cell>
        </row>
        <row r="10047">
          <cell r="A10047">
            <v>45704</v>
          </cell>
          <cell r="B10047" t="str">
            <v>Rau Bầu Đất</v>
          </cell>
          <cell r="C10047" t="str">
            <v>Kg</v>
          </cell>
          <cell r="D10047">
            <v>35000</v>
          </cell>
        </row>
        <row r="10048">
          <cell r="A10048">
            <v>45704</v>
          </cell>
          <cell r="B10048" t="str">
            <v>Cải Bó Xôi</v>
          </cell>
          <cell r="C10048" t="str">
            <v>Kg</v>
          </cell>
          <cell r="D10048">
            <v>12000</v>
          </cell>
        </row>
        <row r="10049">
          <cell r="A10049">
            <v>45704</v>
          </cell>
          <cell r="B10049" t="str">
            <v>Cải Kale</v>
          </cell>
          <cell r="C10049" t="str">
            <v>Túi</v>
          </cell>
          <cell r="D10049">
            <v>3900</v>
          </cell>
        </row>
        <row r="10050">
          <cell r="A10050">
            <v>45704</v>
          </cell>
          <cell r="B10050" t="str">
            <v>Lá Mè</v>
          </cell>
          <cell r="C10050" t="str">
            <v>Túi</v>
          </cell>
          <cell r="D10050">
            <v>2700</v>
          </cell>
        </row>
        <row r="10051">
          <cell r="A10051">
            <v>45704</v>
          </cell>
          <cell r="B10051" t="str">
            <v>Bông Atiso</v>
          </cell>
          <cell r="C10051" t="str">
            <v>Kg</v>
          </cell>
          <cell r="D10051">
            <v>180000</v>
          </cell>
        </row>
        <row r="10052">
          <cell r="A10052">
            <v>45704</v>
          </cell>
          <cell r="B10052" t="str">
            <v>Ớt Sweet Palemo</v>
          </cell>
          <cell r="C10052" t="str">
            <v>Túi</v>
          </cell>
          <cell r="D10052">
            <v>18000</v>
          </cell>
        </row>
        <row r="10053">
          <cell r="A10053">
            <v>45704</v>
          </cell>
          <cell r="B10053" t="str">
            <v>Rau Ngò Rí</v>
          </cell>
          <cell r="C10053" t="str">
            <v>Kg</v>
          </cell>
          <cell r="D10053">
            <v>5000</v>
          </cell>
        </row>
        <row r="10054">
          <cell r="A10054">
            <v>45704</v>
          </cell>
          <cell r="B10054" t="str">
            <v>Củ Khoai Tây Vàng</v>
          </cell>
          <cell r="C10054" t="str">
            <v>Kg</v>
          </cell>
          <cell r="D10054">
            <v>12500</v>
          </cell>
        </row>
        <row r="10055">
          <cell r="A10055">
            <v>45704</v>
          </cell>
          <cell r="B10055" t="str">
            <v>Củ Hành Tây</v>
          </cell>
          <cell r="C10055" t="str">
            <v>Kg</v>
          </cell>
          <cell r="D10055">
            <v>8000</v>
          </cell>
        </row>
        <row r="10056">
          <cell r="A10056">
            <v>45704</v>
          </cell>
          <cell r="B10056" t="str">
            <v>Xà Lách Lolo Xanh</v>
          </cell>
          <cell r="C10056" t="str">
            <v>Kg</v>
          </cell>
          <cell r="D10056">
            <v>13000</v>
          </cell>
        </row>
        <row r="10057">
          <cell r="A10057">
            <v>45704</v>
          </cell>
          <cell r="B10057" t="str">
            <v>Bắp Cải Trắng</v>
          </cell>
          <cell r="C10057" t="str">
            <v>Kg</v>
          </cell>
          <cell r="D10057">
            <v>3500</v>
          </cell>
        </row>
        <row r="10058">
          <cell r="A10058">
            <v>45704</v>
          </cell>
          <cell r="B10058" t="str">
            <v>Xà Lách Mỹ</v>
          </cell>
          <cell r="C10058" t="str">
            <v>Kg</v>
          </cell>
          <cell r="D10058">
            <v>16000</v>
          </cell>
        </row>
        <row r="10059">
          <cell r="A10059">
            <v>45704</v>
          </cell>
          <cell r="B10059" t="str">
            <v>Cải Thảo Hỏa Tiễn</v>
          </cell>
          <cell r="C10059" t="str">
            <v>Kg</v>
          </cell>
          <cell r="D10059">
            <v>14000</v>
          </cell>
        </row>
        <row r="10060">
          <cell r="A10060">
            <v>45704</v>
          </cell>
          <cell r="B10060" t="str">
            <v>Bông Cải Xanh 7Cm</v>
          </cell>
          <cell r="C10060" t="str">
            <v>Kg</v>
          </cell>
          <cell r="D10060">
            <v>25000</v>
          </cell>
        </row>
        <row r="10061">
          <cell r="A10061">
            <v>45704</v>
          </cell>
          <cell r="B10061" t="str">
            <v>Đậu Đỏ</v>
          </cell>
          <cell r="C10061" t="str">
            <v>Kg</v>
          </cell>
          <cell r="D10061">
            <v>80000</v>
          </cell>
        </row>
        <row r="10062">
          <cell r="A10062">
            <v>45704</v>
          </cell>
          <cell r="B10062" t="str">
            <v>Đậu Ngự</v>
          </cell>
          <cell r="C10062" t="str">
            <v>Kg</v>
          </cell>
          <cell r="D10062">
            <v>70000</v>
          </cell>
        </row>
        <row r="10063">
          <cell r="A10063">
            <v>45704</v>
          </cell>
          <cell r="B10063" t="str">
            <v>Đậu Trắng</v>
          </cell>
          <cell r="C10063" t="str">
            <v>Kg</v>
          </cell>
          <cell r="D10063">
            <v>70000</v>
          </cell>
        </row>
        <row r="10064">
          <cell r="A10064">
            <v>45704</v>
          </cell>
          <cell r="B10064" t="str">
            <v>Cần Tây</v>
          </cell>
          <cell r="C10064" t="str">
            <v>Kg</v>
          </cell>
          <cell r="D10064">
            <v>13000</v>
          </cell>
        </row>
        <row r="10065">
          <cell r="A10065">
            <v>45704</v>
          </cell>
          <cell r="B10065" t="str">
            <v>Bắp Cải Tím</v>
          </cell>
          <cell r="C10065" t="str">
            <v>Kg</v>
          </cell>
          <cell r="D10065">
            <v>20000</v>
          </cell>
        </row>
        <row r="10066">
          <cell r="A10066">
            <v>45704</v>
          </cell>
          <cell r="B10066" t="str">
            <v>Cà Chua Socola</v>
          </cell>
          <cell r="C10066" t="str">
            <v>Hộp 250GR</v>
          </cell>
          <cell r="D10066">
            <v>7500</v>
          </cell>
        </row>
        <row r="10067">
          <cell r="A10067">
            <v>45704</v>
          </cell>
          <cell r="B10067" t="str">
            <v>Dưa Leo Baby</v>
          </cell>
          <cell r="C10067" t="str">
            <v>Vỉ</v>
          </cell>
          <cell r="D10067">
            <v>7000</v>
          </cell>
        </row>
        <row r="10068">
          <cell r="A10068">
            <v>45704</v>
          </cell>
          <cell r="B10068" t="str">
            <v>Củ Dền</v>
          </cell>
          <cell r="C10068" t="str">
            <v>Kg</v>
          </cell>
          <cell r="D10068">
            <v>9000</v>
          </cell>
        </row>
        <row r="10069">
          <cell r="A10069">
            <v>45704</v>
          </cell>
          <cell r="B10069" t="str">
            <v>Bông Cải Xanh 7Cm</v>
          </cell>
          <cell r="C10069" t="str">
            <v>Kg</v>
          </cell>
          <cell r="D10069">
            <v>25000</v>
          </cell>
        </row>
        <row r="10070">
          <cell r="A10070">
            <v>45704</v>
          </cell>
          <cell r="B10070" t="str">
            <v>Xà Lách Thủy Tinh T.C Cây</v>
          </cell>
          <cell r="C10070" t="str">
            <v>Cây</v>
          </cell>
          <cell r="D10070">
            <v>6800</v>
          </cell>
        </row>
        <row r="10071">
          <cell r="A10071">
            <v>45704</v>
          </cell>
          <cell r="B10071" t="str">
            <v>Xà Lách Lolo Xanh T.C Cây</v>
          </cell>
          <cell r="C10071" t="str">
            <v>Cây</v>
          </cell>
          <cell r="D10071">
            <v>6800</v>
          </cell>
        </row>
        <row r="10072">
          <cell r="A10072">
            <v>45704</v>
          </cell>
          <cell r="B10072" t="str">
            <v>Xà Lách Lolo Xanh T.C</v>
          </cell>
          <cell r="C10072" t="str">
            <v>Kg</v>
          </cell>
          <cell r="D10072">
            <v>28000</v>
          </cell>
        </row>
        <row r="10073">
          <cell r="A10073">
            <v>45704</v>
          </cell>
          <cell r="B10073" t="str">
            <v>Xà Lách Mỡ T.C Cây</v>
          </cell>
          <cell r="C10073" t="str">
            <v>Cây</v>
          </cell>
          <cell r="D10073">
            <v>6800</v>
          </cell>
        </row>
        <row r="10074">
          <cell r="A10074">
            <v>45704</v>
          </cell>
          <cell r="B10074" t="str">
            <v>Xà Lách Mỡ T.C</v>
          </cell>
          <cell r="C10074" t="str">
            <v>Kg</v>
          </cell>
          <cell r="D10074">
            <v>28000</v>
          </cell>
        </row>
        <row r="10075">
          <cell r="A10075">
            <v>45704</v>
          </cell>
          <cell r="B10075" t="str">
            <v>Xà Lách Thủy Tinh T.C Cây</v>
          </cell>
          <cell r="C10075" t="str">
            <v>Cây</v>
          </cell>
          <cell r="D10075">
            <v>6800</v>
          </cell>
        </row>
        <row r="10076">
          <cell r="A10076">
            <v>45704</v>
          </cell>
          <cell r="B10076" t="str">
            <v>Gia Công Rau Củ Quả</v>
          </cell>
          <cell r="C10076" t="str">
            <v>Kg</v>
          </cell>
          <cell r="D10076">
            <v>1700</v>
          </cell>
        </row>
        <row r="10077">
          <cell r="A10077">
            <v>45704</v>
          </cell>
          <cell r="B10077" t="str">
            <v>Gia Công Rau Củ Quả</v>
          </cell>
          <cell r="C10077" t="str">
            <v>Kg</v>
          </cell>
          <cell r="D10077">
            <v>1000</v>
          </cell>
        </row>
        <row r="10078">
          <cell r="A10078">
            <v>45704</v>
          </cell>
          <cell r="B10078" t="str">
            <v>Trái Su Su</v>
          </cell>
          <cell r="C10078" t="str">
            <v>Kg</v>
          </cell>
          <cell r="D10078">
            <v>4000</v>
          </cell>
        </row>
        <row r="10079">
          <cell r="A10079">
            <v>45704</v>
          </cell>
          <cell r="B10079" t="str">
            <v>Dưa Leo Baby</v>
          </cell>
          <cell r="C10079" t="str">
            <v>Kg</v>
          </cell>
          <cell r="D10079">
            <v>10000</v>
          </cell>
        </row>
        <row r="10080">
          <cell r="A10080">
            <v>45704</v>
          </cell>
          <cell r="B10080" t="str">
            <v>Cải Thảo</v>
          </cell>
          <cell r="C10080" t="str">
            <v>Kg</v>
          </cell>
          <cell r="D10080">
            <v>5000</v>
          </cell>
        </row>
        <row r="10081">
          <cell r="A10081">
            <v>45704</v>
          </cell>
          <cell r="B10081" t="str">
            <v>Măng Tây</v>
          </cell>
          <cell r="C10081" t="str">
            <v>Kg</v>
          </cell>
          <cell r="D10081">
            <v>45000</v>
          </cell>
        </row>
        <row r="10082">
          <cell r="A10082">
            <v>45704</v>
          </cell>
          <cell r="B10082" t="str">
            <v>Lá É</v>
          </cell>
          <cell r="C10082" t="str">
            <v>Kg</v>
          </cell>
          <cell r="D10082">
            <v>33000</v>
          </cell>
        </row>
        <row r="10083">
          <cell r="A10083">
            <v>45704</v>
          </cell>
          <cell r="B10083" t="str">
            <v>Dưa Leo Baby</v>
          </cell>
          <cell r="C10083" t="str">
            <v>Kg</v>
          </cell>
          <cell r="D10083">
            <v>9500</v>
          </cell>
        </row>
        <row r="10084">
          <cell r="A10084">
            <v>45704</v>
          </cell>
          <cell r="B10084" t="str">
            <v>Đậu Cove Trắng</v>
          </cell>
          <cell r="C10084" t="str">
            <v>Túi 300gr</v>
          </cell>
          <cell r="D10084">
            <v>5500</v>
          </cell>
        </row>
        <row r="10085">
          <cell r="A10085">
            <v>45704</v>
          </cell>
          <cell r="B10085" t="str">
            <v>Bí Non Nhật</v>
          </cell>
          <cell r="C10085" t="str">
            <v>Kg</v>
          </cell>
          <cell r="D10085">
            <v>18000</v>
          </cell>
        </row>
        <row r="10086">
          <cell r="A10086">
            <v>45704</v>
          </cell>
          <cell r="B10086" t="str">
            <v>Dưa Leo Thường</v>
          </cell>
          <cell r="C10086" t="str">
            <v>Kg</v>
          </cell>
          <cell r="D10086">
            <v>13000</v>
          </cell>
        </row>
        <row r="10087">
          <cell r="A10087">
            <v>45704</v>
          </cell>
          <cell r="B10087" t="str">
            <v>Dưa Leo Nhật</v>
          </cell>
          <cell r="C10087" t="str">
            <v>Kg</v>
          </cell>
          <cell r="D10087">
            <v>16000</v>
          </cell>
        </row>
        <row r="10088">
          <cell r="A10088">
            <v>45704</v>
          </cell>
          <cell r="B10088" t="str">
            <v>Bí Đỏ Hồ Lô</v>
          </cell>
          <cell r="C10088" t="str">
            <v>Kg</v>
          </cell>
          <cell r="D10088">
            <v>7500</v>
          </cell>
        </row>
        <row r="10089">
          <cell r="A10089">
            <v>45704</v>
          </cell>
          <cell r="B10089" t="str">
            <v>Củ Gừng</v>
          </cell>
          <cell r="C10089" t="str">
            <v>Kg</v>
          </cell>
          <cell r="D10089">
            <v>19000</v>
          </cell>
        </row>
        <row r="10090">
          <cell r="A10090">
            <v>45704</v>
          </cell>
          <cell r="B10090" t="str">
            <v>Củ Khoai Mỡ</v>
          </cell>
          <cell r="C10090" t="str">
            <v>Kg</v>
          </cell>
          <cell r="D10090">
            <v>27000</v>
          </cell>
        </row>
        <row r="10091">
          <cell r="A10091">
            <v>45704</v>
          </cell>
          <cell r="B10091" t="str">
            <v>Trái Su Su</v>
          </cell>
          <cell r="C10091" t="str">
            <v>Kg</v>
          </cell>
          <cell r="D10091">
            <v>4500</v>
          </cell>
        </row>
        <row r="10092">
          <cell r="A10092">
            <v>45704</v>
          </cell>
          <cell r="B10092" t="str">
            <v>Bắp Cải Trắng</v>
          </cell>
          <cell r="C10092" t="str">
            <v>Kg</v>
          </cell>
          <cell r="D10092">
            <v>6000</v>
          </cell>
        </row>
        <row r="10093">
          <cell r="A10093">
            <v>45704</v>
          </cell>
          <cell r="B10093" t="str">
            <v>Cà Chua Thường</v>
          </cell>
          <cell r="C10093" t="str">
            <v>Kg</v>
          </cell>
          <cell r="D10093">
            <v>21000</v>
          </cell>
        </row>
        <row r="10094">
          <cell r="A10094">
            <v>45704</v>
          </cell>
          <cell r="B10094" t="str">
            <v>Củ Khoai Lang Nhật</v>
          </cell>
          <cell r="C10094" t="str">
            <v>Kg</v>
          </cell>
          <cell r="D10094">
            <v>16000</v>
          </cell>
        </row>
        <row r="10095">
          <cell r="A10095">
            <v>45704</v>
          </cell>
          <cell r="B10095" t="str">
            <v>Ớt Chuông Đỏ</v>
          </cell>
          <cell r="C10095" t="str">
            <v>Kg</v>
          </cell>
          <cell r="D10095">
            <v>36000</v>
          </cell>
        </row>
        <row r="10096">
          <cell r="A10096">
            <v>45704</v>
          </cell>
          <cell r="B10096" t="str">
            <v>Ớt Chuông Vàng</v>
          </cell>
          <cell r="C10096" t="str">
            <v>Kg</v>
          </cell>
          <cell r="D10096">
            <v>46000</v>
          </cell>
        </row>
        <row r="10097">
          <cell r="A10097">
            <v>45704</v>
          </cell>
          <cell r="B10097" t="str">
            <v>Ớt Chuông Snack</v>
          </cell>
          <cell r="C10097" t="str">
            <v>Kg</v>
          </cell>
          <cell r="D10097">
            <v>55000</v>
          </cell>
        </row>
        <row r="10098">
          <cell r="A10098">
            <v>45704</v>
          </cell>
          <cell r="B10098" t="str">
            <v>Ớt Chuông Baby</v>
          </cell>
          <cell r="C10098" t="str">
            <v>Kg</v>
          </cell>
          <cell r="D10098">
            <v>42000</v>
          </cell>
        </row>
        <row r="10099">
          <cell r="A10099">
            <v>45704</v>
          </cell>
          <cell r="B10099" t="str">
            <v>Xà Lách Mỡ T.C</v>
          </cell>
          <cell r="C10099" t="str">
            <v>Kg</v>
          </cell>
          <cell r="D10099">
            <v>24000</v>
          </cell>
        </row>
        <row r="10100">
          <cell r="A10100">
            <v>45704</v>
          </cell>
          <cell r="B10100" t="str">
            <v>Xà Lách Thủy Tinh T.C</v>
          </cell>
          <cell r="C10100" t="str">
            <v>Kg</v>
          </cell>
          <cell r="D10100">
            <v>25000</v>
          </cell>
        </row>
        <row r="10101">
          <cell r="A10101">
            <v>45704</v>
          </cell>
          <cell r="B10101" t="str">
            <v>Xà Lách Lolo Xanh T.C</v>
          </cell>
          <cell r="C10101" t="str">
            <v>Kg</v>
          </cell>
          <cell r="D10101">
            <v>21000</v>
          </cell>
        </row>
        <row r="10102">
          <cell r="A10102">
            <v>45704</v>
          </cell>
          <cell r="B10102" t="str">
            <v>Cà Rốt</v>
          </cell>
          <cell r="C10102" t="str">
            <v>Kg</v>
          </cell>
          <cell r="D10102">
            <v>6500</v>
          </cell>
        </row>
        <row r="10103">
          <cell r="A10103">
            <v>45704</v>
          </cell>
          <cell r="B10103" t="str">
            <v>Cà Chua Bi Đỏ</v>
          </cell>
          <cell r="C10103" t="str">
            <v>Hộp 500gr</v>
          </cell>
          <cell r="D10103">
            <v>8500</v>
          </cell>
        </row>
        <row r="10104">
          <cell r="A10104">
            <v>45704</v>
          </cell>
          <cell r="B10104" t="str">
            <v>Cà Chua Bi Đỏ</v>
          </cell>
          <cell r="C10104" t="str">
            <v>Hộp 300gr</v>
          </cell>
          <cell r="D10104">
            <v>5100</v>
          </cell>
        </row>
        <row r="10105">
          <cell r="A10105">
            <v>45704</v>
          </cell>
          <cell r="B10105" t="str">
            <v>Đậu Cove Nhật</v>
          </cell>
          <cell r="C10105" t="str">
            <v>Túi</v>
          </cell>
          <cell r="D10105">
            <v>6500</v>
          </cell>
        </row>
        <row r="10106">
          <cell r="A10106">
            <v>45704</v>
          </cell>
          <cell r="B10106" t="str">
            <v>CT - BÍ NGÒI XANH</v>
          </cell>
          <cell r="C10106" t="str">
            <v>Kg</v>
          </cell>
          <cell r="D10106">
            <v>15000</v>
          </cell>
        </row>
        <row r="10107">
          <cell r="A10107">
            <v>45704</v>
          </cell>
          <cell r="B10107" t="str">
            <v>Cà Rốt</v>
          </cell>
          <cell r="C10107" t="str">
            <v>Kg</v>
          </cell>
          <cell r="D10107">
            <v>6800</v>
          </cell>
        </row>
        <row r="10108">
          <cell r="A10108">
            <v>45704</v>
          </cell>
          <cell r="B10108" t="str">
            <v>Xà Lách Thủy Tinh T.C Cây</v>
          </cell>
          <cell r="C10108" t="str">
            <v>Cây</v>
          </cell>
          <cell r="D10108">
            <v>5000</v>
          </cell>
        </row>
        <row r="10109">
          <cell r="A10109">
            <v>45704</v>
          </cell>
          <cell r="B10109" t="str">
            <v>Bí Ngòi Xanh</v>
          </cell>
          <cell r="C10109" t="str">
            <v>Kg</v>
          </cell>
          <cell r="D10109">
            <v>16000</v>
          </cell>
        </row>
        <row r="10110">
          <cell r="A10110">
            <v>45704</v>
          </cell>
          <cell r="B10110" t="str">
            <v>Xà Lách Mỡ T.C</v>
          </cell>
          <cell r="C10110" t="str">
            <v>Kg</v>
          </cell>
          <cell r="D10110">
            <v>26000</v>
          </cell>
        </row>
        <row r="10111">
          <cell r="A10111">
            <v>45704</v>
          </cell>
          <cell r="B10111" t="str">
            <v>Xà Lách Lolo Xanh T.C</v>
          </cell>
          <cell r="C10111" t="str">
            <v>Kg</v>
          </cell>
          <cell r="D10111">
            <v>26000</v>
          </cell>
        </row>
        <row r="10112">
          <cell r="A10112">
            <v>45704</v>
          </cell>
          <cell r="B10112" t="str">
            <v>Xà Lách Thủy Tinh T.C Cây</v>
          </cell>
          <cell r="C10112" t="str">
            <v>Cây</v>
          </cell>
          <cell r="D10112">
            <v>7500</v>
          </cell>
        </row>
        <row r="10113">
          <cell r="A10113">
            <v>45704</v>
          </cell>
          <cell r="B10113" t="str">
            <v>Trái Su Su</v>
          </cell>
          <cell r="C10113" t="str">
            <v>Kg</v>
          </cell>
          <cell r="D10113">
            <v>8000</v>
          </cell>
        </row>
        <row r="10114">
          <cell r="A10114">
            <v>45704</v>
          </cell>
          <cell r="B10114" t="str">
            <v>Cà Tím</v>
          </cell>
          <cell r="C10114" t="str">
            <v>Kg</v>
          </cell>
          <cell r="D10114">
            <v>8000</v>
          </cell>
        </row>
        <row r="10115">
          <cell r="A10115">
            <v>45704</v>
          </cell>
          <cell r="B10115" t="str">
            <v>Cà Tím</v>
          </cell>
          <cell r="C10115" t="str">
            <v>Cặp</v>
          </cell>
          <cell r="D10115">
            <v>6000</v>
          </cell>
        </row>
        <row r="10116">
          <cell r="A10116">
            <v>45704</v>
          </cell>
          <cell r="B10116" t="str">
            <v>Bí Đỏ Hồ Lô</v>
          </cell>
          <cell r="C10116" t="str">
            <v>Kg</v>
          </cell>
          <cell r="D10116">
            <v>7000</v>
          </cell>
        </row>
        <row r="10117">
          <cell r="A10117">
            <v>45704</v>
          </cell>
          <cell r="B10117" t="str">
            <v>Trái Khổ Qua</v>
          </cell>
          <cell r="C10117" t="str">
            <v>Kg</v>
          </cell>
          <cell r="D10117">
            <v>12000</v>
          </cell>
        </row>
        <row r="10118">
          <cell r="A10118">
            <v>45704</v>
          </cell>
          <cell r="B10118" t="str">
            <v>Bí Đao Xanh</v>
          </cell>
          <cell r="C10118" t="str">
            <v>Kg</v>
          </cell>
          <cell r="D10118">
            <v>12000</v>
          </cell>
        </row>
        <row r="10119">
          <cell r="A10119">
            <v>45704</v>
          </cell>
          <cell r="B10119" t="str">
            <v>Dưa Leo Thường</v>
          </cell>
          <cell r="C10119" t="str">
            <v>Kg</v>
          </cell>
          <cell r="D10119">
            <v>12000</v>
          </cell>
        </row>
        <row r="10120">
          <cell r="A10120">
            <v>45704</v>
          </cell>
          <cell r="B10120" t="str">
            <v>Củ Su Hào</v>
          </cell>
          <cell r="C10120" t="str">
            <v>Kg</v>
          </cell>
          <cell r="D10120">
            <v>8000</v>
          </cell>
        </row>
        <row r="10121">
          <cell r="A10121">
            <v>45704</v>
          </cell>
          <cell r="B10121" t="str">
            <v>Củ Cải Trắng</v>
          </cell>
          <cell r="C10121" t="str">
            <v>Kg</v>
          </cell>
          <cell r="D10121">
            <v>4000</v>
          </cell>
        </row>
        <row r="10122">
          <cell r="A10122">
            <v>45704</v>
          </cell>
          <cell r="B10122" t="str">
            <v>Củ Khoai Mỡ</v>
          </cell>
          <cell r="C10122" t="str">
            <v>Kg</v>
          </cell>
          <cell r="D10122">
            <v>26000</v>
          </cell>
        </row>
        <row r="10123">
          <cell r="A10123">
            <v>45704</v>
          </cell>
          <cell r="B10123" t="str">
            <v>Cải Thảo Kim Chi</v>
          </cell>
          <cell r="C10123" t="str">
            <v>Kg</v>
          </cell>
          <cell r="D10123">
            <v>0</v>
          </cell>
        </row>
        <row r="10124">
          <cell r="A10124">
            <v>45704</v>
          </cell>
          <cell r="B10124" t="str">
            <v>Cải Bó Xôi</v>
          </cell>
          <cell r="C10124" t="str">
            <v>Túi</v>
          </cell>
          <cell r="D10124">
            <v>5100</v>
          </cell>
        </row>
        <row r="10125">
          <cell r="A10125">
            <v>45704</v>
          </cell>
          <cell r="B10125" t="str">
            <v>Cà Chua Bi Mix</v>
          </cell>
          <cell r="C10125" t="str">
            <v>Hộp</v>
          </cell>
          <cell r="D10125">
            <v>11100</v>
          </cell>
        </row>
        <row r="10126">
          <cell r="A10126">
            <v>45704</v>
          </cell>
          <cell r="B10126" t="str">
            <v>Cải Kale</v>
          </cell>
          <cell r="C10126" t="str">
            <v>Túi</v>
          </cell>
          <cell r="D10126">
            <v>4200</v>
          </cell>
        </row>
        <row r="10127">
          <cell r="A10127">
            <v>45704</v>
          </cell>
          <cell r="B10127" t="str">
            <v>Chanh Không Hạt</v>
          </cell>
          <cell r="C10127" t="str">
            <v>Vỉ</v>
          </cell>
          <cell r="D10127">
            <v>7500</v>
          </cell>
        </row>
        <row r="10128">
          <cell r="A10128">
            <v>45704</v>
          </cell>
          <cell r="B10128" t="str">
            <v>Cà Chua Beef</v>
          </cell>
          <cell r="C10128" t="str">
            <v>Kg</v>
          </cell>
          <cell r="D10128">
            <v>12000</v>
          </cell>
        </row>
        <row r="10129">
          <cell r="A10129">
            <v>45704</v>
          </cell>
          <cell r="B10129" t="str">
            <v>Cà Chua Beef</v>
          </cell>
          <cell r="C10129" t="str">
            <v>Vỉ 650gr</v>
          </cell>
          <cell r="D10129">
            <v>11050</v>
          </cell>
        </row>
        <row r="10130">
          <cell r="A10130">
            <v>45704</v>
          </cell>
          <cell r="B10130" t="str">
            <v>Cà Chua Beef Trung</v>
          </cell>
          <cell r="C10130" t="str">
            <v>Vỉ 500gr</v>
          </cell>
          <cell r="D10130">
            <v>7000</v>
          </cell>
        </row>
        <row r="10131">
          <cell r="A10131">
            <v>45704</v>
          </cell>
          <cell r="B10131" t="str">
            <v>Cà Chua Beef</v>
          </cell>
          <cell r="C10131" t="str">
            <v>Kg</v>
          </cell>
          <cell r="D10131">
            <v>12500</v>
          </cell>
        </row>
        <row r="10132">
          <cell r="A10132">
            <v>45705</v>
          </cell>
          <cell r="B10132" t="str">
            <v>Trái Mít Thái</v>
          </cell>
          <cell r="C10132" t="str">
            <v>Kg</v>
          </cell>
          <cell r="D10132">
            <v>19507</v>
          </cell>
        </row>
        <row r="10133">
          <cell r="A10133">
            <v>45705</v>
          </cell>
          <cell r="B10133" t="str">
            <v>Bắp Cải Trái Tim</v>
          </cell>
          <cell r="C10133" t="str">
            <v>Kg</v>
          </cell>
          <cell r="D10133">
            <v>5000</v>
          </cell>
        </row>
        <row r="10134">
          <cell r="A10134">
            <v>45705</v>
          </cell>
          <cell r="B10134" t="str">
            <v>Dưa Leo Baby</v>
          </cell>
          <cell r="C10134" t="str">
            <v>Kg</v>
          </cell>
          <cell r="D10134">
            <v>10000</v>
          </cell>
        </row>
        <row r="10135">
          <cell r="A10135">
            <v>45705</v>
          </cell>
          <cell r="B10135" t="str">
            <v>Bí Ngòi Xanh</v>
          </cell>
          <cell r="C10135" t="str">
            <v>Kg</v>
          </cell>
          <cell r="D10135">
            <v>9000</v>
          </cell>
        </row>
        <row r="10136">
          <cell r="A10136">
            <v>45705</v>
          </cell>
          <cell r="B10136" t="str">
            <v>Cà Chua Socola</v>
          </cell>
          <cell r="C10136" t="str">
            <v>Kg</v>
          </cell>
          <cell r="D10136">
            <v>20000</v>
          </cell>
        </row>
        <row r="10137">
          <cell r="A10137">
            <v>45705</v>
          </cell>
          <cell r="B10137" t="str">
            <v>Trái Khổ Qua</v>
          </cell>
          <cell r="C10137" t="str">
            <v>Kg</v>
          </cell>
          <cell r="D10137">
            <v>12000</v>
          </cell>
        </row>
        <row r="10138">
          <cell r="A10138">
            <v>45705</v>
          </cell>
          <cell r="B10138" t="str">
            <v>Bí Đao Xanh</v>
          </cell>
          <cell r="C10138" t="str">
            <v>Kg</v>
          </cell>
          <cell r="D10138">
            <v>12000</v>
          </cell>
        </row>
        <row r="10139">
          <cell r="A10139">
            <v>45705</v>
          </cell>
          <cell r="B10139" t="str">
            <v>Dưa Leo Thường</v>
          </cell>
          <cell r="C10139" t="str">
            <v>Kg</v>
          </cell>
          <cell r="D10139">
            <v>12000</v>
          </cell>
        </row>
        <row r="10140">
          <cell r="A10140">
            <v>45705</v>
          </cell>
          <cell r="B10140" t="str">
            <v>Bắp Cải Trắng</v>
          </cell>
          <cell r="C10140" t="str">
            <v>Kg</v>
          </cell>
          <cell r="D10140">
            <v>4000</v>
          </cell>
        </row>
        <row r="10141">
          <cell r="A10141">
            <v>45705</v>
          </cell>
          <cell r="B10141" t="str">
            <v>Ớt Chuông Đỏ</v>
          </cell>
          <cell r="C10141" t="str">
            <v>Kg</v>
          </cell>
          <cell r="D10141">
            <v>32000</v>
          </cell>
        </row>
        <row r="10142">
          <cell r="A10142">
            <v>45705</v>
          </cell>
          <cell r="B10142" t="str">
            <v>Ớt Chuông Vàng</v>
          </cell>
          <cell r="C10142" t="str">
            <v>Kg</v>
          </cell>
          <cell r="D10142">
            <v>42000</v>
          </cell>
        </row>
        <row r="10143">
          <cell r="A10143">
            <v>45705</v>
          </cell>
          <cell r="B10143" t="str">
            <v>Ớt Chuông Snack</v>
          </cell>
          <cell r="C10143" t="str">
            <v>Kg</v>
          </cell>
          <cell r="D10143">
            <v>55000</v>
          </cell>
        </row>
        <row r="10144">
          <cell r="A10144">
            <v>45705</v>
          </cell>
          <cell r="B10144" t="str">
            <v>Cà Rốt</v>
          </cell>
          <cell r="C10144" t="str">
            <v>Kg</v>
          </cell>
          <cell r="D10144">
            <v>6500</v>
          </cell>
        </row>
        <row r="10145">
          <cell r="A10145">
            <v>45705</v>
          </cell>
          <cell r="B10145" t="str">
            <v>Ớt Chuông Baby</v>
          </cell>
          <cell r="C10145" t="str">
            <v>Kg</v>
          </cell>
          <cell r="D10145">
            <v>48000</v>
          </cell>
        </row>
        <row r="10146">
          <cell r="A10146">
            <v>45705</v>
          </cell>
          <cell r="B10146" t="str">
            <v>Ớt Sweet Palemo</v>
          </cell>
          <cell r="C10146" t="str">
            <v>Túi</v>
          </cell>
          <cell r="D10146">
            <v>18000</v>
          </cell>
        </row>
        <row r="10147">
          <cell r="A10147">
            <v>45705</v>
          </cell>
          <cell r="B10147" t="str">
            <v>Rau Mầm</v>
          </cell>
          <cell r="C10147" t="str">
            <v>Kg</v>
          </cell>
          <cell r="D10147">
            <v>60000</v>
          </cell>
        </row>
        <row r="10148">
          <cell r="A10148">
            <v>45705</v>
          </cell>
          <cell r="B10148" t="str">
            <v>Cà Chua Thường</v>
          </cell>
          <cell r="C10148" t="str">
            <v>Kg</v>
          </cell>
          <cell r="D10148">
            <v>23000</v>
          </cell>
        </row>
        <row r="10149">
          <cell r="A10149">
            <v>45705</v>
          </cell>
          <cell r="B10149" t="str">
            <v>Cà Chua Thường Trung</v>
          </cell>
          <cell r="C10149" t="str">
            <v>Kg</v>
          </cell>
          <cell r="D10149">
            <v>17000</v>
          </cell>
        </row>
        <row r="10150">
          <cell r="A10150">
            <v>45705</v>
          </cell>
          <cell r="B10150" t="str">
            <v>Củ Cải Trắng</v>
          </cell>
          <cell r="C10150" t="str">
            <v>Kg</v>
          </cell>
          <cell r="D10150">
            <v>4000</v>
          </cell>
        </row>
        <row r="10151">
          <cell r="A10151">
            <v>45705</v>
          </cell>
          <cell r="B10151" t="str">
            <v>Củ Gừng</v>
          </cell>
          <cell r="C10151" t="str">
            <v>Kg</v>
          </cell>
          <cell r="D10151">
            <v>18000</v>
          </cell>
        </row>
        <row r="10152">
          <cell r="A10152">
            <v>45705</v>
          </cell>
          <cell r="B10152" t="str">
            <v>Củ Khoai Mỡ</v>
          </cell>
          <cell r="C10152" t="str">
            <v>Kg</v>
          </cell>
          <cell r="D10152">
            <v>26000</v>
          </cell>
        </row>
        <row r="10153">
          <cell r="A10153">
            <v>45705</v>
          </cell>
          <cell r="B10153" t="str">
            <v>Xà Lách Thủy Tinh T.C Cây</v>
          </cell>
          <cell r="C10153" t="str">
            <v>Cây</v>
          </cell>
          <cell r="D10153">
            <v>5000</v>
          </cell>
        </row>
        <row r="10154">
          <cell r="A10154">
            <v>45705</v>
          </cell>
          <cell r="B10154" t="str">
            <v>Cà Rốt</v>
          </cell>
          <cell r="C10154" t="str">
            <v>Kg</v>
          </cell>
          <cell r="D10154">
            <v>6800</v>
          </cell>
        </row>
        <row r="10155">
          <cell r="A10155">
            <v>45705</v>
          </cell>
          <cell r="B10155" t="str">
            <v>Bí Ngòi Xanh</v>
          </cell>
          <cell r="C10155" t="str">
            <v>Kg</v>
          </cell>
          <cell r="D10155">
            <v>15500</v>
          </cell>
        </row>
        <row r="10156">
          <cell r="A10156">
            <v>45705</v>
          </cell>
          <cell r="B10156" t="str">
            <v>Bí Đỏ Hồ Lô</v>
          </cell>
          <cell r="C10156" t="str">
            <v>Kg</v>
          </cell>
          <cell r="D10156">
            <v>7000</v>
          </cell>
        </row>
        <row r="10157">
          <cell r="A10157">
            <v>45705</v>
          </cell>
          <cell r="B10157" t="str">
            <v>Cà Rốt</v>
          </cell>
          <cell r="C10157" t="str">
            <v>Kg</v>
          </cell>
          <cell r="D10157">
            <v>7000</v>
          </cell>
        </row>
        <row r="10158">
          <cell r="A10158">
            <v>45705</v>
          </cell>
          <cell r="B10158" t="str">
            <v>Cà Rốt Trung</v>
          </cell>
          <cell r="C10158" t="str">
            <v>Kg</v>
          </cell>
          <cell r="D10158">
            <v>5000</v>
          </cell>
        </row>
        <row r="10159">
          <cell r="A10159">
            <v>45705</v>
          </cell>
          <cell r="B10159" t="str">
            <v>Bí Đỏ Hồ Lô</v>
          </cell>
          <cell r="C10159" t="str">
            <v>Kg</v>
          </cell>
          <cell r="D10159">
            <v>7500</v>
          </cell>
        </row>
        <row r="10160">
          <cell r="A10160">
            <v>45705</v>
          </cell>
          <cell r="B10160" t="str">
            <v>Bí Đỏ Tròn</v>
          </cell>
          <cell r="C10160" t="str">
            <v>Kg</v>
          </cell>
          <cell r="D10160">
            <v>9000</v>
          </cell>
        </row>
        <row r="10161">
          <cell r="A10161">
            <v>45705</v>
          </cell>
          <cell r="B10161" t="str">
            <v>Chuối Laba</v>
          </cell>
          <cell r="C10161" t="str">
            <v>Kg</v>
          </cell>
          <cell r="D10161">
            <v>14000</v>
          </cell>
        </row>
        <row r="10162">
          <cell r="A10162">
            <v>45705</v>
          </cell>
          <cell r="B10162" t="str">
            <v>Xà Lách Mỡ T.C</v>
          </cell>
          <cell r="C10162" t="str">
            <v>Kg</v>
          </cell>
          <cell r="D10162">
            <v>24000</v>
          </cell>
        </row>
        <row r="10163">
          <cell r="A10163">
            <v>45705</v>
          </cell>
          <cell r="B10163" t="str">
            <v>Xà Lách Thủy Tinh T.C</v>
          </cell>
          <cell r="C10163" t="str">
            <v>Kg</v>
          </cell>
          <cell r="D10163">
            <v>25000</v>
          </cell>
        </row>
        <row r="10164">
          <cell r="A10164">
            <v>45705</v>
          </cell>
          <cell r="B10164" t="str">
            <v>Xà Lách Lolo Xanh T.C</v>
          </cell>
          <cell r="C10164" t="str">
            <v>Kg</v>
          </cell>
          <cell r="D10164">
            <v>21000</v>
          </cell>
        </row>
        <row r="10165">
          <cell r="A10165">
            <v>45705</v>
          </cell>
          <cell r="B10165" t="str">
            <v>Củ Khoai Lang Nhật</v>
          </cell>
          <cell r="C10165" t="str">
            <v>Kg</v>
          </cell>
          <cell r="D10165">
            <v>16000</v>
          </cell>
        </row>
        <row r="10166">
          <cell r="A10166">
            <v>45705</v>
          </cell>
          <cell r="B10166" t="str">
            <v>Củ Khoai Lang Nhật Baby</v>
          </cell>
          <cell r="C10166" t="str">
            <v>Kg</v>
          </cell>
          <cell r="D10166">
            <v>14000</v>
          </cell>
        </row>
        <row r="10167">
          <cell r="A10167">
            <v>45705</v>
          </cell>
          <cell r="B10167" t="str">
            <v>Củ Su Hào</v>
          </cell>
          <cell r="C10167" t="str">
            <v>Kg</v>
          </cell>
          <cell r="D10167">
            <v>8000</v>
          </cell>
        </row>
        <row r="10168">
          <cell r="A10168">
            <v>45705</v>
          </cell>
          <cell r="B10168" t="str">
            <v>Củ Dền</v>
          </cell>
          <cell r="C10168" t="str">
            <v>Kg</v>
          </cell>
          <cell r="D10168">
            <v>9000</v>
          </cell>
        </row>
        <row r="10169">
          <cell r="A10169">
            <v>45705</v>
          </cell>
          <cell r="B10169" t="str">
            <v>Bắp Cải Tím</v>
          </cell>
          <cell r="C10169" t="str">
            <v>Kg</v>
          </cell>
          <cell r="D10169">
            <v>16000</v>
          </cell>
        </row>
        <row r="10170">
          <cell r="A10170">
            <v>45705</v>
          </cell>
          <cell r="B10170" t="str">
            <v>Bông Cải Trắng</v>
          </cell>
          <cell r="C10170" t="str">
            <v>Kg</v>
          </cell>
          <cell r="D10170">
            <v>12000</v>
          </cell>
        </row>
        <row r="10171">
          <cell r="A10171">
            <v>45705</v>
          </cell>
          <cell r="B10171" t="str">
            <v>Cải Kale</v>
          </cell>
          <cell r="C10171" t="str">
            <v>Túi</v>
          </cell>
          <cell r="D10171">
            <v>3900</v>
          </cell>
        </row>
        <row r="10172">
          <cell r="A10172">
            <v>45705</v>
          </cell>
          <cell r="B10172" t="str">
            <v>Lá Mè</v>
          </cell>
          <cell r="C10172" t="str">
            <v>Túi</v>
          </cell>
          <cell r="D10172">
            <v>2700</v>
          </cell>
        </row>
        <row r="10173">
          <cell r="A10173">
            <v>45705</v>
          </cell>
          <cell r="B10173" t="str">
            <v>Xà Lách Lolo Xanh</v>
          </cell>
          <cell r="C10173" t="str">
            <v>Kg</v>
          </cell>
          <cell r="D10173">
            <v>8000</v>
          </cell>
        </row>
        <row r="10174">
          <cell r="A10174">
            <v>45705</v>
          </cell>
          <cell r="B10174" t="str">
            <v>Trái Mâm Xôi</v>
          </cell>
          <cell r="C10174" t="str">
            <v>Hộp</v>
          </cell>
          <cell r="D10174">
            <v>35000</v>
          </cell>
        </row>
        <row r="10175">
          <cell r="A10175">
            <v>45705</v>
          </cell>
          <cell r="B10175" t="str">
            <v>Củ Hành Tây</v>
          </cell>
          <cell r="C10175" t="str">
            <v>Kg</v>
          </cell>
          <cell r="D10175">
            <v>8000</v>
          </cell>
        </row>
        <row r="10176">
          <cell r="A10176">
            <v>45705</v>
          </cell>
          <cell r="B10176" t="str">
            <v>Cải Bó Xôi</v>
          </cell>
          <cell r="C10176" t="str">
            <v>Kg</v>
          </cell>
          <cell r="D10176">
            <v>12000</v>
          </cell>
        </row>
        <row r="10177">
          <cell r="A10177">
            <v>45705</v>
          </cell>
          <cell r="B10177" t="str">
            <v>Cần Tây</v>
          </cell>
          <cell r="C10177" t="str">
            <v>Kg</v>
          </cell>
          <cell r="D10177">
            <v>13000</v>
          </cell>
        </row>
        <row r="10178">
          <cell r="A10178">
            <v>45705</v>
          </cell>
          <cell r="B10178" t="str">
            <v>Bắp Cải Tím</v>
          </cell>
          <cell r="C10178" t="str">
            <v>Kg</v>
          </cell>
          <cell r="D10178">
            <v>21000</v>
          </cell>
        </row>
        <row r="10179">
          <cell r="A10179">
            <v>45705</v>
          </cell>
          <cell r="B10179" t="str">
            <v>Củ Khoai Tây Vàng</v>
          </cell>
          <cell r="C10179" t="str">
            <v>Kg</v>
          </cell>
          <cell r="D10179">
            <v>12500</v>
          </cell>
        </row>
        <row r="10180">
          <cell r="A10180">
            <v>45705</v>
          </cell>
          <cell r="B10180" t="str">
            <v>Bông Cải Xanh 7Cm</v>
          </cell>
          <cell r="C10180" t="str">
            <v>Kg</v>
          </cell>
          <cell r="D10180">
            <v>25000</v>
          </cell>
        </row>
        <row r="10181">
          <cell r="A10181">
            <v>45705</v>
          </cell>
          <cell r="B10181" t="str">
            <v>Cà Chua Socola</v>
          </cell>
          <cell r="C10181" t="str">
            <v>Hộp 250GR</v>
          </cell>
          <cell r="D10181">
            <v>7500</v>
          </cell>
        </row>
        <row r="10182">
          <cell r="A10182">
            <v>45705</v>
          </cell>
          <cell r="B10182" t="str">
            <v>Dưa Leo Baby</v>
          </cell>
          <cell r="C10182" t="str">
            <v>Vỉ</v>
          </cell>
          <cell r="D10182">
            <v>7000</v>
          </cell>
        </row>
        <row r="10183">
          <cell r="A10183">
            <v>45705</v>
          </cell>
          <cell r="B10183" t="str">
            <v>Bông Cải Xanh 7Cm</v>
          </cell>
          <cell r="C10183" t="str">
            <v>Kg</v>
          </cell>
          <cell r="D10183">
            <v>25000</v>
          </cell>
        </row>
        <row r="10184">
          <cell r="A10184">
            <v>45705</v>
          </cell>
          <cell r="B10184" t="str">
            <v>Hành Paro</v>
          </cell>
          <cell r="C10184" t="str">
            <v>Kg</v>
          </cell>
          <cell r="D10184">
            <v>10000</v>
          </cell>
        </row>
        <row r="10185">
          <cell r="A10185">
            <v>45705</v>
          </cell>
          <cell r="B10185" t="str">
            <v>Bông Cải Xanh 7Cm</v>
          </cell>
          <cell r="C10185" t="str">
            <v>Kg</v>
          </cell>
          <cell r="D10185">
            <v>25000</v>
          </cell>
        </row>
        <row r="10186">
          <cell r="A10186">
            <v>45705</v>
          </cell>
          <cell r="B10186" t="str">
            <v>Xà Lách Mỹ</v>
          </cell>
          <cell r="C10186" t="str">
            <v>Kg</v>
          </cell>
          <cell r="D10186">
            <v>12000</v>
          </cell>
        </row>
        <row r="10187">
          <cell r="A10187">
            <v>45705</v>
          </cell>
          <cell r="B10187" t="str">
            <v>Ớt Sweet Palemo</v>
          </cell>
          <cell r="C10187" t="str">
            <v>Túi</v>
          </cell>
          <cell r="D10187">
            <v>17500</v>
          </cell>
        </row>
        <row r="10188">
          <cell r="A10188">
            <v>45705</v>
          </cell>
          <cell r="B10188" t="str">
            <v>Bông Atiso</v>
          </cell>
          <cell r="C10188" t="str">
            <v>Kg</v>
          </cell>
          <cell r="D10188">
            <v>180000</v>
          </cell>
        </row>
        <row r="10189">
          <cell r="A10189">
            <v>45705</v>
          </cell>
          <cell r="B10189" t="str">
            <v>Rau Bầu Đất</v>
          </cell>
          <cell r="C10189" t="str">
            <v>Kg</v>
          </cell>
          <cell r="D10189">
            <v>35000</v>
          </cell>
        </row>
        <row r="10190">
          <cell r="A10190">
            <v>45705</v>
          </cell>
          <cell r="B10190" t="str">
            <v>Xà Lách Carol</v>
          </cell>
          <cell r="C10190" t="str">
            <v>Kg</v>
          </cell>
          <cell r="D10190">
            <v>32000</v>
          </cell>
        </row>
        <row r="10191">
          <cell r="A10191">
            <v>45705</v>
          </cell>
          <cell r="B10191" t="str">
            <v>Xà Lách Lolo Xanh</v>
          </cell>
          <cell r="C10191" t="str">
            <v>Kg</v>
          </cell>
          <cell r="D10191">
            <v>10000</v>
          </cell>
        </row>
        <row r="10192">
          <cell r="A10192">
            <v>45705</v>
          </cell>
          <cell r="B10192" t="str">
            <v>Cà Chua Beef Chùm</v>
          </cell>
          <cell r="C10192" t="str">
            <v>Kg</v>
          </cell>
          <cell r="D10192">
            <v>14000</v>
          </cell>
        </row>
        <row r="10193">
          <cell r="A10193">
            <v>45705</v>
          </cell>
          <cell r="B10193" t="str">
            <v>Dưa Leo Baby</v>
          </cell>
          <cell r="C10193" t="str">
            <v>Kg</v>
          </cell>
          <cell r="D10193">
            <v>9500</v>
          </cell>
        </row>
        <row r="10194">
          <cell r="A10194">
            <v>45705</v>
          </cell>
          <cell r="B10194" t="str">
            <v>Trái Su Su</v>
          </cell>
          <cell r="C10194" t="str">
            <v>Kg</v>
          </cell>
          <cell r="D10194">
            <v>3000</v>
          </cell>
        </row>
        <row r="10195">
          <cell r="A10195">
            <v>45705</v>
          </cell>
          <cell r="B10195" t="str">
            <v>Trái Su Su</v>
          </cell>
          <cell r="C10195" t="str">
            <v>Kg</v>
          </cell>
          <cell r="D10195">
            <v>3000</v>
          </cell>
        </row>
        <row r="10196">
          <cell r="A10196">
            <v>45705</v>
          </cell>
          <cell r="B10196" t="str">
            <v>Gia Công Rau Củ Quả</v>
          </cell>
          <cell r="C10196" t="str">
            <v>Kg</v>
          </cell>
          <cell r="D10196">
            <v>1700</v>
          </cell>
        </row>
        <row r="10197">
          <cell r="A10197">
            <v>45705</v>
          </cell>
          <cell r="B10197" t="str">
            <v>Gia Công Rau Củ Quả</v>
          </cell>
          <cell r="C10197" t="str">
            <v>Kg</v>
          </cell>
          <cell r="D10197">
            <v>1700</v>
          </cell>
        </row>
        <row r="10198">
          <cell r="A10198">
            <v>45705</v>
          </cell>
          <cell r="B10198" t="str">
            <v>Gia Công Rau Củ Quả</v>
          </cell>
          <cell r="C10198" t="str">
            <v>Kg</v>
          </cell>
          <cell r="D10198">
            <v>700</v>
          </cell>
        </row>
        <row r="10199">
          <cell r="A10199">
            <v>45705</v>
          </cell>
          <cell r="B10199" t="str">
            <v>Gia Công Rau Củ Quả</v>
          </cell>
          <cell r="C10199" t="str">
            <v>Kg</v>
          </cell>
          <cell r="D10199">
            <v>1000</v>
          </cell>
        </row>
        <row r="10200">
          <cell r="A10200">
            <v>45705</v>
          </cell>
          <cell r="B10200" t="str">
            <v>Hành Paro</v>
          </cell>
          <cell r="C10200" t="str">
            <v>Kg</v>
          </cell>
          <cell r="D10200">
            <v>11500</v>
          </cell>
        </row>
        <row r="10201">
          <cell r="A10201">
            <v>45705</v>
          </cell>
          <cell r="B10201" t="str">
            <v>Bí Ngòi Vàng</v>
          </cell>
          <cell r="C10201" t="str">
            <v>Kg</v>
          </cell>
          <cell r="D10201">
            <v>25000</v>
          </cell>
        </row>
        <row r="10202">
          <cell r="A10202">
            <v>45705</v>
          </cell>
          <cell r="B10202" t="str">
            <v>Măng Tây</v>
          </cell>
          <cell r="C10202" t="str">
            <v>Kg</v>
          </cell>
          <cell r="D10202">
            <v>47857</v>
          </cell>
        </row>
        <row r="10203">
          <cell r="A10203">
            <v>45705</v>
          </cell>
          <cell r="B10203" t="str">
            <v>Măng Tây</v>
          </cell>
          <cell r="C10203" t="str">
            <v>Kg</v>
          </cell>
          <cell r="D10203">
            <v>35000</v>
          </cell>
        </row>
        <row r="10204">
          <cell r="A10204">
            <v>45705</v>
          </cell>
          <cell r="B10204" t="str">
            <v>Lá É</v>
          </cell>
          <cell r="C10204" t="str">
            <v>Kg</v>
          </cell>
          <cell r="D10204">
            <v>25000</v>
          </cell>
        </row>
        <row r="10205">
          <cell r="A10205">
            <v>45705</v>
          </cell>
          <cell r="B10205" t="str">
            <v>Đậu Đỏ</v>
          </cell>
          <cell r="C10205" t="str">
            <v>Kg</v>
          </cell>
          <cell r="D10205">
            <v>80000</v>
          </cell>
        </row>
        <row r="10206">
          <cell r="A10206">
            <v>45705</v>
          </cell>
          <cell r="B10206" t="str">
            <v>Đậu Ngự</v>
          </cell>
          <cell r="C10206" t="str">
            <v>Kg</v>
          </cell>
          <cell r="D10206">
            <v>70000</v>
          </cell>
        </row>
        <row r="10207">
          <cell r="A10207">
            <v>45705</v>
          </cell>
          <cell r="B10207" t="str">
            <v>Đậu Trắng</v>
          </cell>
          <cell r="C10207" t="str">
            <v>Kg</v>
          </cell>
          <cell r="D10207">
            <v>70000</v>
          </cell>
        </row>
        <row r="10208">
          <cell r="A10208">
            <v>45705</v>
          </cell>
          <cell r="B10208" t="str">
            <v>Cần Tây</v>
          </cell>
          <cell r="C10208" t="str">
            <v>Kg</v>
          </cell>
          <cell r="D10208">
            <v>10000</v>
          </cell>
        </row>
        <row r="10209">
          <cell r="A10209">
            <v>45705</v>
          </cell>
          <cell r="B10209" t="str">
            <v>Cải Bó Xôi</v>
          </cell>
          <cell r="C10209" t="str">
            <v>Túi</v>
          </cell>
          <cell r="D10209">
            <v>5100</v>
          </cell>
        </row>
        <row r="10210">
          <cell r="A10210">
            <v>45705</v>
          </cell>
          <cell r="B10210" t="str">
            <v>Cà Chua Beef</v>
          </cell>
          <cell r="C10210" t="str">
            <v>Kg</v>
          </cell>
          <cell r="D10210">
            <v>12000</v>
          </cell>
        </row>
        <row r="10211">
          <cell r="A10211">
            <v>45705</v>
          </cell>
          <cell r="B10211" t="str">
            <v>Cà Chua Beef</v>
          </cell>
          <cell r="C10211" t="str">
            <v>Vỉ 650gr</v>
          </cell>
          <cell r="D10211">
            <v>11050</v>
          </cell>
        </row>
        <row r="10212">
          <cell r="A10212">
            <v>45705</v>
          </cell>
          <cell r="B10212" t="str">
            <v>Cà Chua Beef Trung</v>
          </cell>
          <cell r="C10212" t="str">
            <v>Kg</v>
          </cell>
          <cell r="D10212">
            <v>12000</v>
          </cell>
        </row>
        <row r="10213">
          <cell r="A10213">
            <v>45705</v>
          </cell>
          <cell r="B10213" t="str">
            <v>Cà Chua Bi Mix</v>
          </cell>
          <cell r="C10213" t="str">
            <v>Hộp</v>
          </cell>
          <cell r="D10213">
            <v>9900</v>
          </cell>
        </row>
        <row r="10214">
          <cell r="A10214">
            <v>45705</v>
          </cell>
          <cell r="B10214" t="str">
            <v>Cải Kale</v>
          </cell>
          <cell r="C10214" t="str">
            <v>Túi</v>
          </cell>
          <cell r="D10214">
            <v>4200</v>
          </cell>
        </row>
        <row r="10215">
          <cell r="A10215">
            <v>45705</v>
          </cell>
          <cell r="B10215" t="str">
            <v>Chanh Không Hạt</v>
          </cell>
          <cell r="C10215" t="str">
            <v>Vỉ</v>
          </cell>
          <cell r="D10215">
            <v>7500</v>
          </cell>
        </row>
        <row r="10216">
          <cell r="A10216">
            <v>45705</v>
          </cell>
          <cell r="B10216" t="str">
            <v>Xà Lách Lolo Xanh T.C Cây</v>
          </cell>
          <cell r="C10216" t="str">
            <v>Cây</v>
          </cell>
          <cell r="D10216">
            <v>6800</v>
          </cell>
        </row>
        <row r="10217">
          <cell r="A10217">
            <v>45705</v>
          </cell>
          <cell r="B10217" t="str">
            <v>Xà Lách Mỡ T.C</v>
          </cell>
          <cell r="C10217" t="str">
            <v>Kg</v>
          </cell>
          <cell r="D10217">
            <v>28000</v>
          </cell>
        </row>
        <row r="10218">
          <cell r="A10218">
            <v>45705</v>
          </cell>
          <cell r="B10218" t="str">
            <v>Xà Lách Thủy Tinh T.C Cây</v>
          </cell>
          <cell r="C10218" t="str">
            <v>Cây</v>
          </cell>
          <cell r="D10218">
            <v>6800</v>
          </cell>
        </row>
        <row r="10219">
          <cell r="A10219">
            <v>45705</v>
          </cell>
          <cell r="B10219" t="str">
            <v>Cà Rốt Baby</v>
          </cell>
          <cell r="C10219" t="str">
            <v>Vỉ</v>
          </cell>
          <cell r="D10219">
            <v>5500</v>
          </cell>
        </row>
        <row r="10220">
          <cell r="A10220">
            <v>45705</v>
          </cell>
          <cell r="B10220" t="str">
            <v>Cải Kale</v>
          </cell>
          <cell r="C10220" t="str">
            <v>Túi</v>
          </cell>
          <cell r="D10220">
            <v>3300</v>
          </cell>
        </row>
        <row r="10221">
          <cell r="A10221">
            <v>45705</v>
          </cell>
          <cell r="B10221" t="str">
            <v>Cải Kale</v>
          </cell>
          <cell r="C10221" t="str">
            <v>Túi 150gr</v>
          </cell>
          <cell r="D10221">
            <v>1900</v>
          </cell>
        </row>
        <row r="10222">
          <cell r="A10222">
            <v>45705</v>
          </cell>
          <cell r="B10222" t="str">
            <v>Cải Cầu Vồng</v>
          </cell>
          <cell r="C10222" t="str">
            <v>Túi</v>
          </cell>
          <cell r="D10222">
            <v>3000</v>
          </cell>
        </row>
        <row r="10223">
          <cell r="A10223">
            <v>45705</v>
          </cell>
          <cell r="B10223" t="str">
            <v>Lá Mè</v>
          </cell>
          <cell r="C10223" t="str">
            <v>Túi</v>
          </cell>
          <cell r="D10223">
            <v>3000</v>
          </cell>
        </row>
        <row r="10224">
          <cell r="A10224">
            <v>45705</v>
          </cell>
          <cell r="B10224" t="str">
            <v>Dưa Leo Baby</v>
          </cell>
          <cell r="C10224" t="str">
            <v>Vỉ</v>
          </cell>
          <cell r="D10224">
            <v>8000</v>
          </cell>
        </row>
        <row r="10225">
          <cell r="A10225">
            <v>45705</v>
          </cell>
          <cell r="B10225" t="str">
            <v>Bông Cải Xanh Baby</v>
          </cell>
          <cell r="C10225" t="str">
            <v>Vỉ</v>
          </cell>
          <cell r="D10225">
            <v>6000</v>
          </cell>
        </row>
        <row r="10226">
          <cell r="A10226">
            <v>45705</v>
          </cell>
          <cell r="B10226" t="str">
            <v>Cà Chua Beef Trung</v>
          </cell>
          <cell r="C10226" t="str">
            <v>Vỉ 500gr</v>
          </cell>
          <cell r="D10226">
            <v>6500</v>
          </cell>
        </row>
        <row r="10227">
          <cell r="A10227">
            <v>45705</v>
          </cell>
          <cell r="B10227" t="str">
            <v>Củ Cải Đỏ</v>
          </cell>
          <cell r="C10227" t="str">
            <v>Hộp</v>
          </cell>
          <cell r="D10227">
            <v>10000</v>
          </cell>
        </row>
        <row r="10228">
          <cell r="A10228">
            <v>45705</v>
          </cell>
          <cell r="B10228" t="str">
            <v>Ớt Sweet Palemo</v>
          </cell>
          <cell r="C10228" t="str">
            <v>Túi</v>
          </cell>
          <cell r="D10228">
            <v>17000</v>
          </cell>
        </row>
        <row r="10229">
          <cell r="A10229">
            <v>45705</v>
          </cell>
          <cell r="B10229" t="str">
            <v>Xà Lách Lolo Tím</v>
          </cell>
          <cell r="C10229" t="str">
            <v>Kg</v>
          </cell>
          <cell r="D10229">
            <v>20000</v>
          </cell>
        </row>
        <row r="10230">
          <cell r="A10230">
            <v>45705</v>
          </cell>
          <cell r="B10230" t="str">
            <v>Lá Tía Tô</v>
          </cell>
          <cell r="C10230" t="str">
            <v>Kg</v>
          </cell>
          <cell r="D10230">
            <v>25000</v>
          </cell>
        </row>
        <row r="10231">
          <cell r="A10231">
            <v>45705</v>
          </cell>
          <cell r="B10231" t="str">
            <v>Xà Lách Romaine</v>
          </cell>
          <cell r="C10231" t="str">
            <v>Kg</v>
          </cell>
          <cell r="D10231">
            <v>15000</v>
          </cell>
        </row>
        <row r="10232">
          <cell r="A10232">
            <v>45705</v>
          </cell>
          <cell r="B10232" t="str">
            <v>Cà Chua Beef Trung</v>
          </cell>
          <cell r="C10232" t="str">
            <v>Kg</v>
          </cell>
          <cell r="D10232">
            <v>12000</v>
          </cell>
        </row>
        <row r="10233">
          <cell r="A10233">
            <v>45705</v>
          </cell>
          <cell r="B10233" t="str">
            <v>Xà Lách Lolo Xanh</v>
          </cell>
          <cell r="C10233" t="str">
            <v>Kg</v>
          </cell>
          <cell r="D10233">
            <v>7000</v>
          </cell>
        </row>
        <row r="10234">
          <cell r="A10234">
            <v>45705</v>
          </cell>
          <cell r="B10234" t="str">
            <v>Bắp Cải Tím</v>
          </cell>
          <cell r="C10234" t="str">
            <v>Kg</v>
          </cell>
          <cell r="D10234">
            <v>16000</v>
          </cell>
        </row>
        <row r="10235">
          <cell r="A10235">
            <v>45705</v>
          </cell>
          <cell r="B10235" t="str">
            <v>Cà Chua Bi Đỏ</v>
          </cell>
          <cell r="C10235" t="str">
            <v>Hộp 500gr</v>
          </cell>
          <cell r="D10235">
            <v>10000</v>
          </cell>
        </row>
        <row r="10236">
          <cell r="A10236">
            <v>45705</v>
          </cell>
          <cell r="B10236" t="str">
            <v>Cà Chua Bi Đỏ</v>
          </cell>
          <cell r="C10236" t="str">
            <v>Hộp 300gr</v>
          </cell>
          <cell r="D10236">
            <v>6000</v>
          </cell>
        </row>
        <row r="10237">
          <cell r="A10237">
            <v>45705</v>
          </cell>
          <cell r="B10237" t="str">
            <v>CT - BÍ NGÒI XANH</v>
          </cell>
          <cell r="C10237" t="str">
            <v>Kg</v>
          </cell>
          <cell r="D10237">
            <v>15000</v>
          </cell>
        </row>
        <row r="10238">
          <cell r="A10238">
            <v>45705</v>
          </cell>
          <cell r="B10238" t="str">
            <v>Xà Lách Mỡ T.C</v>
          </cell>
          <cell r="C10238" t="str">
            <v>Kg</v>
          </cell>
          <cell r="D10238">
            <v>26000</v>
          </cell>
        </row>
        <row r="10239">
          <cell r="A10239">
            <v>45705</v>
          </cell>
          <cell r="B10239" t="str">
            <v>Xà Lách Lolo Xanh T.C</v>
          </cell>
          <cell r="C10239" t="str">
            <v>Kg</v>
          </cell>
          <cell r="D10239">
            <v>26000</v>
          </cell>
        </row>
        <row r="10240">
          <cell r="A10240">
            <v>45705</v>
          </cell>
          <cell r="B10240" t="str">
            <v>Xà Lách Thủy Tinh T.C Cây</v>
          </cell>
          <cell r="C10240" t="str">
            <v>Cây</v>
          </cell>
          <cell r="D10240">
            <v>7500</v>
          </cell>
        </row>
        <row r="10241">
          <cell r="A10241">
            <v>45705</v>
          </cell>
          <cell r="B10241" t="str">
            <v>Bí Non Nhật</v>
          </cell>
          <cell r="C10241" t="str">
            <v>Kg</v>
          </cell>
          <cell r="D10241">
            <v>10000</v>
          </cell>
        </row>
        <row r="10242">
          <cell r="A10242">
            <v>45705</v>
          </cell>
          <cell r="B10242" t="str">
            <v>Cà Tím</v>
          </cell>
          <cell r="C10242" t="str">
            <v>Kg</v>
          </cell>
          <cell r="D10242">
            <v>8000</v>
          </cell>
        </row>
        <row r="10243">
          <cell r="A10243">
            <v>45705</v>
          </cell>
          <cell r="B10243" t="str">
            <v>Dưa Leo Baby</v>
          </cell>
          <cell r="C10243" t="str">
            <v>Vỉ</v>
          </cell>
          <cell r="D10243">
            <v>8000</v>
          </cell>
        </row>
        <row r="10244">
          <cell r="A10244">
            <v>45705</v>
          </cell>
          <cell r="B10244" t="str">
            <v>Bắp Cải Tím</v>
          </cell>
          <cell r="C10244" t="str">
            <v>Kg</v>
          </cell>
          <cell r="D10244">
            <v>16000</v>
          </cell>
        </row>
        <row r="10245">
          <cell r="A10245">
            <v>45705</v>
          </cell>
          <cell r="B10245" t="str">
            <v>Đậu Cove Nhật</v>
          </cell>
          <cell r="C10245" t="str">
            <v>Túi</v>
          </cell>
          <cell r="D10245">
            <v>6500</v>
          </cell>
        </row>
        <row r="10246">
          <cell r="A10246">
            <v>45705</v>
          </cell>
          <cell r="B10246" t="str">
            <v>Đậu Cove Trắng</v>
          </cell>
          <cell r="C10246" t="str">
            <v>Túi 500gr</v>
          </cell>
          <cell r="D10246">
            <v>7000</v>
          </cell>
        </row>
        <row r="10247">
          <cell r="A10247">
            <v>45705</v>
          </cell>
          <cell r="B10247" t="str">
            <v>Đậu Cove Trắng</v>
          </cell>
          <cell r="C10247" t="str">
            <v>Túi 300gr</v>
          </cell>
          <cell r="D10247">
            <v>4500</v>
          </cell>
        </row>
        <row r="10248">
          <cell r="A10248">
            <v>45705</v>
          </cell>
          <cell r="B10248" t="str">
            <v>Đậu Cove Trắng</v>
          </cell>
          <cell r="C10248" t="str">
            <v>Túi 500gr</v>
          </cell>
          <cell r="D10248">
            <v>7000</v>
          </cell>
        </row>
        <row r="10249">
          <cell r="A10249">
            <v>45705</v>
          </cell>
          <cell r="B10249" t="str">
            <v>Bí Non Nhật</v>
          </cell>
          <cell r="C10249" t="str">
            <v>Kg</v>
          </cell>
          <cell r="D10249">
            <v>18000</v>
          </cell>
        </row>
        <row r="10250">
          <cell r="A10250">
            <v>45705</v>
          </cell>
          <cell r="B10250" t="str">
            <v>Dưa Leo Thường</v>
          </cell>
          <cell r="C10250" t="str">
            <v>Kg</v>
          </cell>
          <cell r="D10250">
            <v>13000</v>
          </cell>
        </row>
        <row r="10251">
          <cell r="A10251">
            <v>45705</v>
          </cell>
          <cell r="B10251" t="str">
            <v>Dưa Leo Nhật</v>
          </cell>
          <cell r="C10251" t="str">
            <v>Kg</v>
          </cell>
          <cell r="D10251">
            <v>16000</v>
          </cell>
        </row>
        <row r="10252">
          <cell r="A10252">
            <v>45706</v>
          </cell>
          <cell r="B10252" t="str">
            <v>Cà Chua Beef Chùm</v>
          </cell>
          <cell r="C10252" t="str">
            <v>Kg</v>
          </cell>
          <cell r="D10252">
            <v>15000</v>
          </cell>
        </row>
        <row r="10253">
          <cell r="A10253">
            <v>45706</v>
          </cell>
          <cell r="B10253" t="str">
            <v>Cà Chua Beef</v>
          </cell>
          <cell r="C10253" t="str">
            <v>Kg</v>
          </cell>
          <cell r="D10253">
            <v>12000</v>
          </cell>
        </row>
        <row r="10254">
          <cell r="A10254">
            <v>45706</v>
          </cell>
          <cell r="B10254" t="str">
            <v>Cà Chua Beef</v>
          </cell>
          <cell r="C10254" t="str">
            <v>Vỉ 650gr</v>
          </cell>
          <cell r="D10254">
            <v>11050</v>
          </cell>
        </row>
        <row r="10255">
          <cell r="A10255">
            <v>45706</v>
          </cell>
          <cell r="B10255" t="str">
            <v>Cà Chua Beef Trung</v>
          </cell>
          <cell r="C10255" t="str">
            <v>Vỉ 500gr</v>
          </cell>
          <cell r="D10255">
            <v>7000</v>
          </cell>
        </row>
        <row r="10256">
          <cell r="A10256">
            <v>45706</v>
          </cell>
          <cell r="B10256" t="str">
            <v>Cà Chua Beef Trung</v>
          </cell>
          <cell r="C10256" t="str">
            <v>Kg</v>
          </cell>
          <cell r="D10256">
            <v>12000</v>
          </cell>
        </row>
        <row r="10257">
          <cell r="A10257">
            <v>45706</v>
          </cell>
          <cell r="B10257" t="str">
            <v>Cà Chua Thường</v>
          </cell>
          <cell r="C10257" t="str">
            <v>Kg</v>
          </cell>
          <cell r="D10257">
            <v>11000</v>
          </cell>
        </row>
        <row r="10258">
          <cell r="A10258">
            <v>45706</v>
          </cell>
          <cell r="B10258" t="str">
            <v>Cà Chua Thường Trung</v>
          </cell>
          <cell r="C10258" t="str">
            <v>Kg</v>
          </cell>
          <cell r="D10258">
            <v>8000</v>
          </cell>
        </row>
        <row r="10259">
          <cell r="A10259">
            <v>45706</v>
          </cell>
          <cell r="B10259" t="str">
            <v>Cà Chua Bi Mix</v>
          </cell>
          <cell r="C10259" t="str">
            <v>Hộp</v>
          </cell>
          <cell r="D10259">
            <v>10200</v>
          </cell>
        </row>
        <row r="10260">
          <cell r="A10260">
            <v>45706</v>
          </cell>
          <cell r="B10260" t="str">
            <v>Cải Kale</v>
          </cell>
          <cell r="C10260" t="str">
            <v>Túi</v>
          </cell>
          <cell r="D10260">
            <v>4200</v>
          </cell>
        </row>
        <row r="10261">
          <cell r="A10261">
            <v>45706</v>
          </cell>
          <cell r="B10261" t="str">
            <v>Chanh Không Hạt</v>
          </cell>
          <cell r="C10261" t="str">
            <v>Vỉ</v>
          </cell>
          <cell r="D10261">
            <v>7500</v>
          </cell>
        </row>
        <row r="10262">
          <cell r="A10262">
            <v>45706</v>
          </cell>
          <cell r="B10262" t="str">
            <v>Cải Bó Xôi</v>
          </cell>
          <cell r="C10262" t="str">
            <v>Túi</v>
          </cell>
          <cell r="D10262">
            <v>5100</v>
          </cell>
        </row>
        <row r="10263">
          <cell r="A10263">
            <v>45706</v>
          </cell>
          <cell r="B10263" t="str">
            <v>Bắp Cải Trái Tim</v>
          </cell>
          <cell r="C10263" t="str">
            <v>Kg</v>
          </cell>
          <cell r="D10263">
            <v>5000</v>
          </cell>
        </row>
        <row r="10264">
          <cell r="A10264">
            <v>45706</v>
          </cell>
          <cell r="B10264" t="str">
            <v>Đậu Đỏ</v>
          </cell>
          <cell r="C10264" t="str">
            <v>Kg</v>
          </cell>
          <cell r="D10264">
            <v>80000</v>
          </cell>
        </row>
        <row r="10265">
          <cell r="A10265">
            <v>45706</v>
          </cell>
          <cell r="B10265" t="str">
            <v>Cải Bó Xôi</v>
          </cell>
          <cell r="C10265" t="str">
            <v>Kg</v>
          </cell>
          <cell r="D10265">
            <v>12000</v>
          </cell>
        </row>
        <row r="10266">
          <cell r="A10266">
            <v>45706</v>
          </cell>
          <cell r="B10266" t="str">
            <v>Cần Tây</v>
          </cell>
          <cell r="C10266" t="str">
            <v>Kg</v>
          </cell>
          <cell r="D10266">
            <v>10000</v>
          </cell>
        </row>
        <row r="10267">
          <cell r="A10267">
            <v>45706</v>
          </cell>
          <cell r="B10267" t="str">
            <v>Cần Tây</v>
          </cell>
          <cell r="C10267" t="str">
            <v>Kg</v>
          </cell>
          <cell r="D10267">
            <v>11000</v>
          </cell>
        </row>
        <row r="10268">
          <cell r="A10268">
            <v>45706</v>
          </cell>
          <cell r="B10268" t="str">
            <v>Ớt Sweet Palemo</v>
          </cell>
          <cell r="C10268" t="str">
            <v>Túi</v>
          </cell>
          <cell r="D10268">
            <v>18000</v>
          </cell>
        </row>
        <row r="10269">
          <cell r="A10269">
            <v>45706</v>
          </cell>
          <cell r="B10269" t="str">
            <v>Rau Bầu Đất</v>
          </cell>
          <cell r="C10269" t="str">
            <v>Kg</v>
          </cell>
          <cell r="D10269">
            <v>35000</v>
          </cell>
        </row>
        <row r="10270">
          <cell r="A10270">
            <v>45706</v>
          </cell>
          <cell r="B10270" t="str">
            <v>Hành Paro</v>
          </cell>
          <cell r="C10270" t="str">
            <v>Kg</v>
          </cell>
          <cell r="D10270">
            <v>11500</v>
          </cell>
        </row>
        <row r="10271">
          <cell r="A10271">
            <v>45706</v>
          </cell>
          <cell r="B10271" t="str">
            <v>Xà Lách Mỹ</v>
          </cell>
          <cell r="C10271" t="str">
            <v>Kg</v>
          </cell>
          <cell r="D10271">
            <v>12000</v>
          </cell>
        </row>
        <row r="10272">
          <cell r="A10272">
            <v>45706</v>
          </cell>
          <cell r="B10272" t="str">
            <v>Củ Su Hào</v>
          </cell>
          <cell r="C10272" t="str">
            <v>Kg</v>
          </cell>
          <cell r="D10272">
            <v>8000</v>
          </cell>
        </row>
        <row r="10273">
          <cell r="A10273">
            <v>45706</v>
          </cell>
          <cell r="B10273" t="str">
            <v>Xà Lách Mỡ T.C</v>
          </cell>
          <cell r="C10273" t="str">
            <v>Kg</v>
          </cell>
          <cell r="D10273">
            <v>24000</v>
          </cell>
        </row>
        <row r="10274">
          <cell r="A10274">
            <v>45706</v>
          </cell>
          <cell r="B10274" t="str">
            <v>Xà Lách Thủy Tinh T.C</v>
          </cell>
          <cell r="C10274" t="str">
            <v>Kg</v>
          </cell>
          <cell r="D10274">
            <v>25000</v>
          </cell>
        </row>
        <row r="10275">
          <cell r="A10275">
            <v>45706</v>
          </cell>
          <cell r="B10275" t="str">
            <v>Xà Lách Lolo Xanh T.C</v>
          </cell>
          <cell r="C10275" t="str">
            <v>Kg</v>
          </cell>
          <cell r="D10275">
            <v>21000</v>
          </cell>
        </row>
        <row r="10276">
          <cell r="A10276">
            <v>45706</v>
          </cell>
          <cell r="B10276" t="str">
            <v>Củ Khoai Lang Nhật</v>
          </cell>
          <cell r="C10276" t="str">
            <v>Kg</v>
          </cell>
          <cell r="D10276">
            <v>16000</v>
          </cell>
        </row>
        <row r="10277">
          <cell r="A10277">
            <v>45706</v>
          </cell>
          <cell r="B10277" t="str">
            <v>Cà Rốt</v>
          </cell>
          <cell r="C10277" t="str">
            <v>Kg</v>
          </cell>
          <cell r="D10277">
            <v>7000</v>
          </cell>
        </row>
        <row r="10278">
          <cell r="A10278">
            <v>45706</v>
          </cell>
          <cell r="B10278" t="str">
            <v>Bí Ngòi Xanh</v>
          </cell>
          <cell r="C10278" t="str">
            <v>Kg</v>
          </cell>
          <cell r="D10278">
            <v>15500</v>
          </cell>
        </row>
        <row r="10279">
          <cell r="A10279">
            <v>45706</v>
          </cell>
          <cell r="B10279" t="str">
            <v>Cà Chua Socola</v>
          </cell>
          <cell r="C10279" t="str">
            <v>Hộp 250GR</v>
          </cell>
          <cell r="D10279">
            <v>7500</v>
          </cell>
        </row>
        <row r="10280">
          <cell r="A10280">
            <v>45706</v>
          </cell>
          <cell r="B10280" t="str">
            <v>Dưa Leo Baby</v>
          </cell>
          <cell r="C10280" t="str">
            <v>Vỉ</v>
          </cell>
          <cell r="D10280">
            <v>7000</v>
          </cell>
        </row>
        <row r="10281">
          <cell r="A10281">
            <v>45706</v>
          </cell>
          <cell r="B10281" t="str">
            <v>Củ Hành Tây</v>
          </cell>
          <cell r="C10281" t="str">
            <v>Kg</v>
          </cell>
          <cell r="D10281">
            <v>8000</v>
          </cell>
        </row>
        <row r="10282">
          <cell r="A10282">
            <v>45706</v>
          </cell>
          <cell r="B10282" t="str">
            <v>Củ Hành Tây Trung</v>
          </cell>
          <cell r="C10282" t="str">
            <v>Kg</v>
          </cell>
          <cell r="D10282">
            <v>6000</v>
          </cell>
        </row>
        <row r="10283">
          <cell r="A10283">
            <v>45706</v>
          </cell>
          <cell r="B10283" t="str">
            <v>Củ Khoai Tây Vàng</v>
          </cell>
          <cell r="C10283" t="str">
            <v>Kg</v>
          </cell>
          <cell r="D10283">
            <v>12500</v>
          </cell>
        </row>
        <row r="10284">
          <cell r="A10284">
            <v>45706</v>
          </cell>
          <cell r="B10284" t="str">
            <v>Xà Lách Thủy Tinh T.C Cây</v>
          </cell>
          <cell r="C10284" t="str">
            <v>Cây</v>
          </cell>
          <cell r="D10284">
            <v>6800</v>
          </cell>
        </row>
        <row r="10285">
          <cell r="A10285">
            <v>45706</v>
          </cell>
          <cell r="B10285" t="str">
            <v>Xà Lách Lolo Xanh T.C Cây</v>
          </cell>
          <cell r="C10285" t="str">
            <v>Cây</v>
          </cell>
          <cell r="D10285">
            <v>6800</v>
          </cell>
        </row>
        <row r="10286">
          <cell r="A10286">
            <v>45706</v>
          </cell>
          <cell r="B10286" t="str">
            <v>Xà Lách Mỡ T.C</v>
          </cell>
          <cell r="C10286" t="str">
            <v>Kg</v>
          </cell>
          <cell r="D10286">
            <v>28000</v>
          </cell>
        </row>
        <row r="10287">
          <cell r="A10287">
            <v>45706</v>
          </cell>
          <cell r="B10287" t="str">
            <v>Xà Lách Thủy Tinh T.C Cây</v>
          </cell>
          <cell r="C10287" t="str">
            <v>Cây</v>
          </cell>
          <cell r="D10287">
            <v>6800</v>
          </cell>
        </row>
        <row r="10288">
          <cell r="A10288">
            <v>45706</v>
          </cell>
          <cell r="B10288" t="str">
            <v>Cải Kale</v>
          </cell>
          <cell r="C10288" t="str">
            <v>Túi</v>
          </cell>
          <cell r="D10288">
            <v>3900</v>
          </cell>
        </row>
        <row r="10289">
          <cell r="A10289">
            <v>45706</v>
          </cell>
          <cell r="B10289" t="str">
            <v>Lá Mè</v>
          </cell>
          <cell r="C10289" t="str">
            <v>Túi</v>
          </cell>
          <cell r="D10289">
            <v>2700</v>
          </cell>
        </row>
        <row r="10290">
          <cell r="A10290">
            <v>45706</v>
          </cell>
          <cell r="B10290" t="str">
            <v>Cà Chua Beef</v>
          </cell>
          <cell r="C10290" t="str">
            <v>Kg</v>
          </cell>
          <cell r="D10290">
            <v>12000</v>
          </cell>
        </row>
        <row r="10291">
          <cell r="A10291">
            <v>45706</v>
          </cell>
          <cell r="B10291" t="str">
            <v>Bông Cải Trắng</v>
          </cell>
          <cell r="C10291" t="str">
            <v>Kg</v>
          </cell>
          <cell r="D10291">
            <v>12000</v>
          </cell>
        </row>
        <row r="10292">
          <cell r="A10292">
            <v>45706</v>
          </cell>
          <cell r="B10292" t="str">
            <v>Trái Mít Thái</v>
          </cell>
          <cell r="C10292" t="str">
            <v>Kg</v>
          </cell>
          <cell r="D10292">
            <v>20490</v>
          </cell>
        </row>
        <row r="10293">
          <cell r="A10293">
            <v>45706</v>
          </cell>
          <cell r="B10293" t="str">
            <v>Củ Dền</v>
          </cell>
          <cell r="C10293" t="str">
            <v>Kg</v>
          </cell>
          <cell r="D10293">
            <v>9000</v>
          </cell>
        </row>
        <row r="10294">
          <cell r="A10294">
            <v>45706</v>
          </cell>
          <cell r="B10294" t="str">
            <v>Bắp Cải Tím</v>
          </cell>
          <cell r="C10294" t="str">
            <v>Kg</v>
          </cell>
          <cell r="D10294">
            <v>16000</v>
          </cell>
        </row>
        <row r="10295">
          <cell r="A10295">
            <v>45706</v>
          </cell>
          <cell r="B10295" t="str">
            <v>Ớt Chuông Đỏ</v>
          </cell>
          <cell r="C10295" t="str">
            <v>Kg</v>
          </cell>
          <cell r="D10295">
            <v>26000</v>
          </cell>
        </row>
        <row r="10296">
          <cell r="A10296">
            <v>45706</v>
          </cell>
          <cell r="B10296" t="str">
            <v>Ớt Chuông Vàng</v>
          </cell>
          <cell r="C10296" t="str">
            <v>Kg</v>
          </cell>
          <cell r="D10296">
            <v>35000</v>
          </cell>
        </row>
        <row r="10297">
          <cell r="A10297">
            <v>45706</v>
          </cell>
          <cell r="B10297" t="str">
            <v>Ớt Chuông Xanh</v>
          </cell>
          <cell r="C10297" t="str">
            <v>Kg</v>
          </cell>
          <cell r="D10297">
            <v>30000</v>
          </cell>
        </row>
        <row r="10298">
          <cell r="A10298">
            <v>45706</v>
          </cell>
          <cell r="B10298" t="str">
            <v>Ớt Chuông Đỏ Trung</v>
          </cell>
          <cell r="C10298" t="str">
            <v>Kg</v>
          </cell>
          <cell r="D10298">
            <v>21000</v>
          </cell>
        </row>
        <row r="10299">
          <cell r="A10299">
            <v>45706</v>
          </cell>
          <cell r="B10299" t="str">
            <v>Củ Khoai Tây Vàng Trung</v>
          </cell>
          <cell r="C10299" t="str">
            <v>Kg</v>
          </cell>
          <cell r="D10299">
            <v>30000</v>
          </cell>
        </row>
        <row r="10300">
          <cell r="A10300">
            <v>45706</v>
          </cell>
          <cell r="B10300" t="str">
            <v>Ớt Chuông Xanh Trung</v>
          </cell>
          <cell r="C10300" t="str">
            <v>Kg</v>
          </cell>
          <cell r="D10300">
            <v>25000</v>
          </cell>
        </row>
        <row r="10301">
          <cell r="A10301">
            <v>45706</v>
          </cell>
          <cell r="B10301" t="str">
            <v>Ớt Chuông Snack</v>
          </cell>
          <cell r="C10301" t="str">
            <v>Kg</v>
          </cell>
          <cell r="D10301">
            <v>55000</v>
          </cell>
        </row>
        <row r="10302">
          <cell r="A10302">
            <v>45706</v>
          </cell>
          <cell r="B10302" t="str">
            <v>Ớt Chuông Baby</v>
          </cell>
          <cell r="C10302" t="str">
            <v>Kg</v>
          </cell>
          <cell r="D10302">
            <v>42000</v>
          </cell>
        </row>
        <row r="10303">
          <cell r="A10303">
            <v>45706</v>
          </cell>
          <cell r="B10303" t="str">
            <v>Cà Rốt</v>
          </cell>
          <cell r="C10303" t="str">
            <v>Kg</v>
          </cell>
          <cell r="D10303">
            <v>6800</v>
          </cell>
        </row>
        <row r="10304">
          <cell r="A10304">
            <v>45706</v>
          </cell>
          <cell r="B10304" t="str">
            <v>Bí Đỏ Hồ Lô</v>
          </cell>
          <cell r="C10304" t="str">
            <v>Kg</v>
          </cell>
          <cell r="D10304">
            <v>7500</v>
          </cell>
        </row>
        <row r="10305">
          <cell r="A10305">
            <v>45706</v>
          </cell>
          <cell r="B10305" t="str">
            <v>Củ Gừng</v>
          </cell>
          <cell r="C10305" t="str">
            <v>Kg</v>
          </cell>
          <cell r="D10305">
            <v>19000</v>
          </cell>
        </row>
        <row r="10306">
          <cell r="A10306">
            <v>45706</v>
          </cell>
          <cell r="B10306" t="str">
            <v>Chuối Laba</v>
          </cell>
          <cell r="C10306" t="str">
            <v>Kg</v>
          </cell>
          <cell r="D10306">
            <v>14000</v>
          </cell>
        </row>
        <row r="10307">
          <cell r="A10307">
            <v>45706</v>
          </cell>
          <cell r="B10307" t="str">
            <v>Lá Nha Đam</v>
          </cell>
          <cell r="C10307" t="str">
            <v>Kg</v>
          </cell>
          <cell r="D10307">
            <v>14000</v>
          </cell>
        </row>
        <row r="10308">
          <cell r="A10308">
            <v>45706</v>
          </cell>
          <cell r="B10308" t="str">
            <v>Trái Su Su</v>
          </cell>
          <cell r="C10308" t="str">
            <v>Kg</v>
          </cell>
          <cell r="D10308">
            <v>4500</v>
          </cell>
        </row>
        <row r="10309">
          <cell r="A10309">
            <v>45706</v>
          </cell>
          <cell r="B10309" t="str">
            <v>Trái Su Su</v>
          </cell>
          <cell r="C10309" t="str">
            <v>Kg</v>
          </cell>
          <cell r="D10309">
            <v>3000</v>
          </cell>
        </row>
        <row r="10310">
          <cell r="A10310">
            <v>45706</v>
          </cell>
          <cell r="B10310" t="str">
            <v>Dưa Leo Baby</v>
          </cell>
          <cell r="C10310" t="str">
            <v>Kg</v>
          </cell>
          <cell r="D10310">
            <v>10000</v>
          </cell>
        </row>
        <row r="10311">
          <cell r="A10311">
            <v>45706</v>
          </cell>
          <cell r="B10311" t="str">
            <v>Dưa Leo Baby</v>
          </cell>
          <cell r="C10311" t="str">
            <v>Kg</v>
          </cell>
          <cell r="D10311">
            <v>9500</v>
          </cell>
        </row>
        <row r="10312">
          <cell r="A10312">
            <v>45706</v>
          </cell>
          <cell r="B10312" t="str">
            <v>Gia Công Rau Củ Quả</v>
          </cell>
          <cell r="C10312" t="str">
            <v>Kg</v>
          </cell>
          <cell r="D10312">
            <v>1700</v>
          </cell>
        </row>
        <row r="10313">
          <cell r="A10313">
            <v>45706</v>
          </cell>
          <cell r="B10313" t="str">
            <v>Gia Công Rau Củ Quả</v>
          </cell>
          <cell r="C10313" t="str">
            <v>Kg</v>
          </cell>
          <cell r="D10313">
            <v>1000</v>
          </cell>
        </row>
        <row r="10314">
          <cell r="A10314">
            <v>45706</v>
          </cell>
          <cell r="B10314" t="str">
            <v>Măng Tây</v>
          </cell>
          <cell r="C10314" t="str">
            <v>Kg</v>
          </cell>
          <cell r="D10314">
            <v>47000</v>
          </cell>
        </row>
        <row r="10315">
          <cell r="A10315">
            <v>45706</v>
          </cell>
          <cell r="B10315" t="str">
            <v>Lá É</v>
          </cell>
          <cell r="C10315" t="str">
            <v>Kg</v>
          </cell>
          <cell r="D10315">
            <v>27000</v>
          </cell>
        </row>
        <row r="10316">
          <cell r="A10316">
            <v>45706</v>
          </cell>
          <cell r="B10316" t="str">
            <v>Xà Lách Mỡ T.C</v>
          </cell>
          <cell r="C10316" t="str">
            <v>Kg</v>
          </cell>
          <cell r="D10316">
            <v>26000</v>
          </cell>
        </row>
        <row r="10317">
          <cell r="A10317">
            <v>45706</v>
          </cell>
          <cell r="B10317" t="str">
            <v>Xà Lách Lolo Xanh T.C</v>
          </cell>
          <cell r="C10317" t="str">
            <v>Kg</v>
          </cell>
          <cell r="D10317">
            <v>26000</v>
          </cell>
        </row>
        <row r="10318">
          <cell r="A10318">
            <v>45706</v>
          </cell>
          <cell r="B10318" t="str">
            <v>Xà Lách Thủy Tinh T.C Cây</v>
          </cell>
          <cell r="C10318" t="str">
            <v>Cây</v>
          </cell>
          <cell r="D10318">
            <v>7500</v>
          </cell>
        </row>
        <row r="10319">
          <cell r="A10319">
            <v>45706</v>
          </cell>
          <cell r="B10319" t="str">
            <v>Trái Khổ Qua</v>
          </cell>
          <cell r="C10319" t="str">
            <v>Kg</v>
          </cell>
          <cell r="D10319">
            <v>12000</v>
          </cell>
        </row>
        <row r="10320">
          <cell r="A10320">
            <v>45706</v>
          </cell>
          <cell r="B10320" t="str">
            <v>Bí Đao Xanh</v>
          </cell>
          <cell r="C10320" t="str">
            <v>Kg</v>
          </cell>
          <cell r="D10320">
            <v>12000</v>
          </cell>
        </row>
        <row r="10321">
          <cell r="A10321">
            <v>45706</v>
          </cell>
          <cell r="B10321" t="str">
            <v>Cà Chua Bi Đỏ</v>
          </cell>
          <cell r="C10321" t="str">
            <v>Hộp 500gr</v>
          </cell>
          <cell r="D10321">
            <v>10000</v>
          </cell>
        </row>
        <row r="10322">
          <cell r="A10322">
            <v>45706</v>
          </cell>
          <cell r="B10322" t="str">
            <v>Cà Chua Bi Đỏ</v>
          </cell>
          <cell r="C10322" t="str">
            <v>Hộp 300gr</v>
          </cell>
          <cell r="D10322">
            <v>6000</v>
          </cell>
        </row>
        <row r="10323">
          <cell r="A10323">
            <v>45706</v>
          </cell>
          <cell r="B10323" t="str">
            <v>Củ Cải Trắng</v>
          </cell>
          <cell r="C10323" t="str">
            <v>Kg</v>
          </cell>
          <cell r="D10323">
            <v>4000</v>
          </cell>
        </row>
        <row r="10324">
          <cell r="A10324">
            <v>45706</v>
          </cell>
          <cell r="B10324" t="str">
            <v>Cà Chua Thường</v>
          </cell>
          <cell r="C10324" t="str">
            <v>Kg</v>
          </cell>
          <cell r="D10324">
            <v>21000</v>
          </cell>
        </row>
        <row r="10325">
          <cell r="A10325">
            <v>45706</v>
          </cell>
          <cell r="B10325" t="str">
            <v>Cà Chua Thường Trung</v>
          </cell>
          <cell r="C10325" t="str">
            <v>Kg</v>
          </cell>
          <cell r="D10325">
            <v>16000</v>
          </cell>
        </row>
        <row r="10326">
          <cell r="A10326">
            <v>45706</v>
          </cell>
          <cell r="B10326" t="str">
            <v>Bí Non Nhật</v>
          </cell>
          <cell r="C10326" t="str">
            <v>Kg</v>
          </cell>
          <cell r="D10326">
            <v>10000</v>
          </cell>
        </row>
        <row r="10327">
          <cell r="A10327">
            <v>45706</v>
          </cell>
          <cell r="B10327" t="str">
            <v>Cà Tím</v>
          </cell>
          <cell r="C10327" t="str">
            <v>Kg</v>
          </cell>
          <cell r="D10327">
            <v>8000</v>
          </cell>
        </row>
        <row r="10328">
          <cell r="A10328">
            <v>45706</v>
          </cell>
          <cell r="B10328" t="str">
            <v>Bí Đỏ Hồ Lô</v>
          </cell>
          <cell r="C10328" t="str">
            <v>Kg</v>
          </cell>
          <cell r="D10328">
            <v>7000</v>
          </cell>
        </row>
        <row r="10329">
          <cell r="A10329">
            <v>45706</v>
          </cell>
          <cell r="B10329" t="str">
            <v>Củ Khoai Mỡ</v>
          </cell>
          <cell r="C10329" t="str">
            <v>Kg</v>
          </cell>
          <cell r="D10329">
            <v>26000</v>
          </cell>
        </row>
        <row r="10330">
          <cell r="A10330">
            <v>45706</v>
          </cell>
          <cell r="B10330" t="str">
            <v>Đậu Cove Nhật</v>
          </cell>
          <cell r="C10330" t="str">
            <v>Túi</v>
          </cell>
          <cell r="D10330">
            <v>6000</v>
          </cell>
        </row>
        <row r="10331">
          <cell r="A10331">
            <v>45706</v>
          </cell>
          <cell r="B10331" t="str">
            <v>Đậu Cove Trắng</v>
          </cell>
          <cell r="C10331" t="str">
            <v>Túi 500gr</v>
          </cell>
          <cell r="D10331">
            <v>6500</v>
          </cell>
        </row>
        <row r="10332">
          <cell r="A10332">
            <v>45706</v>
          </cell>
          <cell r="B10332" t="str">
            <v>Đậu Cove Trắng</v>
          </cell>
          <cell r="C10332" t="str">
            <v>Túi 300gr</v>
          </cell>
          <cell r="D10332">
            <v>4500</v>
          </cell>
        </row>
        <row r="10333">
          <cell r="A10333">
            <v>45706</v>
          </cell>
          <cell r="B10333" t="str">
            <v>Bí Non Nhật</v>
          </cell>
          <cell r="C10333" t="str">
            <v>Kg</v>
          </cell>
          <cell r="D10333">
            <v>13500</v>
          </cell>
        </row>
        <row r="10334">
          <cell r="A10334">
            <v>45706</v>
          </cell>
          <cell r="B10334" t="str">
            <v>Dưa Leo Baby</v>
          </cell>
          <cell r="C10334" t="str">
            <v>Vỉ</v>
          </cell>
          <cell r="D10334">
            <v>7000</v>
          </cell>
        </row>
        <row r="10335">
          <cell r="A10335">
            <v>45706</v>
          </cell>
          <cell r="B10335" t="str">
            <v>Dưa Leo Nhật</v>
          </cell>
          <cell r="C10335" t="str">
            <v>Kg</v>
          </cell>
          <cell r="D10335">
            <v>16000</v>
          </cell>
        </row>
        <row r="10336">
          <cell r="A10336">
            <v>45706</v>
          </cell>
          <cell r="B10336" t="str">
            <v>Bí Non Nhật</v>
          </cell>
          <cell r="C10336" t="str">
            <v>Kg</v>
          </cell>
          <cell r="D10336">
            <v>17000</v>
          </cell>
        </row>
        <row r="10337">
          <cell r="A10337">
            <v>45706</v>
          </cell>
          <cell r="B10337" t="str">
            <v>Dưa Leo Thường</v>
          </cell>
          <cell r="C10337" t="str">
            <v>Kg</v>
          </cell>
          <cell r="D10337">
            <v>13000</v>
          </cell>
        </row>
        <row r="10338">
          <cell r="A10338">
            <v>45706</v>
          </cell>
          <cell r="B10338" t="str">
            <v>Đậu Cove Trắng</v>
          </cell>
          <cell r="C10338" t="str">
            <v>Túi 500gr</v>
          </cell>
          <cell r="D10338">
            <v>7000</v>
          </cell>
        </row>
        <row r="10339">
          <cell r="A10339">
            <v>45706</v>
          </cell>
          <cell r="B10339" t="str">
            <v>Cà Tím</v>
          </cell>
          <cell r="C10339" t="str">
            <v>Cặp</v>
          </cell>
          <cell r="D10339">
            <v>5500</v>
          </cell>
        </row>
        <row r="10340">
          <cell r="A10340">
            <v>45706</v>
          </cell>
          <cell r="B10340" t="str">
            <v>Bắp Cải Tím</v>
          </cell>
          <cell r="C10340" t="str">
            <v>Kg</v>
          </cell>
          <cell r="D10340">
            <v>16000</v>
          </cell>
        </row>
        <row r="10341">
          <cell r="A10341">
            <v>45706</v>
          </cell>
          <cell r="B10341" t="str">
            <v>Ớt Chuông Đỏ</v>
          </cell>
          <cell r="C10341" t="str">
            <v>Kg</v>
          </cell>
          <cell r="D10341">
            <v>24000</v>
          </cell>
        </row>
        <row r="10342">
          <cell r="A10342">
            <v>45706</v>
          </cell>
          <cell r="B10342" t="str">
            <v>Ớt Chuông Vàng</v>
          </cell>
          <cell r="C10342" t="str">
            <v>Kg</v>
          </cell>
          <cell r="D10342">
            <v>34000</v>
          </cell>
        </row>
        <row r="10343">
          <cell r="A10343">
            <v>45706</v>
          </cell>
          <cell r="B10343" t="str">
            <v>Cà Rốt Baby</v>
          </cell>
          <cell r="C10343" t="str">
            <v>Vỉ</v>
          </cell>
          <cell r="D10343">
            <v>5500</v>
          </cell>
        </row>
        <row r="10344">
          <cell r="A10344">
            <v>45706</v>
          </cell>
          <cell r="B10344" t="str">
            <v>Cải Kale</v>
          </cell>
          <cell r="C10344" t="str">
            <v>Túi</v>
          </cell>
          <cell r="D10344">
            <v>3300</v>
          </cell>
        </row>
        <row r="10345">
          <cell r="A10345">
            <v>45706</v>
          </cell>
          <cell r="B10345" t="str">
            <v>Cải Kale</v>
          </cell>
          <cell r="C10345" t="str">
            <v>Túi 150gr</v>
          </cell>
          <cell r="D10345">
            <v>2400</v>
          </cell>
        </row>
        <row r="10346">
          <cell r="A10346">
            <v>45706</v>
          </cell>
          <cell r="B10346" t="str">
            <v>Cải Cầu Vồng</v>
          </cell>
          <cell r="C10346" t="str">
            <v>Túi</v>
          </cell>
          <cell r="D10346">
            <v>3000</v>
          </cell>
        </row>
        <row r="10347">
          <cell r="A10347">
            <v>45706</v>
          </cell>
          <cell r="B10347" t="str">
            <v>Lá Mè</v>
          </cell>
          <cell r="C10347" t="str">
            <v>Túi</v>
          </cell>
          <cell r="D10347">
            <v>2800</v>
          </cell>
        </row>
        <row r="10348">
          <cell r="A10348">
            <v>45706</v>
          </cell>
          <cell r="B10348" t="str">
            <v>Dưa Leo Baby</v>
          </cell>
          <cell r="C10348" t="str">
            <v>Vỉ</v>
          </cell>
          <cell r="D10348">
            <v>8000</v>
          </cell>
        </row>
        <row r="10349">
          <cell r="A10349">
            <v>45706</v>
          </cell>
          <cell r="B10349" t="str">
            <v>Bông Cải Xanh Baby</v>
          </cell>
          <cell r="C10349" t="str">
            <v>Vỉ</v>
          </cell>
          <cell r="D10349">
            <v>6000</v>
          </cell>
        </row>
        <row r="10350">
          <cell r="A10350">
            <v>45706</v>
          </cell>
          <cell r="B10350" t="str">
            <v>Cà Chua Beef Trung</v>
          </cell>
          <cell r="C10350" t="str">
            <v>Vỉ 500gr</v>
          </cell>
          <cell r="D10350">
            <v>7000</v>
          </cell>
        </row>
        <row r="10351">
          <cell r="A10351">
            <v>45706</v>
          </cell>
          <cell r="B10351" t="str">
            <v>Củ Cải Đỏ</v>
          </cell>
          <cell r="C10351" t="str">
            <v>Hộp</v>
          </cell>
          <cell r="D10351">
            <v>10000</v>
          </cell>
        </row>
        <row r="10352">
          <cell r="A10352">
            <v>45706</v>
          </cell>
          <cell r="B10352" t="str">
            <v>Ớt Sweet Palemo</v>
          </cell>
          <cell r="C10352" t="str">
            <v>Túi</v>
          </cell>
          <cell r="D10352">
            <v>17000</v>
          </cell>
        </row>
        <row r="10353">
          <cell r="A10353">
            <v>45706</v>
          </cell>
          <cell r="B10353" t="str">
            <v>Cà Chua Beef</v>
          </cell>
          <cell r="C10353" t="str">
            <v>Vỉ 650gr</v>
          </cell>
          <cell r="D10353">
            <v>12000</v>
          </cell>
        </row>
        <row r="10354">
          <cell r="A10354">
            <v>45706</v>
          </cell>
          <cell r="B10354" t="str">
            <v>Xà Lách Rocket</v>
          </cell>
          <cell r="C10354" t="str">
            <v>Kg</v>
          </cell>
          <cell r="D10354">
            <v>70000</v>
          </cell>
        </row>
        <row r="10355">
          <cell r="A10355">
            <v>45706</v>
          </cell>
          <cell r="B10355" t="str">
            <v>Xà Lách Romaine</v>
          </cell>
          <cell r="C10355" t="str">
            <v>Kg</v>
          </cell>
          <cell r="D10355">
            <v>15000</v>
          </cell>
        </row>
        <row r="10356">
          <cell r="A10356">
            <v>45706</v>
          </cell>
          <cell r="B10356" t="str">
            <v>Lá Hương Thảo</v>
          </cell>
          <cell r="C10356" t="str">
            <v>Kg</v>
          </cell>
          <cell r="D10356">
            <v>130000</v>
          </cell>
        </row>
        <row r="10357">
          <cell r="A10357">
            <v>45706</v>
          </cell>
          <cell r="B10357" t="str">
            <v>Xà Lách Lolo Xanh</v>
          </cell>
          <cell r="C10357" t="str">
            <v>Kg</v>
          </cell>
          <cell r="D10357">
            <v>7000</v>
          </cell>
        </row>
        <row r="10358">
          <cell r="A10358">
            <v>45706</v>
          </cell>
          <cell r="B10358" t="str">
            <v>CT-MÍT</v>
          </cell>
          <cell r="C10358" t="str">
            <v>Kg</v>
          </cell>
          <cell r="D10358">
            <v>19000</v>
          </cell>
        </row>
        <row r="10359">
          <cell r="A10359">
            <v>45706</v>
          </cell>
          <cell r="B10359" t="str">
            <v>MÀNG CO 30CM (MÀNG BỌC THỰC PHẨM PVC 30CM)</v>
          </cell>
          <cell r="C10359" t="str">
            <v>Cuộn</v>
          </cell>
          <cell r="D10359">
            <v>120000</v>
          </cell>
        </row>
        <row r="10360">
          <cell r="A10360">
            <v>45707</v>
          </cell>
          <cell r="B10360" t="str">
            <v>DO 0.05S-II</v>
          </cell>
          <cell r="C10360" t="str">
            <v>Lít</v>
          </cell>
          <cell r="D10360">
            <v>17681.82</v>
          </cell>
        </row>
        <row r="10361">
          <cell r="A10361">
            <v>45707</v>
          </cell>
          <cell r="B10361" t="str">
            <v>DO 0.05S-II</v>
          </cell>
          <cell r="C10361" t="str">
            <v>Lít</v>
          </cell>
          <cell r="D10361">
            <v>17681.82</v>
          </cell>
        </row>
        <row r="10362">
          <cell r="A10362">
            <v>45707</v>
          </cell>
          <cell r="B10362" t="str">
            <v>Hành Paro</v>
          </cell>
          <cell r="C10362" t="str">
            <v>Kg</v>
          </cell>
          <cell r="D10362">
            <v>10000</v>
          </cell>
        </row>
        <row r="10363">
          <cell r="A10363">
            <v>45707</v>
          </cell>
          <cell r="B10363" t="str">
            <v>Bắp Cải Trắng</v>
          </cell>
          <cell r="C10363" t="str">
            <v>Kg</v>
          </cell>
          <cell r="D10363">
            <v>4500</v>
          </cell>
        </row>
        <row r="10364">
          <cell r="A10364">
            <v>45707</v>
          </cell>
          <cell r="B10364" t="str">
            <v>Bông Cải Xanh 7Cm</v>
          </cell>
          <cell r="C10364" t="str">
            <v>Kg</v>
          </cell>
          <cell r="D10364">
            <v>25000</v>
          </cell>
        </row>
        <row r="10365">
          <cell r="A10365">
            <v>45707</v>
          </cell>
          <cell r="B10365" t="str">
            <v>Bông Cải Trắng</v>
          </cell>
          <cell r="C10365" t="str">
            <v>Kg</v>
          </cell>
          <cell r="D10365">
            <v>12000</v>
          </cell>
        </row>
        <row r="10366">
          <cell r="A10366">
            <v>45707</v>
          </cell>
          <cell r="B10366" t="str">
            <v>Củ Khoai Lang Mật Size 23</v>
          </cell>
          <cell r="C10366" t="str">
            <v>Kg</v>
          </cell>
          <cell r="D10366">
            <v>25000</v>
          </cell>
        </row>
        <row r="10367">
          <cell r="A10367">
            <v>45707</v>
          </cell>
          <cell r="B10367" t="str">
            <v>Củ Khoai Lang Mật Size 46</v>
          </cell>
          <cell r="C10367" t="str">
            <v>Kg</v>
          </cell>
          <cell r="D10367">
            <v>25000</v>
          </cell>
        </row>
        <row r="10368">
          <cell r="A10368">
            <v>45707</v>
          </cell>
          <cell r="B10368" t="str">
            <v>Cải Bó Xôi</v>
          </cell>
          <cell r="C10368" t="str">
            <v>Kg</v>
          </cell>
          <cell r="D10368">
            <v>12000</v>
          </cell>
        </row>
        <row r="10369">
          <cell r="A10369">
            <v>45707</v>
          </cell>
          <cell r="B10369" t="str">
            <v>Bông Cải Xanh 7Cm</v>
          </cell>
          <cell r="C10369" t="str">
            <v>Kg</v>
          </cell>
          <cell r="D10369">
            <v>25000</v>
          </cell>
        </row>
        <row r="10370">
          <cell r="A10370">
            <v>45707</v>
          </cell>
          <cell r="B10370" t="str">
            <v>Bông Cải Xanh 7Cm</v>
          </cell>
          <cell r="C10370" t="str">
            <v>Kg</v>
          </cell>
          <cell r="D10370">
            <v>25000</v>
          </cell>
        </row>
        <row r="10371">
          <cell r="A10371">
            <v>45707</v>
          </cell>
          <cell r="B10371" t="str">
            <v>Bí Non Nhật</v>
          </cell>
          <cell r="C10371" t="str">
            <v>Kg</v>
          </cell>
          <cell r="D10371">
            <v>10000</v>
          </cell>
        </row>
        <row r="10372">
          <cell r="A10372">
            <v>45707</v>
          </cell>
          <cell r="B10372" t="str">
            <v>Cà Tím</v>
          </cell>
          <cell r="C10372" t="str">
            <v>Kg</v>
          </cell>
          <cell r="D10372">
            <v>8000</v>
          </cell>
        </row>
        <row r="10373">
          <cell r="A10373">
            <v>45707</v>
          </cell>
          <cell r="B10373" t="str">
            <v>Trái Su Su</v>
          </cell>
          <cell r="C10373" t="str">
            <v>Kg</v>
          </cell>
          <cell r="D10373">
            <v>8000</v>
          </cell>
        </row>
        <row r="10374">
          <cell r="A10374">
            <v>45707</v>
          </cell>
          <cell r="B10374" t="str">
            <v>Cà Chua Beef</v>
          </cell>
          <cell r="C10374" t="str">
            <v>Kg</v>
          </cell>
          <cell r="D10374">
            <v>15000</v>
          </cell>
        </row>
        <row r="10375">
          <cell r="A10375">
            <v>45707</v>
          </cell>
          <cell r="B10375" t="str">
            <v>Bắp Cải Tím</v>
          </cell>
          <cell r="C10375" t="str">
            <v>Kg</v>
          </cell>
          <cell r="D10375">
            <v>16000</v>
          </cell>
        </row>
        <row r="10376">
          <cell r="A10376">
            <v>45707</v>
          </cell>
          <cell r="B10376" t="str">
            <v>Cần Tây</v>
          </cell>
          <cell r="C10376" t="str">
            <v>Kg</v>
          </cell>
          <cell r="D10376">
            <v>11000</v>
          </cell>
        </row>
        <row r="10377">
          <cell r="A10377">
            <v>45707</v>
          </cell>
          <cell r="B10377" t="str">
            <v>Bắp Cải Tím</v>
          </cell>
          <cell r="C10377" t="str">
            <v>Kg</v>
          </cell>
          <cell r="D10377">
            <v>18000</v>
          </cell>
        </row>
        <row r="10378">
          <cell r="A10378">
            <v>45707</v>
          </cell>
          <cell r="B10378" t="str">
            <v>Cà Chua Socola</v>
          </cell>
          <cell r="C10378" t="str">
            <v>Hộp 250GR</v>
          </cell>
          <cell r="D10378">
            <v>7500</v>
          </cell>
        </row>
        <row r="10379">
          <cell r="A10379">
            <v>45707</v>
          </cell>
          <cell r="B10379" t="str">
            <v>Dưa Leo Baby</v>
          </cell>
          <cell r="C10379" t="str">
            <v>Vỉ</v>
          </cell>
          <cell r="D10379">
            <v>7000</v>
          </cell>
        </row>
        <row r="10380">
          <cell r="A10380">
            <v>45707</v>
          </cell>
          <cell r="B10380" t="str">
            <v>Đậu Đỏ</v>
          </cell>
          <cell r="C10380" t="str">
            <v>Kg</v>
          </cell>
          <cell r="D10380">
            <v>80000</v>
          </cell>
        </row>
        <row r="10381">
          <cell r="A10381">
            <v>45707</v>
          </cell>
          <cell r="B10381" t="str">
            <v>Đậu Ngự</v>
          </cell>
          <cell r="C10381" t="str">
            <v>Kg</v>
          </cell>
          <cell r="D10381">
            <v>70000</v>
          </cell>
        </row>
        <row r="10382">
          <cell r="A10382">
            <v>45707</v>
          </cell>
          <cell r="B10382" t="str">
            <v>Đậu Trắng</v>
          </cell>
          <cell r="C10382" t="str">
            <v>Kg</v>
          </cell>
          <cell r="D10382">
            <v>70000</v>
          </cell>
        </row>
        <row r="10383">
          <cell r="A10383">
            <v>45707</v>
          </cell>
          <cell r="B10383" t="str">
            <v>Gia Công Rau Củ Quả</v>
          </cell>
          <cell r="C10383" t="str">
            <v>Kg</v>
          </cell>
          <cell r="D10383">
            <v>1700</v>
          </cell>
        </row>
        <row r="10384">
          <cell r="A10384">
            <v>45707</v>
          </cell>
          <cell r="B10384" t="str">
            <v>Gia Công Rau Củ Quả</v>
          </cell>
          <cell r="C10384" t="str">
            <v>Kg</v>
          </cell>
          <cell r="D10384">
            <v>1000</v>
          </cell>
        </row>
        <row r="10385">
          <cell r="A10385">
            <v>45707</v>
          </cell>
          <cell r="B10385" t="str">
            <v>Cà Chua Socola</v>
          </cell>
          <cell r="C10385" t="str">
            <v>Kg</v>
          </cell>
          <cell r="D10385">
            <v>18000</v>
          </cell>
        </row>
        <row r="10386">
          <cell r="A10386">
            <v>45707</v>
          </cell>
          <cell r="B10386" t="str">
            <v>Dưa Leo Baby</v>
          </cell>
          <cell r="C10386" t="str">
            <v>Kg</v>
          </cell>
          <cell r="D10386">
            <v>10000</v>
          </cell>
        </row>
        <row r="10387">
          <cell r="A10387">
            <v>45707</v>
          </cell>
          <cell r="B10387" t="str">
            <v>Dưa Leo Baby</v>
          </cell>
          <cell r="C10387" t="str">
            <v>Kg</v>
          </cell>
          <cell r="D10387">
            <v>9500</v>
          </cell>
        </row>
        <row r="10388">
          <cell r="A10388">
            <v>45707</v>
          </cell>
          <cell r="B10388" t="str">
            <v>Ớt Chuông Baby</v>
          </cell>
          <cell r="C10388" t="str">
            <v>Kg</v>
          </cell>
          <cell r="D10388">
            <v>48000</v>
          </cell>
        </row>
        <row r="10389">
          <cell r="A10389">
            <v>45707</v>
          </cell>
          <cell r="B10389" t="str">
            <v>Ớt Sweet Palemo</v>
          </cell>
          <cell r="C10389" t="str">
            <v>Túi</v>
          </cell>
          <cell r="D10389">
            <v>18000</v>
          </cell>
        </row>
        <row r="10390">
          <cell r="A10390">
            <v>45707</v>
          </cell>
          <cell r="B10390" t="str">
            <v>Rau Mầm</v>
          </cell>
          <cell r="C10390" t="str">
            <v>Kg</v>
          </cell>
          <cell r="D10390">
            <v>60000</v>
          </cell>
        </row>
        <row r="10391">
          <cell r="A10391">
            <v>45707</v>
          </cell>
          <cell r="B10391" t="str">
            <v>Xà Lách Mỡ T.C</v>
          </cell>
          <cell r="C10391" t="str">
            <v>Kg</v>
          </cell>
          <cell r="D10391">
            <v>24000</v>
          </cell>
        </row>
        <row r="10392">
          <cell r="A10392">
            <v>45707</v>
          </cell>
          <cell r="B10392" t="str">
            <v>Xà Lách Thủy Tinh T.C</v>
          </cell>
          <cell r="C10392" t="str">
            <v>Kg</v>
          </cell>
          <cell r="D10392">
            <v>25000</v>
          </cell>
        </row>
        <row r="10393">
          <cell r="A10393">
            <v>45707</v>
          </cell>
          <cell r="B10393" t="str">
            <v>Xà Lách Lolo Xanh T.C</v>
          </cell>
          <cell r="C10393" t="str">
            <v>Kg</v>
          </cell>
          <cell r="D10393">
            <v>21000</v>
          </cell>
        </row>
        <row r="10394">
          <cell r="A10394">
            <v>45707</v>
          </cell>
          <cell r="B10394" t="str">
            <v>Củ Su Hào</v>
          </cell>
          <cell r="C10394" t="str">
            <v>Kg</v>
          </cell>
          <cell r="D10394">
            <v>8000</v>
          </cell>
        </row>
        <row r="10395">
          <cell r="A10395">
            <v>45707</v>
          </cell>
          <cell r="B10395" t="str">
            <v>Bí Đỏ Hồ Lô</v>
          </cell>
          <cell r="C10395" t="str">
            <v>Kg</v>
          </cell>
          <cell r="D10395">
            <v>7500</v>
          </cell>
        </row>
        <row r="10396">
          <cell r="A10396">
            <v>45707</v>
          </cell>
          <cell r="B10396" t="str">
            <v>Bí Đỏ Tròn</v>
          </cell>
          <cell r="C10396" t="str">
            <v>Kg</v>
          </cell>
          <cell r="D10396">
            <v>9000</v>
          </cell>
        </row>
        <row r="10397">
          <cell r="A10397">
            <v>45707</v>
          </cell>
          <cell r="B10397" t="str">
            <v>Chuối Laba</v>
          </cell>
          <cell r="C10397" t="str">
            <v>Kg</v>
          </cell>
          <cell r="D10397">
            <v>14000</v>
          </cell>
        </row>
        <row r="10398">
          <cell r="A10398">
            <v>45707</v>
          </cell>
          <cell r="B10398" t="str">
            <v>Lá Nha Đam</v>
          </cell>
          <cell r="C10398" t="str">
            <v>Kg</v>
          </cell>
          <cell r="D10398">
            <v>14000</v>
          </cell>
        </row>
        <row r="10399">
          <cell r="A10399">
            <v>45707</v>
          </cell>
          <cell r="B10399" t="str">
            <v>Trái Su Su</v>
          </cell>
          <cell r="C10399" t="str">
            <v>Kg</v>
          </cell>
          <cell r="D10399">
            <v>4500</v>
          </cell>
        </row>
        <row r="10400">
          <cell r="A10400">
            <v>45707</v>
          </cell>
          <cell r="B10400" t="str">
            <v>Cà Rốt</v>
          </cell>
          <cell r="C10400" t="str">
            <v>Kg</v>
          </cell>
          <cell r="D10400">
            <v>6800</v>
          </cell>
        </row>
        <row r="10401">
          <cell r="A10401">
            <v>45707</v>
          </cell>
          <cell r="B10401" t="str">
            <v>Củ Dền</v>
          </cell>
          <cell r="C10401" t="str">
            <v>Kg</v>
          </cell>
          <cell r="D10401">
            <v>9000</v>
          </cell>
        </row>
        <row r="10402">
          <cell r="A10402">
            <v>45707</v>
          </cell>
          <cell r="B10402" t="str">
            <v>Hạt Dẻ Ngố</v>
          </cell>
          <cell r="C10402" t="str">
            <v>Kg</v>
          </cell>
          <cell r="D10402">
            <v>25400</v>
          </cell>
        </row>
        <row r="10403">
          <cell r="A10403">
            <v>45707</v>
          </cell>
          <cell r="B10403" t="str">
            <v>Cần Tây</v>
          </cell>
          <cell r="C10403" t="str">
            <v>Kg</v>
          </cell>
          <cell r="D10403">
            <v>11000</v>
          </cell>
        </row>
        <row r="10404">
          <cell r="A10404">
            <v>45707</v>
          </cell>
          <cell r="B10404" t="str">
            <v>Củ Cải Đỏ</v>
          </cell>
          <cell r="C10404" t="str">
            <v>Kg</v>
          </cell>
          <cell r="D10404">
            <v>15000</v>
          </cell>
        </row>
        <row r="10405">
          <cell r="A10405">
            <v>45707</v>
          </cell>
          <cell r="B10405" t="str">
            <v>Đậu Hà Lan Trái</v>
          </cell>
          <cell r="C10405" t="str">
            <v>Kg</v>
          </cell>
          <cell r="D10405">
            <v>70000</v>
          </cell>
        </row>
        <row r="10406">
          <cell r="A10406">
            <v>45707</v>
          </cell>
          <cell r="B10406" t="str">
            <v>Rau Bầu Đất</v>
          </cell>
          <cell r="C10406" t="str">
            <v>Kg</v>
          </cell>
          <cell r="D10406">
            <v>35000</v>
          </cell>
        </row>
        <row r="10407">
          <cell r="A10407">
            <v>45707</v>
          </cell>
          <cell r="B10407" t="str">
            <v>Xà Lách Lolo Xanh</v>
          </cell>
          <cell r="C10407" t="str">
            <v>Kg</v>
          </cell>
          <cell r="D10407">
            <v>10000</v>
          </cell>
        </row>
        <row r="10408">
          <cell r="A10408">
            <v>45707</v>
          </cell>
          <cell r="B10408" t="str">
            <v>Bông Atiso</v>
          </cell>
          <cell r="C10408" t="str">
            <v>Kg</v>
          </cell>
          <cell r="D10408">
            <v>170000</v>
          </cell>
        </row>
        <row r="10409">
          <cell r="A10409">
            <v>45707</v>
          </cell>
          <cell r="B10409" t="str">
            <v>Hành Paro</v>
          </cell>
          <cell r="C10409" t="str">
            <v>Kg</v>
          </cell>
          <cell r="D10409">
            <v>11500</v>
          </cell>
        </row>
        <row r="10410">
          <cell r="A10410">
            <v>45707</v>
          </cell>
          <cell r="B10410" t="str">
            <v>Bí Ngòi Vàng</v>
          </cell>
          <cell r="C10410" t="str">
            <v>Kg</v>
          </cell>
          <cell r="D10410">
            <v>25000</v>
          </cell>
        </row>
        <row r="10411">
          <cell r="A10411">
            <v>45707</v>
          </cell>
          <cell r="B10411" t="str">
            <v>Lá Mè</v>
          </cell>
          <cell r="C10411" t="str">
            <v>Túi</v>
          </cell>
          <cell r="D10411">
            <v>2700</v>
          </cell>
        </row>
        <row r="10412">
          <cell r="A10412">
            <v>45707</v>
          </cell>
          <cell r="B10412" t="str">
            <v>Củ Hành Tây</v>
          </cell>
          <cell r="C10412" t="str">
            <v>Kg</v>
          </cell>
          <cell r="D10412">
            <v>8500</v>
          </cell>
        </row>
        <row r="10413">
          <cell r="A10413">
            <v>45707</v>
          </cell>
          <cell r="B10413" t="str">
            <v>Củ Hành Tây Tím</v>
          </cell>
          <cell r="C10413" t="str">
            <v>Kg</v>
          </cell>
          <cell r="D10413">
            <v>22000</v>
          </cell>
        </row>
        <row r="10414">
          <cell r="A10414">
            <v>45707</v>
          </cell>
          <cell r="B10414" t="str">
            <v>Củ Khoai Tây Vàng</v>
          </cell>
          <cell r="C10414" t="str">
            <v>Kg</v>
          </cell>
          <cell r="D10414">
            <v>13000</v>
          </cell>
        </row>
        <row r="10415">
          <cell r="A10415">
            <v>45707</v>
          </cell>
          <cell r="B10415" t="str">
            <v>Củ Khoai Tây Bi Vàng</v>
          </cell>
          <cell r="C10415" t="str">
            <v>Kg</v>
          </cell>
          <cell r="D10415">
            <v>8000</v>
          </cell>
        </row>
        <row r="10416">
          <cell r="A10416">
            <v>45707</v>
          </cell>
          <cell r="B10416" t="str">
            <v>Củ Khoai Lang Nhật</v>
          </cell>
          <cell r="C10416" t="str">
            <v>Kg</v>
          </cell>
          <cell r="D10416">
            <v>15000</v>
          </cell>
        </row>
        <row r="10417">
          <cell r="A10417">
            <v>45707</v>
          </cell>
          <cell r="B10417" t="str">
            <v>Xà Lách Thủy Tinh T.C Cây</v>
          </cell>
          <cell r="C10417" t="str">
            <v>Cây</v>
          </cell>
          <cell r="D10417">
            <v>5000</v>
          </cell>
        </row>
        <row r="10418">
          <cell r="A10418">
            <v>45707</v>
          </cell>
          <cell r="B10418" t="str">
            <v>Cà Rốt</v>
          </cell>
          <cell r="C10418" t="str">
            <v>Kg</v>
          </cell>
          <cell r="D10418">
            <v>6800</v>
          </cell>
        </row>
        <row r="10419">
          <cell r="A10419">
            <v>45707</v>
          </cell>
          <cell r="B10419" t="str">
            <v>Bí Ngòi Xanh</v>
          </cell>
          <cell r="C10419" t="str">
            <v>Kg</v>
          </cell>
          <cell r="D10419">
            <v>15500</v>
          </cell>
        </row>
        <row r="10420">
          <cell r="A10420">
            <v>45707</v>
          </cell>
          <cell r="B10420" t="str">
            <v>Dưa Leo Thường</v>
          </cell>
          <cell r="C10420" t="str">
            <v>Kg</v>
          </cell>
          <cell r="D10420">
            <v>11000</v>
          </cell>
        </row>
        <row r="10421">
          <cell r="A10421">
            <v>45707</v>
          </cell>
          <cell r="B10421" t="str">
            <v>Củ Hành Tây</v>
          </cell>
          <cell r="C10421" t="str">
            <v>Kg</v>
          </cell>
          <cell r="D10421">
            <v>8000</v>
          </cell>
        </row>
        <row r="10422">
          <cell r="A10422">
            <v>45707</v>
          </cell>
          <cell r="B10422" t="str">
            <v>Xà Lách Thủy Tinh T.C Cây</v>
          </cell>
          <cell r="C10422" t="str">
            <v>Cây</v>
          </cell>
          <cell r="D10422">
            <v>6800</v>
          </cell>
        </row>
        <row r="10423">
          <cell r="A10423">
            <v>45707</v>
          </cell>
          <cell r="B10423" t="str">
            <v>Xà Lách Lolo Xanh T.C Cây</v>
          </cell>
          <cell r="C10423" t="str">
            <v>Cây</v>
          </cell>
          <cell r="D10423">
            <v>6800</v>
          </cell>
        </row>
        <row r="10424">
          <cell r="A10424">
            <v>45707</v>
          </cell>
          <cell r="B10424" t="str">
            <v>Xà Lách Mỡ T.C</v>
          </cell>
          <cell r="C10424" t="str">
            <v>Kg</v>
          </cell>
          <cell r="D10424">
            <v>28000</v>
          </cell>
        </row>
        <row r="10425">
          <cell r="A10425">
            <v>45707</v>
          </cell>
          <cell r="B10425" t="str">
            <v>Cà Chua Beef</v>
          </cell>
          <cell r="C10425" t="str">
            <v>Kg</v>
          </cell>
          <cell r="D10425">
            <v>14000</v>
          </cell>
        </row>
        <row r="10426">
          <cell r="A10426">
            <v>45707</v>
          </cell>
          <cell r="B10426" t="str">
            <v>Cà Chua Beef</v>
          </cell>
          <cell r="C10426" t="str">
            <v>Kg</v>
          </cell>
          <cell r="D10426">
            <v>12000</v>
          </cell>
        </row>
        <row r="10427">
          <cell r="A10427">
            <v>45707</v>
          </cell>
          <cell r="B10427" t="str">
            <v>Cà Chua Beef</v>
          </cell>
          <cell r="C10427" t="str">
            <v>Vỉ 650gr</v>
          </cell>
          <cell r="D10427">
            <v>9100</v>
          </cell>
        </row>
        <row r="10428">
          <cell r="A10428">
            <v>45707</v>
          </cell>
          <cell r="B10428" t="str">
            <v>Cà Chua Beef Trung</v>
          </cell>
          <cell r="C10428" t="str">
            <v>Vỉ 500gr</v>
          </cell>
          <cell r="D10428">
            <v>7000</v>
          </cell>
        </row>
        <row r="10429">
          <cell r="A10429">
            <v>45707</v>
          </cell>
          <cell r="B10429" t="str">
            <v>Cải Bó Xôi</v>
          </cell>
          <cell r="C10429" t="str">
            <v>Kg</v>
          </cell>
          <cell r="D10429">
            <v>14000</v>
          </cell>
        </row>
        <row r="10430">
          <cell r="A10430">
            <v>45707</v>
          </cell>
          <cell r="B10430" t="str">
            <v>Cải Bó Xôi</v>
          </cell>
          <cell r="C10430" t="str">
            <v>Túi</v>
          </cell>
          <cell r="D10430">
            <v>5100</v>
          </cell>
        </row>
        <row r="10431">
          <cell r="A10431">
            <v>45707</v>
          </cell>
          <cell r="B10431" t="str">
            <v>Cà Chua Bi Mix</v>
          </cell>
          <cell r="C10431" t="str">
            <v>Hộp</v>
          </cell>
          <cell r="D10431">
            <v>10200</v>
          </cell>
        </row>
        <row r="10432">
          <cell r="A10432">
            <v>45707</v>
          </cell>
          <cell r="B10432" t="str">
            <v>Cải Kale</v>
          </cell>
          <cell r="C10432" t="str">
            <v>Túi</v>
          </cell>
          <cell r="D10432">
            <v>4200</v>
          </cell>
        </row>
        <row r="10433">
          <cell r="A10433">
            <v>45707</v>
          </cell>
          <cell r="B10433" t="str">
            <v>Chanh Không Hạt</v>
          </cell>
          <cell r="C10433" t="str">
            <v>Vỉ</v>
          </cell>
          <cell r="D10433">
            <v>7500</v>
          </cell>
        </row>
        <row r="10434">
          <cell r="A10434">
            <v>45707</v>
          </cell>
          <cell r="B10434" t="str">
            <v>Hồng Treo Gió</v>
          </cell>
          <cell r="C10434" t="str">
            <v>Kg</v>
          </cell>
          <cell r="D10434">
            <v>250000</v>
          </cell>
        </row>
        <row r="10435">
          <cell r="A10435">
            <v>45707</v>
          </cell>
          <cell r="B10435" t="str">
            <v>Bông Cải Xanh Baby</v>
          </cell>
          <cell r="C10435" t="str">
            <v>Vỉ</v>
          </cell>
          <cell r="D10435">
            <v>6000</v>
          </cell>
        </row>
        <row r="10436">
          <cell r="A10436">
            <v>45707</v>
          </cell>
          <cell r="B10436" t="str">
            <v>Cà Chua Beef Trung</v>
          </cell>
          <cell r="C10436" t="str">
            <v>Vỉ 500gr</v>
          </cell>
          <cell r="D10436">
            <v>7500</v>
          </cell>
        </row>
        <row r="10437">
          <cell r="A10437">
            <v>45707</v>
          </cell>
          <cell r="B10437" t="str">
            <v>Củ Cải Đỏ</v>
          </cell>
          <cell r="C10437" t="str">
            <v>Hộp</v>
          </cell>
          <cell r="D10437">
            <v>10000</v>
          </cell>
        </row>
        <row r="10438">
          <cell r="A10438">
            <v>45707</v>
          </cell>
          <cell r="B10438" t="str">
            <v>Ớt Sweet Palemo</v>
          </cell>
          <cell r="C10438" t="str">
            <v>Túi</v>
          </cell>
          <cell r="D10438">
            <v>17000</v>
          </cell>
        </row>
        <row r="10439">
          <cell r="A10439">
            <v>45707</v>
          </cell>
          <cell r="B10439" t="str">
            <v>Xà Lách Lolo Tím</v>
          </cell>
          <cell r="C10439" t="str">
            <v>Kg</v>
          </cell>
          <cell r="D10439">
            <v>20000</v>
          </cell>
        </row>
        <row r="10440">
          <cell r="A10440">
            <v>45707</v>
          </cell>
          <cell r="B10440" t="str">
            <v>Xà Lách Lolo Xanh</v>
          </cell>
          <cell r="C10440" t="str">
            <v>Kg</v>
          </cell>
          <cell r="D10440">
            <v>7000</v>
          </cell>
        </row>
        <row r="10441">
          <cell r="A10441">
            <v>45707</v>
          </cell>
          <cell r="B10441" t="str">
            <v>Xà Lách Lolo Xanh</v>
          </cell>
          <cell r="C10441" t="str">
            <v>Kg</v>
          </cell>
          <cell r="D10441">
            <v>10000</v>
          </cell>
        </row>
        <row r="10442">
          <cell r="A10442">
            <v>45707</v>
          </cell>
          <cell r="B10442" t="str">
            <v>Cà Rốt Baby</v>
          </cell>
          <cell r="C10442" t="str">
            <v>Vỉ</v>
          </cell>
          <cell r="D10442">
            <v>5500</v>
          </cell>
        </row>
        <row r="10443">
          <cell r="A10443">
            <v>45707</v>
          </cell>
          <cell r="B10443" t="str">
            <v>Cải Kale</v>
          </cell>
          <cell r="C10443" t="str">
            <v>Túi 150gr</v>
          </cell>
          <cell r="D10443">
            <v>1900</v>
          </cell>
        </row>
        <row r="10444">
          <cell r="A10444">
            <v>45707</v>
          </cell>
          <cell r="B10444" t="str">
            <v>Lá Mè</v>
          </cell>
          <cell r="C10444" t="str">
            <v>Túi</v>
          </cell>
          <cell r="D10444">
            <v>2800</v>
          </cell>
        </row>
        <row r="10445">
          <cell r="A10445">
            <v>45707</v>
          </cell>
          <cell r="B10445" t="str">
            <v>Dưa Leo Baby</v>
          </cell>
          <cell r="C10445" t="str">
            <v>Vỉ</v>
          </cell>
          <cell r="D10445">
            <v>8000</v>
          </cell>
        </row>
        <row r="10446">
          <cell r="A10446">
            <v>45707</v>
          </cell>
          <cell r="B10446" t="str">
            <v>Ớt Sweet Palemo</v>
          </cell>
          <cell r="C10446" t="str">
            <v>Túi</v>
          </cell>
          <cell r="D10446">
            <v>17000</v>
          </cell>
        </row>
        <row r="10447">
          <cell r="A10447">
            <v>45707</v>
          </cell>
          <cell r="B10447" t="str">
            <v>CT - BÍ NGÒI XANH</v>
          </cell>
          <cell r="C10447" t="str">
            <v>Kg</v>
          </cell>
          <cell r="D10447">
            <v>15000</v>
          </cell>
        </row>
        <row r="10448">
          <cell r="A10448">
            <v>45707</v>
          </cell>
          <cell r="B10448" t="str">
            <v>Xà Lách Mỡ T.C</v>
          </cell>
          <cell r="C10448" t="str">
            <v>Kg</v>
          </cell>
          <cell r="D10448">
            <v>26000</v>
          </cell>
        </row>
        <row r="10449">
          <cell r="A10449">
            <v>45707</v>
          </cell>
          <cell r="B10449" t="str">
            <v>Xà Lách Lolo Xanh T.C</v>
          </cell>
          <cell r="C10449" t="str">
            <v>Kg</v>
          </cell>
          <cell r="D10449">
            <v>26000</v>
          </cell>
        </row>
        <row r="10450">
          <cell r="A10450">
            <v>45707</v>
          </cell>
          <cell r="B10450" t="str">
            <v>Xà Lách Thủy Tinh T.C Cây</v>
          </cell>
          <cell r="C10450" t="str">
            <v>Cây</v>
          </cell>
          <cell r="D10450">
            <v>7500</v>
          </cell>
        </row>
        <row r="10451">
          <cell r="A10451">
            <v>45707</v>
          </cell>
          <cell r="B10451" t="str">
            <v>Cà Tím</v>
          </cell>
          <cell r="C10451" t="str">
            <v>Kg</v>
          </cell>
          <cell r="D10451">
            <v>8000</v>
          </cell>
        </row>
        <row r="10452">
          <cell r="A10452">
            <v>45707</v>
          </cell>
          <cell r="B10452" t="str">
            <v>Trái Su Su</v>
          </cell>
          <cell r="C10452" t="str">
            <v>Kg</v>
          </cell>
          <cell r="D10452">
            <v>8000</v>
          </cell>
        </row>
        <row r="10453">
          <cell r="A10453">
            <v>45707</v>
          </cell>
          <cell r="B10453" t="str">
            <v>Đậu Cove Trắng</v>
          </cell>
          <cell r="C10453" t="str">
            <v>Túi 500gr</v>
          </cell>
          <cell r="D10453">
            <v>6000</v>
          </cell>
        </row>
        <row r="10454">
          <cell r="A10454">
            <v>45707</v>
          </cell>
          <cell r="B10454" t="str">
            <v>Đậu Cove Trắng</v>
          </cell>
          <cell r="C10454" t="str">
            <v>Túi 300gr</v>
          </cell>
          <cell r="D10454">
            <v>4000</v>
          </cell>
        </row>
        <row r="10455">
          <cell r="A10455">
            <v>45707</v>
          </cell>
          <cell r="B10455" t="str">
            <v>Bí Non Nhật</v>
          </cell>
          <cell r="C10455" t="str">
            <v>Kg</v>
          </cell>
          <cell r="D10455">
            <v>13500</v>
          </cell>
        </row>
        <row r="10456">
          <cell r="A10456">
            <v>45707</v>
          </cell>
          <cell r="B10456" t="str">
            <v>Cà Chua Bi Đỏ</v>
          </cell>
          <cell r="C10456" t="str">
            <v>Hộp 500gr</v>
          </cell>
          <cell r="D10456">
            <v>10000</v>
          </cell>
        </row>
        <row r="10457">
          <cell r="A10457">
            <v>45707</v>
          </cell>
          <cell r="B10457" t="str">
            <v>Cà Chua Bi Đỏ</v>
          </cell>
          <cell r="C10457" t="str">
            <v>Hộp 300gr</v>
          </cell>
          <cell r="D10457">
            <v>6000</v>
          </cell>
        </row>
        <row r="10458">
          <cell r="A10458">
            <v>45707</v>
          </cell>
          <cell r="B10458" t="str">
            <v>Dưa Leo Baby</v>
          </cell>
          <cell r="C10458" t="str">
            <v>Vỉ</v>
          </cell>
          <cell r="D10458">
            <v>7500</v>
          </cell>
        </row>
        <row r="10459">
          <cell r="A10459">
            <v>45707</v>
          </cell>
          <cell r="B10459" t="str">
            <v>Bí Non Nhật</v>
          </cell>
          <cell r="C10459" t="str">
            <v>Kg</v>
          </cell>
          <cell r="D10459">
            <v>15000</v>
          </cell>
        </row>
        <row r="10460">
          <cell r="A10460">
            <v>45707</v>
          </cell>
          <cell r="B10460" t="str">
            <v>Dưa Leo Thường</v>
          </cell>
          <cell r="C10460" t="str">
            <v>Kg</v>
          </cell>
          <cell r="D10460">
            <v>13000</v>
          </cell>
        </row>
        <row r="10461">
          <cell r="A10461">
            <v>45707</v>
          </cell>
          <cell r="B10461" t="str">
            <v>Đậu Cove Trắng</v>
          </cell>
          <cell r="C10461" t="str">
            <v>Túi 500gr</v>
          </cell>
          <cell r="D10461">
            <v>7000</v>
          </cell>
        </row>
        <row r="10462">
          <cell r="A10462">
            <v>45707</v>
          </cell>
          <cell r="B10462" t="str">
            <v>Bắp Cải Tím</v>
          </cell>
          <cell r="C10462" t="str">
            <v>Kg</v>
          </cell>
          <cell r="D10462">
            <v>18000</v>
          </cell>
        </row>
        <row r="10463">
          <cell r="A10463">
            <v>45707</v>
          </cell>
          <cell r="B10463" t="str">
            <v>Ớt Chuông Đỏ</v>
          </cell>
          <cell r="C10463" t="str">
            <v>Kg</v>
          </cell>
          <cell r="D10463">
            <v>23000</v>
          </cell>
        </row>
        <row r="10464">
          <cell r="A10464">
            <v>45707</v>
          </cell>
          <cell r="B10464" t="str">
            <v>Ớt Chuông Đỏ</v>
          </cell>
          <cell r="C10464" t="str">
            <v>Kg</v>
          </cell>
          <cell r="D10464">
            <v>27000</v>
          </cell>
        </row>
        <row r="10465">
          <cell r="A10465">
            <v>45707</v>
          </cell>
          <cell r="B10465" t="str">
            <v>Xà Lách Mỹ</v>
          </cell>
          <cell r="C10465" t="str">
            <v>Kg</v>
          </cell>
          <cell r="D10465">
            <v>12000</v>
          </cell>
        </row>
        <row r="10466">
          <cell r="A10466">
            <v>45707</v>
          </cell>
          <cell r="B10466" t="str">
            <v>Bí Ngô Mini</v>
          </cell>
          <cell r="C10466" t="str">
            <v>Kg</v>
          </cell>
          <cell r="D10466">
            <v>65000</v>
          </cell>
        </row>
        <row r="10467">
          <cell r="A10467">
            <v>45707</v>
          </cell>
          <cell r="B10467" t="str">
            <v>Củ Khoai Mỡ</v>
          </cell>
          <cell r="C10467" t="str">
            <v>Kg</v>
          </cell>
          <cell r="D10467">
            <v>26000</v>
          </cell>
        </row>
        <row r="10468">
          <cell r="A10468">
            <v>45707</v>
          </cell>
          <cell r="B10468" t="str">
            <v>Củ Gừng</v>
          </cell>
          <cell r="C10468" t="str">
            <v>Kg</v>
          </cell>
          <cell r="D10468">
            <v>18000</v>
          </cell>
        </row>
        <row r="10469">
          <cell r="A10469">
            <v>45707</v>
          </cell>
          <cell r="B10469" t="str">
            <v>Trái Khổ Qua</v>
          </cell>
          <cell r="C10469" t="str">
            <v>Kg</v>
          </cell>
          <cell r="D10469">
            <v>13000</v>
          </cell>
        </row>
        <row r="10470">
          <cell r="A10470">
            <v>45707</v>
          </cell>
          <cell r="B10470" t="str">
            <v>Bí Đỏ Hồ Lô</v>
          </cell>
          <cell r="C10470" t="str">
            <v>Kg</v>
          </cell>
          <cell r="D10470">
            <v>7000</v>
          </cell>
        </row>
        <row r="10471">
          <cell r="A10471">
            <v>45707</v>
          </cell>
          <cell r="B10471" t="str">
            <v>Cà Chua Thường</v>
          </cell>
          <cell r="C10471" t="str">
            <v>Kg</v>
          </cell>
          <cell r="D10471">
            <v>19000</v>
          </cell>
        </row>
        <row r="10472">
          <cell r="A10472">
            <v>45707</v>
          </cell>
          <cell r="B10472" t="str">
            <v>Cà Chua Thường Trung</v>
          </cell>
          <cell r="C10472" t="str">
            <v>Kg</v>
          </cell>
          <cell r="D10472">
            <v>13000</v>
          </cell>
        </row>
        <row r="10473">
          <cell r="A10473">
            <v>45707</v>
          </cell>
          <cell r="B10473" t="str">
            <v>Ớt Chuông Đỏ</v>
          </cell>
          <cell r="C10473" t="str">
            <v>Kg</v>
          </cell>
          <cell r="D10473">
            <v>26000</v>
          </cell>
        </row>
        <row r="10474">
          <cell r="A10474">
            <v>45707</v>
          </cell>
          <cell r="B10474" t="str">
            <v>Ớt Chuông Vàng</v>
          </cell>
          <cell r="C10474" t="str">
            <v>Kg</v>
          </cell>
          <cell r="D10474">
            <v>35000</v>
          </cell>
        </row>
        <row r="10475">
          <cell r="A10475">
            <v>45707</v>
          </cell>
          <cell r="B10475" t="str">
            <v>Ớt Chuông Xanh</v>
          </cell>
          <cell r="C10475" t="str">
            <v>Kg</v>
          </cell>
          <cell r="D10475">
            <v>30000</v>
          </cell>
        </row>
        <row r="10476">
          <cell r="A10476">
            <v>45707</v>
          </cell>
          <cell r="B10476" t="str">
            <v>Ớt Chuông Snack</v>
          </cell>
          <cell r="C10476" t="str">
            <v>Kg</v>
          </cell>
          <cell r="D10476">
            <v>55000</v>
          </cell>
        </row>
        <row r="10477">
          <cell r="A10477">
            <v>45707</v>
          </cell>
          <cell r="B10477" t="str">
            <v>Ớt Chuông Baby</v>
          </cell>
          <cell r="C10477" t="str">
            <v>Kg</v>
          </cell>
          <cell r="D10477">
            <v>42000</v>
          </cell>
        </row>
        <row r="10478">
          <cell r="A10478">
            <v>45707</v>
          </cell>
          <cell r="B10478" t="str">
            <v>Củ Hành Tây</v>
          </cell>
          <cell r="C10478" t="str">
            <v>Kg</v>
          </cell>
          <cell r="D10478">
            <v>8000</v>
          </cell>
        </row>
        <row r="10479">
          <cell r="A10479">
            <v>45707</v>
          </cell>
          <cell r="B10479" t="str">
            <v>Củ Khoai Lang Nhật</v>
          </cell>
          <cell r="C10479" t="str">
            <v>Kg</v>
          </cell>
          <cell r="D10479">
            <v>16500</v>
          </cell>
        </row>
        <row r="10480">
          <cell r="A10480">
            <v>45707</v>
          </cell>
          <cell r="B10480" t="str">
            <v>Củ Khoai Tây Vàng</v>
          </cell>
          <cell r="C10480" t="str">
            <v>Kg</v>
          </cell>
          <cell r="D10480">
            <v>10800</v>
          </cell>
        </row>
        <row r="10481">
          <cell r="A10481">
            <v>45707</v>
          </cell>
          <cell r="B10481" t="str">
            <v>Củ Cải Trắng</v>
          </cell>
          <cell r="C10481" t="str">
            <v>Kg</v>
          </cell>
          <cell r="D10481">
            <v>4000</v>
          </cell>
        </row>
        <row r="10482">
          <cell r="A10482">
            <v>45707</v>
          </cell>
          <cell r="B10482" t="str">
            <v>Lá É</v>
          </cell>
          <cell r="C10482" t="str">
            <v>Kg</v>
          </cell>
          <cell r="D10482">
            <v>27000</v>
          </cell>
        </row>
        <row r="10483">
          <cell r="A10483">
            <v>45707</v>
          </cell>
          <cell r="B10483" t="str">
            <v>Tem dán VR đen premium F40MM ( chữ vàng )</v>
          </cell>
          <cell r="C10483" t="str">
            <v>Cái</v>
          </cell>
          <cell r="D10483">
            <v>120</v>
          </cell>
        </row>
        <row r="10484">
          <cell r="A10484">
            <v>45708</v>
          </cell>
          <cell r="B10484" t="str">
            <v>Dầu Do 0.001 S-V</v>
          </cell>
          <cell r="C10484" t="str">
            <v>Lít</v>
          </cell>
          <cell r="D10484">
            <v>18045.45</v>
          </cell>
        </row>
        <row r="10485">
          <cell r="A10485">
            <v>45708</v>
          </cell>
          <cell r="B10485" t="str">
            <v>DO 0.05S-II</v>
          </cell>
          <cell r="C10485" t="str">
            <v>Lít</v>
          </cell>
          <cell r="D10485">
            <v>17681.82</v>
          </cell>
        </row>
        <row r="10486">
          <cell r="A10486">
            <v>45708</v>
          </cell>
          <cell r="B10486" t="str">
            <v>DO 0.05S-II</v>
          </cell>
          <cell r="C10486" t="str">
            <v>Lít</v>
          </cell>
          <cell r="D10486">
            <v>17681.82</v>
          </cell>
        </row>
        <row r="10487">
          <cell r="A10487">
            <v>45708</v>
          </cell>
          <cell r="B10487" t="str">
            <v>DO 0.05S-II</v>
          </cell>
          <cell r="C10487" t="str">
            <v>Lít</v>
          </cell>
          <cell r="D10487">
            <v>17681.82</v>
          </cell>
        </row>
        <row r="10488">
          <cell r="A10488">
            <v>45708</v>
          </cell>
          <cell r="B10488" t="str">
            <v>Trái Mít Thái</v>
          </cell>
          <cell r="C10488" t="str">
            <v>Kg</v>
          </cell>
          <cell r="D10488">
            <v>20672</v>
          </cell>
        </row>
        <row r="10489">
          <cell r="A10489">
            <v>45708</v>
          </cell>
          <cell r="B10489" t="str">
            <v>Ớt Sweet Palemo</v>
          </cell>
          <cell r="C10489" t="str">
            <v>Túi</v>
          </cell>
          <cell r="D10489">
            <v>18000</v>
          </cell>
        </row>
        <row r="10490">
          <cell r="A10490">
            <v>45708</v>
          </cell>
          <cell r="B10490" t="str">
            <v>Cà Chua Socola</v>
          </cell>
          <cell r="C10490" t="str">
            <v>Hộp 250GR</v>
          </cell>
          <cell r="D10490">
            <v>7500</v>
          </cell>
        </row>
        <row r="10491">
          <cell r="A10491">
            <v>45708</v>
          </cell>
          <cell r="B10491" t="str">
            <v>Dưa Leo Baby</v>
          </cell>
          <cell r="C10491" t="str">
            <v>Vỉ</v>
          </cell>
          <cell r="D10491">
            <v>7500</v>
          </cell>
        </row>
        <row r="10492">
          <cell r="A10492">
            <v>45708</v>
          </cell>
          <cell r="B10492" t="str">
            <v>Bông Cải Trắng</v>
          </cell>
          <cell r="C10492" t="str">
            <v>Kg</v>
          </cell>
          <cell r="D10492">
            <v>12000</v>
          </cell>
        </row>
        <row r="10493">
          <cell r="A10493">
            <v>45708</v>
          </cell>
          <cell r="B10493" t="str">
            <v>Bắp Cải Tím</v>
          </cell>
          <cell r="C10493" t="str">
            <v>Kg</v>
          </cell>
          <cell r="D10493">
            <v>16000</v>
          </cell>
        </row>
        <row r="10494">
          <cell r="A10494">
            <v>45708</v>
          </cell>
          <cell r="B10494" t="str">
            <v>Hành Paro</v>
          </cell>
          <cell r="C10494" t="str">
            <v>Kg</v>
          </cell>
          <cell r="D10494">
            <v>10000</v>
          </cell>
        </row>
        <row r="10495">
          <cell r="A10495">
            <v>45708</v>
          </cell>
          <cell r="B10495" t="str">
            <v>Cải Bó Xôi</v>
          </cell>
          <cell r="C10495" t="str">
            <v>Kg</v>
          </cell>
          <cell r="D10495">
            <v>12000</v>
          </cell>
        </row>
        <row r="10496">
          <cell r="A10496">
            <v>45708</v>
          </cell>
          <cell r="B10496" t="str">
            <v>Cần Tây</v>
          </cell>
          <cell r="C10496" t="str">
            <v>Kg</v>
          </cell>
          <cell r="D10496">
            <v>11000</v>
          </cell>
        </row>
        <row r="10497">
          <cell r="A10497">
            <v>45708</v>
          </cell>
          <cell r="B10497" t="str">
            <v>Bông Cải Xanh 7Cm</v>
          </cell>
          <cell r="C10497" t="str">
            <v>Kg</v>
          </cell>
          <cell r="D10497">
            <v>20000</v>
          </cell>
        </row>
        <row r="10498">
          <cell r="A10498">
            <v>45708</v>
          </cell>
          <cell r="B10498" t="str">
            <v>Cần Tây</v>
          </cell>
          <cell r="C10498" t="str">
            <v>Kg</v>
          </cell>
          <cell r="D10498">
            <v>12000</v>
          </cell>
        </row>
        <row r="10499">
          <cell r="A10499">
            <v>45708</v>
          </cell>
          <cell r="B10499" t="str">
            <v>Bắp Cải Tím</v>
          </cell>
          <cell r="C10499" t="str">
            <v>Kg</v>
          </cell>
          <cell r="D10499">
            <v>17000</v>
          </cell>
        </row>
        <row r="10500">
          <cell r="A10500">
            <v>45708</v>
          </cell>
          <cell r="B10500" t="str">
            <v>Củ Khoai Lang Mật Size 23</v>
          </cell>
          <cell r="C10500" t="str">
            <v>Kg</v>
          </cell>
          <cell r="D10500">
            <v>25000</v>
          </cell>
        </row>
        <row r="10501">
          <cell r="A10501">
            <v>45708</v>
          </cell>
          <cell r="B10501" t="str">
            <v>Củ Khoai Lang Mật Size 46</v>
          </cell>
          <cell r="C10501" t="str">
            <v>Kg</v>
          </cell>
          <cell r="D10501">
            <v>25000</v>
          </cell>
        </row>
        <row r="10502">
          <cell r="A10502">
            <v>45708</v>
          </cell>
          <cell r="B10502" t="str">
            <v>Trái Su Su</v>
          </cell>
          <cell r="C10502" t="str">
            <v>Kg</v>
          </cell>
          <cell r="D10502">
            <v>3000</v>
          </cell>
        </row>
        <row r="10503">
          <cell r="A10503">
            <v>45708</v>
          </cell>
          <cell r="B10503" t="str">
            <v>Dưa Leo Baby</v>
          </cell>
          <cell r="C10503" t="str">
            <v>Kg</v>
          </cell>
          <cell r="D10503">
            <v>12000</v>
          </cell>
        </row>
        <row r="10504">
          <cell r="A10504">
            <v>45708</v>
          </cell>
          <cell r="B10504" t="str">
            <v>Gia Công Rau Củ Quả</v>
          </cell>
          <cell r="C10504" t="str">
            <v>Kg</v>
          </cell>
          <cell r="D10504">
            <v>1700</v>
          </cell>
        </row>
        <row r="10505">
          <cell r="A10505">
            <v>45708</v>
          </cell>
          <cell r="B10505" t="str">
            <v>Gia Công Rau Củ Quả</v>
          </cell>
          <cell r="C10505" t="str">
            <v>Kg</v>
          </cell>
          <cell r="D10505">
            <v>1000</v>
          </cell>
        </row>
        <row r="10506">
          <cell r="A10506">
            <v>45708</v>
          </cell>
          <cell r="B10506" t="str">
            <v>Dưa Leo Baby</v>
          </cell>
          <cell r="C10506" t="str">
            <v>Kg</v>
          </cell>
          <cell r="D10506">
            <v>9500</v>
          </cell>
        </row>
        <row r="10507">
          <cell r="A10507">
            <v>45708</v>
          </cell>
          <cell r="B10507" t="str">
            <v>Củ Dền</v>
          </cell>
          <cell r="C10507" t="str">
            <v>Kg</v>
          </cell>
          <cell r="D10507">
            <v>9000</v>
          </cell>
        </row>
        <row r="10508">
          <cell r="A10508">
            <v>45708</v>
          </cell>
          <cell r="B10508" t="str">
            <v>Cà Chua Beef</v>
          </cell>
          <cell r="C10508" t="str">
            <v>Kg</v>
          </cell>
          <cell r="D10508">
            <v>16000</v>
          </cell>
        </row>
        <row r="10509">
          <cell r="A10509">
            <v>45708</v>
          </cell>
          <cell r="B10509" t="str">
            <v>Trái Mâm Xôi</v>
          </cell>
          <cell r="C10509" t="str">
            <v>Hộp</v>
          </cell>
          <cell r="D10509">
            <v>35000</v>
          </cell>
        </row>
        <row r="10510">
          <cell r="A10510">
            <v>45708</v>
          </cell>
          <cell r="B10510" t="str">
            <v>Đậu Đỏ</v>
          </cell>
          <cell r="C10510" t="str">
            <v>Kg</v>
          </cell>
          <cell r="D10510">
            <v>80000</v>
          </cell>
        </row>
        <row r="10511">
          <cell r="A10511">
            <v>45708</v>
          </cell>
          <cell r="B10511" t="str">
            <v>Đậu Ngự</v>
          </cell>
          <cell r="C10511" t="str">
            <v>Kg</v>
          </cell>
          <cell r="D10511">
            <v>70000</v>
          </cell>
        </row>
        <row r="10512">
          <cell r="A10512">
            <v>45708</v>
          </cell>
          <cell r="B10512" t="str">
            <v>Đậu Trắng</v>
          </cell>
          <cell r="C10512" t="str">
            <v>Kg</v>
          </cell>
          <cell r="D10512">
            <v>70000</v>
          </cell>
        </row>
        <row r="10513">
          <cell r="A10513">
            <v>45708</v>
          </cell>
          <cell r="B10513" t="str">
            <v>Cải Kale</v>
          </cell>
          <cell r="C10513" t="str">
            <v>Túi</v>
          </cell>
          <cell r="D10513">
            <v>3900</v>
          </cell>
        </row>
        <row r="10514">
          <cell r="A10514">
            <v>45708</v>
          </cell>
          <cell r="B10514" t="str">
            <v>Lá Mè</v>
          </cell>
          <cell r="C10514" t="str">
            <v>Túi</v>
          </cell>
          <cell r="D10514">
            <v>2500</v>
          </cell>
        </row>
        <row r="10515">
          <cell r="A10515">
            <v>45708</v>
          </cell>
          <cell r="B10515" t="str">
            <v>Ớt Sweet Palemo</v>
          </cell>
          <cell r="C10515" t="str">
            <v>Túi</v>
          </cell>
          <cell r="D10515">
            <v>17000</v>
          </cell>
        </row>
        <row r="10516">
          <cell r="A10516">
            <v>45708</v>
          </cell>
          <cell r="B10516" t="str">
            <v>Cần Tây</v>
          </cell>
          <cell r="C10516" t="str">
            <v>Kg</v>
          </cell>
          <cell r="D10516">
            <v>10000</v>
          </cell>
        </row>
        <row r="10517">
          <cell r="A10517">
            <v>45708</v>
          </cell>
          <cell r="B10517" t="str">
            <v>Xà Lách Lolo Xanh</v>
          </cell>
          <cell r="C10517" t="str">
            <v>Kg</v>
          </cell>
          <cell r="D10517">
            <v>8000</v>
          </cell>
        </row>
        <row r="10518">
          <cell r="A10518">
            <v>45708</v>
          </cell>
          <cell r="B10518" t="str">
            <v>Xà Lách Mỡ T.C</v>
          </cell>
          <cell r="C10518" t="str">
            <v>Kg</v>
          </cell>
          <cell r="D10518">
            <v>21000</v>
          </cell>
        </row>
        <row r="10519">
          <cell r="A10519">
            <v>45708</v>
          </cell>
          <cell r="B10519" t="str">
            <v>Xà Lách Thủy Tinh T.C Cây</v>
          </cell>
          <cell r="C10519" t="str">
            <v>Cây</v>
          </cell>
          <cell r="D10519">
            <v>6800</v>
          </cell>
        </row>
        <row r="10520">
          <cell r="A10520">
            <v>45708</v>
          </cell>
          <cell r="B10520" t="str">
            <v>Xà Lách Lolo Xanh T.C Cây</v>
          </cell>
          <cell r="C10520" t="str">
            <v>Cây</v>
          </cell>
          <cell r="D10520">
            <v>6800</v>
          </cell>
        </row>
        <row r="10521">
          <cell r="A10521">
            <v>45708</v>
          </cell>
          <cell r="B10521" t="str">
            <v>Xà Lách Thủy Tinh T.C Cây</v>
          </cell>
          <cell r="C10521" t="str">
            <v>Cây</v>
          </cell>
          <cell r="D10521">
            <v>6800</v>
          </cell>
        </row>
        <row r="10522">
          <cell r="A10522">
            <v>45708</v>
          </cell>
          <cell r="B10522" t="str">
            <v>Bông Cải Xanh Baby</v>
          </cell>
          <cell r="C10522" t="str">
            <v>Vỉ</v>
          </cell>
          <cell r="D10522">
            <v>6000</v>
          </cell>
        </row>
        <row r="10523">
          <cell r="A10523">
            <v>45708</v>
          </cell>
          <cell r="B10523" t="str">
            <v>Củ Cải Đỏ</v>
          </cell>
          <cell r="C10523" t="str">
            <v>Hộp</v>
          </cell>
          <cell r="D10523">
            <v>10000</v>
          </cell>
        </row>
        <row r="10524">
          <cell r="A10524">
            <v>45708</v>
          </cell>
          <cell r="B10524" t="str">
            <v>Xà Lách Lolo Xanh</v>
          </cell>
          <cell r="C10524" t="str">
            <v>Kg</v>
          </cell>
          <cell r="D10524">
            <v>9000</v>
          </cell>
        </row>
        <row r="10525">
          <cell r="A10525">
            <v>45708</v>
          </cell>
          <cell r="B10525" t="str">
            <v>Xà Lách Lolo Xanh</v>
          </cell>
          <cell r="C10525" t="str">
            <v>Kg</v>
          </cell>
          <cell r="D10525">
            <v>6000</v>
          </cell>
        </row>
        <row r="10526">
          <cell r="A10526">
            <v>45708</v>
          </cell>
          <cell r="B10526" t="str">
            <v>Ớt Sweet Palemo</v>
          </cell>
          <cell r="C10526" t="str">
            <v>Túi</v>
          </cell>
          <cell r="D10526">
            <v>16000</v>
          </cell>
        </row>
        <row r="10527">
          <cell r="A10527">
            <v>45708</v>
          </cell>
          <cell r="B10527" t="str">
            <v>Cà Chua Beef Trung</v>
          </cell>
          <cell r="C10527" t="str">
            <v>Vỉ 500gr</v>
          </cell>
          <cell r="D10527">
            <v>8000</v>
          </cell>
        </row>
        <row r="10528">
          <cell r="A10528">
            <v>45708</v>
          </cell>
          <cell r="B10528" t="str">
            <v>Lá Mè</v>
          </cell>
          <cell r="C10528" t="str">
            <v>Túi</v>
          </cell>
          <cell r="D10528">
            <v>2800</v>
          </cell>
        </row>
        <row r="10529">
          <cell r="A10529">
            <v>45708</v>
          </cell>
          <cell r="B10529" t="str">
            <v>Dưa Leo Baby</v>
          </cell>
          <cell r="C10529" t="str">
            <v>Vỉ</v>
          </cell>
          <cell r="D10529">
            <v>9000</v>
          </cell>
        </row>
        <row r="10530">
          <cell r="A10530">
            <v>45708</v>
          </cell>
          <cell r="B10530" t="str">
            <v>Cà Rốt Baby</v>
          </cell>
          <cell r="C10530" t="str">
            <v>Vỉ</v>
          </cell>
          <cell r="D10530">
            <v>6000</v>
          </cell>
        </row>
        <row r="10531">
          <cell r="A10531">
            <v>45708</v>
          </cell>
          <cell r="B10531" t="str">
            <v>Cải Cầu Vồng</v>
          </cell>
          <cell r="C10531" t="str">
            <v>Túi</v>
          </cell>
          <cell r="D10531">
            <v>3000</v>
          </cell>
        </row>
        <row r="10532">
          <cell r="A10532">
            <v>45708</v>
          </cell>
          <cell r="B10532" t="str">
            <v>Cải Kale</v>
          </cell>
          <cell r="C10532" t="str">
            <v>Túi</v>
          </cell>
          <cell r="D10532">
            <v>3300</v>
          </cell>
        </row>
        <row r="10533">
          <cell r="A10533">
            <v>45708</v>
          </cell>
          <cell r="B10533" t="str">
            <v>Cải Kale</v>
          </cell>
          <cell r="C10533" t="str">
            <v>Túi 150gr</v>
          </cell>
          <cell r="D10533">
            <v>1900</v>
          </cell>
        </row>
        <row r="10534">
          <cell r="A10534">
            <v>45708</v>
          </cell>
          <cell r="B10534" t="str">
            <v>Cà Chua Beef</v>
          </cell>
          <cell r="C10534" t="str">
            <v>Kg</v>
          </cell>
          <cell r="D10534">
            <v>13000</v>
          </cell>
        </row>
        <row r="10535">
          <cell r="A10535">
            <v>45708</v>
          </cell>
          <cell r="B10535" t="str">
            <v>Cà Chua Beef</v>
          </cell>
          <cell r="C10535" t="str">
            <v>Vỉ 650gr</v>
          </cell>
          <cell r="D10535">
            <v>9100</v>
          </cell>
        </row>
        <row r="10536">
          <cell r="A10536">
            <v>45708</v>
          </cell>
          <cell r="B10536" t="str">
            <v>Cà Chua Beef Trung</v>
          </cell>
          <cell r="C10536" t="str">
            <v>Vỉ 500gr</v>
          </cell>
          <cell r="D10536">
            <v>7000</v>
          </cell>
        </row>
        <row r="10537">
          <cell r="A10537">
            <v>45708</v>
          </cell>
          <cell r="B10537" t="str">
            <v>Cải Bó Xôi</v>
          </cell>
          <cell r="C10537" t="str">
            <v>Túi</v>
          </cell>
          <cell r="D10537">
            <v>5100</v>
          </cell>
        </row>
        <row r="10538">
          <cell r="A10538">
            <v>45708</v>
          </cell>
          <cell r="B10538" t="str">
            <v>Cà Chua Bi Mix</v>
          </cell>
          <cell r="C10538" t="str">
            <v>Hộp</v>
          </cell>
          <cell r="D10538">
            <v>10200</v>
          </cell>
        </row>
        <row r="10539">
          <cell r="A10539">
            <v>45708</v>
          </cell>
          <cell r="B10539" t="str">
            <v>Cải Kale</v>
          </cell>
          <cell r="C10539" t="str">
            <v>Túi</v>
          </cell>
          <cell r="D10539">
            <v>4200</v>
          </cell>
        </row>
        <row r="10540">
          <cell r="A10540">
            <v>45708</v>
          </cell>
          <cell r="B10540" t="str">
            <v>Cà Rốt</v>
          </cell>
          <cell r="C10540" t="str">
            <v>Kg</v>
          </cell>
          <cell r="D10540">
            <v>6500</v>
          </cell>
        </row>
        <row r="10541">
          <cell r="A10541">
            <v>45708</v>
          </cell>
          <cell r="B10541" t="str">
            <v>Bí Ngòi Xanh</v>
          </cell>
          <cell r="C10541" t="str">
            <v>Kg</v>
          </cell>
          <cell r="D10541">
            <v>15500</v>
          </cell>
        </row>
        <row r="10542">
          <cell r="A10542">
            <v>45708</v>
          </cell>
          <cell r="B10542" t="str">
            <v>Xà Lách Mỡ T.C</v>
          </cell>
          <cell r="C10542" t="str">
            <v>Kg</v>
          </cell>
          <cell r="D10542">
            <v>26000</v>
          </cell>
        </row>
        <row r="10543">
          <cell r="A10543">
            <v>45708</v>
          </cell>
          <cell r="B10543" t="str">
            <v>Xà Lách Lolo Xanh T.C</v>
          </cell>
          <cell r="C10543" t="str">
            <v>Kg</v>
          </cell>
          <cell r="D10543">
            <v>26000</v>
          </cell>
        </row>
        <row r="10544">
          <cell r="A10544">
            <v>45708</v>
          </cell>
          <cell r="B10544" t="str">
            <v>Xà Lách Thủy Tinh T.C Cây</v>
          </cell>
          <cell r="C10544" t="str">
            <v>Cây</v>
          </cell>
          <cell r="D10544">
            <v>7500</v>
          </cell>
        </row>
        <row r="10545">
          <cell r="A10545">
            <v>45708</v>
          </cell>
          <cell r="B10545" t="str">
            <v>Dưa Leo Thường</v>
          </cell>
          <cell r="C10545" t="str">
            <v>Kg</v>
          </cell>
          <cell r="D10545">
            <v>11000</v>
          </cell>
        </row>
        <row r="10546">
          <cell r="A10546">
            <v>45708</v>
          </cell>
          <cell r="B10546" t="str">
            <v>Trái Khổ Qua</v>
          </cell>
          <cell r="C10546" t="str">
            <v>Kg</v>
          </cell>
          <cell r="D10546">
            <v>13000</v>
          </cell>
        </row>
        <row r="10547">
          <cell r="A10547">
            <v>45708</v>
          </cell>
          <cell r="B10547" t="str">
            <v>Cà Tím</v>
          </cell>
          <cell r="C10547" t="str">
            <v>Kg</v>
          </cell>
          <cell r="D10547">
            <v>8000</v>
          </cell>
        </row>
        <row r="10548">
          <cell r="A10548">
            <v>45708</v>
          </cell>
          <cell r="B10548" t="str">
            <v>Bí Non Nhật</v>
          </cell>
          <cell r="C10548" t="str">
            <v>Kg</v>
          </cell>
          <cell r="D10548">
            <v>10000</v>
          </cell>
        </row>
        <row r="10549">
          <cell r="A10549">
            <v>45708</v>
          </cell>
          <cell r="B10549" t="str">
            <v>Bí Đỏ Hồ Lô</v>
          </cell>
          <cell r="C10549" t="str">
            <v>Kg</v>
          </cell>
          <cell r="D10549">
            <v>7500</v>
          </cell>
        </row>
        <row r="10550">
          <cell r="A10550">
            <v>45708</v>
          </cell>
          <cell r="B10550" t="str">
            <v>Củ Khoai Mỡ</v>
          </cell>
          <cell r="C10550" t="str">
            <v>Kg</v>
          </cell>
          <cell r="D10550">
            <v>26000</v>
          </cell>
        </row>
        <row r="10551">
          <cell r="A10551">
            <v>45708</v>
          </cell>
          <cell r="B10551" t="str">
            <v>Củ Gừng</v>
          </cell>
          <cell r="C10551" t="str">
            <v>Kg</v>
          </cell>
          <cell r="D10551">
            <v>18000</v>
          </cell>
        </row>
        <row r="10552">
          <cell r="A10552">
            <v>45708</v>
          </cell>
          <cell r="B10552" t="str">
            <v>Hành Paro</v>
          </cell>
          <cell r="C10552" t="str">
            <v>Kg</v>
          </cell>
          <cell r="D10552">
            <v>11500</v>
          </cell>
        </row>
        <row r="10553">
          <cell r="A10553">
            <v>45708</v>
          </cell>
          <cell r="B10553" t="str">
            <v>Rau Bầu Đất</v>
          </cell>
          <cell r="C10553" t="str">
            <v>Kg</v>
          </cell>
          <cell r="D10553">
            <v>35000</v>
          </cell>
        </row>
        <row r="10554">
          <cell r="A10554">
            <v>45708</v>
          </cell>
          <cell r="B10554" t="str">
            <v>Bông Atiso</v>
          </cell>
          <cell r="C10554" t="str">
            <v>Kg</v>
          </cell>
          <cell r="D10554">
            <v>170000</v>
          </cell>
        </row>
        <row r="10555">
          <cell r="A10555">
            <v>45708</v>
          </cell>
          <cell r="B10555" t="str">
            <v>Măng Tây</v>
          </cell>
          <cell r="C10555" t="str">
            <v>Kg</v>
          </cell>
          <cell r="D10555">
            <v>49000</v>
          </cell>
        </row>
        <row r="10556">
          <cell r="A10556">
            <v>45708</v>
          </cell>
          <cell r="B10556" t="str">
            <v>Lá É</v>
          </cell>
          <cell r="C10556" t="str">
            <v>Kg</v>
          </cell>
          <cell r="D10556">
            <v>25000</v>
          </cell>
        </row>
        <row r="10557">
          <cell r="A10557">
            <v>45708</v>
          </cell>
          <cell r="B10557" t="str">
            <v>Đậu Cove Trắng</v>
          </cell>
          <cell r="C10557" t="str">
            <v>Túi 500gr</v>
          </cell>
          <cell r="D10557">
            <v>6000</v>
          </cell>
        </row>
        <row r="10558">
          <cell r="A10558">
            <v>45708</v>
          </cell>
          <cell r="B10558" t="str">
            <v>Đậu Cove Nhật</v>
          </cell>
          <cell r="C10558" t="str">
            <v>Túi</v>
          </cell>
          <cell r="D10558">
            <v>6000</v>
          </cell>
        </row>
        <row r="10559">
          <cell r="A10559">
            <v>45708</v>
          </cell>
          <cell r="B10559" t="str">
            <v>Bí Non Nhật</v>
          </cell>
          <cell r="C10559" t="str">
            <v>Kg</v>
          </cell>
          <cell r="D10559">
            <v>13500</v>
          </cell>
        </row>
        <row r="10560">
          <cell r="A10560">
            <v>45708</v>
          </cell>
          <cell r="B10560" t="str">
            <v>Bí Đỏ Hồ Lô</v>
          </cell>
          <cell r="C10560" t="str">
            <v>Kg</v>
          </cell>
          <cell r="D10560">
            <v>7000</v>
          </cell>
        </row>
        <row r="10561">
          <cell r="A10561">
            <v>45708</v>
          </cell>
          <cell r="B10561" t="str">
            <v>Bí Đỏ Tròn</v>
          </cell>
          <cell r="C10561" t="str">
            <v>Kg</v>
          </cell>
          <cell r="D10561">
            <v>9000</v>
          </cell>
        </row>
        <row r="10562">
          <cell r="A10562">
            <v>45708</v>
          </cell>
          <cell r="B10562" t="str">
            <v>Chuối Laba</v>
          </cell>
          <cell r="C10562" t="str">
            <v>Kg</v>
          </cell>
          <cell r="D10562">
            <v>14000</v>
          </cell>
        </row>
        <row r="10563">
          <cell r="A10563">
            <v>45708</v>
          </cell>
          <cell r="B10563" t="str">
            <v>Lá Nha Đam</v>
          </cell>
          <cell r="C10563" t="str">
            <v>Kg</v>
          </cell>
          <cell r="D10563">
            <v>14000</v>
          </cell>
        </row>
        <row r="10564">
          <cell r="A10564">
            <v>45708</v>
          </cell>
          <cell r="B10564" t="str">
            <v>Trái Su Su</v>
          </cell>
          <cell r="C10564" t="str">
            <v>Kg</v>
          </cell>
          <cell r="D10564">
            <v>4500</v>
          </cell>
        </row>
        <row r="10565">
          <cell r="A10565">
            <v>45708</v>
          </cell>
          <cell r="B10565" t="str">
            <v>Củ Khoai Mỡ</v>
          </cell>
          <cell r="C10565" t="str">
            <v>Kg</v>
          </cell>
          <cell r="D10565">
            <v>26000</v>
          </cell>
        </row>
        <row r="10566">
          <cell r="A10566">
            <v>45708</v>
          </cell>
          <cell r="B10566" t="str">
            <v>Củ Su Hào</v>
          </cell>
          <cell r="C10566" t="str">
            <v>Kg</v>
          </cell>
          <cell r="D10566">
            <v>8000</v>
          </cell>
        </row>
        <row r="10567">
          <cell r="A10567">
            <v>45708</v>
          </cell>
          <cell r="B10567" t="str">
            <v>Cà Rốt</v>
          </cell>
          <cell r="C10567" t="str">
            <v>Kg</v>
          </cell>
          <cell r="D10567">
            <v>6000</v>
          </cell>
        </row>
        <row r="10568">
          <cell r="A10568">
            <v>45708</v>
          </cell>
          <cell r="B10568" t="str">
            <v>Củ Cải Trắng</v>
          </cell>
          <cell r="C10568" t="str">
            <v>Kg</v>
          </cell>
          <cell r="D10568">
            <v>4000</v>
          </cell>
        </row>
        <row r="10569">
          <cell r="A10569">
            <v>45708</v>
          </cell>
          <cell r="B10569" t="str">
            <v>Cà Chua Thường</v>
          </cell>
          <cell r="C10569" t="str">
            <v>Kg</v>
          </cell>
          <cell r="D10569">
            <v>18000</v>
          </cell>
        </row>
        <row r="10570">
          <cell r="A10570">
            <v>45708</v>
          </cell>
          <cell r="B10570" t="str">
            <v>Cải Thảo</v>
          </cell>
          <cell r="C10570" t="str">
            <v>Kg</v>
          </cell>
          <cell r="D10570">
            <v>4000</v>
          </cell>
        </row>
        <row r="10571">
          <cell r="A10571">
            <v>45708</v>
          </cell>
          <cell r="B10571" t="str">
            <v>Ớt Chuông Đỏ</v>
          </cell>
          <cell r="C10571" t="str">
            <v>Kg</v>
          </cell>
          <cell r="D10571">
            <v>22000</v>
          </cell>
        </row>
        <row r="10572">
          <cell r="A10572">
            <v>45708</v>
          </cell>
          <cell r="B10572" t="str">
            <v>Ớt Chuông Vàng</v>
          </cell>
          <cell r="C10572" t="str">
            <v>Kg</v>
          </cell>
          <cell r="D10572">
            <v>32000</v>
          </cell>
        </row>
        <row r="10573">
          <cell r="A10573">
            <v>45708</v>
          </cell>
          <cell r="B10573" t="str">
            <v>Ớt Chuông Xanh</v>
          </cell>
          <cell r="C10573" t="str">
            <v>Kg</v>
          </cell>
          <cell r="D10573">
            <v>28000</v>
          </cell>
        </row>
        <row r="10574">
          <cell r="A10574">
            <v>45708</v>
          </cell>
          <cell r="B10574" t="str">
            <v>Dưa Leo Baby</v>
          </cell>
          <cell r="C10574" t="str">
            <v>Vỉ</v>
          </cell>
          <cell r="D10574">
            <v>9000</v>
          </cell>
        </row>
        <row r="10575">
          <cell r="A10575">
            <v>45708</v>
          </cell>
          <cell r="B10575" t="str">
            <v>Dưa Leo Thường</v>
          </cell>
          <cell r="C10575" t="str">
            <v>Kg</v>
          </cell>
          <cell r="D10575">
            <v>15000</v>
          </cell>
        </row>
        <row r="10576">
          <cell r="A10576">
            <v>45708</v>
          </cell>
          <cell r="B10576" t="str">
            <v>Đậu Cove Trắng</v>
          </cell>
          <cell r="C10576" t="str">
            <v>Túi 500gr</v>
          </cell>
          <cell r="D10576">
            <v>7000</v>
          </cell>
        </row>
        <row r="10577">
          <cell r="A10577">
            <v>45708</v>
          </cell>
          <cell r="B10577" t="str">
            <v>Đậu Cove Trắng</v>
          </cell>
          <cell r="C10577" t="str">
            <v>Túi 300gr</v>
          </cell>
          <cell r="D10577">
            <v>5500</v>
          </cell>
        </row>
        <row r="10578">
          <cell r="A10578">
            <v>45708</v>
          </cell>
          <cell r="B10578" t="str">
            <v>Dưa Leo Nhật</v>
          </cell>
          <cell r="C10578" t="str">
            <v>Kg</v>
          </cell>
          <cell r="D10578">
            <v>15000</v>
          </cell>
        </row>
        <row r="10579">
          <cell r="A10579">
            <v>45708</v>
          </cell>
          <cell r="B10579" t="str">
            <v>Cà Chua Bi Đỏ</v>
          </cell>
          <cell r="C10579" t="str">
            <v>Hộp 500gr</v>
          </cell>
          <cell r="D10579">
            <v>10000</v>
          </cell>
        </row>
        <row r="10580">
          <cell r="A10580">
            <v>45708</v>
          </cell>
          <cell r="B10580" t="str">
            <v>Cà Chua Bi Đỏ</v>
          </cell>
          <cell r="C10580" t="str">
            <v>Hộp 300gr</v>
          </cell>
          <cell r="D10580">
            <v>6000</v>
          </cell>
        </row>
        <row r="10581">
          <cell r="A10581">
            <v>45708</v>
          </cell>
          <cell r="B10581" t="str">
            <v>Ớt Chuông Đỏ</v>
          </cell>
          <cell r="C10581" t="str">
            <v>Kg</v>
          </cell>
          <cell r="D10581">
            <v>26000</v>
          </cell>
        </row>
        <row r="10582">
          <cell r="A10582">
            <v>45708</v>
          </cell>
          <cell r="B10582" t="str">
            <v>Ớt Chuông Vàng</v>
          </cell>
          <cell r="C10582" t="str">
            <v>Kg</v>
          </cell>
          <cell r="D10582">
            <v>35000</v>
          </cell>
        </row>
        <row r="10583">
          <cell r="A10583">
            <v>45708</v>
          </cell>
          <cell r="B10583" t="str">
            <v>Ớt Chuông Xanh</v>
          </cell>
          <cell r="C10583" t="str">
            <v>Kg</v>
          </cell>
          <cell r="D10583">
            <v>30000</v>
          </cell>
        </row>
        <row r="10584">
          <cell r="A10584">
            <v>45708</v>
          </cell>
          <cell r="B10584" t="str">
            <v>Ớt Chuông Snack</v>
          </cell>
          <cell r="C10584" t="str">
            <v>Kg</v>
          </cell>
          <cell r="D10584">
            <v>55000</v>
          </cell>
        </row>
        <row r="10585">
          <cell r="A10585">
            <v>45708</v>
          </cell>
          <cell r="B10585" t="str">
            <v>Ớt Chuông Baby</v>
          </cell>
          <cell r="C10585" t="str">
            <v>Kg</v>
          </cell>
          <cell r="D10585">
            <v>42000</v>
          </cell>
        </row>
        <row r="10586">
          <cell r="A10586">
            <v>45708</v>
          </cell>
          <cell r="B10586" t="str">
            <v>Ớt Chuông Đỏ Trung</v>
          </cell>
          <cell r="C10586" t="str">
            <v>Kg</v>
          </cell>
          <cell r="D10586">
            <v>21000</v>
          </cell>
        </row>
        <row r="10587">
          <cell r="A10587">
            <v>45708</v>
          </cell>
          <cell r="B10587" t="str">
            <v>Ớt Chuông Vàng Trung</v>
          </cell>
          <cell r="C10587" t="str">
            <v>Kg</v>
          </cell>
          <cell r="D10587">
            <v>30000</v>
          </cell>
        </row>
        <row r="10588">
          <cell r="A10588">
            <v>45708</v>
          </cell>
          <cell r="B10588" t="str">
            <v>Ớt Chuông Xanh Trung</v>
          </cell>
          <cell r="C10588" t="str">
            <v>Kg</v>
          </cell>
          <cell r="D10588">
            <v>25000</v>
          </cell>
        </row>
        <row r="10589">
          <cell r="A10589">
            <v>45708</v>
          </cell>
          <cell r="B10589" t="str">
            <v>Ớt Chuông Đỏ</v>
          </cell>
          <cell r="C10589" t="str">
            <v>Kg</v>
          </cell>
          <cell r="D10589">
            <v>21000</v>
          </cell>
        </row>
        <row r="10590">
          <cell r="A10590">
            <v>45708</v>
          </cell>
          <cell r="B10590" t="str">
            <v>Ớt Chuông Xanh</v>
          </cell>
          <cell r="C10590" t="str">
            <v>Kg</v>
          </cell>
          <cell r="D10590">
            <v>27000</v>
          </cell>
        </row>
        <row r="10591">
          <cell r="A10591">
            <v>45708</v>
          </cell>
          <cell r="B10591" t="str">
            <v>Củ Khoai Lang Nhật</v>
          </cell>
          <cell r="C10591" t="str">
            <v>Kg</v>
          </cell>
          <cell r="D10591">
            <v>16500</v>
          </cell>
        </row>
        <row r="10592">
          <cell r="A10592">
            <v>45708</v>
          </cell>
          <cell r="B10592" t="str">
            <v>Xà Lách Mỡ T.C</v>
          </cell>
          <cell r="C10592" t="str">
            <v>Kg</v>
          </cell>
          <cell r="D10592">
            <v>24000</v>
          </cell>
        </row>
        <row r="10593">
          <cell r="A10593">
            <v>45708</v>
          </cell>
          <cell r="B10593" t="str">
            <v>Xà Lách Thủy Tinh T.C</v>
          </cell>
          <cell r="C10593" t="str">
            <v>Kg</v>
          </cell>
          <cell r="D10593">
            <v>25000</v>
          </cell>
        </row>
        <row r="10594">
          <cell r="A10594">
            <v>45708</v>
          </cell>
          <cell r="B10594" t="str">
            <v>Xà Lách Lolo Xanh T.C</v>
          </cell>
          <cell r="C10594" t="str">
            <v>Kg</v>
          </cell>
          <cell r="D10594">
            <v>25000</v>
          </cell>
        </row>
        <row r="10595">
          <cell r="A10595">
            <v>45708</v>
          </cell>
          <cell r="B10595" t="str">
            <v>Xà Lách Mỹ</v>
          </cell>
          <cell r="C10595" t="str">
            <v>Kg</v>
          </cell>
          <cell r="D10595">
            <v>12000</v>
          </cell>
        </row>
        <row r="10596">
          <cell r="A10596">
            <v>45708</v>
          </cell>
          <cell r="B10596" t="str">
            <v>CT - BÍ NGÒI XANH</v>
          </cell>
          <cell r="C10596" t="str">
            <v>Kg</v>
          </cell>
          <cell r="D10596">
            <v>15000</v>
          </cell>
        </row>
        <row r="10597">
          <cell r="A10597">
            <v>45708</v>
          </cell>
          <cell r="B10597" t="str">
            <v>Xà Lách Thủy Tinh T.C Cây</v>
          </cell>
          <cell r="C10597" t="str">
            <v>Cây</v>
          </cell>
          <cell r="D10597">
            <v>5000</v>
          </cell>
        </row>
        <row r="10598">
          <cell r="A10598">
            <v>45708</v>
          </cell>
          <cell r="B10598" t="str">
            <v>Củ Khoai Tây Vàng</v>
          </cell>
          <cell r="C10598" t="str">
            <v>Kg</v>
          </cell>
          <cell r="D10598">
            <v>10800</v>
          </cell>
        </row>
        <row r="10599">
          <cell r="A10599">
            <v>45708</v>
          </cell>
          <cell r="B10599" t="str">
            <v>Bắp Cải Trắng</v>
          </cell>
          <cell r="C10599" t="str">
            <v>Kg</v>
          </cell>
          <cell r="D10599">
            <v>4500</v>
          </cell>
        </row>
        <row r="10600">
          <cell r="A10600">
            <v>45709</v>
          </cell>
          <cell r="B10600" t="str">
            <v>DO 0.05S-II</v>
          </cell>
          <cell r="C10600" t="str">
            <v>Lít</v>
          </cell>
          <cell r="D10600">
            <v>17672.73</v>
          </cell>
        </row>
        <row r="10601">
          <cell r="A10601">
            <v>45709</v>
          </cell>
          <cell r="B10601" t="str">
            <v>Củ Khoai Lang Mật Size 46</v>
          </cell>
          <cell r="C10601" t="str">
            <v>Kg</v>
          </cell>
          <cell r="D10601">
            <v>25000</v>
          </cell>
        </row>
        <row r="10602">
          <cell r="A10602">
            <v>45709</v>
          </cell>
          <cell r="B10602" t="str">
            <v>Cải Thảo Hỏa Tiễn</v>
          </cell>
          <cell r="C10602" t="str">
            <v>Kg</v>
          </cell>
          <cell r="D10602">
            <v>14000</v>
          </cell>
        </row>
        <row r="10603">
          <cell r="A10603">
            <v>45709</v>
          </cell>
          <cell r="B10603" t="str">
            <v>Bông Cải Xanh 7Cm</v>
          </cell>
          <cell r="C10603" t="str">
            <v>Kg</v>
          </cell>
          <cell r="D10603">
            <v>25000</v>
          </cell>
        </row>
        <row r="10604">
          <cell r="A10604">
            <v>45709</v>
          </cell>
          <cell r="B10604" t="str">
            <v>Gia Công Rau Củ Quả</v>
          </cell>
          <cell r="C10604" t="str">
            <v>Kg</v>
          </cell>
          <cell r="D10604">
            <v>1700</v>
          </cell>
        </row>
        <row r="10605">
          <cell r="A10605">
            <v>45709</v>
          </cell>
          <cell r="B10605" t="str">
            <v>Gia Công Rau Củ Quả</v>
          </cell>
          <cell r="C10605" t="str">
            <v>Kg</v>
          </cell>
          <cell r="D10605">
            <v>1000</v>
          </cell>
        </row>
        <row r="10606">
          <cell r="A10606">
            <v>45709</v>
          </cell>
          <cell r="B10606" t="str">
            <v>Hồng Treo Gió</v>
          </cell>
          <cell r="C10606" t="str">
            <v>Kg</v>
          </cell>
          <cell r="D10606">
            <v>200000</v>
          </cell>
        </row>
        <row r="10607">
          <cell r="A10607">
            <v>45709</v>
          </cell>
          <cell r="B10607" t="str">
            <v>Dưa Leo Baby</v>
          </cell>
          <cell r="C10607" t="str">
            <v>Kg</v>
          </cell>
          <cell r="D10607">
            <v>9500</v>
          </cell>
        </row>
        <row r="10608">
          <cell r="A10608">
            <v>45709</v>
          </cell>
          <cell r="B10608" t="str">
            <v>Trái Su Su</v>
          </cell>
          <cell r="C10608" t="str">
            <v>Kg</v>
          </cell>
          <cell r="D10608">
            <v>3000</v>
          </cell>
        </row>
        <row r="10609">
          <cell r="A10609">
            <v>45709</v>
          </cell>
          <cell r="B10609" t="str">
            <v>Dưa Leo Baby</v>
          </cell>
          <cell r="C10609" t="str">
            <v>Kg</v>
          </cell>
          <cell r="D10609">
            <v>14000</v>
          </cell>
        </row>
        <row r="10610">
          <cell r="A10610">
            <v>45709</v>
          </cell>
          <cell r="B10610" t="str">
            <v>Dưa Leo Baby</v>
          </cell>
          <cell r="C10610" t="str">
            <v>Vỉ</v>
          </cell>
          <cell r="D10610">
            <v>7500</v>
          </cell>
        </row>
        <row r="10611">
          <cell r="A10611">
            <v>45709</v>
          </cell>
          <cell r="B10611" t="str">
            <v>Cà Chua Socola</v>
          </cell>
          <cell r="C10611" t="str">
            <v>Hộp 250GR</v>
          </cell>
          <cell r="D10611">
            <v>7500</v>
          </cell>
        </row>
        <row r="10612">
          <cell r="A10612">
            <v>45709</v>
          </cell>
          <cell r="B10612" t="str">
            <v>Cải Bó Xôi</v>
          </cell>
          <cell r="C10612" t="str">
            <v>Kg</v>
          </cell>
          <cell r="D10612">
            <v>12000</v>
          </cell>
        </row>
        <row r="10613">
          <cell r="A10613">
            <v>45709</v>
          </cell>
          <cell r="B10613" t="str">
            <v>Cần Tây</v>
          </cell>
          <cell r="C10613" t="str">
            <v>Kg</v>
          </cell>
          <cell r="D10613">
            <v>11000</v>
          </cell>
        </row>
        <row r="10614">
          <cell r="A10614">
            <v>45709</v>
          </cell>
          <cell r="B10614" t="str">
            <v>Bông Cải Xanh 7Cm</v>
          </cell>
          <cell r="C10614" t="str">
            <v>Kg</v>
          </cell>
          <cell r="D10614">
            <v>22000</v>
          </cell>
        </row>
        <row r="10615">
          <cell r="A10615">
            <v>45709</v>
          </cell>
          <cell r="B10615" t="str">
            <v>Hành Paro</v>
          </cell>
          <cell r="C10615" t="str">
            <v>Kg</v>
          </cell>
          <cell r="D10615">
            <v>10000</v>
          </cell>
        </row>
        <row r="10616">
          <cell r="A10616">
            <v>45709</v>
          </cell>
          <cell r="B10616" t="str">
            <v>Bông Cải Trắng</v>
          </cell>
          <cell r="C10616" t="str">
            <v>Kg</v>
          </cell>
          <cell r="D10616">
            <v>12000</v>
          </cell>
        </row>
        <row r="10617">
          <cell r="A10617">
            <v>45709</v>
          </cell>
          <cell r="B10617" t="str">
            <v>Bắp Cải Tím</v>
          </cell>
          <cell r="C10617" t="str">
            <v>Kg</v>
          </cell>
          <cell r="D10617">
            <v>17000</v>
          </cell>
        </row>
        <row r="10618">
          <cell r="A10618">
            <v>45709</v>
          </cell>
          <cell r="B10618" t="str">
            <v>Cần Tây</v>
          </cell>
          <cell r="C10618" t="str">
            <v>Kg</v>
          </cell>
          <cell r="D10618">
            <v>11000</v>
          </cell>
        </row>
        <row r="10619">
          <cell r="A10619">
            <v>45709</v>
          </cell>
          <cell r="B10619" t="str">
            <v>Bắp Cải Tím</v>
          </cell>
          <cell r="C10619" t="str">
            <v>Kg</v>
          </cell>
          <cell r="D10619">
            <v>12000</v>
          </cell>
        </row>
        <row r="10620">
          <cell r="A10620">
            <v>45709</v>
          </cell>
          <cell r="B10620" t="str">
            <v>Củ Dền</v>
          </cell>
          <cell r="C10620" t="str">
            <v>Kg</v>
          </cell>
          <cell r="D10620">
            <v>9000</v>
          </cell>
        </row>
        <row r="10621">
          <cell r="A10621">
            <v>45709</v>
          </cell>
          <cell r="B10621" t="str">
            <v>Bông Cải Xanh 12Cm</v>
          </cell>
          <cell r="C10621" t="str">
            <v>Kg</v>
          </cell>
          <cell r="D10621">
            <v>15000</v>
          </cell>
        </row>
        <row r="10622">
          <cell r="A10622">
            <v>45709</v>
          </cell>
          <cell r="B10622" t="str">
            <v>Cà Chua Socola</v>
          </cell>
          <cell r="C10622" t="str">
            <v>Kg</v>
          </cell>
          <cell r="D10622">
            <v>26000</v>
          </cell>
        </row>
        <row r="10623">
          <cell r="A10623">
            <v>45709</v>
          </cell>
          <cell r="B10623" t="str">
            <v>Lá Mè</v>
          </cell>
          <cell r="C10623" t="str">
            <v>Túi</v>
          </cell>
          <cell r="D10623">
            <v>2400</v>
          </cell>
        </row>
        <row r="10624">
          <cell r="A10624">
            <v>45709</v>
          </cell>
          <cell r="B10624" t="str">
            <v>Trái Mâm Xôi</v>
          </cell>
          <cell r="C10624" t="str">
            <v>Hộp</v>
          </cell>
          <cell r="D10624">
            <v>35000</v>
          </cell>
        </row>
        <row r="10625">
          <cell r="A10625">
            <v>45709</v>
          </cell>
          <cell r="B10625" t="str">
            <v>Hành Paro</v>
          </cell>
          <cell r="C10625" t="str">
            <v>Kg</v>
          </cell>
          <cell r="D10625">
            <v>11500</v>
          </cell>
        </row>
        <row r="10626">
          <cell r="A10626">
            <v>45709</v>
          </cell>
          <cell r="B10626" t="str">
            <v>Cần Tây</v>
          </cell>
          <cell r="C10626" t="str">
            <v>Kg</v>
          </cell>
          <cell r="D10626">
            <v>10000</v>
          </cell>
        </row>
        <row r="10627">
          <cell r="A10627">
            <v>45709</v>
          </cell>
          <cell r="B10627" t="str">
            <v>Xà Lách Thủy Tinh T.C Cây</v>
          </cell>
          <cell r="C10627" t="str">
            <v>Cây</v>
          </cell>
          <cell r="D10627">
            <v>5000</v>
          </cell>
        </row>
        <row r="10628">
          <cell r="A10628">
            <v>45709</v>
          </cell>
          <cell r="B10628" t="str">
            <v>Cải Thảo</v>
          </cell>
          <cell r="C10628" t="str">
            <v>Kg</v>
          </cell>
          <cell r="D10628">
            <v>4000</v>
          </cell>
        </row>
        <row r="10629">
          <cell r="A10629">
            <v>45709</v>
          </cell>
          <cell r="B10629" t="str">
            <v>Cà Rốt</v>
          </cell>
          <cell r="C10629" t="str">
            <v>Kg</v>
          </cell>
          <cell r="D10629">
            <v>6500</v>
          </cell>
        </row>
        <row r="10630">
          <cell r="A10630">
            <v>45709</v>
          </cell>
          <cell r="B10630" t="str">
            <v>Xà Lách Mỡ T.C</v>
          </cell>
          <cell r="C10630" t="str">
            <v>Kg</v>
          </cell>
          <cell r="D10630">
            <v>26000</v>
          </cell>
        </row>
        <row r="10631">
          <cell r="A10631">
            <v>45709</v>
          </cell>
          <cell r="B10631" t="str">
            <v>Xà Lách Lolo Xanh T.C</v>
          </cell>
          <cell r="C10631" t="str">
            <v>Kg</v>
          </cell>
          <cell r="D10631">
            <v>26000</v>
          </cell>
        </row>
        <row r="10632">
          <cell r="A10632">
            <v>45709</v>
          </cell>
          <cell r="B10632" t="str">
            <v>Xà Lách Thủy Tinh T.C Cây</v>
          </cell>
          <cell r="C10632" t="str">
            <v>Cây</v>
          </cell>
          <cell r="D10632">
            <v>7500</v>
          </cell>
        </row>
        <row r="10633">
          <cell r="A10633">
            <v>45709</v>
          </cell>
          <cell r="B10633" t="str">
            <v>Trái Khổ Qua</v>
          </cell>
          <cell r="C10633" t="str">
            <v>Kg</v>
          </cell>
          <cell r="D10633">
            <v>13000</v>
          </cell>
        </row>
        <row r="10634">
          <cell r="A10634">
            <v>45709</v>
          </cell>
          <cell r="B10634" t="str">
            <v>Bí Đao Xanh</v>
          </cell>
          <cell r="C10634" t="str">
            <v>Kg</v>
          </cell>
          <cell r="D10634">
            <v>9000</v>
          </cell>
        </row>
        <row r="10635">
          <cell r="A10635">
            <v>45709</v>
          </cell>
          <cell r="B10635" t="str">
            <v>Dưa Leo Thường</v>
          </cell>
          <cell r="C10635" t="str">
            <v>Kg</v>
          </cell>
          <cell r="D10635">
            <v>11000</v>
          </cell>
        </row>
        <row r="10636">
          <cell r="A10636">
            <v>45709</v>
          </cell>
          <cell r="B10636" t="str">
            <v>Trái Su Su</v>
          </cell>
          <cell r="C10636" t="str">
            <v>Kg</v>
          </cell>
          <cell r="D10636">
            <v>8000</v>
          </cell>
        </row>
        <row r="10637">
          <cell r="A10637">
            <v>45709</v>
          </cell>
          <cell r="B10637" t="str">
            <v>Cà Tím</v>
          </cell>
          <cell r="C10637" t="str">
            <v>Kg</v>
          </cell>
          <cell r="D10637">
            <v>8000</v>
          </cell>
        </row>
        <row r="10638">
          <cell r="A10638">
            <v>45709</v>
          </cell>
          <cell r="B10638" t="str">
            <v>Bí Đỏ Hồ Lô</v>
          </cell>
          <cell r="C10638" t="str">
            <v>Kg</v>
          </cell>
          <cell r="D10638">
            <v>7000</v>
          </cell>
        </row>
        <row r="10639">
          <cell r="A10639">
            <v>45709</v>
          </cell>
          <cell r="B10639" t="str">
            <v>Ớt Sweet Palemo</v>
          </cell>
          <cell r="C10639" t="str">
            <v>Túi</v>
          </cell>
          <cell r="D10639">
            <v>16000</v>
          </cell>
        </row>
        <row r="10640">
          <cell r="A10640">
            <v>45709</v>
          </cell>
          <cell r="B10640" t="str">
            <v>Bông Atiso</v>
          </cell>
          <cell r="C10640" t="str">
            <v>Kg</v>
          </cell>
          <cell r="D10640">
            <v>170000</v>
          </cell>
        </row>
        <row r="10641">
          <cell r="A10641">
            <v>45709</v>
          </cell>
          <cell r="B10641" t="str">
            <v>Cà Chua Socola</v>
          </cell>
          <cell r="C10641" t="str">
            <v>Hộp 250GR</v>
          </cell>
          <cell r="D10641">
            <v>10000</v>
          </cell>
        </row>
        <row r="10642">
          <cell r="A10642">
            <v>45709</v>
          </cell>
          <cell r="B10642" t="str">
            <v>Rau Bầu Đất</v>
          </cell>
          <cell r="C10642" t="str">
            <v>Kg</v>
          </cell>
          <cell r="D10642">
            <v>35000</v>
          </cell>
        </row>
        <row r="10643">
          <cell r="A10643">
            <v>45709</v>
          </cell>
          <cell r="B10643" t="str">
            <v>Xà Lách Carol</v>
          </cell>
          <cell r="C10643" t="str">
            <v>Kg</v>
          </cell>
          <cell r="D10643">
            <v>32000</v>
          </cell>
        </row>
        <row r="10644">
          <cell r="A10644">
            <v>45709</v>
          </cell>
          <cell r="B10644" t="str">
            <v>Bông Cải Xanh 12Cm</v>
          </cell>
          <cell r="C10644" t="str">
            <v>Kg</v>
          </cell>
          <cell r="D10644">
            <v>17000</v>
          </cell>
        </row>
        <row r="10645">
          <cell r="A10645">
            <v>45709</v>
          </cell>
          <cell r="B10645" t="str">
            <v>Cần Tây</v>
          </cell>
          <cell r="C10645" t="str">
            <v>Kg</v>
          </cell>
          <cell r="D10645">
            <v>11000</v>
          </cell>
        </row>
        <row r="10646">
          <cell r="A10646">
            <v>45709</v>
          </cell>
          <cell r="B10646" t="str">
            <v>Xà Lách Mỡ T.C</v>
          </cell>
          <cell r="C10646" t="str">
            <v>Kg</v>
          </cell>
          <cell r="D10646">
            <v>24000</v>
          </cell>
        </row>
        <row r="10647">
          <cell r="A10647">
            <v>45709</v>
          </cell>
          <cell r="B10647" t="str">
            <v>Xà Lách Lolo Xanh T.C</v>
          </cell>
          <cell r="C10647" t="str">
            <v>Kg</v>
          </cell>
          <cell r="D10647">
            <v>25000</v>
          </cell>
        </row>
        <row r="10648">
          <cell r="A10648">
            <v>45709</v>
          </cell>
          <cell r="B10648" t="str">
            <v>Xà Lách Thủy Tinh T.C</v>
          </cell>
          <cell r="C10648" t="str">
            <v>Kg</v>
          </cell>
          <cell r="D10648">
            <v>25000</v>
          </cell>
        </row>
        <row r="10649">
          <cell r="A10649">
            <v>45709</v>
          </cell>
          <cell r="B10649" t="str">
            <v>Đậu Cove Trắng</v>
          </cell>
          <cell r="C10649" t="str">
            <v>Túi 500gr</v>
          </cell>
          <cell r="D10649">
            <v>7000</v>
          </cell>
        </row>
        <row r="10650">
          <cell r="A10650">
            <v>45709</v>
          </cell>
          <cell r="B10650" t="str">
            <v>Dưa Leo Nhật</v>
          </cell>
          <cell r="C10650" t="str">
            <v>Kg</v>
          </cell>
          <cell r="D10650">
            <v>15000</v>
          </cell>
        </row>
        <row r="10651">
          <cell r="A10651">
            <v>45709</v>
          </cell>
          <cell r="B10651" t="str">
            <v>Bí Non Nhật</v>
          </cell>
          <cell r="C10651" t="str">
            <v>Kg</v>
          </cell>
          <cell r="D10651">
            <v>14000</v>
          </cell>
        </row>
        <row r="10652">
          <cell r="A10652">
            <v>45709</v>
          </cell>
          <cell r="B10652" t="str">
            <v>Dưa Leo Thường</v>
          </cell>
          <cell r="C10652" t="str">
            <v>Kg</v>
          </cell>
          <cell r="D10652">
            <v>15000</v>
          </cell>
        </row>
        <row r="10653">
          <cell r="A10653">
            <v>45709</v>
          </cell>
          <cell r="B10653" t="str">
            <v>CT - BÍ NGÒI XANH</v>
          </cell>
          <cell r="C10653" t="str">
            <v>Kg</v>
          </cell>
          <cell r="D10653">
            <v>15000</v>
          </cell>
        </row>
        <row r="10654">
          <cell r="A10654">
            <v>45709</v>
          </cell>
          <cell r="B10654" t="str">
            <v>Dưa Leo Baby</v>
          </cell>
          <cell r="C10654" t="str">
            <v>Vỉ</v>
          </cell>
          <cell r="D10654">
            <v>6500</v>
          </cell>
        </row>
        <row r="10655">
          <cell r="A10655">
            <v>45709</v>
          </cell>
          <cell r="B10655" t="str">
            <v>Cà Chua Thường</v>
          </cell>
          <cell r="C10655" t="str">
            <v>Kg</v>
          </cell>
          <cell r="D10655">
            <v>17000</v>
          </cell>
        </row>
        <row r="10656">
          <cell r="A10656">
            <v>45709</v>
          </cell>
          <cell r="B10656" t="str">
            <v>Cà Chua Thường Trung</v>
          </cell>
          <cell r="C10656" t="str">
            <v>Kg</v>
          </cell>
          <cell r="D10656">
            <v>12000</v>
          </cell>
        </row>
        <row r="10657">
          <cell r="A10657">
            <v>45709</v>
          </cell>
          <cell r="B10657" t="str">
            <v>Đậu Cove Nhật</v>
          </cell>
          <cell r="C10657" t="str">
            <v>Túi</v>
          </cell>
          <cell r="D10657">
            <v>6000</v>
          </cell>
        </row>
        <row r="10658">
          <cell r="A10658">
            <v>45709</v>
          </cell>
          <cell r="B10658" t="str">
            <v>Đậu Cove Trắng</v>
          </cell>
          <cell r="C10658" t="str">
            <v>Túi 500gr</v>
          </cell>
          <cell r="D10658">
            <v>6000</v>
          </cell>
        </row>
        <row r="10659">
          <cell r="A10659">
            <v>45709</v>
          </cell>
          <cell r="B10659" t="str">
            <v>Đậu Cove Trắng</v>
          </cell>
          <cell r="C10659" t="str">
            <v>Túi 300gr</v>
          </cell>
          <cell r="D10659">
            <v>4000</v>
          </cell>
        </row>
        <row r="10660">
          <cell r="A10660">
            <v>45709</v>
          </cell>
          <cell r="B10660" t="str">
            <v>Bí Non Nhật</v>
          </cell>
          <cell r="C10660" t="str">
            <v>Kg</v>
          </cell>
          <cell r="D10660">
            <v>13500</v>
          </cell>
        </row>
        <row r="10661">
          <cell r="A10661">
            <v>45709</v>
          </cell>
          <cell r="B10661" t="str">
            <v>Cà Rốt</v>
          </cell>
          <cell r="C10661" t="str">
            <v>Kg</v>
          </cell>
          <cell r="D10661">
            <v>6500</v>
          </cell>
        </row>
        <row r="10662">
          <cell r="A10662">
            <v>45709</v>
          </cell>
          <cell r="B10662" t="str">
            <v>Trái Su Su</v>
          </cell>
          <cell r="C10662" t="str">
            <v>Kg</v>
          </cell>
          <cell r="D10662">
            <v>4000</v>
          </cell>
        </row>
        <row r="10663">
          <cell r="A10663">
            <v>45709</v>
          </cell>
          <cell r="B10663" t="str">
            <v>Bí Đỏ Hồ Lô</v>
          </cell>
          <cell r="C10663" t="str">
            <v>Kg</v>
          </cell>
          <cell r="D10663">
            <v>7000</v>
          </cell>
        </row>
        <row r="10664">
          <cell r="A10664">
            <v>45709</v>
          </cell>
          <cell r="B10664" t="str">
            <v>Chuối Laba</v>
          </cell>
          <cell r="C10664" t="str">
            <v>Kg</v>
          </cell>
          <cell r="D10664">
            <v>14000</v>
          </cell>
        </row>
        <row r="10665">
          <cell r="A10665">
            <v>45709</v>
          </cell>
          <cell r="B10665" t="str">
            <v>Bí Đỏ Tròn</v>
          </cell>
          <cell r="C10665" t="str">
            <v>Kg</v>
          </cell>
          <cell r="D10665">
            <v>10000</v>
          </cell>
        </row>
        <row r="10666">
          <cell r="A10666">
            <v>45709</v>
          </cell>
          <cell r="B10666" t="str">
            <v>Củ Su Hào</v>
          </cell>
          <cell r="C10666" t="str">
            <v>Kg</v>
          </cell>
          <cell r="D10666">
            <v>8000</v>
          </cell>
        </row>
        <row r="10667">
          <cell r="A10667">
            <v>45709</v>
          </cell>
          <cell r="B10667" t="str">
            <v>Củ Cải Trắng</v>
          </cell>
          <cell r="C10667" t="str">
            <v>Kg</v>
          </cell>
          <cell r="D10667">
            <v>4000</v>
          </cell>
        </row>
        <row r="10668">
          <cell r="A10668">
            <v>45709</v>
          </cell>
          <cell r="B10668" t="str">
            <v>Củ Khoai Lang Nhật</v>
          </cell>
          <cell r="C10668" t="str">
            <v>Kg</v>
          </cell>
          <cell r="D10668">
            <v>16500</v>
          </cell>
        </row>
        <row r="10669">
          <cell r="A10669">
            <v>45709</v>
          </cell>
          <cell r="B10669" t="str">
            <v>Ớt Chuông Xanh</v>
          </cell>
          <cell r="C10669" t="str">
            <v>Kg</v>
          </cell>
          <cell r="D10669">
            <v>27000</v>
          </cell>
        </row>
        <row r="10670">
          <cell r="A10670">
            <v>45709</v>
          </cell>
          <cell r="B10670" t="str">
            <v>Cà Chua Beef</v>
          </cell>
          <cell r="C10670" t="str">
            <v>Kg</v>
          </cell>
          <cell r="D10670">
            <v>15500</v>
          </cell>
        </row>
        <row r="10671">
          <cell r="A10671">
            <v>45709</v>
          </cell>
          <cell r="B10671" t="str">
            <v>Ớt Chuông Đỏ</v>
          </cell>
          <cell r="C10671" t="str">
            <v>Kg</v>
          </cell>
          <cell r="D10671">
            <v>24000</v>
          </cell>
        </row>
        <row r="10672">
          <cell r="A10672">
            <v>45709</v>
          </cell>
          <cell r="B10672" t="str">
            <v>Ớt Chuông Vàng</v>
          </cell>
          <cell r="C10672" t="str">
            <v>Kg</v>
          </cell>
          <cell r="D10672">
            <v>34000</v>
          </cell>
        </row>
        <row r="10673">
          <cell r="A10673">
            <v>45709</v>
          </cell>
          <cell r="B10673" t="str">
            <v>Ớt Chuông Xanh</v>
          </cell>
          <cell r="C10673" t="str">
            <v>Kg</v>
          </cell>
          <cell r="D10673">
            <v>28000</v>
          </cell>
        </row>
        <row r="10674">
          <cell r="A10674">
            <v>45709</v>
          </cell>
          <cell r="B10674" t="str">
            <v>Ớt Chuông Baby</v>
          </cell>
          <cell r="C10674" t="str">
            <v>Kg</v>
          </cell>
          <cell r="D10674">
            <v>28000</v>
          </cell>
        </row>
        <row r="10675">
          <cell r="A10675">
            <v>45709</v>
          </cell>
          <cell r="B10675" t="str">
            <v>Cà Chua Bi Đỏ</v>
          </cell>
          <cell r="C10675" t="str">
            <v>Hộp 500gr</v>
          </cell>
          <cell r="D10675">
            <v>10000</v>
          </cell>
        </row>
        <row r="10676">
          <cell r="A10676">
            <v>45709</v>
          </cell>
          <cell r="B10676" t="str">
            <v>Cà Chua Bi Đỏ</v>
          </cell>
          <cell r="C10676" t="str">
            <v>Hộp 300gr</v>
          </cell>
          <cell r="D10676">
            <v>6000</v>
          </cell>
        </row>
        <row r="10677">
          <cell r="A10677">
            <v>45709</v>
          </cell>
          <cell r="B10677" t="str">
            <v>Cà Rốt</v>
          </cell>
          <cell r="C10677" t="str">
            <v>Kg</v>
          </cell>
          <cell r="D10677">
            <v>6000</v>
          </cell>
        </row>
        <row r="10678">
          <cell r="A10678">
            <v>45709</v>
          </cell>
          <cell r="B10678" t="str">
            <v>Củ Cải Trắng</v>
          </cell>
          <cell r="C10678" t="str">
            <v>Kg</v>
          </cell>
          <cell r="D10678">
            <v>4000</v>
          </cell>
        </row>
        <row r="10679">
          <cell r="A10679">
            <v>45709</v>
          </cell>
          <cell r="B10679" t="str">
            <v>Trái Bưởi Diễn</v>
          </cell>
          <cell r="C10679" t="str">
            <v>Trái</v>
          </cell>
          <cell r="D10679">
            <v>9000</v>
          </cell>
        </row>
        <row r="10680">
          <cell r="A10680">
            <v>45709</v>
          </cell>
          <cell r="B10680" t="str">
            <v>Ớt Sweet Palemo</v>
          </cell>
          <cell r="C10680" t="str">
            <v>Túi</v>
          </cell>
          <cell r="D10680">
            <v>18000</v>
          </cell>
        </row>
        <row r="10681">
          <cell r="A10681">
            <v>45709</v>
          </cell>
          <cell r="B10681" t="str">
            <v>Xà Lách Mỹ</v>
          </cell>
          <cell r="C10681" t="str">
            <v>Kg</v>
          </cell>
          <cell r="D10681">
            <v>12000</v>
          </cell>
        </row>
        <row r="10682">
          <cell r="A10682">
            <v>45709</v>
          </cell>
          <cell r="B10682" t="str">
            <v>Củ Gừng</v>
          </cell>
          <cell r="C10682" t="str">
            <v>Kg</v>
          </cell>
          <cell r="D10682">
            <v>18000</v>
          </cell>
        </row>
        <row r="10683">
          <cell r="A10683">
            <v>45709</v>
          </cell>
          <cell r="B10683" t="str">
            <v>Củ Khoai Mỡ</v>
          </cell>
          <cell r="C10683" t="str">
            <v>Kg</v>
          </cell>
          <cell r="D10683">
            <v>25000</v>
          </cell>
        </row>
        <row r="10684">
          <cell r="A10684">
            <v>45709</v>
          </cell>
          <cell r="B10684" t="str">
            <v>Măng Tây</v>
          </cell>
          <cell r="C10684" t="str">
            <v>Kg</v>
          </cell>
          <cell r="D10684">
            <v>45000</v>
          </cell>
        </row>
        <row r="10685">
          <cell r="A10685">
            <v>45709</v>
          </cell>
          <cell r="B10685" t="str">
            <v>Lá É</v>
          </cell>
          <cell r="C10685" t="str">
            <v>Kg</v>
          </cell>
          <cell r="D10685">
            <v>29000</v>
          </cell>
        </row>
        <row r="10686">
          <cell r="A10686">
            <v>45709</v>
          </cell>
          <cell r="B10686" t="str">
            <v>Trái Mít Thái</v>
          </cell>
          <cell r="C10686" t="str">
            <v>Kg</v>
          </cell>
          <cell r="D10686">
            <v>20411</v>
          </cell>
        </row>
        <row r="10687">
          <cell r="A10687">
            <v>45709</v>
          </cell>
          <cell r="B10687" t="str">
            <v>Củ Hành Tây</v>
          </cell>
          <cell r="C10687" t="str">
            <v>Kg</v>
          </cell>
          <cell r="D10687">
            <v>7000</v>
          </cell>
        </row>
        <row r="10688">
          <cell r="A10688">
            <v>45709</v>
          </cell>
          <cell r="B10688" t="str">
            <v>Ớt Chuông Đỏ</v>
          </cell>
          <cell r="C10688" t="str">
            <v>Kg</v>
          </cell>
          <cell r="D10688">
            <v>22000</v>
          </cell>
        </row>
        <row r="10689">
          <cell r="A10689">
            <v>45709</v>
          </cell>
          <cell r="B10689" t="str">
            <v>Ớt Chuông Vàng</v>
          </cell>
          <cell r="C10689" t="str">
            <v>Kg</v>
          </cell>
          <cell r="D10689">
            <v>32000</v>
          </cell>
        </row>
        <row r="10690">
          <cell r="A10690">
            <v>45709</v>
          </cell>
          <cell r="B10690" t="str">
            <v>Cà Rốt Baby</v>
          </cell>
          <cell r="C10690" t="str">
            <v>Vỉ</v>
          </cell>
          <cell r="D10690">
            <v>6000</v>
          </cell>
        </row>
        <row r="10691">
          <cell r="A10691">
            <v>45709</v>
          </cell>
          <cell r="B10691" t="str">
            <v>Cải Kale</v>
          </cell>
          <cell r="C10691" t="str">
            <v>Túi</v>
          </cell>
          <cell r="D10691">
            <v>3300</v>
          </cell>
        </row>
        <row r="10692">
          <cell r="A10692">
            <v>45709</v>
          </cell>
          <cell r="B10692" t="str">
            <v>Cải Kale</v>
          </cell>
          <cell r="C10692" t="str">
            <v>Túi 150gr</v>
          </cell>
          <cell r="D10692">
            <v>1900</v>
          </cell>
        </row>
        <row r="10693">
          <cell r="A10693">
            <v>45709</v>
          </cell>
          <cell r="B10693" t="str">
            <v>Cải Cầu Vồng</v>
          </cell>
          <cell r="C10693" t="str">
            <v>Túi</v>
          </cell>
          <cell r="D10693">
            <v>3000</v>
          </cell>
        </row>
        <row r="10694">
          <cell r="A10694">
            <v>45709</v>
          </cell>
          <cell r="B10694" t="str">
            <v>Bông Cải Xanh Baby</v>
          </cell>
          <cell r="C10694" t="str">
            <v>Vỉ</v>
          </cell>
          <cell r="D10694">
            <v>6000</v>
          </cell>
        </row>
        <row r="10695">
          <cell r="A10695">
            <v>45709</v>
          </cell>
          <cell r="B10695" t="str">
            <v>Cà Chua Beef Trung</v>
          </cell>
          <cell r="C10695" t="str">
            <v>Vỉ 500gr</v>
          </cell>
          <cell r="D10695">
            <v>8000</v>
          </cell>
        </row>
        <row r="10696">
          <cell r="A10696">
            <v>45709</v>
          </cell>
          <cell r="B10696" t="str">
            <v>Cà Chua Bi Mix</v>
          </cell>
          <cell r="C10696" t="str">
            <v>Hộp</v>
          </cell>
          <cell r="D10696">
            <v>10000</v>
          </cell>
        </row>
        <row r="10697">
          <cell r="A10697">
            <v>45709</v>
          </cell>
          <cell r="B10697" t="str">
            <v>Cà Chua Socola</v>
          </cell>
          <cell r="C10697" t="str">
            <v>Hộp 250GR</v>
          </cell>
          <cell r="D10697">
            <v>8500</v>
          </cell>
        </row>
        <row r="10698">
          <cell r="A10698">
            <v>45709</v>
          </cell>
          <cell r="B10698" t="str">
            <v>Cà Chua Socola</v>
          </cell>
          <cell r="C10698" t="str">
            <v>Hộp 300gr</v>
          </cell>
          <cell r="D10698">
            <v>10000</v>
          </cell>
        </row>
        <row r="10699">
          <cell r="A10699">
            <v>45709</v>
          </cell>
          <cell r="B10699" t="str">
            <v>Củ Cải Đỏ</v>
          </cell>
          <cell r="C10699" t="str">
            <v>Hộp</v>
          </cell>
          <cell r="D10699">
            <v>10000</v>
          </cell>
        </row>
        <row r="10700">
          <cell r="A10700">
            <v>45709</v>
          </cell>
          <cell r="B10700" t="str">
            <v>Ớt Sweet Palemo</v>
          </cell>
          <cell r="C10700" t="str">
            <v>Túi</v>
          </cell>
          <cell r="D10700">
            <v>16000</v>
          </cell>
        </row>
        <row r="10701">
          <cell r="A10701">
            <v>45709</v>
          </cell>
          <cell r="B10701" t="str">
            <v>Xà Lách Lolo Xanh</v>
          </cell>
          <cell r="C10701" t="str">
            <v>Kg</v>
          </cell>
          <cell r="D10701">
            <v>10000</v>
          </cell>
        </row>
        <row r="10702">
          <cell r="A10702">
            <v>45709</v>
          </cell>
          <cell r="B10702" t="str">
            <v>Xà Lách Lolo Xanh</v>
          </cell>
          <cell r="C10702" t="str">
            <v>Kg</v>
          </cell>
          <cell r="D10702">
            <v>7000</v>
          </cell>
        </row>
        <row r="10703">
          <cell r="A10703">
            <v>45709</v>
          </cell>
          <cell r="B10703" t="str">
            <v>Xà Lách Lolo Tím</v>
          </cell>
          <cell r="C10703" t="str">
            <v>Kg</v>
          </cell>
          <cell r="D10703">
            <v>25000</v>
          </cell>
        </row>
        <row r="10704">
          <cell r="A10704">
            <v>45709</v>
          </cell>
          <cell r="B10704" t="str">
            <v>Lá Mè</v>
          </cell>
          <cell r="C10704" t="str">
            <v>Túi</v>
          </cell>
          <cell r="D10704">
            <v>2500</v>
          </cell>
        </row>
        <row r="10705">
          <cell r="A10705">
            <v>45709</v>
          </cell>
          <cell r="B10705" t="str">
            <v>Dưa Leo Baby</v>
          </cell>
          <cell r="C10705" t="str">
            <v>Vỉ</v>
          </cell>
          <cell r="D10705">
            <v>10000</v>
          </cell>
        </row>
        <row r="10706">
          <cell r="A10706">
            <v>45709</v>
          </cell>
          <cell r="B10706" t="str">
            <v>Xà Lách Lolo Xanh T.C Cây</v>
          </cell>
          <cell r="C10706" t="str">
            <v>Cây</v>
          </cell>
          <cell r="D10706">
            <v>6800</v>
          </cell>
        </row>
        <row r="10707">
          <cell r="A10707">
            <v>45709</v>
          </cell>
          <cell r="B10707" t="str">
            <v>Xà Lách Thủy Tinh T.C Cây</v>
          </cell>
          <cell r="C10707" t="str">
            <v>Cây</v>
          </cell>
          <cell r="D10707">
            <v>6800</v>
          </cell>
        </row>
        <row r="10708">
          <cell r="A10708">
            <v>45709</v>
          </cell>
          <cell r="B10708" t="str">
            <v>Xà Lách Lolo Xanh T.C Cây</v>
          </cell>
          <cell r="C10708" t="str">
            <v>Cây</v>
          </cell>
          <cell r="D10708">
            <v>6800</v>
          </cell>
        </row>
        <row r="10709">
          <cell r="A10709">
            <v>45709</v>
          </cell>
          <cell r="B10709" t="str">
            <v>Xà Lách Mỡ T.C</v>
          </cell>
          <cell r="C10709" t="str">
            <v>Kg</v>
          </cell>
          <cell r="D10709">
            <v>21000</v>
          </cell>
        </row>
        <row r="10710">
          <cell r="A10710">
            <v>45709</v>
          </cell>
          <cell r="B10710" t="str">
            <v>Cà Chua Bi Mix</v>
          </cell>
          <cell r="C10710" t="str">
            <v>Hộp</v>
          </cell>
          <cell r="D10710">
            <v>10200</v>
          </cell>
        </row>
        <row r="10711">
          <cell r="A10711">
            <v>45709</v>
          </cell>
          <cell r="B10711" t="str">
            <v>Cải Kale</v>
          </cell>
          <cell r="C10711" t="str">
            <v>Túi</v>
          </cell>
          <cell r="D10711">
            <v>4200</v>
          </cell>
        </row>
        <row r="10712">
          <cell r="A10712">
            <v>45709</v>
          </cell>
          <cell r="B10712" t="str">
            <v>Chanh Không Hạt</v>
          </cell>
          <cell r="C10712" t="str">
            <v>Vỉ</v>
          </cell>
          <cell r="D10712">
            <v>7500</v>
          </cell>
        </row>
        <row r="10713">
          <cell r="A10713">
            <v>45709</v>
          </cell>
          <cell r="B10713" t="str">
            <v>Cà Chua Beef</v>
          </cell>
          <cell r="C10713" t="str">
            <v>Vỉ 650gr</v>
          </cell>
          <cell r="D10713">
            <v>9100</v>
          </cell>
        </row>
        <row r="10714">
          <cell r="A10714">
            <v>45709</v>
          </cell>
          <cell r="B10714" t="str">
            <v>Cà Chua Beef Trung</v>
          </cell>
          <cell r="C10714" t="str">
            <v>Vỉ 500gr</v>
          </cell>
          <cell r="D10714">
            <v>7000</v>
          </cell>
        </row>
        <row r="10715">
          <cell r="A10715">
            <v>45709</v>
          </cell>
          <cell r="B10715" t="str">
            <v>Cà Chua Beef Trung</v>
          </cell>
          <cell r="C10715" t="str">
            <v>Kg</v>
          </cell>
          <cell r="D10715">
            <v>12000</v>
          </cell>
        </row>
        <row r="10716">
          <cell r="A10716">
            <v>45709</v>
          </cell>
          <cell r="B10716" t="str">
            <v>Cải Bó Xôi</v>
          </cell>
          <cell r="C10716" t="str">
            <v>Túi</v>
          </cell>
          <cell r="D10716">
            <v>5100</v>
          </cell>
        </row>
        <row r="10717">
          <cell r="A10717">
            <v>45709</v>
          </cell>
          <cell r="B10717" t="str">
            <v>Cà Chua Beef</v>
          </cell>
          <cell r="C10717" t="str">
            <v>Kg</v>
          </cell>
          <cell r="D10717">
            <v>17000</v>
          </cell>
        </row>
        <row r="10718">
          <cell r="A10718">
            <v>45710</v>
          </cell>
          <cell r="B10718" t="str">
            <v>DO 0.05S-II</v>
          </cell>
          <cell r="C10718" t="str">
            <v>Lít</v>
          </cell>
          <cell r="D10718">
            <v>17672.73</v>
          </cell>
        </row>
        <row r="10719">
          <cell r="A10719">
            <v>45710</v>
          </cell>
          <cell r="B10719" t="str">
            <v>Dầu Do 0.001 S-V</v>
          </cell>
          <cell r="C10719" t="str">
            <v>Lít</v>
          </cell>
          <cell r="D10719">
            <v>18045.45</v>
          </cell>
        </row>
        <row r="10720">
          <cell r="A10720">
            <v>45710</v>
          </cell>
          <cell r="B10720" t="str">
            <v>DO 0.05S-II</v>
          </cell>
          <cell r="C10720" t="str">
            <v>Lít</v>
          </cell>
          <cell r="D10720">
            <v>17672.73</v>
          </cell>
        </row>
        <row r="10721">
          <cell r="A10721">
            <v>45710</v>
          </cell>
          <cell r="B10721" t="str">
            <v>Cải Bó Xôi</v>
          </cell>
          <cell r="C10721" t="str">
            <v>Túi</v>
          </cell>
          <cell r="D10721">
            <v>5700</v>
          </cell>
        </row>
        <row r="10722">
          <cell r="A10722">
            <v>45710</v>
          </cell>
          <cell r="B10722" t="str">
            <v>Cà Chua Beef</v>
          </cell>
          <cell r="C10722" t="str">
            <v>Kg</v>
          </cell>
          <cell r="D10722">
            <v>14000</v>
          </cell>
        </row>
        <row r="10723">
          <cell r="A10723">
            <v>45710</v>
          </cell>
          <cell r="B10723" t="str">
            <v>Cà Chua Beef</v>
          </cell>
          <cell r="C10723" t="str">
            <v>Vỉ 650gr</v>
          </cell>
          <cell r="D10723">
            <v>11050</v>
          </cell>
        </row>
        <row r="10724">
          <cell r="A10724">
            <v>45710</v>
          </cell>
          <cell r="B10724" t="str">
            <v>Cà Chua Beef Trung</v>
          </cell>
          <cell r="C10724" t="str">
            <v>Vỉ 500gr</v>
          </cell>
          <cell r="D10724">
            <v>7000</v>
          </cell>
        </row>
        <row r="10725">
          <cell r="A10725">
            <v>45710</v>
          </cell>
          <cell r="B10725" t="str">
            <v>Cà Chua Beef Trung</v>
          </cell>
          <cell r="C10725" t="str">
            <v>Kg</v>
          </cell>
          <cell r="D10725">
            <v>12000</v>
          </cell>
        </row>
        <row r="10726">
          <cell r="A10726">
            <v>45710</v>
          </cell>
          <cell r="B10726" t="str">
            <v>Cà Chua Bi Mix</v>
          </cell>
          <cell r="C10726" t="str">
            <v>Hộp</v>
          </cell>
          <cell r="D10726">
            <v>11100</v>
          </cell>
        </row>
        <row r="10727">
          <cell r="A10727">
            <v>45710</v>
          </cell>
          <cell r="B10727" t="str">
            <v>Cải Cầu Vồng</v>
          </cell>
          <cell r="C10727" t="str">
            <v>Túi</v>
          </cell>
          <cell r="D10727">
            <v>4800</v>
          </cell>
        </row>
        <row r="10728">
          <cell r="A10728">
            <v>45710</v>
          </cell>
          <cell r="B10728" t="str">
            <v>Cải Kale</v>
          </cell>
          <cell r="C10728" t="str">
            <v>Túi</v>
          </cell>
          <cell r="D10728">
            <v>4200</v>
          </cell>
        </row>
        <row r="10729">
          <cell r="A10729">
            <v>45710</v>
          </cell>
          <cell r="B10729" t="str">
            <v>Chanh Không Hạt</v>
          </cell>
          <cell r="C10729" t="str">
            <v>Vỉ</v>
          </cell>
          <cell r="D10729">
            <v>7500</v>
          </cell>
        </row>
        <row r="10730">
          <cell r="A10730">
            <v>45710</v>
          </cell>
          <cell r="B10730" t="str">
            <v>Cà Rốt Baby</v>
          </cell>
          <cell r="C10730" t="str">
            <v>Vỉ</v>
          </cell>
          <cell r="D10730">
            <v>6000</v>
          </cell>
        </row>
        <row r="10731">
          <cell r="A10731">
            <v>45710</v>
          </cell>
          <cell r="B10731" t="str">
            <v>Lá Mè</v>
          </cell>
          <cell r="C10731" t="str">
            <v>Túi</v>
          </cell>
          <cell r="D10731">
            <v>2500</v>
          </cell>
        </row>
        <row r="10732">
          <cell r="A10732">
            <v>45710</v>
          </cell>
          <cell r="B10732" t="str">
            <v>Dưa Leo Baby</v>
          </cell>
          <cell r="C10732" t="str">
            <v>Vỉ</v>
          </cell>
          <cell r="D10732">
            <v>10500</v>
          </cell>
        </row>
        <row r="10733">
          <cell r="A10733">
            <v>45710</v>
          </cell>
          <cell r="B10733" t="str">
            <v>Bông Cải Xanh Baby</v>
          </cell>
          <cell r="C10733" t="str">
            <v>Vỉ</v>
          </cell>
          <cell r="D10733">
            <v>6000</v>
          </cell>
        </row>
        <row r="10734">
          <cell r="A10734">
            <v>45710</v>
          </cell>
          <cell r="B10734" t="str">
            <v>Cà Chua Beef Trung</v>
          </cell>
          <cell r="C10734" t="str">
            <v>Vỉ 500gr</v>
          </cell>
          <cell r="D10734">
            <v>8500</v>
          </cell>
        </row>
        <row r="10735">
          <cell r="A10735">
            <v>45710</v>
          </cell>
          <cell r="B10735" t="str">
            <v>Cà Chua Bi Mix</v>
          </cell>
          <cell r="C10735" t="str">
            <v>Hộp</v>
          </cell>
          <cell r="D10735">
            <v>10000</v>
          </cell>
        </row>
        <row r="10736">
          <cell r="A10736">
            <v>45710</v>
          </cell>
          <cell r="B10736" t="str">
            <v>Củ Cải Đỏ</v>
          </cell>
          <cell r="C10736" t="str">
            <v>Hộp</v>
          </cell>
          <cell r="D10736">
            <v>10000</v>
          </cell>
        </row>
        <row r="10737">
          <cell r="A10737">
            <v>45710</v>
          </cell>
          <cell r="B10737" t="str">
            <v>Ớt Sweet Palemo</v>
          </cell>
          <cell r="C10737" t="str">
            <v>Túi</v>
          </cell>
          <cell r="D10737">
            <v>16000</v>
          </cell>
        </row>
        <row r="10738">
          <cell r="A10738">
            <v>45710</v>
          </cell>
          <cell r="B10738" t="str">
            <v>Xà Lách Lolo Xanh</v>
          </cell>
          <cell r="C10738" t="str">
            <v>Kg</v>
          </cell>
          <cell r="D10738">
            <v>7000</v>
          </cell>
        </row>
        <row r="10739">
          <cell r="A10739">
            <v>45710</v>
          </cell>
          <cell r="B10739" t="str">
            <v>Xà Lách Romaine</v>
          </cell>
          <cell r="C10739" t="str">
            <v>Kg</v>
          </cell>
          <cell r="D10739">
            <v>15000</v>
          </cell>
        </row>
        <row r="10740">
          <cell r="A10740">
            <v>45710</v>
          </cell>
          <cell r="B10740" t="str">
            <v>Xà Lách Lolo Xanh T.C Cây</v>
          </cell>
          <cell r="C10740" t="str">
            <v>Cây</v>
          </cell>
          <cell r="D10740">
            <v>6800</v>
          </cell>
        </row>
        <row r="10741">
          <cell r="A10741">
            <v>45710</v>
          </cell>
          <cell r="B10741" t="str">
            <v>Xà Lách Mỡ T.C</v>
          </cell>
          <cell r="C10741" t="str">
            <v>Kg</v>
          </cell>
          <cell r="D10741">
            <v>21000</v>
          </cell>
        </row>
        <row r="10742">
          <cell r="A10742">
            <v>45710</v>
          </cell>
          <cell r="B10742" t="str">
            <v>Cải Bó Xôi</v>
          </cell>
          <cell r="C10742" t="str">
            <v>Kg</v>
          </cell>
          <cell r="D10742">
            <v>12000</v>
          </cell>
        </row>
        <row r="10743">
          <cell r="A10743">
            <v>45710</v>
          </cell>
          <cell r="B10743" t="str">
            <v>Bắp Cải Tím</v>
          </cell>
          <cell r="C10743" t="str">
            <v>Kg</v>
          </cell>
          <cell r="D10743">
            <v>17000</v>
          </cell>
        </row>
        <row r="10744">
          <cell r="A10744">
            <v>45710</v>
          </cell>
          <cell r="B10744" t="str">
            <v>Cần Tây</v>
          </cell>
          <cell r="C10744" t="str">
            <v>Kg</v>
          </cell>
          <cell r="D10744">
            <v>11000</v>
          </cell>
        </row>
        <row r="10745">
          <cell r="A10745">
            <v>45710</v>
          </cell>
          <cell r="B10745" t="str">
            <v>Dưa Leo Baby</v>
          </cell>
          <cell r="C10745" t="str">
            <v>Kg</v>
          </cell>
          <cell r="D10745">
            <v>15000</v>
          </cell>
        </row>
        <row r="10746">
          <cell r="A10746">
            <v>45710</v>
          </cell>
          <cell r="B10746" t="str">
            <v>Dưa Leo Baby</v>
          </cell>
          <cell r="C10746" t="str">
            <v>Kg</v>
          </cell>
          <cell r="D10746">
            <v>9500</v>
          </cell>
        </row>
        <row r="10747">
          <cell r="A10747">
            <v>45710</v>
          </cell>
          <cell r="B10747" t="str">
            <v>Trái Su Su</v>
          </cell>
          <cell r="C10747" t="str">
            <v>Kg</v>
          </cell>
          <cell r="D10747">
            <v>3000</v>
          </cell>
        </row>
        <row r="10748">
          <cell r="A10748">
            <v>45710</v>
          </cell>
          <cell r="B10748" t="str">
            <v>Trái Su Su</v>
          </cell>
          <cell r="C10748" t="str">
            <v>Kg</v>
          </cell>
          <cell r="D10748">
            <v>3000</v>
          </cell>
        </row>
        <row r="10749">
          <cell r="A10749">
            <v>45710</v>
          </cell>
          <cell r="B10749" t="str">
            <v>Gia Công Rau Củ Quả</v>
          </cell>
          <cell r="C10749" t="str">
            <v>Kg</v>
          </cell>
          <cell r="D10749">
            <v>1700</v>
          </cell>
        </row>
        <row r="10750">
          <cell r="A10750">
            <v>45710</v>
          </cell>
          <cell r="B10750" t="str">
            <v>Gia Công Rau Củ Quả</v>
          </cell>
          <cell r="C10750" t="str">
            <v>Kg</v>
          </cell>
          <cell r="D10750">
            <v>1000</v>
          </cell>
        </row>
        <row r="10751">
          <cell r="A10751">
            <v>45710</v>
          </cell>
          <cell r="B10751" t="str">
            <v>Củ Dền</v>
          </cell>
          <cell r="C10751" t="str">
            <v>Kg</v>
          </cell>
          <cell r="D10751">
            <v>9000</v>
          </cell>
        </row>
        <row r="10752">
          <cell r="A10752">
            <v>45710</v>
          </cell>
          <cell r="B10752" t="str">
            <v>Đậu Đỏ</v>
          </cell>
          <cell r="C10752" t="str">
            <v>Kg</v>
          </cell>
          <cell r="D10752">
            <v>80000</v>
          </cell>
        </row>
        <row r="10753">
          <cell r="A10753">
            <v>45710</v>
          </cell>
          <cell r="B10753" t="str">
            <v>Đậu Ngự</v>
          </cell>
          <cell r="C10753" t="str">
            <v>Kg</v>
          </cell>
          <cell r="D10753">
            <v>70000</v>
          </cell>
        </row>
        <row r="10754">
          <cell r="A10754">
            <v>45710</v>
          </cell>
          <cell r="B10754" t="str">
            <v>Đậu Trắng</v>
          </cell>
          <cell r="C10754" t="str">
            <v>Kg</v>
          </cell>
          <cell r="D10754">
            <v>70000</v>
          </cell>
        </row>
        <row r="10755">
          <cell r="A10755">
            <v>45710</v>
          </cell>
          <cell r="B10755" t="str">
            <v>Bắp Cải Tím</v>
          </cell>
          <cell r="C10755" t="str">
            <v>Kg</v>
          </cell>
          <cell r="D10755">
            <v>12000</v>
          </cell>
        </row>
        <row r="10756">
          <cell r="A10756">
            <v>45710</v>
          </cell>
          <cell r="B10756" t="str">
            <v>Hành Paro</v>
          </cell>
          <cell r="C10756" t="str">
            <v>Kg</v>
          </cell>
          <cell r="D10756">
            <v>10000</v>
          </cell>
        </row>
        <row r="10757">
          <cell r="A10757">
            <v>45710</v>
          </cell>
          <cell r="B10757" t="str">
            <v>Bông Cải Xanh 7Cm</v>
          </cell>
          <cell r="C10757" t="str">
            <v>Kg</v>
          </cell>
          <cell r="D10757">
            <v>23000</v>
          </cell>
        </row>
        <row r="10758">
          <cell r="A10758">
            <v>45710</v>
          </cell>
          <cell r="B10758" t="str">
            <v>Dưa Leo Baby</v>
          </cell>
          <cell r="C10758" t="str">
            <v>Vỉ</v>
          </cell>
          <cell r="D10758">
            <v>7500</v>
          </cell>
        </row>
        <row r="10759">
          <cell r="A10759">
            <v>45710</v>
          </cell>
          <cell r="B10759" t="str">
            <v>Cà Chua Socola</v>
          </cell>
          <cell r="C10759" t="str">
            <v>Hộp 250GR</v>
          </cell>
          <cell r="D10759">
            <v>7500</v>
          </cell>
        </row>
        <row r="10760">
          <cell r="A10760">
            <v>45710</v>
          </cell>
          <cell r="B10760" t="str">
            <v>Bông Cải Xanh 7Cm</v>
          </cell>
          <cell r="C10760" t="str">
            <v>Kg</v>
          </cell>
          <cell r="D10760">
            <v>22000</v>
          </cell>
        </row>
        <row r="10761">
          <cell r="A10761">
            <v>45710</v>
          </cell>
          <cell r="B10761" t="str">
            <v>Bắp Cải Trắng</v>
          </cell>
          <cell r="C10761" t="str">
            <v>Kg</v>
          </cell>
          <cell r="D10761">
            <v>4500</v>
          </cell>
        </row>
        <row r="10762">
          <cell r="A10762">
            <v>45710</v>
          </cell>
          <cell r="B10762" t="str">
            <v>Bông Cải Trắng</v>
          </cell>
          <cell r="C10762" t="str">
            <v>Kg</v>
          </cell>
          <cell r="D10762">
            <v>12000</v>
          </cell>
        </row>
        <row r="10763">
          <cell r="A10763">
            <v>45710</v>
          </cell>
          <cell r="B10763" t="str">
            <v>Bông Cải Xanh 7Cm</v>
          </cell>
          <cell r="C10763" t="str">
            <v>Kg</v>
          </cell>
          <cell r="D10763">
            <v>22000</v>
          </cell>
        </row>
        <row r="10764">
          <cell r="A10764">
            <v>45710</v>
          </cell>
          <cell r="B10764" t="str">
            <v>Củ Khoai Tây Vàng</v>
          </cell>
          <cell r="C10764" t="str">
            <v>Kg</v>
          </cell>
          <cell r="D10764">
            <v>12000</v>
          </cell>
        </row>
        <row r="10765">
          <cell r="A10765">
            <v>45710</v>
          </cell>
          <cell r="B10765" t="str">
            <v>Củ Hành Tây</v>
          </cell>
          <cell r="C10765" t="str">
            <v>Kg</v>
          </cell>
          <cell r="D10765">
            <v>7000</v>
          </cell>
        </row>
        <row r="10766">
          <cell r="A10766">
            <v>45710</v>
          </cell>
          <cell r="B10766" t="str">
            <v>Bông Cải Xanh 7Cm</v>
          </cell>
          <cell r="C10766" t="str">
            <v>Kg</v>
          </cell>
          <cell r="D10766">
            <v>23000</v>
          </cell>
        </row>
        <row r="10767">
          <cell r="A10767">
            <v>45710</v>
          </cell>
          <cell r="B10767" t="str">
            <v>Cần Tây</v>
          </cell>
          <cell r="C10767" t="str">
            <v>Kg</v>
          </cell>
          <cell r="D10767">
            <v>11000</v>
          </cell>
        </row>
        <row r="10768">
          <cell r="A10768">
            <v>45710</v>
          </cell>
          <cell r="B10768" t="str">
            <v>Bông Cải Xanh 7Cm</v>
          </cell>
          <cell r="C10768" t="str">
            <v>Kg</v>
          </cell>
          <cell r="D10768">
            <v>22000</v>
          </cell>
        </row>
        <row r="10769">
          <cell r="A10769">
            <v>45710</v>
          </cell>
          <cell r="B10769" t="str">
            <v>Cà Chua Beef</v>
          </cell>
          <cell r="C10769" t="str">
            <v>Kg</v>
          </cell>
          <cell r="D10769">
            <v>15500</v>
          </cell>
        </row>
        <row r="10770">
          <cell r="A10770">
            <v>45710</v>
          </cell>
          <cell r="B10770" t="str">
            <v>Lá Mè</v>
          </cell>
          <cell r="C10770" t="str">
            <v>Túi</v>
          </cell>
          <cell r="D10770">
            <v>2400</v>
          </cell>
        </row>
        <row r="10771">
          <cell r="A10771">
            <v>45710</v>
          </cell>
          <cell r="B10771" t="str">
            <v>Bông Cải Xanh 12Cm</v>
          </cell>
          <cell r="C10771" t="str">
            <v>Kg</v>
          </cell>
          <cell r="D10771">
            <v>14000</v>
          </cell>
        </row>
        <row r="10772">
          <cell r="A10772">
            <v>45710</v>
          </cell>
          <cell r="B10772" t="str">
            <v>Ớt Sweet Palemo</v>
          </cell>
          <cell r="C10772" t="str">
            <v>Túi</v>
          </cell>
          <cell r="D10772">
            <v>16000</v>
          </cell>
        </row>
        <row r="10773">
          <cell r="A10773">
            <v>45710</v>
          </cell>
          <cell r="B10773" t="str">
            <v>Cà Chua Socola</v>
          </cell>
          <cell r="C10773" t="str">
            <v>Hộp 300gr</v>
          </cell>
          <cell r="D10773">
            <v>11000</v>
          </cell>
        </row>
        <row r="10774">
          <cell r="A10774">
            <v>45710</v>
          </cell>
          <cell r="B10774" t="str">
            <v>Cà Chua Socola</v>
          </cell>
          <cell r="C10774" t="str">
            <v>Hộp 250GR</v>
          </cell>
          <cell r="D10774">
            <v>10000</v>
          </cell>
        </row>
        <row r="10775">
          <cell r="A10775">
            <v>45710</v>
          </cell>
          <cell r="B10775" t="str">
            <v>Rau Bầu Đất</v>
          </cell>
          <cell r="C10775" t="str">
            <v>Kg</v>
          </cell>
          <cell r="D10775">
            <v>35000</v>
          </cell>
        </row>
        <row r="10776">
          <cell r="A10776">
            <v>45710</v>
          </cell>
          <cell r="B10776" t="str">
            <v>Bông Atiso</v>
          </cell>
          <cell r="C10776" t="str">
            <v>Kg</v>
          </cell>
          <cell r="D10776">
            <v>170000</v>
          </cell>
        </row>
        <row r="10777">
          <cell r="A10777">
            <v>45710</v>
          </cell>
          <cell r="B10777" t="str">
            <v>Hành Paro</v>
          </cell>
          <cell r="C10777" t="str">
            <v>Kg</v>
          </cell>
          <cell r="D10777">
            <v>11500</v>
          </cell>
        </row>
        <row r="10778">
          <cell r="A10778">
            <v>45710</v>
          </cell>
          <cell r="B10778" t="str">
            <v>Bí Ngòi Xanh</v>
          </cell>
          <cell r="C10778" t="str">
            <v>Kg</v>
          </cell>
          <cell r="D10778">
            <v>15000</v>
          </cell>
        </row>
        <row r="10779">
          <cell r="A10779">
            <v>45710</v>
          </cell>
          <cell r="B10779" t="str">
            <v>Cà Chua Thường</v>
          </cell>
          <cell r="C10779" t="str">
            <v>Kg</v>
          </cell>
          <cell r="D10779">
            <v>16000</v>
          </cell>
        </row>
        <row r="10780">
          <cell r="A10780">
            <v>45710</v>
          </cell>
          <cell r="B10780" t="str">
            <v>Cà Rốt</v>
          </cell>
          <cell r="C10780" t="str">
            <v>Kg</v>
          </cell>
          <cell r="D10780">
            <v>6500</v>
          </cell>
        </row>
        <row r="10781">
          <cell r="A10781">
            <v>45710</v>
          </cell>
          <cell r="B10781" t="str">
            <v>Bí Ngòi Xanh</v>
          </cell>
          <cell r="C10781" t="str">
            <v>Kg</v>
          </cell>
          <cell r="D10781">
            <v>15500</v>
          </cell>
        </row>
        <row r="10782">
          <cell r="A10782">
            <v>45710</v>
          </cell>
          <cell r="B10782" t="str">
            <v>Xà Lách Mỡ T.C</v>
          </cell>
          <cell r="C10782" t="str">
            <v>Kg</v>
          </cell>
          <cell r="D10782">
            <v>26000</v>
          </cell>
        </row>
        <row r="10783">
          <cell r="A10783">
            <v>45710</v>
          </cell>
          <cell r="B10783" t="str">
            <v>Xà Lách Lolo Xanh T.C</v>
          </cell>
          <cell r="C10783" t="str">
            <v>Kg</v>
          </cell>
          <cell r="D10783">
            <v>26000</v>
          </cell>
        </row>
        <row r="10784">
          <cell r="A10784">
            <v>45710</v>
          </cell>
          <cell r="B10784" t="str">
            <v>Xà Lách Thủy Tinh T.C Cây</v>
          </cell>
          <cell r="C10784" t="str">
            <v>Cây</v>
          </cell>
          <cell r="D10784">
            <v>7500</v>
          </cell>
        </row>
        <row r="10785">
          <cell r="A10785">
            <v>45710</v>
          </cell>
          <cell r="B10785" t="str">
            <v>Trái Khổ Qua</v>
          </cell>
          <cell r="C10785" t="str">
            <v>Kg</v>
          </cell>
          <cell r="D10785">
            <v>13000</v>
          </cell>
        </row>
        <row r="10786">
          <cell r="A10786">
            <v>45710</v>
          </cell>
          <cell r="B10786" t="str">
            <v>Bí Đao Xanh</v>
          </cell>
          <cell r="C10786" t="str">
            <v>Kg</v>
          </cell>
          <cell r="D10786">
            <v>9000</v>
          </cell>
        </row>
        <row r="10787">
          <cell r="A10787">
            <v>45710</v>
          </cell>
          <cell r="B10787" t="str">
            <v>Dưa Leo Thường</v>
          </cell>
          <cell r="C10787" t="str">
            <v>Kg</v>
          </cell>
          <cell r="D10787">
            <v>11000</v>
          </cell>
        </row>
        <row r="10788">
          <cell r="A10788">
            <v>45710</v>
          </cell>
          <cell r="B10788" t="str">
            <v>Trái Su Su</v>
          </cell>
          <cell r="C10788" t="str">
            <v>Kg</v>
          </cell>
          <cell r="D10788">
            <v>8000</v>
          </cell>
        </row>
        <row r="10789">
          <cell r="A10789">
            <v>45710</v>
          </cell>
          <cell r="B10789" t="str">
            <v>Cà Tím</v>
          </cell>
          <cell r="C10789" t="str">
            <v>Kg</v>
          </cell>
          <cell r="D10789">
            <v>8000</v>
          </cell>
        </row>
        <row r="10790">
          <cell r="A10790">
            <v>45710</v>
          </cell>
          <cell r="B10790" t="str">
            <v>Bí Non Nhật</v>
          </cell>
          <cell r="C10790" t="str">
            <v>Kg</v>
          </cell>
          <cell r="D10790">
            <v>10000</v>
          </cell>
        </row>
        <row r="10791">
          <cell r="A10791">
            <v>45710</v>
          </cell>
          <cell r="B10791" t="str">
            <v>Củ Khoai Lang Nhật</v>
          </cell>
          <cell r="C10791" t="str">
            <v>Kg</v>
          </cell>
          <cell r="D10791">
            <v>15000</v>
          </cell>
        </row>
        <row r="10792">
          <cell r="A10792">
            <v>45710</v>
          </cell>
          <cell r="B10792" t="str">
            <v>Bí Đỏ Hồ Lô</v>
          </cell>
          <cell r="C10792" t="str">
            <v>Kg</v>
          </cell>
          <cell r="D10792">
            <v>7000</v>
          </cell>
        </row>
        <row r="10793">
          <cell r="A10793">
            <v>45710</v>
          </cell>
          <cell r="B10793" t="str">
            <v>Củ Gừng</v>
          </cell>
          <cell r="C10793" t="str">
            <v>Kg</v>
          </cell>
          <cell r="D10793">
            <v>18000</v>
          </cell>
        </row>
        <row r="10794">
          <cell r="A10794">
            <v>45710</v>
          </cell>
          <cell r="B10794" t="str">
            <v>Củ Khoai Mỡ</v>
          </cell>
          <cell r="C10794" t="str">
            <v>Kg</v>
          </cell>
          <cell r="D10794">
            <v>25000</v>
          </cell>
        </row>
        <row r="10795">
          <cell r="A10795">
            <v>45710</v>
          </cell>
          <cell r="B10795" t="str">
            <v>Xà Lách Thủy Tinh T.C Cây</v>
          </cell>
          <cell r="C10795" t="str">
            <v>Cây</v>
          </cell>
          <cell r="D10795">
            <v>5500</v>
          </cell>
        </row>
        <row r="10796">
          <cell r="A10796">
            <v>45710</v>
          </cell>
          <cell r="B10796" t="str">
            <v>Xà Lách Mỹ</v>
          </cell>
          <cell r="C10796" t="str">
            <v>Kg</v>
          </cell>
          <cell r="D10796">
            <v>12000</v>
          </cell>
        </row>
        <row r="10797">
          <cell r="A10797">
            <v>45710</v>
          </cell>
          <cell r="B10797" t="str">
            <v>Củ Khoai Lang Nhật</v>
          </cell>
          <cell r="C10797" t="str">
            <v>Kg</v>
          </cell>
          <cell r="D10797">
            <v>14500</v>
          </cell>
        </row>
        <row r="10798">
          <cell r="A10798">
            <v>45710</v>
          </cell>
          <cell r="B10798" t="str">
            <v>Xà Lách Thủy Tinh T.C Cây</v>
          </cell>
          <cell r="C10798" t="str">
            <v>Cây</v>
          </cell>
          <cell r="D10798">
            <v>5000</v>
          </cell>
        </row>
        <row r="10799">
          <cell r="A10799">
            <v>45710</v>
          </cell>
          <cell r="B10799" t="str">
            <v>Củ Cải Trắng</v>
          </cell>
          <cell r="C10799" t="str">
            <v>Kg</v>
          </cell>
          <cell r="D10799">
            <v>4000</v>
          </cell>
        </row>
        <row r="10800">
          <cell r="A10800">
            <v>45710</v>
          </cell>
          <cell r="B10800" t="str">
            <v>Cà Chua Thường</v>
          </cell>
          <cell r="C10800" t="str">
            <v>Kg</v>
          </cell>
          <cell r="D10800">
            <v>17000</v>
          </cell>
        </row>
        <row r="10801">
          <cell r="A10801">
            <v>45710</v>
          </cell>
          <cell r="B10801" t="str">
            <v>Cà Rốt</v>
          </cell>
          <cell r="C10801" t="str">
            <v>Kg</v>
          </cell>
          <cell r="D10801">
            <v>6000</v>
          </cell>
        </row>
        <row r="10802">
          <cell r="A10802">
            <v>45710</v>
          </cell>
          <cell r="B10802" t="str">
            <v>Củ Khoai Tây Vàng</v>
          </cell>
          <cell r="C10802" t="str">
            <v>Kg</v>
          </cell>
          <cell r="D10802">
            <v>10800</v>
          </cell>
        </row>
        <row r="10803">
          <cell r="A10803">
            <v>45710</v>
          </cell>
          <cell r="B10803" t="str">
            <v>Cà Chua Bi Đỏ</v>
          </cell>
          <cell r="C10803" t="str">
            <v>Hộp 500gr</v>
          </cell>
          <cell r="D10803">
            <v>10000</v>
          </cell>
        </row>
        <row r="10804">
          <cell r="A10804">
            <v>45710</v>
          </cell>
          <cell r="B10804" t="str">
            <v>Cà Chua Bi Đỏ</v>
          </cell>
          <cell r="C10804" t="str">
            <v>Hộp 300gr</v>
          </cell>
          <cell r="D10804">
            <v>6000</v>
          </cell>
        </row>
        <row r="10805">
          <cell r="A10805">
            <v>45710</v>
          </cell>
          <cell r="B10805" t="str">
            <v>Ớt Chuông Đỏ</v>
          </cell>
          <cell r="C10805" t="str">
            <v>Kg</v>
          </cell>
          <cell r="D10805">
            <v>24000</v>
          </cell>
        </row>
        <row r="10806">
          <cell r="A10806">
            <v>45710</v>
          </cell>
          <cell r="B10806" t="str">
            <v>Ớt Chuông Vàng</v>
          </cell>
          <cell r="C10806" t="str">
            <v>Kg</v>
          </cell>
          <cell r="D10806">
            <v>34000</v>
          </cell>
        </row>
        <row r="10807">
          <cell r="A10807">
            <v>45710</v>
          </cell>
          <cell r="B10807" t="str">
            <v>Ớt Chuông Xanh</v>
          </cell>
          <cell r="C10807" t="str">
            <v>Kg</v>
          </cell>
          <cell r="D10807">
            <v>28000</v>
          </cell>
        </row>
        <row r="10808">
          <cell r="A10808">
            <v>45710</v>
          </cell>
          <cell r="B10808" t="str">
            <v>Ớt Chuông Baby</v>
          </cell>
          <cell r="C10808" t="str">
            <v>Kg</v>
          </cell>
          <cell r="D10808">
            <v>28000</v>
          </cell>
        </row>
        <row r="10809">
          <cell r="A10809">
            <v>45710</v>
          </cell>
          <cell r="B10809" t="str">
            <v>Ớt Chuông Snack</v>
          </cell>
          <cell r="C10809" t="str">
            <v>Kg</v>
          </cell>
          <cell r="D10809">
            <v>55000</v>
          </cell>
        </row>
        <row r="10810">
          <cell r="A10810">
            <v>45710</v>
          </cell>
          <cell r="B10810" t="str">
            <v>Dưa Leo Baby</v>
          </cell>
          <cell r="C10810" t="str">
            <v>Vỉ</v>
          </cell>
          <cell r="D10810">
            <v>9800</v>
          </cell>
        </row>
        <row r="10811">
          <cell r="A10811">
            <v>45710</v>
          </cell>
          <cell r="B10811" t="str">
            <v>Bắp Cải Tím</v>
          </cell>
          <cell r="C10811" t="str">
            <v>Kg</v>
          </cell>
          <cell r="D10811">
            <v>18000</v>
          </cell>
        </row>
        <row r="10812">
          <cell r="A10812">
            <v>45710</v>
          </cell>
          <cell r="B10812" t="str">
            <v>Dưa Leo Baby</v>
          </cell>
          <cell r="C10812" t="str">
            <v>Vỉ</v>
          </cell>
          <cell r="D10812">
            <v>9000</v>
          </cell>
        </row>
        <row r="10813">
          <cell r="A10813">
            <v>45710</v>
          </cell>
          <cell r="B10813" t="str">
            <v>Dưa Leo Nhật</v>
          </cell>
          <cell r="C10813" t="str">
            <v>Kg</v>
          </cell>
          <cell r="D10813">
            <v>15000</v>
          </cell>
        </row>
        <row r="10814">
          <cell r="A10814">
            <v>45710</v>
          </cell>
          <cell r="B10814" t="str">
            <v>Dưa Leo Thường</v>
          </cell>
          <cell r="C10814" t="str">
            <v>Kg</v>
          </cell>
          <cell r="D10814">
            <v>15000</v>
          </cell>
        </row>
        <row r="10815">
          <cell r="A10815">
            <v>45710</v>
          </cell>
          <cell r="B10815" t="str">
            <v>Bí Non Nhật</v>
          </cell>
          <cell r="C10815" t="str">
            <v>Kg</v>
          </cell>
          <cell r="D10815">
            <v>13000</v>
          </cell>
        </row>
        <row r="10816">
          <cell r="A10816">
            <v>45710</v>
          </cell>
          <cell r="B10816" t="str">
            <v>Đậu Cove Nhật</v>
          </cell>
          <cell r="C10816" t="str">
            <v>Túi</v>
          </cell>
          <cell r="D10816">
            <v>6000</v>
          </cell>
        </row>
        <row r="10817">
          <cell r="A10817">
            <v>45710</v>
          </cell>
          <cell r="B10817" t="str">
            <v>Đậu Cove Trắng</v>
          </cell>
          <cell r="C10817" t="str">
            <v>Túi 500gr</v>
          </cell>
          <cell r="D10817">
            <v>6000</v>
          </cell>
        </row>
        <row r="10818">
          <cell r="A10818">
            <v>45710</v>
          </cell>
          <cell r="B10818" t="str">
            <v>Đậu Cove Trắng</v>
          </cell>
          <cell r="C10818" t="str">
            <v>Túi 300gr</v>
          </cell>
          <cell r="D10818">
            <v>4000</v>
          </cell>
        </row>
        <row r="10819">
          <cell r="A10819">
            <v>45710</v>
          </cell>
          <cell r="B10819" t="str">
            <v>Bắp Cải Trái Tim</v>
          </cell>
          <cell r="C10819" t="str">
            <v>Kg</v>
          </cell>
          <cell r="D10819">
            <v>6000</v>
          </cell>
        </row>
        <row r="10820">
          <cell r="A10820">
            <v>45710</v>
          </cell>
          <cell r="B10820" t="str">
            <v>Bắp Cải Trái Tim</v>
          </cell>
          <cell r="C10820" t="str">
            <v>Kg</v>
          </cell>
          <cell r="D10820">
            <v>5000</v>
          </cell>
        </row>
        <row r="10821">
          <cell r="A10821">
            <v>45710</v>
          </cell>
          <cell r="B10821" t="str">
            <v>Chuối Laba</v>
          </cell>
          <cell r="C10821" t="str">
            <v>Kg</v>
          </cell>
          <cell r="D10821">
            <v>14000</v>
          </cell>
        </row>
        <row r="10822">
          <cell r="A10822">
            <v>45710</v>
          </cell>
          <cell r="B10822" t="str">
            <v>Lá Nha Đam</v>
          </cell>
          <cell r="C10822" t="str">
            <v>Kg</v>
          </cell>
          <cell r="D10822">
            <v>14000</v>
          </cell>
        </row>
        <row r="10823">
          <cell r="A10823">
            <v>45710</v>
          </cell>
          <cell r="B10823" t="str">
            <v>Bí Đỏ Hồ Lô</v>
          </cell>
          <cell r="C10823" t="str">
            <v>Kg</v>
          </cell>
          <cell r="D10823">
            <v>8000</v>
          </cell>
        </row>
        <row r="10824">
          <cell r="A10824">
            <v>45710</v>
          </cell>
          <cell r="B10824" t="str">
            <v>Củ Khoai Mỡ</v>
          </cell>
          <cell r="C10824" t="str">
            <v>Kg</v>
          </cell>
          <cell r="D10824">
            <v>26000</v>
          </cell>
        </row>
        <row r="10825">
          <cell r="A10825">
            <v>45710</v>
          </cell>
          <cell r="B10825" t="str">
            <v>Củ Su Hào</v>
          </cell>
          <cell r="C10825" t="str">
            <v>Kg</v>
          </cell>
          <cell r="D10825">
            <v>9000</v>
          </cell>
        </row>
        <row r="10826">
          <cell r="A10826">
            <v>45710</v>
          </cell>
          <cell r="B10826" t="str">
            <v>Xà Lách Mỡ T.C</v>
          </cell>
          <cell r="C10826" t="str">
            <v>Kg</v>
          </cell>
          <cell r="D10826">
            <v>24000</v>
          </cell>
        </row>
        <row r="10827">
          <cell r="A10827">
            <v>45710</v>
          </cell>
          <cell r="B10827" t="str">
            <v>Xà Lách Lolo Xanh T.C</v>
          </cell>
          <cell r="C10827" t="str">
            <v>Kg</v>
          </cell>
          <cell r="D10827">
            <v>18000</v>
          </cell>
        </row>
        <row r="10828">
          <cell r="A10828">
            <v>45710</v>
          </cell>
          <cell r="B10828" t="str">
            <v>Xà Lách Thủy Tinh T.C</v>
          </cell>
          <cell r="C10828" t="str">
            <v>Kg</v>
          </cell>
          <cell r="D10828">
            <v>25000</v>
          </cell>
        </row>
        <row r="10829">
          <cell r="A10829">
            <v>45710</v>
          </cell>
          <cell r="B10829" t="str">
            <v>Củ Hành Tây</v>
          </cell>
          <cell r="C10829" t="str">
            <v>Kg</v>
          </cell>
          <cell r="D10829">
            <v>7000</v>
          </cell>
        </row>
        <row r="10830">
          <cell r="A10830">
            <v>45710</v>
          </cell>
          <cell r="B10830" t="str">
            <v>Măng Tây</v>
          </cell>
          <cell r="C10830" t="str">
            <v>Kg</v>
          </cell>
          <cell r="D10830">
            <v>48000</v>
          </cell>
        </row>
        <row r="10831">
          <cell r="A10831">
            <v>45710</v>
          </cell>
          <cell r="B10831" t="str">
            <v>Lá É</v>
          </cell>
          <cell r="C10831" t="str">
            <v>Kg</v>
          </cell>
          <cell r="D10831">
            <v>25000</v>
          </cell>
        </row>
        <row r="10832">
          <cell r="A10832">
            <v>45710</v>
          </cell>
          <cell r="B10832" t="str">
            <v>Ớt Sweet Palemo</v>
          </cell>
          <cell r="C10832" t="str">
            <v>Túi</v>
          </cell>
          <cell r="D10832">
            <v>17000</v>
          </cell>
        </row>
        <row r="10833">
          <cell r="A10833">
            <v>45710</v>
          </cell>
          <cell r="B10833" t="str">
            <v>Ớt Chuông Baby</v>
          </cell>
          <cell r="C10833" t="str">
            <v>Kg</v>
          </cell>
          <cell r="D10833">
            <v>48000</v>
          </cell>
        </row>
        <row r="10834">
          <cell r="A10834">
            <v>45710</v>
          </cell>
          <cell r="B10834" t="str">
            <v>Cần Tây</v>
          </cell>
          <cell r="C10834" t="str">
            <v>Kg</v>
          </cell>
          <cell r="D10834">
            <v>10000</v>
          </cell>
        </row>
        <row r="10835">
          <cell r="A10835">
            <v>45710</v>
          </cell>
          <cell r="B10835" t="str">
            <v>Ớt Chuông Đỏ</v>
          </cell>
          <cell r="C10835" t="str">
            <v>Kg</v>
          </cell>
          <cell r="D10835">
            <v>22000</v>
          </cell>
        </row>
        <row r="10836">
          <cell r="A10836">
            <v>45710</v>
          </cell>
          <cell r="B10836" t="str">
            <v>Ớt Chuông Vàng</v>
          </cell>
          <cell r="C10836" t="str">
            <v>Kg</v>
          </cell>
          <cell r="D10836">
            <v>32000</v>
          </cell>
        </row>
        <row r="10837">
          <cell r="A10837">
            <v>45710</v>
          </cell>
          <cell r="B10837" t="str">
            <v>Ớt Chuông Xanh</v>
          </cell>
          <cell r="C10837" t="str">
            <v>Kg</v>
          </cell>
          <cell r="D10837">
            <v>28000</v>
          </cell>
        </row>
        <row r="10838">
          <cell r="A10838">
            <v>45711</v>
          </cell>
          <cell r="B10838" t="str">
            <v>DO 0.05S-II</v>
          </cell>
          <cell r="C10838" t="str">
            <v>Lít</v>
          </cell>
          <cell r="D10838">
            <v>17672.73</v>
          </cell>
        </row>
        <row r="10839">
          <cell r="A10839">
            <v>45711</v>
          </cell>
          <cell r="B10839" t="str">
            <v>Hành Paro</v>
          </cell>
          <cell r="C10839" t="str">
            <v>Kg</v>
          </cell>
          <cell r="D10839">
            <v>10000</v>
          </cell>
        </row>
        <row r="10840">
          <cell r="A10840">
            <v>45711</v>
          </cell>
          <cell r="B10840" t="str">
            <v>Trái Mít Thái</v>
          </cell>
          <cell r="C10840" t="str">
            <v>Kg</v>
          </cell>
          <cell r="D10840">
            <v>20425</v>
          </cell>
        </row>
        <row r="10841">
          <cell r="A10841">
            <v>45711</v>
          </cell>
          <cell r="B10841" t="str">
            <v>Dưa Leo Baby</v>
          </cell>
          <cell r="C10841" t="str">
            <v>Vỉ</v>
          </cell>
          <cell r="D10841">
            <v>7500</v>
          </cell>
        </row>
        <row r="10842">
          <cell r="A10842">
            <v>45711</v>
          </cell>
          <cell r="B10842" t="str">
            <v>Cà Chua Socola</v>
          </cell>
          <cell r="C10842" t="str">
            <v>Hộp 250GR</v>
          </cell>
          <cell r="D10842">
            <v>7500</v>
          </cell>
        </row>
        <row r="10843">
          <cell r="A10843">
            <v>45711</v>
          </cell>
          <cell r="B10843" t="str">
            <v>Cần Tây</v>
          </cell>
          <cell r="C10843" t="str">
            <v>Kg</v>
          </cell>
          <cell r="D10843">
            <v>11000</v>
          </cell>
        </row>
        <row r="10844">
          <cell r="A10844">
            <v>45711</v>
          </cell>
          <cell r="B10844" t="str">
            <v>Bông Cải Xanh 7Cm</v>
          </cell>
          <cell r="C10844" t="str">
            <v>Kg</v>
          </cell>
          <cell r="D10844">
            <v>22000</v>
          </cell>
        </row>
        <row r="10845">
          <cell r="A10845">
            <v>45711</v>
          </cell>
          <cell r="B10845" t="str">
            <v>Bắp Cải Tím</v>
          </cell>
          <cell r="C10845" t="str">
            <v>Kg</v>
          </cell>
          <cell r="D10845">
            <v>12000</v>
          </cell>
        </row>
        <row r="10846">
          <cell r="A10846">
            <v>45711</v>
          </cell>
          <cell r="B10846" t="str">
            <v>Bông Cải Xanh 7Cm</v>
          </cell>
          <cell r="C10846" t="str">
            <v>Kg</v>
          </cell>
          <cell r="D10846">
            <v>25000</v>
          </cell>
        </row>
        <row r="10847">
          <cell r="A10847">
            <v>45711</v>
          </cell>
          <cell r="B10847" t="str">
            <v>Củ Khoai Tây Vàng</v>
          </cell>
          <cell r="C10847" t="str">
            <v>Kg</v>
          </cell>
          <cell r="D10847">
            <v>11000</v>
          </cell>
        </row>
        <row r="10848">
          <cell r="A10848">
            <v>45711</v>
          </cell>
          <cell r="B10848" t="str">
            <v>Bông Cải Trắng</v>
          </cell>
          <cell r="C10848" t="str">
            <v>Kg</v>
          </cell>
          <cell r="D10848">
            <v>12000</v>
          </cell>
        </row>
        <row r="10849">
          <cell r="A10849">
            <v>45711</v>
          </cell>
          <cell r="B10849" t="str">
            <v>Xà Lách Mỹ</v>
          </cell>
          <cell r="C10849" t="str">
            <v>Kg</v>
          </cell>
          <cell r="D10849">
            <v>10000</v>
          </cell>
        </row>
        <row r="10850">
          <cell r="A10850">
            <v>45711</v>
          </cell>
          <cell r="B10850" t="str">
            <v>Bông Cải Xanh 7Cm</v>
          </cell>
          <cell r="C10850" t="str">
            <v>Kg</v>
          </cell>
          <cell r="D10850">
            <v>25000</v>
          </cell>
        </row>
        <row r="10851">
          <cell r="A10851">
            <v>45711</v>
          </cell>
          <cell r="B10851" t="str">
            <v>Xà Lách Thủy Tinh T.C Cây</v>
          </cell>
          <cell r="C10851" t="str">
            <v>Cây</v>
          </cell>
          <cell r="D10851">
            <v>6800</v>
          </cell>
        </row>
        <row r="10852">
          <cell r="A10852">
            <v>45711</v>
          </cell>
          <cell r="B10852" t="str">
            <v>Xà Lách Lolo Xanh T.C Cây</v>
          </cell>
          <cell r="C10852" t="str">
            <v>Cây</v>
          </cell>
          <cell r="D10852">
            <v>6800</v>
          </cell>
        </row>
        <row r="10853">
          <cell r="A10853">
            <v>45711</v>
          </cell>
          <cell r="B10853" t="str">
            <v>Xà Lách Mỡ T.C</v>
          </cell>
          <cell r="C10853" t="str">
            <v>Kg</v>
          </cell>
          <cell r="D10853">
            <v>21000</v>
          </cell>
        </row>
        <row r="10854">
          <cell r="A10854">
            <v>45711</v>
          </cell>
          <cell r="B10854" t="str">
            <v>Bắp Cải Tím</v>
          </cell>
          <cell r="C10854" t="str">
            <v>Kg</v>
          </cell>
          <cell r="D10854">
            <v>17000</v>
          </cell>
        </row>
        <row r="10855">
          <cell r="A10855">
            <v>45711</v>
          </cell>
          <cell r="B10855" t="str">
            <v>Cần Tây</v>
          </cell>
          <cell r="C10855" t="str">
            <v>Kg</v>
          </cell>
          <cell r="D10855">
            <v>11000</v>
          </cell>
        </row>
        <row r="10856">
          <cell r="A10856">
            <v>45711</v>
          </cell>
          <cell r="B10856" t="str">
            <v>Dưa Leo Baby</v>
          </cell>
          <cell r="C10856" t="str">
            <v>Kg</v>
          </cell>
          <cell r="D10856">
            <v>9500</v>
          </cell>
        </row>
        <row r="10857">
          <cell r="A10857">
            <v>45711</v>
          </cell>
          <cell r="B10857" t="str">
            <v>Củ Dền</v>
          </cell>
          <cell r="C10857" t="str">
            <v>Kg</v>
          </cell>
          <cell r="D10857">
            <v>9000</v>
          </cell>
        </row>
        <row r="10858">
          <cell r="A10858">
            <v>45711</v>
          </cell>
          <cell r="B10858" t="str">
            <v>Gia Công Rau Củ Quả</v>
          </cell>
          <cell r="C10858" t="str">
            <v>Kg</v>
          </cell>
          <cell r="D10858">
            <v>1700</v>
          </cell>
        </row>
        <row r="10859">
          <cell r="A10859">
            <v>45711</v>
          </cell>
          <cell r="B10859" t="str">
            <v>Gia Công Rau Củ Quả</v>
          </cell>
          <cell r="C10859" t="str">
            <v>Kg</v>
          </cell>
          <cell r="D10859">
            <v>1000</v>
          </cell>
        </row>
        <row r="10860">
          <cell r="A10860">
            <v>45711</v>
          </cell>
          <cell r="B10860" t="str">
            <v>Dưa Leo Baby</v>
          </cell>
          <cell r="C10860" t="str">
            <v>Kg</v>
          </cell>
          <cell r="D10860">
            <v>11000</v>
          </cell>
        </row>
        <row r="10861">
          <cell r="A10861">
            <v>45711</v>
          </cell>
          <cell r="B10861" t="str">
            <v>Bí Ngòi Xanh</v>
          </cell>
          <cell r="C10861" t="str">
            <v>Kg</v>
          </cell>
          <cell r="D10861">
            <v>9000</v>
          </cell>
        </row>
        <row r="10862">
          <cell r="A10862">
            <v>45711</v>
          </cell>
          <cell r="B10862" t="str">
            <v>Củ Hành Tây</v>
          </cell>
          <cell r="C10862" t="str">
            <v>Kg</v>
          </cell>
          <cell r="D10862">
            <v>7000</v>
          </cell>
        </row>
        <row r="10863">
          <cell r="A10863">
            <v>45711</v>
          </cell>
          <cell r="B10863" t="str">
            <v>Củ Hành Tây Trung</v>
          </cell>
          <cell r="C10863" t="str">
            <v>Kg</v>
          </cell>
          <cell r="D10863">
            <v>6000</v>
          </cell>
        </row>
        <row r="10864">
          <cell r="A10864">
            <v>45711</v>
          </cell>
          <cell r="B10864" t="str">
            <v>Cải Bó Xôi</v>
          </cell>
          <cell r="C10864" t="str">
            <v>Kg</v>
          </cell>
          <cell r="D10864">
            <v>13000</v>
          </cell>
        </row>
        <row r="10865">
          <cell r="A10865">
            <v>45711</v>
          </cell>
          <cell r="B10865" t="str">
            <v>Cà Chua Beef</v>
          </cell>
          <cell r="C10865" t="str">
            <v>Kg</v>
          </cell>
          <cell r="D10865">
            <v>15500</v>
          </cell>
        </row>
        <row r="10866">
          <cell r="A10866">
            <v>45711</v>
          </cell>
          <cell r="B10866" t="str">
            <v>Hành Paro</v>
          </cell>
          <cell r="C10866" t="str">
            <v>Kg</v>
          </cell>
          <cell r="D10866">
            <v>11500</v>
          </cell>
        </row>
        <row r="10867">
          <cell r="A10867">
            <v>45711</v>
          </cell>
          <cell r="B10867" t="str">
            <v>Củ Su Hào</v>
          </cell>
          <cell r="C10867" t="str">
            <v>Kg</v>
          </cell>
          <cell r="D10867">
            <v>8000</v>
          </cell>
        </row>
        <row r="10868">
          <cell r="A10868">
            <v>45711</v>
          </cell>
          <cell r="B10868" t="str">
            <v>Xà Lách Mỡ T.C</v>
          </cell>
          <cell r="C10868" t="str">
            <v>Kg</v>
          </cell>
          <cell r="D10868">
            <v>24000</v>
          </cell>
        </row>
        <row r="10869">
          <cell r="A10869">
            <v>45711</v>
          </cell>
          <cell r="B10869" t="str">
            <v>Xà Lách Lolo Xanh T.C</v>
          </cell>
          <cell r="C10869" t="str">
            <v>Kg</v>
          </cell>
          <cell r="D10869">
            <v>18000</v>
          </cell>
        </row>
        <row r="10870">
          <cell r="A10870">
            <v>45711</v>
          </cell>
          <cell r="B10870" t="str">
            <v>Xà Lách Thủy Tinh T.C</v>
          </cell>
          <cell r="C10870" t="str">
            <v>Kg</v>
          </cell>
          <cell r="D10870">
            <v>25000</v>
          </cell>
        </row>
        <row r="10871">
          <cell r="A10871">
            <v>45711</v>
          </cell>
          <cell r="B10871" t="str">
            <v>Ớt Sweet Palemo</v>
          </cell>
          <cell r="C10871" t="str">
            <v>Túi</v>
          </cell>
          <cell r="D10871">
            <v>17000</v>
          </cell>
        </row>
        <row r="10872">
          <cell r="A10872">
            <v>45711</v>
          </cell>
          <cell r="B10872" t="str">
            <v>Ớt Chuông Baby</v>
          </cell>
          <cell r="C10872" t="str">
            <v>Kg</v>
          </cell>
          <cell r="D10872">
            <v>48000</v>
          </cell>
        </row>
        <row r="10873">
          <cell r="A10873">
            <v>45711</v>
          </cell>
          <cell r="B10873" t="str">
            <v>Ớt Chuông Đỏ</v>
          </cell>
          <cell r="C10873" t="str">
            <v>Kg</v>
          </cell>
          <cell r="D10873">
            <v>21000</v>
          </cell>
        </row>
        <row r="10874">
          <cell r="A10874">
            <v>45711</v>
          </cell>
          <cell r="B10874" t="str">
            <v>Ớt Chuông Vàng</v>
          </cell>
          <cell r="C10874" t="str">
            <v>Kg</v>
          </cell>
          <cell r="D10874">
            <v>29000</v>
          </cell>
        </row>
        <row r="10875">
          <cell r="A10875">
            <v>45711</v>
          </cell>
          <cell r="B10875" t="str">
            <v>Ớt Chuông Xanh</v>
          </cell>
          <cell r="C10875" t="str">
            <v>Kg</v>
          </cell>
          <cell r="D10875">
            <v>28000</v>
          </cell>
        </row>
        <row r="10876">
          <cell r="A10876">
            <v>45711</v>
          </cell>
          <cell r="B10876" t="str">
            <v>Cà Chua Socola</v>
          </cell>
          <cell r="C10876" t="str">
            <v>Kg</v>
          </cell>
          <cell r="D10876">
            <v>30000</v>
          </cell>
        </row>
        <row r="10877">
          <cell r="A10877">
            <v>45711</v>
          </cell>
          <cell r="B10877" t="str">
            <v>Lá Mè</v>
          </cell>
          <cell r="C10877" t="str">
            <v>Túi</v>
          </cell>
          <cell r="D10877">
            <v>2400</v>
          </cell>
        </row>
        <row r="10878">
          <cell r="A10878">
            <v>45711</v>
          </cell>
          <cell r="B10878" t="str">
            <v>Bông Cải Xanh 7Cm</v>
          </cell>
          <cell r="C10878" t="str">
            <v>Kg</v>
          </cell>
          <cell r="D10878">
            <v>22000</v>
          </cell>
        </row>
        <row r="10879">
          <cell r="A10879">
            <v>45711</v>
          </cell>
          <cell r="B10879" t="str">
            <v>Bông Cải Xanh 12Cm</v>
          </cell>
          <cell r="C10879" t="str">
            <v>Kg</v>
          </cell>
          <cell r="D10879">
            <v>14000</v>
          </cell>
        </row>
        <row r="10880">
          <cell r="A10880">
            <v>45711</v>
          </cell>
          <cell r="B10880" t="str">
            <v>Ớt Sweet Palemo</v>
          </cell>
          <cell r="C10880" t="str">
            <v>Túi</v>
          </cell>
          <cell r="D10880">
            <v>16000</v>
          </cell>
        </row>
        <row r="10881">
          <cell r="A10881">
            <v>45711</v>
          </cell>
          <cell r="B10881" t="str">
            <v>Cải Bó Xôi</v>
          </cell>
          <cell r="C10881" t="str">
            <v>Kg</v>
          </cell>
          <cell r="D10881">
            <v>16000</v>
          </cell>
        </row>
        <row r="10882">
          <cell r="A10882">
            <v>45711</v>
          </cell>
          <cell r="B10882" t="str">
            <v>Cải Bó Xôi</v>
          </cell>
          <cell r="C10882" t="str">
            <v>Túi</v>
          </cell>
          <cell r="D10882">
            <v>5700</v>
          </cell>
        </row>
        <row r="10883">
          <cell r="A10883">
            <v>45711</v>
          </cell>
          <cell r="B10883" t="str">
            <v>Cà Chua Bi Mix</v>
          </cell>
          <cell r="C10883" t="str">
            <v>Hộp</v>
          </cell>
          <cell r="D10883">
            <v>12000</v>
          </cell>
        </row>
        <row r="10884">
          <cell r="A10884">
            <v>45711</v>
          </cell>
          <cell r="B10884" t="str">
            <v>Cải Cầu Vồng</v>
          </cell>
          <cell r="C10884" t="str">
            <v>Túi</v>
          </cell>
          <cell r="D10884">
            <v>4800</v>
          </cell>
        </row>
        <row r="10885">
          <cell r="A10885">
            <v>45711</v>
          </cell>
          <cell r="B10885" t="str">
            <v>Cải Kale</v>
          </cell>
          <cell r="C10885" t="str">
            <v>Túi</v>
          </cell>
          <cell r="D10885">
            <v>4200</v>
          </cell>
        </row>
        <row r="10886">
          <cell r="A10886">
            <v>45711</v>
          </cell>
          <cell r="B10886" t="str">
            <v>Chanh Không Hạt</v>
          </cell>
          <cell r="C10886" t="str">
            <v>Vỉ</v>
          </cell>
          <cell r="D10886">
            <v>7500</v>
          </cell>
        </row>
        <row r="10887">
          <cell r="A10887">
            <v>45711</v>
          </cell>
          <cell r="B10887" t="str">
            <v>Cà Chua Beef</v>
          </cell>
          <cell r="C10887" t="str">
            <v>Vỉ 650gr</v>
          </cell>
          <cell r="D10887">
            <v>12300</v>
          </cell>
        </row>
        <row r="10888">
          <cell r="A10888">
            <v>45711</v>
          </cell>
          <cell r="B10888" t="str">
            <v>Cà Chua Beef Trung</v>
          </cell>
          <cell r="C10888" t="str">
            <v>Vỉ 500gr</v>
          </cell>
          <cell r="D10888">
            <v>8000</v>
          </cell>
        </row>
        <row r="10889">
          <cell r="A10889">
            <v>45711</v>
          </cell>
          <cell r="B10889" t="str">
            <v>Cà Chua Thường</v>
          </cell>
          <cell r="C10889" t="str">
            <v>Kg</v>
          </cell>
          <cell r="D10889">
            <v>16000</v>
          </cell>
        </row>
        <row r="10890">
          <cell r="A10890">
            <v>45711</v>
          </cell>
          <cell r="B10890" t="str">
            <v>Cà Chua Thường Trung</v>
          </cell>
          <cell r="C10890" t="str">
            <v>Kg</v>
          </cell>
          <cell r="D10890">
            <v>11000</v>
          </cell>
        </row>
        <row r="10891">
          <cell r="A10891">
            <v>45711</v>
          </cell>
          <cell r="B10891" t="str">
            <v>Cà Rốt</v>
          </cell>
          <cell r="C10891" t="str">
            <v>Kg</v>
          </cell>
          <cell r="D10891">
            <v>6800</v>
          </cell>
        </row>
        <row r="10892">
          <cell r="A10892">
            <v>45711</v>
          </cell>
          <cell r="B10892" t="str">
            <v>Bí Ngòi Xanh</v>
          </cell>
          <cell r="C10892" t="str">
            <v>Kg</v>
          </cell>
          <cell r="D10892">
            <v>15000</v>
          </cell>
        </row>
        <row r="10893">
          <cell r="A10893">
            <v>45711</v>
          </cell>
          <cell r="B10893" t="str">
            <v>Trái Khổ Qua</v>
          </cell>
          <cell r="C10893" t="str">
            <v>Kg</v>
          </cell>
          <cell r="D10893">
            <v>13000</v>
          </cell>
        </row>
        <row r="10894">
          <cell r="A10894">
            <v>45711</v>
          </cell>
          <cell r="B10894" t="str">
            <v>Bí Đao Xanh</v>
          </cell>
          <cell r="C10894" t="str">
            <v>Kg</v>
          </cell>
          <cell r="D10894">
            <v>9000</v>
          </cell>
        </row>
        <row r="10895">
          <cell r="A10895">
            <v>45711</v>
          </cell>
          <cell r="B10895" t="str">
            <v>Củ Gừng</v>
          </cell>
          <cell r="C10895" t="str">
            <v>Kg</v>
          </cell>
          <cell r="D10895">
            <v>18000</v>
          </cell>
        </row>
        <row r="10896">
          <cell r="A10896">
            <v>45711</v>
          </cell>
          <cell r="B10896" t="str">
            <v>Củ Khoai Mỡ</v>
          </cell>
          <cell r="C10896" t="str">
            <v>Kg</v>
          </cell>
          <cell r="D10896">
            <v>25000</v>
          </cell>
        </row>
        <row r="10897">
          <cell r="A10897">
            <v>45711</v>
          </cell>
          <cell r="B10897" t="str">
            <v>Rau Bầu Đất</v>
          </cell>
          <cell r="C10897" t="str">
            <v>Kg</v>
          </cell>
          <cell r="D10897">
            <v>25000</v>
          </cell>
        </row>
        <row r="10898">
          <cell r="A10898">
            <v>45711</v>
          </cell>
          <cell r="B10898" t="str">
            <v>Chuối Laba</v>
          </cell>
          <cell r="C10898" t="str">
            <v>Kg</v>
          </cell>
          <cell r="D10898">
            <v>14000</v>
          </cell>
        </row>
        <row r="10899">
          <cell r="A10899">
            <v>45711</v>
          </cell>
          <cell r="B10899" t="str">
            <v>Lá Nha Đam</v>
          </cell>
          <cell r="C10899" t="str">
            <v>Kg</v>
          </cell>
          <cell r="D10899">
            <v>14000</v>
          </cell>
        </row>
        <row r="10900">
          <cell r="A10900">
            <v>45711</v>
          </cell>
          <cell r="B10900" t="str">
            <v>Bí Đỏ Hồ Lô</v>
          </cell>
          <cell r="C10900" t="str">
            <v>Kg</v>
          </cell>
          <cell r="D10900">
            <v>8000</v>
          </cell>
        </row>
        <row r="10901">
          <cell r="A10901">
            <v>45711</v>
          </cell>
          <cell r="B10901" t="str">
            <v>Bí Đỏ Tròn</v>
          </cell>
          <cell r="C10901" t="str">
            <v>Kg</v>
          </cell>
          <cell r="D10901">
            <v>11000</v>
          </cell>
        </row>
        <row r="10902">
          <cell r="A10902">
            <v>45711</v>
          </cell>
          <cell r="B10902" t="str">
            <v>Củ Khoai Mỡ</v>
          </cell>
          <cell r="C10902" t="str">
            <v>Kg</v>
          </cell>
          <cell r="D10902">
            <v>26000</v>
          </cell>
        </row>
        <row r="10903">
          <cell r="A10903">
            <v>45711</v>
          </cell>
          <cell r="B10903" t="str">
            <v>Ớt Chuông Đỏ</v>
          </cell>
          <cell r="C10903" t="str">
            <v>Kg</v>
          </cell>
          <cell r="D10903">
            <v>23000</v>
          </cell>
        </row>
        <row r="10904">
          <cell r="A10904">
            <v>45711</v>
          </cell>
          <cell r="B10904" t="str">
            <v>Ớt Chuông Vàng</v>
          </cell>
          <cell r="C10904" t="str">
            <v>Kg</v>
          </cell>
          <cell r="D10904">
            <v>30000</v>
          </cell>
        </row>
        <row r="10905">
          <cell r="A10905">
            <v>45711</v>
          </cell>
          <cell r="B10905" t="str">
            <v>Ớt Chuông Xanh</v>
          </cell>
          <cell r="C10905" t="str">
            <v>Kg</v>
          </cell>
          <cell r="D10905">
            <v>30000</v>
          </cell>
        </row>
        <row r="10906">
          <cell r="A10906">
            <v>45711</v>
          </cell>
          <cell r="B10906" t="str">
            <v>Ớt Chuông Baby</v>
          </cell>
          <cell r="C10906" t="str">
            <v>Kg</v>
          </cell>
          <cell r="D10906">
            <v>28000</v>
          </cell>
        </row>
        <row r="10907">
          <cell r="A10907">
            <v>45711</v>
          </cell>
          <cell r="B10907" t="str">
            <v>Ớt Chuông Snack</v>
          </cell>
          <cell r="C10907" t="str">
            <v>Kg</v>
          </cell>
          <cell r="D10907">
            <v>50000</v>
          </cell>
        </row>
        <row r="10908">
          <cell r="A10908">
            <v>45711</v>
          </cell>
          <cell r="B10908" t="str">
            <v>Cà Rốt</v>
          </cell>
          <cell r="C10908" t="str">
            <v>Kg</v>
          </cell>
          <cell r="D10908">
            <v>6000</v>
          </cell>
        </row>
        <row r="10909">
          <cell r="A10909">
            <v>45711</v>
          </cell>
          <cell r="B10909" t="str">
            <v>Củ Cải Trắng</v>
          </cell>
          <cell r="C10909" t="str">
            <v>Kg</v>
          </cell>
          <cell r="D10909">
            <v>4000</v>
          </cell>
        </row>
        <row r="10910">
          <cell r="A10910">
            <v>45711</v>
          </cell>
          <cell r="B10910" t="str">
            <v>Củ Khoai Lang Nhật</v>
          </cell>
          <cell r="C10910" t="str">
            <v>Kg</v>
          </cell>
          <cell r="D10910">
            <v>14000</v>
          </cell>
        </row>
        <row r="10911">
          <cell r="A10911">
            <v>45711</v>
          </cell>
          <cell r="B10911" t="str">
            <v>Lá Mè</v>
          </cell>
          <cell r="C10911" t="str">
            <v>Túi</v>
          </cell>
          <cell r="D10911">
            <v>2500</v>
          </cell>
        </row>
        <row r="10912">
          <cell r="A10912">
            <v>45711</v>
          </cell>
          <cell r="B10912" t="str">
            <v>Cà Rốt Baby</v>
          </cell>
          <cell r="C10912" t="str">
            <v>Vỉ</v>
          </cell>
          <cell r="D10912">
            <v>6000</v>
          </cell>
        </row>
        <row r="10913">
          <cell r="A10913">
            <v>45711</v>
          </cell>
          <cell r="B10913" t="str">
            <v>Cải Kale</v>
          </cell>
          <cell r="C10913" t="str">
            <v>Túi</v>
          </cell>
          <cell r="D10913">
            <v>3300</v>
          </cell>
        </row>
        <row r="10914">
          <cell r="A10914">
            <v>45711</v>
          </cell>
          <cell r="B10914" t="str">
            <v>Cải Kale</v>
          </cell>
          <cell r="C10914" t="str">
            <v>Túi 150gr</v>
          </cell>
          <cell r="D10914">
            <v>1900</v>
          </cell>
        </row>
        <row r="10915">
          <cell r="A10915">
            <v>45711</v>
          </cell>
          <cell r="B10915" t="str">
            <v>Bông Cải Xanh Baby</v>
          </cell>
          <cell r="C10915" t="str">
            <v>Vỉ</v>
          </cell>
          <cell r="D10915">
            <v>6000</v>
          </cell>
        </row>
        <row r="10916">
          <cell r="A10916">
            <v>45711</v>
          </cell>
          <cell r="B10916" t="str">
            <v>Cà Chua Beef Trung</v>
          </cell>
          <cell r="C10916" t="str">
            <v>Vỉ 500gr</v>
          </cell>
          <cell r="D10916">
            <v>8500</v>
          </cell>
        </row>
        <row r="10917">
          <cell r="A10917">
            <v>45711</v>
          </cell>
          <cell r="B10917" t="str">
            <v>Củ Cải Đỏ</v>
          </cell>
          <cell r="C10917" t="str">
            <v>Hộp</v>
          </cell>
          <cell r="D10917">
            <v>10000</v>
          </cell>
        </row>
        <row r="10918">
          <cell r="A10918">
            <v>45711</v>
          </cell>
          <cell r="B10918" t="str">
            <v>Ớt Sweet Palemo</v>
          </cell>
          <cell r="C10918" t="str">
            <v>Túi</v>
          </cell>
          <cell r="D10918">
            <v>16000</v>
          </cell>
        </row>
        <row r="10919">
          <cell r="A10919">
            <v>45711</v>
          </cell>
          <cell r="B10919" t="str">
            <v>Xà Lách Lolo Xanh</v>
          </cell>
          <cell r="C10919" t="str">
            <v>Kg</v>
          </cell>
          <cell r="D10919">
            <v>7000</v>
          </cell>
        </row>
        <row r="10920">
          <cell r="A10920">
            <v>45711</v>
          </cell>
          <cell r="B10920" t="str">
            <v>Xà Lách Romaine</v>
          </cell>
          <cell r="C10920" t="str">
            <v>Kg</v>
          </cell>
          <cell r="D10920">
            <v>15000</v>
          </cell>
        </row>
        <row r="10921">
          <cell r="A10921">
            <v>45711</v>
          </cell>
          <cell r="B10921" t="str">
            <v>Xà Lách Lolo Tím</v>
          </cell>
          <cell r="C10921" t="str">
            <v>Kg</v>
          </cell>
          <cell r="D10921">
            <v>20000</v>
          </cell>
        </row>
        <row r="10922">
          <cell r="A10922">
            <v>45711</v>
          </cell>
          <cell r="B10922" t="str">
            <v>Cần Tây</v>
          </cell>
          <cell r="C10922" t="str">
            <v>Kg</v>
          </cell>
          <cell r="D10922">
            <v>10000</v>
          </cell>
        </row>
        <row r="10923">
          <cell r="A10923">
            <v>45711</v>
          </cell>
          <cell r="B10923" t="str">
            <v>Củ Hành Tây</v>
          </cell>
          <cell r="C10923" t="str">
            <v>Kg</v>
          </cell>
          <cell r="D10923">
            <v>7000</v>
          </cell>
        </row>
        <row r="10924">
          <cell r="A10924">
            <v>45711</v>
          </cell>
          <cell r="B10924" t="str">
            <v>Măng Tây</v>
          </cell>
          <cell r="C10924" t="str">
            <v>Kg</v>
          </cell>
          <cell r="D10924">
            <v>47333</v>
          </cell>
        </row>
        <row r="10925">
          <cell r="A10925">
            <v>45711</v>
          </cell>
          <cell r="B10925" t="str">
            <v>Lá É</v>
          </cell>
          <cell r="C10925" t="str">
            <v>Kg</v>
          </cell>
          <cell r="D10925">
            <v>25000</v>
          </cell>
        </row>
        <row r="10926">
          <cell r="A10926">
            <v>45711</v>
          </cell>
          <cell r="B10926" t="str">
            <v>Đậu Đỏ</v>
          </cell>
          <cell r="C10926" t="str">
            <v>Kg</v>
          </cell>
          <cell r="D10926">
            <v>80000</v>
          </cell>
        </row>
        <row r="10927">
          <cell r="A10927">
            <v>45711</v>
          </cell>
          <cell r="B10927" t="str">
            <v>Đậu Ngự</v>
          </cell>
          <cell r="C10927" t="str">
            <v>Kg</v>
          </cell>
          <cell r="D10927">
            <v>70000</v>
          </cell>
        </row>
        <row r="10928">
          <cell r="A10928">
            <v>45711</v>
          </cell>
          <cell r="B10928" t="str">
            <v>Đậu Trắng</v>
          </cell>
          <cell r="C10928" t="str">
            <v>Kg</v>
          </cell>
          <cell r="D10928">
            <v>70000</v>
          </cell>
        </row>
        <row r="10929">
          <cell r="A10929">
            <v>45711</v>
          </cell>
          <cell r="B10929" t="str">
            <v>Xà Lách Lolo Xanh</v>
          </cell>
          <cell r="C10929" t="str">
            <v>Kg</v>
          </cell>
          <cell r="D10929">
            <v>13000</v>
          </cell>
        </row>
        <row r="10930">
          <cell r="A10930">
            <v>45711</v>
          </cell>
          <cell r="B10930" t="str">
            <v>Dưa Leo Thường</v>
          </cell>
          <cell r="C10930" t="str">
            <v>Kg</v>
          </cell>
          <cell r="D10930">
            <v>15000</v>
          </cell>
        </row>
        <row r="10931">
          <cell r="A10931">
            <v>45711</v>
          </cell>
          <cell r="B10931" t="str">
            <v>Dưa Leo Nhật</v>
          </cell>
          <cell r="C10931" t="str">
            <v>Kg</v>
          </cell>
          <cell r="D10931">
            <v>15000</v>
          </cell>
        </row>
        <row r="10932">
          <cell r="A10932">
            <v>45711</v>
          </cell>
          <cell r="B10932" t="str">
            <v>Bí Non Nhật</v>
          </cell>
          <cell r="C10932" t="str">
            <v>Kg</v>
          </cell>
          <cell r="D10932">
            <v>13000</v>
          </cell>
        </row>
        <row r="10933">
          <cell r="A10933">
            <v>45711</v>
          </cell>
          <cell r="B10933" t="str">
            <v>Dưa Leo Baby</v>
          </cell>
          <cell r="C10933" t="str">
            <v>Vỉ</v>
          </cell>
          <cell r="D10933">
            <v>9000</v>
          </cell>
        </row>
        <row r="10934">
          <cell r="A10934">
            <v>45711</v>
          </cell>
          <cell r="B10934" t="str">
            <v>Cà Chua Bi Đỏ</v>
          </cell>
          <cell r="C10934" t="str">
            <v>Hộp 300gr</v>
          </cell>
          <cell r="D10934">
            <v>6000</v>
          </cell>
        </row>
        <row r="10935">
          <cell r="A10935">
            <v>45711</v>
          </cell>
          <cell r="B10935" t="str">
            <v>Đậu Cove Nhật</v>
          </cell>
          <cell r="C10935" t="str">
            <v>Túi</v>
          </cell>
          <cell r="D10935">
            <v>6000</v>
          </cell>
        </row>
        <row r="10936">
          <cell r="A10936">
            <v>45711</v>
          </cell>
          <cell r="B10936" t="str">
            <v>Xà Lách Mỡ T.C</v>
          </cell>
          <cell r="C10936" t="str">
            <v>Kg</v>
          </cell>
          <cell r="D10936">
            <v>26000</v>
          </cell>
        </row>
        <row r="10937">
          <cell r="A10937">
            <v>45711</v>
          </cell>
          <cell r="B10937" t="str">
            <v>Xà Lách Lolo Xanh T.C</v>
          </cell>
          <cell r="C10937" t="str">
            <v>Kg</v>
          </cell>
          <cell r="D10937">
            <v>26000</v>
          </cell>
        </row>
        <row r="10938">
          <cell r="A10938">
            <v>45711</v>
          </cell>
          <cell r="B10938" t="str">
            <v>Xà Lách Thủy Tinh T.C Cây</v>
          </cell>
          <cell r="C10938" t="str">
            <v>Cây</v>
          </cell>
          <cell r="D10938">
            <v>7500</v>
          </cell>
        </row>
        <row r="10939">
          <cell r="A10939">
            <v>45711</v>
          </cell>
          <cell r="B10939" t="str">
            <v>Cà Tím</v>
          </cell>
          <cell r="C10939" t="str">
            <v>Kg</v>
          </cell>
          <cell r="D10939">
            <v>8000</v>
          </cell>
        </row>
        <row r="10940">
          <cell r="A10940">
            <v>45711</v>
          </cell>
          <cell r="B10940" t="str">
            <v>Trái Su Su</v>
          </cell>
          <cell r="C10940" t="str">
            <v>Kg</v>
          </cell>
          <cell r="D10940">
            <v>8000</v>
          </cell>
        </row>
        <row r="10941">
          <cell r="A10941">
            <v>45711</v>
          </cell>
          <cell r="B10941" t="str">
            <v>Củ Khoai Lang Nhật</v>
          </cell>
          <cell r="C10941" t="str">
            <v>Kg</v>
          </cell>
          <cell r="D10941">
            <v>15000</v>
          </cell>
        </row>
        <row r="10942">
          <cell r="A10942">
            <v>45711</v>
          </cell>
          <cell r="B10942" t="str">
            <v>Dưa Leo Baby</v>
          </cell>
          <cell r="C10942" t="str">
            <v>Vỉ</v>
          </cell>
          <cell r="D10942">
            <v>6500</v>
          </cell>
        </row>
        <row r="10943">
          <cell r="A10943">
            <v>45711</v>
          </cell>
          <cell r="B10943" t="str">
            <v>Xà Lách Thủy Tinh T.C Cây</v>
          </cell>
          <cell r="C10943" t="str">
            <v>Cây</v>
          </cell>
          <cell r="D10943">
            <v>5500</v>
          </cell>
        </row>
        <row r="10944">
          <cell r="A10944">
            <v>45711</v>
          </cell>
          <cell r="B10944" t="str">
            <v>Bắp Cải Trái Tim</v>
          </cell>
          <cell r="C10944" t="str">
            <v>Kg</v>
          </cell>
          <cell r="D10944">
            <v>5000</v>
          </cell>
        </row>
        <row r="10945">
          <cell r="A10945">
            <v>45711</v>
          </cell>
          <cell r="B10945" t="str">
            <v>Cà Rốt</v>
          </cell>
          <cell r="C10945" t="str">
            <v>Kg</v>
          </cell>
          <cell r="D10945">
            <v>6500</v>
          </cell>
        </row>
        <row r="10946">
          <cell r="A10946">
            <v>45711</v>
          </cell>
          <cell r="B10946" t="str">
            <v>Đậu Cove Nhật</v>
          </cell>
          <cell r="C10946" t="str">
            <v>Túi</v>
          </cell>
          <cell r="D10946">
            <v>6000</v>
          </cell>
        </row>
        <row r="10947">
          <cell r="A10947">
            <v>45711</v>
          </cell>
          <cell r="B10947" t="str">
            <v>Đậu Cove Trắng</v>
          </cell>
          <cell r="C10947" t="str">
            <v>Túi 500gr</v>
          </cell>
          <cell r="D10947">
            <v>7000</v>
          </cell>
        </row>
        <row r="10948">
          <cell r="A10948">
            <v>45711</v>
          </cell>
          <cell r="B10948" t="str">
            <v>Đậu Cove Trắng</v>
          </cell>
          <cell r="C10948" t="str">
            <v>Túi 300gr</v>
          </cell>
          <cell r="D10948">
            <v>5000</v>
          </cell>
        </row>
        <row r="10949">
          <cell r="A10949">
            <v>45711</v>
          </cell>
          <cell r="B10949" t="str">
            <v>Bí Ngòi Xanh</v>
          </cell>
          <cell r="C10949" t="str">
            <v>Kg</v>
          </cell>
          <cell r="D10949">
            <v>15000</v>
          </cell>
        </row>
        <row r="10950">
          <cell r="A10950">
            <v>45711</v>
          </cell>
          <cell r="B10950" t="str">
            <v>Cà Chua Bi Đỏ</v>
          </cell>
          <cell r="C10950" t="str">
            <v>Kg</v>
          </cell>
          <cell r="D10950">
            <v>10000</v>
          </cell>
        </row>
        <row r="10951">
          <cell r="A10951">
            <v>45712</v>
          </cell>
          <cell r="B10951" t="str">
            <v>Dịch vụ tư vấn kiểm nghiệm sản phẩm</v>
          </cell>
          <cell r="C10951" t="str">
            <v>Gói</v>
          </cell>
          <cell r="D10951">
            <v>3100000</v>
          </cell>
        </row>
        <row r="10952">
          <cell r="A10952">
            <v>45712</v>
          </cell>
          <cell r="B10952" t="str">
            <v>DO 0.05S-II</v>
          </cell>
          <cell r="C10952" t="str">
            <v>Lít</v>
          </cell>
          <cell r="D10952">
            <v>17672.73</v>
          </cell>
        </row>
        <row r="10953">
          <cell r="A10953">
            <v>45712</v>
          </cell>
          <cell r="B10953" t="str">
            <v>DO 0.05S-II</v>
          </cell>
          <cell r="C10953" t="str">
            <v>Lít</v>
          </cell>
          <cell r="D10953">
            <v>17672.73</v>
          </cell>
        </row>
        <row r="10954">
          <cell r="A10954">
            <v>45712</v>
          </cell>
          <cell r="B10954" t="str">
            <v>Cải Bó Xôi</v>
          </cell>
          <cell r="C10954" t="str">
            <v>Kg</v>
          </cell>
          <cell r="D10954">
            <v>22000</v>
          </cell>
        </row>
        <row r="10955">
          <cell r="A10955">
            <v>45712</v>
          </cell>
          <cell r="B10955" t="str">
            <v>Cải Bó Xôi</v>
          </cell>
          <cell r="C10955" t="str">
            <v>Túi</v>
          </cell>
          <cell r="D10955">
            <v>5700</v>
          </cell>
        </row>
        <row r="10956">
          <cell r="A10956">
            <v>45712</v>
          </cell>
          <cell r="B10956" t="str">
            <v>Cải Bó Xôi</v>
          </cell>
          <cell r="C10956" t="str">
            <v>Túi</v>
          </cell>
          <cell r="D10956">
            <v>7200</v>
          </cell>
        </row>
        <row r="10957">
          <cell r="A10957">
            <v>45712</v>
          </cell>
          <cell r="B10957" t="str">
            <v>Cà Chua Bi Mix</v>
          </cell>
          <cell r="C10957" t="str">
            <v>Hộp</v>
          </cell>
          <cell r="D10957">
            <v>12000</v>
          </cell>
        </row>
        <row r="10958">
          <cell r="A10958">
            <v>45712</v>
          </cell>
          <cell r="B10958" t="str">
            <v>Chanh Không Hạt</v>
          </cell>
          <cell r="C10958" t="str">
            <v>Vỉ</v>
          </cell>
          <cell r="D10958">
            <v>7500</v>
          </cell>
        </row>
        <row r="10959">
          <cell r="A10959">
            <v>45712</v>
          </cell>
          <cell r="B10959" t="str">
            <v>Cà Chua Beef</v>
          </cell>
          <cell r="C10959" t="str">
            <v>Kg</v>
          </cell>
          <cell r="D10959">
            <v>14000</v>
          </cell>
        </row>
        <row r="10960">
          <cell r="A10960">
            <v>45712</v>
          </cell>
          <cell r="B10960" t="str">
            <v>Cà Chua Beef</v>
          </cell>
          <cell r="C10960" t="str">
            <v>Kg</v>
          </cell>
          <cell r="D10960">
            <v>18900</v>
          </cell>
        </row>
        <row r="10961">
          <cell r="A10961">
            <v>45712</v>
          </cell>
          <cell r="B10961" t="str">
            <v>Cà Chua Beef Trung</v>
          </cell>
          <cell r="C10961" t="str">
            <v>Kg</v>
          </cell>
          <cell r="D10961">
            <v>16000</v>
          </cell>
        </row>
        <row r="10962">
          <cell r="A10962">
            <v>45712</v>
          </cell>
          <cell r="B10962" t="str">
            <v>Cà Chua Beef Trung</v>
          </cell>
          <cell r="C10962" t="str">
            <v>Kg</v>
          </cell>
          <cell r="D10962">
            <v>14000</v>
          </cell>
        </row>
        <row r="10963">
          <cell r="A10963">
            <v>45712</v>
          </cell>
          <cell r="B10963" t="str">
            <v>Cà Chua Thường</v>
          </cell>
          <cell r="C10963" t="str">
            <v>Kg</v>
          </cell>
          <cell r="D10963">
            <v>16000</v>
          </cell>
        </row>
        <row r="10964">
          <cell r="A10964">
            <v>45712</v>
          </cell>
          <cell r="B10964" t="str">
            <v>Cà Chua Bi Đỏ</v>
          </cell>
          <cell r="C10964" t="str">
            <v>Hộp 500gr</v>
          </cell>
          <cell r="D10964">
            <v>10000</v>
          </cell>
        </row>
        <row r="10965">
          <cell r="A10965">
            <v>45712</v>
          </cell>
          <cell r="B10965" t="str">
            <v>Cà Chua Bi Đỏ</v>
          </cell>
          <cell r="C10965" t="str">
            <v>Hộp 300gr</v>
          </cell>
          <cell r="D10965">
            <v>6000</v>
          </cell>
        </row>
        <row r="10966">
          <cell r="A10966">
            <v>45712</v>
          </cell>
          <cell r="B10966" t="str">
            <v>Dưa Leo Baby</v>
          </cell>
          <cell r="C10966" t="str">
            <v>Vỉ</v>
          </cell>
          <cell r="D10966">
            <v>9000</v>
          </cell>
        </row>
        <row r="10967">
          <cell r="A10967">
            <v>45712</v>
          </cell>
          <cell r="B10967" t="str">
            <v>Bí Non Nhật</v>
          </cell>
          <cell r="C10967" t="str">
            <v>Kg</v>
          </cell>
          <cell r="D10967">
            <v>13500</v>
          </cell>
        </row>
        <row r="10968">
          <cell r="A10968">
            <v>45712</v>
          </cell>
          <cell r="B10968" t="str">
            <v>Đậu Cove Nhật</v>
          </cell>
          <cell r="C10968" t="str">
            <v>Túi</v>
          </cell>
          <cell r="D10968">
            <v>6000</v>
          </cell>
        </row>
        <row r="10969">
          <cell r="A10969">
            <v>45712</v>
          </cell>
          <cell r="B10969" t="str">
            <v>Đậu Cove Trắng</v>
          </cell>
          <cell r="C10969" t="str">
            <v>Túi 500gr</v>
          </cell>
          <cell r="D10969">
            <v>7000</v>
          </cell>
        </row>
        <row r="10970">
          <cell r="A10970">
            <v>45712</v>
          </cell>
          <cell r="B10970" t="str">
            <v>Đậu Cove Trắng</v>
          </cell>
          <cell r="C10970" t="str">
            <v>Túi 300gr</v>
          </cell>
          <cell r="D10970">
            <v>5000</v>
          </cell>
        </row>
        <row r="10971">
          <cell r="A10971">
            <v>45712</v>
          </cell>
          <cell r="B10971" t="str">
            <v>Bắp Cải Trái Tim</v>
          </cell>
          <cell r="C10971" t="str">
            <v>Kg</v>
          </cell>
          <cell r="D10971">
            <v>6000</v>
          </cell>
        </row>
        <row r="10972">
          <cell r="A10972">
            <v>45712</v>
          </cell>
          <cell r="B10972" t="str">
            <v>Cà Tím</v>
          </cell>
          <cell r="C10972" t="str">
            <v>Kg</v>
          </cell>
          <cell r="D10972">
            <v>8000</v>
          </cell>
        </row>
        <row r="10973">
          <cell r="A10973">
            <v>45712</v>
          </cell>
          <cell r="B10973" t="str">
            <v>Trái Su Su</v>
          </cell>
          <cell r="C10973" t="str">
            <v>Kg</v>
          </cell>
          <cell r="D10973">
            <v>8000</v>
          </cell>
        </row>
        <row r="10974">
          <cell r="A10974">
            <v>45712</v>
          </cell>
          <cell r="B10974" t="str">
            <v>Bí Non Nhật</v>
          </cell>
          <cell r="C10974" t="str">
            <v>Kg</v>
          </cell>
          <cell r="D10974">
            <v>10000</v>
          </cell>
        </row>
        <row r="10975">
          <cell r="A10975">
            <v>45712</v>
          </cell>
          <cell r="B10975" t="str">
            <v>Xà Lách Mỡ T.C</v>
          </cell>
          <cell r="C10975" t="str">
            <v>Kg</v>
          </cell>
          <cell r="D10975">
            <v>26000</v>
          </cell>
        </row>
        <row r="10976">
          <cell r="A10976">
            <v>45712</v>
          </cell>
          <cell r="B10976" t="str">
            <v>Xà Lách Lolo Xanh T.C</v>
          </cell>
          <cell r="C10976" t="str">
            <v>Kg</v>
          </cell>
          <cell r="D10976">
            <v>26000</v>
          </cell>
        </row>
        <row r="10977">
          <cell r="A10977">
            <v>45712</v>
          </cell>
          <cell r="B10977" t="str">
            <v>Xà Lách Thủy Tinh T.C Cây</v>
          </cell>
          <cell r="C10977" t="str">
            <v>Cây</v>
          </cell>
          <cell r="D10977">
            <v>7500</v>
          </cell>
        </row>
        <row r="10978">
          <cell r="A10978">
            <v>45712</v>
          </cell>
          <cell r="B10978" t="str">
            <v>Bí Ngòi Xanh</v>
          </cell>
          <cell r="C10978" t="str">
            <v>Kg</v>
          </cell>
          <cell r="D10978">
            <v>15000</v>
          </cell>
        </row>
        <row r="10979">
          <cell r="A10979">
            <v>45712</v>
          </cell>
          <cell r="B10979" t="str">
            <v>Cải Kale</v>
          </cell>
          <cell r="C10979" t="str">
            <v>Túi</v>
          </cell>
          <cell r="D10979">
            <v>3300</v>
          </cell>
        </row>
        <row r="10980">
          <cell r="A10980">
            <v>45712</v>
          </cell>
          <cell r="B10980" t="str">
            <v>Lá Mè</v>
          </cell>
          <cell r="C10980" t="str">
            <v>Túi</v>
          </cell>
          <cell r="D10980">
            <v>2400</v>
          </cell>
        </row>
        <row r="10981">
          <cell r="A10981">
            <v>45712</v>
          </cell>
          <cell r="B10981" t="str">
            <v>Cần Tây</v>
          </cell>
          <cell r="C10981" t="str">
            <v>Kg</v>
          </cell>
          <cell r="D10981">
            <v>11000</v>
          </cell>
        </row>
        <row r="10982">
          <cell r="A10982">
            <v>45712</v>
          </cell>
          <cell r="B10982" t="str">
            <v>Ớt Sweet Palemo</v>
          </cell>
          <cell r="C10982" t="str">
            <v>Túi</v>
          </cell>
          <cell r="D10982">
            <v>17000</v>
          </cell>
        </row>
        <row r="10983">
          <cell r="A10983">
            <v>45712</v>
          </cell>
          <cell r="B10983" t="str">
            <v>Rau Mầm</v>
          </cell>
          <cell r="C10983" t="str">
            <v>Kg</v>
          </cell>
          <cell r="D10983">
            <v>60000</v>
          </cell>
        </row>
        <row r="10984">
          <cell r="A10984">
            <v>45712</v>
          </cell>
          <cell r="B10984" t="str">
            <v>Bông Cải Trắng</v>
          </cell>
          <cell r="C10984" t="str">
            <v>Kg</v>
          </cell>
          <cell r="D10984">
            <v>12000</v>
          </cell>
        </row>
        <row r="10985">
          <cell r="A10985">
            <v>45712</v>
          </cell>
          <cell r="B10985" t="str">
            <v>Hành Paro</v>
          </cell>
          <cell r="C10985" t="str">
            <v>Kg</v>
          </cell>
          <cell r="D10985">
            <v>11500</v>
          </cell>
        </row>
        <row r="10986">
          <cell r="A10986">
            <v>45712</v>
          </cell>
          <cell r="B10986" t="str">
            <v>Xà Lách Mỹ</v>
          </cell>
          <cell r="C10986" t="str">
            <v>Kg</v>
          </cell>
          <cell r="D10986">
            <v>10000</v>
          </cell>
        </row>
        <row r="10987">
          <cell r="A10987">
            <v>45712</v>
          </cell>
          <cell r="B10987" t="str">
            <v>Xà Lách Thủy Tinh T.C Cây</v>
          </cell>
          <cell r="C10987" t="str">
            <v>Cây</v>
          </cell>
          <cell r="D10987">
            <v>6800</v>
          </cell>
        </row>
        <row r="10988">
          <cell r="A10988">
            <v>45712</v>
          </cell>
          <cell r="B10988" t="str">
            <v>Xà Lách Lolo Xanh T.C Cây</v>
          </cell>
          <cell r="C10988" t="str">
            <v>Cây</v>
          </cell>
          <cell r="D10988">
            <v>6800</v>
          </cell>
        </row>
        <row r="10989">
          <cell r="A10989">
            <v>45712</v>
          </cell>
          <cell r="B10989" t="str">
            <v>Xà Lách Mỡ T.C</v>
          </cell>
          <cell r="C10989" t="str">
            <v>Kg</v>
          </cell>
          <cell r="D10989">
            <v>21000</v>
          </cell>
        </row>
        <row r="10990">
          <cell r="A10990">
            <v>45712</v>
          </cell>
          <cell r="B10990" t="str">
            <v>Xà Lách Thủy Tinh T.C Cây</v>
          </cell>
          <cell r="C10990" t="str">
            <v>Cây</v>
          </cell>
          <cell r="D10990">
            <v>6800</v>
          </cell>
        </row>
        <row r="10991">
          <cell r="A10991">
            <v>45712</v>
          </cell>
          <cell r="B10991" t="str">
            <v>Gia Công Rau Củ Quả</v>
          </cell>
          <cell r="C10991" t="str">
            <v>Kg</v>
          </cell>
          <cell r="D10991">
            <v>1700</v>
          </cell>
        </row>
        <row r="10992">
          <cell r="A10992">
            <v>45712</v>
          </cell>
          <cell r="B10992" t="str">
            <v>Gia Công Rau Củ Quả</v>
          </cell>
          <cell r="C10992" t="str">
            <v>Kg</v>
          </cell>
          <cell r="D10992">
            <v>1000</v>
          </cell>
        </row>
        <row r="10993">
          <cell r="A10993">
            <v>45712</v>
          </cell>
          <cell r="B10993" t="str">
            <v>Rau Bầu Đất</v>
          </cell>
          <cell r="C10993" t="str">
            <v>Kg</v>
          </cell>
          <cell r="D10993">
            <v>26700</v>
          </cell>
        </row>
        <row r="10994">
          <cell r="A10994">
            <v>45712</v>
          </cell>
          <cell r="B10994" t="str">
            <v>Cà Chua Socola</v>
          </cell>
          <cell r="C10994" t="str">
            <v>Kg</v>
          </cell>
          <cell r="D10994">
            <v>22000</v>
          </cell>
        </row>
        <row r="10995">
          <cell r="A10995">
            <v>45712</v>
          </cell>
          <cell r="B10995" t="str">
            <v>Trái Su Su</v>
          </cell>
          <cell r="C10995" t="str">
            <v>Kg</v>
          </cell>
          <cell r="D10995">
            <v>3000</v>
          </cell>
        </row>
        <row r="10996">
          <cell r="A10996">
            <v>45712</v>
          </cell>
          <cell r="B10996" t="str">
            <v>Dưa Leo Baby</v>
          </cell>
          <cell r="C10996" t="str">
            <v>Kg</v>
          </cell>
          <cell r="D10996">
            <v>12000</v>
          </cell>
        </row>
        <row r="10997">
          <cell r="A10997">
            <v>45712</v>
          </cell>
          <cell r="B10997" t="str">
            <v>Bí Ngòi Xanh</v>
          </cell>
          <cell r="C10997" t="str">
            <v>Kg</v>
          </cell>
          <cell r="D10997">
            <v>9000</v>
          </cell>
        </row>
        <row r="10998">
          <cell r="A10998">
            <v>45712</v>
          </cell>
          <cell r="B10998" t="str">
            <v>Dưa Leo Baby</v>
          </cell>
          <cell r="C10998" t="str">
            <v>Kg</v>
          </cell>
          <cell r="D10998">
            <v>9500</v>
          </cell>
        </row>
        <row r="10999">
          <cell r="A10999">
            <v>45712</v>
          </cell>
          <cell r="B10999" t="str">
            <v>Dưa Leo Baby</v>
          </cell>
          <cell r="C10999" t="str">
            <v>Vỉ</v>
          </cell>
          <cell r="D10999">
            <v>7500</v>
          </cell>
        </row>
        <row r="11000">
          <cell r="A11000">
            <v>45712</v>
          </cell>
          <cell r="B11000" t="str">
            <v>Cà Chua Socola</v>
          </cell>
          <cell r="C11000" t="str">
            <v>Hộp 250GR</v>
          </cell>
          <cell r="D11000">
            <v>7500</v>
          </cell>
        </row>
        <row r="11001">
          <cell r="A11001">
            <v>45712</v>
          </cell>
          <cell r="B11001" t="str">
            <v>Trái Mít Thái</v>
          </cell>
          <cell r="C11001" t="str">
            <v>Kg</v>
          </cell>
          <cell r="D11001">
            <v>20450</v>
          </cell>
        </row>
        <row r="11002">
          <cell r="A11002">
            <v>45712</v>
          </cell>
          <cell r="B11002" t="str">
            <v>Củ Dền</v>
          </cell>
          <cell r="C11002" t="str">
            <v>Kg</v>
          </cell>
          <cell r="D11002">
            <v>9000</v>
          </cell>
        </row>
        <row r="11003">
          <cell r="A11003">
            <v>45712</v>
          </cell>
          <cell r="B11003" t="str">
            <v>Cà Chua Thường - B</v>
          </cell>
          <cell r="C11003" t="str">
            <v>Kg</v>
          </cell>
          <cell r="D11003">
            <v>2000</v>
          </cell>
        </row>
        <row r="11004">
          <cell r="A11004">
            <v>45712</v>
          </cell>
          <cell r="B11004" t="str">
            <v>Cà Chua Thường - B</v>
          </cell>
          <cell r="C11004" t="str">
            <v>Kg</v>
          </cell>
          <cell r="D11004">
            <v>2000</v>
          </cell>
        </row>
        <row r="11005">
          <cell r="A11005">
            <v>45712</v>
          </cell>
          <cell r="B11005" t="str">
            <v>Bông Cải Xanh Cây</v>
          </cell>
          <cell r="C11005" t="str">
            <v>Cây</v>
          </cell>
          <cell r="D11005">
            <v>5000</v>
          </cell>
        </row>
        <row r="11006">
          <cell r="A11006">
            <v>45712</v>
          </cell>
          <cell r="B11006" t="str">
            <v>Củ Hành Tây</v>
          </cell>
          <cell r="C11006" t="str">
            <v>Kg</v>
          </cell>
          <cell r="D11006">
            <v>7000</v>
          </cell>
        </row>
        <row r="11007">
          <cell r="A11007">
            <v>45712</v>
          </cell>
          <cell r="B11007" t="str">
            <v>Củ Hành Tây Tím</v>
          </cell>
          <cell r="C11007" t="str">
            <v>Kg</v>
          </cell>
          <cell r="D11007">
            <v>20000</v>
          </cell>
        </row>
        <row r="11008">
          <cell r="A11008">
            <v>45712</v>
          </cell>
          <cell r="B11008" t="str">
            <v>Bắp Cải Tím</v>
          </cell>
          <cell r="C11008" t="str">
            <v>Kg</v>
          </cell>
          <cell r="D11008">
            <v>16000</v>
          </cell>
        </row>
        <row r="11009">
          <cell r="A11009">
            <v>45712</v>
          </cell>
          <cell r="B11009" t="str">
            <v>Củ Khoai Tây Vàng</v>
          </cell>
          <cell r="C11009" t="str">
            <v>Kg</v>
          </cell>
          <cell r="D11009">
            <v>11000</v>
          </cell>
        </row>
        <row r="11010">
          <cell r="A11010">
            <v>45712</v>
          </cell>
          <cell r="B11010" t="str">
            <v>Bông Cải Xanh 7Cm</v>
          </cell>
          <cell r="C11010" t="str">
            <v>Kg</v>
          </cell>
          <cell r="D11010">
            <v>23000</v>
          </cell>
        </row>
        <row r="11011">
          <cell r="A11011">
            <v>45712</v>
          </cell>
          <cell r="B11011" t="str">
            <v>Hành Paro</v>
          </cell>
          <cell r="C11011" t="str">
            <v>Kg</v>
          </cell>
          <cell r="D11011">
            <v>10000</v>
          </cell>
        </row>
        <row r="11012">
          <cell r="A11012">
            <v>45712</v>
          </cell>
          <cell r="B11012" t="str">
            <v>Cải Bó Xôi</v>
          </cell>
          <cell r="C11012" t="str">
            <v>Kg</v>
          </cell>
          <cell r="D11012">
            <v>15000</v>
          </cell>
        </row>
        <row r="11013">
          <cell r="A11013">
            <v>45712</v>
          </cell>
          <cell r="B11013" t="str">
            <v>Củ Gừng</v>
          </cell>
          <cell r="C11013" t="str">
            <v>Kg</v>
          </cell>
          <cell r="D11013">
            <v>19000</v>
          </cell>
        </row>
        <row r="11014">
          <cell r="A11014">
            <v>45712</v>
          </cell>
          <cell r="B11014" t="str">
            <v>Củ Khoai Mỡ</v>
          </cell>
          <cell r="C11014" t="str">
            <v>Kg</v>
          </cell>
          <cell r="D11014">
            <v>25000</v>
          </cell>
        </row>
        <row r="11015">
          <cell r="A11015">
            <v>45712</v>
          </cell>
          <cell r="B11015" t="str">
            <v>Củ Khoai Lang Nhật</v>
          </cell>
          <cell r="C11015" t="str">
            <v>Kg</v>
          </cell>
          <cell r="D11015">
            <v>14800</v>
          </cell>
        </row>
        <row r="11016">
          <cell r="A11016">
            <v>45712</v>
          </cell>
          <cell r="B11016" t="str">
            <v>Củ Cải Trắng</v>
          </cell>
          <cell r="C11016" t="str">
            <v>Kg</v>
          </cell>
          <cell r="D11016">
            <v>4000</v>
          </cell>
        </row>
        <row r="11017">
          <cell r="A11017">
            <v>45712</v>
          </cell>
          <cell r="B11017" t="str">
            <v>Bắp Cải Trắng</v>
          </cell>
          <cell r="C11017" t="str">
            <v>Kg</v>
          </cell>
          <cell r="D11017">
            <v>3000</v>
          </cell>
        </row>
        <row r="11018">
          <cell r="A11018">
            <v>45712</v>
          </cell>
          <cell r="B11018" t="str">
            <v>Đậu Cove Nhật</v>
          </cell>
          <cell r="C11018" t="str">
            <v>Túi</v>
          </cell>
          <cell r="D11018">
            <v>6000</v>
          </cell>
        </row>
        <row r="11019">
          <cell r="A11019">
            <v>45712</v>
          </cell>
          <cell r="B11019" t="str">
            <v>Ớt Chuông Đỏ</v>
          </cell>
          <cell r="C11019" t="str">
            <v>Kg</v>
          </cell>
          <cell r="D11019">
            <v>21000</v>
          </cell>
        </row>
        <row r="11020">
          <cell r="A11020">
            <v>45712</v>
          </cell>
          <cell r="B11020" t="str">
            <v>Ớt Chuông Vàng</v>
          </cell>
          <cell r="C11020" t="str">
            <v>Kg</v>
          </cell>
          <cell r="D11020">
            <v>29000</v>
          </cell>
        </row>
        <row r="11021">
          <cell r="A11021">
            <v>45712</v>
          </cell>
          <cell r="B11021" t="str">
            <v>Ớt Chuông Xanh</v>
          </cell>
          <cell r="C11021" t="str">
            <v>Kg</v>
          </cell>
          <cell r="D11021">
            <v>28000</v>
          </cell>
        </row>
        <row r="11022">
          <cell r="A11022">
            <v>45712</v>
          </cell>
          <cell r="B11022" t="str">
            <v>Củ Khoai Tây Vàng</v>
          </cell>
          <cell r="C11022" t="str">
            <v>Kg</v>
          </cell>
          <cell r="D11022">
            <v>14000</v>
          </cell>
        </row>
        <row r="11023">
          <cell r="A11023">
            <v>45712</v>
          </cell>
          <cell r="B11023" t="str">
            <v>Cải Thảo</v>
          </cell>
          <cell r="C11023" t="str">
            <v>Kg</v>
          </cell>
          <cell r="D11023">
            <v>5000</v>
          </cell>
        </row>
        <row r="11024">
          <cell r="A11024">
            <v>45712</v>
          </cell>
          <cell r="B11024" t="str">
            <v>Chuối Laba</v>
          </cell>
          <cell r="C11024" t="str">
            <v>Kg</v>
          </cell>
          <cell r="D11024">
            <v>14000</v>
          </cell>
        </row>
        <row r="11025">
          <cell r="A11025">
            <v>45712</v>
          </cell>
          <cell r="B11025" t="str">
            <v>Bí Đỏ Hồ Lô</v>
          </cell>
          <cell r="C11025" t="str">
            <v>Kg</v>
          </cell>
          <cell r="D11025">
            <v>8000</v>
          </cell>
        </row>
        <row r="11026">
          <cell r="A11026">
            <v>45712</v>
          </cell>
          <cell r="B11026" t="str">
            <v>Bí Đỏ Tròn</v>
          </cell>
          <cell r="C11026" t="str">
            <v>Kg</v>
          </cell>
          <cell r="D11026">
            <v>11000</v>
          </cell>
        </row>
        <row r="11027">
          <cell r="A11027">
            <v>45712</v>
          </cell>
          <cell r="B11027" t="str">
            <v>Cà Rốt</v>
          </cell>
          <cell r="C11027" t="str">
            <v>Kg</v>
          </cell>
          <cell r="D11027">
            <v>6500</v>
          </cell>
        </row>
        <row r="11028">
          <cell r="A11028">
            <v>45712</v>
          </cell>
          <cell r="B11028" t="str">
            <v>Cà Rốt</v>
          </cell>
          <cell r="C11028" t="str">
            <v>Kg</v>
          </cell>
          <cell r="D11028">
            <v>6000</v>
          </cell>
        </row>
        <row r="11029">
          <cell r="A11029">
            <v>45712</v>
          </cell>
          <cell r="B11029" t="str">
            <v>Ớt Chuông Đỏ</v>
          </cell>
          <cell r="C11029" t="str">
            <v>Kg</v>
          </cell>
          <cell r="D11029">
            <v>23000</v>
          </cell>
        </row>
        <row r="11030">
          <cell r="A11030">
            <v>45712</v>
          </cell>
          <cell r="B11030" t="str">
            <v>Ớt Chuông Vàng</v>
          </cell>
          <cell r="C11030" t="str">
            <v>Kg</v>
          </cell>
          <cell r="D11030">
            <v>30000</v>
          </cell>
        </row>
        <row r="11031">
          <cell r="A11031">
            <v>45712</v>
          </cell>
          <cell r="B11031" t="str">
            <v>Ớt Chuông Xanh</v>
          </cell>
          <cell r="C11031" t="str">
            <v>Kg</v>
          </cell>
          <cell r="D11031">
            <v>30000</v>
          </cell>
        </row>
        <row r="11032">
          <cell r="A11032">
            <v>45712</v>
          </cell>
          <cell r="B11032" t="str">
            <v>Ớt Chuông Baby</v>
          </cell>
          <cell r="C11032" t="str">
            <v>Kg</v>
          </cell>
          <cell r="D11032">
            <v>28000</v>
          </cell>
        </row>
        <row r="11033">
          <cell r="A11033">
            <v>45712</v>
          </cell>
          <cell r="B11033" t="str">
            <v>Ớt Chuông Snack</v>
          </cell>
          <cell r="C11033" t="str">
            <v>Kg</v>
          </cell>
          <cell r="D11033">
            <v>50000</v>
          </cell>
        </row>
        <row r="11034">
          <cell r="A11034">
            <v>45712</v>
          </cell>
          <cell r="B11034" t="str">
            <v>Cần Tây</v>
          </cell>
          <cell r="C11034" t="str">
            <v>Kg</v>
          </cell>
          <cell r="D11034">
            <v>10000</v>
          </cell>
        </row>
        <row r="11035">
          <cell r="A11035">
            <v>45712</v>
          </cell>
          <cell r="B11035" t="str">
            <v>CT-MÍT</v>
          </cell>
          <cell r="C11035" t="str">
            <v>Kg</v>
          </cell>
          <cell r="D11035">
            <v>15294</v>
          </cell>
        </row>
        <row r="11036">
          <cell r="A11036">
            <v>45712</v>
          </cell>
          <cell r="B11036" t="str">
            <v>Củ Su Hào</v>
          </cell>
          <cell r="C11036" t="str">
            <v>Kg</v>
          </cell>
          <cell r="D11036">
            <v>9000</v>
          </cell>
        </row>
        <row r="11037">
          <cell r="A11037">
            <v>45712</v>
          </cell>
          <cell r="B11037" t="str">
            <v>Xà Lách Mỡ T.C</v>
          </cell>
          <cell r="C11037" t="str">
            <v>Kg</v>
          </cell>
          <cell r="D11037">
            <v>24000</v>
          </cell>
        </row>
        <row r="11038">
          <cell r="A11038">
            <v>45712</v>
          </cell>
          <cell r="B11038" t="str">
            <v>Xà Lách Lolo Xanh T.C</v>
          </cell>
          <cell r="C11038" t="str">
            <v>Kg</v>
          </cell>
          <cell r="D11038">
            <v>18000</v>
          </cell>
        </row>
        <row r="11039">
          <cell r="A11039">
            <v>45712</v>
          </cell>
          <cell r="B11039" t="str">
            <v>Xà Lách Thủy Tinh T.C</v>
          </cell>
          <cell r="C11039" t="str">
            <v>Kg</v>
          </cell>
          <cell r="D11039">
            <v>25000</v>
          </cell>
        </row>
        <row r="11040">
          <cell r="A11040">
            <v>45712</v>
          </cell>
          <cell r="B11040" t="str">
            <v>Củ Khoai Lang Nhật</v>
          </cell>
          <cell r="C11040" t="str">
            <v>Kg</v>
          </cell>
          <cell r="D11040">
            <v>14000</v>
          </cell>
        </row>
        <row r="11041">
          <cell r="A11041">
            <v>45712</v>
          </cell>
          <cell r="B11041" t="str">
            <v>Cà Rốt</v>
          </cell>
          <cell r="C11041" t="str">
            <v>Kg</v>
          </cell>
          <cell r="D11041">
            <v>6000</v>
          </cell>
        </row>
        <row r="11042">
          <cell r="A11042">
            <v>45712</v>
          </cell>
          <cell r="B11042" t="str">
            <v>Bí Ngòi Xanh</v>
          </cell>
          <cell r="C11042" t="str">
            <v>Kg</v>
          </cell>
          <cell r="D11042">
            <v>15000</v>
          </cell>
        </row>
        <row r="11043">
          <cell r="A11043">
            <v>45712</v>
          </cell>
          <cell r="B11043" t="str">
            <v>Dưa Leo Thường</v>
          </cell>
          <cell r="C11043" t="str">
            <v>Kg</v>
          </cell>
          <cell r="D11043">
            <v>10000</v>
          </cell>
        </row>
        <row r="11044">
          <cell r="A11044">
            <v>45712</v>
          </cell>
          <cell r="B11044" t="str">
            <v>Trái Khổ Qua</v>
          </cell>
          <cell r="C11044" t="str">
            <v>Kg</v>
          </cell>
          <cell r="D11044">
            <v>13000</v>
          </cell>
        </row>
        <row r="11045">
          <cell r="A11045">
            <v>45712</v>
          </cell>
          <cell r="B11045" t="str">
            <v>Bí Đao Xanh</v>
          </cell>
          <cell r="C11045" t="str">
            <v>Kg</v>
          </cell>
          <cell r="D11045">
            <v>14000</v>
          </cell>
        </row>
        <row r="11046">
          <cell r="A11046">
            <v>45712</v>
          </cell>
          <cell r="B11046" t="str">
            <v>Đậu Đỏ</v>
          </cell>
          <cell r="C11046" t="str">
            <v>Kg</v>
          </cell>
          <cell r="D11046">
            <v>80000</v>
          </cell>
        </row>
        <row r="11047">
          <cell r="A11047">
            <v>45712</v>
          </cell>
          <cell r="B11047" t="str">
            <v>Đậu Ngự</v>
          </cell>
          <cell r="C11047" t="str">
            <v>Kg</v>
          </cell>
          <cell r="D11047">
            <v>70000</v>
          </cell>
        </row>
        <row r="11048">
          <cell r="A11048">
            <v>45712</v>
          </cell>
          <cell r="B11048" t="str">
            <v>Đậu Trắng</v>
          </cell>
          <cell r="C11048" t="str">
            <v>Kg</v>
          </cell>
          <cell r="D11048">
            <v>70000</v>
          </cell>
        </row>
        <row r="11049">
          <cell r="A11049">
            <v>45712</v>
          </cell>
          <cell r="B11049" t="str">
            <v>Măng Tây</v>
          </cell>
          <cell r="C11049" t="str">
            <v>Kg</v>
          </cell>
          <cell r="D11049">
            <v>47888</v>
          </cell>
        </row>
        <row r="11050">
          <cell r="A11050">
            <v>45712</v>
          </cell>
          <cell r="B11050" t="str">
            <v>Măng Tây</v>
          </cell>
          <cell r="C11050" t="str">
            <v>Kg</v>
          </cell>
          <cell r="D11050">
            <v>35000</v>
          </cell>
        </row>
        <row r="11051">
          <cell r="A11051">
            <v>45712</v>
          </cell>
          <cell r="B11051" t="str">
            <v>Lá É</v>
          </cell>
          <cell r="C11051" t="str">
            <v>Kg</v>
          </cell>
          <cell r="D11051">
            <v>25000</v>
          </cell>
        </row>
        <row r="11052">
          <cell r="A11052">
            <v>45712</v>
          </cell>
          <cell r="B11052" t="str">
            <v>Xà Lách Lolo Xanh</v>
          </cell>
          <cell r="C11052" t="str">
            <v>Kg</v>
          </cell>
          <cell r="D11052">
            <v>12000</v>
          </cell>
        </row>
        <row r="11053">
          <cell r="A11053">
            <v>45712</v>
          </cell>
          <cell r="B11053" t="str">
            <v>Cải Thảo Hỏa Tiễn</v>
          </cell>
          <cell r="C11053" t="str">
            <v>Kg</v>
          </cell>
          <cell r="D11053">
            <v>12000</v>
          </cell>
        </row>
        <row r="11054">
          <cell r="A11054">
            <v>45712</v>
          </cell>
          <cell r="B11054" t="str">
            <v>Bông Atiso</v>
          </cell>
          <cell r="C11054" t="str">
            <v>Kg</v>
          </cell>
          <cell r="D11054">
            <v>170000</v>
          </cell>
        </row>
        <row r="11055">
          <cell r="A11055">
            <v>45712</v>
          </cell>
          <cell r="B11055" t="str">
            <v>Cà Chua Socola</v>
          </cell>
          <cell r="C11055" t="str">
            <v>Hộp 250GR</v>
          </cell>
          <cell r="D11055">
            <v>11000</v>
          </cell>
        </row>
        <row r="11056">
          <cell r="A11056">
            <v>45712</v>
          </cell>
          <cell r="B11056" t="str">
            <v>Xà Lách Lolo Xanh</v>
          </cell>
          <cell r="C11056" t="str">
            <v>Kg</v>
          </cell>
          <cell r="D11056">
            <v>8000</v>
          </cell>
        </row>
        <row r="11057">
          <cell r="A11057">
            <v>45712</v>
          </cell>
          <cell r="B11057" t="str">
            <v>Bông Cải Xanh Baby</v>
          </cell>
          <cell r="C11057" t="str">
            <v>Vỉ</v>
          </cell>
          <cell r="D11057">
            <v>6000</v>
          </cell>
        </row>
        <row r="11058">
          <cell r="A11058">
            <v>45712</v>
          </cell>
          <cell r="B11058" t="str">
            <v>Củ Cải Đỏ</v>
          </cell>
          <cell r="C11058" t="str">
            <v>Hộp</v>
          </cell>
          <cell r="D11058">
            <v>10000</v>
          </cell>
        </row>
        <row r="11059">
          <cell r="A11059">
            <v>45712</v>
          </cell>
          <cell r="B11059" t="str">
            <v>Xà Lách Lolo Tím</v>
          </cell>
          <cell r="C11059" t="str">
            <v>Kg</v>
          </cell>
          <cell r="D11059">
            <v>20000</v>
          </cell>
        </row>
        <row r="11060">
          <cell r="A11060">
            <v>45712</v>
          </cell>
          <cell r="B11060" t="str">
            <v>Xà Lách Rocket</v>
          </cell>
          <cell r="C11060" t="str">
            <v>Kg</v>
          </cell>
          <cell r="D11060">
            <v>70000</v>
          </cell>
        </row>
        <row r="11061">
          <cell r="A11061">
            <v>45712</v>
          </cell>
          <cell r="B11061" t="str">
            <v>Cà Chua Beef Trung</v>
          </cell>
          <cell r="C11061" t="str">
            <v>Vỉ 500gr</v>
          </cell>
          <cell r="D11061">
            <v>8500</v>
          </cell>
        </row>
        <row r="11062">
          <cell r="A11062">
            <v>45712</v>
          </cell>
          <cell r="B11062" t="str">
            <v>Ớt Sweet Palemo</v>
          </cell>
          <cell r="C11062" t="str">
            <v>Túi</v>
          </cell>
          <cell r="D11062">
            <v>16000</v>
          </cell>
        </row>
        <row r="11063">
          <cell r="A11063">
            <v>45712</v>
          </cell>
          <cell r="B11063" t="str">
            <v>Lá Mè</v>
          </cell>
          <cell r="C11063" t="str">
            <v>Túi</v>
          </cell>
          <cell r="D11063">
            <v>2500</v>
          </cell>
        </row>
        <row r="11064">
          <cell r="A11064">
            <v>45712</v>
          </cell>
          <cell r="B11064" t="str">
            <v>Dưa Leo Baby</v>
          </cell>
          <cell r="C11064" t="str">
            <v>Vỉ</v>
          </cell>
          <cell r="D11064">
            <v>10000</v>
          </cell>
        </row>
        <row r="11065">
          <cell r="A11065">
            <v>45712</v>
          </cell>
          <cell r="B11065" t="str">
            <v>Cà Rốt Baby</v>
          </cell>
          <cell r="C11065" t="str">
            <v>Vỉ</v>
          </cell>
          <cell r="D11065">
            <v>6000</v>
          </cell>
        </row>
        <row r="11066">
          <cell r="A11066">
            <v>45712</v>
          </cell>
          <cell r="B11066" t="str">
            <v>Cải Kale</v>
          </cell>
          <cell r="C11066" t="str">
            <v>Túi</v>
          </cell>
          <cell r="D11066">
            <v>3300</v>
          </cell>
        </row>
        <row r="11067">
          <cell r="A11067">
            <v>45712</v>
          </cell>
          <cell r="B11067" t="str">
            <v>Cải Kale</v>
          </cell>
          <cell r="C11067" t="str">
            <v>Túi 150gr</v>
          </cell>
          <cell r="D11067">
            <v>1900</v>
          </cell>
        </row>
        <row r="11068">
          <cell r="A11068">
            <v>45712</v>
          </cell>
          <cell r="B11068" t="str">
            <v>Túi lưới nhựa</v>
          </cell>
          <cell r="C11068" t="str">
            <v>Kg</v>
          </cell>
          <cell r="D11068">
            <v>62000</v>
          </cell>
        </row>
        <row r="11069">
          <cell r="A11069">
            <v>45713</v>
          </cell>
          <cell r="B11069" t="str">
            <v>DO 0.05S-II</v>
          </cell>
          <cell r="C11069" t="str">
            <v>Lít</v>
          </cell>
          <cell r="D11069">
            <v>17672.73</v>
          </cell>
        </row>
        <row r="11070">
          <cell r="A11070">
            <v>45713</v>
          </cell>
          <cell r="B11070" t="str">
            <v>DO 0.05S-II</v>
          </cell>
          <cell r="C11070" t="str">
            <v>Lít</v>
          </cell>
          <cell r="D11070">
            <v>17672.73</v>
          </cell>
        </row>
        <row r="11071">
          <cell r="A11071">
            <v>45713</v>
          </cell>
          <cell r="B11071" t="str">
            <v>Trái Mít Thái</v>
          </cell>
          <cell r="C11071" t="str">
            <v>Kg</v>
          </cell>
          <cell r="D11071">
            <v>20383</v>
          </cell>
        </row>
        <row r="11072">
          <cell r="A11072">
            <v>45713</v>
          </cell>
          <cell r="B11072" t="str">
            <v>Bông Cải Xanh 7Cm</v>
          </cell>
          <cell r="C11072" t="str">
            <v>Kg</v>
          </cell>
          <cell r="D11072">
            <v>20000</v>
          </cell>
        </row>
        <row r="11073">
          <cell r="A11073">
            <v>45713</v>
          </cell>
          <cell r="B11073" t="str">
            <v>Bông Cải Xanh 7Cm</v>
          </cell>
          <cell r="C11073" t="str">
            <v>Kg</v>
          </cell>
          <cell r="D11073">
            <v>21000</v>
          </cell>
        </row>
        <row r="11074">
          <cell r="A11074">
            <v>45713</v>
          </cell>
          <cell r="B11074" t="str">
            <v>Bông Cải Xanh 7Cm</v>
          </cell>
          <cell r="C11074" t="str">
            <v>Kg</v>
          </cell>
          <cell r="D11074">
            <v>20000</v>
          </cell>
        </row>
        <row r="11075">
          <cell r="A11075">
            <v>45713</v>
          </cell>
          <cell r="B11075" t="str">
            <v>Cải Bó Xôi</v>
          </cell>
          <cell r="C11075" t="str">
            <v>Kg</v>
          </cell>
          <cell r="D11075">
            <v>18000</v>
          </cell>
        </row>
        <row r="11076">
          <cell r="A11076">
            <v>45713</v>
          </cell>
          <cell r="B11076" t="str">
            <v>Bông Cải Xanh 7Cm</v>
          </cell>
          <cell r="C11076" t="str">
            <v>Kg</v>
          </cell>
          <cell r="D11076">
            <v>21000</v>
          </cell>
        </row>
        <row r="11077">
          <cell r="A11077">
            <v>45713</v>
          </cell>
          <cell r="B11077" t="str">
            <v>Dưa Leo Baby</v>
          </cell>
          <cell r="C11077" t="str">
            <v>Vỉ</v>
          </cell>
          <cell r="D11077">
            <v>7500</v>
          </cell>
        </row>
        <row r="11078">
          <cell r="A11078">
            <v>45713</v>
          </cell>
          <cell r="B11078" t="str">
            <v>Cà Chua Socola</v>
          </cell>
          <cell r="C11078" t="str">
            <v>Hộp 250GR</v>
          </cell>
          <cell r="D11078">
            <v>7500</v>
          </cell>
        </row>
        <row r="11079">
          <cell r="A11079">
            <v>45713</v>
          </cell>
          <cell r="B11079" t="str">
            <v>Cần Tây</v>
          </cell>
          <cell r="C11079" t="str">
            <v>Kg</v>
          </cell>
          <cell r="D11079">
            <v>10000</v>
          </cell>
        </row>
        <row r="11080">
          <cell r="A11080">
            <v>45713</v>
          </cell>
          <cell r="B11080" t="str">
            <v>Bông Cải Trắng</v>
          </cell>
          <cell r="C11080" t="str">
            <v>Kg</v>
          </cell>
          <cell r="D11080">
            <v>12000</v>
          </cell>
        </row>
        <row r="11081">
          <cell r="A11081">
            <v>45713</v>
          </cell>
          <cell r="B11081" t="str">
            <v>Bông Cải Xanh 7Cm</v>
          </cell>
          <cell r="C11081" t="str">
            <v>Kg</v>
          </cell>
          <cell r="D11081">
            <v>21000</v>
          </cell>
        </row>
        <row r="11082">
          <cell r="A11082">
            <v>45713</v>
          </cell>
          <cell r="B11082" t="str">
            <v>Xà Lách Mỹ</v>
          </cell>
          <cell r="C11082" t="str">
            <v>Kg</v>
          </cell>
          <cell r="D11082">
            <v>10000</v>
          </cell>
        </row>
        <row r="11083">
          <cell r="A11083">
            <v>45713</v>
          </cell>
          <cell r="B11083" t="str">
            <v>Bắp Cải Tím</v>
          </cell>
          <cell r="C11083" t="str">
            <v>Kg</v>
          </cell>
          <cell r="D11083">
            <v>16000</v>
          </cell>
        </row>
        <row r="11084">
          <cell r="A11084">
            <v>45713</v>
          </cell>
          <cell r="B11084" t="str">
            <v>Củ Dền</v>
          </cell>
          <cell r="C11084" t="str">
            <v>Kg</v>
          </cell>
          <cell r="D11084">
            <v>9000</v>
          </cell>
        </row>
        <row r="11085">
          <cell r="A11085">
            <v>45713</v>
          </cell>
          <cell r="B11085" t="str">
            <v>Bông Cải Xanh Cây</v>
          </cell>
          <cell r="C11085" t="str">
            <v>Cây</v>
          </cell>
          <cell r="D11085">
            <v>5000</v>
          </cell>
        </row>
        <row r="11086">
          <cell r="A11086">
            <v>45713</v>
          </cell>
          <cell r="B11086" t="str">
            <v>Củ Khoai Tây Vàng</v>
          </cell>
          <cell r="C11086" t="str">
            <v>Kg</v>
          </cell>
          <cell r="D11086">
            <v>11000</v>
          </cell>
        </row>
        <row r="11087">
          <cell r="A11087">
            <v>45713</v>
          </cell>
          <cell r="B11087" t="str">
            <v>Bông Cải Xanh 7Cm</v>
          </cell>
          <cell r="C11087" t="str">
            <v>Kg</v>
          </cell>
          <cell r="D11087">
            <v>21000</v>
          </cell>
        </row>
        <row r="11088">
          <cell r="A11088">
            <v>45713</v>
          </cell>
          <cell r="B11088" t="str">
            <v>Ớt Chuông Đỏ</v>
          </cell>
          <cell r="C11088" t="str">
            <v>Kg</v>
          </cell>
          <cell r="D11088">
            <v>21000</v>
          </cell>
        </row>
        <row r="11089">
          <cell r="A11089">
            <v>45713</v>
          </cell>
          <cell r="B11089" t="str">
            <v>Ớt Chuông Vàng</v>
          </cell>
          <cell r="C11089" t="str">
            <v>Kg</v>
          </cell>
          <cell r="D11089">
            <v>29000</v>
          </cell>
        </row>
        <row r="11090">
          <cell r="A11090">
            <v>45713</v>
          </cell>
          <cell r="B11090" t="str">
            <v>Gia Công Rau Củ Quả</v>
          </cell>
          <cell r="C11090" t="str">
            <v>Kg</v>
          </cell>
          <cell r="D11090">
            <v>1700</v>
          </cell>
        </row>
        <row r="11091">
          <cell r="A11091">
            <v>45713</v>
          </cell>
          <cell r="B11091" t="str">
            <v>Gia Công Rau Củ Quả</v>
          </cell>
          <cell r="C11091" t="str">
            <v>Kg</v>
          </cell>
          <cell r="D11091">
            <v>700</v>
          </cell>
        </row>
        <row r="11092">
          <cell r="A11092">
            <v>45713</v>
          </cell>
          <cell r="B11092" t="str">
            <v>Gia Công Rau Củ Quả</v>
          </cell>
          <cell r="C11092" t="str">
            <v>Kg</v>
          </cell>
          <cell r="D11092">
            <v>1000</v>
          </cell>
        </row>
        <row r="11093">
          <cell r="A11093">
            <v>45713</v>
          </cell>
          <cell r="B11093" t="str">
            <v>Dưa Leo Baby</v>
          </cell>
          <cell r="C11093" t="str">
            <v>Kg</v>
          </cell>
          <cell r="D11093">
            <v>14000</v>
          </cell>
        </row>
        <row r="11094">
          <cell r="A11094">
            <v>45713</v>
          </cell>
          <cell r="B11094" t="str">
            <v>Trái Su Su</v>
          </cell>
          <cell r="C11094" t="str">
            <v>Kg</v>
          </cell>
          <cell r="D11094">
            <v>3000</v>
          </cell>
        </row>
        <row r="11095">
          <cell r="A11095">
            <v>45713</v>
          </cell>
          <cell r="B11095" t="str">
            <v>Dưa Leo Baby</v>
          </cell>
          <cell r="C11095" t="str">
            <v>Kg</v>
          </cell>
          <cell r="D11095">
            <v>14000</v>
          </cell>
        </row>
        <row r="11096">
          <cell r="A11096">
            <v>45713</v>
          </cell>
          <cell r="B11096" t="str">
            <v>Dưa Leo Baby</v>
          </cell>
          <cell r="C11096" t="str">
            <v>Kg</v>
          </cell>
          <cell r="D11096">
            <v>9500</v>
          </cell>
        </row>
        <row r="11097">
          <cell r="A11097">
            <v>45713</v>
          </cell>
          <cell r="B11097" t="str">
            <v>Đậu Đỏ</v>
          </cell>
          <cell r="C11097" t="str">
            <v>Kg</v>
          </cell>
          <cell r="D11097">
            <v>80000</v>
          </cell>
        </row>
        <row r="11098">
          <cell r="A11098">
            <v>45713</v>
          </cell>
          <cell r="B11098" t="str">
            <v>Đậu Trắng</v>
          </cell>
          <cell r="C11098" t="str">
            <v>Kg</v>
          </cell>
          <cell r="D11098">
            <v>70000</v>
          </cell>
        </row>
        <row r="11099">
          <cell r="A11099">
            <v>45713</v>
          </cell>
          <cell r="B11099" t="str">
            <v>Xà Lách Mỡ T.C</v>
          </cell>
          <cell r="C11099" t="str">
            <v>Kg</v>
          </cell>
          <cell r="D11099">
            <v>21000</v>
          </cell>
        </row>
        <row r="11100">
          <cell r="A11100">
            <v>45713</v>
          </cell>
          <cell r="B11100" t="str">
            <v>Xà Lách Thủy Tinh T.C Cây</v>
          </cell>
          <cell r="C11100" t="str">
            <v>Cây</v>
          </cell>
          <cell r="D11100">
            <v>6800</v>
          </cell>
        </row>
        <row r="11101">
          <cell r="A11101">
            <v>45713</v>
          </cell>
          <cell r="B11101" t="str">
            <v>Cà Rốt</v>
          </cell>
          <cell r="C11101" t="str">
            <v>Kg</v>
          </cell>
          <cell r="D11101">
            <v>6000</v>
          </cell>
        </row>
        <row r="11102">
          <cell r="A11102">
            <v>45713</v>
          </cell>
          <cell r="B11102" t="str">
            <v>Đậu Cove Nhật</v>
          </cell>
          <cell r="C11102" t="str">
            <v>Túi</v>
          </cell>
          <cell r="D11102">
            <v>6000</v>
          </cell>
        </row>
        <row r="11103">
          <cell r="A11103">
            <v>45713</v>
          </cell>
          <cell r="B11103" t="str">
            <v>Cà Rốt</v>
          </cell>
          <cell r="C11103" t="str">
            <v>Kg</v>
          </cell>
          <cell r="D11103">
            <v>6000</v>
          </cell>
        </row>
        <row r="11104">
          <cell r="A11104">
            <v>45713</v>
          </cell>
          <cell r="B11104" t="str">
            <v>Cà Rốt Trung</v>
          </cell>
          <cell r="C11104" t="str">
            <v>Kg</v>
          </cell>
          <cell r="D11104">
            <v>4000</v>
          </cell>
        </row>
        <row r="11105">
          <cell r="A11105">
            <v>45713</v>
          </cell>
          <cell r="B11105" t="str">
            <v>Củ Khoai Tây Vàng</v>
          </cell>
          <cell r="C11105" t="str">
            <v>Kg</v>
          </cell>
          <cell r="D11105">
            <v>10800</v>
          </cell>
        </row>
        <row r="11106">
          <cell r="A11106">
            <v>45713</v>
          </cell>
          <cell r="B11106" t="str">
            <v>Củ Su Hào</v>
          </cell>
          <cell r="C11106" t="str">
            <v>Kg</v>
          </cell>
          <cell r="D11106">
            <v>9000</v>
          </cell>
        </row>
        <row r="11107">
          <cell r="A11107">
            <v>45713</v>
          </cell>
          <cell r="B11107" t="str">
            <v>Xà Lách Mỡ T.C</v>
          </cell>
          <cell r="C11107" t="str">
            <v>Kg</v>
          </cell>
          <cell r="D11107">
            <v>24000</v>
          </cell>
        </row>
        <row r="11108">
          <cell r="A11108">
            <v>45713</v>
          </cell>
          <cell r="B11108" t="str">
            <v>Xà Lách Lolo Xanh T.C</v>
          </cell>
          <cell r="C11108" t="str">
            <v>Kg</v>
          </cell>
          <cell r="D11108">
            <v>18000</v>
          </cell>
        </row>
        <row r="11109">
          <cell r="A11109">
            <v>45713</v>
          </cell>
          <cell r="B11109" t="str">
            <v>Lá Mè</v>
          </cell>
          <cell r="C11109" t="str">
            <v>Túi</v>
          </cell>
          <cell r="D11109">
            <v>2400</v>
          </cell>
        </row>
        <row r="11110">
          <cell r="A11110">
            <v>45713</v>
          </cell>
          <cell r="B11110" t="str">
            <v>Trái Mâm Xôi</v>
          </cell>
          <cell r="C11110" t="str">
            <v>Hộp</v>
          </cell>
          <cell r="D11110">
            <v>35000</v>
          </cell>
        </row>
        <row r="11111">
          <cell r="A11111">
            <v>45713</v>
          </cell>
          <cell r="B11111" t="str">
            <v>Xà Lách Lolo Xanh</v>
          </cell>
          <cell r="C11111" t="str">
            <v>Kg</v>
          </cell>
          <cell r="D11111">
            <v>13000</v>
          </cell>
        </row>
        <row r="11112">
          <cell r="A11112">
            <v>45713</v>
          </cell>
          <cell r="B11112" t="str">
            <v>Ớt Sweet Palemo</v>
          </cell>
          <cell r="C11112" t="str">
            <v>Túi</v>
          </cell>
          <cell r="D11112">
            <v>17000</v>
          </cell>
        </row>
        <row r="11113">
          <cell r="A11113">
            <v>45713</v>
          </cell>
          <cell r="B11113" t="str">
            <v>Củ Hành Tây</v>
          </cell>
          <cell r="C11113" t="str">
            <v>Kg</v>
          </cell>
          <cell r="D11113">
            <v>7000</v>
          </cell>
        </row>
        <row r="11114">
          <cell r="A11114">
            <v>45713</v>
          </cell>
          <cell r="B11114" t="str">
            <v>Hành Paro</v>
          </cell>
          <cell r="C11114" t="str">
            <v>Kg</v>
          </cell>
          <cell r="D11114">
            <v>11500</v>
          </cell>
        </row>
        <row r="11115">
          <cell r="A11115">
            <v>45713</v>
          </cell>
          <cell r="B11115" t="str">
            <v>Bí Ngòi Xanh</v>
          </cell>
          <cell r="C11115" t="str">
            <v>Kg</v>
          </cell>
          <cell r="D11115">
            <v>15000</v>
          </cell>
        </row>
        <row r="11116">
          <cell r="A11116">
            <v>45713</v>
          </cell>
          <cell r="B11116" t="str">
            <v>Củ Hành Tây</v>
          </cell>
          <cell r="C11116" t="str">
            <v>Kg</v>
          </cell>
          <cell r="D11116">
            <v>7000</v>
          </cell>
        </row>
        <row r="11117">
          <cell r="A11117">
            <v>45713</v>
          </cell>
          <cell r="B11117" t="str">
            <v>Cần Tây</v>
          </cell>
          <cell r="C11117" t="str">
            <v>Kg</v>
          </cell>
          <cell r="D11117">
            <v>10000</v>
          </cell>
        </row>
        <row r="11118">
          <cell r="A11118">
            <v>45713</v>
          </cell>
          <cell r="B11118" t="str">
            <v>Bắp Cải Trắng</v>
          </cell>
          <cell r="C11118" t="str">
            <v>Kg</v>
          </cell>
          <cell r="D11118">
            <v>4500</v>
          </cell>
        </row>
        <row r="11119">
          <cell r="A11119">
            <v>45713</v>
          </cell>
          <cell r="B11119" t="str">
            <v>Bắp Cải Trắng</v>
          </cell>
          <cell r="C11119" t="str">
            <v>Kg</v>
          </cell>
          <cell r="D11119">
            <v>3500</v>
          </cell>
        </row>
        <row r="11120">
          <cell r="A11120">
            <v>45713</v>
          </cell>
          <cell r="B11120" t="str">
            <v>Măng Tây</v>
          </cell>
          <cell r="C11120" t="str">
            <v>Kg</v>
          </cell>
          <cell r="D11120">
            <v>47500</v>
          </cell>
        </row>
        <row r="11121">
          <cell r="A11121">
            <v>45713</v>
          </cell>
          <cell r="B11121" t="str">
            <v>Lá É</v>
          </cell>
          <cell r="C11121" t="str">
            <v>Kg</v>
          </cell>
          <cell r="D11121">
            <v>25000</v>
          </cell>
        </row>
        <row r="11122">
          <cell r="A11122">
            <v>45713</v>
          </cell>
          <cell r="B11122" t="str">
            <v>Cà Chua Beef</v>
          </cell>
          <cell r="C11122" t="str">
            <v>Kg</v>
          </cell>
          <cell r="D11122">
            <v>16000</v>
          </cell>
        </row>
        <row r="11123">
          <cell r="A11123">
            <v>45713</v>
          </cell>
          <cell r="B11123" t="str">
            <v>Ớt Sweet Palemo</v>
          </cell>
          <cell r="C11123" t="str">
            <v>Túi</v>
          </cell>
          <cell r="D11123">
            <v>16000</v>
          </cell>
        </row>
        <row r="11124">
          <cell r="A11124">
            <v>45713</v>
          </cell>
          <cell r="B11124" t="str">
            <v>Bí Ngô Mini</v>
          </cell>
          <cell r="C11124" t="str">
            <v>Kg</v>
          </cell>
          <cell r="D11124">
            <v>55000</v>
          </cell>
        </row>
        <row r="11125">
          <cell r="A11125">
            <v>45713</v>
          </cell>
          <cell r="B11125" t="str">
            <v>Bắp Cải Trái Tim</v>
          </cell>
          <cell r="C11125" t="str">
            <v>Kg</v>
          </cell>
          <cell r="D11125">
            <v>5000</v>
          </cell>
        </row>
        <row r="11126">
          <cell r="A11126">
            <v>45713</v>
          </cell>
          <cell r="B11126" t="str">
            <v>Trái Su Su</v>
          </cell>
          <cell r="C11126" t="str">
            <v>Kg</v>
          </cell>
          <cell r="D11126">
            <v>3500</v>
          </cell>
        </row>
        <row r="11127">
          <cell r="A11127">
            <v>45713</v>
          </cell>
          <cell r="B11127" t="str">
            <v>Chuối Laba</v>
          </cell>
          <cell r="C11127" t="str">
            <v>Kg</v>
          </cell>
          <cell r="D11127">
            <v>14000</v>
          </cell>
        </row>
        <row r="11128">
          <cell r="A11128">
            <v>45713</v>
          </cell>
          <cell r="B11128" t="str">
            <v>Bí Đỏ Hồ Lô</v>
          </cell>
          <cell r="C11128" t="str">
            <v>Kg</v>
          </cell>
          <cell r="D11128">
            <v>8000</v>
          </cell>
        </row>
        <row r="11129">
          <cell r="A11129">
            <v>45713</v>
          </cell>
          <cell r="B11129" t="str">
            <v>Cà Tím</v>
          </cell>
          <cell r="C11129" t="str">
            <v>Kg</v>
          </cell>
          <cell r="D11129">
            <v>7000</v>
          </cell>
        </row>
        <row r="11130">
          <cell r="A11130">
            <v>45713</v>
          </cell>
          <cell r="B11130" t="str">
            <v>Cải Thảo</v>
          </cell>
          <cell r="C11130" t="str">
            <v>Kg</v>
          </cell>
          <cell r="D11130">
            <v>5000</v>
          </cell>
        </row>
        <row r="11131">
          <cell r="A11131">
            <v>45713</v>
          </cell>
          <cell r="B11131" t="str">
            <v>Củ Hành Tây</v>
          </cell>
          <cell r="C11131" t="str">
            <v>Kg</v>
          </cell>
          <cell r="D11131">
            <v>7700</v>
          </cell>
        </row>
        <row r="11132">
          <cell r="A11132">
            <v>45713</v>
          </cell>
          <cell r="B11132" t="str">
            <v>Củ Khoai Lang Nhật</v>
          </cell>
          <cell r="C11132" t="str">
            <v>Kg</v>
          </cell>
          <cell r="D11132">
            <v>16000</v>
          </cell>
        </row>
        <row r="11133">
          <cell r="A11133">
            <v>45713</v>
          </cell>
          <cell r="B11133" t="str">
            <v>Dưa Leo Thường</v>
          </cell>
          <cell r="C11133" t="str">
            <v>Kg</v>
          </cell>
          <cell r="D11133">
            <v>10000</v>
          </cell>
        </row>
        <row r="11134">
          <cell r="A11134">
            <v>45713</v>
          </cell>
          <cell r="B11134" t="str">
            <v>Trái Khổ Qua</v>
          </cell>
          <cell r="C11134" t="str">
            <v>Kg</v>
          </cell>
          <cell r="D11134">
            <v>13000</v>
          </cell>
        </row>
        <row r="11135">
          <cell r="A11135">
            <v>45713</v>
          </cell>
          <cell r="B11135" t="str">
            <v>Bí Đao Xanh</v>
          </cell>
          <cell r="C11135" t="str">
            <v>Kg</v>
          </cell>
          <cell r="D11135">
            <v>14000</v>
          </cell>
        </row>
        <row r="11136">
          <cell r="A11136">
            <v>45713</v>
          </cell>
          <cell r="B11136" t="str">
            <v>Xà Lách Mỡ T.C</v>
          </cell>
          <cell r="C11136" t="str">
            <v>Kg</v>
          </cell>
          <cell r="D11136">
            <v>26000</v>
          </cell>
        </row>
        <row r="11137">
          <cell r="A11137">
            <v>45713</v>
          </cell>
          <cell r="B11137" t="str">
            <v>Xà Lách Lolo Xanh T.C</v>
          </cell>
          <cell r="C11137" t="str">
            <v>Kg</v>
          </cell>
          <cell r="D11137">
            <v>26000</v>
          </cell>
        </row>
        <row r="11138">
          <cell r="A11138">
            <v>45713</v>
          </cell>
          <cell r="B11138" t="str">
            <v>Xà Lách Thủy Tinh T.C Cây</v>
          </cell>
          <cell r="C11138" t="str">
            <v>Cây</v>
          </cell>
          <cell r="D11138">
            <v>7500</v>
          </cell>
        </row>
        <row r="11139">
          <cell r="A11139">
            <v>45713</v>
          </cell>
          <cell r="B11139" t="str">
            <v>Bí Ngòi Xanh</v>
          </cell>
          <cell r="C11139" t="str">
            <v>Kg</v>
          </cell>
          <cell r="D11139">
            <v>15000</v>
          </cell>
        </row>
        <row r="11140">
          <cell r="A11140">
            <v>45713</v>
          </cell>
          <cell r="B11140" t="str">
            <v>Cà Chua Thường</v>
          </cell>
          <cell r="C11140" t="str">
            <v>Kg</v>
          </cell>
          <cell r="D11140">
            <v>16000</v>
          </cell>
        </row>
        <row r="11141">
          <cell r="A11141">
            <v>45713</v>
          </cell>
          <cell r="B11141" t="str">
            <v>Cà Chua Thường Trung</v>
          </cell>
          <cell r="C11141" t="str">
            <v>Kg</v>
          </cell>
          <cell r="D11141">
            <v>11000</v>
          </cell>
        </row>
        <row r="11142">
          <cell r="A11142">
            <v>45713</v>
          </cell>
          <cell r="B11142" t="str">
            <v>Cà Tím</v>
          </cell>
          <cell r="C11142" t="str">
            <v>Kg</v>
          </cell>
          <cell r="D11142">
            <v>8000</v>
          </cell>
        </row>
        <row r="11143">
          <cell r="A11143">
            <v>45713</v>
          </cell>
          <cell r="B11143" t="str">
            <v>Trái Su Su</v>
          </cell>
          <cell r="C11143" t="str">
            <v>Kg</v>
          </cell>
          <cell r="D11143">
            <v>8000</v>
          </cell>
        </row>
        <row r="11144">
          <cell r="A11144">
            <v>45713</v>
          </cell>
          <cell r="B11144" t="str">
            <v>Cải Thảo Hỏa Tiễn</v>
          </cell>
          <cell r="C11144" t="str">
            <v>Kg</v>
          </cell>
          <cell r="D11144">
            <v>12000</v>
          </cell>
        </row>
        <row r="11145">
          <cell r="A11145">
            <v>45713</v>
          </cell>
          <cell r="B11145" t="str">
            <v>Bông Atiso</v>
          </cell>
          <cell r="C11145" t="str">
            <v>Kg</v>
          </cell>
          <cell r="D11145">
            <v>165000</v>
          </cell>
        </row>
        <row r="11146">
          <cell r="A11146">
            <v>45713</v>
          </cell>
          <cell r="B11146" t="str">
            <v>Rau Bầu Đất</v>
          </cell>
          <cell r="C11146" t="str">
            <v>Kg</v>
          </cell>
          <cell r="D11146">
            <v>35000</v>
          </cell>
        </row>
        <row r="11147">
          <cell r="A11147">
            <v>45713</v>
          </cell>
          <cell r="B11147" t="str">
            <v>Củ Gừng</v>
          </cell>
          <cell r="C11147" t="str">
            <v>Kg</v>
          </cell>
          <cell r="D11147">
            <v>19000</v>
          </cell>
        </row>
        <row r="11148">
          <cell r="A11148">
            <v>45713</v>
          </cell>
          <cell r="B11148" t="str">
            <v>Củ Khoai Mỡ</v>
          </cell>
          <cell r="C11148" t="str">
            <v>Kg</v>
          </cell>
          <cell r="D11148">
            <v>25000</v>
          </cell>
        </row>
        <row r="11149">
          <cell r="A11149">
            <v>45713</v>
          </cell>
          <cell r="B11149" t="str">
            <v>Củ Khoai Lang Nhật</v>
          </cell>
          <cell r="C11149" t="str">
            <v>Kg</v>
          </cell>
          <cell r="D11149">
            <v>14800</v>
          </cell>
        </row>
        <row r="11150">
          <cell r="A11150">
            <v>45713</v>
          </cell>
          <cell r="B11150" t="str">
            <v>Bí Ngòi Xanh</v>
          </cell>
          <cell r="C11150" t="str">
            <v>Kg</v>
          </cell>
          <cell r="D11150">
            <v>13000</v>
          </cell>
        </row>
        <row r="11151">
          <cell r="A11151">
            <v>45713</v>
          </cell>
          <cell r="B11151" t="str">
            <v>Củ Cải Trắng</v>
          </cell>
          <cell r="C11151" t="str">
            <v>Kg</v>
          </cell>
          <cell r="D11151">
            <v>4000</v>
          </cell>
        </row>
        <row r="11152">
          <cell r="A11152">
            <v>45713</v>
          </cell>
          <cell r="B11152" t="str">
            <v>Cà Chua Bi Đỏ</v>
          </cell>
          <cell r="C11152" t="str">
            <v>Hộp 500gr</v>
          </cell>
          <cell r="D11152">
            <v>10000</v>
          </cell>
        </row>
        <row r="11153">
          <cell r="A11153">
            <v>45713</v>
          </cell>
          <cell r="B11153" t="str">
            <v>Cà Chua Bi Đỏ</v>
          </cell>
          <cell r="C11153" t="str">
            <v>Hộp 300gr</v>
          </cell>
          <cell r="D11153">
            <v>6000</v>
          </cell>
        </row>
        <row r="11154">
          <cell r="A11154">
            <v>45713</v>
          </cell>
          <cell r="B11154" t="str">
            <v>Ớt Chuông Đỏ</v>
          </cell>
          <cell r="C11154" t="str">
            <v>Kg</v>
          </cell>
          <cell r="D11154">
            <v>23000</v>
          </cell>
        </row>
        <row r="11155">
          <cell r="A11155">
            <v>45713</v>
          </cell>
          <cell r="B11155" t="str">
            <v>Ớt Chuông Vàng</v>
          </cell>
          <cell r="C11155" t="str">
            <v>Kg</v>
          </cell>
          <cell r="D11155">
            <v>30000</v>
          </cell>
        </row>
        <row r="11156">
          <cell r="A11156">
            <v>45713</v>
          </cell>
          <cell r="B11156" t="str">
            <v>Ớt Chuông Xanh</v>
          </cell>
          <cell r="C11156" t="str">
            <v>Kg</v>
          </cell>
          <cell r="D11156">
            <v>30000</v>
          </cell>
        </row>
        <row r="11157">
          <cell r="A11157">
            <v>45713</v>
          </cell>
          <cell r="B11157" t="str">
            <v>Ớt Chuông Baby</v>
          </cell>
          <cell r="C11157" t="str">
            <v>Kg</v>
          </cell>
          <cell r="D11157">
            <v>28000</v>
          </cell>
        </row>
        <row r="11158">
          <cell r="A11158">
            <v>45713</v>
          </cell>
          <cell r="B11158" t="str">
            <v>Ớt Chuông Snack</v>
          </cell>
          <cell r="C11158" t="str">
            <v>Kg</v>
          </cell>
          <cell r="D11158">
            <v>50000</v>
          </cell>
        </row>
        <row r="11159">
          <cell r="A11159">
            <v>45713</v>
          </cell>
          <cell r="B11159" t="str">
            <v>Ớt Chuông Đỏ Trung</v>
          </cell>
          <cell r="C11159" t="str">
            <v>Kg</v>
          </cell>
          <cell r="D11159">
            <v>18000</v>
          </cell>
        </row>
        <row r="11160">
          <cell r="A11160">
            <v>45713</v>
          </cell>
          <cell r="B11160" t="str">
            <v>Ớt Chuông Vàng Trung</v>
          </cell>
          <cell r="C11160" t="str">
            <v>Kg</v>
          </cell>
          <cell r="D11160">
            <v>25000</v>
          </cell>
        </row>
        <row r="11161">
          <cell r="A11161">
            <v>45713</v>
          </cell>
          <cell r="B11161" t="str">
            <v>Ớt Chuông Xanh Trung</v>
          </cell>
          <cell r="C11161" t="str">
            <v>Kg</v>
          </cell>
          <cell r="D11161">
            <v>25000</v>
          </cell>
        </row>
        <row r="11162">
          <cell r="A11162">
            <v>45713</v>
          </cell>
          <cell r="B11162" t="str">
            <v>Dưa Leo Baby</v>
          </cell>
          <cell r="C11162" t="str">
            <v>Vỉ</v>
          </cell>
          <cell r="D11162">
            <v>10000</v>
          </cell>
        </row>
        <row r="11163">
          <cell r="A11163">
            <v>45713</v>
          </cell>
          <cell r="B11163" t="str">
            <v>Dưa Leo Baby</v>
          </cell>
          <cell r="C11163" t="str">
            <v>Vỉ</v>
          </cell>
          <cell r="D11163">
            <v>9000</v>
          </cell>
        </row>
        <row r="11164">
          <cell r="A11164">
            <v>45713</v>
          </cell>
          <cell r="B11164" t="str">
            <v>Đậu Cove Trắng</v>
          </cell>
          <cell r="C11164" t="str">
            <v>Túi 500gr</v>
          </cell>
          <cell r="D11164">
            <v>9000</v>
          </cell>
        </row>
        <row r="11165">
          <cell r="A11165">
            <v>45713</v>
          </cell>
          <cell r="B11165" t="str">
            <v>Đậu Cove Trắng</v>
          </cell>
          <cell r="C11165" t="str">
            <v>Túi 300gr</v>
          </cell>
          <cell r="D11165">
            <v>6500</v>
          </cell>
        </row>
        <row r="11166">
          <cell r="A11166">
            <v>45713</v>
          </cell>
          <cell r="B11166" t="str">
            <v>Dưa Leo Thường</v>
          </cell>
          <cell r="C11166" t="str">
            <v>Kg</v>
          </cell>
          <cell r="D11166">
            <v>15000</v>
          </cell>
        </row>
        <row r="11167">
          <cell r="A11167">
            <v>45713</v>
          </cell>
          <cell r="B11167" t="str">
            <v>Dưa Leo Nhật</v>
          </cell>
          <cell r="C11167" t="str">
            <v>Kg</v>
          </cell>
          <cell r="D11167">
            <v>15000</v>
          </cell>
        </row>
        <row r="11168">
          <cell r="A11168">
            <v>45713</v>
          </cell>
          <cell r="B11168" t="str">
            <v>Bí Non Nhật</v>
          </cell>
          <cell r="C11168" t="str">
            <v>Kg</v>
          </cell>
          <cell r="D11168">
            <v>13000</v>
          </cell>
        </row>
        <row r="11169">
          <cell r="A11169">
            <v>45713</v>
          </cell>
          <cell r="B11169" t="str">
            <v>Đậu Cove Trắng</v>
          </cell>
          <cell r="C11169" t="str">
            <v>Túi 500gr</v>
          </cell>
          <cell r="D11169">
            <v>8000</v>
          </cell>
        </row>
        <row r="11170">
          <cell r="A11170">
            <v>45713</v>
          </cell>
          <cell r="B11170" t="str">
            <v>Cà Rốt</v>
          </cell>
          <cell r="C11170" t="str">
            <v>Kg</v>
          </cell>
          <cell r="D11170">
            <v>6500</v>
          </cell>
        </row>
        <row r="11171">
          <cell r="A11171">
            <v>45713</v>
          </cell>
          <cell r="B11171" t="str">
            <v>Cải Bó Xôi</v>
          </cell>
          <cell r="C11171" t="str">
            <v>Kg</v>
          </cell>
          <cell r="D11171">
            <v>26000</v>
          </cell>
        </row>
        <row r="11172">
          <cell r="A11172">
            <v>45713</v>
          </cell>
          <cell r="B11172" t="str">
            <v>Cải Bó Xôi</v>
          </cell>
          <cell r="C11172" t="str">
            <v>Túi</v>
          </cell>
          <cell r="D11172">
            <v>8400</v>
          </cell>
        </row>
        <row r="11173">
          <cell r="A11173">
            <v>45713</v>
          </cell>
          <cell r="B11173" t="str">
            <v>Cà Chua Beef</v>
          </cell>
          <cell r="C11173" t="str">
            <v>Kg</v>
          </cell>
          <cell r="D11173">
            <v>14000</v>
          </cell>
        </row>
        <row r="11174">
          <cell r="A11174">
            <v>45713</v>
          </cell>
          <cell r="B11174" t="str">
            <v>Cà Chua Beef</v>
          </cell>
          <cell r="C11174" t="str">
            <v>Vỉ 650gr</v>
          </cell>
          <cell r="D11174">
            <v>12300</v>
          </cell>
        </row>
        <row r="11175">
          <cell r="A11175">
            <v>45713</v>
          </cell>
          <cell r="B11175" t="str">
            <v>Cà Chua Beef Trung</v>
          </cell>
          <cell r="C11175" t="str">
            <v>Vỉ 500gr</v>
          </cell>
          <cell r="D11175">
            <v>8000</v>
          </cell>
        </row>
        <row r="11176">
          <cell r="A11176">
            <v>45713</v>
          </cell>
          <cell r="B11176" t="str">
            <v>Cà Chua Beef Trung</v>
          </cell>
          <cell r="C11176" t="str">
            <v>Kg</v>
          </cell>
          <cell r="D11176">
            <v>14000</v>
          </cell>
        </row>
        <row r="11177">
          <cell r="A11177">
            <v>45713</v>
          </cell>
          <cell r="B11177" t="str">
            <v>Cà Chua Bi Mix</v>
          </cell>
          <cell r="C11177" t="str">
            <v>Hộp</v>
          </cell>
          <cell r="D11177">
            <v>12000</v>
          </cell>
        </row>
        <row r="11178">
          <cell r="A11178">
            <v>45713</v>
          </cell>
          <cell r="B11178" t="str">
            <v>Cải Kale</v>
          </cell>
          <cell r="C11178" t="str">
            <v>Túi</v>
          </cell>
          <cell r="D11178">
            <v>4200</v>
          </cell>
        </row>
        <row r="11179">
          <cell r="A11179">
            <v>45713</v>
          </cell>
          <cell r="B11179" t="str">
            <v>Chanh Không Hạt</v>
          </cell>
          <cell r="C11179" t="str">
            <v>Vỉ</v>
          </cell>
          <cell r="D11179">
            <v>7500</v>
          </cell>
        </row>
        <row r="11180">
          <cell r="A11180">
            <v>45713</v>
          </cell>
          <cell r="B11180" t="str">
            <v>Lá Mè</v>
          </cell>
          <cell r="C11180" t="str">
            <v>Túi</v>
          </cell>
          <cell r="D11180">
            <v>2500</v>
          </cell>
        </row>
        <row r="11181">
          <cell r="A11181">
            <v>45713</v>
          </cell>
          <cell r="B11181" t="str">
            <v>Dưa Leo Baby</v>
          </cell>
          <cell r="C11181" t="str">
            <v>Vỉ</v>
          </cell>
          <cell r="D11181">
            <v>10000</v>
          </cell>
        </row>
        <row r="11182">
          <cell r="A11182">
            <v>45713</v>
          </cell>
          <cell r="B11182" t="str">
            <v>Cà Rốt Baby</v>
          </cell>
          <cell r="C11182" t="str">
            <v>Vỉ</v>
          </cell>
          <cell r="D11182">
            <v>6000</v>
          </cell>
        </row>
        <row r="11183">
          <cell r="A11183">
            <v>45713</v>
          </cell>
          <cell r="B11183" t="str">
            <v>Cải Kale</v>
          </cell>
          <cell r="C11183" t="str">
            <v>Túi</v>
          </cell>
          <cell r="D11183">
            <v>3300</v>
          </cell>
        </row>
        <row r="11184">
          <cell r="A11184">
            <v>45713</v>
          </cell>
          <cell r="B11184" t="str">
            <v>Cải Cầu Vồng</v>
          </cell>
          <cell r="C11184" t="str">
            <v>Túi</v>
          </cell>
          <cell r="D11184">
            <v>3000</v>
          </cell>
        </row>
        <row r="11185">
          <cell r="A11185">
            <v>45713</v>
          </cell>
          <cell r="B11185" t="str">
            <v>Bông Cải Xanh Baby</v>
          </cell>
          <cell r="C11185" t="str">
            <v>Vỉ</v>
          </cell>
          <cell r="D11185">
            <v>6000</v>
          </cell>
        </row>
        <row r="11186">
          <cell r="A11186">
            <v>45713</v>
          </cell>
          <cell r="B11186" t="str">
            <v>Xà Lách Lolo Tím</v>
          </cell>
          <cell r="C11186" t="str">
            <v>Kg</v>
          </cell>
          <cell r="D11186">
            <v>20000</v>
          </cell>
        </row>
        <row r="11187">
          <cell r="A11187">
            <v>45713</v>
          </cell>
          <cell r="B11187" t="str">
            <v>Xà Lách Lolo Xanh</v>
          </cell>
          <cell r="C11187" t="str">
            <v>Kg</v>
          </cell>
          <cell r="D11187">
            <v>8000</v>
          </cell>
        </row>
        <row r="11188">
          <cell r="A11188">
            <v>45713</v>
          </cell>
          <cell r="B11188" t="str">
            <v>Cà Chua Beef Trung</v>
          </cell>
          <cell r="C11188" t="str">
            <v>Vỉ 500gr</v>
          </cell>
          <cell r="D11188">
            <v>8500</v>
          </cell>
        </row>
        <row r="11189">
          <cell r="A11189">
            <v>45713</v>
          </cell>
          <cell r="B11189" t="str">
            <v>Ớt Sweet Palemo</v>
          </cell>
          <cell r="C11189" t="str">
            <v>Túi</v>
          </cell>
          <cell r="D11189">
            <v>16000</v>
          </cell>
        </row>
        <row r="11190">
          <cell r="A11190">
            <v>45714</v>
          </cell>
          <cell r="B11190" t="str">
            <v>Dầu DO 0,001S</v>
          </cell>
          <cell r="C11190" t="str">
            <v/>
          </cell>
          <cell r="D11190">
            <v>18045.45</v>
          </cell>
        </row>
        <row r="11191">
          <cell r="A11191">
            <v>45714</v>
          </cell>
          <cell r="B11191" t="str">
            <v>DO 0.05S-II</v>
          </cell>
          <cell r="C11191" t="str">
            <v>Lít</v>
          </cell>
          <cell r="D11191">
            <v>17672.73</v>
          </cell>
        </row>
        <row r="11192">
          <cell r="A11192">
            <v>45714</v>
          </cell>
          <cell r="B11192" t="str">
            <v>DO 0.05S-II</v>
          </cell>
          <cell r="C11192" t="str">
            <v>Lít</v>
          </cell>
          <cell r="D11192">
            <v>17672.73</v>
          </cell>
        </row>
        <row r="11193">
          <cell r="A11193">
            <v>45714</v>
          </cell>
          <cell r="B11193" t="str">
            <v>Kiểm soát chuột + côn trùng tháng 02/2025</v>
          </cell>
          <cell r="C11193" t="str">
            <v>Tháng</v>
          </cell>
          <cell r="D11193">
            <v>1500000</v>
          </cell>
        </row>
        <row r="11194">
          <cell r="A11194">
            <v>45714</v>
          </cell>
          <cell r="B11194" t="str">
            <v>Cước đường bộ phương tiện 49H00036, Loại 3, tại Định An hiệu lực bắt đầu từ ngày 26/02/2025 đến hết ngày 27/03/2025, mã GD 1585267069136701112</v>
          </cell>
          <cell r="C11194" t="str">
            <v>Lần</v>
          </cell>
          <cell r="D11194">
            <v>1361111</v>
          </cell>
        </row>
        <row r="11195">
          <cell r="A11195">
            <v>45714</v>
          </cell>
          <cell r="B11195" t="str">
            <v>Cước đường bộ phương tiện 49H00036, Loại 3, tại Trạm Liên Đầm hiệu lực bắt đầu từ ngày 26/02/2025 đến hết ngày 27/03/2025, mã GD 1585267069136701334</v>
          </cell>
          <cell r="C11195" t="str">
            <v>Lần</v>
          </cell>
          <cell r="D11195">
            <v>2373148</v>
          </cell>
        </row>
        <row r="11196">
          <cell r="A11196">
            <v>45714</v>
          </cell>
          <cell r="B11196" t="str">
            <v>Trái Mít Thái</v>
          </cell>
          <cell r="C11196" t="str">
            <v>Kg</v>
          </cell>
          <cell r="D11196">
            <v>20389</v>
          </cell>
        </row>
        <row r="11197">
          <cell r="A11197">
            <v>45714</v>
          </cell>
          <cell r="B11197" t="str">
            <v>Cải Bó Xôi</v>
          </cell>
          <cell r="C11197" t="str">
            <v>Kg</v>
          </cell>
          <cell r="D11197">
            <v>20000</v>
          </cell>
        </row>
        <row r="11198">
          <cell r="A11198">
            <v>45714</v>
          </cell>
          <cell r="B11198" t="str">
            <v>Bông Cải Trắng</v>
          </cell>
          <cell r="C11198" t="str">
            <v>Kg</v>
          </cell>
          <cell r="D11198">
            <v>12000</v>
          </cell>
        </row>
        <row r="11199">
          <cell r="A11199">
            <v>45714</v>
          </cell>
          <cell r="B11199" t="str">
            <v>Cần Tây</v>
          </cell>
          <cell r="C11199" t="str">
            <v>Kg</v>
          </cell>
          <cell r="D11199">
            <v>10000</v>
          </cell>
        </row>
        <row r="11200">
          <cell r="A11200">
            <v>45714</v>
          </cell>
          <cell r="B11200" t="str">
            <v>Hành Paro</v>
          </cell>
          <cell r="C11200" t="str">
            <v>Kg</v>
          </cell>
          <cell r="D11200">
            <v>10000</v>
          </cell>
        </row>
        <row r="11201">
          <cell r="A11201">
            <v>45714</v>
          </cell>
          <cell r="B11201" t="str">
            <v>Củ Hành Tây</v>
          </cell>
          <cell r="C11201" t="str">
            <v>Kg</v>
          </cell>
          <cell r="D11201">
            <v>7000</v>
          </cell>
        </row>
        <row r="11202">
          <cell r="A11202">
            <v>45714</v>
          </cell>
          <cell r="B11202" t="str">
            <v>Củ Hành Tây Tím</v>
          </cell>
          <cell r="C11202" t="str">
            <v>Kg</v>
          </cell>
          <cell r="D11202">
            <v>20000</v>
          </cell>
        </row>
        <row r="11203">
          <cell r="A11203">
            <v>45714</v>
          </cell>
          <cell r="B11203" t="str">
            <v>Cà Chua Socola</v>
          </cell>
          <cell r="C11203" t="str">
            <v>Hộp 250GR</v>
          </cell>
          <cell r="D11203">
            <v>7500</v>
          </cell>
        </row>
        <row r="11204">
          <cell r="A11204">
            <v>45714</v>
          </cell>
          <cell r="B11204" t="str">
            <v>Dưa Leo Baby</v>
          </cell>
          <cell r="C11204" t="str">
            <v>Vỉ</v>
          </cell>
          <cell r="D11204">
            <v>7500</v>
          </cell>
        </row>
        <row r="11205">
          <cell r="A11205">
            <v>45714</v>
          </cell>
          <cell r="B11205" t="str">
            <v>Ớt Sweet Palemo</v>
          </cell>
          <cell r="C11205" t="str">
            <v>Túi</v>
          </cell>
          <cell r="D11205">
            <v>17000</v>
          </cell>
        </row>
        <row r="11206">
          <cell r="A11206">
            <v>45714</v>
          </cell>
          <cell r="B11206" t="str">
            <v>Ớt Chuông Baby</v>
          </cell>
          <cell r="C11206" t="str">
            <v>Kg</v>
          </cell>
          <cell r="D11206">
            <v>48000</v>
          </cell>
        </row>
        <row r="11207">
          <cell r="A11207">
            <v>45714</v>
          </cell>
          <cell r="B11207" t="str">
            <v>Rau Mầm</v>
          </cell>
          <cell r="C11207" t="str">
            <v>Kg</v>
          </cell>
          <cell r="D11207">
            <v>60000</v>
          </cell>
        </row>
        <row r="11208">
          <cell r="A11208">
            <v>45714</v>
          </cell>
          <cell r="B11208" t="str">
            <v>Gia Công Rau Củ Quả</v>
          </cell>
          <cell r="C11208" t="str">
            <v>Kg</v>
          </cell>
          <cell r="D11208">
            <v>1700</v>
          </cell>
        </row>
        <row r="11209">
          <cell r="A11209">
            <v>45714</v>
          </cell>
          <cell r="B11209" t="str">
            <v>Gia Công Rau Củ Quả</v>
          </cell>
          <cell r="C11209" t="str">
            <v>Kg</v>
          </cell>
          <cell r="D11209">
            <v>1000</v>
          </cell>
        </row>
        <row r="11210">
          <cell r="A11210">
            <v>45714</v>
          </cell>
          <cell r="B11210" t="str">
            <v>Củ Cải Đỏ</v>
          </cell>
          <cell r="C11210" t="str">
            <v>Kg</v>
          </cell>
          <cell r="D11210">
            <v>18000</v>
          </cell>
        </row>
        <row r="11211">
          <cell r="A11211">
            <v>45714</v>
          </cell>
          <cell r="B11211" t="str">
            <v>Xà Lách Carol</v>
          </cell>
          <cell r="C11211" t="str">
            <v>Kg</v>
          </cell>
          <cell r="D11211">
            <v>32000</v>
          </cell>
        </row>
        <row r="11212">
          <cell r="A11212">
            <v>45714</v>
          </cell>
          <cell r="B11212" t="str">
            <v>Xà Lách Lolo Xanh</v>
          </cell>
          <cell r="C11212" t="str">
            <v>Kg</v>
          </cell>
          <cell r="D11212">
            <v>12000</v>
          </cell>
        </row>
        <row r="11213">
          <cell r="A11213">
            <v>45714</v>
          </cell>
          <cell r="B11213" t="str">
            <v>Cải Thảo Hỏa Tiễn</v>
          </cell>
          <cell r="C11213" t="str">
            <v>Kg</v>
          </cell>
          <cell r="D11213">
            <v>12000</v>
          </cell>
        </row>
        <row r="11214">
          <cell r="A11214">
            <v>45714</v>
          </cell>
          <cell r="B11214" t="str">
            <v>Hành Paro</v>
          </cell>
          <cell r="C11214" t="str">
            <v>Kg</v>
          </cell>
          <cell r="D11214">
            <v>11000</v>
          </cell>
        </row>
        <row r="11215">
          <cell r="A11215">
            <v>45714</v>
          </cell>
          <cell r="B11215" t="str">
            <v>Bí Ngòi Xanh</v>
          </cell>
          <cell r="C11215" t="str">
            <v>Kg</v>
          </cell>
          <cell r="D11215">
            <v>15000</v>
          </cell>
        </row>
        <row r="11216">
          <cell r="A11216">
            <v>45714</v>
          </cell>
          <cell r="B11216" t="str">
            <v>Lá Mè</v>
          </cell>
          <cell r="C11216" t="str">
            <v>Túi</v>
          </cell>
          <cell r="D11216">
            <v>2400</v>
          </cell>
        </row>
        <row r="11217">
          <cell r="A11217">
            <v>45714</v>
          </cell>
          <cell r="B11217" t="str">
            <v>Củ Khoai Lang Nhật</v>
          </cell>
          <cell r="C11217" t="str">
            <v>Kg</v>
          </cell>
          <cell r="D11217">
            <v>16000</v>
          </cell>
        </row>
        <row r="11218">
          <cell r="A11218">
            <v>45714</v>
          </cell>
          <cell r="B11218" t="str">
            <v>Bắp Cải Trái Tim</v>
          </cell>
          <cell r="C11218" t="str">
            <v>Kg</v>
          </cell>
          <cell r="D11218">
            <v>5000</v>
          </cell>
        </row>
        <row r="11219">
          <cell r="A11219">
            <v>45714</v>
          </cell>
          <cell r="B11219" t="str">
            <v>Cà Rốt</v>
          </cell>
          <cell r="C11219" t="str">
            <v>Kg</v>
          </cell>
          <cell r="D11219">
            <v>6500</v>
          </cell>
        </row>
        <row r="11220">
          <cell r="A11220">
            <v>45714</v>
          </cell>
          <cell r="B11220" t="str">
            <v>Củ Khoai Tây Vàng</v>
          </cell>
          <cell r="C11220" t="str">
            <v>Kg</v>
          </cell>
          <cell r="D11220">
            <v>11094</v>
          </cell>
        </row>
        <row r="11221">
          <cell r="A11221">
            <v>45714</v>
          </cell>
          <cell r="B11221" t="str">
            <v>Cà Rốt</v>
          </cell>
          <cell r="C11221" t="str">
            <v>Kg</v>
          </cell>
          <cell r="D11221">
            <v>6000</v>
          </cell>
        </row>
        <row r="11222">
          <cell r="A11222">
            <v>45714</v>
          </cell>
          <cell r="B11222" t="str">
            <v>Củ Cải Trắng</v>
          </cell>
          <cell r="C11222" t="str">
            <v>Kg</v>
          </cell>
          <cell r="D11222">
            <v>4000</v>
          </cell>
        </row>
        <row r="11223">
          <cell r="A11223">
            <v>45714</v>
          </cell>
          <cell r="B11223" t="str">
            <v>Bí Ngòi Xanh</v>
          </cell>
          <cell r="C11223" t="str">
            <v>Kg</v>
          </cell>
          <cell r="D11223">
            <v>14500</v>
          </cell>
        </row>
        <row r="11224">
          <cell r="A11224">
            <v>45714</v>
          </cell>
          <cell r="B11224" t="str">
            <v>Bí Đao Xanh</v>
          </cell>
          <cell r="C11224" t="str">
            <v>Kg</v>
          </cell>
          <cell r="D11224">
            <v>14000</v>
          </cell>
        </row>
        <row r="11225">
          <cell r="A11225">
            <v>45714</v>
          </cell>
          <cell r="B11225" t="str">
            <v>Trái Khổ Qua</v>
          </cell>
          <cell r="C11225" t="str">
            <v>Kg</v>
          </cell>
          <cell r="D11225">
            <v>13000</v>
          </cell>
        </row>
        <row r="11226">
          <cell r="A11226">
            <v>45714</v>
          </cell>
          <cell r="B11226" t="str">
            <v>Dưa Leo Thường</v>
          </cell>
          <cell r="C11226" t="str">
            <v>Kg</v>
          </cell>
          <cell r="D11226">
            <v>10000</v>
          </cell>
        </row>
        <row r="11227">
          <cell r="A11227">
            <v>45714</v>
          </cell>
          <cell r="B11227" t="str">
            <v>Cà Chua Thường</v>
          </cell>
          <cell r="C11227" t="str">
            <v>Kg</v>
          </cell>
          <cell r="D11227">
            <v>17000</v>
          </cell>
        </row>
        <row r="11228">
          <cell r="A11228">
            <v>45714</v>
          </cell>
          <cell r="B11228" t="str">
            <v>Cà Chua Thường</v>
          </cell>
          <cell r="C11228" t="str">
            <v>Kg</v>
          </cell>
          <cell r="D11228">
            <v>16000</v>
          </cell>
        </row>
        <row r="11229">
          <cell r="A11229">
            <v>45714</v>
          </cell>
          <cell r="B11229" t="str">
            <v>Cà Chua Thường Trung</v>
          </cell>
          <cell r="C11229" t="str">
            <v>Kg</v>
          </cell>
          <cell r="D11229">
            <v>11000</v>
          </cell>
        </row>
        <row r="11230">
          <cell r="A11230">
            <v>45714</v>
          </cell>
          <cell r="B11230" t="str">
            <v>Bí Ngòi Xanh</v>
          </cell>
          <cell r="C11230" t="str">
            <v>Kg</v>
          </cell>
          <cell r="D11230">
            <v>13000</v>
          </cell>
        </row>
        <row r="11231">
          <cell r="A11231">
            <v>45714</v>
          </cell>
          <cell r="B11231" t="str">
            <v>Ớt Sweet Palemo</v>
          </cell>
          <cell r="C11231" t="str">
            <v>Túi</v>
          </cell>
          <cell r="D11231">
            <v>16000</v>
          </cell>
        </row>
        <row r="11232">
          <cell r="A11232">
            <v>45714</v>
          </cell>
          <cell r="B11232" t="str">
            <v>Xà Lách Mỡ T.C</v>
          </cell>
          <cell r="C11232" t="str">
            <v>Kg</v>
          </cell>
          <cell r="D11232">
            <v>26000</v>
          </cell>
        </row>
        <row r="11233">
          <cell r="A11233">
            <v>45714</v>
          </cell>
          <cell r="B11233" t="str">
            <v>Xà Lách Lolo Xanh T.C</v>
          </cell>
          <cell r="C11233" t="str">
            <v>Kg</v>
          </cell>
          <cell r="D11233">
            <v>26000</v>
          </cell>
        </row>
        <row r="11234">
          <cell r="A11234">
            <v>45714</v>
          </cell>
          <cell r="B11234" t="str">
            <v>Xà Lách Thủy Tinh T.C Cây</v>
          </cell>
          <cell r="C11234" t="str">
            <v>Cây</v>
          </cell>
          <cell r="D11234">
            <v>7500</v>
          </cell>
        </row>
        <row r="11235">
          <cell r="A11235">
            <v>45714</v>
          </cell>
          <cell r="B11235" t="str">
            <v>Cà Tím</v>
          </cell>
          <cell r="C11235" t="str">
            <v>Kg</v>
          </cell>
          <cell r="D11235">
            <v>8000</v>
          </cell>
        </row>
        <row r="11236">
          <cell r="A11236">
            <v>45714</v>
          </cell>
          <cell r="B11236" t="str">
            <v>Bí Non Nhật</v>
          </cell>
          <cell r="C11236" t="str">
            <v>Kg</v>
          </cell>
          <cell r="D11236">
            <v>10000</v>
          </cell>
        </row>
        <row r="11237">
          <cell r="A11237">
            <v>45714</v>
          </cell>
          <cell r="B11237" t="str">
            <v>Trái Su Su</v>
          </cell>
          <cell r="C11237" t="str">
            <v>Kg</v>
          </cell>
          <cell r="D11237">
            <v>8000</v>
          </cell>
        </row>
        <row r="11238">
          <cell r="A11238">
            <v>45714</v>
          </cell>
          <cell r="B11238" t="str">
            <v>Củ Gừng</v>
          </cell>
          <cell r="C11238" t="str">
            <v>Kg</v>
          </cell>
          <cell r="D11238">
            <v>19000</v>
          </cell>
        </row>
        <row r="11239">
          <cell r="A11239">
            <v>45714</v>
          </cell>
          <cell r="B11239" t="str">
            <v>Củ Khoai Mỡ</v>
          </cell>
          <cell r="C11239" t="str">
            <v>Kg</v>
          </cell>
          <cell r="D11239">
            <v>25000</v>
          </cell>
        </row>
        <row r="11240">
          <cell r="A11240">
            <v>45714</v>
          </cell>
          <cell r="B11240" t="str">
            <v>Đậu Cove Trắng</v>
          </cell>
          <cell r="C11240" t="str">
            <v>Túi 500gr</v>
          </cell>
          <cell r="D11240">
            <v>8500</v>
          </cell>
        </row>
        <row r="11241">
          <cell r="A11241">
            <v>45714</v>
          </cell>
          <cell r="B11241" t="str">
            <v>Đậu Cove Trắng</v>
          </cell>
          <cell r="C11241" t="str">
            <v>Túi 300gr</v>
          </cell>
          <cell r="D11241">
            <v>5500</v>
          </cell>
        </row>
        <row r="11242">
          <cell r="A11242">
            <v>45714</v>
          </cell>
          <cell r="B11242" t="str">
            <v>Măng Tây</v>
          </cell>
          <cell r="C11242" t="str">
            <v>Kg</v>
          </cell>
          <cell r="D11242">
            <v>47716</v>
          </cell>
        </row>
        <row r="11243">
          <cell r="A11243">
            <v>45714</v>
          </cell>
          <cell r="B11243" t="str">
            <v>Măng Tây</v>
          </cell>
          <cell r="C11243" t="str">
            <v>Kg</v>
          </cell>
          <cell r="D11243">
            <v>35000</v>
          </cell>
        </row>
        <row r="11244">
          <cell r="A11244">
            <v>45714</v>
          </cell>
          <cell r="B11244" t="str">
            <v>Lá É</v>
          </cell>
          <cell r="C11244" t="str">
            <v>Kg</v>
          </cell>
          <cell r="D11244">
            <v>25000</v>
          </cell>
        </row>
        <row r="11245">
          <cell r="A11245">
            <v>45714</v>
          </cell>
          <cell r="B11245" t="str">
            <v>Cải Thảo</v>
          </cell>
          <cell r="C11245" t="str">
            <v>Kg</v>
          </cell>
          <cell r="D11245">
            <v>5000</v>
          </cell>
        </row>
        <row r="11246">
          <cell r="A11246">
            <v>45714</v>
          </cell>
          <cell r="B11246" t="str">
            <v>Cần Tây</v>
          </cell>
          <cell r="C11246" t="str">
            <v>Kg</v>
          </cell>
          <cell r="D11246">
            <v>10000</v>
          </cell>
        </row>
        <row r="11247">
          <cell r="A11247">
            <v>45714</v>
          </cell>
          <cell r="B11247" t="str">
            <v>Chuối Laba</v>
          </cell>
          <cell r="C11247" t="str">
            <v>Kg</v>
          </cell>
          <cell r="D11247">
            <v>14000</v>
          </cell>
        </row>
        <row r="11248">
          <cell r="A11248">
            <v>45714</v>
          </cell>
          <cell r="B11248" t="str">
            <v>Lá Nha Đam</v>
          </cell>
          <cell r="C11248" t="str">
            <v>Kg</v>
          </cell>
          <cell r="D11248">
            <v>14000</v>
          </cell>
        </row>
        <row r="11249">
          <cell r="A11249">
            <v>45714</v>
          </cell>
          <cell r="B11249" t="str">
            <v>Bí Đỏ Hồ Lô</v>
          </cell>
          <cell r="C11249" t="str">
            <v>Kg</v>
          </cell>
          <cell r="D11249">
            <v>8000</v>
          </cell>
        </row>
        <row r="11250">
          <cell r="A11250">
            <v>45714</v>
          </cell>
          <cell r="B11250" t="str">
            <v>Trái Su Su</v>
          </cell>
          <cell r="C11250" t="str">
            <v>Kg</v>
          </cell>
          <cell r="D11250">
            <v>3500</v>
          </cell>
        </row>
        <row r="11251">
          <cell r="A11251">
            <v>45714</v>
          </cell>
          <cell r="B11251" t="str">
            <v>Bí Đỏ Tròn</v>
          </cell>
          <cell r="C11251" t="str">
            <v>Kg</v>
          </cell>
          <cell r="D11251">
            <v>11000</v>
          </cell>
        </row>
        <row r="11252">
          <cell r="A11252">
            <v>45714</v>
          </cell>
          <cell r="B11252" t="str">
            <v>Củ Su Hào</v>
          </cell>
          <cell r="C11252" t="str">
            <v>Kg</v>
          </cell>
          <cell r="D11252">
            <v>9000</v>
          </cell>
        </row>
        <row r="11253">
          <cell r="A11253">
            <v>45714</v>
          </cell>
          <cell r="B11253" t="str">
            <v>Xà Lách Mỡ T.C</v>
          </cell>
          <cell r="C11253" t="str">
            <v>Kg</v>
          </cell>
          <cell r="D11253">
            <v>24000</v>
          </cell>
        </row>
        <row r="11254">
          <cell r="A11254">
            <v>45714</v>
          </cell>
          <cell r="B11254" t="str">
            <v>Xà Lách Lolo Xanh T.C</v>
          </cell>
          <cell r="C11254" t="str">
            <v>Kg</v>
          </cell>
          <cell r="D11254">
            <v>25000</v>
          </cell>
        </row>
        <row r="11255">
          <cell r="A11255">
            <v>45714</v>
          </cell>
          <cell r="B11255" t="str">
            <v>Xà Lách Thủy Tinh T.C</v>
          </cell>
          <cell r="C11255" t="str">
            <v>Kg</v>
          </cell>
          <cell r="D11255">
            <v>25000</v>
          </cell>
        </row>
        <row r="11256">
          <cell r="A11256">
            <v>45714</v>
          </cell>
          <cell r="B11256" t="str">
            <v>Dưa Leo Thường</v>
          </cell>
          <cell r="C11256" t="str">
            <v>Kg</v>
          </cell>
          <cell r="D11256">
            <v>15000</v>
          </cell>
        </row>
        <row r="11257">
          <cell r="A11257">
            <v>45714</v>
          </cell>
          <cell r="B11257" t="str">
            <v>Dưa Leo Baby</v>
          </cell>
          <cell r="C11257" t="str">
            <v>Vỉ</v>
          </cell>
          <cell r="D11257">
            <v>9000</v>
          </cell>
        </row>
        <row r="11258">
          <cell r="A11258">
            <v>45714</v>
          </cell>
          <cell r="B11258" t="str">
            <v>Dưa Leo Nhật</v>
          </cell>
          <cell r="C11258" t="str">
            <v>Kg</v>
          </cell>
          <cell r="D11258">
            <v>15000</v>
          </cell>
        </row>
        <row r="11259">
          <cell r="A11259">
            <v>45714</v>
          </cell>
          <cell r="B11259" t="str">
            <v>Bí Non Nhật</v>
          </cell>
          <cell r="C11259" t="str">
            <v>Kg</v>
          </cell>
          <cell r="D11259">
            <v>15000</v>
          </cell>
        </row>
        <row r="11260">
          <cell r="A11260">
            <v>45714</v>
          </cell>
          <cell r="B11260" t="str">
            <v>Dưa Leo Baby</v>
          </cell>
          <cell r="C11260" t="str">
            <v>Vỉ</v>
          </cell>
          <cell r="D11260">
            <v>6500</v>
          </cell>
        </row>
        <row r="11261">
          <cell r="A11261">
            <v>45714</v>
          </cell>
          <cell r="B11261" t="str">
            <v>Ớt Chuông Đỏ</v>
          </cell>
          <cell r="C11261" t="str">
            <v>Kg</v>
          </cell>
          <cell r="D11261">
            <v>26000</v>
          </cell>
        </row>
        <row r="11262">
          <cell r="A11262">
            <v>45714</v>
          </cell>
          <cell r="B11262" t="str">
            <v>Ớt Chuông Vàng</v>
          </cell>
          <cell r="C11262" t="str">
            <v>Kg</v>
          </cell>
          <cell r="D11262">
            <v>26000</v>
          </cell>
        </row>
        <row r="11263">
          <cell r="A11263">
            <v>45714</v>
          </cell>
          <cell r="B11263" t="str">
            <v>Ớt Chuông Xanh</v>
          </cell>
          <cell r="C11263" t="str">
            <v>Kg</v>
          </cell>
          <cell r="D11263">
            <v>30000</v>
          </cell>
        </row>
        <row r="11264">
          <cell r="A11264">
            <v>45714</v>
          </cell>
          <cell r="B11264" t="str">
            <v>Ớt Chuông Đỏ Trung</v>
          </cell>
          <cell r="C11264" t="str">
            <v>Kg</v>
          </cell>
          <cell r="D11264">
            <v>21000</v>
          </cell>
        </row>
        <row r="11265">
          <cell r="A11265">
            <v>45714</v>
          </cell>
          <cell r="B11265" t="str">
            <v>Ớt Chuông Vàng Trung</v>
          </cell>
          <cell r="C11265" t="str">
            <v>Kg</v>
          </cell>
          <cell r="D11265">
            <v>21000</v>
          </cell>
        </row>
        <row r="11266">
          <cell r="A11266">
            <v>45714</v>
          </cell>
          <cell r="B11266" t="str">
            <v>Ớt Chuông Xanh Trung</v>
          </cell>
          <cell r="C11266" t="str">
            <v>Kg</v>
          </cell>
          <cell r="D11266">
            <v>25000</v>
          </cell>
        </row>
        <row r="11267">
          <cell r="A11267">
            <v>45714</v>
          </cell>
          <cell r="B11267" t="str">
            <v>Ớt Chuông Baby</v>
          </cell>
          <cell r="C11267" t="str">
            <v>Kg</v>
          </cell>
          <cell r="D11267">
            <v>28000</v>
          </cell>
        </row>
        <row r="11268">
          <cell r="A11268">
            <v>45714</v>
          </cell>
          <cell r="B11268" t="str">
            <v>Ớt Chuông Snack</v>
          </cell>
          <cell r="C11268" t="str">
            <v>Kg</v>
          </cell>
          <cell r="D11268">
            <v>50000</v>
          </cell>
        </row>
        <row r="11269">
          <cell r="A11269">
            <v>45714</v>
          </cell>
          <cell r="B11269" t="str">
            <v>Cà Chua Bi Đỏ</v>
          </cell>
          <cell r="C11269" t="str">
            <v>Hộp 500gr</v>
          </cell>
          <cell r="D11269">
            <v>10000</v>
          </cell>
        </row>
        <row r="11270">
          <cell r="A11270">
            <v>45714</v>
          </cell>
          <cell r="B11270" t="str">
            <v>Cà Chua Bi Đỏ</v>
          </cell>
          <cell r="C11270" t="str">
            <v>Hộp 300gr</v>
          </cell>
          <cell r="D11270">
            <v>6000</v>
          </cell>
        </row>
        <row r="11271">
          <cell r="A11271">
            <v>45714</v>
          </cell>
          <cell r="B11271" t="str">
            <v>Đậu Cove Nhật</v>
          </cell>
          <cell r="C11271" t="str">
            <v>Túi</v>
          </cell>
          <cell r="D11271">
            <v>6000</v>
          </cell>
        </row>
        <row r="11272">
          <cell r="A11272">
            <v>45714</v>
          </cell>
          <cell r="B11272" t="str">
            <v>Đậu Cove Trắng</v>
          </cell>
          <cell r="C11272" t="str">
            <v>Túi 500gr</v>
          </cell>
          <cell r="D11272">
            <v>6500</v>
          </cell>
        </row>
        <row r="11273">
          <cell r="A11273">
            <v>45714</v>
          </cell>
          <cell r="B11273" t="str">
            <v>Xà Lách Lolo Xanh</v>
          </cell>
          <cell r="C11273" t="str">
            <v>Kg</v>
          </cell>
          <cell r="D11273">
            <v>13000</v>
          </cell>
        </row>
        <row r="11274">
          <cell r="A11274">
            <v>45714</v>
          </cell>
          <cell r="B11274" t="str">
            <v>Trái Su Su</v>
          </cell>
          <cell r="C11274" t="str">
            <v>Kg</v>
          </cell>
          <cell r="D11274">
            <v>3000</v>
          </cell>
        </row>
        <row r="11275">
          <cell r="A11275">
            <v>45714</v>
          </cell>
          <cell r="B11275" t="str">
            <v>Đậu Đỏ</v>
          </cell>
          <cell r="C11275" t="str">
            <v>Kg</v>
          </cell>
          <cell r="D11275">
            <v>80000</v>
          </cell>
        </row>
        <row r="11276">
          <cell r="A11276">
            <v>45714</v>
          </cell>
          <cell r="B11276" t="str">
            <v>Đậu Ngự</v>
          </cell>
          <cell r="C11276" t="str">
            <v>Kg</v>
          </cell>
          <cell r="D11276">
            <v>70000</v>
          </cell>
        </row>
        <row r="11277">
          <cell r="A11277">
            <v>45714</v>
          </cell>
          <cell r="B11277" t="str">
            <v>Dưa Leo Baby</v>
          </cell>
          <cell r="C11277" t="str">
            <v>Kg</v>
          </cell>
          <cell r="D11277">
            <v>11000</v>
          </cell>
        </row>
        <row r="11278">
          <cell r="A11278">
            <v>45714</v>
          </cell>
          <cell r="B11278" t="str">
            <v>Dưa Leo Baby</v>
          </cell>
          <cell r="C11278" t="str">
            <v>Kg</v>
          </cell>
          <cell r="D11278">
            <v>9500</v>
          </cell>
        </row>
        <row r="11279">
          <cell r="A11279">
            <v>45714</v>
          </cell>
          <cell r="B11279" t="str">
            <v>Củ Dền</v>
          </cell>
          <cell r="C11279" t="str">
            <v>Kg</v>
          </cell>
          <cell r="D11279">
            <v>9000</v>
          </cell>
        </row>
        <row r="11280">
          <cell r="A11280">
            <v>45714</v>
          </cell>
          <cell r="B11280" t="str">
            <v>Ớt Chuông Đỏ</v>
          </cell>
          <cell r="C11280" t="str">
            <v>Kg</v>
          </cell>
          <cell r="D11280">
            <v>20000</v>
          </cell>
        </row>
        <row r="11281">
          <cell r="A11281">
            <v>45714</v>
          </cell>
          <cell r="B11281" t="str">
            <v>Ớt Chuông Vàng</v>
          </cell>
          <cell r="C11281" t="str">
            <v>Kg</v>
          </cell>
          <cell r="D11281">
            <v>23000</v>
          </cell>
        </row>
        <row r="11282">
          <cell r="A11282">
            <v>45714</v>
          </cell>
          <cell r="B11282" t="str">
            <v>Ớt Chuông Xanh</v>
          </cell>
          <cell r="C11282" t="str">
            <v>Kg</v>
          </cell>
          <cell r="D11282">
            <v>27000</v>
          </cell>
        </row>
        <row r="11283">
          <cell r="A11283">
            <v>45714</v>
          </cell>
          <cell r="B11283" t="str">
            <v>Xà Lách Lolo Xanh T.C Cây</v>
          </cell>
          <cell r="C11283" t="str">
            <v>Cây</v>
          </cell>
          <cell r="D11283">
            <v>6800</v>
          </cell>
        </row>
        <row r="11284">
          <cell r="A11284">
            <v>45714</v>
          </cell>
          <cell r="B11284" t="str">
            <v>Xà Lách Mỡ T.C</v>
          </cell>
          <cell r="C11284" t="str">
            <v>Kg</v>
          </cell>
          <cell r="D11284">
            <v>21000</v>
          </cell>
        </row>
        <row r="11285">
          <cell r="A11285">
            <v>45714</v>
          </cell>
          <cell r="B11285" t="str">
            <v>Xà Lách Thủy Tinh T.C Cây</v>
          </cell>
          <cell r="C11285" t="str">
            <v>Cây</v>
          </cell>
          <cell r="D11285">
            <v>6800</v>
          </cell>
        </row>
        <row r="11286">
          <cell r="A11286">
            <v>45714</v>
          </cell>
          <cell r="B11286" t="str">
            <v>Xà Lách Thủy Tinh T.C Cây</v>
          </cell>
          <cell r="C11286" t="str">
            <v>Cây</v>
          </cell>
          <cell r="D11286">
            <v>6800</v>
          </cell>
        </row>
        <row r="11287">
          <cell r="A11287">
            <v>45714</v>
          </cell>
          <cell r="B11287" t="str">
            <v>Cà Rốt Baby</v>
          </cell>
          <cell r="C11287" t="str">
            <v>Vỉ</v>
          </cell>
          <cell r="D11287">
            <v>6000</v>
          </cell>
        </row>
        <row r="11288">
          <cell r="A11288">
            <v>45714</v>
          </cell>
          <cell r="B11288" t="str">
            <v>Cải Cầu Vồng</v>
          </cell>
          <cell r="C11288" t="str">
            <v>Túi</v>
          </cell>
          <cell r="D11288">
            <v>3000</v>
          </cell>
        </row>
        <row r="11289">
          <cell r="A11289">
            <v>45714</v>
          </cell>
          <cell r="B11289" t="str">
            <v>Cải Kale</v>
          </cell>
          <cell r="C11289" t="str">
            <v>Túi</v>
          </cell>
          <cell r="D11289">
            <v>3300</v>
          </cell>
        </row>
        <row r="11290">
          <cell r="A11290">
            <v>45714</v>
          </cell>
          <cell r="B11290" t="str">
            <v>Cải Kale</v>
          </cell>
          <cell r="C11290" t="str">
            <v>Túi 150gr</v>
          </cell>
          <cell r="D11290">
            <v>1900</v>
          </cell>
        </row>
        <row r="11291">
          <cell r="A11291">
            <v>45714</v>
          </cell>
          <cell r="B11291" t="str">
            <v>Lá Mè</v>
          </cell>
          <cell r="C11291" t="str">
            <v>Túi</v>
          </cell>
          <cell r="D11291">
            <v>2500</v>
          </cell>
        </row>
        <row r="11292">
          <cell r="A11292">
            <v>45714</v>
          </cell>
          <cell r="B11292" t="str">
            <v>Dưa Leo Baby</v>
          </cell>
          <cell r="C11292" t="str">
            <v>Vỉ</v>
          </cell>
          <cell r="D11292">
            <v>10000</v>
          </cell>
        </row>
        <row r="11293">
          <cell r="A11293">
            <v>45714</v>
          </cell>
          <cell r="B11293" t="str">
            <v>Củ Cải Đỏ</v>
          </cell>
          <cell r="C11293" t="str">
            <v>Hộp</v>
          </cell>
          <cell r="D11293">
            <v>10000</v>
          </cell>
        </row>
        <row r="11294">
          <cell r="A11294">
            <v>45714</v>
          </cell>
          <cell r="B11294" t="str">
            <v>Ớt Sweet Palemo</v>
          </cell>
          <cell r="C11294" t="str">
            <v>Túi</v>
          </cell>
          <cell r="D11294">
            <v>16000</v>
          </cell>
        </row>
        <row r="11295">
          <cell r="A11295">
            <v>45714</v>
          </cell>
          <cell r="B11295" t="str">
            <v>Xà Lách Lolo Tím</v>
          </cell>
          <cell r="C11295" t="str">
            <v>Kg</v>
          </cell>
          <cell r="D11295">
            <v>20000</v>
          </cell>
        </row>
        <row r="11296">
          <cell r="A11296">
            <v>45714</v>
          </cell>
          <cell r="B11296" t="str">
            <v>Xà Lách Rocket</v>
          </cell>
          <cell r="C11296" t="str">
            <v>Kg</v>
          </cell>
          <cell r="D11296">
            <v>70000</v>
          </cell>
        </row>
        <row r="11297">
          <cell r="A11297">
            <v>45714</v>
          </cell>
          <cell r="B11297" t="str">
            <v>Xà Lách Lolo Xanh</v>
          </cell>
          <cell r="C11297" t="str">
            <v>Kg</v>
          </cell>
          <cell r="D11297">
            <v>10000</v>
          </cell>
        </row>
        <row r="11298">
          <cell r="A11298">
            <v>45714</v>
          </cell>
          <cell r="B11298" t="str">
            <v>Bông Cải Xanh Baby</v>
          </cell>
          <cell r="C11298" t="str">
            <v>Vỉ</v>
          </cell>
          <cell r="D11298">
            <v>6000</v>
          </cell>
        </row>
        <row r="11299">
          <cell r="A11299">
            <v>45714</v>
          </cell>
          <cell r="B11299" t="str">
            <v>Cà Chua Beef Trung</v>
          </cell>
          <cell r="C11299" t="str">
            <v>Vỉ 500gr</v>
          </cell>
          <cell r="D11299">
            <v>8500</v>
          </cell>
        </row>
        <row r="11300">
          <cell r="A11300">
            <v>45714</v>
          </cell>
          <cell r="B11300" t="str">
            <v>Cà Chua Bi Mix</v>
          </cell>
          <cell r="C11300" t="str">
            <v>Hộp</v>
          </cell>
          <cell r="D11300">
            <v>12000</v>
          </cell>
        </row>
        <row r="11301">
          <cell r="A11301">
            <v>45714</v>
          </cell>
          <cell r="B11301" t="str">
            <v>Cải Kale</v>
          </cell>
          <cell r="C11301" t="str">
            <v>Túi</v>
          </cell>
          <cell r="D11301">
            <v>4200</v>
          </cell>
        </row>
        <row r="11302">
          <cell r="A11302">
            <v>45714</v>
          </cell>
          <cell r="B11302" t="str">
            <v>Chanh Không Hạt</v>
          </cell>
          <cell r="C11302" t="str">
            <v>Vỉ</v>
          </cell>
          <cell r="D11302">
            <v>7500</v>
          </cell>
        </row>
        <row r="11303">
          <cell r="A11303">
            <v>45714</v>
          </cell>
          <cell r="B11303" t="str">
            <v>Cà Chua Beef Chùm</v>
          </cell>
          <cell r="C11303" t="str">
            <v>Kg</v>
          </cell>
          <cell r="D11303">
            <v>17000</v>
          </cell>
        </row>
        <row r="11304">
          <cell r="A11304">
            <v>45714</v>
          </cell>
          <cell r="B11304" t="str">
            <v>Cà Chua Beef</v>
          </cell>
          <cell r="C11304" t="str">
            <v>Kg</v>
          </cell>
          <cell r="D11304">
            <v>14000</v>
          </cell>
        </row>
        <row r="11305">
          <cell r="A11305">
            <v>45714</v>
          </cell>
          <cell r="B11305" t="str">
            <v>Cà Chua Beef</v>
          </cell>
          <cell r="C11305" t="str">
            <v>Vỉ 650gr</v>
          </cell>
          <cell r="D11305">
            <v>12300</v>
          </cell>
        </row>
        <row r="11306">
          <cell r="A11306">
            <v>45714</v>
          </cell>
          <cell r="B11306" t="str">
            <v>Cà Chua Beef Trung</v>
          </cell>
          <cell r="C11306" t="str">
            <v>Vỉ 500gr</v>
          </cell>
          <cell r="D11306">
            <v>8000</v>
          </cell>
        </row>
        <row r="11307">
          <cell r="A11307">
            <v>45714</v>
          </cell>
          <cell r="B11307" t="str">
            <v>Cà Chua Beef Trung</v>
          </cell>
          <cell r="C11307" t="str">
            <v>Kg</v>
          </cell>
          <cell r="D11307">
            <v>14000</v>
          </cell>
        </row>
        <row r="11308">
          <cell r="A11308">
            <v>45714</v>
          </cell>
          <cell r="B11308" t="str">
            <v>Cà Chua Thường</v>
          </cell>
          <cell r="C11308" t="str">
            <v>Kg</v>
          </cell>
          <cell r="D11308">
            <v>11000</v>
          </cell>
        </row>
        <row r="11309">
          <cell r="A11309">
            <v>45714</v>
          </cell>
          <cell r="B11309" t="str">
            <v>Cà Chua Thường Trung</v>
          </cell>
          <cell r="C11309" t="str">
            <v>Kg</v>
          </cell>
          <cell r="D11309">
            <v>8000</v>
          </cell>
        </row>
        <row r="11310">
          <cell r="A11310">
            <v>45714</v>
          </cell>
          <cell r="B11310" t="str">
            <v>Cải Bó Xôi</v>
          </cell>
          <cell r="C11310" t="str">
            <v>Túi</v>
          </cell>
          <cell r="D11310">
            <v>8400</v>
          </cell>
        </row>
        <row r="11311">
          <cell r="A11311">
            <v>45714</v>
          </cell>
          <cell r="B11311" t="str">
            <v>Củ Khoai Lang Mật Size 23</v>
          </cell>
          <cell r="C11311" t="str">
            <v>Kg</v>
          </cell>
          <cell r="D11311">
            <v>25000</v>
          </cell>
        </row>
        <row r="11312">
          <cell r="A11312">
            <v>45714</v>
          </cell>
          <cell r="B11312" t="str">
            <v>Củ Khoai Lang Mật Size 46</v>
          </cell>
          <cell r="C11312" t="str">
            <v>Kg</v>
          </cell>
          <cell r="D11312">
            <v>25000</v>
          </cell>
        </row>
        <row r="11313">
          <cell r="A11313">
            <v>45714</v>
          </cell>
          <cell r="B11313" t="str">
            <v>TÚI CẦN TÂY (TÚI PP 20 X 67)</v>
          </cell>
          <cell r="C11313" t="str">
            <v>Kg</v>
          </cell>
          <cell r="D11313">
            <v>64800</v>
          </cell>
        </row>
        <row r="11314">
          <cell r="A11314">
            <v>45714</v>
          </cell>
          <cell r="B11314" t="str">
            <v>BỊCH 20KG (MANH PE)</v>
          </cell>
          <cell r="C11314" t="str">
            <v>Kg</v>
          </cell>
          <cell r="D11314">
            <v>35856</v>
          </cell>
        </row>
        <row r="11315">
          <cell r="A11315">
            <v>45714</v>
          </cell>
          <cell r="B11315" t="str">
            <v>BỊCH 5KG (MANH PE)</v>
          </cell>
          <cell r="C11315" t="str">
            <v>Kg</v>
          </cell>
          <cell r="D11315">
            <v>30214.65</v>
          </cell>
        </row>
        <row r="11316">
          <cell r="A11316">
            <v>45714</v>
          </cell>
          <cell r="B11316" t="str">
            <v>Bao rác đen  (Cuộn PP 90x120)</v>
          </cell>
          <cell r="C11316" t="str">
            <v>Kg</v>
          </cell>
          <cell r="D11316">
            <v>27000</v>
          </cell>
        </row>
        <row r="11317">
          <cell r="A11317">
            <v>45714</v>
          </cell>
          <cell r="B11317" t="str">
            <v>GIẤY BÁO VÀNG (GIẤY VÀNG)</v>
          </cell>
          <cell r="C11317" t="str">
            <v>Kg</v>
          </cell>
          <cell r="D11317">
            <v>18360</v>
          </cell>
        </row>
        <row r="11318">
          <cell r="A11318">
            <v>45715</v>
          </cell>
          <cell r="B11318" t="str">
            <v>Dầu DO 0,001S</v>
          </cell>
          <cell r="C11318" t="str">
            <v/>
          </cell>
          <cell r="D11318">
            <v>17945.45</v>
          </cell>
        </row>
        <row r="11319">
          <cell r="A11319">
            <v>45715</v>
          </cell>
          <cell r="B11319" t="str">
            <v>DO 0.05S-II</v>
          </cell>
          <cell r="C11319" t="str">
            <v>Lít</v>
          </cell>
          <cell r="D11319">
            <v>17672.73</v>
          </cell>
        </row>
        <row r="11320">
          <cell r="A11320">
            <v>45715</v>
          </cell>
          <cell r="B11320" t="str">
            <v>DO 0.05S-II</v>
          </cell>
          <cell r="C11320" t="str">
            <v>Lít</v>
          </cell>
          <cell r="D11320">
            <v>17672.73</v>
          </cell>
        </row>
        <row r="11321">
          <cell r="A11321">
            <v>45715</v>
          </cell>
          <cell r="B11321" t="str">
            <v>Dầu DO 0,001S</v>
          </cell>
          <cell r="C11321" t="str">
            <v/>
          </cell>
          <cell r="D11321">
            <v>18045.45</v>
          </cell>
        </row>
        <row r="11322">
          <cell r="A11322">
            <v>45715</v>
          </cell>
          <cell r="B11322" t="str">
            <v>Cước vận chuyển (Lộ trình Hà Nội-Hải Phòng) 03/02/2025</v>
          </cell>
          <cell r="C11322" t="str">
            <v>Tháng</v>
          </cell>
          <cell r="D11322">
            <v>0</v>
          </cell>
        </row>
        <row r="11323">
          <cell r="A11323">
            <v>45715</v>
          </cell>
          <cell r="B11323" t="str">
            <v>Cước vận chuyển (Lộ trình Hà Nội-Hải Phòng) 05/02/2025</v>
          </cell>
          <cell r="C11323" t="str">
            <v>Tháng</v>
          </cell>
          <cell r="D11323">
            <v>0</v>
          </cell>
        </row>
        <row r="11324">
          <cell r="A11324">
            <v>45715</v>
          </cell>
          <cell r="B11324" t="str">
            <v>Cước vận chuyển (Lộ trình Hà Nội-Hải Phòng) 08/02/2025</v>
          </cell>
          <cell r="C11324" t="str">
            <v>Tháng</v>
          </cell>
          <cell r="D11324">
            <v>0</v>
          </cell>
        </row>
        <row r="11325">
          <cell r="A11325">
            <v>45715</v>
          </cell>
          <cell r="B11325" t="str">
            <v>Cước vận chuyển (Lộ trình Hà Nội-Hải Phòng) 10/02/2025</v>
          </cell>
          <cell r="C11325" t="str">
            <v>Tháng</v>
          </cell>
          <cell r="D11325">
            <v>0</v>
          </cell>
        </row>
        <row r="11326">
          <cell r="A11326">
            <v>45715</v>
          </cell>
          <cell r="B11326" t="str">
            <v>Cước vận chuyển (Lộ trình Hà Nội-Hải Phòng) 12/02/2025</v>
          </cell>
          <cell r="C11326" t="str">
            <v>Tháng</v>
          </cell>
          <cell r="D11326">
            <v>0</v>
          </cell>
        </row>
        <row r="11327">
          <cell r="A11327">
            <v>45715</v>
          </cell>
          <cell r="B11327" t="str">
            <v>Cước vận chuyển (Lộ trình Hà Nội-Hải Phòng) 15/02/2025</v>
          </cell>
          <cell r="C11327" t="str">
            <v>Tháng</v>
          </cell>
          <cell r="D11327">
            <v>0</v>
          </cell>
        </row>
        <row r="11328">
          <cell r="A11328">
            <v>45715</v>
          </cell>
          <cell r="B11328" t="str">
            <v>Cước vận chuyển (Lộ trình Hà Nội-Hải Phòng) 17/02/2025</v>
          </cell>
          <cell r="C11328" t="str">
            <v>Tháng</v>
          </cell>
          <cell r="D11328">
            <v>0</v>
          </cell>
        </row>
        <row r="11329">
          <cell r="A11329">
            <v>45715</v>
          </cell>
          <cell r="B11329" t="str">
            <v>Cước vận chuyển (Lộ trình Hà Nội-Hải Phòng) 19/02/2025</v>
          </cell>
          <cell r="C11329" t="str">
            <v>Tháng</v>
          </cell>
          <cell r="D11329">
            <v>0</v>
          </cell>
        </row>
        <row r="11330">
          <cell r="A11330">
            <v>45715</v>
          </cell>
          <cell r="B11330" t="str">
            <v>Cước vận chuyển (Lộ trình Hà Nội-Hải Phòng) 22/02/2025</v>
          </cell>
          <cell r="C11330" t="str">
            <v>Tháng</v>
          </cell>
          <cell r="D11330">
            <v>0</v>
          </cell>
        </row>
        <row r="11331">
          <cell r="A11331">
            <v>45715</v>
          </cell>
          <cell r="B11331" t="str">
            <v>Cước vận chuyển (Lộ trình Hà Nội-Hải Phòng) 24/02/2025</v>
          </cell>
          <cell r="C11331" t="str">
            <v>Tháng</v>
          </cell>
          <cell r="D11331">
            <v>0</v>
          </cell>
        </row>
        <row r="11332">
          <cell r="A11332">
            <v>45715</v>
          </cell>
          <cell r="B11332" t="str">
            <v>Cước vận chuyển (Lộ trình Hà Nội-Hải Phòng) 26/02/2025</v>
          </cell>
          <cell r="C11332" t="str">
            <v>Tháng</v>
          </cell>
          <cell r="D11332">
            <v>0</v>
          </cell>
        </row>
        <row r="11333">
          <cell r="A11333">
            <v>45715</v>
          </cell>
          <cell r="B11333" t="str">
            <v>Giấy Fujifilm Everyday A4 ĐL70</v>
          </cell>
          <cell r="C11333" t="str">
            <v/>
          </cell>
          <cell r="D11333">
            <v>66000</v>
          </cell>
        </row>
        <row r="11334">
          <cell r="A11334">
            <v>45715</v>
          </cell>
          <cell r="B11334" t="str">
            <v>Ruột ghim số 10 Plus</v>
          </cell>
          <cell r="C11334" t="str">
            <v/>
          </cell>
          <cell r="D11334">
            <v>3300</v>
          </cell>
        </row>
        <row r="11335">
          <cell r="A11335">
            <v>45715</v>
          </cell>
          <cell r="B11335" t="str">
            <v>Ớt Chuông Vàng Trung</v>
          </cell>
          <cell r="C11335" t="str">
            <v>Kg</v>
          </cell>
          <cell r="D11335">
            <v>30000</v>
          </cell>
        </row>
        <row r="11336">
          <cell r="A11336">
            <v>45715</v>
          </cell>
          <cell r="B11336" t="str">
            <v>Cải Bó Xôi</v>
          </cell>
          <cell r="C11336" t="str">
            <v>Kg</v>
          </cell>
          <cell r="D11336">
            <v>22000</v>
          </cell>
        </row>
        <row r="11337">
          <cell r="A11337">
            <v>45715</v>
          </cell>
          <cell r="B11337" t="str">
            <v>Bông Cải Trắng</v>
          </cell>
          <cell r="C11337" t="str">
            <v>Kg</v>
          </cell>
          <cell r="D11337">
            <v>12000</v>
          </cell>
        </row>
        <row r="11338">
          <cell r="A11338">
            <v>45715</v>
          </cell>
          <cell r="B11338" t="str">
            <v>Cần Tây</v>
          </cell>
          <cell r="C11338" t="str">
            <v>Kg</v>
          </cell>
          <cell r="D11338">
            <v>10000</v>
          </cell>
        </row>
        <row r="11339">
          <cell r="A11339">
            <v>45715</v>
          </cell>
          <cell r="B11339" t="str">
            <v>Bắp Cải Tím</v>
          </cell>
          <cell r="C11339" t="str">
            <v>Kg</v>
          </cell>
          <cell r="D11339">
            <v>17000</v>
          </cell>
        </row>
        <row r="11340">
          <cell r="A11340">
            <v>45715</v>
          </cell>
          <cell r="B11340" t="str">
            <v>Bí Ngòi Xanh</v>
          </cell>
          <cell r="C11340" t="str">
            <v>Kg</v>
          </cell>
          <cell r="D11340">
            <v>10000</v>
          </cell>
        </row>
        <row r="11341">
          <cell r="A11341">
            <v>45715</v>
          </cell>
          <cell r="B11341" t="str">
            <v>Trái Mít Thái</v>
          </cell>
          <cell r="C11341" t="str">
            <v>Kg</v>
          </cell>
          <cell r="D11341">
            <v>20361</v>
          </cell>
        </row>
        <row r="11342">
          <cell r="A11342">
            <v>45715</v>
          </cell>
          <cell r="B11342" t="str">
            <v>Củ Dền</v>
          </cell>
          <cell r="C11342" t="str">
            <v>Kg</v>
          </cell>
          <cell r="D11342">
            <v>9000</v>
          </cell>
        </row>
        <row r="11343">
          <cell r="A11343">
            <v>45715</v>
          </cell>
          <cell r="B11343" t="str">
            <v>Bông Cải Xanh Cây</v>
          </cell>
          <cell r="C11343" t="str">
            <v>Cây</v>
          </cell>
          <cell r="D11343">
            <v>5000</v>
          </cell>
        </row>
        <row r="11344">
          <cell r="A11344">
            <v>45715</v>
          </cell>
          <cell r="B11344" t="str">
            <v>Dưa Leo Baby</v>
          </cell>
          <cell r="C11344" t="str">
            <v>Kg</v>
          </cell>
          <cell r="D11344">
            <v>9500</v>
          </cell>
        </row>
        <row r="11345">
          <cell r="A11345">
            <v>45715</v>
          </cell>
          <cell r="B11345" t="str">
            <v>Trái Su Su</v>
          </cell>
          <cell r="C11345" t="str">
            <v>Kg</v>
          </cell>
          <cell r="D11345">
            <v>3000</v>
          </cell>
        </row>
        <row r="11346">
          <cell r="A11346">
            <v>45715</v>
          </cell>
          <cell r="B11346" t="str">
            <v>Dưa Leo Baby</v>
          </cell>
          <cell r="C11346" t="str">
            <v>Kg</v>
          </cell>
          <cell r="D11346">
            <v>14000</v>
          </cell>
        </row>
        <row r="11347">
          <cell r="A11347">
            <v>45715</v>
          </cell>
          <cell r="B11347" t="str">
            <v>Bí Ngòi Xanh</v>
          </cell>
          <cell r="C11347" t="str">
            <v>Kg</v>
          </cell>
          <cell r="D11347">
            <v>9000</v>
          </cell>
        </row>
        <row r="11348">
          <cell r="A11348">
            <v>45715</v>
          </cell>
          <cell r="B11348" t="str">
            <v>Gia Công Rau Củ Quả</v>
          </cell>
          <cell r="C11348" t="str">
            <v>Kg</v>
          </cell>
          <cell r="D11348">
            <v>1700</v>
          </cell>
        </row>
        <row r="11349">
          <cell r="A11349">
            <v>45715</v>
          </cell>
          <cell r="B11349" t="str">
            <v>Gia Công Rau Củ Quả</v>
          </cell>
          <cell r="C11349" t="str">
            <v>Kg</v>
          </cell>
          <cell r="D11349">
            <v>1000</v>
          </cell>
        </row>
        <row r="11350">
          <cell r="A11350">
            <v>45715</v>
          </cell>
          <cell r="B11350" t="str">
            <v>Cà Chua Socola</v>
          </cell>
          <cell r="C11350" t="str">
            <v>Hộp 250GR</v>
          </cell>
          <cell r="D11350">
            <v>7500</v>
          </cell>
        </row>
        <row r="11351">
          <cell r="A11351">
            <v>45715</v>
          </cell>
          <cell r="B11351" t="str">
            <v>Dưa Leo Baby</v>
          </cell>
          <cell r="C11351" t="str">
            <v>Vỉ</v>
          </cell>
          <cell r="D11351">
            <v>7500</v>
          </cell>
        </row>
        <row r="11352">
          <cell r="A11352">
            <v>45715</v>
          </cell>
          <cell r="B11352" t="str">
            <v>Cải Kale</v>
          </cell>
          <cell r="C11352" t="str">
            <v>Túi</v>
          </cell>
          <cell r="D11352">
            <v>3300</v>
          </cell>
        </row>
        <row r="11353">
          <cell r="A11353">
            <v>45715</v>
          </cell>
          <cell r="B11353" t="str">
            <v>Lá Mè</v>
          </cell>
          <cell r="C11353" t="str">
            <v>Túi</v>
          </cell>
          <cell r="D11353">
            <v>2400</v>
          </cell>
        </row>
        <row r="11354">
          <cell r="A11354">
            <v>45715</v>
          </cell>
          <cell r="B11354" t="str">
            <v>Xà Lách Thủy Tinh T.C Cây</v>
          </cell>
          <cell r="C11354" t="str">
            <v>Cây</v>
          </cell>
          <cell r="D11354">
            <v>6800</v>
          </cell>
        </row>
        <row r="11355">
          <cell r="A11355">
            <v>45715</v>
          </cell>
          <cell r="B11355" t="str">
            <v>Xà Lách Lolo Xanh T.C Cây</v>
          </cell>
          <cell r="C11355" t="str">
            <v>Cây</v>
          </cell>
          <cell r="D11355">
            <v>6800</v>
          </cell>
        </row>
        <row r="11356">
          <cell r="A11356">
            <v>45715</v>
          </cell>
          <cell r="B11356" t="str">
            <v>Xà Lách Mỡ T.C</v>
          </cell>
          <cell r="C11356" t="str">
            <v>Kg</v>
          </cell>
          <cell r="D11356">
            <v>21000</v>
          </cell>
        </row>
        <row r="11357">
          <cell r="A11357">
            <v>45715</v>
          </cell>
          <cell r="B11357" t="str">
            <v>Xà Lách Lolo Xanh</v>
          </cell>
          <cell r="C11357" t="str">
            <v>Kg</v>
          </cell>
          <cell r="D11357">
            <v>13000</v>
          </cell>
        </row>
        <row r="11358">
          <cell r="A11358">
            <v>45715</v>
          </cell>
          <cell r="B11358" t="str">
            <v>Ớt Sweet Palemo</v>
          </cell>
          <cell r="C11358" t="str">
            <v>Túi</v>
          </cell>
          <cell r="D11358">
            <v>17000</v>
          </cell>
        </row>
        <row r="11359">
          <cell r="A11359">
            <v>45715</v>
          </cell>
          <cell r="B11359" t="str">
            <v>Sen Đá</v>
          </cell>
          <cell r="C11359" t="str">
            <v>Chậu</v>
          </cell>
          <cell r="D11359">
            <v>50000</v>
          </cell>
        </row>
        <row r="11360">
          <cell r="A11360">
            <v>45715</v>
          </cell>
          <cell r="B11360" t="str">
            <v>Sen Đá</v>
          </cell>
          <cell r="C11360" t="str">
            <v>Giỏ</v>
          </cell>
          <cell r="D11360">
            <v>70000</v>
          </cell>
        </row>
        <row r="11361">
          <cell r="A11361">
            <v>45715</v>
          </cell>
          <cell r="B11361" t="str">
            <v>Xà Lách Mỡ T.C</v>
          </cell>
          <cell r="C11361" t="str">
            <v>Kg</v>
          </cell>
          <cell r="D11361">
            <v>24000</v>
          </cell>
        </row>
        <row r="11362">
          <cell r="A11362">
            <v>45715</v>
          </cell>
          <cell r="B11362" t="str">
            <v>Xà Lách Lolo Xanh T.C</v>
          </cell>
          <cell r="C11362" t="str">
            <v>Kg</v>
          </cell>
          <cell r="D11362">
            <v>25000</v>
          </cell>
        </row>
        <row r="11363">
          <cell r="A11363">
            <v>45715</v>
          </cell>
          <cell r="B11363" t="str">
            <v>Xà Lách Thủy Tinh T.C</v>
          </cell>
          <cell r="C11363" t="str">
            <v>Kg</v>
          </cell>
          <cell r="D11363">
            <v>25000</v>
          </cell>
        </row>
        <row r="11364">
          <cell r="A11364">
            <v>45715</v>
          </cell>
          <cell r="B11364" t="str">
            <v>Cà Rốt</v>
          </cell>
          <cell r="C11364" t="str">
            <v>Kg</v>
          </cell>
          <cell r="D11364">
            <v>6800</v>
          </cell>
        </row>
        <row r="11365">
          <cell r="A11365">
            <v>45715</v>
          </cell>
          <cell r="B11365" t="str">
            <v>Cà Rốt</v>
          </cell>
          <cell r="C11365" t="str">
            <v>Kg</v>
          </cell>
          <cell r="D11365">
            <v>6000</v>
          </cell>
        </row>
        <row r="11366">
          <cell r="A11366">
            <v>45715</v>
          </cell>
          <cell r="B11366" t="str">
            <v>Đậu Cove Nhật</v>
          </cell>
          <cell r="C11366" t="str">
            <v>Túi</v>
          </cell>
          <cell r="D11366">
            <v>6000</v>
          </cell>
        </row>
        <row r="11367">
          <cell r="A11367">
            <v>45715</v>
          </cell>
          <cell r="B11367" t="str">
            <v>Đậu Cove Trắng</v>
          </cell>
          <cell r="C11367" t="str">
            <v>Túi 500gr</v>
          </cell>
          <cell r="D11367">
            <v>6500</v>
          </cell>
        </row>
        <row r="11368">
          <cell r="A11368">
            <v>45715</v>
          </cell>
          <cell r="B11368" t="str">
            <v>Xà Lách Thủy Tinh T.C Cây</v>
          </cell>
          <cell r="C11368" t="str">
            <v>Cây</v>
          </cell>
          <cell r="D11368">
            <v>5000</v>
          </cell>
        </row>
        <row r="11369">
          <cell r="A11369">
            <v>45715</v>
          </cell>
          <cell r="B11369" t="str">
            <v>Bí Ngòi Xanh</v>
          </cell>
          <cell r="C11369" t="str">
            <v>Kg</v>
          </cell>
          <cell r="D11369">
            <v>14500</v>
          </cell>
        </row>
        <row r="11370">
          <cell r="A11370">
            <v>45715</v>
          </cell>
          <cell r="B11370" t="str">
            <v>Bí Đao Xanh</v>
          </cell>
          <cell r="C11370" t="str">
            <v>Kg</v>
          </cell>
          <cell r="D11370">
            <v>14000</v>
          </cell>
        </row>
        <row r="11371">
          <cell r="A11371">
            <v>45715</v>
          </cell>
          <cell r="B11371" t="str">
            <v>Trái Khổ Qua</v>
          </cell>
          <cell r="C11371" t="str">
            <v>Kg</v>
          </cell>
          <cell r="D11371">
            <v>13000</v>
          </cell>
        </row>
        <row r="11372">
          <cell r="A11372">
            <v>45715</v>
          </cell>
          <cell r="B11372" t="str">
            <v>Xà Lách Mỹ</v>
          </cell>
          <cell r="C11372" t="str">
            <v>Kg</v>
          </cell>
          <cell r="D11372">
            <v>10000</v>
          </cell>
        </row>
        <row r="11373">
          <cell r="A11373">
            <v>45715</v>
          </cell>
          <cell r="B11373" t="str">
            <v>Hành Paro</v>
          </cell>
          <cell r="C11373" t="str">
            <v>Kg</v>
          </cell>
          <cell r="D11373">
            <v>11000</v>
          </cell>
        </row>
        <row r="11374">
          <cell r="A11374">
            <v>45715</v>
          </cell>
          <cell r="B11374" t="str">
            <v>Cà Chua Beef</v>
          </cell>
          <cell r="C11374" t="str">
            <v>Kg</v>
          </cell>
          <cell r="D11374">
            <v>17000</v>
          </cell>
        </row>
        <row r="11375">
          <cell r="A11375">
            <v>45715</v>
          </cell>
          <cell r="B11375" t="str">
            <v>Củ Hành Tây</v>
          </cell>
          <cell r="C11375" t="str">
            <v>Kg</v>
          </cell>
          <cell r="D11375">
            <v>7700</v>
          </cell>
        </row>
        <row r="11376">
          <cell r="A11376">
            <v>45715</v>
          </cell>
          <cell r="B11376" t="str">
            <v>Củ Cải Trắng</v>
          </cell>
          <cell r="C11376" t="str">
            <v>Kg</v>
          </cell>
          <cell r="D11376">
            <v>4000</v>
          </cell>
        </row>
        <row r="11377">
          <cell r="A11377">
            <v>45715</v>
          </cell>
          <cell r="B11377" t="str">
            <v>Củ Khoai Lang Nhật</v>
          </cell>
          <cell r="C11377" t="str">
            <v>Kg</v>
          </cell>
          <cell r="D11377">
            <v>16000</v>
          </cell>
        </row>
        <row r="11378">
          <cell r="A11378">
            <v>45715</v>
          </cell>
          <cell r="B11378" t="str">
            <v>Củ Su Hào</v>
          </cell>
          <cell r="C11378" t="str">
            <v>Kg</v>
          </cell>
          <cell r="D11378">
            <v>9000</v>
          </cell>
        </row>
        <row r="11379">
          <cell r="A11379">
            <v>45715</v>
          </cell>
          <cell r="B11379" t="str">
            <v>Củ Gừng</v>
          </cell>
          <cell r="C11379" t="str">
            <v>Kg</v>
          </cell>
          <cell r="D11379">
            <v>19000</v>
          </cell>
        </row>
        <row r="11380">
          <cell r="A11380">
            <v>45715</v>
          </cell>
          <cell r="B11380" t="str">
            <v>Củ Khoai Mỡ</v>
          </cell>
          <cell r="C11380" t="str">
            <v>Kg</v>
          </cell>
          <cell r="D11380">
            <v>25000</v>
          </cell>
        </row>
        <row r="11381">
          <cell r="A11381">
            <v>45715</v>
          </cell>
          <cell r="B11381" t="str">
            <v>Cà Rốt</v>
          </cell>
          <cell r="C11381" t="str">
            <v>Kg</v>
          </cell>
          <cell r="D11381">
            <v>6000</v>
          </cell>
        </row>
        <row r="11382">
          <cell r="A11382">
            <v>45715</v>
          </cell>
          <cell r="B11382" t="str">
            <v>Cà Chua Thường</v>
          </cell>
          <cell r="C11382" t="str">
            <v>Kg</v>
          </cell>
          <cell r="D11382">
            <v>17000</v>
          </cell>
        </row>
        <row r="11383">
          <cell r="A11383">
            <v>45715</v>
          </cell>
          <cell r="B11383" t="str">
            <v>Chuối Laba</v>
          </cell>
          <cell r="C11383" t="str">
            <v>Kg</v>
          </cell>
          <cell r="D11383">
            <v>14000</v>
          </cell>
        </row>
        <row r="11384">
          <cell r="A11384">
            <v>45715</v>
          </cell>
          <cell r="B11384" t="str">
            <v>Lá Nha Đam</v>
          </cell>
          <cell r="C11384" t="str">
            <v>Kg</v>
          </cell>
          <cell r="D11384">
            <v>14000</v>
          </cell>
        </row>
        <row r="11385">
          <cell r="A11385">
            <v>45715</v>
          </cell>
          <cell r="B11385" t="str">
            <v>Bí Đỏ Hồ Lô</v>
          </cell>
          <cell r="C11385" t="str">
            <v>Kg</v>
          </cell>
          <cell r="D11385">
            <v>8000</v>
          </cell>
        </row>
        <row r="11386">
          <cell r="A11386">
            <v>45715</v>
          </cell>
          <cell r="B11386" t="str">
            <v>Cà Chua Thường</v>
          </cell>
          <cell r="C11386" t="str">
            <v>Kg</v>
          </cell>
          <cell r="D11386">
            <v>15000</v>
          </cell>
        </row>
        <row r="11387">
          <cell r="A11387">
            <v>45715</v>
          </cell>
          <cell r="B11387" t="str">
            <v>Cà Chua Thường Trung</v>
          </cell>
          <cell r="C11387" t="str">
            <v>Kg</v>
          </cell>
          <cell r="D11387">
            <v>10000</v>
          </cell>
        </row>
        <row r="11388">
          <cell r="A11388">
            <v>45715</v>
          </cell>
          <cell r="B11388" t="str">
            <v>Ớt Sweet Palemo</v>
          </cell>
          <cell r="C11388" t="str">
            <v>Túi</v>
          </cell>
          <cell r="D11388">
            <v>16000</v>
          </cell>
        </row>
        <row r="11389">
          <cell r="A11389">
            <v>45715</v>
          </cell>
          <cell r="B11389" t="str">
            <v>Cà Chua Beef Chùm</v>
          </cell>
          <cell r="C11389" t="str">
            <v>Kg</v>
          </cell>
          <cell r="D11389">
            <v>17000</v>
          </cell>
        </row>
        <row r="11390">
          <cell r="A11390">
            <v>45715</v>
          </cell>
          <cell r="B11390" t="str">
            <v>Cà Chua Beef</v>
          </cell>
          <cell r="C11390" t="str">
            <v>Kg</v>
          </cell>
          <cell r="D11390">
            <v>14000</v>
          </cell>
        </row>
        <row r="11391">
          <cell r="A11391">
            <v>45715</v>
          </cell>
          <cell r="B11391" t="str">
            <v>Cà Chua Beef</v>
          </cell>
          <cell r="C11391" t="str">
            <v>Vỉ 650gr</v>
          </cell>
          <cell r="D11391">
            <v>12350</v>
          </cell>
        </row>
        <row r="11392">
          <cell r="A11392">
            <v>45715</v>
          </cell>
          <cell r="B11392" t="str">
            <v>Cà Chua Bi Mix</v>
          </cell>
          <cell r="C11392" t="str">
            <v>Hộp</v>
          </cell>
          <cell r="D11392">
            <v>12000</v>
          </cell>
        </row>
        <row r="11393">
          <cell r="A11393">
            <v>45715</v>
          </cell>
          <cell r="B11393" t="str">
            <v>Cà Chua Socola</v>
          </cell>
          <cell r="C11393" t="str">
            <v>Hộp 300gr</v>
          </cell>
          <cell r="D11393">
            <v>12000</v>
          </cell>
        </row>
        <row r="11394">
          <cell r="A11394">
            <v>45715</v>
          </cell>
          <cell r="B11394" t="str">
            <v>Cải Kale</v>
          </cell>
          <cell r="C11394" t="str">
            <v>Túi</v>
          </cell>
          <cell r="D11394">
            <v>4200</v>
          </cell>
        </row>
        <row r="11395">
          <cell r="A11395">
            <v>45715</v>
          </cell>
          <cell r="B11395" t="str">
            <v>Chanh Không Hạt</v>
          </cell>
          <cell r="C11395" t="str">
            <v>Vỉ</v>
          </cell>
          <cell r="D11395">
            <v>8000</v>
          </cell>
        </row>
        <row r="11396">
          <cell r="A11396">
            <v>45715</v>
          </cell>
          <cell r="B11396" t="str">
            <v>Ớt Chuông Đỏ</v>
          </cell>
          <cell r="C11396" t="str">
            <v>Kg</v>
          </cell>
          <cell r="D11396">
            <v>20000</v>
          </cell>
        </row>
        <row r="11397">
          <cell r="A11397">
            <v>45715</v>
          </cell>
          <cell r="B11397" t="str">
            <v>Ớt Chuông Vàng</v>
          </cell>
          <cell r="C11397" t="str">
            <v>Kg</v>
          </cell>
          <cell r="D11397">
            <v>23000</v>
          </cell>
        </row>
        <row r="11398">
          <cell r="A11398">
            <v>45715</v>
          </cell>
          <cell r="B11398" t="str">
            <v>Ớt Chuông Xanh</v>
          </cell>
          <cell r="C11398" t="str">
            <v>Kg</v>
          </cell>
          <cell r="D11398">
            <v>27000</v>
          </cell>
        </row>
        <row r="11399">
          <cell r="A11399">
            <v>45715</v>
          </cell>
          <cell r="B11399" t="str">
            <v>Cải Bó Xôi</v>
          </cell>
          <cell r="C11399" t="str">
            <v>Túi</v>
          </cell>
          <cell r="D11399">
            <v>9300</v>
          </cell>
        </row>
        <row r="11400">
          <cell r="A11400">
            <v>45715</v>
          </cell>
          <cell r="B11400" t="str">
            <v>Củ Cải Trắng</v>
          </cell>
          <cell r="C11400" t="str">
            <v>Kg</v>
          </cell>
          <cell r="D11400">
            <v>4500</v>
          </cell>
        </row>
        <row r="11401">
          <cell r="A11401">
            <v>45715</v>
          </cell>
          <cell r="B11401" t="str">
            <v>Cà Chua Bi Đỏ</v>
          </cell>
          <cell r="C11401" t="str">
            <v>Hộp 500gr</v>
          </cell>
          <cell r="D11401">
            <v>10000</v>
          </cell>
        </row>
        <row r="11402">
          <cell r="A11402">
            <v>45715</v>
          </cell>
          <cell r="B11402" t="str">
            <v>Cà Chua Bi Đỏ</v>
          </cell>
          <cell r="C11402" t="str">
            <v>Hộp 300gr</v>
          </cell>
          <cell r="D11402">
            <v>6000</v>
          </cell>
        </row>
        <row r="11403">
          <cell r="A11403">
            <v>45715</v>
          </cell>
          <cell r="B11403" t="str">
            <v>Ớt Chuông Đỏ</v>
          </cell>
          <cell r="C11403" t="str">
            <v>Kg</v>
          </cell>
          <cell r="D11403">
            <v>24000</v>
          </cell>
        </row>
        <row r="11404">
          <cell r="A11404">
            <v>45715</v>
          </cell>
          <cell r="B11404" t="str">
            <v>Ớt Chuông Vàng</v>
          </cell>
          <cell r="C11404" t="str">
            <v>Kg</v>
          </cell>
          <cell r="D11404">
            <v>26000</v>
          </cell>
        </row>
        <row r="11405">
          <cell r="A11405">
            <v>45715</v>
          </cell>
          <cell r="B11405" t="str">
            <v>Ớt Chuông Xanh</v>
          </cell>
          <cell r="C11405" t="str">
            <v>Kg</v>
          </cell>
          <cell r="D11405">
            <v>30000</v>
          </cell>
        </row>
        <row r="11406">
          <cell r="A11406">
            <v>45715</v>
          </cell>
          <cell r="B11406" t="str">
            <v>Ớt Chuông Baby</v>
          </cell>
          <cell r="C11406" t="str">
            <v>Kg</v>
          </cell>
          <cell r="D11406">
            <v>28000</v>
          </cell>
        </row>
        <row r="11407">
          <cell r="A11407">
            <v>45715</v>
          </cell>
          <cell r="B11407" t="str">
            <v>Ớt Chuông Snack</v>
          </cell>
          <cell r="C11407" t="str">
            <v>Kg</v>
          </cell>
          <cell r="D11407">
            <v>50000</v>
          </cell>
        </row>
        <row r="11408">
          <cell r="A11408">
            <v>45715</v>
          </cell>
          <cell r="B11408" t="str">
            <v>Bắp Cải Tím</v>
          </cell>
          <cell r="C11408" t="str">
            <v>Kg</v>
          </cell>
          <cell r="D11408">
            <v>18000</v>
          </cell>
        </row>
        <row r="11409">
          <cell r="A11409">
            <v>45715</v>
          </cell>
          <cell r="B11409" t="str">
            <v>Cà Chua Beef</v>
          </cell>
          <cell r="C11409" t="str">
            <v>Kg</v>
          </cell>
          <cell r="D11409">
            <v>16000</v>
          </cell>
        </row>
        <row r="11410">
          <cell r="A11410">
            <v>45715</v>
          </cell>
          <cell r="B11410" t="str">
            <v>Dưa Leo Thường</v>
          </cell>
          <cell r="C11410" t="str">
            <v>Kg</v>
          </cell>
          <cell r="D11410">
            <v>15000</v>
          </cell>
        </row>
        <row r="11411">
          <cell r="A11411">
            <v>45715</v>
          </cell>
          <cell r="B11411" t="str">
            <v>Dưa Leo Baby</v>
          </cell>
          <cell r="C11411" t="str">
            <v>Vỉ</v>
          </cell>
          <cell r="D11411">
            <v>9000</v>
          </cell>
        </row>
        <row r="11412">
          <cell r="A11412">
            <v>45715</v>
          </cell>
          <cell r="B11412" t="str">
            <v>Dưa Leo Nhật</v>
          </cell>
          <cell r="C11412" t="str">
            <v>Kg</v>
          </cell>
          <cell r="D11412">
            <v>15000</v>
          </cell>
        </row>
        <row r="11413">
          <cell r="A11413">
            <v>45715</v>
          </cell>
          <cell r="B11413" t="str">
            <v>Bí Non Nhật</v>
          </cell>
          <cell r="C11413" t="str">
            <v>Kg</v>
          </cell>
          <cell r="D11413">
            <v>15000</v>
          </cell>
        </row>
        <row r="11414">
          <cell r="A11414">
            <v>45715</v>
          </cell>
          <cell r="B11414" t="str">
            <v>Đậu Cove Trắng</v>
          </cell>
          <cell r="C11414" t="str">
            <v>Túi 300gr</v>
          </cell>
          <cell r="D11414">
            <v>5500</v>
          </cell>
        </row>
        <row r="11415">
          <cell r="A11415">
            <v>45715</v>
          </cell>
          <cell r="B11415" t="str">
            <v>Lá Tía Tô</v>
          </cell>
          <cell r="C11415" t="str">
            <v>Kg</v>
          </cell>
          <cell r="D11415">
            <v>32000</v>
          </cell>
        </row>
        <row r="11416">
          <cell r="A11416">
            <v>45715</v>
          </cell>
          <cell r="B11416" t="str">
            <v>Đậu Cove Trắng</v>
          </cell>
          <cell r="C11416" t="str">
            <v>Túi 500gr</v>
          </cell>
          <cell r="D11416">
            <v>8500</v>
          </cell>
        </row>
        <row r="11417">
          <cell r="A11417">
            <v>45715</v>
          </cell>
          <cell r="B11417" t="str">
            <v>Củ Khoai Lang Nhật</v>
          </cell>
          <cell r="C11417" t="str">
            <v>Kg</v>
          </cell>
          <cell r="D11417">
            <v>14800</v>
          </cell>
        </row>
        <row r="11418">
          <cell r="A11418">
            <v>45715</v>
          </cell>
          <cell r="B11418" t="str">
            <v>Cà Tím</v>
          </cell>
          <cell r="C11418" t="str">
            <v>Kg</v>
          </cell>
          <cell r="D11418">
            <v>8000</v>
          </cell>
        </row>
        <row r="11419">
          <cell r="A11419">
            <v>45715</v>
          </cell>
          <cell r="B11419" t="str">
            <v>Trái Su Su</v>
          </cell>
          <cell r="C11419" t="str">
            <v>Kg</v>
          </cell>
          <cell r="D11419">
            <v>8000</v>
          </cell>
        </row>
        <row r="11420">
          <cell r="A11420">
            <v>45715</v>
          </cell>
          <cell r="B11420" t="str">
            <v>Xà Lách Mỡ T.C</v>
          </cell>
          <cell r="C11420" t="str">
            <v>Kg</v>
          </cell>
          <cell r="D11420">
            <v>26000</v>
          </cell>
        </row>
        <row r="11421">
          <cell r="A11421">
            <v>45715</v>
          </cell>
          <cell r="B11421" t="str">
            <v>Xà Lách Lolo Xanh T.C</v>
          </cell>
          <cell r="C11421" t="str">
            <v>Kg</v>
          </cell>
          <cell r="D11421">
            <v>26000</v>
          </cell>
        </row>
        <row r="11422">
          <cell r="A11422">
            <v>45715</v>
          </cell>
          <cell r="B11422" t="str">
            <v>Xà Lách Thủy Tinh T.C Cây</v>
          </cell>
          <cell r="C11422" t="str">
            <v>Cây</v>
          </cell>
          <cell r="D11422">
            <v>7500</v>
          </cell>
        </row>
        <row r="11423">
          <cell r="A11423">
            <v>45715</v>
          </cell>
          <cell r="B11423" t="str">
            <v>Bí Ngòi Xanh</v>
          </cell>
          <cell r="C11423" t="str">
            <v>Kg</v>
          </cell>
          <cell r="D11423">
            <v>13000</v>
          </cell>
        </row>
        <row r="11424">
          <cell r="A11424">
            <v>45715</v>
          </cell>
          <cell r="B11424" t="str">
            <v>Cải Thảo</v>
          </cell>
          <cell r="C11424" t="str">
            <v>Kg</v>
          </cell>
          <cell r="D11424">
            <v>5000</v>
          </cell>
        </row>
        <row r="11425">
          <cell r="A11425">
            <v>45715</v>
          </cell>
          <cell r="B11425" t="str">
            <v>Cần Tây</v>
          </cell>
          <cell r="C11425" t="str">
            <v>Kg</v>
          </cell>
          <cell r="D11425">
            <v>10000</v>
          </cell>
        </row>
        <row r="11426">
          <cell r="A11426">
            <v>45715</v>
          </cell>
          <cell r="B11426" t="str">
            <v>Măng Tây</v>
          </cell>
          <cell r="C11426" t="str">
            <v>Kg</v>
          </cell>
          <cell r="D11426">
            <v>47769</v>
          </cell>
        </row>
        <row r="11427">
          <cell r="A11427">
            <v>45715</v>
          </cell>
          <cell r="B11427" t="str">
            <v>Măng Tây</v>
          </cell>
          <cell r="C11427" t="str">
            <v>Kg</v>
          </cell>
          <cell r="D11427">
            <v>35000</v>
          </cell>
        </row>
        <row r="11428">
          <cell r="A11428">
            <v>45715</v>
          </cell>
          <cell r="B11428" t="str">
            <v>Lá É</v>
          </cell>
          <cell r="C11428" t="str">
            <v>Kg</v>
          </cell>
          <cell r="D11428">
            <v>25000</v>
          </cell>
        </row>
        <row r="11429">
          <cell r="A11429">
            <v>45715</v>
          </cell>
          <cell r="B11429" t="str">
            <v>Bắp Cải Trái Tim</v>
          </cell>
          <cell r="C11429" t="str">
            <v>Kg</v>
          </cell>
          <cell r="D11429">
            <v>6000</v>
          </cell>
        </row>
        <row r="11430">
          <cell r="A11430">
            <v>45715</v>
          </cell>
          <cell r="B11430" t="str">
            <v>Cà Rốt Baby</v>
          </cell>
          <cell r="C11430" t="str">
            <v>Vỉ</v>
          </cell>
          <cell r="D11430">
            <v>6000</v>
          </cell>
        </row>
        <row r="11431">
          <cell r="A11431">
            <v>45715</v>
          </cell>
          <cell r="B11431" t="str">
            <v>Xà Lách Lolo Xanh</v>
          </cell>
          <cell r="C11431" t="str">
            <v>Kg</v>
          </cell>
          <cell r="D11431">
            <v>12000</v>
          </cell>
        </row>
        <row r="11432">
          <cell r="A11432">
            <v>45715</v>
          </cell>
          <cell r="B11432" t="str">
            <v>Cải Kale</v>
          </cell>
          <cell r="C11432" t="str">
            <v>Túi</v>
          </cell>
          <cell r="D11432">
            <v>3300</v>
          </cell>
        </row>
        <row r="11433">
          <cell r="A11433">
            <v>45715</v>
          </cell>
          <cell r="B11433" t="str">
            <v>Cải Kale</v>
          </cell>
          <cell r="C11433" t="str">
            <v>Túi 150gr</v>
          </cell>
          <cell r="D11433">
            <v>1900</v>
          </cell>
        </row>
        <row r="11434">
          <cell r="A11434">
            <v>45715</v>
          </cell>
          <cell r="B11434" t="str">
            <v>Lá Mè</v>
          </cell>
          <cell r="C11434" t="str">
            <v>Túi</v>
          </cell>
          <cell r="D11434">
            <v>2500</v>
          </cell>
        </row>
        <row r="11435">
          <cell r="A11435">
            <v>45715</v>
          </cell>
          <cell r="B11435" t="str">
            <v>Dưa Leo Baby</v>
          </cell>
          <cell r="C11435" t="str">
            <v>Vỉ</v>
          </cell>
          <cell r="D11435">
            <v>10000</v>
          </cell>
        </row>
        <row r="11436">
          <cell r="A11436">
            <v>45715</v>
          </cell>
          <cell r="B11436" t="str">
            <v>Củ Cải Đỏ</v>
          </cell>
          <cell r="C11436" t="str">
            <v>Hộp</v>
          </cell>
          <cell r="D11436">
            <v>10000</v>
          </cell>
        </row>
        <row r="11437">
          <cell r="A11437">
            <v>45715</v>
          </cell>
          <cell r="B11437" t="str">
            <v>Ớt Sweet Palemo</v>
          </cell>
          <cell r="C11437" t="str">
            <v>Túi</v>
          </cell>
          <cell r="D11437">
            <v>16000</v>
          </cell>
        </row>
        <row r="11438">
          <cell r="A11438">
            <v>45715</v>
          </cell>
          <cell r="B11438" t="str">
            <v>Lá Hương Thảo</v>
          </cell>
          <cell r="C11438" t="str">
            <v>Kg</v>
          </cell>
          <cell r="D11438">
            <v>130000</v>
          </cell>
        </row>
        <row r="11439">
          <cell r="A11439">
            <v>45715</v>
          </cell>
          <cell r="B11439" t="str">
            <v>Lá Quế Tây</v>
          </cell>
          <cell r="C11439" t="str">
            <v>Kg</v>
          </cell>
          <cell r="D11439">
            <v>80000</v>
          </cell>
        </row>
        <row r="11440">
          <cell r="A11440">
            <v>45715</v>
          </cell>
          <cell r="B11440" t="str">
            <v>Bông Cải Xanh Baby</v>
          </cell>
          <cell r="C11440" t="str">
            <v>Vỉ</v>
          </cell>
          <cell r="D11440">
            <v>6000</v>
          </cell>
        </row>
        <row r="11441">
          <cell r="A11441">
            <v>45715</v>
          </cell>
          <cell r="B11441" t="str">
            <v>Cà Chua Beef Trung</v>
          </cell>
          <cell r="C11441" t="str">
            <v>Vỉ 500gr</v>
          </cell>
          <cell r="D11441">
            <v>8500</v>
          </cell>
        </row>
        <row r="11442">
          <cell r="A11442">
            <v>45716</v>
          </cell>
          <cell r="B11442" t="str">
            <v>DO 0.05S-II</v>
          </cell>
          <cell r="C11442" t="str">
            <v>Lít</v>
          </cell>
          <cell r="D11442">
            <v>17563.64</v>
          </cell>
        </row>
        <row r="11443">
          <cell r="A11443">
            <v>45716</v>
          </cell>
          <cell r="B11443" t="str">
            <v>DO 0.05S-II</v>
          </cell>
          <cell r="C11443" t="str">
            <v>Lít</v>
          </cell>
          <cell r="D11443">
            <v>17563.64</v>
          </cell>
        </row>
        <row r="11444">
          <cell r="A11444">
            <v>45716</v>
          </cell>
          <cell r="B11444" t="str">
            <v>Chi phí vận chuyển HN city</v>
          </cell>
          <cell r="C11444" t="str">
            <v>Tháng</v>
          </cell>
          <cell r="D11444">
            <v>0</v>
          </cell>
        </row>
        <row r="11445">
          <cell r="A11445">
            <v>45716</v>
          </cell>
          <cell r="B11445" t="str">
            <v>Tiền công sửa chữa</v>
          </cell>
          <cell r="C11445" t="str">
            <v>Lần</v>
          </cell>
          <cell r="D11445">
            <v>3030000</v>
          </cell>
        </row>
        <row r="11446">
          <cell r="A11446">
            <v>45716</v>
          </cell>
          <cell r="B11446" t="str">
            <v>Tiền công sửa chữa</v>
          </cell>
          <cell r="C11446" t="str">
            <v>Lần</v>
          </cell>
          <cell r="D11446">
            <v>380000</v>
          </cell>
        </row>
        <row r="11447">
          <cell r="A11447">
            <v>45716</v>
          </cell>
          <cell r="B11447" t="str">
            <v>Tiền công sửa chữa</v>
          </cell>
          <cell r="C11447" t="str">
            <v>Lần</v>
          </cell>
          <cell r="D11447">
            <v>1610000</v>
          </cell>
        </row>
        <row r="11448">
          <cell r="A11448">
            <v>45716</v>
          </cell>
          <cell r="B11448" t="str">
            <v>Tiền công sửa chữa</v>
          </cell>
          <cell r="C11448" t="str">
            <v>Lần</v>
          </cell>
          <cell r="D11448">
            <v>1330000</v>
          </cell>
        </row>
        <row r="11449">
          <cell r="A11449">
            <v>45716</v>
          </cell>
          <cell r="B11449" t="str">
            <v>Tiền công sửa chữa</v>
          </cell>
          <cell r="C11449" t="str">
            <v>Lần</v>
          </cell>
          <cell r="D11449">
            <v>2330000</v>
          </cell>
        </row>
        <row r="11450">
          <cell r="A11450">
            <v>45716</v>
          </cell>
          <cell r="B11450" t="str">
            <v>Tiền công sửa chữa</v>
          </cell>
          <cell r="C11450" t="str">
            <v>Lần</v>
          </cell>
          <cell r="D11450">
            <v>1660000</v>
          </cell>
        </row>
        <row r="11451">
          <cell r="A11451">
            <v>45716</v>
          </cell>
          <cell r="B11451" t="str">
            <v>Tiền công sửa chữa</v>
          </cell>
          <cell r="C11451" t="str">
            <v>Lần</v>
          </cell>
          <cell r="D11451">
            <v>5610000</v>
          </cell>
        </row>
        <row r="11452">
          <cell r="A11452">
            <v>45716</v>
          </cell>
          <cell r="B11452" t="str">
            <v>Cước vận chuyển hàng hóa Đà Lạt - Hà Nội</v>
          </cell>
          <cell r="C11452" t="str">
            <v/>
          </cell>
          <cell r="D11452">
            <v>161505000</v>
          </cell>
        </row>
        <row r="11453">
          <cell r="A11453">
            <v>45716</v>
          </cell>
          <cell r="B11453" t="str">
            <v xml:space="preserve">Cước vận chuyển Long Biên </v>
          </cell>
          <cell r="C11453" t="str">
            <v/>
          </cell>
          <cell r="D11453">
            <v>2900000</v>
          </cell>
        </row>
        <row r="11454">
          <cell r="A11454">
            <v>45716</v>
          </cell>
          <cell r="B11454" t="str">
            <v>Cước vận chuyển Đà Lạt - Hồ Chí Minh chuyến 1</v>
          </cell>
          <cell r="C11454" t="str">
            <v/>
          </cell>
          <cell r="D11454">
            <v>1900000</v>
          </cell>
        </row>
        <row r="11455">
          <cell r="A11455">
            <v>45716</v>
          </cell>
          <cell r="B11455" t="str">
            <v>Cước vận chuyển Hồ Chí Minh - Đà Lạt chuyến 2</v>
          </cell>
          <cell r="C11455" t="str">
            <v/>
          </cell>
          <cell r="D11455">
            <v>1550000</v>
          </cell>
        </row>
        <row r="11456">
          <cell r="A11456">
            <v>45716</v>
          </cell>
          <cell r="B11456" t="str">
            <v>Cước vận chuyển Đà Lạt - Hồ Chí Minh chuyến 3</v>
          </cell>
          <cell r="C11456" t="str">
            <v/>
          </cell>
          <cell r="D11456">
            <v>1050000</v>
          </cell>
        </row>
        <row r="11457">
          <cell r="A11457">
            <v>45716</v>
          </cell>
          <cell r="B11457" t="str">
            <v>Dầu DO 0,001S</v>
          </cell>
          <cell r="C11457" t="str">
            <v/>
          </cell>
          <cell r="D11457">
            <v>17945.45</v>
          </cell>
        </row>
        <row r="11458">
          <cell r="A11458">
            <v>45716</v>
          </cell>
          <cell r="B11458" t="str">
            <v>DO 0.05S-II</v>
          </cell>
          <cell r="C11458" t="str">
            <v>Lít</v>
          </cell>
          <cell r="D11458">
            <v>17563.64</v>
          </cell>
        </row>
        <row r="11459">
          <cell r="A11459">
            <v>45716</v>
          </cell>
          <cell r="B11459" t="str">
            <v>DO 0.05S-II</v>
          </cell>
          <cell r="C11459" t="str">
            <v>Lít</v>
          </cell>
          <cell r="D11459">
            <v>17563.64</v>
          </cell>
        </row>
        <row r="11460">
          <cell r="A11460">
            <v>45716</v>
          </cell>
          <cell r="B11460" t="str">
            <v>DO 0.05S-II</v>
          </cell>
          <cell r="C11460" t="str">
            <v>Lít</v>
          </cell>
          <cell r="D11460">
            <v>17563.64</v>
          </cell>
        </row>
        <row r="11461">
          <cell r="A11461">
            <v>45716</v>
          </cell>
          <cell r="B11461" t="str">
            <v>Dịch vụ thu gom, vận chuyển rác thải sinh hoạt tháng 01/2025, 02/2025, 03/2025</v>
          </cell>
          <cell r="C11461" t="str">
            <v>Tháng</v>
          </cell>
          <cell r="D11461">
            <v>2272727</v>
          </cell>
        </row>
        <row r="11462">
          <cell r="A11462">
            <v>45716</v>
          </cell>
          <cell r="B11462" t="str">
            <v>Dịch vụ thu gom, vận chuyển rác thải sinh hoạt tháng 01/2025, 02/2025, 03/2025</v>
          </cell>
          <cell r="C11462" t="str">
            <v>Tháng</v>
          </cell>
          <cell r="D11462">
            <v>2272727</v>
          </cell>
        </row>
        <row r="11463">
          <cell r="A11463">
            <v>45716</v>
          </cell>
          <cell r="B11463" t="str">
            <v>Dịch vụ thu gom, vận chuyển rác thải sinh hoạt tháng 01/2025, 02/2025, 03/2025</v>
          </cell>
          <cell r="C11463" t="str">
            <v>Tháng</v>
          </cell>
          <cell r="D11463">
            <v>2272727</v>
          </cell>
        </row>
        <row r="11464">
          <cell r="A11464">
            <v>45716</v>
          </cell>
          <cell r="B11464" t="str">
            <v>Phí dịch vụ cung ứng lao động tháng 2/2025</v>
          </cell>
          <cell r="C11464" t="str">
            <v>Tháng</v>
          </cell>
          <cell r="D11464">
            <v>7307438</v>
          </cell>
        </row>
        <row r="11465">
          <cell r="A11465">
            <v>45716</v>
          </cell>
          <cell r="B11465" t="str">
            <v>Dịch vụ  Hỗ trợ làm hồ sơ khám sức khỏe (Bổ sung) 27-02-2025</v>
          </cell>
          <cell r="C11465" t="str">
            <v/>
          </cell>
          <cell r="D11465">
            <v>92593</v>
          </cell>
        </row>
        <row r="11466">
          <cell r="A11466">
            <v>45716</v>
          </cell>
          <cell r="B11466" t="str">
            <v>Cước đường bộ phương tiện 49H00466, Loại 3, đi qua trạm Định An. Thời gian giao dịch: 04/02/2025 19:40:40, mã GD 1629192667</v>
          </cell>
          <cell r="C11466" t="str">
            <v>Lần</v>
          </cell>
          <cell r="D11466">
            <v>45370.37</v>
          </cell>
        </row>
        <row r="11467">
          <cell r="A11467">
            <v>45716</v>
          </cell>
          <cell r="B11467" t="str">
            <v>Cước đường bộ phương tiện 49H00466, Loại 3, đi qua trạm Liên Đầm. Thời gian giao dịch: 04/02/2025 21:30:59, mã GD 2233785415775609690</v>
          </cell>
          <cell r="C11467" t="str">
            <v>Lần</v>
          </cell>
          <cell r="D11467">
            <v>78703.7</v>
          </cell>
        </row>
        <row r="11468">
          <cell r="A11468">
            <v>45716</v>
          </cell>
          <cell r="B11468" t="str">
            <v>Cước đường bộ phương tiện 49H00466, Loại 3, đi qua trạm Xa Lộ - Hà Nội. Thời gian giao dịch: 05/02/2025 02:17:02, mã GD 1629472118</v>
          </cell>
          <cell r="C11468" t="str">
            <v>Lần</v>
          </cell>
          <cell r="D11468">
            <v>50000</v>
          </cell>
        </row>
        <row r="11469">
          <cell r="A11469">
            <v>45716</v>
          </cell>
          <cell r="B11469" t="str">
            <v>Cước đường bộ phương tiện 49H00466, Loại 2, đi qua trạm Becamex Vĩnh Phú. Thời gian giao dịch: 05/02/2025 05:46:46, mã GD 1629591099</v>
          </cell>
          <cell r="C11469" t="str">
            <v>Lần</v>
          </cell>
          <cell r="D11469">
            <v>16363.89</v>
          </cell>
        </row>
        <row r="11470">
          <cell r="A11470">
            <v>45716</v>
          </cell>
          <cell r="B11470" t="str">
            <v>Cước đường bộ phương tiện 49H00466, Loại 3, đi qua trạm Liên Đầm. Thời gian giao dịch: 05/02/2025 13:19:27, mã GD 2233785415775977156</v>
          </cell>
          <cell r="C11470" t="str">
            <v>Lần</v>
          </cell>
          <cell r="D11470">
            <v>78703.7</v>
          </cell>
        </row>
        <row r="11471">
          <cell r="A11471">
            <v>45716</v>
          </cell>
          <cell r="B11471" t="str">
            <v>Cước đường bộ phương tiện 49H00466, Loại 3, đi qua trạm Định An. Thời gian giao dịch: 05/02/2025 15:26:54, mã GD 1630486497</v>
          </cell>
          <cell r="C11471" t="str">
            <v>Lần</v>
          </cell>
          <cell r="D11471">
            <v>45370.37</v>
          </cell>
        </row>
        <row r="11472">
          <cell r="A11472">
            <v>45716</v>
          </cell>
          <cell r="B11472" t="str">
            <v>Cước đường bộ phương tiện 49H00466, Loại 3, đi qua trạm Định An. Thời gian giao dịch: 06/02/2025 08:24:19, mã GD 1631438897</v>
          </cell>
          <cell r="C11472" t="str">
            <v>Lần</v>
          </cell>
          <cell r="D11472">
            <v>45370.37</v>
          </cell>
        </row>
        <row r="11473">
          <cell r="A11473">
            <v>45716</v>
          </cell>
          <cell r="B11473" t="str">
            <v>Cước đường bộ phương tiện 49H00466, Loại 3, đi qua trạm Định An. Thời gian giao dịch: 06/02/2025 14:41:37, mã GD 1632024630</v>
          </cell>
          <cell r="C11473" t="str">
            <v>Lần</v>
          </cell>
          <cell r="D11473">
            <v>45370.37</v>
          </cell>
        </row>
        <row r="11474">
          <cell r="A11474">
            <v>45716</v>
          </cell>
          <cell r="B11474" t="str">
            <v>Cước đường bộ phương tiện 49H00466, Loại 3, đi qua trạm Định An. Thời gian giao dịch: 07/02/2025 06:15:53, mã GD 1633042351</v>
          </cell>
          <cell r="C11474" t="str">
            <v>Lần</v>
          </cell>
          <cell r="D11474">
            <v>45370.37</v>
          </cell>
        </row>
        <row r="11475">
          <cell r="A11475">
            <v>45716</v>
          </cell>
          <cell r="B11475" t="str">
            <v>Cước đường bộ phương tiện 49H00466, Loại 3, đi qua trạm Định An. Thời gian giao dịch: 07/02/2025 13:28:36, mã GD 1633686282</v>
          </cell>
          <cell r="C11475" t="str">
            <v>Lần</v>
          </cell>
          <cell r="D11475">
            <v>45370.37</v>
          </cell>
        </row>
        <row r="11476">
          <cell r="A11476">
            <v>45716</v>
          </cell>
          <cell r="B11476" t="str">
            <v>Cước đường bộ phương tiện 49H00466, Loại 3, đi qua trạm Định An. Thời gian giao dịch: 08/02/2025 06:10:34, mã GD 1634708063</v>
          </cell>
          <cell r="C11476" t="str">
            <v>Lần</v>
          </cell>
          <cell r="D11476">
            <v>45370.37</v>
          </cell>
        </row>
        <row r="11477">
          <cell r="A11477">
            <v>45716</v>
          </cell>
          <cell r="B11477" t="str">
            <v>Cước đường bộ phương tiện 49H00466, Loại 3, đi qua trạm Định An. Thời gian giao dịch: 08/02/2025 12:10:31, mã GD 1635282386</v>
          </cell>
          <cell r="C11477" t="str">
            <v>Lần</v>
          </cell>
          <cell r="D11477">
            <v>45370.37</v>
          </cell>
        </row>
        <row r="11478">
          <cell r="A11478">
            <v>45716</v>
          </cell>
          <cell r="B11478" t="str">
            <v>Cước đường bộ phương tiện 49H00466, Loại 3, đi qua trạm Định An. Thời gian giao dịch: 09/02/2025 11:01:56, mã GD 1636838952</v>
          </cell>
          <cell r="C11478" t="str">
            <v>Lần</v>
          </cell>
          <cell r="D11478">
            <v>45370.37</v>
          </cell>
        </row>
        <row r="11479">
          <cell r="A11479">
            <v>45716</v>
          </cell>
          <cell r="B11479" t="str">
            <v>Cước đường bộ phương tiện 49H00466, Loại 3, đi qua trạm Định An. Thời gian giao dịch: 09/02/2025 15:56:11, mã GD 1637331916</v>
          </cell>
          <cell r="C11479" t="str">
            <v>Lần</v>
          </cell>
          <cell r="D11479">
            <v>45370.37</v>
          </cell>
        </row>
        <row r="11480">
          <cell r="A11480">
            <v>45716</v>
          </cell>
          <cell r="B11480" t="str">
            <v>Cước đường bộ phương tiện 49H00466, Loại 3, đi qua trạm Định An. Thời gian giao dịch: 10/02/2025 10:02:20, mã GD 1638422037</v>
          </cell>
          <cell r="C11480" t="str">
            <v>Lần</v>
          </cell>
          <cell r="D11480">
            <v>45370.37</v>
          </cell>
        </row>
        <row r="11481">
          <cell r="A11481">
            <v>45716</v>
          </cell>
          <cell r="B11481" t="str">
            <v>Cước đường bộ phương tiện 49H00466, Loại 3, đi qua trạm Định An. Thời gian giao dịch: 10/02/2025 15:37:43, mã GD 1638909172</v>
          </cell>
          <cell r="C11481" t="str">
            <v>Lần</v>
          </cell>
          <cell r="D11481">
            <v>45370.37</v>
          </cell>
        </row>
        <row r="11482">
          <cell r="A11482">
            <v>45716</v>
          </cell>
          <cell r="B11482" t="str">
            <v>Cước đường bộ phương tiện 49H00466, Loại 3, đi qua trạm Định An. Thời gian giao dịch: 12/02/2025 06:12:55, mã GD 1641072233</v>
          </cell>
          <cell r="C11482" t="str">
            <v>Lần</v>
          </cell>
          <cell r="D11482">
            <v>45370.37</v>
          </cell>
        </row>
        <row r="11483">
          <cell r="A11483">
            <v>45716</v>
          </cell>
          <cell r="B11483" t="str">
            <v>Cước đường bộ phương tiện 49H00466, Loại 3, đi qua trạm Định An. Thời gian giao dịch: 12/02/2025 15:11:12, mã GD 1641802414</v>
          </cell>
          <cell r="C11483" t="str">
            <v>Lần</v>
          </cell>
          <cell r="D11483">
            <v>45370.37</v>
          </cell>
        </row>
        <row r="11484">
          <cell r="A11484">
            <v>45716</v>
          </cell>
          <cell r="B11484" t="str">
            <v>Cước đường bộ phương tiện 49H00466, Loại 3, đi qua trạm Định An. Thời gian giao dịch: 14/02/2025 06:13:51, mã GD 1644140247</v>
          </cell>
          <cell r="C11484" t="str">
            <v>Lần</v>
          </cell>
          <cell r="D11484">
            <v>45370.37</v>
          </cell>
        </row>
        <row r="11485">
          <cell r="A11485">
            <v>45716</v>
          </cell>
          <cell r="B11485" t="str">
            <v>Cước đường bộ phương tiện 49H00466, Loại 3, đi qua trạm Định An. Thời gian giao dịch: 14/02/2025 14:52:32, mã GD 1644898340</v>
          </cell>
          <cell r="C11485" t="str">
            <v>Lần</v>
          </cell>
          <cell r="D11485">
            <v>45370.37</v>
          </cell>
        </row>
        <row r="11486">
          <cell r="A11486">
            <v>45716</v>
          </cell>
          <cell r="B11486" t="str">
            <v>Cước đường bộ phương tiện 49H00466, Loại 3, đi qua trạm Định An. Thời gian giao dịch: 15/02/2025 06:09:05, mã GD 1645768344</v>
          </cell>
          <cell r="C11486" t="str">
            <v>Lần</v>
          </cell>
          <cell r="D11486">
            <v>45370.37</v>
          </cell>
        </row>
        <row r="11487">
          <cell r="A11487">
            <v>45716</v>
          </cell>
          <cell r="B11487" t="str">
            <v>Cước đường bộ phương tiện 49H00466, Loại 3, đi qua trạm Định An. Thời gian giao dịch: 15/02/2025 15:24:50, mã GD 1646685007</v>
          </cell>
          <cell r="C11487" t="str">
            <v>Lần</v>
          </cell>
          <cell r="D11487">
            <v>45370.37</v>
          </cell>
        </row>
        <row r="11488">
          <cell r="A11488">
            <v>45716</v>
          </cell>
          <cell r="B11488" t="str">
            <v>Cước đường bộ phương tiện 49H00466, Loại 3, đi qua trạm Định An. Thời gian giao dịch: 16/02/2025 06:28:37, mã GD 1647506301</v>
          </cell>
          <cell r="C11488" t="str">
            <v>Lần</v>
          </cell>
          <cell r="D11488">
            <v>45370.37</v>
          </cell>
        </row>
        <row r="11489">
          <cell r="A11489">
            <v>45716</v>
          </cell>
          <cell r="B11489" t="str">
            <v>Cước đường bộ phương tiện 49H00466, Loại 3, đi qua trạm Định An. Thời gian giao dịch: 16/02/2025 16:11:58, mã GD 1648400223</v>
          </cell>
          <cell r="C11489" t="str">
            <v>Lần</v>
          </cell>
          <cell r="D11489">
            <v>45370.37</v>
          </cell>
        </row>
        <row r="11490">
          <cell r="A11490">
            <v>45716</v>
          </cell>
          <cell r="B11490" t="str">
            <v>Cước đường bộ phương tiện 49H00466, Loại 3, đi qua trạm Định An. Thời gian giao dịch: 17/02/2025 08:48:47, mã GD 1649330593</v>
          </cell>
          <cell r="C11490" t="str">
            <v>Lần</v>
          </cell>
          <cell r="D11490">
            <v>45370.37</v>
          </cell>
        </row>
        <row r="11491">
          <cell r="A11491">
            <v>45716</v>
          </cell>
          <cell r="B11491" t="str">
            <v>Cước đường bộ phương tiện 49H00466, Loại 3, đi qua trạm Định An. Thời gian giao dịch: 17/02/2025 17:10:42, mã GD 1650081657</v>
          </cell>
          <cell r="C11491" t="str">
            <v>Lần</v>
          </cell>
          <cell r="D11491">
            <v>45370.37</v>
          </cell>
        </row>
        <row r="11492">
          <cell r="A11492">
            <v>45716</v>
          </cell>
          <cell r="B11492" t="str">
            <v>Cước đường bộ phương tiện 49H00466, Loại 3, đi qua trạm Định An. Thời gian giao dịch: 18/02/2025 10:40:43, mã GD 1650991917</v>
          </cell>
          <cell r="C11492" t="str">
            <v>Lần</v>
          </cell>
          <cell r="D11492">
            <v>45370.37</v>
          </cell>
        </row>
        <row r="11493">
          <cell r="A11493">
            <v>45716</v>
          </cell>
          <cell r="B11493" t="str">
            <v>Cước đường bộ phương tiện 49H00466, Loại 3, đi qua trạm Định An. Thời gian giao dịch: 18/02/2025 16:26:49, mã GD 1651513381</v>
          </cell>
          <cell r="C11493" t="str">
            <v>Lần</v>
          </cell>
          <cell r="D11493">
            <v>45370.37</v>
          </cell>
        </row>
        <row r="11494">
          <cell r="A11494">
            <v>45716</v>
          </cell>
          <cell r="B11494" t="str">
            <v>Cước đường bộ phương tiện 49H00466, Loại 3, đi qua trạm Định An. Thời gian giao dịch: 18/02/2025 20:35:25, mã GD 1651823190</v>
          </cell>
          <cell r="C11494" t="str">
            <v>Lần</v>
          </cell>
          <cell r="D11494">
            <v>45370.37</v>
          </cell>
        </row>
        <row r="11495">
          <cell r="A11495">
            <v>45716</v>
          </cell>
          <cell r="B11495" t="str">
            <v>Cước đường bộ phương tiện 49H00466, Loại 3, đi qua trạm Liên Đầm. Thời gian giao dịch: 18/02/2025 22:14:30, mã GD 2233785415783863694</v>
          </cell>
          <cell r="C11495" t="str">
            <v>Lần</v>
          </cell>
          <cell r="D11495">
            <v>78703.7</v>
          </cell>
        </row>
        <row r="11496">
          <cell r="A11496">
            <v>45716</v>
          </cell>
          <cell r="B11496" t="str">
            <v>Cước đường bộ phương tiện 49H00466, Loại 3, đi qua trạm Xa Lộ - Hà Nội. Thời gian giao dịch: 19/02/2025 02:13:17, mã GD 1652007736</v>
          </cell>
          <cell r="C11496" t="str">
            <v>Lần</v>
          </cell>
          <cell r="D11496">
            <v>50000</v>
          </cell>
        </row>
        <row r="11497">
          <cell r="A11497">
            <v>45716</v>
          </cell>
          <cell r="B11497" t="str">
            <v>Cước đường bộ phương tiện 49H00466, Loại 3, đi qua trạm Cầu Phú Mỹ. Thời gian giao dịch: 19/02/2025 06:12:40, mã GD 1652121769</v>
          </cell>
          <cell r="C11497" t="str">
            <v>Lần</v>
          </cell>
          <cell r="D11497">
            <v>22222.22</v>
          </cell>
        </row>
        <row r="11498">
          <cell r="A11498">
            <v>45716</v>
          </cell>
          <cell r="B11498" t="str">
            <v>Cước đường bộ phương tiện 49H00466, Loại 3, đi qua trạm Long Phước-NH51. Thời gian giao dịch: 19/02/2025 06:40:30, mã GD 1652139135</v>
          </cell>
          <cell r="C11498" t="str">
            <v>Lần</v>
          </cell>
          <cell r="D11498">
            <v>76805.56</v>
          </cell>
        </row>
        <row r="11499">
          <cell r="A11499">
            <v>45716</v>
          </cell>
          <cell r="B11499" t="str">
            <v>Cước đường bộ phương tiện 49H00466, Loại 3, đi qua trạm Liên Đầm. Thời gian giao dịch: 19/02/2025 12:38:57, mã GD 2233785415784143166</v>
          </cell>
          <cell r="C11499" t="str">
            <v>Lần</v>
          </cell>
          <cell r="D11499">
            <v>78703.7</v>
          </cell>
        </row>
        <row r="11500">
          <cell r="A11500">
            <v>45716</v>
          </cell>
          <cell r="B11500" t="str">
            <v>Cước đường bộ phương tiện 49H00466, Loại 3, đi qua trạm Định An. Thời gian giao dịch: 19/02/2025 15:50:08, mã GD 1652950220</v>
          </cell>
          <cell r="C11500" t="str">
            <v>Lần</v>
          </cell>
          <cell r="D11500">
            <v>45370.37</v>
          </cell>
        </row>
        <row r="11501">
          <cell r="A11501">
            <v>45716</v>
          </cell>
          <cell r="B11501" t="str">
            <v>Cước đường bộ phương tiện 49H00466, Loại 3, đi qua trạm Định An. Thời gian giao dịch: 20/02/2025 06:07:45, mã GD 1653611502</v>
          </cell>
          <cell r="C11501" t="str">
            <v>Lần</v>
          </cell>
          <cell r="D11501">
            <v>45370.37</v>
          </cell>
        </row>
        <row r="11502">
          <cell r="A11502">
            <v>45716</v>
          </cell>
          <cell r="B11502" t="str">
            <v>Cước đường bộ phương tiện 49H00466, Loại 3, đi qua trạm Định An. Thời gian giao dịch: 20/02/2025 12:15:25, mã GD 1654105852</v>
          </cell>
          <cell r="C11502" t="str">
            <v>Lần</v>
          </cell>
          <cell r="D11502">
            <v>45370.37</v>
          </cell>
        </row>
        <row r="11503">
          <cell r="A11503">
            <v>45716</v>
          </cell>
          <cell r="B11503" t="str">
            <v>Cước đường bộ phương tiện 49H00466, Loại 3, đi qua trạm Định An. Thời gian giao dịch: 20/02/2025 14:18:07, mã GD 1654274064</v>
          </cell>
          <cell r="C11503" t="str">
            <v>Lần</v>
          </cell>
          <cell r="D11503">
            <v>45370.37</v>
          </cell>
        </row>
        <row r="11504">
          <cell r="A11504">
            <v>45716</v>
          </cell>
          <cell r="B11504" t="str">
            <v>Cước đường bộ phương tiện 49H00466, Loại 3, đi qua trạm Định An. Thời gian giao dịch: 20/02/2025 16:51:16, mã GD 1654516360</v>
          </cell>
          <cell r="C11504" t="str">
            <v>Lần</v>
          </cell>
          <cell r="D11504">
            <v>45370.37</v>
          </cell>
        </row>
        <row r="11505">
          <cell r="A11505">
            <v>45716</v>
          </cell>
          <cell r="B11505" t="str">
            <v>Cước đường bộ phương tiện 49H00466, Loại 3, đi qua trạm Định An. Thời gian giao dịch: 21/02/2025 06:03:51, mã GD 1655077746</v>
          </cell>
          <cell r="C11505" t="str">
            <v>Lần</v>
          </cell>
          <cell r="D11505">
            <v>45370.37</v>
          </cell>
        </row>
        <row r="11506">
          <cell r="A11506">
            <v>45716</v>
          </cell>
          <cell r="B11506" t="str">
            <v>Cước đường bộ phương tiện 49H00466, Loại 3, đi qua trạm Định An. Thời gian giao dịch: 21/02/2025 14:49:44, mã GD 1655837085</v>
          </cell>
          <cell r="C11506" t="str">
            <v>Lần</v>
          </cell>
          <cell r="D11506">
            <v>45370.37</v>
          </cell>
        </row>
        <row r="11507">
          <cell r="A11507">
            <v>45716</v>
          </cell>
          <cell r="B11507" t="str">
            <v>Cước đường bộ phương tiện 49H00466, Loại 3, đi qua trạm Định An. Thời gian giao dịch: 22/02/2025 06:13:05, mã GD 1656691764</v>
          </cell>
          <cell r="C11507" t="str">
            <v>Lần</v>
          </cell>
          <cell r="D11507">
            <v>45370.37</v>
          </cell>
        </row>
        <row r="11508">
          <cell r="A11508">
            <v>45716</v>
          </cell>
          <cell r="B11508" t="str">
            <v>Cước đường bộ phương tiện 49H00466, Loại 3, đi qua trạm Định An. Thời gian giao dịch: 22/02/2025 14:52:03, mã GD 1657534060</v>
          </cell>
          <cell r="C11508" t="str">
            <v>Lần</v>
          </cell>
          <cell r="D11508">
            <v>45370.37</v>
          </cell>
        </row>
        <row r="11509">
          <cell r="A11509">
            <v>45716</v>
          </cell>
          <cell r="B11509" t="str">
            <v>Cước đường bộ phương tiện 49H00466, Loại 3, đi qua trạm Định An. Thời gian giao dịch: 23/02/2025 08:38:23, mã GD 1658541633</v>
          </cell>
          <cell r="C11509" t="str">
            <v>Lần</v>
          </cell>
          <cell r="D11509">
            <v>45370.37</v>
          </cell>
        </row>
        <row r="11510">
          <cell r="A11510">
            <v>45716</v>
          </cell>
          <cell r="B11510" t="str">
            <v>Cước đường bộ phương tiện 49H00466, Loại 3, đi qua trạm Định An. Thời gian giao dịch: 23/02/2025 17:11:11, mã GD 1659356252</v>
          </cell>
          <cell r="C11510" t="str">
            <v>Lần</v>
          </cell>
          <cell r="D11510">
            <v>45370.37</v>
          </cell>
        </row>
        <row r="11511">
          <cell r="A11511">
            <v>45716</v>
          </cell>
          <cell r="B11511" t="str">
            <v>Cước đường bộ phương tiện 49H00466, Loại 3, đi qua trạm Định An. Thời gian giao dịch: 24/02/2025 08:16:06, mã GD 1660110067</v>
          </cell>
          <cell r="C11511" t="str">
            <v>Lần</v>
          </cell>
          <cell r="D11511">
            <v>45370.37</v>
          </cell>
        </row>
        <row r="11512">
          <cell r="A11512">
            <v>45716</v>
          </cell>
          <cell r="B11512" t="str">
            <v>Cước đường bộ phương tiện 49H00466, Loại 3, đi qua trạm Định An. Thời gian giao dịch: 24/02/2025 16:13:13, mã GD 1660801081</v>
          </cell>
          <cell r="C11512" t="str">
            <v>Lần</v>
          </cell>
          <cell r="D11512">
            <v>45370.37</v>
          </cell>
        </row>
        <row r="11513">
          <cell r="A11513">
            <v>45716</v>
          </cell>
          <cell r="B11513" t="str">
            <v>Cước đường bộ phương tiện 49H00466, Loại 3, đi qua trạm Định An. Thời gian giao dịch: 25/02/2025 08:56:28, mã GD 1661614029</v>
          </cell>
          <cell r="C11513" t="str">
            <v>Lần</v>
          </cell>
          <cell r="D11513">
            <v>45370.37</v>
          </cell>
        </row>
        <row r="11514">
          <cell r="A11514">
            <v>45716</v>
          </cell>
          <cell r="B11514" t="str">
            <v>Cước đường bộ phương tiện 49H00466, Loại 3, đi qua trạm Định An. Thời gian giao dịch: 25/02/2025 15:34:55, mã GD 1662192653</v>
          </cell>
          <cell r="C11514" t="str">
            <v>Lần</v>
          </cell>
          <cell r="D11514">
            <v>45370.37</v>
          </cell>
        </row>
        <row r="11515">
          <cell r="A11515">
            <v>45716</v>
          </cell>
          <cell r="B11515" t="str">
            <v>Cước đường bộ phương tiện 49H00466, Loại 3, đi qua trạm Định An. Thời gian giao dịch: 26/02/2025 08:29:05, mã GD 1663021852</v>
          </cell>
          <cell r="C11515" t="str">
            <v>Lần</v>
          </cell>
          <cell r="D11515">
            <v>45370.37</v>
          </cell>
        </row>
        <row r="11516">
          <cell r="A11516">
            <v>45716</v>
          </cell>
          <cell r="B11516" t="str">
            <v>Cước đường bộ phương tiện 49H00466, Loại 3, đi qua trạm Định An. Thời gian giao dịch: 26/02/2025 15:31:34, mã GD 1663626899</v>
          </cell>
          <cell r="C11516" t="str">
            <v>Lần</v>
          </cell>
          <cell r="D11516">
            <v>45370.37</v>
          </cell>
        </row>
        <row r="11517">
          <cell r="A11517">
            <v>45716</v>
          </cell>
          <cell r="B11517" t="str">
            <v>Cước đường bộ phương tiện 49H00466, Loại 3, đi qua trạm Định An. Thời gian giao dịch: 27/02/2025 07:38:22, mã GD 1664407235</v>
          </cell>
          <cell r="C11517" t="str">
            <v>Lần</v>
          </cell>
          <cell r="D11517">
            <v>45370.37</v>
          </cell>
        </row>
        <row r="11518">
          <cell r="A11518">
            <v>45716</v>
          </cell>
          <cell r="B11518" t="str">
            <v>Cước đường bộ phương tiện 49H00466, Loại 3, đi qua trạm Định An. Thời gian giao dịch: 27/02/2025 15:21:54, mã GD 1665065906</v>
          </cell>
          <cell r="C11518" t="str">
            <v>Lần</v>
          </cell>
          <cell r="D11518">
            <v>45370.37</v>
          </cell>
        </row>
        <row r="11519">
          <cell r="A11519">
            <v>45716</v>
          </cell>
          <cell r="B11519" t="str">
            <v>Cước đường bộ phương tiện 49H00466, Loại 3, đi qua trạm Định An. Thời gian giao dịch: 28/02/2025 09:14:07, mã GD 1665986081</v>
          </cell>
          <cell r="C11519" t="str">
            <v>Lần</v>
          </cell>
          <cell r="D11519">
            <v>45370.37</v>
          </cell>
        </row>
        <row r="11520">
          <cell r="A11520">
            <v>45716</v>
          </cell>
          <cell r="B11520" t="str">
            <v>Cước đường bộ phương tiện 49H00466, Loại 3, đi qua trạm Định An. Thời gian giao dịch: 28/02/2025 15:56:10, mã GD 1666610058</v>
          </cell>
          <cell r="C11520" t="str">
            <v>Lần</v>
          </cell>
          <cell r="D11520">
            <v>45370.37</v>
          </cell>
        </row>
        <row r="11521">
          <cell r="A11521">
            <v>45716</v>
          </cell>
          <cell r="B11521" t="str">
            <v>Cước đường bộ phương tiện 49H00036, Loại 3, đi qua trạm Xa Lộ - Hà Nội. Thời gian giao dịch: 01/02/2025 00:44:28, mã GD 1621426169</v>
          </cell>
          <cell r="C11521" t="str">
            <v>Lần</v>
          </cell>
          <cell r="D11521">
            <v>50000</v>
          </cell>
        </row>
        <row r="11522">
          <cell r="A11522">
            <v>45716</v>
          </cell>
          <cell r="B11522" t="str">
            <v>Cước đường bộ phương tiện 49H00036, Loại 2, đi qua trạm Becamex Vĩnh Phú. Thời gian giao dịch: 01/02/2025 04:21:09, mã GD 1621493767</v>
          </cell>
          <cell r="C11522" t="str">
            <v>Lần</v>
          </cell>
          <cell r="D11522">
            <v>16363.89</v>
          </cell>
        </row>
        <row r="11523">
          <cell r="A11523">
            <v>45716</v>
          </cell>
          <cell r="B11523" t="str">
            <v>Cước đường bộ phương tiện 49H00036, Loại 2, đi qua trạm Becamex Vĩnh Phú. Thời gian giao dịch: 07/02/2025 04:33:21, mã GD 1632977060</v>
          </cell>
          <cell r="C11523" t="str">
            <v>Lần</v>
          </cell>
          <cell r="D11523">
            <v>16363.89</v>
          </cell>
        </row>
        <row r="11524">
          <cell r="A11524">
            <v>45716</v>
          </cell>
          <cell r="B11524" t="str">
            <v>Cước đường bộ phương tiện 49H00036, Loại 3, đi qua trạm Xa Lộ - Hà Nội. Thời gian giao dịch: 11/02/2025 01:37:54, mã GD 1639444999</v>
          </cell>
          <cell r="C11524" t="str">
            <v>Lần</v>
          </cell>
          <cell r="D11524">
            <v>50000</v>
          </cell>
        </row>
        <row r="11525">
          <cell r="A11525">
            <v>45716</v>
          </cell>
          <cell r="B11525" t="str">
            <v>Cước đường bộ phương tiện 49H00036, Loại 2, đi qua trạm Becamex Vĩnh Phú. Thời gian giao dịch: 11/02/2025 05:35:44, mã GD 1639557590</v>
          </cell>
          <cell r="C11525" t="str">
            <v>Lần</v>
          </cell>
          <cell r="D11525">
            <v>16363.89</v>
          </cell>
        </row>
        <row r="11526">
          <cell r="A11526">
            <v>45716</v>
          </cell>
          <cell r="B11526" t="str">
            <v>Cước đường bộ phương tiện 49H00036, Loại 2, đi qua trạm Becamex Vĩnh Phú. Thời gian giao dịch: 15/02/2025 05:30:58, mã GD 1645730166</v>
          </cell>
          <cell r="C11526" t="str">
            <v>Lần</v>
          </cell>
          <cell r="D11526">
            <v>16363.89</v>
          </cell>
        </row>
        <row r="11527">
          <cell r="A11527">
            <v>45716</v>
          </cell>
          <cell r="B11527" t="str">
            <v>Cước đường bộ phương tiện 49H00036, Loại 2, đi qua trạm Becamex Vĩnh Phú. Thời gian giao dịch: 19/02/2025 05:08:51, mã GD 1652078949</v>
          </cell>
          <cell r="C11527" t="str">
            <v>Lần</v>
          </cell>
          <cell r="D11527">
            <v>16363.89</v>
          </cell>
        </row>
        <row r="11528">
          <cell r="A11528">
            <v>45716</v>
          </cell>
          <cell r="B11528" t="str">
            <v>Cước đường bộ phương tiện 49H00036, Loại 3, đi qua trạm Xa Lộ - Hà Nội. Thời gian giao dịch: 21/02/2025 02:11:19, mã GD 1654960776</v>
          </cell>
          <cell r="C11528" t="str">
            <v>Lần</v>
          </cell>
          <cell r="D11528">
            <v>50000</v>
          </cell>
        </row>
        <row r="11529">
          <cell r="A11529">
            <v>45716</v>
          </cell>
          <cell r="B11529" t="str">
            <v>Cước đường bộ phương tiện 49H00036, Loại 2, đi qua trạm Becamex Vĩnh Phú. Thời gian giao dịch: 21/02/2025 05:35:02, mã GD 1655049447</v>
          </cell>
          <cell r="C11529" t="str">
            <v>Lần</v>
          </cell>
          <cell r="D11529">
            <v>16363.89</v>
          </cell>
        </row>
        <row r="11530">
          <cell r="A11530">
            <v>45716</v>
          </cell>
          <cell r="B11530" t="str">
            <v>Cước đường bộ phương tiện 49H00036, Loại 2, đi qua trạm Becamex Vĩnh Phú. Thời gian giao dịch: 26/02/2025 04:08:09, mã GD 1662790757</v>
          </cell>
          <cell r="C11530" t="str">
            <v>Lần</v>
          </cell>
          <cell r="D11530">
            <v>16363.89</v>
          </cell>
        </row>
        <row r="11531">
          <cell r="A11531">
            <v>45716</v>
          </cell>
          <cell r="B11531" t="str">
            <v>Cước đường bộ phương tiện 49H00466, Loại 3, đi qua trạm Định An. Thời gian giao dịch: 28/02/2025 22:47:36, mã GD 1667148862</v>
          </cell>
          <cell r="C11531" t="str">
            <v>Lần</v>
          </cell>
          <cell r="D11531">
            <v>45370</v>
          </cell>
        </row>
        <row r="11532">
          <cell r="A11532">
            <v>45716</v>
          </cell>
          <cell r="B11532" t="str">
            <v>Củ Khoai Lang Mật Size 23</v>
          </cell>
          <cell r="C11532" t="str">
            <v>Kg</v>
          </cell>
          <cell r="D11532">
            <v>25000</v>
          </cell>
        </row>
        <row r="11533">
          <cell r="A11533">
            <v>45716</v>
          </cell>
          <cell r="B11533" t="str">
            <v>Củ Khoai Lang Mật Size 46</v>
          </cell>
          <cell r="C11533" t="str">
            <v>Kg</v>
          </cell>
          <cell r="D11533">
            <v>25000</v>
          </cell>
        </row>
        <row r="11534">
          <cell r="A11534">
            <v>45716</v>
          </cell>
          <cell r="B11534" t="str">
            <v>Bông Cải Trắng</v>
          </cell>
          <cell r="C11534" t="str">
            <v>Kg</v>
          </cell>
          <cell r="D11534">
            <v>12000</v>
          </cell>
        </row>
        <row r="11535">
          <cell r="A11535">
            <v>45716</v>
          </cell>
          <cell r="B11535" t="str">
            <v>Bông Cải Trắng</v>
          </cell>
          <cell r="C11535" t="str">
            <v>Kg</v>
          </cell>
          <cell r="D11535">
            <v>12000</v>
          </cell>
        </row>
        <row r="11536">
          <cell r="A11536">
            <v>45716</v>
          </cell>
          <cell r="B11536" t="str">
            <v>Cà Chua Thường - B</v>
          </cell>
          <cell r="C11536" t="str">
            <v>Kg</v>
          </cell>
          <cell r="D11536">
            <v>3378</v>
          </cell>
        </row>
        <row r="11537">
          <cell r="A11537">
            <v>45716</v>
          </cell>
          <cell r="B11537" t="str">
            <v>Cà Chua Thường - B</v>
          </cell>
          <cell r="C11537" t="str">
            <v>Kg</v>
          </cell>
          <cell r="D11537">
            <v>3378</v>
          </cell>
        </row>
        <row r="11538">
          <cell r="A11538">
            <v>45716</v>
          </cell>
          <cell r="B11538" t="str">
            <v>Cải Bó Xôi</v>
          </cell>
          <cell r="C11538" t="str">
            <v>Kg</v>
          </cell>
          <cell r="D11538">
            <v>24000</v>
          </cell>
        </row>
        <row r="11539">
          <cell r="A11539">
            <v>45716</v>
          </cell>
          <cell r="B11539" t="str">
            <v>Cần Tây</v>
          </cell>
          <cell r="C11539" t="str">
            <v>Kg</v>
          </cell>
          <cell r="D11539">
            <v>10000</v>
          </cell>
        </row>
        <row r="11540">
          <cell r="A11540">
            <v>45716</v>
          </cell>
          <cell r="B11540" t="str">
            <v>Xà Lách Mỹ</v>
          </cell>
          <cell r="C11540" t="str">
            <v>Kg</v>
          </cell>
          <cell r="D11540">
            <v>10000</v>
          </cell>
        </row>
        <row r="11541">
          <cell r="A11541">
            <v>45716</v>
          </cell>
          <cell r="B11541" t="str">
            <v>Củ Dền</v>
          </cell>
          <cell r="C11541" t="str">
            <v>Kg</v>
          </cell>
          <cell r="D11541">
            <v>9000</v>
          </cell>
        </row>
        <row r="11542">
          <cell r="A11542">
            <v>45716</v>
          </cell>
          <cell r="B11542" t="str">
            <v>Bông Cải Xanh 7Cm</v>
          </cell>
          <cell r="C11542" t="str">
            <v>Kg</v>
          </cell>
          <cell r="D11542">
            <v>20000</v>
          </cell>
        </row>
        <row r="11543">
          <cell r="A11543">
            <v>45716</v>
          </cell>
          <cell r="B11543" t="str">
            <v>Bông Cải Xanh 12Cm</v>
          </cell>
          <cell r="C11543" t="str">
            <v>Kg</v>
          </cell>
          <cell r="D11543">
            <v>12000</v>
          </cell>
        </row>
        <row r="11544">
          <cell r="A11544">
            <v>45716</v>
          </cell>
          <cell r="B11544" t="str">
            <v>Bông Cải Xanh 7Cm</v>
          </cell>
          <cell r="C11544" t="str">
            <v>Kg</v>
          </cell>
          <cell r="D11544">
            <v>20000</v>
          </cell>
        </row>
        <row r="11545">
          <cell r="A11545">
            <v>45716</v>
          </cell>
          <cell r="B11545" t="str">
            <v>Dưa Leo Baby</v>
          </cell>
          <cell r="C11545" t="str">
            <v>Kg</v>
          </cell>
          <cell r="D11545">
            <v>9500</v>
          </cell>
        </row>
        <row r="11546">
          <cell r="A11546">
            <v>45716</v>
          </cell>
          <cell r="B11546" t="str">
            <v>Gia Công Rau Củ Quả</v>
          </cell>
          <cell r="C11546" t="str">
            <v>Kg</v>
          </cell>
          <cell r="D11546">
            <v>1700</v>
          </cell>
        </row>
        <row r="11547">
          <cell r="A11547">
            <v>45716</v>
          </cell>
          <cell r="B11547" t="str">
            <v>Gia Công Rau Củ Quả</v>
          </cell>
          <cell r="C11547" t="str">
            <v>Kg</v>
          </cell>
          <cell r="D11547">
            <v>700</v>
          </cell>
        </row>
        <row r="11548">
          <cell r="A11548">
            <v>45716</v>
          </cell>
          <cell r="B11548" t="str">
            <v>Gia Công Rau Củ Quả</v>
          </cell>
          <cell r="C11548" t="str">
            <v>Kg</v>
          </cell>
          <cell r="D11548">
            <v>1000</v>
          </cell>
        </row>
        <row r="11549">
          <cell r="A11549">
            <v>45716</v>
          </cell>
          <cell r="B11549" t="str">
            <v>Dưa Leo Baby</v>
          </cell>
          <cell r="C11549" t="str">
            <v>Kg</v>
          </cell>
          <cell r="D11549">
            <v>13000</v>
          </cell>
        </row>
        <row r="11550">
          <cell r="A11550">
            <v>45716</v>
          </cell>
          <cell r="B11550" t="str">
            <v>Dưa Leo Baby</v>
          </cell>
          <cell r="C11550" t="str">
            <v>Kg</v>
          </cell>
          <cell r="D11550">
            <v>13000</v>
          </cell>
        </row>
        <row r="11551">
          <cell r="A11551">
            <v>45716</v>
          </cell>
          <cell r="B11551" t="str">
            <v>Bông Cải Xanh 7Cm</v>
          </cell>
          <cell r="C11551" t="str">
            <v>Kg</v>
          </cell>
          <cell r="D11551">
            <v>20000</v>
          </cell>
        </row>
        <row r="11552">
          <cell r="A11552">
            <v>45716</v>
          </cell>
          <cell r="B11552" t="str">
            <v>Cà Chua Socola</v>
          </cell>
          <cell r="C11552" t="str">
            <v>Hộp 250GR</v>
          </cell>
          <cell r="D11552">
            <v>7500</v>
          </cell>
        </row>
        <row r="11553">
          <cell r="A11553">
            <v>45716</v>
          </cell>
          <cell r="B11553" t="str">
            <v>Dưa Leo Baby</v>
          </cell>
          <cell r="C11553" t="str">
            <v>Vỉ</v>
          </cell>
          <cell r="D11553">
            <v>7500</v>
          </cell>
        </row>
        <row r="11554">
          <cell r="A11554">
            <v>45716</v>
          </cell>
          <cell r="B11554" t="str">
            <v>Bông Cải Xanh Cây</v>
          </cell>
          <cell r="C11554" t="str">
            <v>Cây</v>
          </cell>
          <cell r="D11554">
            <v>5000</v>
          </cell>
        </row>
        <row r="11555">
          <cell r="A11555">
            <v>45716</v>
          </cell>
          <cell r="B11555" t="str">
            <v>Bông Cải Xanh Cây</v>
          </cell>
          <cell r="C11555" t="str">
            <v>Cây</v>
          </cell>
          <cell r="D11555">
            <v>5000</v>
          </cell>
        </row>
        <row r="11556">
          <cell r="A11556">
            <v>45716</v>
          </cell>
          <cell r="B11556" t="str">
            <v>Bông Cải Xanh 12Cm</v>
          </cell>
          <cell r="C11556" t="str">
            <v>Kg</v>
          </cell>
          <cell r="D11556">
            <v>13000</v>
          </cell>
        </row>
        <row r="11557">
          <cell r="A11557">
            <v>45716</v>
          </cell>
          <cell r="B11557" t="str">
            <v>Bông Cải Xanh 7Cm</v>
          </cell>
          <cell r="C11557" t="str">
            <v>Kg</v>
          </cell>
          <cell r="D11557">
            <v>19000</v>
          </cell>
        </row>
        <row r="11558">
          <cell r="A11558">
            <v>45716</v>
          </cell>
          <cell r="B11558" t="str">
            <v>Củ Hành Tây</v>
          </cell>
          <cell r="C11558" t="str">
            <v>Kg</v>
          </cell>
          <cell r="D11558">
            <v>7000</v>
          </cell>
        </row>
        <row r="11559">
          <cell r="A11559">
            <v>45716</v>
          </cell>
          <cell r="B11559" t="str">
            <v>Củ Hành Tây Tím</v>
          </cell>
          <cell r="C11559" t="str">
            <v>Kg</v>
          </cell>
          <cell r="D11559">
            <v>20000</v>
          </cell>
        </row>
        <row r="11560">
          <cell r="A11560">
            <v>45716</v>
          </cell>
          <cell r="B11560" t="str">
            <v>Củ Hành Tây Trung</v>
          </cell>
          <cell r="C11560" t="str">
            <v>Kg</v>
          </cell>
          <cell r="D11560">
            <v>6000</v>
          </cell>
        </row>
        <row r="11561">
          <cell r="A11561">
            <v>45716</v>
          </cell>
          <cell r="B11561" t="str">
            <v>Xà Lách Thủy Tinh T.C Cây</v>
          </cell>
          <cell r="C11561" t="str">
            <v>Cây</v>
          </cell>
          <cell r="D11561">
            <v>6800</v>
          </cell>
        </row>
        <row r="11562">
          <cell r="A11562">
            <v>45716</v>
          </cell>
          <cell r="B11562" t="str">
            <v>Xà Lách Lolo Xanh T.C Cây</v>
          </cell>
          <cell r="C11562" t="str">
            <v>Cây</v>
          </cell>
          <cell r="D11562">
            <v>6800</v>
          </cell>
        </row>
        <row r="11563">
          <cell r="A11563">
            <v>45716</v>
          </cell>
          <cell r="B11563" t="str">
            <v>Xà Lách Mỡ T.C</v>
          </cell>
          <cell r="C11563" t="str">
            <v>Kg</v>
          </cell>
          <cell r="D11563">
            <v>21000</v>
          </cell>
        </row>
        <row r="11564">
          <cell r="A11564">
            <v>45716</v>
          </cell>
          <cell r="B11564" t="str">
            <v>Bí Ngòi Xanh</v>
          </cell>
          <cell r="C11564" t="str">
            <v>Kg</v>
          </cell>
          <cell r="D11564">
            <v>14500</v>
          </cell>
        </row>
        <row r="11565">
          <cell r="A11565">
            <v>45716</v>
          </cell>
          <cell r="B11565" t="str">
            <v>Hạt Dẻ Ngố</v>
          </cell>
          <cell r="C11565" t="str">
            <v>Kg</v>
          </cell>
          <cell r="D11565">
            <v>25400</v>
          </cell>
        </row>
        <row r="11566">
          <cell r="A11566">
            <v>45716</v>
          </cell>
          <cell r="B11566" t="str">
            <v>Cà Rốt</v>
          </cell>
          <cell r="C11566" t="str">
            <v>Kg</v>
          </cell>
          <cell r="D11566">
            <v>6000</v>
          </cell>
        </row>
        <row r="11567">
          <cell r="A11567">
            <v>45716</v>
          </cell>
          <cell r="B11567" t="str">
            <v>Ớt Sweet Palemo</v>
          </cell>
          <cell r="C11567" t="str">
            <v>Túi</v>
          </cell>
          <cell r="D11567">
            <v>17000</v>
          </cell>
        </row>
        <row r="11568">
          <cell r="A11568">
            <v>45716</v>
          </cell>
          <cell r="B11568" t="str">
            <v>Ớt Chuông Baby</v>
          </cell>
          <cell r="C11568" t="str">
            <v>Kg</v>
          </cell>
          <cell r="D11568">
            <v>48000</v>
          </cell>
        </row>
        <row r="11569">
          <cell r="A11569">
            <v>45716</v>
          </cell>
          <cell r="B11569" t="str">
            <v>Đậu Đỏ</v>
          </cell>
          <cell r="C11569" t="str">
            <v>Kg</v>
          </cell>
          <cell r="D11569">
            <v>80000</v>
          </cell>
        </row>
        <row r="11570">
          <cell r="A11570">
            <v>45716</v>
          </cell>
          <cell r="B11570" t="str">
            <v>Đậu Ngự</v>
          </cell>
          <cell r="C11570" t="str">
            <v>Kg</v>
          </cell>
          <cell r="D11570">
            <v>70000</v>
          </cell>
        </row>
        <row r="11571">
          <cell r="A11571">
            <v>45716</v>
          </cell>
          <cell r="B11571" t="str">
            <v>Đậu Trắng</v>
          </cell>
          <cell r="C11571" t="str">
            <v>Kg</v>
          </cell>
          <cell r="D11571">
            <v>70000</v>
          </cell>
        </row>
        <row r="11572">
          <cell r="A11572">
            <v>45716</v>
          </cell>
          <cell r="B11572" t="str">
            <v>Cải Kale</v>
          </cell>
          <cell r="C11572" t="str">
            <v>Túi</v>
          </cell>
          <cell r="D11572">
            <v>3500</v>
          </cell>
        </row>
        <row r="11573">
          <cell r="A11573">
            <v>45716</v>
          </cell>
          <cell r="B11573" t="str">
            <v>Lá Mè</v>
          </cell>
          <cell r="C11573" t="str">
            <v>Túi</v>
          </cell>
          <cell r="D11573">
            <v>2400</v>
          </cell>
        </row>
        <row r="11574">
          <cell r="A11574">
            <v>45716</v>
          </cell>
          <cell r="B11574" t="str">
            <v>Cà Chua Socola</v>
          </cell>
          <cell r="C11574" t="str">
            <v>Kg</v>
          </cell>
          <cell r="D11574">
            <v>30000</v>
          </cell>
        </row>
        <row r="11575">
          <cell r="A11575">
            <v>45716</v>
          </cell>
          <cell r="B11575" t="str">
            <v>Bí Ngòi Vàng</v>
          </cell>
          <cell r="C11575" t="str">
            <v>Kg</v>
          </cell>
          <cell r="D11575">
            <v>25000</v>
          </cell>
        </row>
        <row r="11576">
          <cell r="A11576">
            <v>45716</v>
          </cell>
          <cell r="B11576" t="str">
            <v>Đậu Hà Lan Trái</v>
          </cell>
          <cell r="C11576" t="str">
            <v>Kg</v>
          </cell>
          <cell r="D11576">
            <v>60000</v>
          </cell>
        </row>
        <row r="11577">
          <cell r="A11577">
            <v>45716</v>
          </cell>
          <cell r="B11577" t="str">
            <v>Rau Bầu Đất</v>
          </cell>
          <cell r="C11577" t="str">
            <v>Kg</v>
          </cell>
          <cell r="D11577">
            <v>35000</v>
          </cell>
        </row>
        <row r="11578">
          <cell r="A11578">
            <v>45716</v>
          </cell>
          <cell r="B11578" t="str">
            <v>Xà Lách Carol</v>
          </cell>
          <cell r="C11578" t="str">
            <v>Kg</v>
          </cell>
          <cell r="D11578">
            <v>32000</v>
          </cell>
        </row>
        <row r="11579">
          <cell r="A11579">
            <v>45716</v>
          </cell>
          <cell r="B11579" t="str">
            <v>Lá Tía Tô</v>
          </cell>
          <cell r="C11579" t="str">
            <v>Kg</v>
          </cell>
          <cell r="D11579">
            <v>32000</v>
          </cell>
        </row>
        <row r="11580">
          <cell r="A11580">
            <v>45716</v>
          </cell>
          <cell r="B11580" t="str">
            <v>Xà Lách Mỡ T.C</v>
          </cell>
          <cell r="C11580" t="str">
            <v>Kg</v>
          </cell>
          <cell r="D11580">
            <v>24000</v>
          </cell>
        </row>
        <row r="11581">
          <cell r="A11581">
            <v>45716</v>
          </cell>
          <cell r="B11581" t="str">
            <v>Xà Lách Lolo Xanh T.C</v>
          </cell>
          <cell r="C11581" t="str">
            <v>Kg</v>
          </cell>
          <cell r="D11581">
            <v>25000</v>
          </cell>
        </row>
        <row r="11582">
          <cell r="A11582">
            <v>45716</v>
          </cell>
          <cell r="B11582" t="str">
            <v>Xà Lách Thủy Tinh T.C</v>
          </cell>
          <cell r="C11582" t="str">
            <v>Kg</v>
          </cell>
          <cell r="D11582">
            <v>25000</v>
          </cell>
        </row>
        <row r="11583">
          <cell r="A11583">
            <v>45716</v>
          </cell>
          <cell r="B11583" t="str">
            <v>Chuối Laba</v>
          </cell>
          <cell r="C11583" t="str">
            <v>Kg</v>
          </cell>
          <cell r="D11583">
            <v>14000</v>
          </cell>
        </row>
        <row r="11584">
          <cell r="A11584">
            <v>45716</v>
          </cell>
          <cell r="B11584" t="str">
            <v>Trái Su Su</v>
          </cell>
          <cell r="C11584" t="str">
            <v>Kg</v>
          </cell>
          <cell r="D11584">
            <v>3500</v>
          </cell>
        </row>
        <row r="11585">
          <cell r="A11585">
            <v>45716</v>
          </cell>
          <cell r="B11585" t="str">
            <v>Bí Đỏ Hồ Lô</v>
          </cell>
          <cell r="C11585" t="str">
            <v>Kg</v>
          </cell>
          <cell r="D11585">
            <v>8000</v>
          </cell>
        </row>
        <row r="11586">
          <cell r="A11586">
            <v>45716</v>
          </cell>
          <cell r="B11586" t="str">
            <v>Ớt Chuông Đỏ</v>
          </cell>
          <cell r="C11586" t="str">
            <v>Kg</v>
          </cell>
          <cell r="D11586">
            <v>24000</v>
          </cell>
        </row>
        <row r="11587">
          <cell r="A11587">
            <v>45716</v>
          </cell>
          <cell r="B11587" t="str">
            <v>Ớt Chuông Vàng</v>
          </cell>
          <cell r="C11587" t="str">
            <v>Kg</v>
          </cell>
          <cell r="D11587">
            <v>26000</v>
          </cell>
        </row>
        <row r="11588">
          <cell r="A11588">
            <v>45716</v>
          </cell>
          <cell r="B11588" t="str">
            <v>Ớt Chuông Xanh</v>
          </cell>
          <cell r="C11588" t="str">
            <v>Kg</v>
          </cell>
          <cell r="D11588">
            <v>30000</v>
          </cell>
        </row>
        <row r="11589">
          <cell r="A11589">
            <v>45716</v>
          </cell>
          <cell r="B11589" t="str">
            <v>Ớt Chuông Baby</v>
          </cell>
          <cell r="C11589" t="str">
            <v>Kg</v>
          </cell>
          <cell r="D11589">
            <v>28000</v>
          </cell>
        </row>
        <row r="11590">
          <cell r="A11590">
            <v>45716</v>
          </cell>
          <cell r="B11590" t="str">
            <v>Ớt Chuông Snack</v>
          </cell>
          <cell r="C11590" t="str">
            <v>Kg</v>
          </cell>
          <cell r="D11590">
            <v>50000</v>
          </cell>
        </row>
        <row r="11591">
          <cell r="A11591">
            <v>45716</v>
          </cell>
          <cell r="B11591" t="str">
            <v>Cà Rốt</v>
          </cell>
          <cell r="C11591" t="str">
            <v>Kg</v>
          </cell>
          <cell r="D11591">
            <v>6800</v>
          </cell>
        </row>
        <row r="11592">
          <cell r="A11592">
            <v>45716</v>
          </cell>
          <cell r="B11592" t="str">
            <v>Cà Chua Thường</v>
          </cell>
          <cell r="C11592" t="str">
            <v>Kg</v>
          </cell>
          <cell r="D11592">
            <v>14000</v>
          </cell>
        </row>
        <row r="11593">
          <cell r="A11593">
            <v>45716</v>
          </cell>
          <cell r="B11593" t="str">
            <v>Củ Gừng</v>
          </cell>
          <cell r="C11593" t="str">
            <v>Kg</v>
          </cell>
          <cell r="D11593">
            <v>19000</v>
          </cell>
        </row>
        <row r="11594">
          <cell r="A11594">
            <v>45716</v>
          </cell>
          <cell r="B11594" t="str">
            <v>Củ Khoai Mỡ</v>
          </cell>
          <cell r="C11594" t="str">
            <v>Kg</v>
          </cell>
          <cell r="D11594">
            <v>25000</v>
          </cell>
        </row>
        <row r="11595">
          <cell r="A11595">
            <v>45716</v>
          </cell>
          <cell r="B11595" t="str">
            <v>Xà Lách Lolo Xanh</v>
          </cell>
          <cell r="C11595" t="str">
            <v>Kg</v>
          </cell>
          <cell r="D11595">
            <v>13000</v>
          </cell>
        </row>
        <row r="11596">
          <cell r="A11596">
            <v>45716</v>
          </cell>
          <cell r="B11596" t="str">
            <v>Ớt Sweet Palemo</v>
          </cell>
          <cell r="C11596" t="str">
            <v>Túi</v>
          </cell>
          <cell r="D11596">
            <v>16000</v>
          </cell>
        </row>
        <row r="11597">
          <cell r="A11597">
            <v>45716</v>
          </cell>
          <cell r="B11597" t="str">
            <v>Ớt Chuông Đỏ</v>
          </cell>
          <cell r="C11597" t="str">
            <v>Kg</v>
          </cell>
          <cell r="D11597">
            <v>20000</v>
          </cell>
        </row>
        <row r="11598">
          <cell r="A11598">
            <v>45716</v>
          </cell>
          <cell r="B11598" t="str">
            <v>Ớt Chuông Vàng</v>
          </cell>
          <cell r="C11598" t="str">
            <v>Kg</v>
          </cell>
          <cell r="D11598">
            <v>23000</v>
          </cell>
        </row>
        <row r="11599">
          <cell r="A11599">
            <v>45716</v>
          </cell>
          <cell r="B11599" t="str">
            <v>Bắp Cải Tím</v>
          </cell>
          <cell r="C11599" t="str">
            <v>Kg</v>
          </cell>
          <cell r="D11599">
            <v>18000</v>
          </cell>
        </row>
        <row r="11600">
          <cell r="A11600">
            <v>45716</v>
          </cell>
          <cell r="B11600" t="str">
            <v>Cà Chua Thường</v>
          </cell>
          <cell r="C11600" t="str">
            <v>Kg</v>
          </cell>
          <cell r="D11600">
            <v>16000</v>
          </cell>
        </row>
        <row r="11601">
          <cell r="A11601">
            <v>45716</v>
          </cell>
          <cell r="B11601" t="str">
            <v>Củ Cải Trắng</v>
          </cell>
          <cell r="C11601" t="str">
            <v>Kg</v>
          </cell>
          <cell r="D11601">
            <v>4500</v>
          </cell>
        </row>
        <row r="11602">
          <cell r="A11602">
            <v>45716</v>
          </cell>
          <cell r="B11602" t="str">
            <v>Bí Ngòi Xanh</v>
          </cell>
          <cell r="C11602" t="str">
            <v>Kg</v>
          </cell>
          <cell r="D11602">
            <v>13000</v>
          </cell>
        </row>
        <row r="11603">
          <cell r="A11603">
            <v>45716</v>
          </cell>
          <cell r="B11603" t="str">
            <v>Xà Lách Mỡ T.C</v>
          </cell>
          <cell r="C11603" t="str">
            <v>Kg</v>
          </cell>
          <cell r="D11603">
            <v>26000</v>
          </cell>
        </row>
        <row r="11604">
          <cell r="A11604">
            <v>45716</v>
          </cell>
          <cell r="B11604" t="str">
            <v>Xà Lách Lolo Xanh T.C</v>
          </cell>
          <cell r="C11604" t="str">
            <v>Kg</v>
          </cell>
          <cell r="D11604">
            <v>26000</v>
          </cell>
        </row>
        <row r="11605">
          <cell r="A11605">
            <v>45716</v>
          </cell>
          <cell r="B11605" t="str">
            <v>Xà Lách Thủy Tinh T.C Cây</v>
          </cell>
          <cell r="C11605" t="str">
            <v>Cây</v>
          </cell>
          <cell r="D11605">
            <v>7500</v>
          </cell>
        </row>
        <row r="11606">
          <cell r="A11606">
            <v>45716</v>
          </cell>
          <cell r="B11606" t="str">
            <v>Bí Đao Xanh</v>
          </cell>
          <cell r="C11606" t="str">
            <v>Kg</v>
          </cell>
          <cell r="D11606">
            <v>12000</v>
          </cell>
        </row>
        <row r="11607">
          <cell r="A11607">
            <v>45716</v>
          </cell>
          <cell r="B11607" t="str">
            <v>Trái Khổ Qua</v>
          </cell>
          <cell r="C11607" t="str">
            <v>Kg</v>
          </cell>
          <cell r="D11607">
            <v>18000</v>
          </cell>
        </row>
        <row r="11608">
          <cell r="A11608">
            <v>45716</v>
          </cell>
          <cell r="B11608" t="str">
            <v>Cà Tím</v>
          </cell>
          <cell r="C11608" t="str">
            <v>Kg</v>
          </cell>
          <cell r="D11608">
            <v>8000</v>
          </cell>
        </row>
        <row r="11609">
          <cell r="A11609">
            <v>45716</v>
          </cell>
          <cell r="B11609" t="str">
            <v>Trái Su Su</v>
          </cell>
          <cell r="C11609" t="str">
            <v>Kg</v>
          </cell>
          <cell r="D11609">
            <v>8000</v>
          </cell>
        </row>
        <row r="11610">
          <cell r="A11610">
            <v>45716</v>
          </cell>
          <cell r="B11610" t="str">
            <v>Bí Non Nhật</v>
          </cell>
          <cell r="C11610" t="str">
            <v>Kg</v>
          </cell>
          <cell r="D11610">
            <v>10000</v>
          </cell>
        </row>
        <row r="11611">
          <cell r="A11611">
            <v>45716</v>
          </cell>
          <cell r="B11611" t="str">
            <v>Củ Khoai Lang Nhật</v>
          </cell>
          <cell r="C11611" t="str">
            <v>Kg</v>
          </cell>
          <cell r="D11611">
            <v>14800</v>
          </cell>
        </row>
        <row r="11612">
          <cell r="A11612">
            <v>45716</v>
          </cell>
          <cell r="B11612" t="str">
            <v>Dưa Leo Baby</v>
          </cell>
          <cell r="C11612" t="str">
            <v>Vỉ</v>
          </cell>
          <cell r="D11612">
            <v>6500</v>
          </cell>
        </row>
        <row r="11613">
          <cell r="A11613">
            <v>45716</v>
          </cell>
          <cell r="B11613" t="str">
            <v>Bắp Cải Trái Tim</v>
          </cell>
          <cell r="C11613" t="str">
            <v>Kg</v>
          </cell>
          <cell r="D11613">
            <v>5000</v>
          </cell>
        </row>
        <row r="11614">
          <cell r="A11614">
            <v>45716</v>
          </cell>
          <cell r="B11614" t="str">
            <v>Củ Su Hào</v>
          </cell>
          <cell r="C11614" t="str">
            <v>Kg</v>
          </cell>
          <cell r="D11614">
            <v>9000</v>
          </cell>
        </row>
        <row r="11615">
          <cell r="A11615">
            <v>45716</v>
          </cell>
          <cell r="B11615" t="str">
            <v>Dưa Leo Thường</v>
          </cell>
          <cell r="C11615" t="str">
            <v>Kg</v>
          </cell>
          <cell r="D11615">
            <v>15000</v>
          </cell>
        </row>
        <row r="11616">
          <cell r="A11616">
            <v>45716</v>
          </cell>
          <cell r="B11616" t="str">
            <v>Dưa Leo Baby</v>
          </cell>
          <cell r="C11616" t="str">
            <v>Vỉ</v>
          </cell>
          <cell r="D11616">
            <v>9000</v>
          </cell>
        </row>
        <row r="11617">
          <cell r="A11617">
            <v>45716</v>
          </cell>
          <cell r="B11617" t="str">
            <v>Dưa Leo Nhật</v>
          </cell>
          <cell r="C11617" t="str">
            <v>Kg</v>
          </cell>
          <cell r="D11617">
            <v>15000</v>
          </cell>
        </row>
        <row r="11618">
          <cell r="A11618">
            <v>45716</v>
          </cell>
          <cell r="B11618" t="str">
            <v>Bí Non Nhật</v>
          </cell>
          <cell r="C11618" t="str">
            <v>Kg</v>
          </cell>
          <cell r="D11618">
            <v>15000</v>
          </cell>
        </row>
        <row r="11619">
          <cell r="A11619">
            <v>45716</v>
          </cell>
          <cell r="B11619" t="str">
            <v>Đậu Cove Trắng</v>
          </cell>
          <cell r="C11619" t="str">
            <v>Túi 300gr</v>
          </cell>
          <cell r="D11619">
            <v>5500</v>
          </cell>
        </row>
        <row r="11620">
          <cell r="A11620">
            <v>45716</v>
          </cell>
          <cell r="B11620" t="str">
            <v>Đậu Cove Trắng</v>
          </cell>
          <cell r="C11620" t="str">
            <v>Túi 500gr</v>
          </cell>
          <cell r="D11620">
            <v>8500</v>
          </cell>
        </row>
        <row r="11621">
          <cell r="A11621">
            <v>45716</v>
          </cell>
          <cell r="B11621" t="str">
            <v>Dưa Leo Baby</v>
          </cell>
          <cell r="C11621" t="str">
            <v>Vỉ</v>
          </cell>
          <cell r="D11621">
            <v>8500</v>
          </cell>
        </row>
        <row r="11622">
          <cell r="A11622">
            <v>45716</v>
          </cell>
          <cell r="B11622" t="str">
            <v>Cà Chua Bi Đỏ</v>
          </cell>
          <cell r="C11622" t="str">
            <v>Hộp 500gr</v>
          </cell>
          <cell r="D11622">
            <v>10000</v>
          </cell>
        </row>
        <row r="11623">
          <cell r="A11623">
            <v>45716</v>
          </cell>
          <cell r="B11623" t="str">
            <v>Cà Chua Bi Đỏ</v>
          </cell>
          <cell r="C11623" t="str">
            <v>Hộp 300gr</v>
          </cell>
          <cell r="D11623">
            <v>6000</v>
          </cell>
        </row>
        <row r="11624">
          <cell r="A11624">
            <v>45716</v>
          </cell>
          <cell r="B11624" t="str">
            <v>Đậu Cove Nhật</v>
          </cell>
          <cell r="C11624" t="str">
            <v>Túi</v>
          </cell>
          <cell r="D11624">
            <v>6000</v>
          </cell>
        </row>
        <row r="11625">
          <cell r="A11625">
            <v>45716</v>
          </cell>
          <cell r="B11625" t="str">
            <v>Đậu Cove Trắng</v>
          </cell>
          <cell r="C11625" t="str">
            <v>Túi 500gr</v>
          </cell>
          <cell r="D11625">
            <v>6500</v>
          </cell>
        </row>
        <row r="11626">
          <cell r="A11626">
            <v>45716</v>
          </cell>
          <cell r="B11626" t="str">
            <v>Bắp Cải Trắng</v>
          </cell>
          <cell r="C11626" t="str">
            <v>Kg</v>
          </cell>
          <cell r="D11626">
            <v>3000</v>
          </cell>
        </row>
        <row r="11627">
          <cell r="A11627">
            <v>45716</v>
          </cell>
          <cell r="B11627" t="str">
            <v>Củ Dền</v>
          </cell>
          <cell r="C11627" t="str">
            <v>Kg</v>
          </cell>
          <cell r="D11627">
            <v>7000</v>
          </cell>
        </row>
        <row r="11628">
          <cell r="A11628">
            <v>45716</v>
          </cell>
          <cell r="B11628" t="str">
            <v>Củ Khoai Tây Vàng</v>
          </cell>
          <cell r="C11628" t="str">
            <v>Kg</v>
          </cell>
          <cell r="D11628">
            <v>14000</v>
          </cell>
        </row>
        <row r="11629">
          <cell r="A11629">
            <v>45716</v>
          </cell>
          <cell r="B11629" t="str">
            <v>Củ Khoai Lang Nhật</v>
          </cell>
          <cell r="C11629" t="str">
            <v>Kg</v>
          </cell>
          <cell r="D11629">
            <v>16000</v>
          </cell>
        </row>
        <row r="11630">
          <cell r="A11630">
            <v>45716</v>
          </cell>
          <cell r="B11630" t="str">
            <v>Cà Chua Beef</v>
          </cell>
          <cell r="C11630" t="str">
            <v>Kg</v>
          </cell>
          <cell r="D11630">
            <v>16000</v>
          </cell>
        </row>
        <row r="11631">
          <cell r="A11631">
            <v>45716</v>
          </cell>
          <cell r="B11631" t="str">
            <v>Hành Paro</v>
          </cell>
          <cell r="C11631" t="str">
            <v>Kg</v>
          </cell>
          <cell r="D11631">
            <v>11000</v>
          </cell>
        </row>
        <row r="11632">
          <cell r="A11632">
            <v>45716</v>
          </cell>
          <cell r="B11632" t="str">
            <v>Bí Ngòi Xanh</v>
          </cell>
          <cell r="C11632" t="str">
            <v>Kg</v>
          </cell>
          <cell r="D11632">
            <v>13000</v>
          </cell>
        </row>
        <row r="11633">
          <cell r="A11633">
            <v>45716</v>
          </cell>
          <cell r="B11633" t="str">
            <v>Bông Cải Xanh 7Cm</v>
          </cell>
          <cell r="C11633" t="str">
            <v>Kg</v>
          </cell>
          <cell r="D11633">
            <v>19000</v>
          </cell>
        </row>
        <row r="11634">
          <cell r="A11634">
            <v>45716</v>
          </cell>
          <cell r="B11634" t="str">
            <v>Cần Tây</v>
          </cell>
          <cell r="C11634" t="str">
            <v>Kg</v>
          </cell>
          <cell r="D11634">
            <v>11000</v>
          </cell>
        </row>
        <row r="11635">
          <cell r="A11635">
            <v>45716</v>
          </cell>
          <cell r="B11635" t="str">
            <v>Cải Bó Xôi</v>
          </cell>
          <cell r="C11635" t="str">
            <v>Túi</v>
          </cell>
          <cell r="D11635">
            <v>8700</v>
          </cell>
        </row>
        <row r="11636">
          <cell r="A11636">
            <v>45716</v>
          </cell>
          <cell r="B11636" t="str">
            <v>Cà Chua Bi Mix</v>
          </cell>
          <cell r="C11636" t="str">
            <v>Hộp</v>
          </cell>
          <cell r="D11636">
            <v>12000</v>
          </cell>
        </row>
        <row r="11637">
          <cell r="A11637">
            <v>45716</v>
          </cell>
          <cell r="B11637" t="str">
            <v>Cà Chua Socola</v>
          </cell>
          <cell r="C11637" t="str">
            <v>Hộp 300gr</v>
          </cell>
          <cell r="D11637">
            <v>12000</v>
          </cell>
        </row>
        <row r="11638">
          <cell r="A11638">
            <v>45716</v>
          </cell>
          <cell r="B11638" t="str">
            <v>Cải Kale</v>
          </cell>
          <cell r="C11638" t="str">
            <v>Túi</v>
          </cell>
          <cell r="D11638">
            <v>4200</v>
          </cell>
        </row>
        <row r="11639">
          <cell r="A11639">
            <v>45716</v>
          </cell>
          <cell r="B11639" t="str">
            <v>Chanh Không Hạt</v>
          </cell>
          <cell r="C11639" t="str">
            <v>Vỉ</v>
          </cell>
          <cell r="D11639">
            <v>8000</v>
          </cell>
        </row>
        <row r="11640">
          <cell r="A11640">
            <v>45716</v>
          </cell>
          <cell r="B11640" t="str">
            <v>Cà Chua Beef</v>
          </cell>
          <cell r="C11640" t="str">
            <v>Kg</v>
          </cell>
          <cell r="D11640">
            <v>14000</v>
          </cell>
        </row>
        <row r="11641">
          <cell r="A11641">
            <v>45716</v>
          </cell>
          <cell r="B11641" t="str">
            <v>Cà Chua Beef</v>
          </cell>
          <cell r="C11641" t="str">
            <v>Vỉ 650gr</v>
          </cell>
          <cell r="D11641">
            <v>12350</v>
          </cell>
        </row>
        <row r="11642">
          <cell r="A11642">
            <v>45716</v>
          </cell>
          <cell r="B11642" t="str">
            <v>Cà Chua Beef Trung</v>
          </cell>
          <cell r="C11642" t="str">
            <v>Vỉ 500gr</v>
          </cell>
          <cell r="D11642">
            <v>8000</v>
          </cell>
        </row>
        <row r="11643">
          <cell r="A11643">
            <v>45716</v>
          </cell>
          <cell r="B11643" t="str">
            <v>Cà Chua Beef Trung</v>
          </cell>
          <cell r="C11643" t="str">
            <v>Kg</v>
          </cell>
          <cell r="D11643">
            <v>14000</v>
          </cell>
        </row>
        <row r="11644">
          <cell r="A11644">
            <v>45716</v>
          </cell>
          <cell r="B11644" t="str">
            <v>Cải Thảo</v>
          </cell>
          <cell r="C11644" t="str">
            <v>Kg</v>
          </cell>
          <cell r="D11644">
            <v>5000</v>
          </cell>
        </row>
        <row r="11645">
          <cell r="A11645">
            <v>45716</v>
          </cell>
          <cell r="B11645" t="str">
            <v>Cần Tây</v>
          </cell>
          <cell r="C11645" t="str">
            <v>Kg</v>
          </cell>
          <cell r="D11645">
            <v>10000</v>
          </cell>
        </row>
        <row r="11646">
          <cell r="A11646">
            <v>45716</v>
          </cell>
          <cell r="B11646" t="str">
            <v>Cà Rốt Baby</v>
          </cell>
          <cell r="C11646" t="str">
            <v>Vỉ</v>
          </cell>
          <cell r="D11646">
            <v>6000</v>
          </cell>
        </row>
        <row r="11647">
          <cell r="A11647">
            <v>45716</v>
          </cell>
          <cell r="B11647" t="str">
            <v>Cải Cầu Vồng</v>
          </cell>
          <cell r="C11647" t="str">
            <v>Túi</v>
          </cell>
          <cell r="D11647">
            <v>3000</v>
          </cell>
        </row>
        <row r="11648">
          <cell r="A11648">
            <v>45716</v>
          </cell>
          <cell r="B11648" t="str">
            <v>Cải Kale</v>
          </cell>
          <cell r="C11648" t="str">
            <v>Túi</v>
          </cell>
          <cell r="D11648">
            <v>3300</v>
          </cell>
        </row>
        <row r="11649">
          <cell r="A11649">
            <v>45716</v>
          </cell>
          <cell r="B11649" t="str">
            <v>Cải Kale</v>
          </cell>
          <cell r="C11649" t="str">
            <v>Túi 150gr</v>
          </cell>
          <cell r="D11649">
            <v>1900</v>
          </cell>
        </row>
        <row r="11650">
          <cell r="A11650">
            <v>45716</v>
          </cell>
          <cell r="B11650" t="str">
            <v>Lá Mè</v>
          </cell>
          <cell r="C11650" t="str">
            <v>Túi</v>
          </cell>
          <cell r="D11650">
            <v>2300</v>
          </cell>
        </row>
        <row r="11651">
          <cell r="A11651">
            <v>45716</v>
          </cell>
          <cell r="B11651" t="str">
            <v>Dưa Leo Baby</v>
          </cell>
          <cell r="C11651" t="str">
            <v>Vỉ</v>
          </cell>
          <cell r="D11651">
            <v>10000</v>
          </cell>
        </row>
        <row r="11652">
          <cell r="A11652">
            <v>45716</v>
          </cell>
          <cell r="B11652" t="str">
            <v>Củ Cải Đỏ</v>
          </cell>
          <cell r="C11652" t="str">
            <v>Hộp</v>
          </cell>
          <cell r="D11652">
            <v>10000</v>
          </cell>
        </row>
        <row r="11653">
          <cell r="A11653">
            <v>45716</v>
          </cell>
          <cell r="B11653" t="str">
            <v>Ớt Sweet Palemo</v>
          </cell>
          <cell r="C11653" t="str">
            <v>Túi</v>
          </cell>
          <cell r="D11653">
            <v>16000</v>
          </cell>
        </row>
        <row r="11654">
          <cell r="A11654">
            <v>45716</v>
          </cell>
          <cell r="B11654" t="str">
            <v>Xà Lách Lolo Xanh</v>
          </cell>
          <cell r="C11654" t="str">
            <v>Kg</v>
          </cell>
          <cell r="D11654">
            <v>12000</v>
          </cell>
        </row>
        <row r="11655">
          <cell r="A11655">
            <v>45716</v>
          </cell>
          <cell r="B11655" t="str">
            <v>Xà Lách Lolo Tím</v>
          </cell>
          <cell r="C11655" t="str">
            <v>Kg</v>
          </cell>
          <cell r="D11655">
            <v>20000</v>
          </cell>
        </row>
        <row r="11656">
          <cell r="A11656">
            <v>45716</v>
          </cell>
          <cell r="B11656" t="str">
            <v>Bông Cải Xanh Baby</v>
          </cell>
          <cell r="C11656" t="str">
            <v>Vỉ</v>
          </cell>
          <cell r="D11656">
            <v>6000</v>
          </cell>
        </row>
        <row r="11657">
          <cell r="A11657">
            <v>45716</v>
          </cell>
          <cell r="B11657" t="str">
            <v>Cà Chua Beef Trung</v>
          </cell>
          <cell r="C11657" t="str">
            <v>Vỉ 500gr</v>
          </cell>
          <cell r="D11657">
            <v>8500</v>
          </cell>
        </row>
        <row r="11658">
          <cell r="A11658">
            <v>45716</v>
          </cell>
          <cell r="B11658" t="str">
            <v>Màng bọc thực phẩm Lingo  30cm</v>
          </cell>
          <cell r="C11658" t="str">
            <v>Cuộn</v>
          </cell>
          <cell r="D11658">
            <v>125000</v>
          </cell>
        </row>
        <row r="11659">
          <cell r="A11659">
            <v>45716</v>
          </cell>
          <cell r="B11659" t="str">
            <v>Khay 4 trái chanh</v>
          </cell>
          <cell r="C11659" t="str">
            <v>Cái</v>
          </cell>
          <cell r="D11659">
            <v>360</v>
          </cell>
        </row>
        <row r="11660">
          <cell r="A11660">
            <v>45716</v>
          </cell>
          <cell r="B11660" t="str">
            <v>Túi PP (50x80)</v>
          </cell>
          <cell r="C11660" t="str">
            <v>Kg</v>
          </cell>
          <cell r="D11660">
            <v>37000</v>
          </cell>
        </row>
        <row r="11661">
          <cell r="A11661">
            <v>45717</v>
          </cell>
          <cell r="B11661" t="str">
            <v>THUE PHONG DAI HAN - Actual LT Apt Rental - (01/03/2025 - 31/03/2025)</v>
          </cell>
          <cell r="C11661" t="str">
            <v>Gói</v>
          </cell>
          <cell r="D11661">
            <v>2513615.4</v>
          </cell>
        </row>
        <row r="11662">
          <cell r="A11662">
            <v>45717</v>
          </cell>
          <cell r="B11662" t="str">
            <v>PHI PHUC VU - Actual LT Service Charge - (01/03/2025 - 31/03/2025)</v>
          </cell>
          <cell r="C11662" t="str">
            <v>Gói</v>
          </cell>
          <cell r="D11662">
            <v>125680.8</v>
          </cell>
        </row>
        <row r="11663">
          <cell r="A11663">
            <v>45717</v>
          </cell>
          <cell r="B11663" t="str">
            <v>DO 0.05S-II</v>
          </cell>
          <cell r="C11663" t="str">
            <v>Lít</v>
          </cell>
          <cell r="D11663">
            <v>17563.64</v>
          </cell>
        </row>
        <row r="11664">
          <cell r="A11664">
            <v>45717</v>
          </cell>
          <cell r="B11664" t="str">
            <v>DO 0.05S-II</v>
          </cell>
          <cell r="C11664" t="str">
            <v>Lít</v>
          </cell>
          <cell r="D11664">
            <v>17563.64</v>
          </cell>
        </row>
        <row r="11665">
          <cell r="A11665">
            <v>45717</v>
          </cell>
          <cell r="B11665" t="str">
            <v>Bông Cải Xanh 7Cm</v>
          </cell>
          <cell r="C11665" t="str">
            <v>Kg</v>
          </cell>
          <cell r="D11665">
            <v>20000</v>
          </cell>
        </row>
        <row r="11666">
          <cell r="A11666">
            <v>45717</v>
          </cell>
          <cell r="B11666" t="str">
            <v>Đậu Đỏ</v>
          </cell>
          <cell r="C11666" t="str">
            <v>Kg</v>
          </cell>
          <cell r="D11666">
            <v>80000</v>
          </cell>
        </row>
        <row r="11667">
          <cell r="A11667">
            <v>45717</v>
          </cell>
          <cell r="B11667" t="str">
            <v>Đậu Ngự</v>
          </cell>
          <cell r="C11667" t="str">
            <v>Kg</v>
          </cell>
          <cell r="D11667">
            <v>70000</v>
          </cell>
        </row>
        <row r="11668">
          <cell r="A11668">
            <v>45717</v>
          </cell>
          <cell r="B11668" t="str">
            <v>Đậu Trắng</v>
          </cell>
          <cell r="C11668" t="str">
            <v>Kg</v>
          </cell>
          <cell r="D11668">
            <v>70000</v>
          </cell>
        </row>
        <row r="11669">
          <cell r="A11669">
            <v>45717</v>
          </cell>
          <cell r="B11669" t="str">
            <v>Bí Ngòi Xanh</v>
          </cell>
          <cell r="C11669" t="str">
            <v>Kg</v>
          </cell>
          <cell r="D11669">
            <v>10000</v>
          </cell>
        </row>
        <row r="11670">
          <cell r="A11670">
            <v>45717</v>
          </cell>
          <cell r="B11670" t="str">
            <v>Bông Cải Trắng</v>
          </cell>
          <cell r="C11670" t="str">
            <v>Kg</v>
          </cell>
          <cell r="D11670">
            <v>12000</v>
          </cell>
        </row>
        <row r="11671">
          <cell r="A11671">
            <v>45717</v>
          </cell>
          <cell r="B11671" t="str">
            <v>Trái Mít Thái</v>
          </cell>
          <cell r="C11671" t="str">
            <v>Kg</v>
          </cell>
          <cell r="D11671">
            <v>20400</v>
          </cell>
        </row>
        <row r="11672">
          <cell r="A11672">
            <v>45717</v>
          </cell>
          <cell r="B11672" t="str">
            <v>Cải Bó Xôi</v>
          </cell>
          <cell r="C11672" t="str">
            <v>Kg</v>
          </cell>
          <cell r="D11672">
            <v>24000</v>
          </cell>
        </row>
        <row r="11673">
          <cell r="A11673">
            <v>45717</v>
          </cell>
          <cell r="B11673" t="str">
            <v>Dưa Leo Baby</v>
          </cell>
          <cell r="C11673" t="str">
            <v>Kg</v>
          </cell>
          <cell r="D11673">
            <v>13000</v>
          </cell>
        </row>
        <row r="11674">
          <cell r="A11674">
            <v>45717</v>
          </cell>
          <cell r="B11674" t="str">
            <v>Cà Chua Socola</v>
          </cell>
          <cell r="C11674" t="str">
            <v>Hộp 250GR</v>
          </cell>
          <cell r="D11674">
            <v>7500</v>
          </cell>
        </row>
        <row r="11675">
          <cell r="A11675">
            <v>45717</v>
          </cell>
          <cell r="B11675" t="str">
            <v>Dưa Leo Baby</v>
          </cell>
          <cell r="C11675" t="str">
            <v>Vỉ</v>
          </cell>
          <cell r="D11675">
            <v>7500</v>
          </cell>
        </row>
        <row r="11676">
          <cell r="A11676">
            <v>45717</v>
          </cell>
          <cell r="B11676" t="str">
            <v>Xà Lách Thủy Tinh T.C Cây</v>
          </cell>
          <cell r="C11676" t="str">
            <v>Cây</v>
          </cell>
          <cell r="D11676">
            <v>4000</v>
          </cell>
        </row>
        <row r="11677">
          <cell r="A11677">
            <v>45717</v>
          </cell>
          <cell r="B11677" t="str">
            <v>Cần Tây</v>
          </cell>
          <cell r="C11677" t="str">
            <v>Kg</v>
          </cell>
          <cell r="D11677">
            <v>9000</v>
          </cell>
        </row>
        <row r="11678">
          <cell r="A11678">
            <v>45717</v>
          </cell>
          <cell r="B11678" t="str">
            <v>Cần Tây</v>
          </cell>
          <cell r="C11678" t="str">
            <v>Kg</v>
          </cell>
          <cell r="D11678">
            <v>10000</v>
          </cell>
        </row>
        <row r="11679">
          <cell r="A11679">
            <v>45717</v>
          </cell>
          <cell r="B11679" t="str">
            <v>Dưa Leo Baby</v>
          </cell>
          <cell r="C11679" t="str">
            <v>Kg</v>
          </cell>
          <cell r="D11679">
            <v>9500</v>
          </cell>
        </row>
        <row r="11680">
          <cell r="A11680">
            <v>45717</v>
          </cell>
          <cell r="B11680" t="str">
            <v>Cà Chua Socola</v>
          </cell>
          <cell r="C11680" t="str">
            <v>Kg</v>
          </cell>
          <cell r="D11680">
            <v>30000</v>
          </cell>
        </row>
        <row r="11681">
          <cell r="A11681">
            <v>45717</v>
          </cell>
          <cell r="B11681" t="str">
            <v>Bông Cải Xanh 7Cm</v>
          </cell>
          <cell r="C11681" t="str">
            <v>Kg</v>
          </cell>
          <cell r="D11681">
            <v>20000</v>
          </cell>
        </row>
        <row r="11682">
          <cell r="A11682">
            <v>45717</v>
          </cell>
          <cell r="B11682" t="str">
            <v>Bông Cải Xanh 7Cm</v>
          </cell>
          <cell r="C11682" t="str">
            <v>Kg</v>
          </cell>
          <cell r="D11682">
            <v>19000</v>
          </cell>
        </row>
        <row r="11683">
          <cell r="A11683">
            <v>45717</v>
          </cell>
          <cell r="B11683" t="str">
            <v>Lá Mè</v>
          </cell>
          <cell r="C11683" t="str">
            <v>Túi</v>
          </cell>
          <cell r="D11683">
            <v>2300</v>
          </cell>
        </row>
        <row r="11684">
          <cell r="A11684">
            <v>45717</v>
          </cell>
          <cell r="B11684" t="str">
            <v>Cải Kale</v>
          </cell>
          <cell r="C11684" t="str">
            <v>Túi</v>
          </cell>
          <cell r="D11684">
            <v>3000</v>
          </cell>
        </row>
        <row r="11685">
          <cell r="A11685">
            <v>45717</v>
          </cell>
          <cell r="B11685" t="str">
            <v>Ớt Chuông Đỏ</v>
          </cell>
          <cell r="C11685" t="str">
            <v>Kg</v>
          </cell>
          <cell r="D11685">
            <v>20000</v>
          </cell>
        </row>
        <row r="11686">
          <cell r="A11686">
            <v>45717</v>
          </cell>
          <cell r="B11686" t="str">
            <v>Ớt Chuông Vàng</v>
          </cell>
          <cell r="C11686" t="str">
            <v>Kg</v>
          </cell>
          <cell r="D11686">
            <v>20000</v>
          </cell>
        </row>
        <row r="11687">
          <cell r="A11687">
            <v>45717</v>
          </cell>
          <cell r="B11687" t="str">
            <v>Ớt Chuông Xanh</v>
          </cell>
          <cell r="C11687" t="str">
            <v>Kg</v>
          </cell>
          <cell r="D11687">
            <v>24000</v>
          </cell>
        </row>
        <row r="11688">
          <cell r="A11688">
            <v>45717</v>
          </cell>
          <cell r="B11688" t="str">
            <v>Hành Paro</v>
          </cell>
          <cell r="C11688" t="str">
            <v>Kg</v>
          </cell>
          <cell r="D11688">
            <v>11000</v>
          </cell>
        </row>
        <row r="11689">
          <cell r="A11689">
            <v>45717</v>
          </cell>
          <cell r="B11689" t="str">
            <v>Bí Ngòi Xanh</v>
          </cell>
          <cell r="C11689" t="str">
            <v>Kg</v>
          </cell>
          <cell r="D11689">
            <v>13000</v>
          </cell>
        </row>
        <row r="11690">
          <cell r="A11690">
            <v>45717</v>
          </cell>
          <cell r="B11690" t="str">
            <v>Củ Hành Tây</v>
          </cell>
          <cell r="C11690" t="str">
            <v>Kg</v>
          </cell>
          <cell r="D11690">
            <v>6000</v>
          </cell>
        </row>
        <row r="11691">
          <cell r="A11691">
            <v>45717</v>
          </cell>
          <cell r="B11691" t="str">
            <v>Bí Ngòi Vàng</v>
          </cell>
          <cell r="C11691" t="str">
            <v>Kg</v>
          </cell>
          <cell r="D11691">
            <v>20000</v>
          </cell>
        </row>
        <row r="11692">
          <cell r="A11692">
            <v>45717</v>
          </cell>
          <cell r="B11692" t="str">
            <v>Cà Chua Socola</v>
          </cell>
          <cell r="C11692" t="str">
            <v>Hộp 250GR</v>
          </cell>
          <cell r="D11692">
            <v>10000</v>
          </cell>
        </row>
        <row r="11693">
          <cell r="A11693">
            <v>45717</v>
          </cell>
          <cell r="B11693" t="str">
            <v>Rau Bầu Đất</v>
          </cell>
          <cell r="C11693" t="str">
            <v>Kg</v>
          </cell>
          <cell r="D11693">
            <v>35000</v>
          </cell>
        </row>
        <row r="11694">
          <cell r="A11694">
            <v>45717</v>
          </cell>
          <cell r="B11694" t="str">
            <v>Lá Tía Tô</v>
          </cell>
          <cell r="C11694" t="str">
            <v>Kg</v>
          </cell>
          <cell r="D11694">
            <v>32000</v>
          </cell>
        </row>
        <row r="11695">
          <cell r="A11695">
            <v>45717</v>
          </cell>
          <cell r="B11695" t="str">
            <v>Ớt Sweet Palemo</v>
          </cell>
          <cell r="C11695" t="str">
            <v>Túi</v>
          </cell>
          <cell r="D11695">
            <v>16000</v>
          </cell>
        </row>
        <row r="11696">
          <cell r="A11696">
            <v>45717</v>
          </cell>
          <cell r="B11696" t="str">
            <v>Củ Khoai Lang Nhật</v>
          </cell>
          <cell r="C11696" t="str">
            <v>Kg</v>
          </cell>
          <cell r="D11696">
            <v>14500</v>
          </cell>
        </row>
        <row r="11697">
          <cell r="A11697">
            <v>45717</v>
          </cell>
          <cell r="B11697" t="str">
            <v>Xà Lách Thủy Tinh T.C Cây</v>
          </cell>
          <cell r="C11697" t="str">
            <v>Cây</v>
          </cell>
          <cell r="D11697">
            <v>5000</v>
          </cell>
        </row>
        <row r="11698">
          <cell r="A11698">
            <v>45717</v>
          </cell>
          <cell r="B11698" t="str">
            <v>Cà Chua Thường</v>
          </cell>
          <cell r="C11698" t="str">
            <v>Kg</v>
          </cell>
          <cell r="D11698">
            <v>14000</v>
          </cell>
        </row>
        <row r="11699">
          <cell r="A11699">
            <v>45717</v>
          </cell>
          <cell r="B11699" t="str">
            <v>Cà Chua Thường Trung</v>
          </cell>
          <cell r="C11699" t="str">
            <v>Kg</v>
          </cell>
          <cell r="D11699">
            <v>10000</v>
          </cell>
        </row>
        <row r="11700">
          <cell r="A11700">
            <v>45717</v>
          </cell>
          <cell r="B11700" t="str">
            <v>Cà Rốt</v>
          </cell>
          <cell r="C11700" t="str">
            <v>Kg</v>
          </cell>
          <cell r="D11700">
            <v>6500</v>
          </cell>
        </row>
        <row r="11701">
          <cell r="A11701">
            <v>45717</v>
          </cell>
          <cell r="B11701" t="str">
            <v>Bông Cải Xanh 7Cm</v>
          </cell>
          <cell r="C11701" t="str">
            <v>Kg</v>
          </cell>
          <cell r="D11701">
            <v>19000</v>
          </cell>
        </row>
        <row r="11702">
          <cell r="A11702">
            <v>45717</v>
          </cell>
          <cell r="B11702" t="str">
            <v>Ớt Chuông Đỏ</v>
          </cell>
          <cell r="C11702" t="str">
            <v>Kg</v>
          </cell>
          <cell r="D11702">
            <v>20000</v>
          </cell>
        </row>
        <row r="11703">
          <cell r="A11703">
            <v>45717</v>
          </cell>
          <cell r="B11703" t="str">
            <v>Cà Chua Beef</v>
          </cell>
          <cell r="C11703" t="str">
            <v>Kg</v>
          </cell>
          <cell r="D11703">
            <v>15000</v>
          </cell>
        </row>
        <row r="11704">
          <cell r="A11704">
            <v>45717</v>
          </cell>
          <cell r="B11704" t="str">
            <v>Cà Chua Beef Chùm</v>
          </cell>
          <cell r="C11704" t="str">
            <v>Kg</v>
          </cell>
          <cell r="D11704">
            <v>15000</v>
          </cell>
        </row>
        <row r="11705">
          <cell r="A11705">
            <v>45717</v>
          </cell>
          <cell r="B11705" t="str">
            <v>Cà Chua Beef Trung</v>
          </cell>
          <cell r="C11705" t="str">
            <v>Kg</v>
          </cell>
          <cell r="D11705">
            <v>10000</v>
          </cell>
        </row>
        <row r="11706">
          <cell r="A11706">
            <v>45717</v>
          </cell>
          <cell r="B11706" t="str">
            <v>Cà Rốt</v>
          </cell>
          <cell r="C11706" t="str">
            <v>Kg</v>
          </cell>
          <cell r="D11706">
            <v>6000</v>
          </cell>
        </row>
        <row r="11707">
          <cell r="A11707">
            <v>45717</v>
          </cell>
          <cell r="B11707" t="str">
            <v>Củ Cải Trắng</v>
          </cell>
          <cell r="C11707" t="str">
            <v>Kg</v>
          </cell>
          <cell r="D11707">
            <v>4500</v>
          </cell>
        </row>
        <row r="11708">
          <cell r="A11708">
            <v>45717</v>
          </cell>
          <cell r="B11708" t="str">
            <v>Đậu Cove Nhật</v>
          </cell>
          <cell r="C11708" t="str">
            <v>Túi</v>
          </cell>
          <cell r="D11708">
            <v>6000</v>
          </cell>
        </row>
        <row r="11709">
          <cell r="A11709">
            <v>45717</v>
          </cell>
          <cell r="B11709" t="str">
            <v>Đậu Cove Trắng</v>
          </cell>
          <cell r="C11709" t="str">
            <v>Túi 500gr</v>
          </cell>
          <cell r="D11709">
            <v>6500</v>
          </cell>
        </row>
        <row r="11710">
          <cell r="A11710">
            <v>45717</v>
          </cell>
          <cell r="B11710" t="str">
            <v>Củ Dền</v>
          </cell>
          <cell r="C11710" t="str">
            <v>Kg</v>
          </cell>
          <cell r="D11710">
            <v>7000</v>
          </cell>
        </row>
        <row r="11711">
          <cell r="A11711">
            <v>45717</v>
          </cell>
          <cell r="B11711" t="str">
            <v>Trái Su Su</v>
          </cell>
          <cell r="C11711" t="str">
            <v>Kg</v>
          </cell>
          <cell r="D11711">
            <v>5000</v>
          </cell>
        </row>
        <row r="11712">
          <cell r="A11712">
            <v>45717</v>
          </cell>
          <cell r="B11712" t="str">
            <v>Xà Lách Mỡ T.C</v>
          </cell>
          <cell r="C11712" t="str">
            <v>Kg</v>
          </cell>
          <cell r="D11712">
            <v>24000</v>
          </cell>
        </row>
        <row r="11713">
          <cell r="A11713">
            <v>45717</v>
          </cell>
          <cell r="B11713" t="str">
            <v>Xà Lách Lolo Xanh T.C</v>
          </cell>
          <cell r="C11713" t="str">
            <v>Kg</v>
          </cell>
          <cell r="D11713">
            <v>25000</v>
          </cell>
        </row>
        <row r="11714">
          <cell r="A11714">
            <v>45717</v>
          </cell>
          <cell r="B11714" t="str">
            <v>Xà Lách Thủy Tinh T.C</v>
          </cell>
          <cell r="C11714" t="str">
            <v>Kg</v>
          </cell>
          <cell r="D11714">
            <v>25000</v>
          </cell>
        </row>
        <row r="11715">
          <cell r="A11715">
            <v>45717</v>
          </cell>
          <cell r="B11715" t="str">
            <v>Củ Su Hào</v>
          </cell>
          <cell r="C11715" t="str">
            <v>Kg</v>
          </cell>
          <cell r="D11715">
            <v>9000</v>
          </cell>
        </row>
        <row r="11716">
          <cell r="A11716">
            <v>45717</v>
          </cell>
          <cell r="B11716" t="str">
            <v>Củ Hành Tây</v>
          </cell>
          <cell r="C11716" t="str">
            <v>Kg</v>
          </cell>
          <cell r="D11716">
            <v>4000</v>
          </cell>
        </row>
        <row r="11717">
          <cell r="A11717">
            <v>45717</v>
          </cell>
          <cell r="B11717" t="str">
            <v>Cà Chua Beef</v>
          </cell>
          <cell r="C11717" t="str">
            <v>Kg</v>
          </cell>
          <cell r="D11717">
            <v>15000</v>
          </cell>
        </row>
        <row r="11718">
          <cell r="A11718">
            <v>45717</v>
          </cell>
          <cell r="B11718" t="str">
            <v>Ớt Chuông Baby</v>
          </cell>
          <cell r="C11718" t="str">
            <v>Kg</v>
          </cell>
          <cell r="D11718">
            <v>35000</v>
          </cell>
        </row>
        <row r="11719">
          <cell r="A11719">
            <v>45717</v>
          </cell>
          <cell r="B11719" t="str">
            <v>Ớt Sweet Palemo</v>
          </cell>
          <cell r="C11719" t="str">
            <v>Túi</v>
          </cell>
          <cell r="D11719">
            <v>17000</v>
          </cell>
        </row>
        <row r="11720">
          <cell r="A11720">
            <v>45717</v>
          </cell>
          <cell r="B11720" t="str">
            <v>Bí Ngòi Xanh</v>
          </cell>
          <cell r="C11720" t="str">
            <v>Kg</v>
          </cell>
          <cell r="D11720">
            <v>12000</v>
          </cell>
        </row>
        <row r="11721">
          <cell r="A11721">
            <v>45717</v>
          </cell>
          <cell r="B11721" t="str">
            <v>Cà Rốt</v>
          </cell>
          <cell r="C11721" t="str">
            <v>Kg</v>
          </cell>
          <cell r="D11721">
            <v>6000</v>
          </cell>
        </row>
        <row r="11722">
          <cell r="A11722">
            <v>45717</v>
          </cell>
          <cell r="B11722" t="str">
            <v>Trái Su Su</v>
          </cell>
          <cell r="C11722" t="str">
            <v>Kg</v>
          </cell>
          <cell r="D11722">
            <v>4000</v>
          </cell>
        </row>
        <row r="11723">
          <cell r="A11723">
            <v>45717</v>
          </cell>
          <cell r="B11723" t="str">
            <v>Lá Nha Đam</v>
          </cell>
          <cell r="C11723" t="str">
            <v>Kg</v>
          </cell>
          <cell r="D11723">
            <v>14000</v>
          </cell>
        </row>
        <row r="11724">
          <cell r="A11724">
            <v>45717</v>
          </cell>
          <cell r="B11724" t="str">
            <v>Chuối Laba</v>
          </cell>
          <cell r="C11724" t="str">
            <v>Kg</v>
          </cell>
          <cell r="D11724">
            <v>14000</v>
          </cell>
        </row>
        <row r="11725">
          <cell r="A11725">
            <v>45717</v>
          </cell>
          <cell r="B11725" t="str">
            <v>Bí Đỏ Hồ Lô</v>
          </cell>
          <cell r="C11725" t="str">
            <v>Kg</v>
          </cell>
          <cell r="D11725">
            <v>8000</v>
          </cell>
        </row>
        <row r="11726">
          <cell r="A11726">
            <v>45717</v>
          </cell>
          <cell r="B11726" t="str">
            <v>Củ Khoai Mỡ</v>
          </cell>
          <cell r="C11726" t="str">
            <v>Kg</v>
          </cell>
          <cell r="D11726">
            <v>26000</v>
          </cell>
        </row>
        <row r="11727">
          <cell r="A11727">
            <v>45717</v>
          </cell>
          <cell r="B11727" t="str">
            <v>Đậu Cove Trắng</v>
          </cell>
          <cell r="C11727" t="str">
            <v>Túi 500gr</v>
          </cell>
          <cell r="D11727">
            <v>9000</v>
          </cell>
        </row>
        <row r="11728">
          <cell r="A11728">
            <v>45717</v>
          </cell>
          <cell r="B11728" t="str">
            <v>Đậu Cove Trắng</v>
          </cell>
          <cell r="C11728" t="str">
            <v>Túi 300gr</v>
          </cell>
          <cell r="D11728">
            <v>6000</v>
          </cell>
        </row>
        <row r="11729">
          <cell r="A11729">
            <v>45717</v>
          </cell>
          <cell r="B11729" t="str">
            <v>Bí Non Nhật</v>
          </cell>
          <cell r="C11729" t="str">
            <v>Kg</v>
          </cell>
          <cell r="D11729">
            <v>15000</v>
          </cell>
        </row>
        <row r="11730">
          <cell r="A11730">
            <v>45717</v>
          </cell>
          <cell r="B11730" t="str">
            <v>Dưa Leo Baby</v>
          </cell>
          <cell r="C11730" t="str">
            <v>Vỉ</v>
          </cell>
          <cell r="D11730">
            <v>9500</v>
          </cell>
        </row>
        <row r="11731">
          <cell r="A11731">
            <v>45717</v>
          </cell>
          <cell r="B11731" t="str">
            <v>Dưa Leo Nhật</v>
          </cell>
          <cell r="C11731" t="str">
            <v>Kg</v>
          </cell>
          <cell r="D11731">
            <v>16000</v>
          </cell>
        </row>
        <row r="11732">
          <cell r="A11732">
            <v>45717</v>
          </cell>
          <cell r="B11732" t="str">
            <v>Dưa Leo Thường</v>
          </cell>
          <cell r="C11732" t="str">
            <v>Kg</v>
          </cell>
          <cell r="D11732">
            <v>15000</v>
          </cell>
        </row>
        <row r="11733">
          <cell r="A11733">
            <v>45717</v>
          </cell>
          <cell r="B11733" t="str">
            <v>Dưa Leo Baby</v>
          </cell>
          <cell r="C11733" t="str">
            <v>Vỉ</v>
          </cell>
          <cell r="D11733">
            <v>9500</v>
          </cell>
        </row>
        <row r="11734">
          <cell r="A11734">
            <v>45717</v>
          </cell>
          <cell r="B11734" t="str">
            <v>Bắp Cải Tím</v>
          </cell>
          <cell r="C11734" t="str">
            <v>Kg</v>
          </cell>
          <cell r="D11734">
            <v>18000</v>
          </cell>
        </row>
        <row r="11735">
          <cell r="A11735">
            <v>45717</v>
          </cell>
          <cell r="B11735" t="str">
            <v>Ớt Chuông Đỏ</v>
          </cell>
          <cell r="C11735" t="str">
            <v>Kg</v>
          </cell>
          <cell r="D11735">
            <v>24000</v>
          </cell>
        </row>
        <row r="11736">
          <cell r="A11736">
            <v>45717</v>
          </cell>
          <cell r="B11736" t="str">
            <v>Ớt Chuông Vàng</v>
          </cell>
          <cell r="C11736" t="str">
            <v>Kg</v>
          </cell>
          <cell r="D11736">
            <v>26000</v>
          </cell>
        </row>
        <row r="11737">
          <cell r="A11737">
            <v>45717</v>
          </cell>
          <cell r="B11737" t="str">
            <v>Ớt Chuông Xanh</v>
          </cell>
          <cell r="C11737" t="str">
            <v>Kg</v>
          </cell>
          <cell r="D11737">
            <v>30000</v>
          </cell>
        </row>
        <row r="11738">
          <cell r="A11738">
            <v>45717</v>
          </cell>
          <cell r="B11738" t="str">
            <v>Ớt Chuông Baby</v>
          </cell>
          <cell r="C11738" t="str">
            <v>Kg</v>
          </cell>
          <cell r="D11738">
            <v>28000</v>
          </cell>
        </row>
        <row r="11739">
          <cell r="A11739">
            <v>45717</v>
          </cell>
          <cell r="B11739" t="str">
            <v>Ớt Chuông Đỏ Trung</v>
          </cell>
          <cell r="C11739" t="str">
            <v>Kg</v>
          </cell>
          <cell r="D11739">
            <v>19000</v>
          </cell>
        </row>
        <row r="11740">
          <cell r="A11740">
            <v>45717</v>
          </cell>
          <cell r="B11740" t="str">
            <v>Ớt Chuông Vàng Trung</v>
          </cell>
          <cell r="C11740" t="str">
            <v>Kg</v>
          </cell>
          <cell r="D11740">
            <v>21000</v>
          </cell>
        </row>
        <row r="11741">
          <cell r="A11741">
            <v>45717</v>
          </cell>
          <cell r="B11741" t="str">
            <v>Ớt Chuông Xanh Trung</v>
          </cell>
          <cell r="C11741" t="str">
            <v>Kg</v>
          </cell>
          <cell r="D11741">
            <v>25000</v>
          </cell>
        </row>
        <row r="11742">
          <cell r="A11742">
            <v>45717</v>
          </cell>
          <cell r="B11742" t="str">
            <v>Cà Chua Bi Đỏ</v>
          </cell>
          <cell r="C11742" t="str">
            <v>Hộp 500gr</v>
          </cell>
          <cell r="D11742">
            <v>10000</v>
          </cell>
        </row>
        <row r="11743">
          <cell r="A11743">
            <v>45717</v>
          </cell>
          <cell r="B11743" t="str">
            <v>Cà Chua Bi Đỏ</v>
          </cell>
          <cell r="C11743" t="str">
            <v>Hộp 300gr</v>
          </cell>
          <cell r="D11743">
            <v>6000</v>
          </cell>
        </row>
        <row r="11744">
          <cell r="A11744">
            <v>45717</v>
          </cell>
          <cell r="B11744" t="str">
            <v>Bí Ngòi Xanh</v>
          </cell>
          <cell r="C11744" t="str">
            <v>Kg</v>
          </cell>
          <cell r="D11744">
            <v>12000</v>
          </cell>
        </row>
        <row r="11745">
          <cell r="A11745">
            <v>45717</v>
          </cell>
          <cell r="B11745" t="str">
            <v>Xà Lách Mỡ T.C</v>
          </cell>
          <cell r="C11745" t="str">
            <v>Kg</v>
          </cell>
          <cell r="D11745">
            <v>26000</v>
          </cell>
        </row>
        <row r="11746">
          <cell r="A11746">
            <v>45717</v>
          </cell>
          <cell r="B11746" t="str">
            <v>Xà Lách Lolo Xanh T.C</v>
          </cell>
          <cell r="C11746" t="str">
            <v>Kg</v>
          </cell>
          <cell r="D11746">
            <v>26000</v>
          </cell>
        </row>
        <row r="11747">
          <cell r="A11747">
            <v>45717</v>
          </cell>
          <cell r="B11747" t="str">
            <v>Xà Lách Thủy Tinh T.C Cây</v>
          </cell>
          <cell r="C11747" t="str">
            <v>Cây</v>
          </cell>
          <cell r="D11747">
            <v>7500</v>
          </cell>
        </row>
        <row r="11748">
          <cell r="A11748">
            <v>45717</v>
          </cell>
          <cell r="B11748" t="str">
            <v>Trái Su Su</v>
          </cell>
          <cell r="C11748" t="str">
            <v>Kg</v>
          </cell>
          <cell r="D11748">
            <v>8000</v>
          </cell>
        </row>
        <row r="11749">
          <cell r="A11749">
            <v>45717</v>
          </cell>
          <cell r="B11749" t="str">
            <v>Cà Tím</v>
          </cell>
          <cell r="C11749" t="str">
            <v>Kg</v>
          </cell>
          <cell r="D11749">
            <v>8000</v>
          </cell>
        </row>
        <row r="11750">
          <cell r="A11750">
            <v>45717</v>
          </cell>
          <cell r="B11750" t="str">
            <v>Củ Gừng</v>
          </cell>
          <cell r="C11750" t="str">
            <v>Kg</v>
          </cell>
          <cell r="D11750">
            <v>19000</v>
          </cell>
        </row>
        <row r="11751">
          <cell r="A11751">
            <v>45717</v>
          </cell>
          <cell r="B11751" t="str">
            <v>Củ Khoai Mỡ</v>
          </cell>
          <cell r="C11751" t="str">
            <v>Kg</v>
          </cell>
          <cell r="D11751">
            <v>25000</v>
          </cell>
        </row>
        <row r="11752">
          <cell r="A11752">
            <v>45717</v>
          </cell>
          <cell r="B11752" t="str">
            <v>Bông Cải Trắng</v>
          </cell>
          <cell r="C11752" t="str">
            <v>Kg</v>
          </cell>
          <cell r="D11752">
            <v>12000</v>
          </cell>
        </row>
        <row r="11753">
          <cell r="A11753">
            <v>45717</v>
          </cell>
          <cell r="B11753" t="str">
            <v>Bông Cải Xanh Cây</v>
          </cell>
          <cell r="C11753" t="str">
            <v>Cây</v>
          </cell>
          <cell r="D11753">
            <v>5000</v>
          </cell>
        </row>
        <row r="11754">
          <cell r="A11754">
            <v>45717</v>
          </cell>
          <cell r="B11754" t="str">
            <v>Bông Cải Xanh Cây</v>
          </cell>
          <cell r="C11754" t="str">
            <v>Cây</v>
          </cell>
          <cell r="D11754">
            <v>5000</v>
          </cell>
        </row>
        <row r="11755">
          <cell r="A11755">
            <v>45717</v>
          </cell>
          <cell r="B11755" t="str">
            <v>Gia Công Rau Củ Quả</v>
          </cell>
          <cell r="C11755" t="str">
            <v>Kg</v>
          </cell>
          <cell r="D11755">
            <v>1700</v>
          </cell>
        </row>
        <row r="11756">
          <cell r="A11756">
            <v>45717</v>
          </cell>
          <cell r="B11756" t="str">
            <v>Gia Công Rau Củ Quả</v>
          </cell>
          <cell r="C11756" t="str">
            <v>Kg</v>
          </cell>
          <cell r="D11756">
            <v>700</v>
          </cell>
        </row>
        <row r="11757">
          <cell r="A11757">
            <v>45717</v>
          </cell>
          <cell r="B11757" t="str">
            <v>Gia Công Rau Củ Quả</v>
          </cell>
          <cell r="C11757" t="str">
            <v>Kg</v>
          </cell>
          <cell r="D11757">
            <v>1000</v>
          </cell>
        </row>
        <row r="11758">
          <cell r="A11758">
            <v>45717</v>
          </cell>
          <cell r="B11758" t="str">
            <v>Trái Su Su</v>
          </cell>
          <cell r="C11758" t="str">
            <v>Kg</v>
          </cell>
          <cell r="D11758">
            <v>3000</v>
          </cell>
        </row>
        <row r="11759">
          <cell r="A11759">
            <v>45717</v>
          </cell>
          <cell r="B11759" t="str">
            <v>Dưa Leo Baby</v>
          </cell>
          <cell r="C11759" t="str">
            <v>Vỉ</v>
          </cell>
          <cell r="D11759">
            <v>6500</v>
          </cell>
        </row>
        <row r="11760">
          <cell r="A11760">
            <v>45717</v>
          </cell>
          <cell r="B11760" t="str">
            <v>Bắp Cải Trái Tim</v>
          </cell>
          <cell r="C11760" t="str">
            <v>Kg</v>
          </cell>
          <cell r="D11760">
            <v>5500</v>
          </cell>
        </row>
        <row r="11761">
          <cell r="A11761">
            <v>45717</v>
          </cell>
          <cell r="B11761" t="str">
            <v>Xà Lách Thủy Tinh T.C Cây</v>
          </cell>
          <cell r="C11761" t="str">
            <v>Cây</v>
          </cell>
          <cell r="D11761">
            <v>5500</v>
          </cell>
        </row>
        <row r="11762">
          <cell r="A11762">
            <v>45717</v>
          </cell>
          <cell r="B11762" t="str">
            <v>Bí Ngòi Xanh</v>
          </cell>
          <cell r="C11762" t="str">
            <v>Kg</v>
          </cell>
          <cell r="D11762">
            <v>12500</v>
          </cell>
        </row>
        <row r="11763">
          <cell r="A11763">
            <v>45717</v>
          </cell>
          <cell r="B11763" t="str">
            <v>Củ Khoai Lang Nhật</v>
          </cell>
          <cell r="C11763" t="str">
            <v>Kg</v>
          </cell>
          <cell r="D11763">
            <v>14800</v>
          </cell>
        </row>
        <row r="11764">
          <cell r="A11764">
            <v>45717</v>
          </cell>
          <cell r="B11764" t="str">
            <v>Bí Đao Xanh</v>
          </cell>
          <cell r="C11764" t="str">
            <v>Kg</v>
          </cell>
          <cell r="D11764">
            <v>12000</v>
          </cell>
        </row>
        <row r="11765">
          <cell r="A11765">
            <v>45717</v>
          </cell>
          <cell r="B11765" t="str">
            <v>Dưa Leo Thường</v>
          </cell>
          <cell r="C11765" t="str">
            <v>Kg</v>
          </cell>
          <cell r="D11765">
            <v>13000</v>
          </cell>
        </row>
        <row r="11766">
          <cell r="A11766">
            <v>45717</v>
          </cell>
          <cell r="B11766" t="str">
            <v>Trái Khổ Qua</v>
          </cell>
          <cell r="C11766" t="str">
            <v>Kg</v>
          </cell>
          <cell r="D11766">
            <v>18000</v>
          </cell>
        </row>
        <row r="11767">
          <cell r="A11767">
            <v>45717</v>
          </cell>
          <cell r="B11767" t="str">
            <v>Củ Dền</v>
          </cell>
          <cell r="C11767" t="str">
            <v>Kg</v>
          </cell>
          <cell r="D11767">
            <v>8000</v>
          </cell>
        </row>
        <row r="11768">
          <cell r="A11768">
            <v>45717</v>
          </cell>
          <cell r="B11768" t="str">
            <v>Củ Khoai Tây Vàng</v>
          </cell>
          <cell r="C11768" t="str">
            <v>Kg</v>
          </cell>
          <cell r="D11768">
            <v>11000</v>
          </cell>
        </row>
        <row r="11769">
          <cell r="A11769">
            <v>45717</v>
          </cell>
          <cell r="B11769" t="str">
            <v>Củ Khoai Tây Vàng Trung</v>
          </cell>
          <cell r="C11769" t="str">
            <v>Kg</v>
          </cell>
          <cell r="D11769">
            <v>8000</v>
          </cell>
        </row>
        <row r="11770">
          <cell r="A11770">
            <v>45717</v>
          </cell>
          <cell r="B11770" t="str">
            <v>Xà Lách Thủy Tinh T.C Cây</v>
          </cell>
          <cell r="C11770" t="str">
            <v>Cây</v>
          </cell>
          <cell r="D11770">
            <v>6800</v>
          </cell>
        </row>
        <row r="11771">
          <cell r="A11771">
            <v>45717</v>
          </cell>
          <cell r="B11771" t="str">
            <v>Xà Lách Lolo Xanh T.C Cây</v>
          </cell>
          <cell r="C11771" t="str">
            <v>Cây</v>
          </cell>
          <cell r="D11771">
            <v>6800</v>
          </cell>
        </row>
        <row r="11772">
          <cell r="A11772">
            <v>45717</v>
          </cell>
          <cell r="B11772" t="str">
            <v>Xà Lách Mỡ T.C</v>
          </cell>
          <cell r="C11772" t="str">
            <v>Kg</v>
          </cell>
          <cell r="D11772">
            <v>21000</v>
          </cell>
        </row>
        <row r="11773">
          <cell r="A11773">
            <v>45717</v>
          </cell>
          <cell r="B11773" t="str">
            <v>Xà Lách Thủy Tinh T.C Cây</v>
          </cell>
          <cell r="C11773" t="str">
            <v>Cây</v>
          </cell>
          <cell r="D11773">
            <v>6800</v>
          </cell>
        </row>
        <row r="11774">
          <cell r="A11774">
            <v>45717</v>
          </cell>
          <cell r="B11774" t="str">
            <v>Cà Chua Socola</v>
          </cell>
          <cell r="C11774" t="str">
            <v>Hộp 300gr</v>
          </cell>
          <cell r="D11774">
            <v>12000</v>
          </cell>
        </row>
        <row r="11775">
          <cell r="A11775">
            <v>45717</v>
          </cell>
          <cell r="B11775" t="str">
            <v>Cà Chua Bi Mix</v>
          </cell>
          <cell r="C11775" t="str">
            <v>Hộp</v>
          </cell>
          <cell r="D11775">
            <v>12000</v>
          </cell>
        </row>
        <row r="11776">
          <cell r="A11776">
            <v>45717</v>
          </cell>
          <cell r="B11776" t="str">
            <v>Cải Kale</v>
          </cell>
          <cell r="C11776" t="str">
            <v>Túi</v>
          </cell>
          <cell r="D11776">
            <v>4200</v>
          </cell>
        </row>
        <row r="11777">
          <cell r="A11777">
            <v>45717</v>
          </cell>
          <cell r="B11777" t="str">
            <v>Cải Bó Xôi</v>
          </cell>
          <cell r="C11777" t="str">
            <v>Túi</v>
          </cell>
          <cell r="D11777">
            <v>8700</v>
          </cell>
        </row>
        <row r="11778">
          <cell r="A11778">
            <v>45717</v>
          </cell>
          <cell r="B11778" t="str">
            <v>Cà Chua Beef</v>
          </cell>
          <cell r="C11778" t="str">
            <v>Kg</v>
          </cell>
          <cell r="D11778">
            <v>14000</v>
          </cell>
        </row>
        <row r="11779">
          <cell r="A11779">
            <v>45717</v>
          </cell>
          <cell r="B11779" t="str">
            <v>Cà Chua Beef</v>
          </cell>
          <cell r="C11779" t="str">
            <v>Vỉ 650gr</v>
          </cell>
          <cell r="D11779">
            <v>12350</v>
          </cell>
        </row>
        <row r="11780">
          <cell r="A11780">
            <v>45717</v>
          </cell>
          <cell r="B11780" t="str">
            <v>Cà Chua Beef Trung</v>
          </cell>
          <cell r="C11780" t="str">
            <v>Vỉ 500gr</v>
          </cell>
          <cell r="D11780">
            <v>8000</v>
          </cell>
        </row>
        <row r="11781">
          <cell r="A11781">
            <v>45717</v>
          </cell>
          <cell r="B11781" t="str">
            <v>Cà Chua Beef Trung</v>
          </cell>
          <cell r="C11781" t="str">
            <v>Kg</v>
          </cell>
          <cell r="D11781">
            <v>14000</v>
          </cell>
        </row>
        <row r="11782">
          <cell r="A11782">
            <v>45717</v>
          </cell>
          <cell r="B11782" t="str">
            <v>Bông Cải Xanh Baby</v>
          </cell>
          <cell r="C11782" t="str">
            <v>Vỉ</v>
          </cell>
          <cell r="D11782">
            <v>6000</v>
          </cell>
        </row>
        <row r="11783">
          <cell r="A11783">
            <v>45717</v>
          </cell>
          <cell r="B11783" t="str">
            <v>Củ Cải Đỏ</v>
          </cell>
          <cell r="C11783" t="str">
            <v>Hộp</v>
          </cell>
          <cell r="D11783">
            <v>10000</v>
          </cell>
        </row>
        <row r="11784">
          <cell r="A11784">
            <v>45717</v>
          </cell>
          <cell r="B11784" t="str">
            <v>Xà Lách Lolo Xanh</v>
          </cell>
          <cell r="C11784" t="str">
            <v>Kg</v>
          </cell>
          <cell r="D11784">
            <v>12000</v>
          </cell>
        </row>
        <row r="11785">
          <cell r="A11785">
            <v>45717</v>
          </cell>
          <cell r="B11785" t="str">
            <v>Cà Chua Beef Trung</v>
          </cell>
          <cell r="C11785" t="str">
            <v>Vỉ 500gr</v>
          </cell>
          <cell r="D11785">
            <v>8000</v>
          </cell>
        </row>
        <row r="11786">
          <cell r="A11786">
            <v>45717</v>
          </cell>
          <cell r="B11786" t="str">
            <v>Ớt Sweet Palemo</v>
          </cell>
          <cell r="C11786" t="str">
            <v>Túi</v>
          </cell>
          <cell r="D11786">
            <v>16000</v>
          </cell>
        </row>
        <row r="11787">
          <cell r="A11787">
            <v>45717</v>
          </cell>
          <cell r="B11787" t="str">
            <v>Xà Lách Lolo Tím</v>
          </cell>
          <cell r="C11787" t="str">
            <v>Kg</v>
          </cell>
          <cell r="D11787">
            <v>20000</v>
          </cell>
        </row>
        <row r="11788">
          <cell r="A11788">
            <v>45717</v>
          </cell>
          <cell r="B11788" t="str">
            <v>Cà Rốt Baby</v>
          </cell>
          <cell r="C11788" t="str">
            <v>Vỉ</v>
          </cell>
          <cell r="D11788">
            <v>6000</v>
          </cell>
        </row>
        <row r="11789">
          <cell r="A11789">
            <v>45717</v>
          </cell>
          <cell r="B11789" t="str">
            <v>Cải Cầu Vồng</v>
          </cell>
          <cell r="C11789" t="str">
            <v>Túi</v>
          </cell>
          <cell r="D11789">
            <v>3000</v>
          </cell>
        </row>
        <row r="11790">
          <cell r="A11790">
            <v>45717</v>
          </cell>
          <cell r="B11790" t="str">
            <v>Cải Kale</v>
          </cell>
          <cell r="C11790" t="str">
            <v>Túi</v>
          </cell>
          <cell r="D11790">
            <v>2800</v>
          </cell>
        </row>
        <row r="11791">
          <cell r="A11791">
            <v>45717</v>
          </cell>
          <cell r="B11791" t="str">
            <v>Cải Kale</v>
          </cell>
          <cell r="C11791" t="str">
            <v>Túi 150gr</v>
          </cell>
          <cell r="D11791">
            <v>1700</v>
          </cell>
        </row>
        <row r="11792">
          <cell r="A11792">
            <v>45717</v>
          </cell>
          <cell r="B11792" t="str">
            <v>Lá Mè</v>
          </cell>
          <cell r="C11792" t="str">
            <v>Túi</v>
          </cell>
          <cell r="D11792">
            <v>2300</v>
          </cell>
        </row>
        <row r="11793">
          <cell r="A11793">
            <v>45717</v>
          </cell>
          <cell r="B11793" t="str">
            <v>Dưa Leo Baby</v>
          </cell>
          <cell r="C11793" t="str">
            <v>Vỉ</v>
          </cell>
          <cell r="D11793">
            <v>9500</v>
          </cell>
        </row>
        <row r="11794">
          <cell r="A11794">
            <v>45717</v>
          </cell>
          <cell r="B11794" t="str">
            <v>Măng Tây</v>
          </cell>
          <cell r="C11794" t="str">
            <v>Kg</v>
          </cell>
          <cell r="D11794">
            <v>48000</v>
          </cell>
        </row>
        <row r="11795">
          <cell r="A11795">
            <v>45717</v>
          </cell>
          <cell r="B11795" t="str">
            <v>Lá É</v>
          </cell>
          <cell r="C11795" t="str">
            <v>Kg</v>
          </cell>
          <cell r="D11795">
            <v>30000</v>
          </cell>
        </row>
        <row r="11796">
          <cell r="A11796">
            <v>45717</v>
          </cell>
          <cell r="B11796" t="str">
            <v>Sen Đá</v>
          </cell>
          <cell r="C11796" t="str">
            <v>Chậu</v>
          </cell>
          <cell r="D11796">
            <v>50000</v>
          </cell>
        </row>
        <row r="11797">
          <cell r="A11797">
            <v>45717</v>
          </cell>
          <cell r="B11797" t="str">
            <v>Sen Đá</v>
          </cell>
          <cell r="C11797" t="str">
            <v>Giỏ</v>
          </cell>
          <cell r="D11797">
            <v>155000</v>
          </cell>
        </row>
        <row r="11798">
          <cell r="A11798">
            <v>45717</v>
          </cell>
          <cell r="B11798" t="str">
            <v>Xà Lách Lolo Xanh</v>
          </cell>
          <cell r="C11798" t="str">
            <v>Kg</v>
          </cell>
          <cell r="D11798">
            <v>13000</v>
          </cell>
        </row>
        <row r="11799">
          <cell r="A11799">
            <v>45717</v>
          </cell>
          <cell r="B11799" t="str">
            <v>Bắp Cải Trắng</v>
          </cell>
          <cell r="C11799" t="str">
            <v>Kg</v>
          </cell>
          <cell r="D11799">
            <v>4500</v>
          </cell>
        </row>
        <row r="11800">
          <cell r="A11800">
            <v>45717</v>
          </cell>
          <cell r="B11800" t="str">
            <v>Cần Tây</v>
          </cell>
          <cell r="C11800" t="str">
            <v>Kg</v>
          </cell>
          <cell r="D11800">
            <v>9000</v>
          </cell>
        </row>
        <row r="11801">
          <cell r="A11801">
            <v>45718</v>
          </cell>
          <cell r="B11801" t="str">
            <v>DO 0.05S-II</v>
          </cell>
          <cell r="C11801" t="str">
            <v>Lít</v>
          </cell>
          <cell r="D11801">
            <v>17563.64</v>
          </cell>
        </row>
        <row r="11802">
          <cell r="A11802">
            <v>45718</v>
          </cell>
          <cell r="B11802" t="str">
            <v>Dầu DO 0,001S</v>
          </cell>
          <cell r="C11802" t="str">
            <v/>
          </cell>
          <cell r="D11802">
            <v>17945.45</v>
          </cell>
        </row>
        <row r="11803">
          <cell r="A11803">
            <v>45718</v>
          </cell>
          <cell r="B11803" t="str">
            <v>Bông Cải Trắng</v>
          </cell>
          <cell r="C11803" t="str">
            <v>Kg</v>
          </cell>
          <cell r="D11803">
            <v>12000</v>
          </cell>
        </row>
        <row r="11804">
          <cell r="A11804">
            <v>45718</v>
          </cell>
          <cell r="B11804" t="str">
            <v>Bí Ngòi Xanh</v>
          </cell>
          <cell r="C11804" t="str">
            <v>Kg</v>
          </cell>
          <cell r="D11804">
            <v>10000</v>
          </cell>
        </row>
        <row r="11805">
          <cell r="A11805">
            <v>45718</v>
          </cell>
          <cell r="B11805" t="str">
            <v>Bông Cải Trắng</v>
          </cell>
          <cell r="C11805" t="str">
            <v>Kg</v>
          </cell>
          <cell r="D11805">
            <v>12000</v>
          </cell>
        </row>
        <row r="11806">
          <cell r="A11806">
            <v>45718</v>
          </cell>
          <cell r="B11806" t="str">
            <v>Trái Mít Thái</v>
          </cell>
          <cell r="C11806" t="str">
            <v>Kg</v>
          </cell>
          <cell r="D11806">
            <v>20317</v>
          </cell>
        </row>
        <row r="11807">
          <cell r="A11807">
            <v>45718</v>
          </cell>
          <cell r="B11807" t="str">
            <v>Xà Lách Mỹ</v>
          </cell>
          <cell r="C11807" t="str">
            <v>Kg</v>
          </cell>
          <cell r="D11807">
            <v>10000</v>
          </cell>
        </row>
        <row r="11808">
          <cell r="A11808">
            <v>45718</v>
          </cell>
          <cell r="B11808" t="str">
            <v>Cà Chua Socola</v>
          </cell>
          <cell r="C11808" t="str">
            <v>Hộp 250GR</v>
          </cell>
          <cell r="D11808">
            <v>7500</v>
          </cell>
        </row>
        <row r="11809">
          <cell r="A11809">
            <v>45718</v>
          </cell>
          <cell r="B11809" t="str">
            <v>Dưa Leo Baby</v>
          </cell>
          <cell r="C11809" t="str">
            <v>Vỉ</v>
          </cell>
          <cell r="D11809">
            <v>7500</v>
          </cell>
        </row>
        <row r="11810">
          <cell r="A11810">
            <v>45718</v>
          </cell>
          <cell r="B11810" t="str">
            <v>Cải Bó Xôi</v>
          </cell>
          <cell r="C11810" t="str">
            <v>Kg</v>
          </cell>
          <cell r="D11810">
            <v>24000</v>
          </cell>
        </row>
        <row r="11811">
          <cell r="A11811">
            <v>45718</v>
          </cell>
          <cell r="B11811" t="str">
            <v>Lá Mè</v>
          </cell>
          <cell r="C11811" t="str">
            <v>Túi</v>
          </cell>
          <cell r="D11811">
            <v>2300</v>
          </cell>
        </row>
        <row r="11812">
          <cell r="A11812">
            <v>45718</v>
          </cell>
          <cell r="B11812" t="str">
            <v>Ớt Chuông Đỏ</v>
          </cell>
          <cell r="C11812" t="str">
            <v>Kg</v>
          </cell>
          <cell r="D11812">
            <v>19000</v>
          </cell>
        </row>
        <row r="11813">
          <cell r="A11813">
            <v>45718</v>
          </cell>
          <cell r="B11813" t="str">
            <v>Ớt Chuông Vàng</v>
          </cell>
          <cell r="C11813" t="str">
            <v>Kg</v>
          </cell>
          <cell r="D11813">
            <v>19000</v>
          </cell>
        </row>
        <row r="11814">
          <cell r="A11814">
            <v>45718</v>
          </cell>
          <cell r="B11814" t="str">
            <v>Bông Cải Xanh Cây</v>
          </cell>
          <cell r="C11814" t="str">
            <v>Cây</v>
          </cell>
          <cell r="D11814">
            <v>5000</v>
          </cell>
        </row>
        <row r="11815">
          <cell r="A11815">
            <v>45718</v>
          </cell>
          <cell r="B11815" t="str">
            <v>Dưa Leo Baby</v>
          </cell>
          <cell r="C11815" t="str">
            <v>Kg</v>
          </cell>
          <cell r="D11815">
            <v>14000</v>
          </cell>
        </row>
        <row r="11816">
          <cell r="A11816">
            <v>45718</v>
          </cell>
          <cell r="B11816" t="str">
            <v>Cà Chua Socola</v>
          </cell>
          <cell r="C11816" t="str">
            <v>Kg</v>
          </cell>
          <cell r="D11816">
            <v>25000</v>
          </cell>
        </row>
        <row r="11817">
          <cell r="A11817">
            <v>45718</v>
          </cell>
          <cell r="B11817" t="str">
            <v>Gia Công Rau Củ Quả</v>
          </cell>
          <cell r="C11817" t="str">
            <v>Kg</v>
          </cell>
          <cell r="D11817">
            <v>1700</v>
          </cell>
        </row>
        <row r="11818">
          <cell r="A11818">
            <v>45718</v>
          </cell>
          <cell r="B11818" t="str">
            <v>Gia Công Rau Củ Quả</v>
          </cell>
          <cell r="C11818" t="str">
            <v>Kg</v>
          </cell>
          <cell r="D11818">
            <v>700</v>
          </cell>
        </row>
        <row r="11819">
          <cell r="A11819">
            <v>45718</v>
          </cell>
          <cell r="B11819" t="str">
            <v>Gia Công Rau Củ Quả</v>
          </cell>
          <cell r="C11819" t="str">
            <v>Kg</v>
          </cell>
          <cell r="D11819">
            <v>1000</v>
          </cell>
        </row>
        <row r="11820">
          <cell r="A11820">
            <v>45718</v>
          </cell>
          <cell r="B11820" t="str">
            <v>Dưa Leo Baby</v>
          </cell>
          <cell r="C11820" t="str">
            <v>Kg</v>
          </cell>
          <cell r="D11820">
            <v>9500</v>
          </cell>
        </row>
        <row r="11821">
          <cell r="A11821">
            <v>45718</v>
          </cell>
          <cell r="B11821" t="str">
            <v>Ớt Sweet Palemo</v>
          </cell>
          <cell r="C11821" t="str">
            <v>Túi</v>
          </cell>
          <cell r="D11821">
            <v>16000</v>
          </cell>
        </row>
        <row r="11822">
          <cell r="A11822">
            <v>45718</v>
          </cell>
          <cell r="B11822" t="str">
            <v>Bí Ngòi Xanh</v>
          </cell>
          <cell r="C11822" t="str">
            <v>Kg</v>
          </cell>
          <cell r="D11822">
            <v>11000</v>
          </cell>
        </row>
        <row r="11823">
          <cell r="A11823">
            <v>45718</v>
          </cell>
          <cell r="B11823" t="str">
            <v>Hành Paro</v>
          </cell>
          <cell r="C11823" t="str">
            <v>Kg</v>
          </cell>
          <cell r="D11823">
            <v>11000</v>
          </cell>
        </row>
        <row r="11824">
          <cell r="A11824">
            <v>45718</v>
          </cell>
          <cell r="B11824" t="str">
            <v>Lá Tía Tô</v>
          </cell>
          <cell r="C11824" t="str">
            <v>Kg</v>
          </cell>
          <cell r="D11824">
            <v>32000</v>
          </cell>
        </row>
        <row r="11825">
          <cell r="A11825">
            <v>45718</v>
          </cell>
          <cell r="B11825" t="str">
            <v>Bí Ngòi Vàng</v>
          </cell>
          <cell r="C11825" t="str">
            <v>Kg</v>
          </cell>
          <cell r="D11825">
            <v>20000</v>
          </cell>
        </row>
        <row r="11826">
          <cell r="A11826">
            <v>45718</v>
          </cell>
          <cell r="B11826" t="str">
            <v>Cải Thảo Hỏa Tiễn</v>
          </cell>
          <cell r="C11826" t="str">
            <v>Kg</v>
          </cell>
          <cell r="D11826">
            <v>12000</v>
          </cell>
        </row>
        <row r="11827">
          <cell r="A11827">
            <v>45718</v>
          </cell>
          <cell r="B11827" t="str">
            <v>Rau Bầu Đất</v>
          </cell>
          <cell r="C11827" t="str">
            <v>Kg</v>
          </cell>
          <cell r="D11827">
            <v>35000</v>
          </cell>
        </row>
        <row r="11828">
          <cell r="A11828">
            <v>45718</v>
          </cell>
          <cell r="B11828" t="str">
            <v>Xà Lách Lolo Xanh</v>
          </cell>
          <cell r="C11828" t="str">
            <v>Kg</v>
          </cell>
          <cell r="D11828">
            <v>13000</v>
          </cell>
        </row>
        <row r="11829">
          <cell r="A11829">
            <v>45718</v>
          </cell>
          <cell r="B11829" t="str">
            <v>Cà Chua Beef</v>
          </cell>
          <cell r="C11829" t="str">
            <v>Kg</v>
          </cell>
          <cell r="D11829">
            <v>15000</v>
          </cell>
        </row>
        <row r="11830">
          <cell r="A11830">
            <v>45718</v>
          </cell>
          <cell r="B11830" t="str">
            <v>Lá É</v>
          </cell>
          <cell r="C11830" t="str">
            <v>Kg</v>
          </cell>
          <cell r="D11830">
            <v>33000</v>
          </cell>
        </row>
        <row r="11831">
          <cell r="A11831">
            <v>45718</v>
          </cell>
          <cell r="B11831" t="str">
            <v>Củ Dền</v>
          </cell>
          <cell r="C11831" t="str">
            <v>Kg</v>
          </cell>
          <cell r="D11831">
            <v>7000</v>
          </cell>
        </row>
        <row r="11832">
          <cell r="A11832">
            <v>45718</v>
          </cell>
          <cell r="B11832" t="str">
            <v>Củ Khoai Lang Nhật</v>
          </cell>
          <cell r="C11832" t="str">
            <v>Kg</v>
          </cell>
          <cell r="D11832">
            <v>17000</v>
          </cell>
        </row>
        <row r="11833">
          <cell r="A11833">
            <v>45718</v>
          </cell>
          <cell r="B11833" t="str">
            <v>Xà Lách Mỡ T.C</v>
          </cell>
          <cell r="C11833" t="str">
            <v>Kg</v>
          </cell>
          <cell r="D11833">
            <v>24000</v>
          </cell>
        </row>
        <row r="11834">
          <cell r="A11834">
            <v>45718</v>
          </cell>
          <cell r="B11834" t="str">
            <v>Xà Lách Lolo Xanh T.C</v>
          </cell>
          <cell r="C11834" t="str">
            <v>Kg</v>
          </cell>
          <cell r="D11834">
            <v>25000</v>
          </cell>
        </row>
        <row r="11835">
          <cell r="A11835">
            <v>45718</v>
          </cell>
          <cell r="B11835" t="str">
            <v>Xà Lách Thủy Tinh T.C</v>
          </cell>
          <cell r="C11835" t="str">
            <v>Kg</v>
          </cell>
          <cell r="D11835">
            <v>25000</v>
          </cell>
        </row>
        <row r="11836">
          <cell r="A11836">
            <v>45718</v>
          </cell>
          <cell r="B11836" t="str">
            <v>Xà Lách Mỡ T.C</v>
          </cell>
          <cell r="C11836" t="str">
            <v>Kg</v>
          </cell>
          <cell r="D11836">
            <v>26000</v>
          </cell>
        </row>
        <row r="11837">
          <cell r="A11837">
            <v>45718</v>
          </cell>
          <cell r="B11837" t="str">
            <v>Xà Lách Lolo Xanh T.C</v>
          </cell>
          <cell r="C11837" t="str">
            <v>Kg</v>
          </cell>
          <cell r="D11837">
            <v>26000</v>
          </cell>
        </row>
        <row r="11838">
          <cell r="A11838">
            <v>45718</v>
          </cell>
          <cell r="B11838" t="str">
            <v>Xà Lách Thủy Tinh T.C Cây</v>
          </cell>
          <cell r="C11838" t="str">
            <v>Cây</v>
          </cell>
          <cell r="D11838">
            <v>7500</v>
          </cell>
        </row>
        <row r="11839">
          <cell r="A11839">
            <v>45718</v>
          </cell>
          <cell r="B11839" t="str">
            <v>Cà Rốt</v>
          </cell>
          <cell r="C11839" t="str">
            <v>Kg</v>
          </cell>
          <cell r="D11839">
            <v>6000</v>
          </cell>
        </row>
        <row r="11840">
          <cell r="A11840">
            <v>45718</v>
          </cell>
          <cell r="B11840" t="str">
            <v>Cà Chua Thường</v>
          </cell>
          <cell r="C11840" t="str">
            <v>Kg</v>
          </cell>
          <cell r="D11840">
            <v>16000</v>
          </cell>
        </row>
        <row r="11841">
          <cell r="A11841">
            <v>45718</v>
          </cell>
          <cell r="B11841" t="str">
            <v>Cà Chua Thường Trung</v>
          </cell>
          <cell r="C11841" t="str">
            <v>Kg</v>
          </cell>
          <cell r="D11841">
            <v>12000</v>
          </cell>
        </row>
        <row r="11842">
          <cell r="A11842">
            <v>45718</v>
          </cell>
          <cell r="B11842" t="str">
            <v>Bí Ngòi Xanh</v>
          </cell>
          <cell r="C11842" t="str">
            <v>Kg</v>
          </cell>
          <cell r="D11842">
            <v>10000</v>
          </cell>
        </row>
        <row r="11843">
          <cell r="A11843">
            <v>45718</v>
          </cell>
          <cell r="B11843" t="str">
            <v>Xà Lách Thủy Tinh T.C Cây</v>
          </cell>
          <cell r="C11843" t="str">
            <v>Cây</v>
          </cell>
          <cell r="D11843">
            <v>5000</v>
          </cell>
        </row>
        <row r="11844">
          <cell r="A11844">
            <v>45718</v>
          </cell>
          <cell r="B11844" t="str">
            <v>Củ Khoai Lang Nhật</v>
          </cell>
          <cell r="C11844" t="str">
            <v>Kg</v>
          </cell>
          <cell r="D11844">
            <v>14500</v>
          </cell>
        </row>
        <row r="11845">
          <cell r="A11845">
            <v>45718</v>
          </cell>
          <cell r="B11845" t="str">
            <v>Củ Khoai Mỡ</v>
          </cell>
          <cell r="C11845" t="str">
            <v>Kg</v>
          </cell>
          <cell r="D11845">
            <v>25000</v>
          </cell>
        </row>
        <row r="11846">
          <cell r="A11846">
            <v>45718</v>
          </cell>
          <cell r="B11846" t="str">
            <v>Củ Gừng</v>
          </cell>
          <cell r="C11846" t="str">
            <v>Kg</v>
          </cell>
          <cell r="D11846">
            <v>19000</v>
          </cell>
        </row>
        <row r="11847">
          <cell r="A11847">
            <v>45718</v>
          </cell>
          <cell r="B11847" t="str">
            <v>Củ Khoai Lang Nhật</v>
          </cell>
          <cell r="C11847" t="str">
            <v>Kg</v>
          </cell>
          <cell r="D11847">
            <v>14800</v>
          </cell>
        </row>
        <row r="11848">
          <cell r="A11848">
            <v>45718</v>
          </cell>
          <cell r="B11848" t="str">
            <v>Cà Tím</v>
          </cell>
          <cell r="C11848" t="str">
            <v>Kg</v>
          </cell>
          <cell r="D11848">
            <v>8000</v>
          </cell>
        </row>
        <row r="11849">
          <cell r="A11849">
            <v>45718</v>
          </cell>
          <cell r="B11849" t="str">
            <v>Trái Su Su</v>
          </cell>
          <cell r="C11849" t="str">
            <v>Kg</v>
          </cell>
          <cell r="D11849">
            <v>8000</v>
          </cell>
        </row>
        <row r="11850">
          <cell r="A11850">
            <v>45718</v>
          </cell>
          <cell r="B11850" t="str">
            <v>Trái Khổ Qua</v>
          </cell>
          <cell r="C11850" t="str">
            <v>Kg</v>
          </cell>
          <cell r="D11850">
            <v>18000</v>
          </cell>
        </row>
        <row r="11851">
          <cell r="A11851">
            <v>45718</v>
          </cell>
          <cell r="B11851" t="str">
            <v>Củ Dền</v>
          </cell>
          <cell r="C11851" t="str">
            <v>Kg</v>
          </cell>
          <cell r="D11851">
            <v>8000</v>
          </cell>
        </row>
        <row r="11852">
          <cell r="A11852">
            <v>45718</v>
          </cell>
          <cell r="B11852" t="str">
            <v>Sen Đá</v>
          </cell>
          <cell r="C11852" t="str">
            <v>Chậu</v>
          </cell>
          <cell r="D11852">
            <v>50000</v>
          </cell>
        </row>
        <row r="11853">
          <cell r="A11853">
            <v>45718</v>
          </cell>
          <cell r="B11853" t="str">
            <v>Ớt Chuông Baby</v>
          </cell>
          <cell r="C11853" t="str">
            <v>Kg</v>
          </cell>
          <cell r="D11853">
            <v>35000</v>
          </cell>
        </row>
        <row r="11854">
          <cell r="A11854">
            <v>45718</v>
          </cell>
          <cell r="B11854" t="str">
            <v>Ớt Sweet Palemo</v>
          </cell>
          <cell r="C11854" t="str">
            <v>Túi</v>
          </cell>
          <cell r="D11854">
            <v>17000</v>
          </cell>
        </row>
        <row r="11855">
          <cell r="A11855">
            <v>45718</v>
          </cell>
          <cell r="B11855" t="str">
            <v>Cần Tây</v>
          </cell>
          <cell r="C11855" t="str">
            <v>Kg</v>
          </cell>
          <cell r="D11855">
            <v>9000</v>
          </cell>
        </row>
        <row r="11856">
          <cell r="A11856">
            <v>45718</v>
          </cell>
          <cell r="B11856" t="str">
            <v>Đậu Cove Nhật</v>
          </cell>
          <cell r="C11856" t="str">
            <v>Túi</v>
          </cell>
          <cell r="D11856">
            <v>6000</v>
          </cell>
        </row>
        <row r="11857">
          <cell r="A11857">
            <v>45718</v>
          </cell>
          <cell r="B11857" t="str">
            <v>Đậu Cove Trắng</v>
          </cell>
          <cell r="C11857" t="str">
            <v>Túi 500gr</v>
          </cell>
          <cell r="D11857">
            <v>6500</v>
          </cell>
        </row>
        <row r="11858">
          <cell r="A11858">
            <v>45718</v>
          </cell>
          <cell r="B11858" t="str">
            <v>Củ Cải Trắng</v>
          </cell>
          <cell r="C11858" t="str">
            <v>Kg</v>
          </cell>
          <cell r="D11858">
            <v>4500</v>
          </cell>
        </row>
        <row r="11859">
          <cell r="A11859">
            <v>45718</v>
          </cell>
          <cell r="B11859" t="str">
            <v>Cà Rốt</v>
          </cell>
          <cell r="C11859" t="str">
            <v>Kg</v>
          </cell>
          <cell r="D11859">
            <v>6000</v>
          </cell>
        </row>
        <row r="11860">
          <cell r="A11860">
            <v>45718</v>
          </cell>
          <cell r="B11860" t="str">
            <v>Cà Chua Bi Đỏ</v>
          </cell>
          <cell r="C11860" t="str">
            <v>Hộp 500gr</v>
          </cell>
          <cell r="D11860">
            <v>10000</v>
          </cell>
        </row>
        <row r="11861">
          <cell r="A11861">
            <v>45718</v>
          </cell>
          <cell r="B11861" t="str">
            <v>Cà Chua Bi Đỏ</v>
          </cell>
          <cell r="C11861" t="str">
            <v>Hộp 300gr</v>
          </cell>
          <cell r="D11861">
            <v>6000</v>
          </cell>
        </row>
        <row r="11862">
          <cell r="A11862">
            <v>45718</v>
          </cell>
          <cell r="B11862" t="str">
            <v>Ớt Chuông Đỏ</v>
          </cell>
          <cell r="C11862" t="str">
            <v>Kg</v>
          </cell>
          <cell r="D11862">
            <v>24000</v>
          </cell>
        </row>
        <row r="11863">
          <cell r="A11863">
            <v>45718</v>
          </cell>
          <cell r="B11863" t="str">
            <v>Ớt Chuông Vàng</v>
          </cell>
          <cell r="C11863" t="str">
            <v>Kg</v>
          </cell>
          <cell r="D11863">
            <v>26000</v>
          </cell>
        </row>
        <row r="11864">
          <cell r="A11864">
            <v>45718</v>
          </cell>
          <cell r="B11864" t="str">
            <v>Ớt Chuông Xanh</v>
          </cell>
          <cell r="C11864" t="str">
            <v>Kg</v>
          </cell>
          <cell r="D11864">
            <v>30000</v>
          </cell>
        </row>
        <row r="11865">
          <cell r="A11865">
            <v>45718</v>
          </cell>
          <cell r="B11865" t="str">
            <v>Ớt Chuông Đỏ Trung</v>
          </cell>
          <cell r="C11865" t="str">
            <v>Kg</v>
          </cell>
          <cell r="D11865">
            <v>19000</v>
          </cell>
        </row>
        <row r="11866">
          <cell r="A11866">
            <v>45718</v>
          </cell>
          <cell r="B11866" t="str">
            <v>Ớt Chuông Vàng Trung</v>
          </cell>
          <cell r="C11866" t="str">
            <v>Kg</v>
          </cell>
          <cell r="D11866">
            <v>21000</v>
          </cell>
        </row>
        <row r="11867">
          <cell r="A11867">
            <v>45718</v>
          </cell>
          <cell r="B11867" t="str">
            <v>Ớt Chuông Xanh Trung</v>
          </cell>
          <cell r="C11867" t="str">
            <v>Kg</v>
          </cell>
          <cell r="D11867">
            <v>25000</v>
          </cell>
        </row>
        <row r="11868">
          <cell r="A11868">
            <v>45718</v>
          </cell>
          <cell r="B11868" t="str">
            <v>Ớt Chuông Baby</v>
          </cell>
          <cell r="C11868" t="str">
            <v>Kg</v>
          </cell>
          <cell r="D11868">
            <v>28000</v>
          </cell>
        </row>
        <row r="11869">
          <cell r="A11869">
            <v>45718</v>
          </cell>
          <cell r="B11869" t="str">
            <v>Ớt Chuông Snack</v>
          </cell>
          <cell r="C11869" t="str">
            <v>Kg</v>
          </cell>
          <cell r="D11869">
            <v>50000</v>
          </cell>
        </row>
        <row r="11870">
          <cell r="A11870">
            <v>45718</v>
          </cell>
          <cell r="B11870" t="str">
            <v>Bắp Cải Tím</v>
          </cell>
          <cell r="C11870" t="str">
            <v>Kg</v>
          </cell>
          <cell r="D11870">
            <v>18000</v>
          </cell>
        </row>
        <row r="11871">
          <cell r="A11871">
            <v>45718</v>
          </cell>
          <cell r="B11871" t="str">
            <v>Dưa Leo Baby</v>
          </cell>
          <cell r="C11871" t="str">
            <v>Vỉ</v>
          </cell>
          <cell r="D11871">
            <v>10000</v>
          </cell>
        </row>
        <row r="11872">
          <cell r="A11872">
            <v>45718</v>
          </cell>
          <cell r="B11872" t="str">
            <v>Đậu Cove Trắng</v>
          </cell>
          <cell r="C11872" t="str">
            <v>Túi 300gr</v>
          </cell>
          <cell r="D11872">
            <v>6000</v>
          </cell>
        </row>
        <row r="11873">
          <cell r="A11873">
            <v>45718</v>
          </cell>
          <cell r="B11873" t="str">
            <v>Dưa Leo Baby</v>
          </cell>
          <cell r="C11873" t="str">
            <v>Vỉ</v>
          </cell>
          <cell r="D11873">
            <v>10000</v>
          </cell>
        </row>
        <row r="11874">
          <cell r="A11874">
            <v>45718</v>
          </cell>
          <cell r="B11874" t="str">
            <v>Dưa Leo Thường</v>
          </cell>
          <cell r="C11874" t="str">
            <v>Kg</v>
          </cell>
          <cell r="D11874">
            <v>15000</v>
          </cell>
        </row>
        <row r="11875">
          <cell r="A11875">
            <v>45718</v>
          </cell>
          <cell r="B11875" t="str">
            <v>Dưa Leo Nhật</v>
          </cell>
          <cell r="C11875" t="str">
            <v>Kg</v>
          </cell>
          <cell r="D11875">
            <v>16000</v>
          </cell>
        </row>
        <row r="11876">
          <cell r="A11876">
            <v>45718</v>
          </cell>
          <cell r="B11876" t="str">
            <v>Bí Non Nhật</v>
          </cell>
          <cell r="C11876" t="str">
            <v>Kg</v>
          </cell>
          <cell r="D11876">
            <v>15000</v>
          </cell>
        </row>
        <row r="11877">
          <cell r="A11877">
            <v>45718</v>
          </cell>
          <cell r="B11877" t="str">
            <v>Cà Rốt</v>
          </cell>
          <cell r="C11877" t="str">
            <v>Kg</v>
          </cell>
          <cell r="D11877">
            <v>6500</v>
          </cell>
        </row>
        <row r="11878">
          <cell r="A11878">
            <v>45718</v>
          </cell>
          <cell r="B11878" t="str">
            <v>Trái Su Su</v>
          </cell>
          <cell r="C11878" t="str">
            <v>Kg</v>
          </cell>
          <cell r="D11878">
            <v>4500</v>
          </cell>
        </row>
        <row r="11879">
          <cell r="A11879">
            <v>45718</v>
          </cell>
          <cell r="B11879" t="str">
            <v>Bí Đỏ Hồ Lô</v>
          </cell>
          <cell r="C11879" t="str">
            <v>Kg</v>
          </cell>
          <cell r="D11879">
            <v>8000</v>
          </cell>
        </row>
        <row r="11880">
          <cell r="A11880">
            <v>45718</v>
          </cell>
          <cell r="B11880" t="str">
            <v>Bí Đỏ Tròn</v>
          </cell>
          <cell r="C11880" t="str">
            <v>Kg</v>
          </cell>
          <cell r="D11880">
            <v>10500</v>
          </cell>
        </row>
        <row r="11881">
          <cell r="A11881">
            <v>45718</v>
          </cell>
          <cell r="B11881" t="str">
            <v>Chuối Laba</v>
          </cell>
          <cell r="C11881" t="str">
            <v>Kg</v>
          </cell>
          <cell r="D11881">
            <v>14000</v>
          </cell>
        </row>
        <row r="11882">
          <cell r="A11882">
            <v>45718</v>
          </cell>
          <cell r="B11882" t="str">
            <v>Củ Su Hào</v>
          </cell>
          <cell r="C11882" t="str">
            <v>Kg</v>
          </cell>
          <cell r="D11882">
            <v>9000</v>
          </cell>
        </row>
        <row r="11883">
          <cell r="A11883">
            <v>45718</v>
          </cell>
          <cell r="B11883" t="str">
            <v>Củ Khoai Tây Vàng</v>
          </cell>
          <cell r="C11883" t="str">
            <v>Kg</v>
          </cell>
          <cell r="D11883">
            <v>11000</v>
          </cell>
        </row>
        <row r="11884">
          <cell r="A11884">
            <v>45718</v>
          </cell>
          <cell r="B11884" t="str">
            <v>Bông Cải Xanh Baby</v>
          </cell>
          <cell r="C11884" t="str">
            <v>Vỉ</v>
          </cell>
          <cell r="D11884">
            <v>6000</v>
          </cell>
        </row>
        <row r="11885">
          <cell r="A11885">
            <v>45718</v>
          </cell>
          <cell r="B11885" t="str">
            <v>Cà Chua Beef Trung</v>
          </cell>
          <cell r="C11885" t="str">
            <v>Vỉ 500gr</v>
          </cell>
          <cell r="D11885">
            <v>8000</v>
          </cell>
        </row>
        <row r="11886">
          <cell r="A11886">
            <v>45718</v>
          </cell>
          <cell r="B11886" t="str">
            <v>Cải Kale</v>
          </cell>
          <cell r="C11886" t="str">
            <v>Túi 150gr</v>
          </cell>
          <cell r="D11886">
            <v>1700</v>
          </cell>
        </row>
        <row r="11887">
          <cell r="A11887">
            <v>45718</v>
          </cell>
          <cell r="B11887" t="str">
            <v>Lá Hương Thảo</v>
          </cell>
          <cell r="C11887" t="str">
            <v>Kg</v>
          </cell>
          <cell r="D11887">
            <v>130000</v>
          </cell>
        </row>
        <row r="11888">
          <cell r="A11888">
            <v>45718</v>
          </cell>
          <cell r="B11888" t="str">
            <v>Lá Quế Tây</v>
          </cell>
          <cell r="C11888" t="str">
            <v>Kg</v>
          </cell>
          <cell r="D11888">
            <v>80000</v>
          </cell>
        </row>
        <row r="11889">
          <cell r="A11889">
            <v>45718</v>
          </cell>
          <cell r="B11889" t="str">
            <v>Ớt Sweet Palemo</v>
          </cell>
          <cell r="C11889" t="str">
            <v>Túi</v>
          </cell>
          <cell r="D11889">
            <v>16000</v>
          </cell>
        </row>
        <row r="11890">
          <cell r="A11890">
            <v>45718</v>
          </cell>
          <cell r="B11890" t="str">
            <v>Xà Lách Romaine</v>
          </cell>
          <cell r="C11890" t="str">
            <v>Kg</v>
          </cell>
          <cell r="D11890">
            <v>15000</v>
          </cell>
        </row>
        <row r="11891">
          <cell r="A11891">
            <v>45718</v>
          </cell>
          <cell r="B11891" t="str">
            <v>Cà Rốt Baby</v>
          </cell>
          <cell r="C11891" t="str">
            <v>Vỉ</v>
          </cell>
          <cell r="D11891">
            <v>6000</v>
          </cell>
        </row>
        <row r="11892">
          <cell r="A11892">
            <v>45718</v>
          </cell>
          <cell r="B11892" t="str">
            <v>Cải Cầu Vồng</v>
          </cell>
          <cell r="C11892" t="str">
            <v>Túi</v>
          </cell>
          <cell r="D11892">
            <v>3000</v>
          </cell>
        </row>
        <row r="11893">
          <cell r="A11893">
            <v>45718</v>
          </cell>
          <cell r="B11893" t="str">
            <v>Lá Mè</v>
          </cell>
          <cell r="C11893" t="str">
            <v>Túi</v>
          </cell>
          <cell r="D11893">
            <v>2300</v>
          </cell>
        </row>
        <row r="11894">
          <cell r="A11894">
            <v>45718</v>
          </cell>
          <cell r="B11894" t="str">
            <v>Dưa Leo Baby</v>
          </cell>
          <cell r="C11894" t="str">
            <v>Vỉ</v>
          </cell>
          <cell r="D11894">
            <v>10000</v>
          </cell>
        </row>
        <row r="11895">
          <cell r="A11895">
            <v>45718</v>
          </cell>
          <cell r="B11895" t="str">
            <v>Xà Lách Thủy Tinh T.C Cây</v>
          </cell>
          <cell r="C11895" t="str">
            <v>Cây</v>
          </cell>
          <cell r="D11895">
            <v>6800</v>
          </cell>
        </row>
        <row r="11896">
          <cell r="A11896">
            <v>45718</v>
          </cell>
          <cell r="B11896" t="str">
            <v>Xà Lách Lolo Xanh T.C Cây</v>
          </cell>
          <cell r="C11896" t="str">
            <v>Cây</v>
          </cell>
          <cell r="D11896">
            <v>6800</v>
          </cell>
        </row>
        <row r="11897">
          <cell r="A11897">
            <v>45718</v>
          </cell>
          <cell r="B11897" t="str">
            <v>Xà Lách Mỡ T.C</v>
          </cell>
          <cell r="C11897" t="str">
            <v>Kg</v>
          </cell>
          <cell r="D11897">
            <v>21000</v>
          </cell>
        </row>
        <row r="11898">
          <cell r="A11898">
            <v>45718</v>
          </cell>
          <cell r="B11898" t="str">
            <v>Cải Bó Xôi</v>
          </cell>
          <cell r="C11898" t="str">
            <v>Túi</v>
          </cell>
          <cell r="D11898">
            <v>8700</v>
          </cell>
        </row>
        <row r="11899">
          <cell r="A11899">
            <v>45718</v>
          </cell>
          <cell r="B11899" t="str">
            <v>Cà Chua Bi Mix</v>
          </cell>
          <cell r="C11899" t="str">
            <v>Hộp</v>
          </cell>
          <cell r="D11899">
            <v>12000</v>
          </cell>
        </row>
        <row r="11900">
          <cell r="A11900">
            <v>45718</v>
          </cell>
          <cell r="B11900" t="str">
            <v>Cải Kale</v>
          </cell>
          <cell r="C11900" t="str">
            <v>Túi</v>
          </cell>
          <cell r="D11900">
            <v>4200</v>
          </cell>
        </row>
        <row r="11901">
          <cell r="A11901">
            <v>45718</v>
          </cell>
          <cell r="B11901" t="str">
            <v>Chanh Không Hạt</v>
          </cell>
          <cell r="C11901" t="str">
            <v>Vỉ</v>
          </cell>
          <cell r="D11901">
            <v>8000</v>
          </cell>
        </row>
        <row r="11902">
          <cell r="A11902">
            <v>45718</v>
          </cell>
          <cell r="B11902" t="str">
            <v>Cà Chua Beef Chùm</v>
          </cell>
          <cell r="C11902" t="str">
            <v>Kg</v>
          </cell>
          <cell r="D11902">
            <v>20000</v>
          </cell>
        </row>
        <row r="11903">
          <cell r="A11903">
            <v>45718</v>
          </cell>
          <cell r="B11903" t="str">
            <v>Cà Chua Beef</v>
          </cell>
          <cell r="C11903" t="str">
            <v>Kg</v>
          </cell>
          <cell r="D11903">
            <v>14000</v>
          </cell>
        </row>
        <row r="11904">
          <cell r="A11904">
            <v>45718</v>
          </cell>
          <cell r="B11904" t="str">
            <v>Cà Chua Beef</v>
          </cell>
          <cell r="C11904" t="str">
            <v>Vỉ 650gr</v>
          </cell>
          <cell r="D11904">
            <v>12350</v>
          </cell>
        </row>
        <row r="11905">
          <cell r="A11905">
            <v>45718</v>
          </cell>
          <cell r="B11905" t="str">
            <v>Cà Chua Beef Trung</v>
          </cell>
          <cell r="C11905" t="str">
            <v>Vỉ 500gr</v>
          </cell>
          <cell r="D11905">
            <v>8000</v>
          </cell>
        </row>
        <row r="11906">
          <cell r="A11906">
            <v>45718</v>
          </cell>
          <cell r="B11906" t="str">
            <v>Cà Chua Beef</v>
          </cell>
          <cell r="C11906" t="str">
            <v>Kg</v>
          </cell>
          <cell r="D11906">
            <v>16000</v>
          </cell>
        </row>
        <row r="11907">
          <cell r="A11907">
            <v>45719</v>
          </cell>
          <cell r="B11907" t="str">
            <v>Rổ nhựa 60*40 màu đen</v>
          </cell>
          <cell r="C11907" t="str">
            <v/>
          </cell>
          <cell r="D11907">
            <v>36000</v>
          </cell>
        </row>
        <row r="11908">
          <cell r="A11908">
            <v>45719</v>
          </cell>
          <cell r="B11908" t="str">
            <v>Dầu DO 0,05 S</v>
          </cell>
          <cell r="C11908" t="str">
            <v/>
          </cell>
          <cell r="D11908">
            <v>17227.27</v>
          </cell>
        </row>
        <row r="11909">
          <cell r="A11909">
            <v>45719</v>
          </cell>
          <cell r="B11909" t="str">
            <v>Bông Cải Xanh 7Cm</v>
          </cell>
          <cell r="C11909" t="str">
            <v>Kg</v>
          </cell>
          <cell r="D11909">
            <v>19000</v>
          </cell>
        </row>
        <row r="11910">
          <cell r="A11910">
            <v>45719</v>
          </cell>
          <cell r="B11910" t="str">
            <v>Bông Cải Xanh 7Cm</v>
          </cell>
          <cell r="C11910" t="str">
            <v>Kg</v>
          </cell>
          <cell r="D11910">
            <v>20000</v>
          </cell>
        </row>
        <row r="11911">
          <cell r="A11911">
            <v>45719</v>
          </cell>
          <cell r="B11911" t="str">
            <v>Cà Chua Thường - B</v>
          </cell>
          <cell r="C11911" t="str">
            <v>Kg</v>
          </cell>
          <cell r="D11911">
            <v>3682</v>
          </cell>
        </row>
        <row r="11912">
          <cell r="A11912">
            <v>45719</v>
          </cell>
          <cell r="B11912" t="str">
            <v>Cà Chua Thường - B</v>
          </cell>
          <cell r="C11912" t="str">
            <v>Kg</v>
          </cell>
          <cell r="D11912">
            <v>3682</v>
          </cell>
        </row>
        <row r="11913">
          <cell r="A11913">
            <v>45719</v>
          </cell>
          <cell r="B11913" t="str">
            <v>Củ Hành Tây</v>
          </cell>
          <cell r="C11913" t="str">
            <v>Kg</v>
          </cell>
          <cell r="D11913">
            <v>6500</v>
          </cell>
        </row>
        <row r="11914">
          <cell r="A11914">
            <v>45719</v>
          </cell>
          <cell r="B11914" t="str">
            <v>Củ Hành Tây Tím</v>
          </cell>
          <cell r="C11914" t="str">
            <v>Kg</v>
          </cell>
          <cell r="D11914">
            <v>20000</v>
          </cell>
        </row>
        <row r="11915">
          <cell r="A11915">
            <v>45719</v>
          </cell>
          <cell r="B11915" t="str">
            <v>Dưa Leo Baby</v>
          </cell>
          <cell r="C11915" t="str">
            <v>Kg</v>
          </cell>
          <cell r="D11915">
            <v>14000</v>
          </cell>
        </row>
        <row r="11916">
          <cell r="A11916">
            <v>45719</v>
          </cell>
          <cell r="B11916" t="str">
            <v>Bí Ngòi Xanh</v>
          </cell>
          <cell r="C11916" t="str">
            <v>Kg</v>
          </cell>
          <cell r="D11916">
            <v>9000</v>
          </cell>
        </row>
        <row r="11917">
          <cell r="A11917">
            <v>45719</v>
          </cell>
          <cell r="B11917" t="str">
            <v>Dưa Leo Baby</v>
          </cell>
          <cell r="C11917" t="str">
            <v>Kg</v>
          </cell>
          <cell r="D11917">
            <v>14000</v>
          </cell>
        </row>
        <row r="11918">
          <cell r="A11918">
            <v>45719</v>
          </cell>
          <cell r="B11918" t="str">
            <v>Hồng Treo Gió</v>
          </cell>
          <cell r="C11918" t="str">
            <v>Kg</v>
          </cell>
          <cell r="D11918">
            <v>200000</v>
          </cell>
        </row>
        <row r="11919">
          <cell r="A11919">
            <v>45719</v>
          </cell>
          <cell r="B11919" t="str">
            <v>Dưa Leo Baby</v>
          </cell>
          <cell r="C11919" t="str">
            <v>Kg</v>
          </cell>
          <cell r="D11919">
            <v>9500</v>
          </cell>
        </row>
        <row r="11920">
          <cell r="A11920">
            <v>45719</v>
          </cell>
          <cell r="B11920" t="str">
            <v>Dưa Leo Baby</v>
          </cell>
          <cell r="C11920" t="str">
            <v>Vỉ</v>
          </cell>
          <cell r="D11920">
            <v>7500</v>
          </cell>
        </row>
        <row r="11921">
          <cell r="A11921">
            <v>45719</v>
          </cell>
          <cell r="B11921" t="str">
            <v>Cần Tây</v>
          </cell>
          <cell r="C11921" t="str">
            <v>Kg</v>
          </cell>
          <cell r="D11921">
            <v>10000</v>
          </cell>
        </row>
        <row r="11922">
          <cell r="A11922">
            <v>45719</v>
          </cell>
          <cell r="B11922" t="str">
            <v>Củ Dền</v>
          </cell>
          <cell r="C11922" t="str">
            <v>Kg</v>
          </cell>
          <cell r="D11922">
            <v>8000</v>
          </cell>
        </row>
        <row r="11923">
          <cell r="A11923">
            <v>45719</v>
          </cell>
          <cell r="B11923" t="str">
            <v>Bông Cải Trắng</v>
          </cell>
          <cell r="C11923" t="str">
            <v>Kg</v>
          </cell>
          <cell r="D11923">
            <v>12000</v>
          </cell>
        </row>
        <row r="11924">
          <cell r="A11924">
            <v>45719</v>
          </cell>
          <cell r="B11924" t="str">
            <v>Bí Ngòi Xanh</v>
          </cell>
          <cell r="C11924" t="str">
            <v>Kg</v>
          </cell>
          <cell r="D11924">
            <v>10000</v>
          </cell>
        </row>
        <row r="11925">
          <cell r="A11925">
            <v>45719</v>
          </cell>
          <cell r="B11925" t="str">
            <v>Xà Lách Mỹ</v>
          </cell>
          <cell r="C11925" t="str">
            <v>Kg</v>
          </cell>
          <cell r="D11925">
            <v>10000</v>
          </cell>
        </row>
        <row r="11926">
          <cell r="A11926">
            <v>45719</v>
          </cell>
          <cell r="B11926" t="str">
            <v>Ớt Sweet Palemo</v>
          </cell>
          <cell r="C11926" t="str">
            <v>Túi</v>
          </cell>
          <cell r="D11926">
            <v>17000</v>
          </cell>
        </row>
        <row r="11927">
          <cell r="A11927">
            <v>45719</v>
          </cell>
          <cell r="B11927" t="str">
            <v>Trái Mâm Xôi</v>
          </cell>
          <cell r="C11927" t="str">
            <v>Hộp</v>
          </cell>
          <cell r="D11927">
            <v>35000</v>
          </cell>
        </row>
        <row r="11928">
          <cell r="A11928">
            <v>45719</v>
          </cell>
          <cell r="B11928" t="str">
            <v>Bí Ngòi Xanh</v>
          </cell>
          <cell r="C11928" t="str">
            <v>Kg</v>
          </cell>
          <cell r="D11928">
            <v>10000</v>
          </cell>
        </row>
        <row r="11929">
          <cell r="A11929">
            <v>45719</v>
          </cell>
          <cell r="B11929" t="str">
            <v>Cần Tây</v>
          </cell>
          <cell r="C11929" t="str">
            <v>Kg</v>
          </cell>
          <cell r="D11929">
            <v>9000</v>
          </cell>
        </row>
        <row r="11930">
          <cell r="A11930">
            <v>45719</v>
          </cell>
          <cell r="B11930" t="str">
            <v>Cải Kale</v>
          </cell>
          <cell r="C11930" t="str">
            <v>Túi</v>
          </cell>
          <cell r="D11930">
            <v>3000</v>
          </cell>
        </row>
        <row r="11931">
          <cell r="A11931">
            <v>45719</v>
          </cell>
          <cell r="B11931" t="str">
            <v>Lá Mè</v>
          </cell>
          <cell r="C11931" t="str">
            <v>Túi</v>
          </cell>
          <cell r="D11931">
            <v>2300</v>
          </cell>
        </row>
        <row r="11932">
          <cell r="A11932">
            <v>45719</v>
          </cell>
          <cell r="B11932" t="str">
            <v>Cải Bó Xôi</v>
          </cell>
          <cell r="C11932" t="str">
            <v>Kg</v>
          </cell>
          <cell r="D11932">
            <v>22000</v>
          </cell>
        </row>
        <row r="11933">
          <cell r="A11933">
            <v>45719</v>
          </cell>
          <cell r="B11933" t="str">
            <v>Xà Lách Thủy Tinh T.C Cây</v>
          </cell>
          <cell r="C11933" t="str">
            <v>Cây</v>
          </cell>
          <cell r="D11933">
            <v>5000</v>
          </cell>
        </row>
        <row r="11934">
          <cell r="A11934">
            <v>45719</v>
          </cell>
          <cell r="B11934" t="str">
            <v>Cà Rốt</v>
          </cell>
          <cell r="C11934" t="str">
            <v>Kg</v>
          </cell>
          <cell r="D11934">
            <v>6000</v>
          </cell>
        </row>
        <row r="11935">
          <cell r="A11935">
            <v>45719</v>
          </cell>
          <cell r="B11935" t="str">
            <v>Bí Ngòi Xanh</v>
          </cell>
          <cell r="C11935" t="str">
            <v>Kg</v>
          </cell>
          <cell r="D11935">
            <v>11000</v>
          </cell>
        </row>
        <row r="11936">
          <cell r="A11936">
            <v>45719</v>
          </cell>
          <cell r="B11936" t="str">
            <v>Hành Paro</v>
          </cell>
          <cell r="C11936" t="str">
            <v>Kg</v>
          </cell>
          <cell r="D11936">
            <v>11000</v>
          </cell>
        </row>
        <row r="11937">
          <cell r="A11937">
            <v>45719</v>
          </cell>
          <cell r="B11937" t="str">
            <v>Bí Ngòi Xanh</v>
          </cell>
          <cell r="C11937" t="str">
            <v>Kg</v>
          </cell>
          <cell r="D11937">
            <v>11000</v>
          </cell>
        </row>
        <row r="11938">
          <cell r="A11938">
            <v>45719</v>
          </cell>
          <cell r="B11938" t="str">
            <v>Củ Hành Tây Trung</v>
          </cell>
          <cell r="C11938" t="str">
            <v>Kg</v>
          </cell>
          <cell r="D11938">
            <v>5000</v>
          </cell>
        </row>
        <row r="11939">
          <cell r="A11939">
            <v>45719</v>
          </cell>
          <cell r="B11939" t="str">
            <v>Lá Nha Đam</v>
          </cell>
          <cell r="C11939" t="str">
            <v>Kg</v>
          </cell>
          <cell r="D11939">
            <v>14000</v>
          </cell>
        </row>
        <row r="11940">
          <cell r="A11940">
            <v>45719</v>
          </cell>
          <cell r="B11940" t="str">
            <v>Chuối Laba</v>
          </cell>
          <cell r="C11940" t="str">
            <v>Kg</v>
          </cell>
          <cell r="D11940">
            <v>14000</v>
          </cell>
        </row>
        <row r="11941">
          <cell r="A11941">
            <v>45719</v>
          </cell>
          <cell r="B11941" t="str">
            <v>Bí Đỏ Hồ Lô</v>
          </cell>
          <cell r="C11941" t="str">
            <v>Kg</v>
          </cell>
          <cell r="D11941">
            <v>8000</v>
          </cell>
        </row>
        <row r="11942">
          <cell r="A11942">
            <v>45719</v>
          </cell>
          <cell r="B11942" t="str">
            <v>Củ Khoai Mỡ</v>
          </cell>
          <cell r="C11942" t="str">
            <v>Kg</v>
          </cell>
          <cell r="D11942">
            <v>26000</v>
          </cell>
        </row>
        <row r="11943">
          <cell r="A11943">
            <v>45719</v>
          </cell>
          <cell r="B11943" t="str">
            <v>Củ Su Hào</v>
          </cell>
          <cell r="C11943" t="str">
            <v>Kg</v>
          </cell>
          <cell r="D11943">
            <v>9000</v>
          </cell>
        </row>
        <row r="11944">
          <cell r="A11944">
            <v>45719</v>
          </cell>
          <cell r="B11944" t="str">
            <v>Trái Su Su</v>
          </cell>
          <cell r="C11944" t="str">
            <v>Kg</v>
          </cell>
          <cell r="D11944">
            <v>6000</v>
          </cell>
        </row>
        <row r="11945">
          <cell r="A11945">
            <v>45719</v>
          </cell>
          <cell r="B11945" t="str">
            <v>Củ Dền</v>
          </cell>
          <cell r="C11945" t="str">
            <v>Kg</v>
          </cell>
          <cell r="D11945">
            <v>7000</v>
          </cell>
        </row>
        <row r="11946">
          <cell r="A11946">
            <v>45719</v>
          </cell>
          <cell r="B11946" t="str">
            <v>Củ Khoai Tây Vàng</v>
          </cell>
          <cell r="C11946" t="str">
            <v>Kg</v>
          </cell>
          <cell r="D11946">
            <v>14000</v>
          </cell>
        </row>
        <row r="11947">
          <cell r="A11947">
            <v>45719</v>
          </cell>
          <cell r="B11947" t="str">
            <v>Củ Khoai Tây Vàng Trung</v>
          </cell>
          <cell r="C11947" t="str">
            <v>Kg</v>
          </cell>
          <cell r="D11947">
            <v>10000</v>
          </cell>
        </row>
        <row r="11948">
          <cell r="A11948">
            <v>45719</v>
          </cell>
          <cell r="B11948" t="str">
            <v>Củ Khoai Tây Bi Vàng</v>
          </cell>
          <cell r="C11948" t="str">
            <v>Kg</v>
          </cell>
          <cell r="D11948">
            <v>8000</v>
          </cell>
        </row>
        <row r="11949">
          <cell r="A11949">
            <v>45719</v>
          </cell>
          <cell r="B11949" t="str">
            <v>Củ Khoai Lang Nhật</v>
          </cell>
          <cell r="C11949" t="str">
            <v>Kg</v>
          </cell>
          <cell r="D11949">
            <v>17000</v>
          </cell>
        </row>
        <row r="11950">
          <cell r="A11950">
            <v>45719</v>
          </cell>
          <cell r="B11950" t="str">
            <v>Củ Khoai Lang Nhật Baby</v>
          </cell>
          <cell r="C11950" t="str">
            <v>Kg</v>
          </cell>
          <cell r="D11950">
            <v>15000</v>
          </cell>
        </row>
        <row r="11951">
          <cell r="A11951">
            <v>45719</v>
          </cell>
          <cell r="B11951" t="str">
            <v>Cà Rốt</v>
          </cell>
          <cell r="C11951" t="str">
            <v>Kg</v>
          </cell>
          <cell r="D11951">
            <v>6500</v>
          </cell>
        </row>
        <row r="11952">
          <cell r="A11952">
            <v>45719</v>
          </cell>
          <cell r="B11952" t="str">
            <v>Cà Rốt</v>
          </cell>
          <cell r="C11952" t="str">
            <v>Kg</v>
          </cell>
          <cell r="D11952">
            <v>6000</v>
          </cell>
        </row>
        <row r="11953">
          <cell r="A11953">
            <v>45719</v>
          </cell>
          <cell r="B11953" t="str">
            <v>Cà Rốt Trung</v>
          </cell>
          <cell r="C11953" t="str">
            <v>Kg</v>
          </cell>
          <cell r="D11953">
            <v>5000</v>
          </cell>
        </row>
        <row r="11954">
          <cell r="A11954">
            <v>45719</v>
          </cell>
          <cell r="B11954" t="str">
            <v>Gia Công Rau Củ Quả</v>
          </cell>
          <cell r="C11954" t="str">
            <v>Kg</v>
          </cell>
          <cell r="D11954">
            <v>1000</v>
          </cell>
        </row>
        <row r="11955">
          <cell r="A11955">
            <v>45719</v>
          </cell>
          <cell r="B11955" t="str">
            <v>Gia Công Rau Củ Quả</v>
          </cell>
          <cell r="C11955" t="str">
            <v>Kg</v>
          </cell>
          <cell r="D11955">
            <v>1000</v>
          </cell>
        </row>
        <row r="11956">
          <cell r="A11956">
            <v>45719</v>
          </cell>
          <cell r="B11956" t="str">
            <v>Bông Cải Xanh Cây</v>
          </cell>
          <cell r="C11956" t="str">
            <v>Cây</v>
          </cell>
          <cell r="D11956">
            <v>5000</v>
          </cell>
        </row>
        <row r="11957">
          <cell r="A11957">
            <v>45719</v>
          </cell>
          <cell r="B11957" t="str">
            <v>Bông Cải Xanh Cây</v>
          </cell>
          <cell r="C11957" t="str">
            <v>Cây</v>
          </cell>
          <cell r="D11957">
            <v>5000</v>
          </cell>
        </row>
        <row r="11958">
          <cell r="A11958">
            <v>45719</v>
          </cell>
          <cell r="B11958" t="str">
            <v>Bông Cải Xanh Cây</v>
          </cell>
          <cell r="C11958" t="str">
            <v>Cây</v>
          </cell>
          <cell r="D11958">
            <v>5000</v>
          </cell>
        </row>
        <row r="11959">
          <cell r="A11959">
            <v>45719</v>
          </cell>
          <cell r="B11959" t="str">
            <v>Đậu Đỏ</v>
          </cell>
          <cell r="C11959" t="str">
            <v>Kg</v>
          </cell>
          <cell r="D11959">
            <v>80000</v>
          </cell>
        </row>
        <row r="11960">
          <cell r="A11960">
            <v>45719</v>
          </cell>
          <cell r="B11960" t="str">
            <v>Đậu Ngự</v>
          </cell>
          <cell r="C11960" t="str">
            <v>Kg</v>
          </cell>
          <cell r="D11960">
            <v>70000</v>
          </cell>
        </row>
        <row r="11961">
          <cell r="A11961">
            <v>45719</v>
          </cell>
          <cell r="B11961" t="str">
            <v>Đậu Trắng</v>
          </cell>
          <cell r="C11961" t="str">
            <v>Kg</v>
          </cell>
          <cell r="D11961">
            <v>70000</v>
          </cell>
        </row>
        <row r="11962">
          <cell r="A11962">
            <v>45719</v>
          </cell>
          <cell r="B11962" t="str">
            <v>Bông Cải Trắng</v>
          </cell>
          <cell r="C11962" t="str">
            <v>Kg</v>
          </cell>
          <cell r="D11962">
            <v>12000</v>
          </cell>
        </row>
        <row r="11963">
          <cell r="A11963">
            <v>45719</v>
          </cell>
          <cell r="B11963" t="str">
            <v>Trái Mít Thái</v>
          </cell>
          <cell r="C11963" t="str">
            <v>Kg</v>
          </cell>
          <cell r="D11963">
            <v>20381</v>
          </cell>
        </row>
        <row r="11964">
          <cell r="A11964">
            <v>45719</v>
          </cell>
          <cell r="B11964" t="str">
            <v>Xà Lách Lolo Xanh T.C Cây</v>
          </cell>
          <cell r="C11964" t="str">
            <v>Cây</v>
          </cell>
          <cell r="D11964">
            <v>6800</v>
          </cell>
        </row>
        <row r="11965">
          <cell r="A11965">
            <v>45719</v>
          </cell>
          <cell r="B11965" t="str">
            <v>Xà Lách Lolo Xanh T.C</v>
          </cell>
          <cell r="C11965" t="str">
            <v>Kg</v>
          </cell>
          <cell r="D11965">
            <v>28000</v>
          </cell>
        </row>
        <row r="11966">
          <cell r="A11966">
            <v>45719</v>
          </cell>
          <cell r="B11966" t="str">
            <v>Xà Lách Mỡ T.C</v>
          </cell>
          <cell r="C11966" t="str">
            <v>Kg</v>
          </cell>
          <cell r="D11966">
            <v>21000</v>
          </cell>
        </row>
        <row r="11967">
          <cell r="A11967">
            <v>45719</v>
          </cell>
          <cell r="B11967" t="str">
            <v>Xà Lách Thủy Tinh T.C Cây</v>
          </cell>
          <cell r="C11967" t="str">
            <v>Cây</v>
          </cell>
          <cell r="D11967">
            <v>6800</v>
          </cell>
        </row>
        <row r="11968">
          <cell r="A11968">
            <v>45719</v>
          </cell>
          <cell r="B11968" t="str">
            <v>Cà Rốt Baby</v>
          </cell>
          <cell r="C11968" t="str">
            <v>Vỉ</v>
          </cell>
          <cell r="D11968">
            <v>6000</v>
          </cell>
        </row>
        <row r="11969">
          <cell r="A11969">
            <v>45719</v>
          </cell>
          <cell r="B11969" t="str">
            <v>Cải Cầu Vồng</v>
          </cell>
          <cell r="C11969" t="str">
            <v>Túi</v>
          </cell>
          <cell r="D11969">
            <v>3000</v>
          </cell>
        </row>
        <row r="11970">
          <cell r="A11970">
            <v>45719</v>
          </cell>
          <cell r="B11970" t="str">
            <v>Lá Mè</v>
          </cell>
          <cell r="C11970" t="str">
            <v>Túi</v>
          </cell>
          <cell r="D11970">
            <v>2300</v>
          </cell>
        </row>
        <row r="11971">
          <cell r="A11971">
            <v>45719</v>
          </cell>
          <cell r="B11971" t="str">
            <v>Dưa Leo Baby</v>
          </cell>
          <cell r="C11971" t="str">
            <v>Vỉ</v>
          </cell>
          <cell r="D11971">
            <v>10000</v>
          </cell>
        </row>
        <row r="11972">
          <cell r="A11972">
            <v>45719</v>
          </cell>
          <cell r="B11972" t="str">
            <v>Bông Cải Xanh Baby</v>
          </cell>
          <cell r="C11972" t="str">
            <v>Vỉ</v>
          </cell>
          <cell r="D11972">
            <v>6000</v>
          </cell>
        </row>
        <row r="11973">
          <cell r="A11973">
            <v>45719</v>
          </cell>
          <cell r="B11973" t="str">
            <v>Củ Cải Đỏ</v>
          </cell>
          <cell r="C11973" t="str">
            <v>Hộp</v>
          </cell>
          <cell r="D11973">
            <v>10000</v>
          </cell>
        </row>
        <row r="11974">
          <cell r="A11974">
            <v>45719</v>
          </cell>
          <cell r="B11974" t="str">
            <v>Xà Lách Lolo Xanh</v>
          </cell>
          <cell r="C11974" t="str">
            <v>Kg</v>
          </cell>
          <cell r="D11974">
            <v>12000</v>
          </cell>
        </row>
        <row r="11975">
          <cell r="A11975">
            <v>45719</v>
          </cell>
          <cell r="B11975" t="str">
            <v>Xà Lách Lolo Xanh</v>
          </cell>
          <cell r="C11975" t="str">
            <v>Kg</v>
          </cell>
          <cell r="D11975">
            <v>15000</v>
          </cell>
        </row>
        <row r="11976">
          <cell r="A11976">
            <v>45719</v>
          </cell>
          <cell r="B11976" t="str">
            <v>Cà Chua Beef Trung</v>
          </cell>
          <cell r="C11976" t="str">
            <v>Vỉ 500gr</v>
          </cell>
          <cell r="D11976">
            <v>8000</v>
          </cell>
        </row>
        <row r="11977">
          <cell r="A11977">
            <v>45719</v>
          </cell>
          <cell r="B11977" t="str">
            <v>Ớt Sweet Palemo</v>
          </cell>
          <cell r="C11977" t="str">
            <v>Túi</v>
          </cell>
          <cell r="D11977">
            <v>16000</v>
          </cell>
        </row>
        <row r="11978">
          <cell r="A11978">
            <v>45719</v>
          </cell>
          <cell r="B11978" t="str">
            <v>Xà Lách Lolo Tím</v>
          </cell>
          <cell r="C11978" t="str">
            <v>Kg</v>
          </cell>
          <cell r="D11978">
            <v>20000</v>
          </cell>
        </row>
        <row r="11979">
          <cell r="A11979">
            <v>45719</v>
          </cell>
          <cell r="B11979" t="str">
            <v>Xà Lách Rocket</v>
          </cell>
          <cell r="C11979" t="str">
            <v>Kg</v>
          </cell>
          <cell r="D11979">
            <v>70000</v>
          </cell>
        </row>
        <row r="11980">
          <cell r="A11980">
            <v>45719</v>
          </cell>
          <cell r="B11980" t="str">
            <v>Cà Chua Beef</v>
          </cell>
          <cell r="C11980" t="str">
            <v>Kg</v>
          </cell>
          <cell r="D11980">
            <v>14000</v>
          </cell>
        </row>
        <row r="11981">
          <cell r="A11981">
            <v>45719</v>
          </cell>
          <cell r="B11981" t="str">
            <v>Cà Chua Beef</v>
          </cell>
          <cell r="C11981" t="str">
            <v>Kg</v>
          </cell>
          <cell r="D11981">
            <v>15000</v>
          </cell>
        </row>
        <row r="11982">
          <cell r="A11982">
            <v>45719</v>
          </cell>
          <cell r="B11982" t="str">
            <v>Cà Chua Beef</v>
          </cell>
          <cell r="C11982" t="str">
            <v>Vỉ 650gr</v>
          </cell>
          <cell r="D11982">
            <v>12350</v>
          </cell>
        </row>
        <row r="11983">
          <cell r="A11983">
            <v>45719</v>
          </cell>
          <cell r="B11983" t="str">
            <v>Cà Chua Beef Trung</v>
          </cell>
          <cell r="C11983" t="str">
            <v>Vỉ 500gr</v>
          </cell>
          <cell r="D11983">
            <v>8000</v>
          </cell>
        </row>
        <row r="11984">
          <cell r="A11984">
            <v>45719</v>
          </cell>
          <cell r="B11984" t="str">
            <v>Cà Chua Bi Mix</v>
          </cell>
          <cell r="C11984" t="str">
            <v>Hộp</v>
          </cell>
          <cell r="D11984">
            <v>12000</v>
          </cell>
        </row>
        <row r="11985">
          <cell r="A11985">
            <v>45719</v>
          </cell>
          <cell r="B11985" t="str">
            <v>Cải Kale</v>
          </cell>
          <cell r="C11985" t="str">
            <v>Túi</v>
          </cell>
          <cell r="D11985">
            <v>4200</v>
          </cell>
        </row>
        <row r="11986">
          <cell r="A11986">
            <v>45719</v>
          </cell>
          <cell r="B11986" t="str">
            <v>Chanh Không Hạt</v>
          </cell>
          <cell r="C11986" t="str">
            <v>Vỉ</v>
          </cell>
          <cell r="D11986">
            <v>8000</v>
          </cell>
        </row>
        <row r="11987">
          <cell r="A11987">
            <v>45719</v>
          </cell>
          <cell r="B11987" t="str">
            <v>Cải Bó Xôi</v>
          </cell>
          <cell r="C11987" t="str">
            <v>Kg</v>
          </cell>
          <cell r="D11987">
            <v>31000</v>
          </cell>
        </row>
        <row r="11988">
          <cell r="A11988">
            <v>45719</v>
          </cell>
          <cell r="B11988" t="str">
            <v>Cải Bó Xôi</v>
          </cell>
          <cell r="C11988" t="str">
            <v>Túi</v>
          </cell>
          <cell r="D11988">
            <v>9900</v>
          </cell>
        </row>
        <row r="11989">
          <cell r="A11989">
            <v>45719</v>
          </cell>
          <cell r="B11989" t="str">
            <v>Bắp Cải Trái Tim</v>
          </cell>
          <cell r="C11989" t="str">
            <v>Kg</v>
          </cell>
          <cell r="D11989">
            <v>4000</v>
          </cell>
        </row>
        <row r="11990">
          <cell r="A11990">
            <v>45719</v>
          </cell>
          <cell r="B11990" t="str">
            <v>Dưa Leo Baby</v>
          </cell>
          <cell r="C11990" t="str">
            <v>Vỉ</v>
          </cell>
          <cell r="D11990">
            <v>6500</v>
          </cell>
        </row>
        <row r="11991">
          <cell r="A11991">
            <v>45719</v>
          </cell>
          <cell r="B11991" t="str">
            <v>Dưa Leo Baby</v>
          </cell>
          <cell r="C11991" t="str">
            <v>Vỉ</v>
          </cell>
          <cell r="D11991">
            <v>6700</v>
          </cell>
        </row>
        <row r="11992">
          <cell r="A11992">
            <v>45719</v>
          </cell>
          <cell r="B11992" t="str">
            <v>Xà Lách Thủy Tinh T.C Cây</v>
          </cell>
          <cell r="C11992" t="str">
            <v>Cây</v>
          </cell>
          <cell r="D11992">
            <v>5500</v>
          </cell>
        </row>
        <row r="11993">
          <cell r="A11993">
            <v>45719</v>
          </cell>
          <cell r="B11993" t="str">
            <v>Cải Thảo Kim Chi</v>
          </cell>
          <cell r="C11993" t="str">
            <v>Kg</v>
          </cell>
          <cell r="D11993">
            <v>3000</v>
          </cell>
        </row>
        <row r="11994">
          <cell r="A11994">
            <v>45719</v>
          </cell>
          <cell r="B11994" t="str">
            <v>Cà Tím</v>
          </cell>
          <cell r="C11994" t="str">
            <v>Kg</v>
          </cell>
          <cell r="D11994">
            <v>8000</v>
          </cell>
        </row>
        <row r="11995">
          <cell r="A11995">
            <v>45719</v>
          </cell>
          <cell r="B11995" t="str">
            <v>Trái Su Su</v>
          </cell>
          <cell r="C11995" t="str">
            <v>Kg</v>
          </cell>
          <cell r="D11995">
            <v>8000</v>
          </cell>
        </row>
        <row r="11996">
          <cell r="A11996">
            <v>45719</v>
          </cell>
          <cell r="B11996" t="str">
            <v>Xà Lách Mỡ T.C</v>
          </cell>
          <cell r="C11996" t="str">
            <v>Kg</v>
          </cell>
          <cell r="D11996">
            <v>26000</v>
          </cell>
        </row>
        <row r="11997">
          <cell r="A11997">
            <v>45719</v>
          </cell>
          <cell r="B11997" t="str">
            <v>Xà Lách Lolo Xanh T.C</v>
          </cell>
          <cell r="C11997" t="str">
            <v>Kg</v>
          </cell>
          <cell r="D11997">
            <v>26000</v>
          </cell>
        </row>
        <row r="11998">
          <cell r="A11998">
            <v>45719</v>
          </cell>
          <cell r="B11998" t="str">
            <v>Xà Lách Thủy Tinh T.C Cây</v>
          </cell>
          <cell r="C11998" t="str">
            <v>Cây</v>
          </cell>
          <cell r="D11998">
            <v>7500</v>
          </cell>
        </row>
        <row r="11999">
          <cell r="A11999">
            <v>45719</v>
          </cell>
          <cell r="B11999" t="str">
            <v>Ớt Chuông Đỏ</v>
          </cell>
          <cell r="C11999" t="str">
            <v>Kg</v>
          </cell>
          <cell r="D11999">
            <v>19000</v>
          </cell>
        </row>
        <row r="12000">
          <cell r="A12000">
            <v>45719</v>
          </cell>
          <cell r="B12000" t="str">
            <v>Ớt Chuông Vàng</v>
          </cell>
          <cell r="C12000" t="str">
            <v>Kg</v>
          </cell>
          <cell r="D12000">
            <v>19000</v>
          </cell>
        </row>
        <row r="12001">
          <cell r="A12001">
            <v>45719</v>
          </cell>
          <cell r="B12001" t="str">
            <v>Ớt Chuông Xanh</v>
          </cell>
          <cell r="C12001" t="str">
            <v>Kg</v>
          </cell>
          <cell r="D12001">
            <v>24000</v>
          </cell>
        </row>
        <row r="12002">
          <cell r="A12002">
            <v>45719</v>
          </cell>
          <cell r="B12002" t="str">
            <v>Xà Lách Mỡ T.C</v>
          </cell>
          <cell r="C12002" t="str">
            <v>Kg</v>
          </cell>
          <cell r="D12002">
            <v>24000</v>
          </cell>
        </row>
        <row r="12003">
          <cell r="A12003">
            <v>45719</v>
          </cell>
          <cell r="B12003" t="str">
            <v>Xà Lách Lolo Xanh T.C</v>
          </cell>
          <cell r="C12003" t="str">
            <v>Kg</v>
          </cell>
          <cell r="D12003">
            <v>25000</v>
          </cell>
        </row>
        <row r="12004">
          <cell r="A12004">
            <v>45719</v>
          </cell>
          <cell r="B12004" t="str">
            <v>Xà Lách Thủy Tinh T.C</v>
          </cell>
          <cell r="C12004" t="str">
            <v>Kg</v>
          </cell>
          <cell r="D12004">
            <v>25000</v>
          </cell>
        </row>
        <row r="12005">
          <cell r="A12005">
            <v>45719</v>
          </cell>
          <cell r="B12005" t="str">
            <v>Xà Lách Lolo Xanh T.C Cây</v>
          </cell>
          <cell r="C12005" t="str">
            <v>Cây</v>
          </cell>
          <cell r="D12005">
            <v>6000</v>
          </cell>
        </row>
        <row r="12006">
          <cell r="A12006">
            <v>45719</v>
          </cell>
          <cell r="B12006" t="str">
            <v>Ớt Chuông Đỏ</v>
          </cell>
          <cell r="C12006" t="str">
            <v>Kg</v>
          </cell>
          <cell r="D12006">
            <v>24000</v>
          </cell>
        </row>
        <row r="12007">
          <cell r="A12007">
            <v>45719</v>
          </cell>
          <cell r="B12007" t="str">
            <v>Ớt Chuông Vàng</v>
          </cell>
          <cell r="C12007" t="str">
            <v>Kg</v>
          </cell>
          <cell r="D12007">
            <v>26000</v>
          </cell>
        </row>
        <row r="12008">
          <cell r="A12008">
            <v>45719</v>
          </cell>
          <cell r="B12008" t="str">
            <v>Ớt Chuông Xanh</v>
          </cell>
          <cell r="C12008" t="str">
            <v>Kg</v>
          </cell>
          <cell r="D12008">
            <v>30000</v>
          </cell>
        </row>
        <row r="12009">
          <cell r="A12009">
            <v>45719</v>
          </cell>
          <cell r="B12009" t="str">
            <v>Ớt Chuông Đỏ Trung</v>
          </cell>
          <cell r="C12009" t="str">
            <v>Kg</v>
          </cell>
          <cell r="D12009">
            <v>19000</v>
          </cell>
        </row>
        <row r="12010">
          <cell r="A12010">
            <v>45719</v>
          </cell>
          <cell r="B12010" t="str">
            <v>Ớt Chuông Vàng Trung</v>
          </cell>
          <cell r="C12010" t="str">
            <v>Kg</v>
          </cell>
          <cell r="D12010">
            <v>21000</v>
          </cell>
        </row>
        <row r="12011">
          <cell r="A12011">
            <v>45719</v>
          </cell>
          <cell r="B12011" t="str">
            <v>Ớt Chuông Xanh Trung</v>
          </cell>
          <cell r="C12011" t="str">
            <v>Kg</v>
          </cell>
          <cell r="D12011">
            <v>25000</v>
          </cell>
        </row>
        <row r="12012">
          <cell r="A12012">
            <v>45719</v>
          </cell>
          <cell r="B12012" t="str">
            <v>Ớt Chuông Baby</v>
          </cell>
          <cell r="C12012" t="str">
            <v>Kg</v>
          </cell>
          <cell r="D12012">
            <v>28000</v>
          </cell>
        </row>
        <row r="12013">
          <cell r="A12013">
            <v>45719</v>
          </cell>
          <cell r="B12013" t="str">
            <v>Ớt Chuông Snack</v>
          </cell>
          <cell r="C12013" t="str">
            <v>Kg</v>
          </cell>
          <cell r="D12013">
            <v>50000</v>
          </cell>
        </row>
        <row r="12014">
          <cell r="A12014">
            <v>45719</v>
          </cell>
          <cell r="B12014" t="str">
            <v>Cà Chua Bi Đỏ</v>
          </cell>
          <cell r="C12014" t="str">
            <v>Hộp 500gr</v>
          </cell>
          <cell r="D12014">
            <v>9000</v>
          </cell>
        </row>
        <row r="12015">
          <cell r="A12015">
            <v>45719</v>
          </cell>
          <cell r="B12015" t="str">
            <v>Cà Chua Bi Đỏ</v>
          </cell>
          <cell r="C12015" t="str">
            <v>Hộp 300gr</v>
          </cell>
          <cell r="D12015">
            <v>5400</v>
          </cell>
        </row>
        <row r="12016">
          <cell r="A12016">
            <v>45719</v>
          </cell>
          <cell r="B12016" t="str">
            <v>Củ Gừng</v>
          </cell>
          <cell r="C12016" t="str">
            <v>Kg</v>
          </cell>
          <cell r="D12016">
            <v>19000</v>
          </cell>
        </row>
        <row r="12017">
          <cell r="A12017">
            <v>45719</v>
          </cell>
          <cell r="B12017" t="str">
            <v>Củ Khoai Mỡ</v>
          </cell>
          <cell r="C12017" t="str">
            <v>Kg</v>
          </cell>
          <cell r="D12017">
            <v>25000</v>
          </cell>
        </row>
        <row r="12018">
          <cell r="A12018">
            <v>45719</v>
          </cell>
          <cell r="B12018" t="str">
            <v>Cải Thảo</v>
          </cell>
          <cell r="C12018" t="str">
            <v>Kg</v>
          </cell>
          <cell r="D12018">
            <v>5000</v>
          </cell>
        </row>
        <row r="12019">
          <cell r="A12019">
            <v>45719</v>
          </cell>
          <cell r="B12019" t="str">
            <v>Ớt Sweet Palemo</v>
          </cell>
          <cell r="C12019" t="str">
            <v>Túi</v>
          </cell>
          <cell r="D12019">
            <v>16000</v>
          </cell>
        </row>
        <row r="12020">
          <cell r="A12020">
            <v>45719</v>
          </cell>
          <cell r="B12020" t="str">
            <v>Cà Chua Beef</v>
          </cell>
          <cell r="C12020" t="str">
            <v>Kg</v>
          </cell>
          <cell r="D12020">
            <v>17000</v>
          </cell>
        </row>
        <row r="12021">
          <cell r="A12021">
            <v>45719</v>
          </cell>
          <cell r="B12021" t="str">
            <v>Lá É</v>
          </cell>
          <cell r="C12021" t="str">
            <v>Kg</v>
          </cell>
          <cell r="D12021">
            <v>33000</v>
          </cell>
        </row>
        <row r="12022">
          <cell r="A12022">
            <v>45719</v>
          </cell>
          <cell r="B12022" t="str">
            <v>Bắp Cải Trắng</v>
          </cell>
          <cell r="C12022" t="str">
            <v>Kg</v>
          </cell>
          <cell r="D12022">
            <v>4000</v>
          </cell>
        </row>
        <row r="12023">
          <cell r="A12023">
            <v>45719</v>
          </cell>
          <cell r="B12023" t="str">
            <v>Xà Lách Lolo Xanh</v>
          </cell>
          <cell r="C12023" t="str">
            <v>Kg</v>
          </cell>
          <cell r="D12023">
            <v>13000</v>
          </cell>
        </row>
        <row r="12024">
          <cell r="A12024">
            <v>45719</v>
          </cell>
          <cell r="B12024" t="str">
            <v>Lá Tía Tô</v>
          </cell>
          <cell r="C12024" t="str">
            <v>Kg</v>
          </cell>
          <cell r="D12024">
            <v>32000</v>
          </cell>
        </row>
        <row r="12025">
          <cell r="A12025">
            <v>45719</v>
          </cell>
          <cell r="B12025" t="str">
            <v>Bí Ngòi Vàng</v>
          </cell>
          <cell r="C12025" t="str">
            <v>Kg</v>
          </cell>
          <cell r="D12025">
            <v>20000</v>
          </cell>
        </row>
        <row r="12026">
          <cell r="A12026">
            <v>45719</v>
          </cell>
          <cell r="B12026" t="str">
            <v>Đậu Hà Lan Trái</v>
          </cell>
          <cell r="C12026" t="str">
            <v>Kg</v>
          </cell>
          <cell r="D12026">
            <v>60000</v>
          </cell>
        </row>
        <row r="12027">
          <cell r="A12027">
            <v>45719</v>
          </cell>
          <cell r="B12027" t="str">
            <v>Rau Bầu Đất</v>
          </cell>
          <cell r="C12027" t="str">
            <v>Kg</v>
          </cell>
          <cell r="D12027">
            <v>35000</v>
          </cell>
        </row>
        <row r="12028">
          <cell r="A12028">
            <v>45719</v>
          </cell>
          <cell r="B12028" t="str">
            <v>Xà Lách Carol</v>
          </cell>
          <cell r="C12028" t="str">
            <v>Kg</v>
          </cell>
          <cell r="D12028">
            <v>32000</v>
          </cell>
        </row>
        <row r="12029">
          <cell r="A12029">
            <v>45719</v>
          </cell>
          <cell r="B12029" t="str">
            <v>Củ Cải Trắng</v>
          </cell>
          <cell r="C12029" t="str">
            <v>Kg</v>
          </cell>
          <cell r="D12029">
            <v>4500</v>
          </cell>
        </row>
        <row r="12030">
          <cell r="A12030">
            <v>45719</v>
          </cell>
          <cell r="B12030" t="str">
            <v>Đậu Cove Nhật</v>
          </cell>
          <cell r="C12030" t="str">
            <v>Túi</v>
          </cell>
          <cell r="D12030">
            <v>6000</v>
          </cell>
        </row>
        <row r="12031">
          <cell r="A12031">
            <v>45719</v>
          </cell>
          <cell r="B12031" t="str">
            <v>Đậu Cove Trắng</v>
          </cell>
          <cell r="C12031" t="str">
            <v>Túi 500gr</v>
          </cell>
          <cell r="D12031">
            <v>6500</v>
          </cell>
        </row>
        <row r="12032">
          <cell r="A12032">
            <v>45719</v>
          </cell>
          <cell r="B12032" t="str">
            <v>Bí Ngòi Xanh</v>
          </cell>
          <cell r="C12032" t="str">
            <v>Kg</v>
          </cell>
          <cell r="D12032">
            <v>10000</v>
          </cell>
        </row>
        <row r="12033">
          <cell r="A12033">
            <v>45719</v>
          </cell>
          <cell r="B12033" t="str">
            <v>Dưa Leo Thường</v>
          </cell>
          <cell r="C12033" t="str">
            <v>Kg</v>
          </cell>
          <cell r="D12033">
            <v>13000</v>
          </cell>
        </row>
        <row r="12034">
          <cell r="A12034">
            <v>45719</v>
          </cell>
          <cell r="B12034" t="str">
            <v>Bí Đao Xanh</v>
          </cell>
          <cell r="C12034" t="str">
            <v>Kg</v>
          </cell>
          <cell r="D12034">
            <v>12000</v>
          </cell>
        </row>
        <row r="12035">
          <cell r="A12035">
            <v>45719</v>
          </cell>
          <cell r="B12035" t="str">
            <v>Trái Khổ Qua</v>
          </cell>
          <cell r="C12035" t="str">
            <v>Kg</v>
          </cell>
          <cell r="D12035">
            <v>18000</v>
          </cell>
        </row>
        <row r="12036">
          <cell r="A12036">
            <v>45719</v>
          </cell>
          <cell r="B12036" t="str">
            <v>Cà Chua Thường</v>
          </cell>
          <cell r="C12036" t="str">
            <v>Kg</v>
          </cell>
          <cell r="D12036">
            <v>17000</v>
          </cell>
        </row>
        <row r="12037">
          <cell r="A12037">
            <v>45719</v>
          </cell>
          <cell r="B12037" t="str">
            <v>Cà Chua Thường Trung</v>
          </cell>
          <cell r="C12037" t="str">
            <v>Kg</v>
          </cell>
          <cell r="D12037">
            <v>12000</v>
          </cell>
        </row>
        <row r="12038">
          <cell r="A12038">
            <v>45719</v>
          </cell>
          <cell r="B12038" t="str">
            <v>Củ Khoai Lang Nhật</v>
          </cell>
          <cell r="C12038" t="str">
            <v>Kg</v>
          </cell>
          <cell r="D12038">
            <v>14800</v>
          </cell>
        </row>
        <row r="12039">
          <cell r="A12039">
            <v>45719</v>
          </cell>
          <cell r="B12039" t="str">
            <v>Củ Khoai Lang Mật Size 23</v>
          </cell>
          <cell r="C12039" t="str">
            <v>Kg</v>
          </cell>
          <cell r="D12039">
            <v>21500</v>
          </cell>
        </row>
        <row r="12040">
          <cell r="A12040">
            <v>45719</v>
          </cell>
          <cell r="B12040" t="str">
            <v>Sen Đá</v>
          </cell>
          <cell r="C12040" t="str">
            <v>Chậu</v>
          </cell>
          <cell r="D12040">
            <v>50000</v>
          </cell>
        </row>
        <row r="12041">
          <cell r="A12041">
            <v>45719</v>
          </cell>
          <cell r="B12041" t="str">
            <v>Đậu Cove Trắng</v>
          </cell>
          <cell r="C12041" t="str">
            <v>Túi 300gr</v>
          </cell>
          <cell r="D12041">
            <v>7000</v>
          </cell>
        </row>
        <row r="12042">
          <cell r="A12042">
            <v>45719</v>
          </cell>
          <cell r="B12042" t="str">
            <v>Dưa Leo Baby</v>
          </cell>
          <cell r="C12042" t="str">
            <v>Vỉ</v>
          </cell>
          <cell r="D12042">
            <v>10000</v>
          </cell>
        </row>
        <row r="12043">
          <cell r="A12043">
            <v>45719</v>
          </cell>
          <cell r="B12043" t="str">
            <v>Dưa Leo Thường</v>
          </cell>
          <cell r="C12043" t="str">
            <v>Kg</v>
          </cell>
          <cell r="D12043">
            <v>15000</v>
          </cell>
        </row>
        <row r="12044">
          <cell r="A12044">
            <v>45719</v>
          </cell>
          <cell r="B12044" t="str">
            <v>Dưa Leo Nhật</v>
          </cell>
          <cell r="C12044" t="str">
            <v>Kg</v>
          </cell>
          <cell r="D12044">
            <v>16000</v>
          </cell>
        </row>
        <row r="12045">
          <cell r="A12045">
            <v>45719</v>
          </cell>
          <cell r="B12045" t="str">
            <v>Bí Non Nhật</v>
          </cell>
          <cell r="C12045" t="str">
            <v>Kg</v>
          </cell>
          <cell r="D12045">
            <v>15000</v>
          </cell>
        </row>
        <row r="12046">
          <cell r="A12046">
            <v>45719</v>
          </cell>
          <cell r="B12046" t="str">
            <v>Bắp Cải Tím</v>
          </cell>
          <cell r="C12046" t="str">
            <v>Kg</v>
          </cell>
          <cell r="D12046">
            <v>18000</v>
          </cell>
        </row>
        <row r="12047">
          <cell r="A12047">
            <v>45719</v>
          </cell>
          <cell r="B12047" t="str">
            <v>Trái Chanh Vàng</v>
          </cell>
          <cell r="C12047" t="str">
            <v>Kg</v>
          </cell>
          <cell r="D12047">
            <v>36000</v>
          </cell>
        </row>
        <row r="12048">
          <cell r="A12048">
            <v>45720</v>
          </cell>
          <cell r="B12048" t="str">
            <v>DO 0.05S-II</v>
          </cell>
          <cell r="C12048" t="str">
            <v>Lít</v>
          </cell>
          <cell r="D12048">
            <v>17563.64</v>
          </cell>
        </row>
        <row r="12049">
          <cell r="A12049">
            <v>45720</v>
          </cell>
          <cell r="B12049" t="str">
            <v>DO 0.05S-II</v>
          </cell>
          <cell r="C12049" t="str">
            <v>Lít</v>
          </cell>
          <cell r="D12049">
            <v>17563.64</v>
          </cell>
        </row>
        <row r="12050">
          <cell r="A12050">
            <v>45720</v>
          </cell>
          <cell r="B12050" t="str">
            <v>Cải Bó Xôi</v>
          </cell>
          <cell r="C12050" t="str">
            <v>Kg</v>
          </cell>
          <cell r="D12050">
            <v>22000</v>
          </cell>
        </row>
        <row r="12051">
          <cell r="A12051">
            <v>45720</v>
          </cell>
          <cell r="B12051" t="str">
            <v>Củ Dền</v>
          </cell>
          <cell r="C12051" t="str">
            <v>Kg</v>
          </cell>
          <cell r="D12051">
            <v>8000</v>
          </cell>
        </row>
        <row r="12052">
          <cell r="A12052">
            <v>45720</v>
          </cell>
          <cell r="B12052" t="str">
            <v>Bí Ngòi Xanh</v>
          </cell>
          <cell r="C12052" t="str">
            <v>Kg</v>
          </cell>
          <cell r="D12052">
            <v>10000</v>
          </cell>
        </row>
        <row r="12053">
          <cell r="A12053">
            <v>45720</v>
          </cell>
          <cell r="B12053" t="str">
            <v>Bông Cải Trắng</v>
          </cell>
          <cell r="C12053" t="str">
            <v>Kg</v>
          </cell>
          <cell r="D12053">
            <v>18000</v>
          </cell>
        </row>
        <row r="12054">
          <cell r="A12054">
            <v>45720</v>
          </cell>
          <cell r="B12054" t="str">
            <v>Bông Cải Xanh 7Cm</v>
          </cell>
          <cell r="C12054" t="str">
            <v>Kg</v>
          </cell>
          <cell r="D12054">
            <v>18000</v>
          </cell>
        </row>
        <row r="12055">
          <cell r="A12055">
            <v>45720</v>
          </cell>
          <cell r="B12055" t="str">
            <v>Bông Cải Xanh 7Cm</v>
          </cell>
          <cell r="C12055" t="str">
            <v>Kg</v>
          </cell>
          <cell r="D12055">
            <v>18000</v>
          </cell>
        </row>
        <row r="12056">
          <cell r="A12056">
            <v>45720</v>
          </cell>
          <cell r="B12056" t="str">
            <v>Bông Cải Xanh 7Cm</v>
          </cell>
          <cell r="C12056" t="str">
            <v>Kg</v>
          </cell>
          <cell r="D12056">
            <v>18000</v>
          </cell>
        </row>
        <row r="12057">
          <cell r="A12057">
            <v>45720</v>
          </cell>
          <cell r="B12057" t="str">
            <v>Cần Tây</v>
          </cell>
          <cell r="C12057" t="str">
            <v>Kg</v>
          </cell>
          <cell r="D12057">
            <v>9000</v>
          </cell>
        </row>
        <row r="12058">
          <cell r="A12058">
            <v>45720</v>
          </cell>
          <cell r="B12058" t="str">
            <v>Xà Lách Thủy Tinh T.C Cây</v>
          </cell>
          <cell r="C12058" t="str">
            <v>Cây</v>
          </cell>
          <cell r="D12058">
            <v>4000</v>
          </cell>
        </row>
        <row r="12059">
          <cell r="A12059">
            <v>45720</v>
          </cell>
          <cell r="B12059" t="str">
            <v>Bông Cải Xanh 7Cm</v>
          </cell>
          <cell r="C12059" t="str">
            <v>Kg</v>
          </cell>
          <cell r="D12059">
            <v>18000</v>
          </cell>
        </row>
        <row r="12060">
          <cell r="A12060">
            <v>45720</v>
          </cell>
          <cell r="B12060" t="str">
            <v>Trái Mít Thái</v>
          </cell>
          <cell r="C12060" t="str">
            <v>Kg</v>
          </cell>
          <cell r="D12060">
            <v>20362</v>
          </cell>
        </row>
        <row r="12061">
          <cell r="A12061">
            <v>45720</v>
          </cell>
          <cell r="B12061" t="str">
            <v>Bông Cải Trắng</v>
          </cell>
          <cell r="C12061" t="str">
            <v>Kg</v>
          </cell>
          <cell r="D12061">
            <v>12000</v>
          </cell>
        </row>
        <row r="12062">
          <cell r="A12062">
            <v>45720</v>
          </cell>
          <cell r="B12062" t="str">
            <v>Bông Cải Xanh 7Cm</v>
          </cell>
          <cell r="C12062" t="str">
            <v>Kg</v>
          </cell>
          <cell r="D12062">
            <v>18000</v>
          </cell>
        </row>
        <row r="12063">
          <cell r="A12063">
            <v>45720</v>
          </cell>
          <cell r="B12063" t="str">
            <v>Cần Tây</v>
          </cell>
          <cell r="C12063" t="str">
            <v>Kg</v>
          </cell>
          <cell r="D12063">
            <v>9000</v>
          </cell>
        </row>
        <row r="12064">
          <cell r="A12064">
            <v>45720</v>
          </cell>
          <cell r="B12064" t="str">
            <v>Cà Chua Socola</v>
          </cell>
          <cell r="C12064" t="str">
            <v>Hộp 250GR</v>
          </cell>
          <cell r="D12064">
            <v>7500</v>
          </cell>
        </row>
        <row r="12065">
          <cell r="A12065">
            <v>45720</v>
          </cell>
          <cell r="B12065" t="str">
            <v>Dưa Leo Baby</v>
          </cell>
          <cell r="C12065" t="str">
            <v>Vỉ</v>
          </cell>
          <cell r="D12065">
            <v>7500</v>
          </cell>
        </row>
        <row r="12066">
          <cell r="A12066">
            <v>45720</v>
          </cell>
          <cell r="B12066" t="str">
            <v>Bí Ngòi Xanh</v>
          </cell>
          <cell r="C12066" t="str">
            <v>Kg</v>
          </cell>
          <cell r="D12066">
            <v>10000</v>
          </cell>
        </row>
        <row r="12067">
          <cell r="A12067">
            <v>45720</v>
          </cell>
          <cell r="B12067" t="str">
            <v>Ớt Chuông Baby</v>
          </cell>
          <cell r="C12067" t="str">
            <v>Kg</v>
          </cell>
          <cell r="D12067">
            <v>35000</v>
          </cell>
        </row>
        <row r="12068">
          <cell r="A12068">
            <v>45720</v>
          </cell>
          <cell r="B12068" t="str">
            <v>Ớt Sweet Palemo</v>
          </cell>
          <cell r="C12068" t="str">
            <v>Túi</v>
          </cell>
          <cell r="D12068">
            <v>17000</v>
          </cell>
        </row>
        <row r="12069">
          <cell r="A12069">
            <v>45720</v>
          </cell>
          <cell r="B12069" t="str">
            <v>Dưa Leo Baby</v>
          </cell>
          <cell r="C12069" t="str">
            <v>Kg</v>
          </cell>
          <cell r="D12069">
            <v>9500</v>
          </cell>
        </row>
        <row r="12070">
          <cell r="A12070">
            <v>45720</v>
          </cell>
          <cell r="B12070" t="str">
            <v>Dưa Leo Baby</v>
          </cell>
          <cell r="C12070" t="str">
            <v>Kg</v>
          </cell>
          <cell r="D12070">
            <v>14000</v>
          </cell>
        </row>
        <row r="12071">
          <cell r="A12071">
            <v>45720</v>
          </cell>
          <cell r="B12071" t="str">
            <v>Dưa Leo Baby</v>
          </cell>
          <cell r="C12071" t="str">
            <v>Kg</v>
          </cell>
          <cell r="D12071">
            <v>14000</v>
          </cell>
        </row>
        <row r="12072">
          <cell r="A12072">
            <v>45720</v>
          </cell>
          <cell r="B12072" t="str">
            <v>Hồng Treo Gió</v>
          </cell>
          <cell r="C12072" t="str">
            <v>Kg</v>
          </cell>
          <cell r="D12072">
            <v>200000</v>
          </cell>
        </row>
        <row r="12073">
          <cell r="A12073">
            <v>45720</v>
          </cell>
          <cell r="B12073" t="str">
            <v>Bông Cải Xanh Cây</v>
          </cell>
          <cell r="C12073" t="str">
            <v>Cây</v>
          </cell>
          <cell r="D12073">
            <v>5000</v>
          </cell>
        </row>
        <row r="12074">
          <cell r="A12074">
            <v>45720</v>
          </cell>
          <cell r="B12074" t="str">
            <v>Bông Cải Xanh Cây</v>
          </cell>
          <cell r="C12074" t="str">
            <v>Cây</v>
          </cell>
          <cell r="D12074">
            <v>5000</v>
          </cell>
        </row>
        <row r="12075">
          <cell r="A12075">
            <v>45720</v>
          </cell>
          <cell r="B12075" t="str">
            <v>Gia Công Rau Củ Quả</v>
          </cell>
          <cell r="C12075" t="str">
            <v>Kg</v>
          </cell>
          <cell r="D12075">
            <v>1000</v>
          </cell>
        </row>
        <row r="12076">
          <cell r="A12076">
            <v>45720</v>
          </cell>
          <cell r="B12076" t="str">
            <v>Gia Công Rau Củ Quả</v>
          </cell>
          <cell r="C12076" t="str">
            <v>Kg</v>
          </cell>
          <cell r="D12076">
            <v>1000</v>
          </cell>
        </row>
        <row r="12077">
          <cell r="A12077">
            <v>45720</v>
          </cell>
          <cell r="B12077" t="str">
            <v>Xà Lách Mỹ</v>
          </cell>
          <cell r="C12077" t="str">
            <v>Kg</v>
          </cell>
          <cell r="D12077">
            <v>10000</v>
          </cell>
        </row>
        <row r="12078">
          <cell r="A12078">
            <v>45720</v>
          </cell>
          <cell r="B12078" t="str">
            <v>Lá Mè</v>
          </cell>
          <cell r="C12078" t="str">
            <v>Túi</v>
          </cell>
          <cell r="D12078">
            <v>2300</v>
          </cell>
        </row>
        <row r="12079">
          <cell r="A12079">
            <v>45720</v>
          </cell>
          <cell r="B12079" t="str">
            <v>Cà Chua Beef</v>
          </cell>
          <cell r="C12079" t="str">
            <v>Kg</v>
          </cell>
          <cell r="D12079">
            <v>17500</v>
          </cell>
        </row>
        <row r="12080">
          <cell r="A12080">
            <v>45720</v>
          </cell>
          <cell r="B12080" t="str">
            <v>Ớt Sweet Palemo</v>
          </cell>
          <cell r="C12080" t="str">
            <v>Túi</v>
          </cell>
          <cell r="D12080">
            <v>16000</v>
          </cell>
        </row>
        <row r="12081">
          <cell r="A12081">
            <v>45720</v>
          </cell>
          <cell r="B12081" t="str">
            <v>Cà Chua Beef</v>
          </cell>
          <cell r="C12081" t="str">
            <v>Kg</v>
          </cell>
          <cell r="D12081">
            <v>16000</v>
          </cell>
        </row>
        <row r="12082">
          <cell r="A12082">
            <v>45720</v>
          </cell>
          <cell r="B12082" t="str">
            <v>Hành Paro</v>
          </cell>
          <cell r="C12082" t="str">
            <v>Kg</v>
          </cell>
          <cell r="D12082">
            <v>11000</v>
          </cell>
        </row>
        <row r="12083">
          <cell r="A12083">
            <v>45720</v>
          </cell>
          <cell r="B12083" t="str">
            <v>Củ Hành Tây Trung</v>
          </cell>
          <cell r="C12083" t="str">
            <v>Kg</v>
          </cell>
          <cell r="D12083">
            <v>5000</v>
          </cell>
        </row>
        <row r="12084">
          <cell r="A12084">
            <v>45720</v>
          </cell>
          <cell r="B12084" t="str">
            <v>Củ Khoai Lang Nhật</v>
          </cell>
          <cell r="C12084" t="str">
            <v>Kg</v>
          </cell>
          <cell r="D12084">
            <v>17000</v>
          </cell>
        </row>
        <row r="12085">
          <cell r="A12085">
            <v>45720</v>
          </cell>
          <cell r="B12085" t="str">
            <v>Trái Su Su</v>
          </cell>
          <cell r="C12085" t="str">
            <v>Kg</v>
          </cell>
          <cell r="D12085">
            <v>8000</v>
          </cell>
        </row>
        <row r="12086">
          <cell r="A12086">
            <v>45720</v>
          </cell>
          <cell r="B12086" t="str">
            <v>Củ Dền</v>
          </cell>
          <cell r="C12086" t="str">
            <v>Kg</v>
          </cell>
          <cell r="D12086">
            <v>7000</v>
          </cell>
        </row>
        <row r="12087">
          <cell r="A12087">
            <v>45720</v>
          </cell>
          <cell r="B12087" t="str">
            <v>Xà Lách Mỡ T.C</v>
          </cell>
          <cell r="C12087" t="str">
            <v>Kg</v>
          </cell>
          <cell r="D12087">
            <v>24000</v>
          </cell>
        </row>
        <row r="12088">
          <cell r="A12088">
            <v>45720</v>
          </cell>
          <cell r="B12088" t="str">
            <v>Xà Lách Lolo Xanh T.C</v>
          </cell>
          <cell r="C12088" t="str">
            <v>Kg</v>
          </cell>
          <cell r="D12088">
            <v>25000</v>
          </cell>
        </row>
        <row r="12089">
          <cell r="A12089">
            <v>45720</v>
          </cell>
          <cell r="B12089" t="str">
            <v>Xà Lách Thủy Tinh T.C</v>
          </cell>
          <cell r="C12089" t="str">
            <v>Kg</v>
          </cell>
          <cell r="D12089">
            <v>25000</v>
          </cell>
        </row>
        <row r="12090">
          <cell r="A12090">
            <v>45720</v>
          </cell>
          <cell r="B12090" t="str">
            <v>Củ Su Hào</v>
          </cell>
          <cell r="C12090" t="str">
            <v>Kg</v>
          </cell>
          <cell r="D12090">
            <v>9000</v>
          </cell>
        </row>
        <row r="12091">
          <cell r="A12091">
            <v>45720</v>
          </cell>
          <cell r="B12091" t="str">
            <v>Trái Su Su</v>
          </cell>
          <cell r="C12091" t="str">
            <v>Kg</v>
          </cell>
          <cell r="D12091">
            <v>6000</v>
          </cell>
        </row>
        <row r="12092">
          <cell r="A12092">
            <v>45720</v>
          </cell>
          <cell r="B12092" t="str">
            <v>Lá Nha Đam</v>
          </cell>
          <cell r="C12092" t="str">
            <v>Kg</v>
          </cell>
          <cell r="D12092">
            <v>14000</v>
          </cell>
        </row>
        <row r="12093">
          <cell r="A12093">
            <v>45720</v>
          </cell>
          <cell r="B12093" t="str">
            <v>Chuối Laba</v>
          </cell>
          <cell r="C12093" t="str">
            <v>Kg</v>
          </cell>
          <cell r="D12093">
            <v>14000</v>
          </cell>
        </row>
        <row r="12094">
          <cell r="A12094">
            <v>45720</v>
          </cell>
          <cell r="B12094" t="str">
            <v>Bí Đỏ Hồ Lô</v>
          </cell>
          <cell r="C12094" t="str">
            <v>Kg</v>
          </cell>
          <cell r="D12094">
            <v>8000</v>
          </cell>
        </row>
        <row r="12095">
          <cell r="A12095">
            <v>45720</v>
          </cell>
          <cell r="B12095" t="str">
            <v>Củ Khoai Mỡ</v>
          </cell>
          <cell r="C12095" t="str">
            <v>Kg</v>
          </cell>
          <cell r="D12095">
            <v>26000</v>
          </cell>
        </row>
        <row r="12096">
          <cell r="A12096">
            <v>45720</v>
          </cell>
          <cell r="B12096" t="str">
            <v>Cà Rốt</v>
          </cell>
          <cell r="C12096" t="str">
            <v>Kg</v>
          </cell>
          <cell r="D12096">
            <v>6500</v>
          </cell>
        </row>
        <row r="12097">
          <cell r="A12097">
            <v>45720</v>
          </cell>
          <cell r="B12097" t="str">
            <v>Cà Rốt</v>
          </cell>
          <cell r="C12097" t="str">
            <v>Kg</v>
          </cell>
          <cell r="D12097">
            <v>7000</v>
          </cell>
        </row>
        <row r="12098">
          <cell r="A12098">
            <v>45720</v>
          </cell>
          <cell r="B12098" t="str">
            <v>Đậu Cove Nhật</v>
          </cell>
          <cell r="C12098" t="str">
            <v>Túi</v>
          </cell>
          <cell r="D12098">
            <v>6000</v>
          </cell>
        </row>
        <row r="12099">
          <cell r="A12099">
            <v>45720</v>
          </cell>
          <cell r="B12099" t="str">
            <v>Củ Khoai Lang Nhật</v>
          </cell>
          <cell r="C12099" t="str">
            <v>Kg</v>
          </cell>
          <cell r="D12099">
            <v>15000</v>
          </cell>
        </row>
        <row r="12100">
          <cell r="A12100">
            <v>45720</v>
          </cell>
          <cell r="B12100" t="str">
            <v>Xà Lách Thủy Tinh T.C Cây</v>
          </cell>
          <cell r="C12100" t="str">
            <v>Cây</v>
          </cell>
          <cell r="D12100">
            <v>5000</v>
          </cell>
        </row>
        <row r="12101">
          <cell r="A12101">
            <v>45720</v>
          </cell>
          <cell r="B12101" t="str">
            <v>Xà Lách Lolo Xanh T.C Cây</v>
          </cell>
          <cell r="C12101" t="str">
            <v>Cây</v>
          </cell>
          <cell r="D12101">
            <v>6800</v>
          </cell>
        </row>
        <row r="12102">
          <cell r="A12102">
            <v>45720</v>
          </cell>
          <cell r="B12102" t="str">
            <v>Xà Lách Thủy Tinh T.C Cây</v>
          </cell>
          <cell r="C12102" t="str">
            <v>Cây</v>
          </cell>
          <cell r="D12102">
            <v>6800</v>
          </cell>
        </row>
        <row r="12103">
          <cell r="A12103">
            <v>45720</v>
          </cell>
          <cell r="B12103" t="str">
            <v>Xà Lách Mỡ T.C</v>
          </cell>
          <cell r="C12103" t="str">
            <v>Kg</v>
          </cell>
          <cell r="D12103">
            <v>21000</v>
          </cell>
        </row>
        <row r="12104">
          <cell r="A12104">
            <v>45720</v>
          </cell>
          <cell r="B12104" t="str">
            <v>Xà Lách Thủy Tinh T.C Cây</v>
          </cell>
          <cell r="C12104" t="str">
            <v>Cây</v>
          </cell>
          <cell r="D12104">
            <v>6800</v>
          </cell>
        </row>
        <row r="12105">
          <cell r="A12105">
            <v>45720</v>
          </cell>
          <cell r="B12105" t="str">
            <v>Cải Bó Xôi</v>
          </cell>
          <cell r="C12105" t="str">
            <v>Túi</v>
          </cell>
          <cell r="D12105">
            <v>9900</v>
          </cell>
        </row>
        <row r="12106">
          <cell r="A12106">
            <v>45720</v>
          </cell>
          <cell r="B12106" t="str">
            <v>Cà Chua Beef</v>
          </cell>
          <cell r="C12106" t="str">
            <v>Vỉ 650gr</v>
          </cell>
          <cell r="D12106">
            <v>13650</v>
          </cell>
        </row>
        <row r="12107">
          <cell r="A12107">
            <v>45720</v>
          </cell>
          <cell r="B12107" t="str">
            <v>Cà Chua Beef Trung</v>
          </cell>
          <cell r="C12107" t="str">
            <v>Vỉ 500gr</v>
          </cell>
          <cell r="D12107">
            <v>8000</v>
          </cell>
        </row>
        <row r="12108">
          <cell r="A12108">
            <v>45720</v>
          </cell>
          <cell r="B12108" t="str">
            <v>Cà Chua Beef Trung</v>
          </cell>
          <cell r="C12108" t="str">
            <v>Kg</v>
          </cell>
          <cell r="D12108">
            <v>14000</v>
          </cell>
        </row>
        <row r="12109">
          <cell r="A12109">
            <v>45720</v>
          </cell>
          <cell r="B12109" t="str">
            <v>Cà Chua Thường</v>
          </cell>
          <cell r="C12109" t="str">
            <v>Kg</v>
          </cell>
          <cell r="D12109">
            <v>17000</v>
          </cell>
        </row>
        <row r="12110">
          <cell r="A12110">
            <v>45720</v>
          </cell>
          <cell r="B12110" t="str">
            <v>Cà Chua Thường Trung</v>
          </cell>
          <cell r="C12110" t="str">
            <v>Kg</v>
          </cell>
          <cell r="D12110">
            <v>12000</v>
          </cell>
        </row>
        <row r="12111">
          <cell r="A12111">
            <v>45720</v>
          </cell>
          <cell r="B12111" t="str">
            <v>Cà Chua Bi Mix</v>
          </cell>
          <cell r="C12111" t="str">
            <v>Hộp</v>
          </cell>
          <cell r="D12111">
            <v>12000</v>
          </cell>
        </row>
        <row r="12112">
          <cell r="A12112">
            <v>45720</v>
          </cell>
          <cell r="B12112" t="str">
            <v>Cà Chua Socola</v>
          </cell>
          <cell r="C12112" t="str">
            <v>Hộp 300gr</v>
          </cell>
          <cell r="D12112">
            <v>12000</v>
          </cell>
        </row>
        <row r="12113">
          <cell r="A12113">
            <v>45720</v>
          </cell>
          <cell r="B12113" t="str">
            <v>Cải Kale</v>
          </cell>
          <cell r="C12113" t="str">
            <v>Túi</v>
          </cell>
          <cell r="D12113">
            <v>4200</v>
          </cell>
        </row>
        <row r="12114">
          <cell r="A12114">
            <v>45720</v>
          </cell>
          <cell r="B12114" t="str">
            <v>Chanh Không Hạt</v>
          </cell>
          <cell r="C12114" t="str">
            <v>Vỉ</v>
          </cell>
          <cell r="D12114">
            <v>8000</v>
          </cell>
        </row>
        <row r="12115">
          <cell r="A12115">
            <v>45720</v>
          </cell>
          <cell r="B12115" t="str">
            <v>Cà Chua Beef</v>
          </cell>
          <cell r="C12115" t="str">
            <v>Kg</v>
          </cell>
          <cell r="D12115">
            <v>15000</v>
          </cell>
        </row>
        <row r="12116">
          <cell r="A12116">
            <v>45720</v>
          </cell>
          <cell r="B12116" t="str">
            <v>Cà Chua Beef Chùm</v>
          </cell>
          <cell r="C12116" t="str">
            <v>Kg</v>
          </cell>
          <cell r="D12116">
            <v>15000</v>
          </cell>
        </row>
        <row r="12117">
          <cell r="A12117">
            <v>45720</v>
          </cell>
          <cell r="B12117" t="str">
            <v>Cà Chua Beef Trung</v>
          </cell>
          <cell r="C12117" t="str">
            <v>Kg</v>
          </cell>
          <cell r="D12117">
            <v>10000</v>
          </cell>
        </row>
        <row r="12118">
          <cell r="A12118">
            <v>45720</v>
          </cell>
          <cell r="B12118" t="str">
            <v>Dưa Leo Baby</v>
          </cell>
          <cell r="C12118" t="str">
            <v>Vỉ</v>
          </cell>
          <cell r="D12118">
            <v>9500</v>
          </cell>
        </row>
        <row r="12119">
          <cell r="A12119">
            <v>45720</v>
          </cell>
          <cell r="B12119" t="str">
            <v>Cà Chua Bi Đỏ</v>
          </cell>
          <cell r="C12119" t="str">
            <v>Hộp 500gr</v>
          </cell>
          <cell r="D12119">
            <v>9000</v>
          </cell>
        </row>
        <row r="12120">
          <cell r="A12120">
            <v>45720</v>
          </cell>
          <cell r="B12120" t="str">
            <v>Cà Chua Bi Đỏ</v>
          </cell>
          <cell r="C12120" t="str">
            <v>Hộp 300gr</v>
          </cell>
          <cell r="D12120">
            <v>5400</v>
          </cell>
        </row>
        <row r="12121">
          <cell r="A12121">
            <v>45720</v>
          </cell>
          <cell r="B12121" t="str">
            <v>Bí Đỏ Tròn</v>
          </cell>
          <cell r="C12121" t="str">
            <v>Kg</v>
          </cell>
          <cell r="D12121">
            <v>9500</v>
          </cell>
        </row>
        <row r="12122">
          <cell r="A12122">
            <v>45720</v>
          </cell>
          <cell r="B12122" t="str">
            <v>Bắp Cải Trắng</v>
          </cell>
          <cell r="C12122" t="str">
            <v>Kg</v>
          </cell>
          <cell r="D12122">
            <v>3500</v>
          </cell>
        </row>
        <row r="12123">
          <cell r="A12123">
            <v>45720</v>
          </cell>
          <cell r="B12123" t="str">
            <v>Ớt Chuông Đỏ</v>
          </cell>
          <cell r="C12123" t="str">
            <v>Kg</v>
          </cell>
          <cell r="D12123">
            <v>24000</v>
          </cell>
        </row>
        <row r="12124">
          <cell r="A12124">
            <v>45720</v>
          </cell>
          <cell r="B12124" t="str">
            <v>Ớt Chuông Vàng</v>
          </cell>
          <cell r="C12124" t="str">
            <v>Kg</v>
          </cell>
          <cell r="D12124">
            <v>26000</v>
          </cell>
        </row>
        <row r="12125">
          <cell r="A12125">
            <v>45720</v>
          </cell>
          <cell r="B12125" t="str">
            <v>Ớt Chuông Baby</v>
          </cell>
          <cell r="C12125" t="str">
            <v>Kg</v>
          </cell>
          <cell r="D12125">
            <v>28000</v>
          </cell>
        </row>
        <row r="12126">
          <cell r="A12126">
            <v>45720</v>
          </cell>
          <cell r="B12126" t="str">
            <v>Ớt Chuông Snack</v>
          </cell>
          <cell r="C12126" t="str">
            <v>Kg</v>
          </cell>
          <cell r="D12126">
            <v>50000</v>
          </cell>
        </row>
        <row r="12127">
          <cell r="A12127">
            <v>45720</v>
          </cell>
          <cell r="B12127" t="str">
            <v>Đậu Cove Trắng</v>
          </cell>
          <cell r="C12127" t="str">
            <v>Túi 500gr</v>
          </cell>
          <cell r="D12127">
            <v>10000</v>
          </cell>
        </row>
        <row r="12128">
          <cell r="A12128">
            <v>45720</v>
          </cell>
          <cell r="B12128" t="str">
            <v>Đậu Cove Trắng</v>
          </cell>
          <cell r="C12128" t="str">
            <v>Túi 300gr</v>
          </cell>
          <cell r="D12128">
            <v>7000</v>
          </cell>
        </row>
        <row r="12129">
          <cell r="A12129">
            <v>45720</v>
          </cell>
          <cell r="B12129" t="str">
            <v>Dưa Leo Baby</v>
          </cell>
          <cell r="C12129" t="str">
            <v>Vỉ</v>
          </cell>
          <cell r="D12129">
            <v>10000</v>
          </cell>
        </row>
        <row r="12130">
          <cell r="A12130">
            <v>45720</v>
          </cell>
          <cell r="B12130" t="str">
            <v>Dưa Leo Nhật</v>
          </cell>
          <cell r="C12130" t="str">
            <v>Kg</v>
          </cell>
          <cell r="D12130">
            <v>16000</v>
          </cell>
        </row>
        <row r="12131">
          <cell r="A12131">
            <v>45720</v>
          </cell>
          <cell r="B12131" t="str">
            <v>Bí Non Nhật</v>
          </cell>
          <cell r="C12131" t="str">
            <v>Kg</v>
          </cell>
          <cell r="D12131">
            <v>15000</v>
          </cell>
        </row>
        <row r="12132">
          <cell r="A12132">
            <v>45720</v>
          </cell>
          <cell r="B12132" t="str">
            <v>Cà Chua Thường</v>
          </cell>
          <cell r="C12132" t="str">
            <v>Kg</v>
          </cell>
          <cell r="D12132">
            <v>17000</v>
          </cell>
        </row>
        <row r="12133">
          <cell r="A12133">
            <v>45720</v>
          </cell>
          <cell r="B12133" t="str">
            <v>Cà Chua Thường Trung</v>
          </cell>
          <cell r="C12133" t="str">
            <v>Kg</v>
          </cell>
          <cell r="D12133">
            <v>12000</v>
          </cell>
        </row>
        <row r="12134">
          <cell r="A12134">
            <v>45720</v>
          </cell>
          <cell r="B12134" t="str">
            <v>Củ Cải Trắng</v>
          </cell>
          <cell r="C12134" t="str">
            <v>Kg</v>
          </cell>
          <cell r="D12134">
            <v>5000</v>
          </cell>
        </row>
        <row r="12135">
          <cell r="A12135">
            <v>45720</v>
          </cell>
          <cell r="B12135" t="str">
            <v>Dưa Leo Thường</v>
          </cell>
          <cell r="C12135" t="str">
            <v>Kg</v>
          </cell>
          <cell r="D12135">
            <v>13000</v>
          </cell>
        </row>
        <row r="12136">
          <cell r="A12136">
            <v>45720</v>
          </cell>
          <cell r="B12136" t="str">
            <v>Bí Đao Xanh</v>
          </cell>
          <cell r="C12136" t="str">
            <v>Kg</v>
          </cell>
          <cell r="D12136">
            <v>12000</v>
          </cell>
        </row>
        <row r="12137">
          <cell r="A12137">
            <v>45720</v>
          </cell>
          <cell r="B12137" t="str">
            <v>Trái Khổ Qua</v>
          </cell>
          <cell r="C12137" t="str">
            <v>Kg</v>
          </cell>
          <cell r="D12137">
            <v>18000</v>
          </cell>
        </row>
        <row r="12138">
          <cell r="A12138">
            <v>45720</v>
          </cell>
          <cell r="B12138" t="str">
            <v>Củ Khoai Tây Vàng</v>
          </cell>
          <cell r="C12138" t="str">
            <v>Kg</v>
          </cell>
          <cell r="D12138">
            <v>11300</v>
          </cell>
        </row>
        <row r="12139">
          <cell r="A12139">
            <v>45720</v>
          </cell>
          <cell r="B12139" t="str">
            <v>Cà Chua Socola</v>
          </cell>
          <cell r="C12139" t="str">
            <v>Hộp 250GR</v>
          </cell>
          <cell r="D12139">
            <v>10000</v>
          </cell>
        </row>
        <row r="12140">
          <cell r="A12140">
            <v>45720</v>
          </cell>
          <cell r="B12140" t="str">
            <v>Rau Bầu Đất</v>
          </cell>
          <cell r="C12140" t="str">
            <v>Kg</v>
          </cell>
          <cell r="D12140">
            <v>35000</v>
          </cell>
        </row>
        <row r="12141">
          <cell r="A12141">
            <v>45720</v>
          </cell>
          <cell r="B12141" t="str">
            <v>Lá Tía Tô</v>
          </cell>
          <cell r="C12141" t="str">
            <v>Kg</v>
          </cell>
          <cell r="D12141">
            <v>32000</v>
          </cell>
        </row>
        <row r="12142">
          <cell r="A12142">
            <v>45720</v>
          </cell>
          <cell r="B12142" t="str">
            <v>Ớt Chuông Đỏ</v>
          </cell>
          <cell r="C12142" t="str">
            <v>Kg</v>
          </cell>
          <cell r="D12142">
            <v>19000</v>
          </cell>
        </row>
        <row r="12143">
          <cell r="A12143">
            <v>45720</v>
          </cell>
          <cell r="B12143" t="str">
            <v>Ớt Chuông Vàng</v>
          </cell>
          <cell r="C12143" t="str">
            <v>Kg</v>
          </cell>
          <cell r="D12143">
            <v>19000</v>
          </cell>
        </row>
        <row r="12144">
          <cell r="A12144">
            <v>45720</v>
          </cell>
          <cell r="B12144" t="str">
            <v>Ớt Chuông Xanh</v>
          </cell>
          <cell r="C12144" t="str">
            <v>Kg</v>
          </cell>
          <cell r="D12144">
            <v>24000</v>
          </cell>
        </row>
        <row r="12145">
          <cell r="A12145">
            <v>45720</v>
          </cell>
          <cell r="B12145" t="str">
            <v>Măng Tây</v>
          </cell>
          <cell r="C12145" t="str">
            <v>Kg</v>
          </cell>
          <cell r="D12145">
            <v>38000</v>
          </cell>
        </row>
        <row r="12146">
          <cell r="A12146">
            <v>45720</v>
          </cell>
          <cell r="B12146" t="str">
            <v>Măng Tây</v>
          </cell>
          <cell r="C12146" t="str">
            <v>Kg</v>
          </cell>
          <cell r="D12146">
            <v>36000</v>
          </cell>
        </row>
        <row r="12147">
          <cell r="A12147">
            <v>45720</v>
          </cell>
          <cell r="B12147" t="str">
            <v>Lá É</v>
          </cell>
          <cell r="C12147" t="str">
            <v>Kg</v>
          </cell>
          <cell r="D12147">
            <v>35000</v>
          </cell>
        </row>
        <row r="12148">
          <cell r="A12148">
            <v>45720</v>
          </cell>
          <cell r="B12148" t="str">
            <v>Đậu Đỏ</v>
          </cell>
          <cell r="C12148" t="str">
            <v>Kg</v>
          </cell>
          <cell r="D12148">
            <v>80000</v>
          </cell>
        </row>
        <row r="12149">
          <cell r="A12149">
            <v>45720</v>
          </cell>
          <cell r="B12149" t="str">
            <v>Đậu Trắng</v>
          </cell>
          <cell r="C12149" t="str">
            <v>Kg</v>
          </cell>
          <cell r="D12149">
            <v>70000</v>
          </cell>
        </row>
        <row r="12150">
          <cell r="A12150">
            <v>45720</v>
          </cell>
          <cell r="B12150" t="str">
            <v>Bắp Cải Tím</v>
          </cell>
          <cell r="C12150" t="str">
            <v>Kg</v>
          </cell>
          <cell r="D12150">
            <v>27000</v>
          </cell>
        </row>
        <row r="12151">
          <cell r="A12151">
            <v>45720</v>
          </cell>
          <cell r="B12151" t="str">
            <v>Bí Ngô Mini</v>
          </cell>
          <cell r="C12151" t="str">
            <v>Kg</v>
          </cell>
          <cell r="D12151">
            <v>65000</v>
          </cell>
        </row>
        <row r="12152">
          <cell r="A12152">
            <v>45720</v>
          </cell>
          <cell r="B12152" t="str">
            <v>Cần Tây</v>
          </cell>
          <cell r="C12152" t="str">
            <v>Kg</v>
          </cell>
          <cell r="D12152">
            <v>17000</v>
          </cell>
        </row>
        <row r="12153">
          <cell r="A12153">
            <v>45720</v>
          </cell>
          <cell r="B12153" t="str">
            <v>Củ Gừng</v>
          </cell>
          <cell r="C12153" t="str">
            <v>Kg</v>
          </cell>
          <cell r="D12153">
            <v>19000</v>
          </cell>
        </row>
        <row r="12154">
          <cell r="A12154">
            <v>45720</v>
          </cell>
          <cell r="B12154" t="str">
            <v>Củ Khoai Mỡ</v>
          </cell>
          <cell r="C12154" t="str">
            <v>Kg</v>
          </cell>
          <cell r="D12154">
            <v>25000</v>
          </cell>
        </row>
        <row r="12155">
          <cell r="A12155">
            <v>45720</v>
          </cell>
          <cell r="B12155" t="str">
            <v>Xà Lách Mỡ T.C</v>
          </cell>
          <cell r="C12155" t="str">
            <v>Kg</v>
          </cell>
          <cell r="D12155">
            <v>26000</v>
          </cell>
        </row>
        <row r="12156">
          <cell r="A12156">
            <v>45720</v>
          </cell>
          <cell r="B12156" t="str">
            <v>Xà Lách Lolo Xanh T.C</v>
          </cell>
          <cell r="C12156" t="str">
            <v>Kg</v>
          </cell>
          <cell r="D12156">
            <v>26000</v>
          </cell>
        </row>
        <row r="12157">
          <cell r="A12157">
            <v>45720</v>
          </cell>
          <cell r="B12157" t="str">
            <v>Xà Lách Thủy Tinh T.C Cây</v>
          </cell>
          <cell r="C12157" t="str">
            <v>Cây</v>
          </cell>
          <cell r="D12157">
            <v>7500</v>
          </cell>
        </row>
        <row r="12158">
          <cell r="A12158">
            <v>45720</v>
          </cell>
          <cell r="B12158" t="str">
            <v>Bí Ngòi Xanh</v>
          </cell>
          <cell r="C12158" t="str">
            <v>Kg</v>
          </cell>
          <cell r="D12158">
            <v>10000</v>
          </cell>
        </row>
        <row r="12159">
          <cell r="A12159">
            <v>45720</v>
          </cell>
          <cell r="B12159" t="str">
            <v>Bắp Cải Trái Tim</v>
          </cell>
          <cell r="C12159" t="str">
            <v>Kg</v>
          </cell>
          <cell r="D12159">
            <v>5500</v>
          </cell>
        </row>
        <row r="12160">
          <cell r="A12160">
            <v>45720</v>
          </cell>
          <cell r="B12160" t="str">
            <v>Cà Tím</v>
          </cell>
          <cell r="C12160" t="str">
            <v>Kg</v>
          </cell>
          <cell r="D12160">
            <v>8000</v>
          </cell>
        </row>
        <row r="12161">
          <cell r="A12161">
            <v>45720</v>
          </cell>
          <cell r="B12161" t="str">
            <v>Xà Lách Lolo Xanh</v>
          </cell>
          <cell r="C12161" t="str">
            <v>Kg</v>
          </cell>
          <cell r="D12161">
            <v>13000</v>
          </cell>
        </row>
        <row r="12162">
          <cell r="A12162">
            <v>45720</v>
          </cell>
          <cell r="B12162" t="str">
            <v>Cải Thảo</v>
          </cell>
          <cell r="C12162" t="str">
            <v>Kg</v>
          </cell>
          <cell r="D12162">
            <v>3000</v>
          </cell>
        </row>
        <row r="12163">
          <cell r="A12163">
            <v>45720</v>
          </cell>
          <cell r="B12163" t="str">
            <v>Cần Tây</v>
          </cell>
          <cell r="C12163" t="str">
            <v>Kg</v>
          </cell>
          <cell r="D12163">
            <v>10000</v>
          </cell>
        </row>
        <row r="12164">
          <cell r="A12164">
            <v>45720</v>
          </cell>
          <cell r="B12164" t="str">
            <v>Bông Cải Xanh Baby</v>
          </cell>
          <cell r="C12164" t="str">
            <v>Vỉ</v>
          </cell>
          <cell r="D12164">
            <v>6000</v>
          </cell>
        </row>
        <row r="12165">
          <cell r="A12165">
            <v>45720</v>
          </cell>
          <cell r="B12165" t="str">
            <v>Củ Cải Đỏ</v>
          </cell>
          <cell r="C12165" t="str">
            <v>Hộp</v>
          </cell>
          <cell r="D12165">
            <v>10000</v>
          </cell>
        </row>
        <row r="12166">
          <cell r="A12166">
            <v>45720</v>
          </cell>
          <cell r="B12166" t="str">
            <v>Xà Lách Lolo Xanh</v>
          </cell>
          <cell r="C12166" t="str">
            <v>Kg</v>
          </cell>
          <cell r="D12166">
            <v>19000</v>
          </cell>
        </row>
        <row r="12167">
          <cell r="A12167">
            <v>45720</v>
          </cell>
          <cell r="B12167" t="str">
            <v>Xà Lách Lolo Xanh</v>
          </cell>
          <cell r="C12167" t="str">
            <v>Kg</v>
          </cell>
          <cell r="D12167">
            <v>16000</v>
          </cell>
        </row>
        <row r="12168">
          <cell r="A12168">
            <v>45720</v>
          </cell>
          <cell r="B12168" t="str">
            <v>Cà Chua Beef Trung</v>
          </cell>
          <cell r="C12168" t="str">
            <v>Vỉ 500gr</v>
          </cell>
          <cell r="D12168">
            <v>8000</v>
          </cell>
        </row>
        <row r="12169">
          <cell r="A12169">
            <v>45720</v>
          </cell>
          <cell r="B12169" t="str">
            <v>Ớt Sweet Palemo</v>
          </cell>
          <cell r="C12169" t="str">
            <v>Túi</v>
          </cell>
          <cell r="D12169">
            <v>16000</v>
          </cell>
        </row>
        <row r="12170">
          <cell r="A12170">
            <v>45720</v>
          </cell>
          <cell r="B12170" t="str">
            <v>Xà Lách Lolo Tím</v>
          </cell>
          <cell r="C12170" t="str">
            <v>Kg</v>
          </cell>
          <cell r="D12170">
            <v>20000</v>
          </cell>
        </row>
        <row r="12171">
          <cell r="A12171">
            <v>45720</v>
          </cell>
          <cell r="B12171" t="str">
            <v>Lá Mè</v>
          </cell>
          <cell r="C12171" t="str">
            <v>Túi</v>
          </cell>
          <cell r="D12171">
            <v>2300</v>
          </cell>
        </row>
        <row r="12172">
          <cell r="A12172">
            <v>45720</v>
          </cell>
          <cell r="B12172" t="str">
            <v>Dưa Leo Baby</v>
          </cell>
          <cell r="C12172" t="str">
            <v>Vỉ</v>
          </cell>
          <cell r="D12172">
            <v>10000</v>
          </cell>
        </row>
        <row r="12173">
          <cell r="A12173">
            <v>45720</v>
          </cell>
          <cell r="B12173" t="str">
            <v>Cải Kale</v>
          </cell>
          <cell r="C12173" t="str">
            <v>Túi</v>
          </cell>
          <cell r="D12173">
            <v>3000</v>
          </cell>
        </row>
        <row r="12174">
          <cell r="A12174">
            <v>45720</v>
          </cell>
          <cell r="B12174" t="str">
            <v>Cải Kale</v>
          </cell>
          <cell r="C12174" t="str">
            <v>Túi 150gr</v>
          </cell>
          <cell r="D12174">
            <v>1700</v>
          </cell>
        </row>
        <row r="12175">
          <cell r="A12175">
            <v>45720</v>
          </cell>
          <cell r="B12175" t="str">
            <v>Bắp Cải Tím</v>
          </cell>
          <cell r="C12175" t="str">
            <v>Kg</v>
          </cell>
          <cell r="D12175">
            <v>19000</v>
          </cell>
        </row>
        <row r="12176">
          <cell r="A12176">
            <v>45721</v>
          </cell>
          <cell r="B12176" t="str">
            <v>Dầu DO 0,05 S</v>
          </cell>
          <cell r="C12176" t="str">
            <v/>
          </cell>
          <cell r="D12176">
            <v>17227.27</v>
          </cell>
        </row>
        <row r="12177">
          <cell r="A12177">
            <v>45721</v>
          </cell>
          <cell r="B12177" t="str">
            <v>DO 0.05S-II</v>
          </cell>
          <cell r="C12177" t="str">
            <v>Lít</v>
          </cell>
          <cell r="D12177">
            <v>17563.64</v>
          </cell>
        </row>
        <row r="12178">
          <cell r="A12178">
            <v>45721</v>
          </cell>
          <cell r="B12178" t="str">
            <v>Dầu DO 0,001S</v>
          </cell>
          <cell r="C12178" t="str">
            <v/>
          </cell>
          <cell r="D12178">
            <v>17945.45</v>
          </cell>
        </row>
        <row r="12179">
          <cell r="A12179">
            <v>45721</v>
          </cell>
          <cell r="B12179" t="str">
            <v>Dầu DO 0,001S</v>
          </cell>
          <cell r="C12179" t="str">
            <v/>
          </cell>
          <cell r="D12179">
            <v>17945.45</v>
          </cell>
        </row>
        <row r="12180">
          <cell r="A12180">
            <v>45721</v>
          </cell>
          <cell r="B12180" t="str">
            <v>Bí Ngòi Vàng</v>
          </cell>
          <cell r="C12180" t="str">
            <v>Kg</v>
          </cell>
          <cell r="D12180">
            <v>20000</v>
          </cell>
        </row>
        <row r="12181">
          <cell r="A12181">
            <v>45721</v>
          </cell>
          <cell r="B12181" t="str">
            <v>Đậu Hà Lan Trái</v>
          </cell>
          <cell r="C12181" t="str">
            <v>Kg</v>
          </cell>
          <cell r="D12181">
            <v>60000</v>
          </cell>
        </row>
        <row r="12182">
          <cell r="A12182">
            <v>45721</v>
          </cell>
          <cell r="B12182" t="str">
            <v>Rau Bầu Đất</v>
          </cell>
          <cell r="C12182" t="str">
            <v>Kg</v>
          </cell>
          <cell r="D12182">
            <v>35000</v>
          </cell>
        </row>
        <row r="12183">
          <cell r="A12183">
            <v>45721</v>
          </cell>
          <cell r="B12183" t="str">
            <v>Lá Tía Tô</v>
          </cell>
          <cell r="C12183" t="str">
            <v>Kg</v>
          </cell>
          <cell r="D12183">
            <v>32000</v>
          </cell>
        </row>
        <row r="12184">
          <cell r="A12184">
            <v>45721</v>
          </cell>
          <cell r="B12184" t="str">
            <v>Xà Lách Mỹ</v>
          </cell>
          <cell r="C12184" t="str">
            <v>Kg</v>
          </cell>
          <cell r="D12184">
            <v>10000</v>
          </cell>
        </row>
        <row r="12185">
          <cell r="A12185">
            <v>45721</v>
          </cell>
          <cell r="B12185" t="str">
            <v>Ớt Chuông Đỏ</v>
          </cell>
          <cell r="C12185" t="str">
            <v>Kg</v>
          </cell>
          <cell r="D12185">
            <v>19000</v>
          </cell>
        </row>
        <row r="12186">
          <cell r="A12186">
            <v>45721</v>
          </cell>
          <cell r="B12186" t="str">
            <v>Ớt Chuông Vàng</v>
          </cell>
          <cell r="C12186" t="str">
            <v>Kg</v>
          </cell>
          <cell r="D12186">
            <v>19000</v>
          </cell>
        </row>
        <row r="12187">
          <cell r="A12187">
            <v>45721</v>
          </cell>
          <cell r="B12187" t="str">
            <v>Ớt Chuông Xanh</v>
          </cell>
          <cell r="C12187" t="str">
            <v>Kg</v>
          </cell>
          <cell r="D12187">
            <v>24000</v>
          </cell>
        </row>
        <row r="12188">
          <cell r="A12188">
            <v>45721</v>
          </cell>
          <cell r="B12188" t="str">
            <v>Cải Bó Xôi</v>
          </cell>
          <cell r="C12188" t="str">
            <v>Kg</v>
          </cell>
          <cell r="D12188">
            <v>15000</v>
          </cell>
        </row>
        <row r="12189">
          <cell r="A12189">
            <v>45721</v>
          </cell>
          <cell r="B12189" t="str">
            <v>Cà Chua Beef</v>
          </cell>
          <cell r="C12189" t="str">
            <v>Kg</v>
          </cell>
          <cell r="D12189">
            <v>16000</v>
          </cell>
        </row>
        <row r="12190">
          <cell r="A12190">
            <v>45721</v>
          </cell>
          <cell r="B12190" t="str">
            <v>Bắp Cải Trái Tim</v>
          </cell>
          <cell r="C12190" t="str">
            <v>Kg</v>
          </cell>
          <cell r="D12190">
            <v>4000</v>
          </cell>
        </row>
        <row r="12191">
          <cell r="A12191">
            <v>45721</v>
          </cell>
          <cell r="B12191" t="str">
            <v>Hành Paro</v>
          </cell>
          <cell r="C12191" t="str">
            <v>Kg</v>
          </cell>
          <cell r="D12191">
            <v>11000</v>
          </cell>
        </row>
        <row r="12192">
          <cell r="A12192">
            <v>45721</v>
          </cell>
          <cell r="B12192" t="str">
            <v>Bí Ngòi Xanh</v>
          </cell>
          <cell r="C12192" t="str">
            <v>Kg</v>
          </cell>
          <cell r="D12192">
            <v>10000</v>
          </cell>
        </row>
        <row r="12193">
          <cell r="A12193">
            <v>45721</v>
          </cell>
          <cell r="B12193" t="str">
            <v>Củ Hành Tây Trung</v>
          </cell>
          <cell r="C12193" t="str">
            <v>Kg</v>
          </cell>
          <cell r="D12193">
            <v>5000</v>
          </cell>
        </row>
        <row r="12194">
          <cell r="A12194">
            <v>45721</v>
          </cell>
          <cell r="B12194" t="str">
            <v>Trái Su Su</v>
          </cell>
          <cell r="C12194" t="str">
            <v>Kg</v>
          </cell>
          <cell r="D12194">
            <v>7000</v>
          </cell>
        </row>
        <row r="12195">
          <cell r="A12195">
            <v>45721</v>
          </cell>
          <cell r="B12195" t="str">
            <v>Chuối Laba</v>
          </cell>
          <cell r="C12195" t="str">
            <v>Kg</v>
          </cell>
          <cell r="D12195">
            <v>14000</v>
          </cell>
        </row>
        <row r="12196">
          <cell r="A12196">
            <v>45721</v>
          </cell>
          <cell r="B12196" t="str">
            <v>Bí Đỏ Hồ Lô</v>
          </cell>
          <cell r="C12196" t="str">
            <v>Kg</v>
          </cell>
          <cell r="D12196">
            <v>8000</v>
          </cell>
        </row>
        <row r="12197">
          <cell r="A12197">
            <v>45721</v>
          </cell>
          <cell r="B12197" t="str">
            <v>Củ Khoai Mỡ</v>
          </cell>
          <cell r="C12197" t="str">
            <v>Kg</v>
          </cell>
          <cell r="D12197">
            <v>26000</v>
          </cell>
        </row>
        <row r="12198">
          <cell r="A12198">
            <v>45721</v>
          </cell>
          <cell r="B12198" t="str">
            <v>Cà Rốt</v>
          </cell>
          <cell r="C12198" t="str">
            <v>Kg</v>
          </cell>
          <cell r="D12198">
            <v>7000</v>
          </cell>
        </row>
        <row r="12199">
          <cell r="A12199">
            <v>45721</v>
          </cell>
          <cell r="B12199" t="str">
            <v>Đậu Cove Nhật</v>
          </cell>
          <cell r="C12199" t="str">
            <v>Túi</v>
          </cell>
          <cell r="D12199">
            <v>6000</v>
          </cell>
        </row>
        <row r="12200">
          <cell r="A12200">
            <v>45721</v>
          </cell>
          <cell r="B12200" t="str">
            <v>Xà Lách Thủy Tinh T.C Cây</v>
          </cell>
          <cell r="C12200" t="str">
            <v>Cây</v>
          </cell>
          <cell r="D12200">
            <v>5000</v>
          </cell>
        </row>
        <row r="12201">
          <cell r="A12201">
            <v>45721</v>
          </cell>
          <cell r="B12201" t="str">
            <v>Bông Cải Xanh Cây</v>
          </cell>
          <cell r="C12201" t="str">
            <v>Cây</v>
          </cell>
          <cell r="D12201">
            <v>5000</v>
          </cell>
        </row>
        <row r="12202">
          <cell r="A12202">
            <v>45721</v>
          </cell>
          <cell r="B12202" t="str">
            <v>Trái Su Su</v>
          </cell>
          <cell r="C12202" t="str">
            <v>Kg</v>
          </cell>
          <cell r="D12202">
            <v>8000</v>
          </cell>
        </row>
        <row r="12203">
          <cell r="A12203">
            <v>45721</v>
          </cell>
          <cell r="B12203" t="str">
            <v>Củ Dền</v>
          </cell>
          <cell r="C12203" t="str">
            <v>Kg</v>
          </cell>
          <cell r="D12203">
            <v>7000</v>
          </cell>
        </row>
        <row r="12204">
          <cell r="A12204">
            <v>45721</v>
          </cell>
          <cell r="B12204" t="str">
            <v>Xà Lách Mỡ T.C</v>
          </cell>
          <cell r="C12204" t="str">
            <v>Kg</v>
          </cell>
          <cell r="D12204">
            <v>24000</v>
          </cell>
        </row>
        <row r="12205">
          <cell r="A12205">
            <v>45721</v>
          </cell>
          <cell r="B12205" t="str">
            <v>Xà Lách Lolo Xanh T.C</v>
          </cell>
          <cell r="C12205" t="str">
            <v>Kg</v>
          </cell>
          <cell r="D12205">
            <v>25000</v>
          </cell>
        </row>
        <row r="12206">
          <cell r="A12206">
            <v>45721</v>
          </cell>
          <cell r="B12206" t="str">
            <v>Xà Lách Thủy Tinh T.C</v>
          </cell>
          <cell r="C12206" t="str">
            <v>Kg</v>
          </cell>
          <cell r="D12206">
            <v>25000</v>
          </cell>
        </row>
        <row r="12207">
          <cell r="A12207">
            <v>45721</v>
          </cell>
          <cell r="B12207" t="str">
            <v>Củ Su Hào</v>
          </cell>
          <cell r="C12207" t="str">
            <v>Kg</v>
          </cell>
          <cell r="D12207">
            <v>10000</v>
          </cell>
        </row>
        <row r="12208">
          <cell r="A12208">
            <v>45721</v>
          </cell>
          <cell r="B12208" t="str">
            <v>Đậu Đỏ</v>
          </cell>
          <cell r="C12208" t="str">
            <v>Kg</v>
          </cell>
          <cell r="D12208">
            <v>80000</v>
          </cell>
        </row>
        <row r="12209">
          <cell r="A12209">
            <v>45721</v>
          </cell>
          <cell r="B12209" t="str">
            <v>Đậu Ngự</v>
          </cell>
          <cell r="C12209" t="str">
            <v>Kg</v>
          </cell>
          <cell r="D12209">
            <v>70000</v>
          </cell>
        </row>
        <row r="12210">
          <cell r="A12210">
            <v>45721</v>
          </cell>
          <cell r="B12210" t="str">
            <v>Đậu Trắng</v>
          </cell>
          <cell r="C12210" t="str">
            <v>Kg</v>
          </cell>
          <cell r="D12210">
            <v>70000</v>
          </cell>
        </row>
        <row r="12211">
          <cell r="A12211">
            <v>45721</v>
          </cell>
          <cell r="B12211" t="str">
            <v>Bông Cải Xanh Cây</v>
          </cell>
          <cell r="C12211" t="str">
            <v>Cây</v>
          </cell>
          <cell r="D12211">
            <v>5000</v>
          </cell>
        </row>
        <row r="12212">
          <cell r="A12212">
            <v>45721</v>
          </cell>
          <cell r="B12212" t="str">
            <v>Bông Cải Xanh Cây</v>
          </cell>
          <cell r="C12212" t="str">
            <v>Cây</v>
          </cell>
          <cell r="D12212">
            <v>5000</v>
          </cell>
        </row>
        <row r="12213">
          <cell r="A12213">
            <v>45721</v>
          </cell>
          <cell r="B12213" t="str">
            <v>Bông Cải Xanh Cây</v>
          </cell>
          <cell r="C12213" t="str">
            <v>Cây</v>
          </cell>
          <cell r="D12213">
            <v>5000</v>
          </cell>
        </row>
        <row r="12214">
          <cell r="A12214">
            <v>45721</v>
          </cell>
          <cell r="B12214" t="str">
            <v>Xà Lách Thủy Tinh T.C Cây</v>
          </cell>
          <cell r="C12214" t="str">
            <v>Cây</v>
          </cell>
          <cell r="D12214">
            <v>6800</v>
          </cell>
        </row>
        <row r="12215">
          <cell r="A12215">
            <v>45721</v>
          </cell>
          <cell r="B12215" t="str">
            <v>Xà Lách Lolo Xanh T.C Cây</v>
          </cell>
          <cell r="C12215" t="str">
            <v>Cây</v>
          </cell>
          <cell r="D12215">
            <v>6800</v>
          </cell>
        </row>
        <row r="12216">
          <cell r="A12216">
            <v>45721</v>
          </cell>
          <cell r="B12216" t="str">
            <v>Xà Lách Mỡ T.C</v>
          </cell>
          <cell r="C12216" t="str">
            <v>Kg</v>
          </cell>
          <cell r="D12216">
            <v>21000</v>
          </cell>
        </row>
        <row r="12217">
          <cell r="A12217">
            <v>45721</v>
          </cell>
          <cell r="B12217" t="str">
            <v>Xà Lách Thủy Tinh T.C Cây</v>
          </cell>
          <cell r="C12217" t="str">
            <v>Cây</v>
          </cell>
          <cell r="D12217">
            <v>6800</v>
          </cell>
        </row>
        <row r="12218">
          <cell r="A12218">
            <v>45721</v>
          </cell>
          <cell r="B12218" t="str">
            <v>Gia Công Rau Củ Quả</v>
          </cell>
          <cell r="C12218" t="str">
            <v>Kg</v>
          </cell>
          <cell r="D12218">
            <v>1000</v>
          </cell>
        </row>
        <row r="12219">
          <cell r="A12219">
            <v>45721</v>
          </cell>
          <cell r="B12219" t="str">
            <v>Gia Công Rau Củ Quả</v>
          </cell>
          <cell r="C12219" t="str">
            <v>Kg</v>
          </cell>
          <cell r="D12219">
            <v>1000</v>
          </cell>
        </row>
        <row r="12220">
          <cell r="A12220">
            <v>45721</v>
          </cell>
          <cell r="B12220" t="str">
            <v>Dưa Leo Baby</v>
          </cell>
          <cell r="C12220" t="str">
            <v>Kg</v>
          </cell>
          <cell r="D12220">
            <v>9500</v>
          </cell>
        </row>
        <row r="12221">
          <cell r="A12221">
            <v>45721</v>
          </cell>
          <cell r="B12221" t="str">
            <v>Dưa Leo Baby</v>
          </cell>
          <cell r="C12221" t="str">
            <v>Kg</v>
          </cell>
          <cell r="D12221">
            <v>13000</v>
          </cell>
        </row>
        <row r="12222">
          <cell r="A12222">
            <v>45721</v>
          </cell>
          <cell r="B12222" t="str">
            <v>Hồng Treo Gió</v>
          </cell>
          <cell r="C12222" t="str">
            <v>Kg</v>
          </cell>
          <cell r="D12222">
            <v>200000</v>
          </cell>
        </row>
        <row r="12223">
          <cell r="A12223">
            <v>45721</v>
          </cell>
          <cell r="B12223" t="str">
            <v>Bí Ngòi Xanh</v>
          </cell>
          <cell r="C12223" t="str">
            <v>Kg</v>
          </cell>
          <cell r="D12223">
            <v>10000</v>
          </cell>
        </row>
        <row r="12224">
          <cell r="A12224">
            <v>45721</v>
          </cell>
          <cell r="B12224" t="str">
            <v>Cải Kale</v>
          </cell>
          <cell r="C12224" t="str">
            <v>Túi</v>
          </cell>
          <cell r="D12224">
            <v>3000</v>
          </cell>
        </row>
        <row r="12225">
          <cell r="A12225">
            <v>45721</v>
          </cell>
          <cell r="B12225" t="str">
            <v>Lá Mè</v>
          </cell>
          <cell r="C12225" t="str">
            <v>Túi</v>
          </cell>
          <cell r="D12225">
            <v>2300</v>
          </cell>
        </row>
        <row r="12226">
          <cell r="A12226">
            <v>45721</v>
          </cell>
          <cell r="B12226" t="str">
            <v>Cần Tây</v>
          </cell>
          <cell r="C12226" t="str">
            <v>Kg</v>
          </cell>
          <cell r="D12226">
            <v>8000</v>
          </cell>
        </row>
        <row r="12227">
          <cell r="A12227">
            <v>45721</v>
          </cell>
          <cell r="B12227" t="str">
            <v>Cần Tây</v>
          </cell>
          <cell r="C12227" t="str">
            <v>Kg</v>
          </cell>
          <cell r="D12227">
            <v>9000</v>
          </cell>
        </row>
        <row r="12228">
          <cell r="A12228">
            <v>45721</v>
          </cell>
          <cell r="B12228" t="str">
            <v>Cà Chua Socola</v>
          </cell>
          <cell r="C12228" t="str">
            <v>Hộp 250GR</v>
          </cell>
          <cell r="D12228">
            <v>7500</v>
          </cell>
        </row>
        <row r="12229">
          <cell r="A12229">
            <v>45721</v>
          </cell>
          <cell r="B12229" t="str">
            <v>Dưa Leo Baby</v>
          </cell>
          <cell r="C12229" t="str">
            <v>Vỉ</v>
          </cell>
          <cell r="D12229">
            <v>7500</v>
          </cell>
        </row>
        <row r="12230">
          <cell r="A12230">
            <v>45721</v>
          </cell>
          <cell r="B12230" t="str">
            <v>Trái Mít Thái</v>
          </cell>
          <cell r="C12230" t="str">
            <v>Kg</v>
          </cell>
          <cell r="D12230">
            <v>21314</v>
          </cell>
        </row>
        <row r="12231">
          <cell r="A12231">
            <v>45721</v>
          </cell>
          <cell r="B12231" t="str">
            <v>Củ Dền</v>
          </cell>
          <cell r="C12231" t="str">
            <v>Kg</v>
          </cell>
          <cell r="D12231">
            <v>8000</v>
          </cell>
        </row>
        <row r="12232">
          <cell r="A12232">
            <v>45721</v>
          </cell>
          <cell r="B12232" t="str">
            <v>Ớt Chuông Baby</v>
          </cell>
          <cell r="C12232" t="str">
            <v>Kg</v>
          </cell>
          <cell r="D12232">
            <v>35000</v>
          </cell>
        </row>
        <row r="12233">
          <cell r="A12233">
            <v>45721</v>
          </cell>
          <cell r="B12233" t="str">
            <v>Rau Ngò Rí</v>
          </cell>
          <cell r="C12233" t="str">
            <v>Kg</v>
          </cell>
          <cell r="D12233">
            <v>35000</v>
          </cell>
        </row>
        <row r="12234">
          <cell r="A12234">
            <v>45721</v>
          </cell>
          <cell r="B12234" t="str">
            <v>Ớt Sweet Palemo</v>
          </cell>
          <cell r="C12234" t="str">
            <v>Túi</v>
          </cell>
          <cell r="D12234">
            <v>16000</v>
          </cell>
        </row>
        <row r="12235">
          <cell r="A12235">
            <v>45721</v>
          </cell>
          <cell r="B12235" t="str">
            <v>Cà Chua Beef</v>
          </cell>
          <cell r="C12235" t="str">
            <v>Kg</v>
          </cell>
          <cell r="D12235">
            <v>16500</v>
          </cell>
        </row>
        <row r="12236">
          <cell r="A12236">
            <v>45721</v>
          </cell>
          <cell r="B12236" t="str">
            <v>Cải Bó Xôi</v>
          </cell>
          <cell r="C12236" t="str">
            <v>Túi</v>
          </cell>
          <cell r="D12236">
            <v>11400</v>
          </cell>
        </row>
        <row r="12237">
          <cell r="A12237">
            <v>45721</v>
          </cell>
          <cell r="B12237" t="str">
            <v>Cà Chua Bi Mix</v>
          </cell>
          <cell r="C12237" t="str">
            <v>Hộp</v>
          </cell>
          <cell r="D12237">
            <v>12000</v>
          </cell>
        </row>
        <row r="12238">
          <cell r="A12238">
            <v>45721</v>
          </cell>
          <cell r="B12238" t="str">
            <v>Cà Chua Socola</v>
          </cell>
          <cell r="C12238" t="str">
            <v>Hộp 300gr</v>
          </cell>
          <cell r="D12238">
            <v>12000</v>
          </cell>
        </row>
        <row r="12239">
          <cell r="A12239">
            <v>45721</v>
          </cell>
          <cell r="B12239" t="str">
            <v>Cải Kale</v>
          </cell>
          <cell r="C12239" t="str">
            <v>Túi</v>
          </cell>
          <cell r="D12239">
            <v>4200</v>
          </cell>
        </row>
        <row r="12240">
          <cell r="A12240">
            <v>45721</v>
          </cell>
          <cell r="B12240" t="str">
            <v>Chanh Không Hạt</v>
          </cell>
          <cell r="C12240" t="str">
            <v>Vỉ</v>
          </cell>
          <cell r="D12240">
            <v>8000</v>
          </cell>
        </row>
        <row r="12241">
          <cell r="A12241">
            <v>45721</v>
          </cell>
          <cell r="B12241" t="str">
            <v>Cà Chua Beef</v>
          </cell>
          <cell r="C12241" t="str">
            <v>Kg</v>
          </cell>
          <cell r="D12241">
            <v>16000</v>
          </cell>
        </row>
        <row r="12242">
          <cell r="A12242">
            <v>45721</v>
          </cell>
          <cell r="B12242" t="str">
            <v>Cà Chua Beef</v>
          </cell>
          <cell r="C12242" t="str">
            <v>Vỉ 650gr</v>
          </cell>
          <cell r="D12242">
            <v>13650</v>
          </cell>
        </row>
        <row r="12243">
          <cell r="A12243">
            <v>45721</v>
          </cell>
          <cell r="B12243" t="str">
            <v>Cà Chua Beef Trung</v>
          </cell>
          <cell r="C12243" t="str">
            <v>Vỉ 500gr</v>
          </cell>
          <cell r="D12243">
            <v>8000</v>
          </cell>
        </row>
        <row r="12244">
          <cell r="A12244">
            <v>45721</v>
          </cell>
          <cell r="B12244" t="str">
            <v>Củ Gừng</v>
          </cell>
          <cell r="C12244" t="str">
            <v>Kg</v>
          </cell>
          <cell r="D12244">
            <v>19000</v>
          </cell>
        </row>
        <row r="12245">
          <cell r="A12245">
            <v>45721</v>
          </cell>
          <cell r="B12245" t="str">
            <v>Củ Khoai Lang Nhật</v>
          </cell>
          <cell r="C12245" t="str">
            <v>Kg</v>
          </cell>
          <cell r="D12245">
            <v>16000</v>
          </cell>
        </row>
        <row r="12246">
          <cell r="A12246">
            <v>45721</v>
          </cell>
          <cell r="B12246" t="str">
            <v>Bí Đỏ Tròn</v>
          </cell>
          <cell r="C12246" t="str">
            <v>Kg</v>
          </cell>
          <cell r="D12246">
            <v>9500</v>
          </cell>
        </row>
        <row r="12247">
          <cell r="A12247">
            <v>45721</v>
          </cell>
          <cell r="B12247" t="str">
            <v>Dưa Leo Thường</v>
          </cell>
          <cell r="C12247" t="str">
            <v>Kg</v>
          </cell>
          <cell r="D12247">
            <v>13000</v>
          </cell>
        </row>
        <row r="12248">
          <cell r="A12248">
            <v>45721</v>
          </cell>
          <cell r="B12248" t="str">
            <v>Bí Đao Xanh</v>
          </cell>
          <cell r="C12248" t="str">
            <v>Kg</v>
          </cell>
          <cell r="D12248">
            <v>12000</v>
          </cell>
        </row>
        <row r="12249">
          <cell r="A12249">
            <v>45721</v>
          </cell>
          <cell r="B12249" t="str">
            <v>Trái Khổ Qua</v>
          </cell>
          <cell r="C12249" t="str">
            <v>Kg</v>
          </cell>
          <cell r="D12249">
            <v>18000</v>
          </cell>
        </row>
        <row r="12250">
          <cell r="A12250">
            <v>45721</v>
          </cell>
          <cell r="B12250" t="str">
            <v>Xà Lách Mỡ T.C</v>
          </cell>
          <cell r="C12250" t="str">
            <v>Kg</v>
          </cell>
          <cell r="D12250">
            <v>26000</v>
          </cell>
        </row>
        <row r="12251">
          <cell r="A12251">
            <v>45721</v>
          </cell>
          <cell r="B12251" t="str">
            <v>Xà Lách Lolo Xanh T.C</v>
          </cell>
          <cell r="C12251" t="str">
            <v>Kg</v>
          </cell>
          <cell r="D12251">
            <v>26000</v>
          </cell>
        </row>
        <row r="12252">
          <cell r="A12252">
            <v>45721</v>
          </cell>
          <cell r="B12252" t="str">
            <v>Xà Lách Thủy Tinh T.C Cây</v>
          </cell>
          <cell r="C12252" t="str">
            <v>Cây</v>
          </cell>
          <cell r="D12252">
            <v>7500</v>
          </cell>
        </row>
        <row r="12253">
          <cell r="A12253">
            <v>45721</v>
          </cell>
          <cell r="B12253" t="str">
            <v>Cà Rốt</v>
          </cell>
          <cell r="C12253" t="str">
            <v>Kg</v>
          </cell>
          <cell r="D12253">
            <v>6500</v>
          </cell>
        </row>
        <row r="12254">
          <cell r="A12254">
            <v>45721</v>
          </cell>
          <cell r="B12254" t="str">
            <v>Đậu Cove Trắng</v>
          </cell>
          <cell r="C12254" t="str">
            <v>Túi 500gr</v>
          </cell>
          <cell r="D12254">
            <v>9000</v>
          </cell>
        </row>
        <row r="12255">
          <cell r="A12255">
            <v>45721</v>
          </cell>
          <cell r="B12255" t="str">
            <v>Dưa Leo Baby</v>
          </cell>
          <cell r="C12255" t="str">
            <v>Vỉ</v>
          </cell>
          <cell r="D12255">
            <v>9000</v>
          </cell>
        </row>
        <row r="12256">
          <cell r="A12256">
            <v>45721</v>
          </cell>
          <cell r="B12256" t="str">
            <v>Dưa Leo Nhật</v>
          </cell>
          <cell r="C12256" t="str">
            <v>Kg</v>
          </cell>
          <cell r="D12256">
            <v>16000</v>
          </cell>
        </row>
        <row r="12257">
          <cell r="A12257">
            <v>45721</v>
          </cell>
          <cell r="B12257" t="str">
            <v>Bí Non Nhật</v>
          </cell>
          <cell r="C12257" t="str">
            <v>Kg</v>
          </cell>
          <cell r="D12257">
            <v>13000</v>
          </cell>
        </row>
        <row r="12258">
          <cell r="A12258">
            <v>45721</v>
          </cell>
          <cell r="B12258" t="str">
            <v>Cà Chua Beef</v>
          </cell>
          <cell r="C12258" t="str">
            <v>Kg</v>
          </cell>
          <cell r="D12258">
            <v>16000</v>
          </cell>
        </row>
        <row r="12259">
          <cell r="A12259">
            <v>45721</v>
          </cell>
          <cell r="B12259" t="str">
            <v>Dưa Leo Baby</v>
          </cell>
          <cell r="C12259" t="str">
            <v>Vỉ</v>
          </cell>
          <cell r="D12259">
            <v>8000</v>
          </cell>
        </row>
        <row r="12260">
          <cell r="A12260">
            <v>45721</v>
          </cell>
          <cell r="B12260" t="str">
            <v>Ớt Chuông Đỏ</v>
          </cell>
          <cell r="C12260" t="str">
            <v>Kg</v>
          </cell>
          <cell r="D12260">
            <v>22000</v>
          </cell>
        </row>
        <row r="12261">
          <cell r="A12261">
            <v>45721</v>
          </cell>
          <cell r="B12261" t="str">
            <v>Ớt Chuông Vàng</v>
          </cell>
          <cell r="C12261" t="str">
            <v>Kg</v>
          </cell>
          <cell r="D12261">
            <v>20000</v>
          </cell>
        </row>
        <row r="12262">
          <cell r="A12262">
            <v>45721</v>
          </cell>
          <cell r="B12262" t="str">
            <v>Ớt Chuông Xanh</v>
          </cell>
          <cell r="C12262" t="str">
            <v>Kg</v>
          </cell>
          <cell r="D12262">
            <v>28000</v>
          </cell>
        </row>
        <row r="12263">
          <cell r="A12263">
            <v>45721</v>
          </cell>
          <cell r="B12263" t="str">
            <v>Ớt Chuông Đỏ Trung</v>
          </cell>
          <cell r="C12263" t="str">
            <v>Kg</v>
          </cell>
          <cell r="D12263">
            <v>17000</v>
          </cell>
        </row>
        <row r="12264">
          <cell r="A12264">
            <v>45721</v>
          </cell>
          <cell r="B12264" t="str">
            <v>Ớt Chuông Vàng Trung</v>
          </cell>
          <cell r="C12264" t="str">
            <v>Kg</v>
          </cell>
          <cell r="D12264">
            <v>15000</v>
          </cell>
        </row>
        <row r="12265">
          <cell r="A12265">
            <v>45721</v>
          </cell>
          <cell r="B12265" t="str">
            <v>Ớt Chuông Xanh Trung</v>
          </cell>
          <cell r="C12265" t="str">
            <v>Kg</v>
          </cell>
          <cell r="D12265">
            <v>23000</v>
          </cell>
        </row>
        <row r="12266">
          <cell r="A12266">
            <v>45721</v>
          </cell>
          <cell r="B12266" t="str">
            <v>Ớt Chuông Baby</v>
          </cell>
          <cell r="C12266" t="str">
            <v>Kg</v>
          </cell>
          <cell r="D12266">
            <v>40000</v>
          </cell>
        </row>
        <row r="12267">
          <cell r="A12267">
            <v>45721</v>
          </cell>
          <cell r="B12267" t="str">
            <v>Ớt Chuông Snack</v>
          </cell>
          <cell r="C12267" t="str">
            <v>Kg</v>
          </cell>
          <cell r="D12267">
            <v>55000</v>
          </cell>
        </row>
        <row r="12268">
          <cell r="A12268">
            <v>45721</v>
          </cell>
          <cell r="B12268" t="str">
            <v>Cà Chua Bi Đỏ</v>
          </cell>
          <cell r="C12268" t="str">
            <v>Hộp 500gr</v>
          </cell>
          <cell r="D12268">
            <v>9000</v>
          </cell>
        </row>
        <row r="12269">
          <cell r="A12269">
            <v>45721</v>
          </cell>
          <cell r="B12269" t="str">
            <v>Cà Chua Bi Đỏ</v>
          </cell>
          <cell r="C12269" t="str">
            <v>Hộp 300gr</v>
          </cell>
          <cell r="D12269">
            <v>5400</v>
          </cell>
        </row>
        <row r="12270">
          <cell r="A12270">
            <v>45721</v>
          </cell>
          <cell r="B12270" t="str">
            <v>Củ Cải Trắng</v>
          </cell>
          <cell r="C12270" t="str">
            <v>Kg</v>
          </cell>
          <cell r="D12270">
            <v>5500</v>
          </cell>
        </row>
        <row r="12271">
          <cell r="A12271">
            <v>45721</v>
          </cell>
          <cell r="B12271" t="str">
            <v>Bí Ngòi Xanh</v>
          </cell>
          <cell r="C12271" t="str">
            <v>Kg</v>
          </cell>
          <cell r="D12271">
            <v>10000</v>
          </cell>
        </row>
        <row r="12272">
          <cell r="A12272">
            <v>45721</v>
          </cell>
          <cell r="B12272" t="str">
            <v>Bí Ngòi Xanh</v>
          </cell>
          <cell r="C12272" t="str">
            <v>Kg</v>
          </cell>
          <cell r="D12272">
            <v>11000</v>
          </cell>
        </row>
        <row r="12273">
          <cell r="A12273">
            <v>45721</v>
          </cell>
          <cell r="B12273" t="str">
            <v>Cà Chua Thường</v>
          </cell>
          <cell r="C12273" t="str">
            <v>Kg</v>
          </cell>
          <cell r="D12273">
            <v>17000</v>
          </cell>
        </row>
        <row r="12274">
          <cell r="A12274">
            <v>45721</v>
          </cell>
          <cell r="B12274" t="str">
            <v>Cà Chua Thường Trung</v>
          </cell>
          <cell r="C12274" t="str">
            <v>Kg</v>
          </cell>
          <cell r="D12274">
            <v>12000</v>
          </cell>
        </row>
        <row r="12275">
          <cell r="A12275">
            <v>45721</v>
          </cell>
          <cell r="B12275" t="str">
            <v>Trái Su Su</v>
          </cell>
          <cell r="C12275" t="str">
            <v>Kg</v>
          </cell>
          <cell r="D12275">
            <v>8000</v>
          </cell>
        </row>
        <row r="12276">
          <cell r="A12276">
            <v>45721</v>
          </cell>
          <cell r="B12276" t="str">
            <v>Cà Tím</v>
          </cell>
          <cell r="C12276" t="str">
            <v>Kg</v>
          </cell>
          <cell r="D12276">
            <v>8000</v>
          </cell>
        </row>
        <row r="12277">
          <cell r="A12277">
            <v>45721</v>
          </cell>
          <cell r="B12277" t="str">
            <v>Củ Khoai Tây Vàng</v>
          </cell>
          <cell r="C12277" t="str">
            <v>Kg</v>
          </cell>
          <cell r="D12277">
            <v>11300</v>
          </cell>
        </row>
        <row r="12278">
          <cell r="A12278">
            <v>45721</v>
          </cell>
          <cell r="B12278" t="str">
            <v>Xà Lách Thủy Tinh T.C Cây</v>
          </cell>
          <cell r="C12278" t="str">
            <v>Cây</v>
          </cell>
          <cell r="D12278">
            <v>5500</v>
          </cell>
        </row>
        <row r="12279">
          <cell r="A12279">
            <v>45721</v>
          </cell>
          <cell r="B12279" t="str">
            <v>Măng Tây</v>
          </cell>
          <cell r="C12279" t="str">
            <v>Kg</v>
          </cell>
          <cell r="D12279">
            <v>40000</v>
          </cell>
        </row>
        <row r="12280">
          <cell r="A12280">
            <v>45721</v>
          </cell>
          <cell r="B12280" t="str">
            <v>Lá É</v>
          </cell>
          <cell r="C12280" t="str">
            <v>Kg</v>
          </cell>
          <cell r="D12280">
            <v>35000</v>
          </cell>
        </row>
        <row r="12281">
          <cell r="A12281">
            <v>45721</v>
          </cell>
          <cell r="B12281" t="str">
            <v>Cà Rốt</v>
          </cell>
          <cell r="C12281" t="str">
            <v>Kg</v>
          </cell>
          <cell r="D12281">
            <v>6000</v>
          </cell>
        </row>
        <row r="12282">
          <cell r="A12282">
            <v>45721</v>
          </cell>
          <cell r="B12282" t="str">
            <v>Sen Đá</v>
          </cell>
          <cell r="C12282" t="str">
            <v>Chậu</v>
          </cell>
          <cell r="D12282">
            <v>50000</v>
          </cell>
        </row>
        <row r="12283">
          <cell r="A12283">
            <v>45721</v>
          </cell>
          <cell r="B12283" t="str">
            <v>Sen Đá</v>
          </cell>
          <cell r="C12283" t="str">
            <v>Giỏ</v>
          </cell>
          <cell r="D12283">
            <v>155000</v>
          </cell>
        </row>
        <row r="12284">
          <cell r="A12284">
            <v>45721</v>
          </cell>
          <cell r="B12284" t="str">
            <v>Cà Rốt Baby</v>
          </cell>
          <cell r="C12284" t="str">
            <v>Vỉ</v>
          </cell>
          <cell r="D12284">
            <v>6000</v>
          </cell>
        </row>
        <row r="12285">
          <cell r="A12285">
            <v>45721</v>
          </cell>
          <cell r="B12285" t="str">
            <v>Cải Kale</v>
          </cell>
          <cell r="C12285" t="str">
            <v>Túi 150gr</v>
          </cell>
          <cell r="D12285">
            <v>1700</v>
          </cell>
        </row>
        <row r="12286">
          <cell r="A12286">
            <v>45721</v>
          </cell>
          <cell r="B12286" t="str">
            <v>Cải Cầu Vồng</v>
          </cell>
          <cell r="C12286" t="str">
            <v>Túi</v>
          </cell>
          <cell r="D12286">
            <v>3000</v>
          </cell>
        </row>
        <row r="12287">
          <cell r="A12287">
            <v>45721</v>
          </cell>
          <cell r="B12287" t="str">
            <v>Lá Mè</v>
          </cell>
          <cell r="C12287" t="str">
            <v>Túi</v>
          </cell>
          <cell r="D12287">
            <v>2300</v>
          </cell>
        </row>
        <row r="12288">
          <cell r="A12288">
            <v>45721</v>
          </cell>
          <cell r="B12288" t="str">
            <v>Dưa Leo Baby</v>
          </cell>
          <cell r="C12288" t="str">
            <v>Vỉ</v>
          </cell>
          <cell r="D12288">
            <v>10500</v>
          </cell>
        </row>
        <row r="12289">
          <cell r="A12289">
            <v>45721</v>
          </cell>
          <cell r="B12289" t="str">
            <v>Bông Cải Xanh Baby</v>
          </cell>
          <cell r="C12289" t="str">
            <v>Vỉ</v>
          </cell>
          <cell r="D12289">
            <v>6000</v>
          </cell>
        </row>
        <row r="12290">
          <cell r="A12290">
            <v>45721</v>
          </cell>
          <cell r="B12290" t="str">
            <v>Củ Cải Đỏ</v>
          </cell>
          <cell r="C12290" t="str">
            <v>Hộp</v>
          </cell>
          <cell r="D12290">
            <v>10000</v>
          </cell>
        </row>
        <row r="12291">
          <cell r="A12291">
            <v>45721</v>
          </cell>
          <cell r="B12291" t="str">
            <v>Củ Cải Đỏ</v>
          </cell>
          <cell r="C12291" t="str">
            <v>Kg</v>
          </cell>
          <cell r="D12291">
            <v>29000</v>
          </cell>
        </row>
        <row r="12292">
          <cell r="A12292">
            <v>45721</v>
          </cell>
          <cell r="B12292" t="str">
            <v>Xà Lách Lolo Xanh</v>
          </cell>
          <cell r="C12292" t="str">
            <v>Kg</v>
          </cell>
          <cell r="D12292">
            <v>17000</v>
          </cell>
        </row>
        <row r="12293">
          <cell r="A12293">
            <v>45721</v>
          </cell>
          <cell r="B12293" t="str">
            <v>Cà Chua Beef Trung</v>
          </cell>
          <cell r="C12293" t="str">
            <v>Vỉ 500gr</v>
          </cell>
          <cell r="D12293">
            <v>9000</v>
          </cell>
        </row>
        <row r="12294">
          <cell r="A12294">
            <v>45721</v>
          </cell>
          <cell r="B12294" t="str">
            <v>Ớt Sweet Palemo</v>
          </cell>
          <cell r="C12294" t="str">
            <v>Túi</v>
          </cell>
          <cell r="D12294">
            <v>16000</v>
          </cell>
        </row>
        <row r="12295">
          <cell r="A12295">
            <v>45721</v>
          </cell>
          <cell r="B12295" t="str">
            <v>Xà Lách Lolo Tím</v>
          </cell>
          <cell r="C12295" t="str">
            <v>Kg</v>
          </cell>
          <cell r="D12295">
            <v>20000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workbookViewId="0">
      <selection activeCell="C12" sqref="C12"/>
    </sheetView>
  </sheetViews>
  <sheetFormatPr defaultRowHeight="14.4" x14ac:dyDescent="0.3"/>
  <cols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SUM(H3:H48)</f>
        <v>14271000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45689</v>
      </c>
      <c r="B3" t="s">
        <v>0</v>
      </c>
      <c r="C3" t="s">
        <v>1</v>
      </c>
      <c r="D3">
        <v>10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1">
        <f>+F3</f>
        <v>8000</v>
      </c>
      <c r="H3" s="1">
        <f>+G3*D3</f>
        <v>80000</v>
      </c>
    </row>
    <row r="4" spans="1:8" x14ac:dyDescent="0.3">
      <c r="A4" s="6">
        <v>45689</v>
      </c>
      <c r="B4" t="s">
        <v>2</v>
      </c>
      <c r="C4" t="s">
        <v>1</v>
      </c>
      <c r="D4">
        <v>5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>
        <v>4000</v>
      </c>
      <c r="H4" s="1">
        <f t="shared" ref="H4:H56" si="0">+G4*D4</f>
        <v>20000</v>
      </c>
    </row>
    <row r="5" spans="1:8" x14ac:dyDescent="0.3">
      <c r="A5" s="6">
        <v>45689</v>
      </c>
      <c r="B5" t="s">
        <v>3</v>
      </c>
      <c r="C5" t="s">
        <v>1</v>
      </c>
      <c r="D5">
        <v>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>
        <v>10000</v>
      </c>
      <c r="H5" s="1">
        <f t="shared" si="0"/>
        <v>0</v>
      </c>
    </row>
    <row r="6" spans="1:8" x14ac:dyDescent="0.3">
      <c r="A6" s="6">
        <v>45689</v>
      </c>
      <c r="B6" t="s">
        <v>4</v>
      </c>
      <c r="C6" t="s">
        <v>5</v>
      </c>
      <c r="D6">
        <v>130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f>13000*0.3</f>
        <v>3900</v>
      </c>
      <c r="H6" s="1">
        <f t="shared" si="0"/>
        <v>507000</v>
      </c>
    </row>
    <row r="7" spans="1:8" x14ac:dyDescent="0.3">
      <c r="A7" s="6">
        <v>45689</v>
      </c>
      <c r="B7" t="s">
        <v>6</v>
      </c>
      <c r="C7" t="s">
        <v>7</v>
      </c>
      <c r="D7">
        <v>60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>
        <f>15000*0.3</f>
        <v>4500</v>
      </c>
      <c r="H7" s="1">
        <f t="shared" si="0"/>
        <v>270000</v>
      </c>
    </row>
    <row r="8" spans="1:8" x14ac:dyDescent="0.3">
      <c r="A8" s="6">
        <v>45689</v>
      </c>
      <c r="B8" t="s">
        <v>8</v>
      </c>
      <c r="C8" t="s">
        <v>9</v>
      </c>
      <c r="D8">
        <v>40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>
        <f>+E8</f>
        <v>6000</v>
      </c>
      <c r="H8" s="1">
        <f t="shared" si="0"/>
        <v>240000</v>
      </c>
    </row>
    <row r="9" spans="1:8" x14ac:dyDescent="0.3">
      <c r="A9" s="6">
        <v>45689</v>
      </c>
      <c r="B9" t="s">
        <v>10</v>
      </c>
      <c r="C9" t="s">
        <v>11</v>
      </c>
      <c r="D9">
        <v>50</v>
      </c>
      <c r="E9">
        <f>LOOKUP(1,1/('[1]PURCHASE PRICE'!$A:$A=A9)/('[1]PURCHASE PRICE'!$B:$B=B9)/('[1]PURCHASE PRICE'!$C:$C=C9),'[1]PURCHASE PRICE'!$D:$D)</f>
        <v>13000</v>
      </c>
      <c r="F9">
        <f>LOOKUP(1,1/('[1]PURCHASE PRICE'!$A:$A=A9)/('[1]PURCHASE PRICE'!$B:$B=B9),'[1]PURCHASE PRICE'!$D:$D)</f>
        <v>13000</v>
      </c>
      <c r="G9">
        <f t="shared" ref="G9:G19" si="1">+E9</f>
        <v>13000</v>
      </c>
      <c r="H9" s="1">
        <f t="shared" si="0"/>
        <v>650000</v>
      </c>
    </row>
    <row r="10" spans="1:8" x14ac:dyDescent="0.3">
      <c r="A10" s="6">
        <v>45689</v>
      </c>
      <c r="B10" t="s">
        <v>12</v>
      </c>
      <c r="C10" t="s">
        <v>13</v>
      </c>
      <c r="D10">
        <v>50</v>
      </c>
      <c r="E10">
        <f>LOOKUP(1,1/('[1]PURCHASE PRICE'!$A:$A=A10)/('[1]PURCHASE PRICE'!$B:$B=B10)/('[1]PURCHASE PRICE'!$C:$C=C10),'[1]PURCHASE PRICE'!$D:$D)</f>
        <v>5400</v>
      </c>
      <c r="F10">
        <f>LOOKUP(1,1/('[1]PURCHASE PRICE'!$A:$A=A10)/('[1]PURCHASE PRICE'!$B:$B=B10),'[1]PURCHASE PRICE'!$D:$D)</f>
        <v>5400</v>
      </c>
      <c r="G10">
        <f t="shared" si="1"/>
        <v>5400</v>
      </c>
      <c r="H10" s="1">
        <f t="shared" si="0"/>
        <v>270000</v>
      </c>
    </row>
    <row r="11" spans="1:8" x14ac:dyDescent="0.3">
      <c r="A11" s="6">
        <v>45689</v>
      </c>
      <c r="B11" t="s">
        <v>14</v>
      </c>
      <c r="C11" t="s">
        <v>15</v>
      </c>
      <c r="D11">
        <v>30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>
        <f t="shared" si="1"/>
        <v>12000</v>
      </c>
      <c r="H11" s="1">
        <f t="shared" si="0"/>
        <v>360000</v>
      </c>
    </row>
    <row r="12" spans="1:8" x14ac:dyDescent="0.3">
      <c r="A12" s="6">
        <v>45689</v>
      </c>
      <c r="B12" t="s">
        <v>16</v>
      </c>
      <c r="C12" t="s">
        <v>13</v>
      </c>
      <c r="D12">
        <v>60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7500</v>
      </c>
      <c r="G12">
        <f t="shared" si="1"/>
        <v>12000</v>
      </c>
      <c r="H12" s="1">
        <f t="shared" si="0"/>
        <v>720000</v>
      </c>
    </row>
    <row r="13" spans="1:8" x14ac:dyDescent="0.3">
      <c r="A13" s="6">
        <v>45689</v>
      </c>
      <c r="B13" t="s">
        <v>17</v>
      </c>
      <c r="C13" t="s">
        <v>1</v>
      </c>
      <c r="D13">
        <v>0</v>
      </c>
      <c r="E13">
        <f>LOOKUP(1,1/('[1]PURCHASE PRICE'!$A:$A=A13)/('[1]PURCHASE PRICE'!$B:$B=B13)/('[1]PURCHASE PRICE'!$C:$C=C13),'[1]PURCHASE PRICE'!$D:$D)</f>
        <v>13000</v>
      </c>
      <c r="F13">
        <f>LOOKUP(1,1/('[1]PURCHASE PRICE'!$A:$A=A13)/('[1]PURCHASE PRICE'!$B:$B=B13),'[1]PURCHASE PRICE'!$D:$D)</f>
        <v>13000</v>
      </c>
      <c r="G13">
        <f t="shared" si="1"/>
        <v>13000</v>
      </c>
      <c r="H13" s="1">
        <f t="shared" si="0"/>
        <v>0</v>
      </c>
    </row>
    <row r="14" spans="1:8" x14ac:dyDescent="0.3">
      <c r="A14" s="6">
        <v>45689</v>
      </c>
      <c r="B14" t="s">
        <v>18</v>
      </c>
      <c r="C14" t="s">
        <v>1</v>
      </c>
      <c r="D14">
        <v>20</v>
      </c>
      <c r="E14">
        <f>LOOKUP(1,1/('[1]PURCHASE PRICE'!$A:$A=A14)/('[1]PURCHASE PRICE'!$B:$B=B14)/('[1]PURCHASE PRICE'!$C:$C=C14),'[1]PURCHASE PRICE'!$D:$D)</f>
        <v>10000</v>
      </c>
      <c r="F14">
        <f>LOOKUP(1,1/('[1]PURCHASE PRICE'!$A:$A=A14)/('[1]PURCHASE PRICE'!$B:$B=B14),'[1]PURCHASE PRICE'!$D:$D)</f>
        <v>10000</v>
      </c>
      <c r="G14">
        <f t="shared" si="1"/>
        <v>10000</v>
      </c>
      <c r="H14" s="1">
        <f t="shared" si="0"/>
        <v>200000</v>
      </c>
    </row>
    <row r="15" spans="1:8" x14ac:dyDescent="0.3">
      <c r="A15" s="6">
        <v>45689</v>
      </c>
      <c r="B15" t="s">
        <v>19</v>
      </c>
      <c r="C15" t="s">
        <v>9</v>
      </c>
      <c r="D15">
        <v>30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>
        <f t="shared" si="1"/>
        <v>6000</v>
      </c>
      <c r="H15" s="1">
        <f t="shared" si="0"/>
        <v>180000</v>
      </c>
    </row>
    <row r="16" spans="1:8" x14ac:dyDescent="0.3">
      <c r="A16" s="6">
        <v>45689</v>
      </c>
      <c r="B16" t="s">
        <v>20</v>
      </c>
      <c r="C16" t="s">
        <v>11</v>
      </c>
      <c r="D16">
        <v>20</v>
      </c>
      <c r="E16">
        <f>LOOKUP(1,1/('[1]PURCHASE PRICE'!$A:$A=A16)/('[1]PURCHASE PRICE'!$B:$B=B16)/('[1]PURCHASE PRICE'!$C:$C=C16),'[1]PURCHASE PRICE'!$D:$D)</f>
        <v>20000</v>
      </c>
      <c r="F16">
        <f>LOOKUP(1,1/('[1]PURCHASE PRICE'!$A:$A=A16)/('[1]PURCHASE PRICE'!$B:$B=B16),'[1]PURCHASE PRICE'!$D:$D)</f>
        <v>20000</v>
      </c>
      <c r="G16">
        <f t="shared" si="1"/>
        <v>20000</v>
      </c>
      <c r="H16" s="1">
        <f t="shared" si="0"/>
        <v>400000</v>
      </c>
    </row>
    <row r="17" spans="1:8" x14ac:dyDescent="0.3">
      <c r="A17" s="6">
        <v>45689</v>
      </c>
      <c r="B17" t="s">
        <v>21</v>
      </c>
      <c r="C17" t="s">
        <v>22</v>
      </c>
      <c r="D17">
        <v>40</v>
      </c>
      <c r="E17">
        <f>LOOKUP(1,1/('[1]PURCHASE PRICE'!$A:$A=A17)/('[1]PURCHASE PRICE'!$B:$B=B17)/('[1]PURCHASE PRICE'!$C:$C=C17),'[1]PURCHASE PRICE'!$D:$D)</f>
        <v>3300</v>
      </c>
      <c r="F17">
        <f>LOOKUP(1,1/('[1]PURCHASE PRICE'!$A:$A=A17)/('[1]PURCHASE PRICE'!$B:$B=B17),'[1]PURCHASE PRICE'!$D:$D)</f>
        <v>1800</v>
      </c>
      <c r="G17">
        <f t="shared" si="1"/>
        <v>3300</v>
      </c>
      <c r="H17" s="1">
        <f t="shared" si="0"/>
        <v>132000</v>
      </c>
    </row>
    <row r="18" spans="1:8" x14ac:dyDescent="0.3">
      <c r="A18" s="6">
        <v>45689</v>
      </c>
      <c r="B18" t="s">
        <v>21</v>
      </c>
      <c r="C18" t="s">
        <v>23</v>
      </c>
      <c r="D18">
        <v>20</v>
      </c>
      <c r="E18">
        <f>LOOKUP(1,1/('[1]PURCHASE PRICE'!$A:$A=A18)/('[1]PURCHASE PRICE'!$B:$B=B18)/('[1]PURCHASE PRICE'!$C:$C=C18),'[1]PURCHASE PRICE'!$D:$D)</f>
        <v>1800</v>
      </c>
      <c r="F18">
        <f>LOOKUP(1,1/('[1]PURCHASE PRICE'!$A:$A=A18)/('[1]PURCHASE PRICE'!$B:$B=B18),'[1]PURCHASE PRICE'!$D:$D)</f>
        <v>1800</v>
      </c>
      <c r="G18">
        <f t="shared" si="1"/>
        <v>1800</v>
      </c>
      <c r="H18" s="1">
        <f t="shared" si="0"/>
        <v>36000</v>
      </c>
    </row>
    <row r="19" spans="1:8" x14ac:dyDescent="0.3">
      <c r="A19" s="6">
        <v>45689</v>
      </c>
      <c r="B19" t="s">
        <v>24</v>
      </c>
      <c r="C19" t="s">
        <v>1</v>
      </c>
      <c r="D19">
        <v>5</v>
      </c>
      <c r="E19">
        <f>LOOKUP(1,1/('[1]PURCHASE PRICE'!$A:$A=A19)/('[1]PURCHASE PRICE'!$B:$B=B19)/('[1]PURCHASE PRICE'!$C:$C=C19),'[1]PURCHASE PRICE'!$D:$D)</f>
        <v>5500</v>
      </c>
      <c r="F19">
        <f>LOOKUP(1,1/('[1]PURCHASE PRICE'!$A:$A=A19)/('[1]PURCHASE PRICE'!$B:$B=B19),'[1]PURCHASE PRICE'!$D:$D)</f>
        <v>5500</v>
      </c>
      <c r="G19">
        <f t="shared" si="1"/>
        <v>5500</v>
      </c>
      <c r="H19" s="1">
        <f t="shared" si="0"/>
        <v>27500</v>
      </c>
    </row>
    <row r="20" spans="1:8" x14ac:dyDescent="0.3">
      <c r="A20" s="6">
        <v>45689</v>
      </c>
      <c r="B20" t="s">
        <v>25</v>
      </c>
      <c r="C20" t="s">
        <v>26</v>
      </c>
      <c r="D20">
        <v>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>
        <v>0</v>
      </c>
      <c r="H20" s="1">
        <f t="shared" si="0"/>
        <v>0</v>
      </c>
    </row>
    <row r="21" spans="1:8" x14ac:dyDescent="0.3">
      <c r="A21" s="6">
        <v>45689</v>
      </c>
      <c r="B21" t="s">
        <v>27</v>
      </c>
      <c r="C21" t="s">
        <v>9</v>
      </c>
      <c r="D21">
        <v>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v>0</v>
      </c>
      <c r="H21" s="1">
        <f t="shared" si="0"/>
        <v>0</v>
      </c>
    </row>
    <row r="22" spans="1:8" x14ac:dyDescent="0.3">
      <c r="A22" s="6">
        <v>45689</v>
      </c>
      <c r="B22" t="s">
        <v>28</v>
      </c>
      <c r="C22" t="s">
        <v>15</v>
      </c>
      <c r="D22">
        <v>15</v>
      </c>
      <c r="E22">
        <f>LOOKUP(1,1/('[1]PURCHASE PRICE'!$A:$A=A22)/('[1]PURCHASE PRICE'!$B:$B=B22)/('[1]PURCHASE PRICE'!$C:$C=C22),'[1]PURCHASE PRICE'!$D:$D)</f>
        <v>11000</v>
      </c>
      <c r="F22">
        <f>LOOKUP(1,1/('[1]PURCHASE PRICE'!$A:$A=A22)/('[1]PURCHASE PRICE'!$B:$B=B22),'[1]PURCHASE PRICE'!$D:$D)</f>
        <v>11000</v>
      </c>
      <c r="G22">
        <f>+E22</f>
        <v>11000</v>
      </c>
      <c r="H22" s="1">
        <f t="shared" si="0"/>
        <v>165000</v>
      </c>
    </row>
    <row r="23" spans="1:8" x14ac:dyDescent="0.3">
      <c r="A23" s="6">
        <v>45689</v>
      </c>
      <c r="B23" t="s">
        <v>29</v>
      </c>
      <c r="C23" t="s">
        <v>1</v>
      </c>
      <c r="D23">
        <v>5</v>
      </c>
      <c r="E23">
        <f>LOOKUP(1,1/('[1]PURCHASE PRICE'!$A:$A=A23)/('[1]PURCHASE PRICE'!$B:$B=B23)/('[1]PURCHASE PRICE'!$C:$C=C23),'[1]PURCHASE PRICE'!$D:$D)</f>
        <v>6500</v>
      </c>
      <c r="F23">
        <f>LOOKUP(1,1/('[1]PURCHASE PRICE'!$A:$A=A23)/('[1]PURCHASE PRICE'!$B:$B=B23),'[1]PURCHASE PRICE'!$D:$D)</f>
        <v>6500</v>
      </c>
      <c r="G23">
        <f>+E23</f>
        <v>6500</v>
      </c>
      <c r="H23" s="1">
        <f t="shared" si="0"/>
        <v>32500</v>
      </c>
    </row>
    <row r="24" spans="1:8" x14ac:dyDescent="0.3">
      <c r="A24" s="6">
        <v>45689</v>
      </c>
      <c r="B24" t="s">
        <v>30</v>
      </c>
      <c r="C24" t="s">
        <v>62</v>
      </c>
      <c r="D24">
        <v>50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>
        <v>9500</v>
      </c>
      <c r="H24" s="1">
        <f t="shared" si="0"/>
        <v>475000</v>
      </c>
    </row>
    <row r="25" spans="1:8" x14ac:dyDescent="0.3">
      <c r="A25" s="6">
        <v>45689</v>
      </c>
      <c r="B25" t="s">
        <v>32</v>
      </c>
      <c r="C25" t="s">
        <v>22</v>
      </c>
      <c r="D25">
        <v>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>
        <v>0</v>
      </c>
      <c r="H25" s="1">
        <f t="shared" si="0"/>
        <v>0</v>
      </c>
    </row>
    <row r="26" spans="1:8" x14ac:dyDescent="0.3">
      <c r="A26" s="6">
        <v>45689</v>
      </c>
      <c r="B26" t="s">
        <v>33</v>
      </c>
      <c r="C26" t="s">
        <v>62</v>
      </c>
      <c r="D26">
        <v>20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>
        <v>27000</v>
      </c>
      <c r="H26" s="1">
        <f t="shared" si="0"/>
        <v>540000</v>
      </c>
    </row>
    <row r="27" spans="1:8" x14ac:dyDescent="0.3">
      <c r="A27" s="6">
        <v>45689</v>
      </c>
      <c r="B27" t="s">
        <v>34</v>
      </c>
      <c r="C27" t="s">
        <v>62</v>
      </c>
      <c r="D27">
        <v>20</v>
      </c>
      <c r="E27">
        <f>LOOKUP(1,1/('[1]PURCHASE PRICE'!$A:$A=A27)/('[1]PURCHASE PRICE'!$B:$B=B27)/('[1]PURCHASE PRICE'!$C:$C=C27),'[1]PURCHASE PRICE'!$D:$D)</f>
        <v>18000</v>
      </c>
      <c r="F27">
        <f>LOOKUP(1,1/('[1]PURCHASE PRICE'!$A:$A=A27)/('[1]PURCHASE PRICE'!$B:$B=B27),'[1]PURCHASE PRICE'!$D:$D)</f>
        <v>18000</v>
      </c>
      <c r="G27">
        <f>+E27</f>
        <v>18000</v>
      </c>
      <c r="H27" s="1">
        <f t="shared" si="0"/>
        <v>360000</v>
      </c>
    </row>
    <row r="28" spans="1:8" x14ac:dyDescent="0.3">
      <c r="A28" s="6">
        <v>45689</v>
      </c>
      <c r="B28" t="s">
        <v>35</v>
      </c>
      <c r="C28" t="s">
        <v>62</v>
      </c>
      <c r="D28">
        <v>40</v>
      </c>
      <c r="E28">
        <f>LOOKUP(1,1/('[1]PURCHASE PRICE'!$A:$A=A28)/('[1]PURCHASE PRICE'!$B:$B=B28)/('[1]PURCHASE PRICE'!$C:$C=C28),'[1]PURCHASE PRICE'!$D:$D)</f>
        <v>16000</v>
      </c>
      <c r="F28">
        <f>LOOKUP(1,1/('[1]PURCHASE PRICE'!$A:$A=A28)/('[1]PURCHASE PRICE'!$B:$B=B28),'[1]PURCHASE PRICE'!$D:$D)</f>
        <v>16000</v>
      </c>
      <c r="G28">
        <f>+E28</f>
        <v>16000</v>
      </c>
      <c r="H28" s="1">
        <f t="shared" si="0"/>
        <v>640000</v>
      </c>
    </row>
    <row r="29" spans="1:8" x14ac:dyDescent="0.3">
      <c r="A29" s="6">
        <v>45689</v>
      </c>
      <c r="B29" t="s">
        <v>36</v>
      </c>
      <c r="C29" t="s">
        <v>22</v>
      </c>
      <c r="D29">
        <v>5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6000</v>
      </c>
      <c r="G29">
        <f>+E29</f>
        <v>6000</v>
      </c>
      <c r="H29" s="1">
        <f t="shared" si="0"/>
        <v>30000</v>
      </c>
    </row>
    <row r="30" spans="1:8" x14ac:dyDescent="0.3">
      <c r="A30" s="6">
        <v>45689</v>
      </c>
      <c r="B30" t="s">
        <v>37</v>
      </c>
      <c r="C30" t="s">
        <v>31</v>
      </c>
      <c r="D30">
        <v>10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>
        <v>6000</v>
      </c>
      <c r="H30" s="1">
        <f t="shared" si="0"/>
        <v>60000</v>
      </c>
    </row>
    <row r="31" spans="1:8" x14ac:dyDescent="0.3">
      <c r="A31" s="6">
        <v>45689</v>
      </c>
      <c r="B31" t="s">
        <v>38</v>
      </c>
      <c r="C31" t="s">
        <v>62</v>
      </c>
      <c r="D31">
        <v>2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80000</v>
      </c>
      <c r="H31" s="1">
        <f t="shared" si="0"/>
        <v>160000</v>
      </c>
    </row>
    <row r="32" spans="1:8" x14ac:dyDescent="0.3">
      <c r="A32" s="6">
        <v>45689</v>
      </c>
      <c r="B32" t="s">
        <v>39</v>
      </c>
      <c r="C32" t="s">
        <v>9</v>
      </c>
      <c r="D32">
        <v>330</v>
      </c>
      <c r="E32">
        <f>LOOKUP(1,1/('[1]PURCHASE PRICE'!$A:$A=A32)/('[1]PURCHASE PRICE'!$B:$B=B32)/('[1]PURCHASE PRICE'!$C:$C=C32),'[1]PURCHASE PRICE'!$D:$D)</f>
        <v>6500</v>
      </c>
      <c r="F32">
        <f>LOOKUP(1,1/('[1]PURCHASE PRICE'!$A:$A=A32)/('[1]PURCHASE PRICE'!$B:$B=B32),'[1]PURCHASE PRICE'!$D:$D)</f>
        <v>8000</v>
      </c>
      <c r="G32">
        <f>+E32</f>
        <v>6500</v>
      </c>
      <c r="H32" s="1">
        <f t="shared" si="0"/>
        <v>2145000</v>
      </c>
    </row>
    <row r="33" spans="1:8" x14ac:dyDescent="0.3">
      <c r="A33" s="6">
        <v>45689</v>
      </c>
      <c r="B33" t="s">
        <v>40</v>
      </c>
      <c r="C33" t="s">
        <v>22</v>
      </c>
      <c r="D33">
        <v>25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16000</v>
      </c>
      <c r="G33">
        <f>+F33*0.6</f>
        <v>9600</v>
      </c>
      <c r="H33" s="1">
        <f t="shared" si="0"/>
        <v>240000</v>
      </c>
    </row>
    <row r="34" spans="1:8" x14ac:dyDescent="0.3">
      <c r="A34" s="6">
        <v>45689</v>
      </c>
      <c r="B34" t="s">
        <v>41</v>
      </c>
      <c r="C34" t="s">
        <v>26</v>
      </c>
      <c r="D34">
        <v>40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17000</v>
      </c>
      <c r="G34">
        <f>+F34*0.15</f>
        <v>2550</v>
      </c>
      <c r="H34" s="1">
        <f t="shared" si="0"/>
        <v>102000</v>
      </c>
    </row>
    <row r="35" spans="1:8" x14ac:dyDescent="0.3">
      <c r="A35" s="6">
        <v>45689</v>
      </c>
      <c r="B35" t="s">
        <v>42</v>
      </c>
      <c r="C35" t="s">
        <v>62</v>
      </c>
      <c r="D35">
        <v>5</v>
      </c>
      <c r="E35">
        <f>LOOKUP(1,1/('[1]PURCHASE PRICE'!$A:$A=A35)/('[1]PURCHASE PRICE'!$B:$B=B35)/('[1]PURCHASE PRICE'!$C:$C=C35),'[1]PURCHASE PRICE'!$D:$D)</f>
        <v>30000</v>
      </c>
      <c r="F35">
        <f>LOOKUP(1,1/('[1]PURCHASE PRICE'!$A:$A=A35)/('[1]PURCHASE PRICE'!$B:$B=B35),'[1]PURCHASE PRICE'!$D:$D)</f>
        <v>30000</v>
      </c>
      <c r="G35">
        <f>+F35</f>
        <v>30000</v>
      </c>
      <c r="H35" s="1">
        <f t="shared" si="0"/>
        <v>150000</v>
      </c>
    </row>
    <row r="36" spans="1:8" x14ac:dyDescent="0.3">
      <c r="A36" s="6">
        <v>45689</v>
      </c>
      <c r="B36" t="s">
        <v>43</v>
      </c>
      <c r="C36" t="s">
        <v>62</v>
      </c>
      <c r="D36">
        <v>0.5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>
        <v>120000</v>
      </c>
      <c r="H36" s="1">
        <f t="shared" si="0"/>
        <v>60000</v>
      </c>
    </row>
    <row r="37" spans="1:8" x14ac:dyDescent="0.3">
      <c r="A37" s="6">
        <v>45689</v>
      </c>
      <c r="B37" t="s">
        <v>44</v>
      </c>
      <c r="C37" t="s">
        <v>22</v>
      </c>
      <c r="D37">
        <v>160</v>
      </c>
      <c r="E37">
        <f>LOOKUP(1,1/('[1]PURCHASE PRICE'!$A:$A=A37)/('[1]PURCHASE PRICE'!$B:$B=B37)/('[1]PURCHASE PRICE'!$C:$C=C37),'[1]PURCHASE PRICE'!$D:$D)</f>
        <v>3400</v>
      </c>
      <c r="F37">
        <f>LOOKUP(1,1/('[1]PURCHASE PRICE'!$A:$A=A37)/('[1]PURCHASE PRICE'!$B:$B=B37),'[1]PURCHASE PRICE'!$D:$D)</f>
        <v>3400</v>
      </c>
      <c r="G37">
        <f>+E37</f>
        <v>3400</v>
      </c>
      <c r="H37" s="1">
        <f t="shared" si="0"/>
        <v>544000</v>
      </c>
    </row>
    <row r="38" spans="1:8" x14ac:dyDescent="0.3">
      <c r="A38" s="6">
        <v>45689</v>
      </c>
      <c r="B38" t="s">
        <v>45</v>
      </c>
      <c r="C38" t="s">
        <v>62</v>
      </c>
      <c r="D38">
        <v>10</v>
      </c>
      <c r="E38">
        <f>LOOKUP(1,1/('[1]PURCHASE PRICE'!$A:$A=A38)/('[1]PURCHASE PRICE'!$B:$B=B38)/('[1]PURCHASE PRICE'!$C:$C=C38),'[1]PURCHASE PRICE'!$D:$D)</f>
        <v>54000</v>
      </c>
      <c r="F38">
        <f>LOOKUP(1,1/('[1]PURCHASE PRICE'!$A:$A=A38)/('[1]PURCHASE PRICE'!$B:$B=B38),'[1]PURCHASE PRICE'!$D:$D)</f>
        <v>54000</v>
      </c>
      <c r="G38">
        <f>+F38</f>
        <v>54000</v>
      </c>
      <c r="H38" s="1">
        <f t="shared" si="0"/>
        <v>540000</v>
      </c>
    </row>
    <row r="39" spans="1:8" x14ac:dyDescent="0.3">
      <c r="A39" s="6">
        <v>45689</v>
      </c>
      <c r="B39" t="s">
        <v>46</v>
      </c>
      <c r="C39" t="s">
        <v>62</v>
      </c>
      <c r="D39">
        <v>10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H39" s="1">
        <f t="shared" si="0"/>
        <v>0</v>
      </c>
    </row>
    <row r="40" spans="1:8" x14ac:dyDescent="0.3">
      <c r="A40" s="6">
        <v>45689</v>
      </c>
      <c r="B40" t="s">
        <v>47</v>
      </c>
      <c r="C40" t="s">
        <v>1</v>
      </c>
      <c r="D40">
        <v>10</v>
      </c>
      <c r="E40">
        <f>LOOKUP(1,1/('[1]PURCHASE PRICE'!$A:$A=A40)/('[1]PURCHASE PRICE'!$B:$B=B40)/('[1]PURCHASE PRICE'!$C:$C=C40),'[1]PURCHASE PRICE'!$D:$D)</f>
        <v>55000</v>
      </c>
      <c r="F40">
        <f>LOOKUP(1,1/('[1]PURCHASE PRICE'!$A:$A=A40)/('[1]PURCHASE PRICE'!$B:$B=B40),'[1]PURCHASE PRICE'!$D:$D)</f>
        <v>55000</v>
      </c>
      <c r="G40">
        <f>+E40</f>
        <v>55000</v>
      </c>
      <c r="H40" s="1">
        <f t="shared" si="0"/>
        <v>550000</v>
      </c>
    </row>
    <row r="41" spans="1:8" x14ac:dyDescent="0.3">
      <c r="A41" s="6">
        <v>45689</v>
      </c>
      <c r="B41" t="s">
        <v>48</v>
      </c>
      <c r="C41" t="s">
        <v>11</v>
      </c>
      <c r="D41">
        <v>40</v>
      </c>
      <c r="E41">
        <f>LOOKUP(1,1/('[1]PURCHASE PRICE'!$A:$A=A41)/('[1]PURCHASE PRICE'!$B:$B=B41)/('[1]PURCHASE PRICE'!$C:$C=C41),'[1]PURCHASE PRICE'!$D:$D)</f>
        <v>38000</v>
      </c>
      <c r="F41">
        <f>LOOKUP(1,1/('[1]PURCHASE PRICE'!$A:$A=A41)/('[1]PURCHASE PRICE'!$B:$B=B41),'[1]PURCHASE PRICE'!$D:$D)</f>
        <v>38000</v>
      </c>
      <c r="G41">
        <f>+E41</f>
        <v>38000</v>
      </c>
      <c r="H41" s="1">
        <f t="shared" si="0"/>
        <v>1520000</v>
      </c>
    </row>
    <row r="42" spans="1:8" x14ac:dyDescent="0.3">
      <c r="A42" s="6">
        <v>45689</v>
      </c>
      <c r="B42" t="s">
        <v>49</v>
      </c>
      <c r="C42" t="s">
        <v>15</v>
      </c>
      <c r="D42">
        <v>10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60000</v>
      </c>
      <c r="G42">
        <f>+F42*0.25</f>
        <v>15000</v>
      </c>
      <c r="H42" s="1">
        <f t="shared" si="0"/>
        <v>150000</v>
      </c>
    </row>
    <row r="43" spans="1:8" x14ac:dyDescent="0.3">
      <c r="A43" s="6">
        <v>45689</v>
      </c>
      <c r="B43" t="s">
        <v>50</v>
      </c>
      <c r="C43" t="s">
        <v>1</v>
      </c>
      <c r="D43">
        <v>0</v>
      </c>
      <c r="E43">
        <f>LOOKUP(1,1/('[1]PURCHASE PRICE'!$A:$A=A43)/('[1]PURCHASE PRICE'!$B:$B=B43)/('[1]PURCHASE PRICE'!$C:$C=C43),'[1]PURCHASE PRICE'!$D:$D)</f>
        <v>52000</v>
      </c>
      <c r="F43">
        <f>LOOKUP(1,1/('[1]PURCHASE PRICE'!$A:$A=A43)/('[1]PURCHASE PRICE'!$B:$B=B43),'[1]PURCHASE PRICE'!$D:$D)</f>
        <v>52000</v>
      </c>
      <c r="G43">
        <f>+E43</f>
        <v>52000</v>
      </c>
      <c r="H43" s="1">
        <f t="shared" si="0"/>
        <v>0</v>
      </c>
    </row>
    <row r="44" spans="1:8" x14ac:dyDescent="0.3">
      <c r="A44" s="6">
        <v>45689</v>
      </c>
      <c r="B44" t="s">
        <v>50</v>
      </c>
      <c r="C44" t="s">
        <v>51</v>
      </c>
      <c r="D44">
        <v>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52000</v>
      </c>
      <c r="G44">
        <v>0</v>
      </c>
      <c r="H44" s="1">
        <f t="shared" si="0"/>
        <v>0</v>
      </c>
    </row>
    <row r="45" spans="1:8" x14ac:dyDescent="0.3">
      <c r="A45" s="6">
        <v>45689</v>
      </c>
      <c r="B45" t="s">
        <v>52</v>
      </c>
      <c r="C45" t="s">
        <v>51</v>
      </c>
      <c r="D45">
        <v>0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>
        <v>0</v>
      </c>
      <c r="H45" s="1">
        <f t="shared" si="0"/>
        <v>0</v>
      </c>
    </row>
    <row r="46" spans="1:8" x14ac:dyDescent="0.3">
      <c r="A46" s="6">
        <v>45689</v>
      </c>
      <c r="B46" t="s">
        <v>53</v>
      </c>
      <c r="C46" t="s">
        <v>22</v>
      </c>
      <c r="D46">
        <v>50</v>
      </c>
      <c r="E46">
        <f>LOOKUP(1,1/('[1]PURCHASE PRICE'!$A:$A=A46)/('[1]PURCHASE PRICE'!$B:$B=B46)/('[1]PURCHASE PRICE'!$C:$C=C46),'[1]PURCHASE PRICE'!$D:$D)</f>
        <v>18000</v>
      </c>
      <c r="F46">
        <f>LOOKUP(1,1/('[1]PURCHASE PRICE'!$A:$A=A46)/('[1]PURCHASE PRICE'!$B:$B=B46),'[1]PURCHASE PRICE'!$D:$D)</f>
        <v>18000</v>
      </c>
      <c r="G46">
        <f>+F46</f>
        <v>18000</v>
      </c>
      <c r="H46" s="1">
        <f t="shared" si="0"/>
        <v>900000</v>
      </c>
    </row>
    <row r="47" spans="1:8" x14ac:dyDescent="0.3">
      <c r="A47" s="6">
        <v>45689</v>
      </c>
      <c r="B47" t="s">
        <v>54</v>
      </c>
      <c r="C47" t="s">
        <v>1</v>
      </c>
      <c r="D47">
        <v>5</v>
      </c>
      <c r="E47">
        <f>LOOKUP(1,1/('[1]PURCHASE PRICE'!$A:$A=A47)/('[1]PURCHASE PRICE'!$B:$B=B47)/('[1]PURCHASE PRICE'!$C:$C=C47),'[1]PURCHASE PRICE'!$D:$D)</f>
        <v>35000</v>
      </c>
      <c r="F47">
        <f>LOOKUP(1,1/('[1]PURCHASE PRICE'!$A:$A=A47)/('[1]PURCHASE PRICE'!$B:$B=B47),'[1]PURCHASE PRICE'!$D:$D)</f>
        <v>35000</v>
      </c>
      <c r="G47">
        <f>+F47</f>
        <v>35000</v>
      </c>
      <c r="H47" s="1">
        <f t="shared" si="0"/>
        <v>175000</v>
      </c>
    </row>
    <row r="48" spans="1:8" x14ac:dyDescent="0.3">
      <c r="A48" s="6">
        <v>45689</v>
      </c>
      <c r="B48" t="s">
        <v>55</v>
      </c>
      <c r="C48" t="s">
        <v>1</v>
      </c>
      <c r="D48">
        <v>40</v>
      </c>
      <c r="E48">
        <f>LOOKUP(1,1/('[1]PURCHASE PRICE'!$A:$A=A48)/('[1]PURCHASE PRICE'!$B:$B=B48)/('[1]PURCHASE PRICE'!$C:$C=C48),'[1]PURCHASE PRICE'!$D:$D)</f>
        <v>16000</v>
      </c>
      <c r="F48">
        <f>LOOKUP(1,1/('[1]PURCHASE PRICE'!$A:$A=A48)/('[1]PURCHASE PRICE'!$B:$B=B48),'[1]PURCHASE PRICE'!$D:$D)</f>
        <v>16000</v>
      </c>
      <c r="G48">
        <f t="shared" ref="G48:G52" si="2">+F48</f>
        <v>16000</v>
      </c>
      <c r="H48" s="1">
        <f t="shared" si="0"/>
        <v>640000</v>
      </c>
    </row>
    <row r="49" spans="1:8" x14ac:dyDescent="0.3">
      <c r="A49" s="6">
        <v>45689</v>
      </c>
      <c r="B49" t="s">
        <v>56</v>
      </c>
      <c r="C49" t="s">
        <v>26</v>
      </c>
      <c r="D49">
        <v>80</v>
      </c>
      <c r="E49">
        <f>LOOKUP(1,1/('[1]PURCHASE PRICE'!$A:$A=A49)/('[1]PURCHASE PRICE'!$B:$B=B49)/('[1]PURCHASE PRICE'!$C:$C=C49),'[1]PURCHASE PRICE'!$D:$D)</f>
        <v>6800</v>
      </c>
      <c r="F49">
        <f>LOOKUP(1,1/('[1]PURCHASE PRICE'!$A:$A=A49)/('[1]PURCHASE PRICE'!$B:$B=B49),'[1]PURCHASE PRICE'!$D:$D)</f>
        <v>6800</v>
      </c>
      <c r="G49">
        <f t="shared" si="2"/>
        <v>6800</v>
      </c>
      <c r="H49" s="1">
        <f t="shared" si="0"/>
        <v>544000</v>
      </c>
    </row>
    <row r="50" spans="1:8" x14ac:dyDescent="0.3">
      <c r="A50" s="6">
        <v>45689</v>
      </c>
      <c r="B50" t="s">
        <v>75</v>
      </c>
      <c r="C50" t="s">
        <v>1</v>
      </c>
      <c r="D50">
        <v>30</v>
      </c>
      <c r="E50">
        <f>LOOKUP(1,1/('[1]PURCHASE PRICE'!$A:$A=A50)/('[1]PURCHASE PRICE'!$B:$B=B50)/('[1]PURCHASE PRICE'!$C:$C=C50),'[1]PURCHASE PRICE'!$D:$D)</f>
        <v>28000</v>
      </c>
      <c r="F50">
        <f>LOOKUP(1,1/('[1]PURCHASE PRICE'!$A:$A=A50)/('[1]PURCHASE PRICE'!$B:$B=B50),'[1]PURCHASE PRICE'!$D:$D)</f>
        <v>28000</v>
      </c>
      <c r="G50">
        <f t="shared" si="2"/>
        <v>28000</v>
      </c>
      <c r="H50" s="1">
        <f t="shared" si="0"/>
        <v>840000</v>
      </c>
    </row>
    <row r="51" spans="1:8" x14ac:dyDescent="0.3">
      <c r="A51" s="6">
        <v>45689</v>
      </c>
      <c r="B51" t="s">
        <v>57</v>
      </c>
      <c r="C51" t="s">
        <v>26</v>
      </c>
      <c r="D51">
        <v>10</v>
      </c>
      <c r="E51">
        <f>LOOKUP(1,1/('[1]PURCHASE PRICE'!$A:$A=A51)/('[1]PURCHASE PRICE'!$B:$B=B51)/('[1]PURCHASE PRICE'!$C:$C=C51),'[1]PURCHASE PRICE'!$D:$D)</f>
        <v>6800</v>
      </c>
      <c r="F51">
        <f>LOOKUP(1,1/('[1]PURCHASE PRICE'!$A:$A=A51)/('[1]PURCHASE PRICE'!$B:$B=B51),'[1]PURCHASE PRICE'!$D:$D)</f>
        <v>6800</v>
      </c>
      <c r="G51">
        <f t="shared" si="2"/>
        <v>6800</v>
      </c>
      <c r="H51" s="1">
        <f t="shared" si="0"/>
        <v>68000</v>
      </c>
    </row>
    <row r="52" spans="1:8" x14ac:dyDescent="0.3">
      <c r="A52" s="6">
        <v>45689</v>
      </c>
      <c r="B52" t="s">
        <v>58</v>
      </c>
      <c r="C52" t="s">
        <v>1</v>
      </c>
      <c r="D52">
        <v>20</v>
      </c>
      <c r="E52">
        <f>LOOKUP(1,1/('[1]PURCHASE PRICE'!$A:$A=A52)/('[1]PURCHASE PRICE'!$B:$B=B52)/('[1]PURCHASE PRICE'!$C:$C=C52),'[1]PURCHASE PRICE'!$D:$D)</f>
        <v>18000</v>
      </c>
      <c r="F52">
        <f>LOOKUP(1,1/('[1]PURCHASE PRICE'!$A:$A=A52)/('[1]PURCHASE PRICE'!$B:$B=B52),'[1]PURCHASE PRICE'!$D:$D)</f>
        <v>18000</v>
      </c>
      <c r="G52">
        <f t="shared" si="2"/>
        <v>18000</v>
      </c>
      <c r="H52" s="1">
        <f t="shared" si="0"/>
        <v>360000</v>
      </c>
    </row>
    <row r="53" spans="1:8" x14ac:dyDescent="0.3">
      <c r="A53" s="6">
        <v>45689</v>
      </c>
      <c r="B53" t="s">
        <v>59</v>
      </c>
      <c r="C53" t="s">
        <v>22</v>
      </c>
      <c r="D53">
        <v>0</v>
      </c>
      <c r="E53" t="e">
        <f>LOOKUP(1,1/('[1]PURCHASE PRICE'!$A:$A=A53)/('[1]PURCHASE PRICE'!$B:$B=B53)/('[1]PURCHASE PRICE'!$C:$C=C53),'[1]PURCHASE PRICE'!$D:$D)</f>
        <v>#N/A</v>
      </c>
      <c r="F53">
        <f>LOOKUP(1,1/('[1]PURCHASE PRICE'!$A:$A=A53)/('[1]PURCHASE PRICE'!$B:$B=B53),'[1]PURCHASE PRICE'!$D:$D)</f>
        <v>140000</v>
      </c>
      <c r="G53">
        <f>+F53</f>
        <v>140000</v>
      </c>
      <c r="H53" s="1">
        <f t="shared" si="0"/>
        <v>0</v>
      </c>
    </row>
    <row r="54" spans="1:8" x14ac:dyDescent="0.3">
      <c r="A54" s="6">
        <v>45689</v>
      </c>
      <c r="B54" t="s">
        <v>60</v>
      </c>
      <c r="C54" t="s">
        <v>22</v>
      </c>
      <c r="D54">
        <v>0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 t="e">
        <f>+F54</f>
        <v>#N/A</v>
      </c>
      <c r="H54" s="1" t="e">
        <f t="shared" si="0"/>
        <v>#N/A</v>
      </c>
    </row>
    <row r="55" spans="1:8" x14ac:dyDescent="0.3">
      <c r="A55" s="6">
        <v>45689</v>
      </c>
      <c r="B55" t="s">
        <v>61</v>
      </c>
      <c r="C55" t="s">
        <v>26</v>
      </c>
      <c r="D55">
        <v>10</v>
      </c>
      <c r="E55">
        <f>LOOKUP(1,1/('[1]PURCHASE PRICE'!$A:$A=A55)/('[1]PURCHASE PRICE'!$B:$B=B55)/('[1]PURCHASE PRICE'!$C:$C=C55),'[1]PURCHASE PRICE'!$D:$D)</f>
        <v>6800</v>
      </c>
      <c r="F55">
        <f>LOOKUP(1,1/('[1]PURCHASE PRICE'!$A:$A=A55)/('[1]PURCHASE PRICE'!$B:$B=B55),'[1]PURCHASE PRICE'!$D:$D)</f>
        <v>6800</v>
      </c>
      <c r="G55">
        <f>+F55</f>
        <v>6800</v>
      </c>
      <c r="H55" s="1">
        <f t="shared" si="0"/>
        <v>68000</v>
      </c>
    </row>
    <row r="56" spans="1:8" x14ac:dyDescent="0.3">
      <c r="A56" s="6">
        <v>45689</v>
      </c>
      <c r="B56" t="s">
        <v>8</v>
      </c>
      <c r="C56" t="s">
        <v>11</v>
      </c>
      <c r="D56">
        <v>20</v>
      </c>
      <c r="E56" t="e">
        <f>LOOKUP(1,1/('[1]PURCHASE PRICE'!$A:$A=A56)/('[1]PURCHASE PRICE'!$B:$B=B56)/('[1]PURCHASE PRICE'!$C:$C=C56),'[1]PURCHASE PRICE'!$D:$D)</f>
        <v>#N/A</v>
      </c>
      <c r="F56">
        <f>LOOKUP(1,1/('[1]PURCHASE PRICE'!$A:$A=A56)/('[1]PURCHASE PRICE'!$B:$B=B56),'[1]PURCHASE PRICE'!$D:$D)</f>
        <v>6000</v>
      </c>
      <c r="G56">
        <f>+F56*5</f>
        <v>30000</v>
      </c>
      <c r="H56" s="1">
        <f t="shared" si="0"/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0788-A0C9-4696-A97D-1CFD3CBDCFBD}">
  <dimension ref="A1:H39"/>
  <sheetViews>
    <sheetView workbookViewId="0">
      <selection activeCell="E3" sqref="E3:H3"/>
    </sheetView>
  </sheetViews>
  <sheetFormatPr defaultRowHeight="14.4" x14ac:dyDescent="0.3"/>
  <cols>
    <col min="2" max="2" width="24" bestFit="1" customWidth="1"/>
    <col min="8" max="8" width="14.88671875" bestFit="1" customWidth="1"/>
  </cols>
  <sheetData>
    <row r="1" spans="1:8" x14ac:dyDescent="0.3">
      <c r="G1" s="1"/>
      <c r="H1" s="2">
        <f>SUM(H3:H48)</f>
        <v>23184000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45690</v>
      </c>
      <c r="B3" t="s">
        <v>0</v>
      </c>
      <c r="C3" t="s">
        <v>62</v>
      </c>
      <c r="D3">
        <v>20</v>
      </c>
      <c r="E3">
        <f>LOOKUP(1,1/('[1]PURCHASE PRICE'!$A:$A=A3)/('[1]PURCHASE PRICE'!$B:$B=B3)/('[1]PURCHASE PRICE'!$C:$C=C3),'[1]PURCHASE PRICE'!$D:$D)</f>
        <v>15000</v>
      </c>
      <c r="F3">
        <f>LOOKUP(1,1/('[1]PURCHASE PRICE'!$A:$A=A3)/('[1]PURCHASE PRICE'!$B:$B=B3),'[1]PURCHASE PRICE'!$D:$D)</f>
        <v>15000</v>
      </c>
      <c r="G3" s="1">
        <f>+E3</f>
        <v>15000</v>
      </c>
      <c r="H3" s="1">
        <f>+G3*D3</f>
        <v>300000</v>
      </c>
    </row>
    <row r="4" spans="1:8" x14ac:dyDescent="0.3">
      <c r="A4" s="6">
        <v>45690</v>
      </c>
      <c r="B4" t="s">
        <v>2</v>
      </c>
      <c r="C4" t="s">
        <v>62</v>
      </c>
      <c r="D4">
        <v>20</v>
      </c>
      <c r="E4">
        <f>LOOKUP(1,1/('[1]PURCHASE PRICE'!$A:$A=A4)/('[1]PURCHASE PRICE'!$B:$B=B4)/('[1]PURCHASE PRICE'!$C:$C=C4),'[1]PURCHASE PRICE'!$D:$D)</f>
        <v>4500</v>
      </c>
      <c r="F4">
        <f>LOOKUP(1,1/('[1]PURCHASE PRICE'!$A:$A=A4)/('[1]PURCHASE PRICE'!$B:$B=B4),'[1]PURCHASE PRICE'!$D:$D)</f>
        <v>4500</v>
      </c>
      <c r="G4" s="1">
        <f t="shared" ref="G4:G37" si="0">+E4</f>
        <v>4500</v>
      </c>
      <c r="H4" s="1">
        <f t="shared" ref="H4:H39" si="1">+G4*D4</f>
        <v>90000</v>
      </c>
    </row>
    <row r="5" spans="1:8" x14ac:dyDescent="0.3">
      <c r="A5" s="6">
        <v>45690</v>
      </c>
      <c r="B5" t="s">
        <v>63</v>
      </c>
      <c r="C5" t="s">
        <v>62</v>
      </c>
      <c r="D5">
        <v>10</v>
      </c>
      <c r="E5">
        <f>LOOKUP(1,1/('[1]PURCHASE PRICE'!$A:$A=A5)/('[1]PURCHASE PRICE'!$B:$B=B5)/('[1]PURCHASE PRICE'!$C:$C=C5),'[1]PURCHASE PRICE'!$D:$D)</f>
        <v>20000</v>
      </c>
      <c r="F5">
        <f>LOOKUP(1,1/('[1]PURCHASE PRICE'!$A:$A=A5)/('[1]PURCHASE PRICE'!$B:$B=B5),'[1]PURCHASE PRICE'!$D:$D)</f>
        <v>20000</v>
      </c>
      <c r="G5" s="1">
        <f t="shared" si="0"/>
        <v>20000</v>
      </c>
      <c r="H5" s="1">
        <f t="shared" si="1"/>
        <v>200000</v>
      </c>
    </row>
    <row r="6" spans="1:8" x14ac:dyDescent="0.3">
      <c r="A6" s="6">
        <v>45690</v>
      </c>
      <c r="B6" t="s">
        <v>10</v>
      </c>
      <c r="C6" t="s">
        <v>62</v>
      </c>
      <c r="D6">
        <v>180</v>
      </c>
      <c r="E6">
        <f>LOOKUP(1,1/('[1]PURCHASE PRICE'!$A:$A=A6)/('[1]PURCHASE PRICE'!$B:$B=B6)/('[1]PURCHASE PRICE'!$C:$C=C6),'[1]PURCHASE PRICE'!$D:$D)</f>
        <v>13000</v>
      </c>
      <c r="F6">
        <f>LOOKUP(1,1/('[1]PURCHASE PRICE'!$A:$A=A6)/('[1]PURCHASE PRICE'!$B:$B=B6),'[1]PURCHASE PRICE'!$D:$D)</f>
        <v>13000</v>
      </c>
      <c r="G6" s="1">
        <f t="shared" si="0"/>
        <v>13000</v>
      </c>
      <c r="H6" s="1">
        <f t="shared" si="1"/>
        <v>2340000</v>
      </c>
    </row>
    <row r="7" spans="1:8" x14ac:dyDescent="0.3">
      <c r="A7" s="6">
        <v>45690</v>
      </c>
      <c r="B7" t="s">
        <v>12</v>
      </c>
      <c r="C7" t="s">
        <v>13</v>
      </c>
      <c r="D7">
        <v>240</v>
      </c>
      <c r="E7">
        <f>LOOKUP(1,1/('[1]PURCHASE PRICE'!$A:$A=A7)/('[1]PURCHASE PRICE'!$B:$B=B7)/('[1]PURCHASE PRICE'!$C:$C=C7),'[1]PURCHASE PRICE'!$D:$D)</f>
        <v>5400</v>
      </c>
      <c r="F7">
        <f>LOOKUP(1,1/('[1]PURCHASE PRICE'!$A:$A=A7)/('[1]PURCHASE PRICE'!$B:$B=B7),'[1]PURCHASE PRICE'!$D:$D)</f>
        <v>9000</v>
      </c>
      <c r="G7" s="1">
        <f t="shared" si="0"/>
        <v>5400</v>
      </c>
      <c r="H7" s="1">
        <f t="shared" si="1"/>
        <v>1296000</v>
      </c>
    </row>
    <row r="8" spans="1:8" x14ac:dyDescent="0.3">
      <c r="A8" s="6">
        <v>45690</v>
      </c>
      <c r="B8" t="s">
        <v>14</v>
      </c>
      <c r="C8" t="s">
        <v>15</v>
      </c>
      <c r="D8">
        <v>0</v>
      </c>
      <c r="E8">
        <f>LOOKUP(1,1/('[1]PURCHASE PRICE'!$A:$A=A8)/('[1]PURCHASE PRICE'!$B:$B=B8)/('[1]PURCHASE PRICE'!$C:$C=C8),'[1]PURCHASE PRICE'!$D:$D)</f>
        <v>12000</v>
      </c>
      <c r="F8">
        <f>LOOKUP(1,1/('[1]PURCHASE PRICE'!$A:$A=A8)/('[1]PURCHASE PRICE'!$B:$B=B8),'[1]PURCHASE PRICE'!$D:$D)</f>
        <v>12000</v>
      </c>
      <c r="G8" s="1">
        <f t="shared" si="0"/>
        <v>12000</v>
      </c>
      <c r="H8" s="1">
        <f t="shared" si="1"/>
        <v>0</v>
      </c>
    </row>
    <row r="9" spans="1:8" x14ac:dyDescent="0.3">
      <c r="A9" s="6">
        <v>45690</v>
      </c>
      <c r="B9" t="s">
        <v>16</v>
      </c>
      <c r="C9" t="s">
        <v>13</v>
      </c>
      <c r="D9">
        <v>160</v>
      </c>
      <c r="E9">
        <f>LOOKUP(1,1/('[1]PURCHASE PRICE'!$A:$A=A9)/('[1]PURCHASE PRICE'!$B:$B=B9)/('[1]PURCHASE PRICE'!$C:$C=C9),'[1]PURCHASE PRICE'!$D:$D)</f>
        <v>12000</v>
      </c>
      <c r="F9">
        <f>LOOKUP(1,1/('[1]PURCHASE PRICE'!$A:$A=A9)/('[1]PURCHASE PRICE'!$B:$B=B9),'[1]PURCHASE PRICE'!$D:$D)</f>
        <v>25000</v>
      </c>
      <c r="G9" s="1">
        <f t="shared" si="0"/>
        <v>12000</v>
      </c>
      <c r="H9" s="1">
        <f t="shared" si="1"/>
        <v>1920000</v>
      </c>
    </row>
    <row r="10" spans="1:8" x14ac:dyDescent="0.3">
      <c r="A10" s="6">
        <v>45690</v>
      </c>
      <c r="B10" t="s">
        <v>17</v>
      </c>
      <c r="C10" t="s">
        <v>62</v>
      </c>
      <c r="D10">
        <v>40</v>
      </c>
      <c r="E10">
        <f>LOOKUP(1,1/('[1]PURCHASE PRICE'!$A:$A=A10)/('[1]PURCHASE PRICE'!$B:$B=B10)/('[1]PURCHASE PRICE'!$C:$C=C10),'[1]PURCHASE PRICE'!$D:$D)</f>
        <v>12000</v>
      </c>
      <c r="F10">
        <f>LOOKUP(1,1/('[1]PURCHASE PRICE'!$A:$A=A10)/('[1]PURCHASE PRICE'!$B:$B=B10),'[1]PURCHASE PRICE'!$D:$D)</f>
        <v>12000</v>
      </c>
      <c r="G10" s="1">
        <f t="shared" si="0"/>
        <v>12000</v>
      </c>
      <c r="H10" s="1">
        <f t="shared" si="1"/>
        <v>480000</v>
      </c>
    </row>
    <row r="11" spans="1:8" x14ac:dyDescent="0.3">
      <c r="A11" s="6">
        <v>45690</v>
      </c>
      <c r="B11" t="s">
        <v>18</v>
      </c>
      <c r="C11" t="s">
        <v>62</v>
      </c>
      <c r="D11">
        <v>20</v>
      </c>
      <c r="E11">
        <f>LOOKUP(1,1/('[1]PURCHASE PRICE'!$A:$A=A11)/('[1]PURCHASE PRICE'!$B:$B=B11)/('[1]PURCHASE PRICE'!$C:$C=C11),'[1]PURCHASE PRICE'!$D:$D)</f>
        <v>9500</v>
      </c>
      <c r="F11">
        <f>LOOKUP(1,1/('[1]PURCHASE PRICE'!$A:$A=A11)/('[1]PURCHASE PRICE'!$B:$B=B11),'[1]PURCHASE PRICE'!$D:$D)</f>
        <v>9500</v>
      </c>
      <c r="G11" s="1">
        <f t="shared" si="0"/>
        <v>9500</v>
      </c>
      <c r="H11" s="1">
        <f t="shared" si="1"/>
        <v>190000</v>
      </c>
    </row>
    <row r="12" spans="1:8" x14ac:dyDescent="0.3">
      <c r="A12" s="6">
        <v>45690</v>
      </c>
      <c r="B12" t="s">
        <v>19</v>
      </c>
      <c r="C12" t="s">
        <v>9</v>
      </c>
      <c r="D12">
        <v>80</v>
      </c>
      <c r="E12">
        <f>LOOKUP(1,1/('[1]PURCHASE PRICE'!$A:$A=A12)/('[1]PURCHASE PRICE'!$B:$B=B12)/('[1]PURCHASE PRICE'!$C:$C=C12),'[1]PURCHASE PRICE'!$D:$D)</f>
        <v>6000</v>
      </c>
      <c r="F12">
        <f>LOOKUP(1,1/('[1]PURCHASE PRICE'!$A:$A=A12)/('[1]PURCHASE PRICE'!$B:$B=B12),'[1]PURCHASE PRICE'!$D:$D)</f>
        <v>6000</v>
      </c>
      <c r="G12" s="1">
        <f t="shared" si="0"/>
        <v>6000</v>
      </c>
      <c r="H12" s="1">
        <f t="shared" si="1"/>
        <v>480000</v>
      </c>
    </row>
    <row r="13" spans="1:8" x14ac:dyDescent="0.3">
      <c r="A13" s="6">
        <v>45690</v>
      </c>
      <c r="B13" t="s">
        <v>20</v>
      </c>
      <c r="C13" t="s">
        <v>62</v>
      </c>
      <c r="D13">
        <v>20</v>
      </c>
      <c r="E13">
        <f>LOOKUP(1,1/('[1]PURCHASE PRICE'!$A:$A=A13)/('[1]PURCHASE PRICE'!$B:$B=B13)/('[1]PURCHASE PRICE'!$C:$C=C13),'[1]PURCHASE PRICE'!$D:$D)</f>
        <v>19000</v>
      </c>
      <c r="F13">
        <f>LOOKUP(1,1/('[1]PURCHASE PRICE'!$A:$A=A13)/('[1]PURCHASE PRICE'!$B:$B=B13),'[1]PURCHASE PRICE'!$D:$D)</f>
        <v>7500</v>
      </c>
      <c r="G13" s="1">
        <f t="shared" si="0"/>
        <v>19000</v>
      </c>
      <c r="H13" s="1">
        <f t="shared" si="1"/>
        <v>380000</v>
      </c>
    </row>
    <row r="14" spans="1:8" x14ac:dyDescent="0.3">
      <c r="A14" s="6">
        <v>45690</v>
      </c>
      <c r="B14" t="s">
        <v>21</v>
      </c>
      <c r="C14" t="s">
        <v>22</v>
      </c>
      <c r="D14">
        <v>80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7500</v>
      </c>
      <c r="G14" s="1">
        <f t="shared" si="0"/>
        <v>7500</v>
      </c>
      <c r="H14" s="1">
        <f t="shared" si="1"/>
        <v>600000</v>
      </c>
    </row>
    <row r="15" spans="1:8" x14ac:dyDescent="0.3">
      <c r="A15" s="6">
        <v>45690</v>
      </c>
      <c r="B15" t="s">
        <v>21</v>
      </c>
      <c r="C15" t="s">
        <v>23</v>
      </c>
      <c r="D15">
        <v>15</v>
      </c>
      <c r="E15">
        <f>LOOKUP(1,1/('[1]PURCHASE PRICE'!$A:$A=A15)/('[1]PURCHASE PRICE'!$B:$B=B15)/('[1]PURCHASE PRICE'!$C:$C=C15),'[1]PURCHASE PRICE'!$D:$D)</f>
        <v>2000</v>
      </c>
      <c r="F15">
        <f>LOOKUP(1,1/('[1]PURCHASE PRICE'!$A:$A=A15)/('[1]PURCHASE PRICE'!$B:$B=B15),'[1]PURCHASE PRICE'!$D:$D)</f>
        <v>7500</v>
      </c>
      <c r="G15" s="1">
        <f t="shared" si="0"/>
        <v>2000</v>
      </c>
      <c r="H15" s="1">
        <f t="shared" si="1"/>
        <v>30000</v>
      </c>
    </row>
    <row r="16" spans="1:8" x14ac:dyDescent="0.3">
      <c r="A16" s="6">
        <v>45690</v>
      </c>
      <c r="B16" t="s">
        <v>25</v>
      </c>
      <c r="C16" t="s">
        <v>26</v>
      </c>
      <c r="D16">
        <v>60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20000</v>
      </c>
      <c r="G16" s="1">
        <v>9000</v>
      </c>
      <c r="H16" s="1">
        <f t="shared" si="1"/>
        <v>540000</v>
      </c>
    </row>
    <row r="17" spans="1:8" x14ac:dyDescent="0.3">
      <c r="A17" s="6">
        <v>45690</v>
      </c>
      <c r="B17" t="s">
        <v>27</v>
      </c>
      <c r="C17" t="s">
        <v>9</v>
      </c>
      <c r="D17">
        <v>60</v>
      </c>
      <c r="E17">
        <f>LOOKUP(1,1/('[1]PURCHASE PRICE'!$A:$A=A17)/('[1]PURCHASE PRICE'!$B:$B=B17)/('[1]PURCHASE PRICE'!$C:$C=C17),'[1]PURCHASE PRICE'!$D:$D)</f>
        <v>9000</v>
      </c>
      <c r="F17">
        <f>LOOKUP(1,1/('[1]PURCHASE PRICE'!$A:$A=A17)/('[1]PURCHASE PRICE'!$B:$B=B17),'[1]PURCHASE PRICE'!$D:$D)</f>
        <v>9000</v>
      </c>
      <c r="G17" s="1">
        <f t="shared" si="0"/>
        <v>9000</v>
      </c>
      <c r="H17" s="1">
        <f t="shared" si="1"/>
        <v>540000</v>
      </c>
    </row>
    <row r="18" spans="1:8" x14ac:dyDescent="0.3">
      <c r="A18" s="6">
        <v>45690</v>
      </c>
      <c r="B18" t="s">
        <v>28</v>
      </c>
      <c r="C18" t="s">
        <v>15</v>
      </c>
      <c r="D18">
        <v>45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11000</v>
      </c>
      <c r="G18" s="1">
        <f t="shared" si="0"/>
        <v>11000</v>
      </c>
      <c r="H18" s="1">
        <f t="shared" si="1"/>
        <v>495000</v>
      </c>
    </row>
    <row r="19" spans="1:8" x14ac:dyDescent="0.3">
      <c r="A19" s="6">
        <v>45690</v>
      </c>
      <c r="B19" t="s">
        <v>34</v>
      </c>
      <c r="C19" t="s">
        <v>62</v>
      </c>
      <c r="D19">
        <v>60</v>
      </c>
      <c r="E19">
        <f>LOOKUP(1,1/('[1]PURCHASE PRICE'!$A:$A=A19)/('[1]PURCHASE PRICE'!$B:$B=B19)/('[1]PURCHASE PRICE'!$C:$C=C19),'[1]PURCHASE PRICE'!$D:$D)</f>
        <v>17000</v>
      </c>
      <c r="F19">
        <f>LOOKUP(1,1/('[1]PURCHASE PRICE'!$A:$A=A19)/('[1]PURCHASE PRICE'!$B:$B=B19),'[1]PURCHASE PRICE'!$D:$D)</f>
        <v>17000</v>
      </c>
      <c r="G19" s="1">
        <f t="shared" si="0"/>
        <v>17000</v>
      </c>
      <c r="H19" s="1">
        <f t="shared" si="1"/>
        <v>1020000</v>
      </c>
    </row>
    <row r="20" spans="1:8" x14ac:dyDescent="0.3">
      <c r="A20" s="6">
        <v>45690</v>
      </c>
      <c r="B20" t="s">
        <v>64</v>
      </c>
      <c r="C20" t="s">
        <v>62</v>
      </c>
      <c r="D20">
        <v>0</v>
      </c>
      <c r="E20">
        <f>LOOKUP(1,1/('[1]PURCHASE PRICE'!$A:$A=A20)/('[1]PURCHASE PRICE'!$B:$B=B20)/('[1]PURCHASE PRICE'!$C:$C=C20),'[1]PURCHASE PRICE'!$D:$D)</f>
        <v>13000</v>
      </c>
      <c r="F20">
        <f>LOOKUP(1,1/('[1]PURCHASE PRICE'!$A:$A=A20)/('[1]PURCHASE PRICE'!$B:$B=B20),'[1]PURCHASE PRICE'!$D:$D)</f>
        <v>13000</v>
      </c>
      <c r="G20" s="1">
        <f t="shared" si="0"/>
        <v>13000</v>
      </c>
      <c r="H20" s="1">
        <f t="shared" si="1"/>
        <v>0</v>
      </c>
    </row>
    <row r="21" spans="1:8" x14ac:dyDescent="0.3">
      <c r="A21" s="6">
        <v>45690</v>
      </c>
      <c r="B21" t="s">
        <v>38</v>
      </c>
      <c r="C21" t="s">
        <v>62</v>
      </c>
      <c r="D21">
        <v>6</v>
      </c>
      <c r="E21">
        <f>LOOKUP(1,1/('[1]PURCHASE PRICE'!$A:$A=A21)/('[1]PURCHASE PRICE'!$B:$B=B21)/('[1]PURCHASE PRICE'!$C:$C=C21),'[1]PURCHASE PRICE'!$D:$D)</f>
        <v>80000</v>
      </c>
      <c r="F21">
        <f>LOOKUP(1,1/('[1]PURCHASE PRICE'!$A:$A=A21)/('[1]PURCHASE PRICE'!$B:$B=B21),'[1]PURCHASE PRICE'!$D:$D)</f>
        <v>80000</v>
      </c>
      <c r="G21" s="1">
        <f t="shared" si="0"/>
        <v>80000</v>
      </c>
      <c r="H21" s="1">
        <f t="shared" si="1"/>
        <v>480000</v>
      </c>
    </row>
    <row r="22" spans="1:8" x14ac:dyDescent="0.3">
      <c r="A22" s="6">
        <v>45690</v>
      </c>
      <c r="B22" t="s">
        <v>39</v>
      </c>
      <c r="C22" t="s">
        <v>9</v>
      </c>
      <c r="D22">
        <v>550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9500</v>
      </c>
      <c r="G22" s="1">
        <v>6500</v>
      </c>
      <c r="H22" s="1">
        <f t="shared" si="1"/>
        <v>3575000</v>
      </c>
    </row>
    <row r="23" spans="1:8" x14ac:dyDescent="0.3">
      <c r="A23" s="6">
        <v>45690</v>
      </c>
      <c r="B23" t="s">
        <v>40</v>
      </c>
      <c r="C23" t="s">
        <v>22</v>
      </c>
      <c r="D23">
        <v>40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16000</v>
      </c>
      <c r="G23" s="1">
        <f>+F23*0.6</f>
        <v>9600</v>
      </c>
      <c r="H23" s="1">
        <f t="shared" si="1"/>
        <v>384000</v>
      </c>
    </row>
    <row r="24" spans="1:8" x14ac:dyDescent="0.3">
      <c r="A24" s="6">
        <v>45690</v>
      </c>
      <c r="B24" t="s">
        <v>41</v>
      </c>
      <c r="C24" t="s">
        <v>26</v>
      </c>
      <c r="D24">
        <v>120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14000</v>
      </c>
      <c r="G24" s="1">
        <f>+F24*0.15</f>
        <v>2100</v>
      </c>
      <c r="H24" s="1">
        <f t="shared" si="1"/>
        <v>252000</v>
      </c>
    </row>
    <row r="25" spans="1:8" x14ac:dyDescent="0.3">
      <c r="A25" s="6">
        <v>45690</v>
      </c>
      <c r="B25" t="s">
        <v>43</v>
      </c>
      <c r="C25" t="s">
        <v>62</v>
      </c>
      <c r="D25">
        <v>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0</v>
      </c>
      <c r="H25" s="1">
        <f t="shared" si="1"/>
        <v>0</v>
      </c>
    </row>
    <row r="26" spans="1:8" x14ac:dyDescent="0.3">
      <c r="A26" s="6">
        <v>45690</v>
      </c>
      <c r="B26" t="s">
        <v>44</v>
      </c>
      <c r="C26" t="s">
        <v>22</v>
      </c>
      <c r="D26">
        <v>100</v>
      </c>
      <c r="E26">
        <f>LOOKUP(1,1/('[1]PURCHASE PRICE'!$A:$A=A26)/('[1]PURCHASE PRICE'!$B:$B=B26)/('[1]PURCHASE PRICE'!$C:$C=C26),'[1]PURCHASE PRICE'!$D:$D)</f>
        <v>3400</v>
      </c>
      <c r="F26">
        <f>LOOKUP(1,1/('[1]PURCHASE PRICE'!$A:$A=A26)/('[1]PURCHASE PRICE'!$B:$B=B26),'[1]PURCHASE PRICE'!$D:$D)</f>
        <v>3400</v>
      </c>
      <c r="G26" s="1">
        <f t="shared" si="0"/>
        <v>3400</v>
      </c>
      <c r="H26" s="1">
        <f t="shared" si="1"/>
        <v>340000</v>
      </c>
    </row>
    <row r="27" spans="1:8" x14ac:dyDescent="0.3">
      <c r="A27" s="6">
        <v>45690</v>
      </c>
      <c r="B27" t="s">
        <v>65</v>
      </c>
      <c r="C27" t="s">
        <v>62</v>
      </c>
      <c r="D27">
        <v>5</v>
      </c>
      <c r="E27">
        <f>LOOKUP(1,1/('[1]PURCHASE PRICE'!$A:$A=A27)/('[1]PURCHASE PRICE'!$B:$B=B27)/('[1]PURCHASE PRICE'!$C:$C=C27),'[1]PURCHASE PRICE'!$D:$D)</f>
        <v>14000</v>
      </c>
      <c r="F27">
        <f>LOOKUP(1,1/('[1]PURCHASE PRICE'!$A:$A=A27)/('[1]PURCHASE PRICE'!$B:$B=B27),'[1]PURCHASE PRICE'!$D:$D)</f>
        <v>14000</v>
      </c>
      <c r="G27" s="1">
        <f t="shared" si="0"/>
        <v>14000</v>
      </c>
      <c r="H27" s="1">
        <f t="shared" si="1"/>
        <v>70000</v>
      </c>
    </row>
    <row r="28" spans="1:8" x14ac:dyDescent="0.3">
      <c r="A28" s="6">
        <v>45690</v>
      </c>
      <c r="B28" t="s">
        <v>45</v>
      </c>
      <c r="C28" t="s">
        <v>62</v>
      </c>
      <c r="D28">
        <v>15</v>
      </c>
      <c r="E28">
        <f>LOOKUP(1,1/('[1]PURCHASE PRICE'!$A:$A=A28)/('[1]PURCHASE PRICE'!$B:$B=B28)/('[1]PURCHASE PRICE'!$C:$C=C28),'[1]PURCHASE PRICE'!$D:$D)</f>
        <v>52000</v>
      </c>
      <c r="F28">
        <f>LOOKUP(1,1/('[1]PURCHASE PRICE'!$A:$A=A28)/('[1]PURCHASE PRICE'!$B:$B=B28),'[1]PURCHASE PRICE'!$D:$D)</f>
        <v>52000</v>
      </c>
      <c r="G28" s="1">
        <f t="shared" si="0"/>
        <v>52000</v>
      </c>
      <c r="H28" s="1">
        <f t="shared" si="1"/>
        <v>780000</v>
      </c>
    </row>
    <row r="29" spans="1:8" x14ac:dyDescent="0.3">
      <c r="A29" s="6">
        <v>45690</v>
      </c>
      <c r="B29" t="s">
        <v>47</v>
      </c>
      <c r="C29" t="s">
        <v>62</v>
      </c>
      <c r="D29">
        <v>0</v>
      </c>
      <c r="E29">
        <f>LOOKUP(1,1/('[1]PURCHASE PRICE'!$A:$A=A29)/('[1]PURCHASE PRICE'!$B:$B=B29)/('[1]PURCHASE PRICE'!$C:$C=C29),'[1]PURCHASE PRICE'!$D:$D)</f>
        <v>60000</v>
      </c>
      <c r="F29">
        <f>LOOKUP(1,1/('[1]PURCHASE PRICE'!$A:$A=A29)/('[1]PURCHASE PRICE'!$B:$B=B29),'[1]PURCHASE PRICE'!$D:$D)</f>
        <v>60000</v>
      </c>
      <c r="G29" s="1">
        <f t="shared" si="0"/>
        <v>60000</v>
      </c>
      <c r="H29" s="1">
        <f t="shared" si="1"/>
        <v>0</v>
      </c>
    </row>
    <row r="30" spans="1:8" x14ac:dyDescent="0.3">
      <c r="A30" s="6">
        <v>45690</v>
      </c>
      <c r="B30" t="s">
        <v>49</v>
      </c>
      <c r="C30" t="s">
        <v>15</v>
      </c>
      <c r="D30">
        <v>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60000</v>
      </c>
      <c r="G30" s="1">
        <v>0</v>
      </c>
      <c r="H30" s="1">
        <f t="shared" si="1"/>
        <v>0</v>
      </c>
    </row>
    <row r="31" spans="1:8" x14ac:dyDescent="0.3">
      <c r="A31" s="6">
        <v>45690</v>
      </c>
      <c r="B31" t="s">
        <v>53</v>
      </c>
      <c r="C31" t="s">
        <v>22</v>
      </c>
      <c r="D31">
        <v>80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48000</v>
      </c>
      <c r="G31" s="1">
        <v>18000</v>
      </c>
      <c r="H31" s="1">
        <f t="shared" si="1"/>
        <v>1440000</v>
      </c>
    </row>
    <row r="32" spans="1:8" x14ac:dyDescent="0.3">
      <c r="A32" s="6">
        <v>45690</v>
      </c>
      <c r="B32" t="s">
        <v>55</v>
      </c>
      <c r="C32" t="s">
        <v>62</v>
      </c>
      <c r="D32">
        <v>160</v>
      </c>
      <c r="E32">
        <f>LOOKUP(1,1/('[1]PURCHASE PRICE'!$A:$A=A32)/('[1]PURCHASE PRICE'!$B:$B=B32)/('[1]PURCHASE PRICE'!$C:$C=C32),'[1]PURCHASE PRICE'!$D:$D)</f>
        <v>13000</v>
      </c>
      <c r="F32">
        <f>LOOKUP(1,1/('[1]PURCHASE PRICE'!$A:$A=A32)/('[1]PURCHASE PRICE'!$B:$B=B32),'[1]PURCHASE PRICE'!$D:$D)</f>
        <v>13000</v>
      </c>
      <c r="G32" s="1">
        <f t="shared" si="0"/>
        <v>13000</v>
      </c>
      <c r="H32" s="1">
        <f t="shared" si="1"/>
        <v>2080000</v>
      </c>
    </row>
    <row r="33" spans="1:8" x14ac:dyDescent="0.3">
      <c r="A33" s="6">
        <v>45690</v>
      </c>
      <c r="B33" t="s">
        <v>56</v>
      </c>
      <c r="C33" t="s">
        <v>26</v>
      </c>
      <c r="D33">
        <v>140</v>
      </c>
      <c r="E33">
        <f>LOOKUP(1,1/('[1]PURCHASE PRICE'!$A:$A=A33)/('[1]PURCHASE PRICE'!$B:$B=B33)/('[1]PURCHASE PRICE'!$C:$C=C33),'[1]PURCHASE PRICE'!$D:$D)</f>
        <v>6800</v>
      </c>
      <c r="F33">
        <f>LOOKUP(1,1/('[1]PURCHASE PRICE'!$A:$A=A33)/('[1]PURCHASE PRICE'!$B:$B=B33),'[1]PURCHASE PRICE'!$D:$D)</f>
        <v>6800</v>
      </c>
      <c r="G33" s="1">
        <f t="shared" si="0"/>
        <v>6800</v>
      </c>
      <c r="H33" s="1">
        <f t="shared" si="1"/>
        <v>952000</v>
      </c>
    </row>
    <row r="34" spans="1:8" x14ac:dyDescent="0.3">
      <c r="A34" s="6">
        <v>45690</v>
      </c>
      <c r="B34" t="s">
        <v>58</v>
      </c>
      <c r="C34" t="s">
        <v>62</v>
      </c>
      <c r="D34">
        <v>40</v>
      </c>
      <c r="E34">
        <f>LOOKUP(1,1/('[1]PURCHASE PRICE'!$A:$A=A34)/('[1]PURCHASE PRICE'!$B:$B=B34)/('[1]PURCHASE PRICE'!$C:$C=C34),'[1]PURCHASE PRICE'!$D:$D)</f>
        <v>18000</v>
      </c>
      <c r="F34">
        <f>LOOKUP(1,1/('[1]PURCHASE PRICE'!$A:$A=A34)/('[1]PURCHASE PRICE'!$B:$B=B34),'[1]PURCHASE PRICE'!$D:$D)</f>
        <v>18000</v>
      </c>
      <c r="G34" s="1">
        <f t="shared" si="0"/>
        <v>18000</v>
      </c>
      <c r="H34" s="1">
        <f t="shared" si="1"/>
        <v>720000</v>
      </c>
    </row>
    <row r="35" spans="1:8" x14ac:dyDescent="0.3">
      <c r="A35" s="6">
        <v>45690</v>
      </c>
      <c r="B35" t="s">
        <v>60</v>
      </c>
      <c r="C35" t="s">
        <v>62</v>
      </c>
      <c r="D35">
        <v>10</v>
      </c>
      <c r="E35">
        <f>LOOKUP(1,1/('[1]PURCHASE PRICE'!$A:$A=A35)/('[1]PURCHASE PRICE'!$B:$B=B35)/('[1]PURCHASE PRICE'!$C:$C=C35),'[1]PURCHASE PRICE'!$D:$D)</f>
        <v>40000</v>
      </c>
      <c r="F35">
        <f>LOOKUP(1,1/('[1]PURCHASE PRICE'!$A:$A=A35)/('[1]PURCHASE PRICE'!$B:$B=B35),'[1]PURCHASE PRICE'!$D:$D)</f>
        <v>40000</v>
      </c>
      <c r="G35" s="1">
        <f t="shared" si="0"/>
        <v>40000</v>
      </c>
      <c r="H35" s="1">
        <f t="shared" si="1"/>
        <v>400000</v>
      </c>
    </row>
    <row r="36" spans="1:8" x14ac:dyDescent="0.3">
      <c r="A36" s="6">
        <v>45690</v>
      </c>
      <c r="B36" t="s">
        <v>61</v>
      </c>
      <c r="C36" t="s">
        <v>26</v>
      </c>
      <c r="D36">
        <v>10</v>
      </c>
      <c r="E36">
        <f>LOOKUP(1,1/('[1]PURCHASE PRICE'!$A:$A=A36)/('[1]PURCHASE PRICE'!$B:$B=B36)/('[1]PURCHASE PRICE'!$C:$C=C36),'[1]PURCHASE PRICE'!$D:$D)</f>
        <v>7500</v>
      </c>
      <c r="F36">
        <f>LOOKUP(1,1/('[1]PURCHASE PRICE'!$A:$A=A36)/('[1]PURCHASE PRICE'!$B:$B=B36),'[1]PURCHASE PRICE'!$D:$D)</f>
        <v>7500</v>
      </c>
      <c r="G36" s="1">
        <f t="shared" si="0"/>
        <v>7500</v>
      </c>
      <c r="H36" s="1">
        <f t="shared" si="1"/>
        <v>75000</v>
      </c>
    </row>
    <row r="37" spans="1:8" x14ac:dyDescent="0.3">
      <c r="A37" s="6">
        <v>45690</v>
      </c>
      <c r="B37" t="s">
        <v>76</v>
      </c>
      <c r="C37" t="s">
        <v>1</v>
      </c>
      <c r="D37">
        <v>20</v>
      </c>
      <c r="E37">
        <f>LOOKUP(1,1/('[1]PURCHASE PRICE'!$A:$A=A37)/('[1]PURCHASE PRICE'!$B:$B=B37)/('[1]PURCHASE PRICE'!$C:$C=C37),'[1]PURCHASE PRICE'!$D:$D)</f>
        <v>12000</v>
      </c>
      <c r="F37">
        <f>LOOKUP(1,1/('[1]PURCHASE PRICE'!$A:$A=A37)/('[1]PURCHASE PRICE'!$B:$B=B37),'[1]PURCHASE PRICE'!$D:$D)</f>
        <v>12000</v>
      </c>
      <c r="G37" s="1">
        <f t="shared" si="0"/>
        <v>12000</v>
      </c>
      <c r="H37" s="1">
        <f t="shared" si="1"/>
        <v>240000</v>
      </c>
    </row>
    <row r="38" spans="1:8" x14ac:dyDescent="0.3">
      <c r="A38" s="6">
        <v>45690</v>
      </c>
      <c r="B38" t="s">
        <v>53</v>
      </c>
      <c r="C38" t="s">
        <v>1</v>
      </c>
      <c r="D38">
        <v>20</v>
      </c>
      <c r="E38">
        <f>LOOKUP(1,1/('[1]PURCHASE PRICE'!$A:$A=A38)/('[1]PURCHASE PRICE'!$B:$B=B38)/('[1]PURCHASE PRICE'!$C:$C=C38),'[1]PURCHASE PRICE'!$D:$D)</f>
        <v>48000</v>
      </c>
      <c r="F38">
        <f>LOOKUP(1,1/('[1]PURCHASE PRICE'!$A:$A=A38)/('[1]PURCHASE PRICE'!$B:$B=B38),'[1]PURCHASE PRICE'!$D:$D)</f>
        <v>48000</v>
      </c>
      <c r="G38" s="1">
        <v>18000</v>
      </c>
      <c r="H38" s="1">
        <f t="shared" si="1"/>
        <v>360000</v>
      </c>
    </row>
    <row r="39" spans="1:8" x14ac:dyDescent="0.3">
      <c r="A39" s="6">
        <v>45690</v>
      </c>
      <c r="B39" t="s">
        <v>66</v>
      </c>
      <c r="C39" t="s">
        <v>1</v>
      </c>
      <c r="D39">
        <v>30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f>15000*0.3</f>
        <v>4500</v>
      </c>
      <c r="H39" s="1">
        <f t="shared" si="1"/>
        <v>135000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990C-C436-4C8D-AB14-B7FE6EE56C14}">
  <dimension ref="A1:H51"/>
  <sheetViews>
    <sheetView workbookViewId="0">
      <selection activeCell="E3" sqref="E3:H3"/>
    </sheetView>
  </sheetViews>
  <sheetFormatPr defaultRowHeight="14.4" x14ac:dyDescent="0.3"/>
  <cols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SUM(H3:H51)</f>
        <v>39600050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45691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30000</v>
      </c>
      <c r="F3">
        <f>LOOKUP(1,1/('[1]PURCHASE PRICE'!$A:$A=A3)/('[1]PURCHASE PRICE'!$B:$B=B3),'[1]PURCHASE PRICE'!$D:$D)</f>
        <v>30000</v>
      </c>
      <c r="G3" s="1">
        <f>+E3</f>
        <v>30000</v>
      </c>
      <c r="H3" s="1">
        <f>+G3*D3</f>
        <v>600000</v>
      </c>
    </row>
    <row r="4" spans="1:8" x14ac:dyDescent="0.3">
      <c r="A4" s="6">
        <v>45691</v>
      </c>
      <c r="B4" t="s">
        <v>2</v>
      </c>
      <c r="C4" t="s">
        <v>1</v>
      </c>
      <c r="D4">
        <v>20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0" si="0">+E4</f>
        <v>6000</v>
      </c>
      <c r="H4" s="1">
        <f t="shared" ref="H4:H51" si="1">+G4*D4</f>
        <v>120000</v>
      </c>
    </row>
    <row r="5" spans="1:8" x14ac:dyDescent="0.3">
      <c r="A5" s="6">
        <v>45691</v>
      </c>
      <c r="B5" t="s">
        <v>3</v>
      </c>
      <c r="C5" t="s">
        <v>77</v>
      </c>
      <c r="D5">
        <v>20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80000</v>
      </c>
    </row>
    <row r="6" spans="1:8" x14ac:dyDescent="0.3">
      <c r="A6" s="6">
        <v>45691</v>
      </c>
      <c r="B6" t="s">
        <v>4</v>
      </c>
      <c r="C6" t="s">
        <v>5</v>
      </c>
      <c r="D6">
        <v>130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12000</v>
      </c>
      <c r="G6" s="1">
        <f>+F6*0.3</f>
        <v>3600</v>
      </c>
      <c r="H6" s="1">
        <f t="shared" si="1"/>
        <v>468000</v>
      </c>
    </row>
    <row r="7" spans="1:8" x14ac:dyDescent="0.3">
      <c r="A7" s="6">
        <v>45691</v>
      </c>
      <c r="B7" t="s">
        <v>6</v>
      </c>
      <c r="C7" t="s">
        <v>77</v>
      </c>
      <c r="D7">
        <v>150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12000</v>
      </c>
      <c r="G7" s="1">
        <f>+F7*0.3</f>
        <v>3600</v>
      </c>
      <c r="H7" s="1">
        <f t="shared" si="1"/>
        <v>540000</v>
      </c>
    </row>
    <row r="8" spans="1:8" x14ac:dyDescent="0.3">
      <c r="A8" s="6">
        <v>45691</v>
      </c>
      <c r="B8" t="s">
        <v>63</v>
      </c>
      <c r="C8" t="s">
        <v>1</v>
      </c>
      <c r="D8">
        <v>15</v>
      </c>
      <c r="E8">
        <f>LOOKUP(1,1/('[1]PURCHASE PRICE'!$A:$A=A8)/('[1]PURCHASE PRICE'!$B:$B=B8)/('[1]PURCHASE PRICE'!$C:$C=C8),'[1]PURCHASE PRICE'!$D:$D)</f>
        <v>20000</v>
      </c>
      <c r="F8">
        <f>LOOKUP(1,1/('[1]PURCHASE PRICE'!$A:$A=A8)/('[1]PURCHASE PRICE'!$B:$B=B8),'[1]PURCHASE PRICE'!$D:$D)</f>
        <v>20000</v>
      </c>
      <c r="G8" s="1">
        <f t="shared" si="0"/>
        <v>20000</v>
      </c>
      <c r="H8" s="1">
        <f t="shared" si="1"/>
        <v>300000</v>
      </c>
    </row>
    <row r="9" spans="1:8" x14ac:dyDescent="0.3">
      <c r="A9" s="6">
        <v>45691</v>
      </c>
      <c r="B9" t="s">
        <v>8</v>
      </c>
      <c r="C9" t="s">
        <v>9</v>
      </c>
      <c r="D9">
        <v>90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0"/>
        <v>6000</v>
      </c>
      <c r="H9" s="1">
        <f t="shared" si="1"/>
        <v>540000</v>
      </c>
    </row>
    <row r="10" spans="1:8" x14ac:dyDescent="0.3">
      <c r="A10" s="6">
        <v>45691</v>
      </c>
      <c r="B10" t="s">
        <v>78</v>
      </c>
      <c r="C10" t="s">
        <v>1</v>
      </c>
      <c r="D10">
        <v>60</v>
      </c>
      <c r="E10">
        <f>LOOKUP(1,1/('[1]PURCHASE PRICE'!$A:$A=A10)/('[1]PURCHASE PRICE'!$B:$B=B10)/('[1]PURCHASE PRICE'!$C:$C=C10),'[1]PURCHASE PRICE'!$D:$D)</f>
        <v>20000</v>
      </c>
      <c r="F10">
        <f>LOOKUP(1,1/('[1]PURCHASE PRICE'!$A:$A=A10)/('[1]PURCHASE PRICE'!$B:$B=B10),'[1]PURCHASE PRICE'!$D:$D)</f>
        <v>20000</v>
      </c>
      <c r="G10" s="1">
        <f t="shared" si="0"/>
        <v>20000</v>
      </c>
      <c r="H10" s="1">
        <f t="shared" si="1"/>
        <v>1200000</v>
      </c>
    </row>
    <row r="11" spans="1:8" x14ac:dyDescent="0.3">
      <c r="A11" s="6">
        <v>45691</v>
      </c>
      <c r="B11" t="s">
        <v>10</v>
      </c>
      <c r="C11" t="s">
        <v>79</v>
      </c>
      <c r="D11">
        <v>120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7000</v>
      </c>
      <c r="G11" s="1">
        <f t="shared" si="0"/>
        <v>7000</v>
      </c>
      <c r="H11" s="1">
        <f t="shared" si="1"/>
        <v>840000</v>
      </c>
    </row>
    <row r="12" spans="1:8" x14ac:dyDescent="0.3">
      <c r="A12" s="6">
        <v>45691</v>
      </c>
      <c r="B12" t="s">
        <v>12</v>
      </c>
      <c r="C12" t="s">
        <v>13</v>
      </c>
      <c r="D12">
        <v>200</v>
      </c>
      <c r="E12">
        <f>LOOKUP(1,1/('[1]PURCHASE PRICE'!$A:$A=A12)/('[1]PURCHASE PRICE'!$B:$B=B12)/('[1]PURCHASE PRICE'!$C:$C=C12),'[1]PURCHASE PRICE'!$D:$D)</f>
        <v>5400</v>
      </c>
      <c r="F12">
        <f>LOOKUP(1,1/('[1]PURCHASE PRICE'!$A:$A=A12)/('[1]PURCHASE PRICE'!$B:$B=B12),'[1]PURCHASE PRICE'!$D:$D)</f>
        <v>9000</v>
      </c>
      <c r="G12" s="1">
        <f t="shared" si="0"/>
        <v>5400</v>
      </c>
      <c r="H12" s="1">
        <f t="shared" si="1"/>
        <v>1080000</v>
      </c>
    </row>
    <row r="13" spans="1:8" x14ac:dyDescent="0.3">
      <c r="A13" s="6">
        <v>45691</v>
      </c>
      <c r="B13" t="s">
        <v>14</v>
      </c>
      <c r="C13" t="s">
        <v>15</v>
      </c>
      <c r="D13">
        <v>120</v>
      </c>
      <c r="E13">
        <f>LOOKUP(1,1/('[1]PURCHASE PRICE'!$A:$A=A13)/('[1]PURCHASE PRICE'!$B:$B=B13)/('[1]PURCHASE PRICE'!$C:$C=C13),'[1]PURCHASE PRICE'!$D:$D)</f>
        <v>11400</v>
      </c>
      <c r="F13">
        <f>LOOKUP(1,1/('[1]PURCHASE PRICE'!$A:$A=A13)/('[1]PURCHASE PRICE'!$B:$B=B13),'[1]PURCHASE PRICE'!$D:$D)</f>
        <v>11400</v>
      </c>
      <c r="G13" s="1">
        <f t="shared" si="0"/>
        <v>11400</v>
      </c>
      <c r="H13" s="1">
        <f t="shared" si="1"/>
        <v>1368000</v>
      </c>
    </row>
    <row r="14" spans="1:8" x14ac:dyDescent="0.3">
      <c r="A14" s="6">
        <v>45691</v>
      </c>
      <c r="B14" t="s">
        <v>16</v>
      </c>
      <c r="C14" t="s">
        <v>13</v>
      </c>
      <c r="D14">
        <v>120</v>
      </c>
      <c r="E14">
        <f>LOOKUP(1,1/('[1]PURCHASE PRICE'!$A:$A=A14)/('[1]PURCHASE PRICE'!$B:$B=B14)/('[1]PURCHASE PRICE'!$C:$C=C14),'[1]PURCHASE PRICE'!$D:$D)</f>
        <v>10050</v>
      </c>
      <c r="F14">
        <f>LOOKUP(1,1/('[1]PURCHASE PRICE'!$A:$A=A14)/('[1]PURCHASE PRICE'!$B:$B=B14),'[1]PURCHASE PRICE'!$D:$D)</f>
        <v>10050</v>
      </c>
      <c r="G14" s="1">
        <f t="shared" si="0"/>
        <v>10050</v>
      </c>
      <c r="H14" s="1">
        <f t="shared" si="1"/>
        <v>1206000</v>
      </c>
    </row>
    <row r="15" spans="1:8" x14ac:dyDescent="0.3">
      <c r="A15" s="6">
        <v>45691</v>
      </c>
      <c r="B15" t="s">
        <v>17</v>
      </c>
      <c r="C15" t="s">
        <v>1</v>
      </c>
      <c r="D15">
        <v>35</v>
      </c>
      <c r="E15">
        <f>LOOKUP(1,1/('[1]PURCHASE PRICE'!$A:$A=A15)/('[1]PURCHASE PRICE'!$B:$B=B15)/('[1]PURCHASE PRICE'!$C:$C=C15),'[1]PURCHASE PRICE'!$D:$D)</f>
        <v>11000</v>
      </c>
      <c r="F15">
        <f>LOOKUP(1,1/('[1]PURCHASE PRICE'!$A:$A=A15)/('[1]PURCHASE PRICE'!$B:$B=B15),'[1]PURCHASE PRICE'!$D:$D)</f>
        <v>11000</v>
      </c>
      <c r="G15" s="1">
        <f t="shared" si="0"/>
        <v>11000</v>
      </c>
      <c r="H15" s="1">
        <f t="shared" si="1"/>
        <v>385000</v>
      </c>
    </row>
    <row r="16" spans="1:8" x14ac:dyDescent="0.3">
      <c r="A16" s="6">
        <v>45691</v>
      </c>
      <c r="B16" t="s">
        <v>18</v>
      </c>
      <c r="C16" t="s">
        <v>1</v>
      </c>
      <c r="D16">
        <v>40</v>
      </c>
      <c r="E16">
        <f>LOOKUP(1,1/('[1]PURCHASE PRICE'!$A:$A=A16)/('[1]PURCHASE PRICE'!$B:$B=B16)/('[1]PURCHASE PRICE'!$C:$C=C16),'[1]PURCHASE PRICE'!$D:$D)</f>
        <v>10000</v>
      </c>
      <c r="F16">
        <f>LOOKUP(1,1/('[1]PURCHASE PRICE'!$A:$A=A16)/('[1]PURCHASE PRICE'!$B:$B=B16),'[1]PURCHASE PRICE'!$D:$D)</f>
        <v>10000</v>
      </c>
      <c r="G16" s="1">
        <f t="shared" si="0"/>
        <v>10000</v>
      </c>
      <c r="H16" s="1">
        <f t="shared" si="1"/>
        <v>400000</v>
      </c>
    </row>
    <row r="17" spans="1:8" x14ac:dyDescent="0.3">
      <c r="A17" s="6">
        <v>45691</v>
      </c>
      <c r="B17" t="s">
        <v>19</v>
      </c>
      <c r="C17" t="s">
        <v>9</v>
      </c>
      <c r="D17">
        <v>100</v>
      </c>
      <c r="E17">
        <f>LOOKUP(1,1/('[1]PURCHASE PRICE'!$A:$A=A17)/('[1]PURCHASE PRICE'!$B:$B=B17)/('[1]PURCHASE PRICE'!$C:$C=C17),'[1]PURCHASE PRICE'!$D:$D)</f>
        <v>6000</v>
      </c>
      <c r="F17">
        <f>LOOKUP(1,1/('[1]PURCHASE PRICE'!$A:$A=A17)/('[1]PURCHASE PRICE'!$B:$B=B17),'[1]PURCHASE PRICE'!$D:$D)</f>
        <v>6000</v>
      </c>
      <c r="G17" s="1">
        <f t="shared" si="0"/>
        <v>6000</v>
      </c>
      <c r="H17" s="1">
        <f t="shared" si="1"/>
        <v>600000</v>
      </c>
    </row>
    <row r="18" spans="1:8" x14ac:dyDescent="0.3">
      <c r="A18" s="6">
        <v>45691</v>
      </c>
      <c r="B18" t="s">
        <v>20</v>
      </c>
      <c r="C18" t="s">
        <v>1</v>
      </c>
      <c r="D18">
        <v>55</v>
      </c>
      <c r="E18">
        <f>LOOKUP(1,1/('[1]PURCHASE PRICE'!$A:$A=A18)/('[1]PURCHASE PRICE'!$B:$B=B18)/('[1]PURCHASE PRICE'!$C:$C=C18),'[1]PURCHASE PRICE'!$D:$D)</f>
        <v>16000</v>
      </c>
      <c r="F18">
        <f>LOOKUP(1,1/('[1]PURCHASE PRICE'!$A:$A=A18)/('[1]PURCHASE PRICE'!$B:$B=B18),'[1]PURCHASE PRICE'!$D:$D)</f>
        <v>16000</v>
      </c>
      <c r="G18" s="1">
        <f t="shared" si="0"/>
        <v>16000</v>
      </c>
      <c r="H18" s="1">
        <f t="shared" si="1"/>
        <v>880000</v>
      </c>
    </row>
    <row r="19" spans="1:8" x14ac:dyDescent="0.3">
      <c r="A19" s="6">
        <v>45691</v>
      </c>
      <c r="B19" t="s">
        <v>21</v>
      </c>
      <c r="C19" t="s">
        <v>22</v>
      </c>
      <c r="D19">
        <v>200</v>
      </c>
      <c r="E19">
        <f>LOOKUP(1,1/('[1]PURCHASE PRICE'!$A:$A=A19)/('[1]PURCHASE PRICE'!$B:$B=B19)/('[1]PURCHASE PRICE'!$C:$C=C19),'[1]PURCHASE PRICE'!$D:$D)</f>
        <v>4000</v>
      </c>
      <c r="F19">
        <f>LOOKUP(1,1/('[1]PURCHASE PRICE'!$A:$A=A19)/('[1]PURCHASE PRICE'!$B:$B=B19),'[1]PURCHASE PRICE'!$D:$D)</f>
        <v>4000</v>
      </c>
      <c r="G19" s="1">
        <f t="shared" si="0"/>
        <v>4000</v>
      </c>
      <c r="H19" s="1">
        <f t="shared" si="1"/>
        <v>800000</v>
      </c>
    </row>
    <row r="20" spans="1:8" x14ac:dyDescent="0.3">
      <c r="A20" s="6">
        <v>45691</v>
      </c>
      <c r="B20" t="s">
        <v>21</v>
      </c>
      <c r="C20" t="s">
        <v>23</v>
      </c>
      <c r="D20">
        <v>30</v>
      </c>
      <c r="E20">
        <f>LOOKUP(1,1/('[1]PURCHASE PRICE'!$A:$A=A20)/('[1]PURCHASE PRICE'!$B:$B=B20)/('[1]PURCHASE PRICE'!$C:$C=C20),'[1]PURCHASE PRICE'!$D:$D)</f>
        <v>1900</v>
      </c>
      <c r="F20">
        <f>LOOKUP(1,1/('[1]PURCHASE PRICE'!$A:$A=A20)/('[1]PURCHASE PRICE'!$B:$B=B20),'[1]PURCHASE PRICE'!$D:$D)</f>
        <v>4000</v>
      </c>
      <c r="G20" s="1">
        <f t="shared" si="0"/>
        <v>1900</v>
      </c>
      <c r="H20" s="1">
        <f t="shared" si="1"/>
        <v>57000</v>
      </c>
    </row>
    <row r="21" spans="1:8" x14ac:dyDescent="0.3">
      <c r="A21" s="6">
        <v>45691</v>
      </c>
      <c r="B21" t="s">
        <v>24</v>
      </c>
      <c r="C21" t="s">
        <v>1</v>
      </c>
      <c r="D21">
        <v>20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 s="1">
        <v>5500</v>
      </c>
      <c r="H21" s="1">
        <f t="shared" si="1"/>
        <v>110000</v>
      </c>
    </row>
    <row r="22" spans="1:8" x14ac:dyDescent="0.3">
      <c r="A22" s="6">
        <v>45691</v>
      </c>
      <c r="B22" t="s">
        <v>25</v>
      </c>
      <c r="C22" t="s">
        <v>26</v>
      </c>
      <c r="D22">
        <v>200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20000</v>
      </c>
      <c r="G22" s="1">
        <f>+F22/2</f>
        <v>10000</v>
      </c>
      <c r="H22" s="1">
        <f t="shared" si="1"/>
        <v>2000000</v>
      </c>
    </row>
    <row r="23" spans="1:8" x14ac:dyDescent="0.3">
      <c r="A23" s="6">
        <v>45691</v>
      </c>
      <c r="B23" t="s">
        <v>27</v>
      </c>
      <c r="C23" t="s">
        <v>9</v>
      </c>
      <c r="D23">
        <v>43</v>
      </c>
      <c r="E23">
        <f>LOOKUP(1,1/('[1]PURCHASE PRICE'!$A:$A=A23)/('[1]PURCHASE PRICE'!$B:$B=B23)/('[1]PURCHASE PRICE'!$C:$C=C23),'[1]PURCHASE PRICE'!$D:$D)</f>
        <v>6750</v>
      </c>
      <c r="F23">
        <f>LOOKUP(1,1/('[1]PURCHASE PRICE'!$A:$A=A23)/('[1]PURCHASE PRICE'!$B:$B=B23),'[1]PURCHASE PRICE'!$D:$D)</f>
        <v>6750</v>
      </c>
      <c r="G23" s="1">
        <f t="shared" si="0"/>
        <v>6750</v>
      </c>
      <c r="H23" s="1">
        <f t="shared" si="1"/>
        <v>290250</v>
      </c>
    </row>
    <row r="24" spans="1:8" x14ac:dyDescent="0.3">
      <c r="A24" s="6">
        <v>45691</v>
      </c>
      <c r="B24" t="s">
        <v>29</v>
      </c>
      <c r="C24" t="s">
        <v>1</v>
      </c>
      <c r="D24">
        <v>5</v>
      </c>
      <c r="E24">
        <f>LOOKUP(1,1/('[1]PURCHASE PRICE'!$A:$A=A24)/('[1]PURCHASE PRICE'!$B:$B=B24)/('[1]PURCHASE PRICE'!$C:$C=C24),'[1]PURCHASE PRICE'!$D:$D)</f>
        <v>5500</v>
      </c>
      <c r="F24">
        <f>LOOKUP(1,1/('[1]PURCHASE PRICE'!$A:$A=A24)/('[1]PURCHASE PRICE'!$B:$B=B24),'[1]PURCHASE PRICE'!$D:$D)</f>
        <v>5500</v>
      </c>
      <c r="G24" s="1">
        <f t="shared" si="0"/>
        <v>5500</v>
      </c>
      <c r="H24" s="1">
        <f t="shared" si="1"/>
        <v>27500</v>
      </c>
    </row>
    <row r="25" spans="1:8" x14ac:dyDescent="0.3">
      <c r="A25" s="6">
        <v>45691</v>
      </c>
      <c r="B25" t="s">
        <v>80</v>
      </c>
      <c r="C25" t="s">
        <v>1</v>
      </c>
      <c r="D25">
        <v>20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">
        <f t="shared" si="0"/>
        <v>10000</v>
      </c>
      <c r="H25" s="1">
        <f t="shared" si="1"/>
        <v>200000</v>
      </c>
    </row>
    <row r="26" spans="1:8" x14ac:dyDescent="0.3">
      <c r="A26" s="6">
        <v>45691</v>
      </c>
      <c r="B26" t="s">
        <v>32</v>
      </c>
      <c r="C26" t="s">
        <v>1</v>
      </c>
      <c r="D26">
        <v>40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20000</v>
      </c>
      <c r="H26" s="1">
        <f t="shared" si="1"/>
        <v>800000</v>
      </c>
    </row>
    <row r="27" spans="1:8" x14ac:dyDescent="0.3">
      <c r="A27" s="6">
        <v>45691</v>
      </c>
      <c r="B27" t="s">
        <v>33</v>
      </c>
      <c r="C27" t="s">
        <v>1</v>
      </c>
      <c r="D27">
        <v>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0</v>
      </c>
      <c r="H27" s="1">
        <f t="shared" si="1"/>
        <v>0</v>
      </c>
    </row>
    <row r="28" spans="1:8" x14ac:dyDescent="0.3">
      <c r="A28" s="6">
        <v>45691</v>
      </c>
      <c r="B28" t="s">
        <v>34</v>
      </c>
      <c r="C28" t="s">
        <v>1</v>
      </c>
      <c r="D28">
        <v>60</v>
      </c>
      <c r="E28">
        <f>LOOKUP(1,1/('[1]PURCHASE PRICE'!$A:$A=A28)/('[1]PURCHASE PRICE'!$B:$B=B28)/('[1]PURCHASE PRICE'!$C:$C=C28),'[1]PURCHASE PRICE'!$D:$D)</f>
        <v>17000</v>
      </c>
      <c r="F28">
        <f>LOOKUP(1,1/('[1]PURCHASE PRICE'!$A:$A=A28)/('[1]PURCHASE PRICE'!$B:$B=B28),'[1]PURCHASE PRICE'!$D:$D)</f>
        <v>17000</v>
      </c>
      <c r="G28" s="1">
        <f t="shared" si="0"/>
        <v>17000</v>
      </c>
      <c r="H28" s="1">
        <f t="shared" si="1"/>
        <v>1020000</v>
      </c>
    </row>
    <row r="29" spans="1:8" x14ac:dyDescent="0.3">
      <c r="A29" s="6">
        <v>45691</v>
      </c>
      <c r="B29" t="s">
        <v>64</v>
      </c>
      <c r="C29" t="s">
        <v>1</v>
      </c>
      <c r="D29">
        <v>5</v>
      </c>
      <c r="E29">
        <f>LOOKUP(1,1/('[1]PURCHASE PRICE'!$A:$A=A29)/('[1]PURCHASE PRICE'!$B:$B=B29)/('[1]PURCHASE PRICE'!$C:$C=C29),'[1]PURCHASE PRICE'!$D:$D)</f>
        <v>11000</v>
      </c>
      <c r="F29">
        <f>LOOKUP(1,1/('[1]PURCHASE PRICE'!$A:$A=A29)/('[1]PURCHASE PRICE'!$B:$B=B29),'[1]PURCHASE PRICE'!$D:$D)</f>
        <v>11000</v>
      </c>
      <c r="G29" s="1">
        <f t="shared" si="0"/>
        <v>11000</v>
      </c>
      <c r="H29" s="1">
        <f t="shared" si="1"/>
        <v>55000</v>
      </c>
    </row>
    <row r="30" spans="1:8" x14ac:dyDescent="0.3">
      <c r="A30" s="6">
        <v>45691</v>
      </c>
      <c r="B30" t="s">
        <v>37</v>
      </c>
      <c r="C30" t="s">
        <v>31</v>
      </c>
      <c r="D30">
        <v>10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7000</v>
      </c>
      <c r="G30" s="1">
        <v>6000</v>
      </c>
      <c r="H30" s="1">
        <f t="shared" si="1"/>
        <v>60000</v>
      </c>
    </row>
    <row r="31" spans="1:8" x14ac:dyDescent="0.3">
      <c r="A31" s="6">
        <v>45691</v>
      </c>
      <c r="B31" t="s">
        <v>39</v>
      </c>
      <c r="C31" t="s">
        <v>1</v>
      </c>
      <c r="D31">
        <v>120</v>
      </c>
      <c r="E31">
        <f>LOOKUP(1,1/('[1]PURCHASE PRICE'!$A:$A=A31)/('[1]PURCHASE PRICE'!$B:$B=B31)/('[1]PURCHASE PRICE'!$C:$C=C31),'[1]PURCHASE PRICE'!$D:$D)</f>
        <v>10000</v>
      </c>
      <c r="F31">
        <f>LOOKUP(1,1/('[1]PURCHASE PRICE'!$A:$A=A31)/('[1]PURCHASE PRICE'!$B:$B=B31),'[1]PURCHASE PRICE'!$D:$D)</f>
        <v>10000</v>
      </c>
      <c r="G31" s="1">
        <f t="shared" si="0"/>
        <v>10000</v>
      </c>
      <c r="H31" s="1">
        <f t="shared" si="1"/>
        <v>1200000</v>
      </c>
    </row>
    <row r="32" spans="1:8" x14ac:dyDescent="0.3">
      <c r="A32" s="6">
        <v>45691</v>
      </c>
      <c r="B32" t="s">
        <v>39</v>
      </c>
      <c r="C32" t="s">
        <v>9</v>
      </c>
      <c r="D32">
        <v>320</v>
      </c>
      <c r="E32">
        <f>LOOKUP(1,1/('[1]PURCHASE PRICE'!$A:$A=A32)/('[1]PURCHASE PRICE'!$B:$B=B32)/('[1]PURCHASE PRICE'!$C:$C=C32),'[1]PURCHASE PRICE'!$D:$D)</f>
        <v>6500</v>
      </c>
      <c r="F32">
        <f>LOOKUP(1,1/('[1]PURCHASE PRICE'!$A:$A=A32)/('[1]PURCHASE PRICE'!$B:$B=B32),'[1]PURCHASE PRICE'!$D:$D)</f>
        <v>10000</v>
      </c>
      <c r="G32" s="1">
        <f t="shared" si="0"/>
        <v>6500</v>
      </c>
      <c r="H32" s="1">
        <f t="shared" si="1"/>
        <v>2080000</v>
      </c>
    </row>
    <row r="33" spans="1:8" x14ac:dyDescent="0.3">
      <c r="A33" s="6">
        <v>45691</v>
      </c>
      <c r="B33" t="s">
        <v>40</v>
      </c>
      <c r="C33" t="s">
        <v>22</v>
      </c>
      <c r="D33">
        <v>42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14000</v>
      </c>
      <c r="G33" s="1">
        <f>+F33*0.6</f>
        <v>8400</v>
      </c>
      <c r="H33" s="1">
        <f t="shared" si="1"/>
        <v>352800</v>
      </c>
    </row>
    <row r="34" spans="1:8" x14ac:dyDescent="0.3">
      <c r="A34" s="6">
        <v>45691</v>
      </c>
      <c r="B34" t="s">
        <v>81</v>
      </c>
      <c r="C34" t="s">
        <v>1</v>
      </c>
      <c r="D34">
        <v>70</v>
      </c>
      <c r="E34">
        <f>LOOKUP(1,1/('[1]PURCHASE PRICE'!$A:$A=A34)/('[1]PURCHASE PRICE'!$B:$B=B34)/('[1]PURCHASE PRICE'!$C:$C=C34),'[1]PURCHASE PRICE'!$D:$D)</f>
        <v>15000</v>
      </c>
      <c r="F34">
        <f>LOOKUP(1,1/('[1]PURCHASE PRICE'!$A:$A=A34)/('[1]PURCHASE PRICE'!$B:$B=B34),'[1]PURCHASE PRICE'!$D:$D)</f>
        <v>15000</v>
      </c>
      <c r="G34" s="1">
        <f t="shared" si="0"/>
        <v>15000</v>
      </c>
      <c r="H34" s="1">
        <f t="shared" si="1"/>
        <v>1050000</v>
      </c>
    </row>
    <row r="35" spans="1:8" x14ac:dyDescent="0.3">
      <c r="A35" s="6">
        <v>45691</v>
      </c>
      <c r="B35" t="s">
        <v>41</v>
      </c>
      <c r="C35" t="s">
        <v>26</v>
      </c>
      <c r="D35">
        <v>150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13000</v>
      </c>
      <c r="G35" s="1">
        <f>+F35*0.15</f>
        <v>1950</v>
      </c>
      <c r="H35" s="1">
        <f t="shared" si="1"/>
        <v>292500</v>
      </c>
    </row>
    <row r="36" spans="1:8" x14ac:dyDescent="0.3">
      <c r="A36" s="6">
        <v>45691</v>
      </c>
      <c r="B36" t="s">
        <v>42</v>
      </c>
      <c r="C36" t="s">
        <v>1</v>
      </c>
      <c r="D36">
        <v>13</v>
      </c>
      <c r="E36">
        <f>LOOKUP(1,1/('[1]PURCHASE PRICE'!$A:$A=A36)/('[1]PURCHASE PRICE'!$B:$B=B36)/('[1]PURCHASE PRICE'!$C:$C=C36),'[1]PURCHASE PRICE'!$D:$D)</f>
        <v>30000</v>
      </c>
      <c r="F36">
        <f>LOOKUP(1,1/('[1]PURCHASE PRICE'!$A:$A=A36)/('[1]PURCHASE PRICE'!$B:$B=B36),'[1]PURCHASE PRICE'!$D:$D)</f>
        <v>30000</v>
      </c>
      <c r="G36" s="1">
        <f t="shared" si="0"/>
        <v>30000</v>
      </c>
      <c r="H36" s="1">
        <f t="shared" si="1"/>
        <v>390000</v>
      </c>
    </row>
    <row r="37" spans="1:8" x14ac:dyDescent="0.3">
      <c r="A37" s="6">
        <v>45691</v>
      </c>
      <c r="B37" t="s">
        <v>44</v>
      </c>
      <c r="C37" t="s">
        <v>22</v>
      </c>
      <c r="D37">
        <v>600</v>
      </c>
      <c r="E37">
        <f>LOOKUP(1,1/('[1]PURCHASE PRICE'!$A:$A=A37)/('[1]PURCHASE PRICE'!$B:$B=B37)/('[1]PURCHASE PRICE'!$C:$C=C37),'[1]PURCHASE PRICE'!$D:$D)</f>
        <v>3000</v>
      </c>
      <c r="F37">
        <f>LOOKUP(1,1/('[1]PURCHASE PRICE'!$A:$A=A37)/('[1]PURCHASE PRICE'!$B:$B=B37),'[1]PURCHASE PRICE'!$D:$D)</f>
        <v>3000</v>
      </c>
      <c r="G37" s="1">
        <f t="shared" si="0"/>
        <v>3000</v>
      </c>
      <c r="H37" s="1">
        <f t="shared" si="1"/>
        <v>1800000</v>
      </c>
    </row>
    <row r="38" spans="1:8" x14ac:dyDescent="0.3">
      <c r="A38" s="6">
        <v>45691</v>
      </c>
      <c r="B38" t="s">
        <v>82</v>
      </c>
      <c r="C38" t="s">
        <v>22</v>
      </c>
      <c r="D38">
        <v>30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32000</v>
      </c>
      <c r="G38" s="1">
        <f>+F38*0.05</f>
        <v>1600</v>
      </c>
      <c r="H38" s="1">
        <f t="shared" si="1"/>
        <v>48000</v>
      </c>
    </row>
    <row r="39" spans="1:8" x14ac:dyDescent="0.3">
      <c r="A39" s="6">
        <v>45691</v>
      </c>
      <c r="B39" t="s">
        <v>45</v>
      </c>
      <c r="C39" t="s">
        <v>1</v>
      </c>
      <c r="D39">
        <v>45</v>
      </c>
      <c r="E39">
        <f>LOOKUP(1,1/('[1]PURCHASE PRICE'!$A:$A=A39)/('[1]PURCHASE PRICE'!$B:$B=B39)/('[1]PURCHASE PRICE'!$C:$C=C39),'[1]PURCHASE PRICE'!$D:$D)</f>
        <v>40000</v>
      </c>
      <c r="F39">
        <f>LOOKUP(1,1/('[1]PURCHASE PRICE'!$A:$A=A39)/('[1]PURCHASE PRICE'!$B:$B=B39),'[1]PURCHASE PRICE'!$D:$D)</f>
        <v>40000</v>
      </c>
      <c r="G39" s="1">
        <f t="shared" si="0"/>
        <v>40000</v>
      </c>
      <c r="H39" s="1">
        <f t="shared" si="1"/>
        <v>1800000</v>
      </c>
    </row>
    <row r="40" spans="1:8" x14ac:dyDescent="0.3">
      <c r="A40" s="6">
        <v>45691</v>
      </c>
      <c r="B40" t="s">
        <v>47</v>
      </c>
      <c r="C40" t="s">
        <v>1</v>
      </c>
      <c r="D40">
        <v>50</v>
      </c>
      <c r="E40">
        <f>LOOKUP(1,1/('[1]PURCHASE PRICE'!$A:$A=A40)/('[1]PURCHASE PRICE'!$B:$B=B40)/('[1]PURCHASE PRICE'!$C:$C=C40),'[1]PURCHASE PRICE'!$D:$D)</f>
        <v>50000</v>
      </c>
      <c r="F40">
        <f>LOOKUP(1,1/('[1]PURCHASE PRICE'!$A:$A=A40)/('[1]PURCHASE PRICE'!$B:$B=B40),'[1]PURCHASE PRICE'!$D:$D)</f>
        <v>50000</v>
      </c>
      <c r="G40" s="1">
        <f t="shared" si="0"/>
        <v>50000</v>
      </c>
      <c r="H40" s="1">
        <f t="shared" si="1"/>
        <v>2500000</v>
      </c>
    </row>
    <row r="41" spans="1:8" x14ac:dyDescent="0.3">
      <c r="A41" s="6">
        <v>45691</v>
      </c>
      <c r="B41" t="s">
        <v>48</v>
      </c>
      <c r="C41" t="s">
        <v>11</v>
      </c>
      <c r="D41">
        <v>16</v>
      </c>
      <c r="E41">
        <f>LOOKUP(1,1/('[1]PURCHASE PRICE'!$A:$A=A41)/('[1]PURCHASE PRICE'!$B:$B=B41)/('[1]PURCHASE PRICE'!$C:$C=C41),'[1]PURCHASE PRICE'!$D:$D)</f>
        <v>52000</v>
      </c>
      <c r="F41">
        <f>LOOKUP(1,1/('[1]PURCHASE PRICE'!$A:$A=A41)/('[1]PURCHASE PRICE'!$B:$B=B41),'[1]PURCHASE PRICE'!$D:$D)</f>
        <v>52000</v>
      </c>
      <c r="G41" s="1">
        <f t="shared" si="0"/>
        <v>52000</v>
      </c>
      <c r="H41" s="1">
        <f t="shared" si="1"/>
        <v>832000</v>
      </c>
    </row>
    <row r="42" spans="1:8" x14ac:dyDescent="0.3">
      <c r="A42" s="6">
        <v>45691</v>
      </c>
      <c r="B42" t="s">
        <v>49</v>
      </c>
      <c r="C42" t="s">
        <v>11</v>
      </c>
      <c r="D42">
        <v>18</v>
      </c>
      <c r="E42">
        <f>LOOKUP(1,1/('[1]PURCHASE PRICE'!$A:$A=A42)/('[1]PURCHASE PRICE'!$B:$B=B42)/('[1]PURCHASE PRICE'!$C:$C=C42),'[1]PURCHASE PRICE'!$D:$D)</f>
        <v>60000</v>
      </c>
      <c r="F42">
        <f>LOOKUP(1,1/('[1]PURCHASE PRICE'!$A:$A=A42)/('[1]PURCHASE PRICE'!$B:$B=B42),'[1]PURCHASE PRICE'!$D:$D)</f>
        <v>60000</v>
      </c>
      <c r="G42" s="1">
        <f t="shared" si="0"/>
        <v>60000</v>
      </c>
      <c r="H42" s="1">
        <f t="shared" si="1"/>
        <v>1080000</v>
      </c>
    </row>
    <row r="43" spans="1:8" x14ac:dyDescent="0.3">
      <c r="A43" s="6">
        <v>45691</v>
      </c>
      <c r="B43" t="s">
        <v>50</v>
      </c>
      <c r="C43" t="s">
        <v>11</v>
      </c>
      <c r="D43">
        <v>13</v>
      </c>
      <c r="E43">
        <f>LOOKUP(1,1/('[1]PURCHASE PRICE'!$A:$A=A43)/('[1]PURCHASE PRICE'!$B:$B=B43)/('[1]PURCHASE PRICE'!$C:$C=C43),'[1]PURCHASE PRICE'!$D:$D)</f>
        <v>52000</v>
      </c>
      <c r="F43">
        <f>LOOKUP(1,1/('[1]PURCHASE PRICE'!$A:$A=A43)/('[1]PURCHASE PRICE'!$B:$B=B43),'[1]PURCHASE PRICE'!$D:$D)</f>
        <v>52000</v>
      </c>
      <c r="G43" s="1">
        <f t="shared" si="0"/>
        <v>52000</v>
      </c>
      <c r="H43" s="1">
        <f t="shared" si="1"/>
        <v>676000</v>
      </c>
    </row>
    <row r="44" spans="1:8" x14ac:dyDescent="0.3">
      <c r="A44" s="6">
        <v>45691</v>
      </c>
      <c r="B44" t="s">
        <v>52</v>
      </c>
      <c r="C44" t="s">
        <v>11</v>
      </c>
      <c r="D44">
        <v>40</v>
      </c>
      <c r="E44">
        <f>LOOKUP(1,1/('[1]PURCHASE PRICE'!$A:$A=A44)/('[1]PURCHASE PRICE'!$B:$B=B44)/('[1]PURCHASE PRICE'!$C:$C=C44),'[1]PURCHASE PRICE'!$D:$D)</f>
        <v>30000</v>
      </c>
      <c r="F44">
        <f>LOOKUP(1,1/('[1]PURCHASE PRICE'!$A:$A=A44)/('[1]PURCHASE PRICE'!$B:$B=B44),'[1]PURCHASE PRICE'!$D:$D)</f>
        <v>30000</v>
      </c>
      <c r="G44" s="1">
        <f t="shared" si="0"/>
        <v>30000</v>
      </c>
      <c r="H44" s="1">
        <f t="shared" si="1"/>
        <v>1200000</v>
      </c>
    </row>
    <row r="45" spans="1:8" x14ac:dyDescent="0.3">
      <c r="A45" s="6">
        <v>45691</v>
      </c>
      <c r="B45" t="s">
        <v>53</v>
      </c>
      <c r="C45" t="s">
        <v>22</v>
      </c>
      <c r="D45">
        <v>208</v>
      </c>
      <c r="E45">
        <f>LOOKUP(1,1/('[1]PURCHASE PRICE'!$A:$A=A45)/('[1]PURCHASE PRICE'!$B:$B=B45)/('[1]PURCHASE PRICE'!$C:$C=C45),'[1]PURCHASE PRICE'!$D:$D)</f>
        <v>18000</v>
      </c>
      <c r="F45">
        <f>LOOKUP(1,1/('[1]PURCHASE PRICE'!$A:$A=A45)/('[1]PURCHASE PRICE'!$B:$B=B45),'[1]PURCHASE PRICE'!$D:$D)</f>
        <v>18000</v>
      </c>
      <c r="G45" s="1">
        <f t="shared" si="0"/>
        <v>18000</v>
      </c>
      <c r="H45" s="1">
        <f t="shared" si="1"/>
        <v>3744000</v>
      </c>
    </row>
    <row r="46" spans="1:8" x14ac:dyDescent="0.3">
      <c r="A46" s="6">
        <v>45691</v>
      </c>
      <c r="B46" t="s">
        <v>83</v>
      </c>
      <c r="C46" t="s">
        <v>22</v>
      </c>
      <c r="D46">
        <v>10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20000</v>
      </c>
      <c r="G46" s="1">
        <f>+F46*0.3</f>
        <v>6000</v>
      </c>
      <c r="H46" s="1">
        <f t="shared" si="1"/>
        <v>60000</v>
      </c>
    </row>
    <row r="47" spans="1:8" x14ac:dyDescent="0.3">
      <c r="A47" s="6">
        <v>45691</v>
      </c>
      <c r="B47" t="s">
        <v>55</v>
      </c>
      <c r="C47" t="s">
        <v>1</v>
      </c>
      <c r="D47">
        <v>200</v>
      </c>
      <c r="E47">
        <f>LOOKUP(1,1/('[1]PURCHASE PRICE'!$A:$A=A47)/('[1]PURCHASE PRICE'!$B:$B=B47)/('[1]PURCHASE PRICE'!$C:$C=C47),'[1]PURCHASE PRICE'!$D:$D)</f>
        <v>13000</v>
      </c>
      <c r="F47">
        <f>LOOKUP(1,1/('[1]PURCHASE PRICE'!$A:$A=A47)/('[1]PURCHASE PRICE'!$B:$B=B47),'[1]PURCHASE PRICE'!$D:$D)</f>
        <v>13000</v>
      </c>
      <c r="G47" s="1">
        <f t="shared" si="0"/>
        <v>13000</v>
      </c>
      <c r="H47" s="1">
        <f t="shared" si="1"/>
        <v>2600000</v>
      </c>
    </row>
    <row r="48" spans="1:8" x14ac:dyDescent="0.3">
      <c r="A48" s="6">
        <v>45691</v>
      </c>
      <c r="B48" t="s">
        <v>56</v>
      </c>
      <c r="C48" t="s">
        <v>26</v>
      </c>
      <c r="D48">
        <v>100</v>
      </c>
      <c r="E48">
        <f>LOOKUP(1,1/('[1]PURCHASE PRICE'!$A:$A=A48)/('[1]PURCHASE PRICE'!$B:$B=B48)/('[1]PURCHASE PRICE'!$C:$C=C48),'[1]PURCHASE PRICE'!$D:$D)</f>
        <v>6800</v>
      </c>
      <c r="F48">
        <f>LOOKUP(1,1/('[1]PURCHASE PRICE'!$A:$A=A48)/('[1]PURCHASE PRICE'!$B:$B=B48),'[1]PURCHASE PRICE'!$D:$D)</f>
        <v>6800</v>
      </c>
      <c r="G48" s="1">
        <f t="shared" si="0"/>
        <v>6800</v>
      </c>
      <c r="H48" s="1">
        <f t="shared" si="1"/>
        <v>680000</v>
      </c>
    </row>
    <row r="49" spans="1:8" x14ac:dyDescent="0.3">
      <c r="A49" s="6">
        <v>45691</v>
      </c>
      <c r="B49" t="s">
        <v>58</v>
      </c>
      <c r="C49" t="s">
        <v>1</v>
      </c>
      <c r="D49">
        <v>40</v>
      </c>
      <c r="E49">
        <f>LOOKUP(1,1/('[1]PURCHASE PRICE'!$A:$A=A49)/('[1]PURCHASE PRICE'!$B:$B=B49)/('[1]PURCHASE PRICE'!$C:$C=C49),'[1]PURCHASE PRICE'!$D:$D)</f>
        <v>18000</v>
      </c>
      <c r="F49">
        <f>LOOKUP(1,1/('[1]PURCHASE PRICE'!$A:$A=A49)/('[1]PURCHASE PRICE'!$B:$B=B49),'[1]PURCHASE PRICE'!$D:$D)</f>
        <v>18000</v>
      </c>
      <c r="G49" s="1">
        <f t="shared" si="0"/>
        <v>18000</v>
      </c>
      <c r="H49" s="1">
        <f t="shared" si="1"/>
        <v>720000</v>
      </c>
    </row>
    <row r="50" spans="1:8" x14ac:dyDescent="0.3">
      <c r="A50" s="6">
        <v>45691</v>
      </c>
      <c r="B50" t="s">
        <v>60</v>
      </c>
      <c r="C50" t="s">
        <v>1</v>
      </c>
      <c r="D50">
        <v>10</v>
      </c>
      <c r="E50">
        <f>LOOKUP(1,1/('[1]PURCHASE PRICE'!$A:$A=A50)/('[1]PURCHASE PRICE'!$B:$B=B50)/('[1]PURCHASE PRICE'!$C:$C=C50),'[1]PURCHASE PRICE'!$D:$D)</f>
        <v>40000</v>
      </c>
      <c r="F50">
        <f>LOOKUP(1,1/('[1]PURCHASE PRICE'!$A:$A=A50)/('[1]PURCHASE PRICE'!$B:$B=B50),'[1]PURCHASE PRICE'!$D:$D)</f>
        <v>40000</v>
      </c>
      <c r="G50" s="1">
        <f t="shared" si="0"/>
        <v>40000</v>
      </c>
      <c r="H50" s="1">
        <f t="shared" si="1"/>
        <v>400000</v>
      </c>
    </row>
    <row r="51" spans="1:8" x14ac:dyDescent="0.3">
      <c r="A51" s="6">
        <v>45691</v>
      </c>
      <c r="B51" t="s">
        <v>90</v>
      </c>
      <c r="C51" t="s">
        <v>84</v>
      </c>
      <c r="D51">
        <v>10</v>
      </c>
      <c r="E51">
        <f>LOOKUP(1,1/('[1]PURCHASE PRICE'!$A:$A=A51)/('[1]PURCHASE PRICE'!$B:$B=B51)/('[1]PURCHASE PRICE'!$C:$C=C51),'[1]PURCHASE PRICE'!$D:$D)</f>
        <v>6800</v>
      </c>
      <c r="F51">
        <f>LOOKUP(1,1/('[1]PURCHASE PRICE'!$A:$A=A51)/('[1]PURCHASE PRICE'!$B:$B=B51),'[1]PURCHASE PRICE'!$D:$D)</f>
        <v>6800</v>
      </c>
      <c r="G51" s="1">
        <f>+F51</f>
        <v>6800</v>
      </c>
      <c r="H51" s="1">
        <f t="shared" si="1"/>
        <v>68000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CE3F-5CE1-46B9-AAEA-A159119E887B}">
  <dimension ref="A1:H50"/>
  <sheetViews>
    <sheetView workbookViewId="0">
      <selection activeCell="G10" sqref="G10"/>
    </sheetView>
  </sheetViews>
  <sheetFormatPr defaultRowHeight="14.4" x14ac:dyDescent="0.3"/>
  <cols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SUM(H3:H51)</f>
        <v>40134500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45692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1">
        <f>+E3</f>
        <v>8000</v>
      </c>
      <c r="H3" s="1">
        <f>+G3*D3</f>
        <v>160000</v>
      </c>
    </row>
    <row r="4" spans="1:8" x14ac:dyDescent="0.3">
      <c r="A4" s="6">
        <v>45692</v>
      </c>
      <c r="B4" t="s">
        <v>85</v>
      </c>
      <c r="C4" t="s">
        <v>1</v>
      </c>
      <c r="D4">
        <v>30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5500</v>
      </c>
      <c r="H4" s="1">
        <f t="shared" ref="H4:H50" si="0">+G4*D4</f>
        <v>165000</v>
      </c>
    </row>
    <row r="5" spans="1:8" x14ac:dyDescent="0.3">
      <c r="A5" s="6">
        <v>45692</v>
      </c>
      <c r="B5" t="s">
        <v>3</v>
      </c>
      <c r="C5" t="s">
        <v>77</v>
      </c>
      <c r="D5">
        <v>20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12000</v>
      </c>
      <c r="G5" s="1">
        <f>+F5*0.4</f>
        <v>4800</v>
      </c>
      <c r="H5" s="1">
        <f t="shared" si="0"/>
        <v>96000</v>
      </c>
    </row>
    <row r="6" spans="1:8" x14ac:dyDescent="0.3">
      <c r="A6" s="6">
        <v>45692</v>
      </c>
      <c r="B6" t="s">
        <v>4</v>
      </c>
      <c r="C6" t="s">
        <v>77</v>
      </c>
      <c r="D6">
        <v>250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12000</v>
      </c>
      <c r="G6" s="1">
        <f>+F6*0.3</f>
        <v>3600</v>
      </c>
      <c r="H6" s="1">
        <f t="shared" si="0"/>
        <v>900000</v>
      </c>
    </row>
    <row r="7" spans="1:8" x14ac:dyDescent="0.3">
      <c r="A7" s="6">
        <v>45692</v>
      </c>
      <c r="B7" t="s">
        <v>6</v>
      </c>
      <c r="C7" t="s">
        <v>77</v>
      </c>
      <c r="D7">
        <v>90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f>13000*0.3</f>
        <v>3900</v>
      </c>
      <c r="H7" s="1">
        <f t="shared" si="0"/>
        <v>351000</v>
      </c>
    </row>
    <row r="8" spans="1:8" x14ac:dyDescent="0.3">
      <c r="A8" s="6">
        <v>45692</v>
      </c>
      <c r="B8" t="s">
        <v>86</v>
      </c>
      <c r="C8" t="s">
        <v>1</v>
      </c>
      <c r="D8">
        <v>0</v>
      </c>
      <c r="E8">
        <f>LOOKUP(1,1/('[1]PURCHASE PRICE'!$A:$A=A8)/('[1]PURCHASE PRICE'!$B:$B=B8)/('[1]PURCHASE PRICE'!$C:$C=C8),'[1]PURCHASE PRICE'!$D:$D)</f>
        <v>10000</v>
      </c>
      <c r="F8">
        <f>LOOKUP(1,1/('[1]PURCHASE PRICE'!$A:$A=A8)/('[1]PURCHASE PRICE'!$B:$B=B8),'[1]PURCHASE PRICE'!$D:$D)</f>
        <v>10000</v>
      </c>
      <c r="G8" s="1">
        <f t="shared" ref="G8:G50" si="1">+E8</f>
        <v>10000</v>
      </c>
      <c r="H8" s="1">
        <f t="shared" si="0"/>
        <v>0</v>
      </c>
    </row>
    <row r="9" spans="1:8" x14ac:dyDescent="0.3">
      <c r="A9" s="6">
        <v>45692</v>
      </c>
      <c r="B9" t="s">
        <v>63</v>
      </c>
      <c r="C9" t="s">
        <v>1</v>
      </c>
      <c r="D9">
        <v>30</v>
      </c>
      <c r="E9">
        <f>LOOKUP(1,1/('[1]PURCHASE PRICE'!$A:$A=A9)/('[1]PURCHASE PRICE'!$B:$B=B9)/('[1]PURCHASE PRICE'!$C:$C=C9),'[1]PURCHASE PRICE'!$D:$D)</f>
        <v>20000</v>
      </c>
      <c r="F9">
        <f>LOOKUP(1,1/('[1]PURCHASE PRICE'!$A:$A=A9)/('[1]PURCHASE PRICE'!$B:$B=B9),'[1]PURCHASE PRICE'!$D:$D)</f>
        <v>20000</v>
      </c>
      <c r="G9" s="1">
        <f t="shared" si="1"/>
        <v>20000</v>
      </c>
      <c r="H9" s="1">
        <f t="shared" si="0"/>
        <v>600000</v>
      </c>
    </row>
    <row r="10" spans="1:8" x14ac:dyDescent="0.3">
      <c r="A10" s="6">
        <v>45692</v>
      </c>
      <c r="B10" t="s">
        <v>8</v>
      </c>
      <c r="C10" t="s">
        <v>9</v>
      </c>
      <c r="D10">
        <v>60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1"/>
        <v>6000</v>
      </c>
      <c r="H10" s="1">
        <f t="shared" si="0"/>
        <v>360000</v>
      </c>
    </row>
    <row r="11" spans="1:8" x14ac:dyDescent="0.3">
      <c r="A11" s="6">
        <v>45692</v>
      </c>
      <c r="B11" t="s">
        <v>78</v>
      </c>
      <c r="C11" t="s">
        <v>1</v>
      </c>
      <c r="D11">
        <v>100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13000</v>
      </c>
      <c r="G11" s="1">
        <f>+F11</f>
        <v>13000</v>
      </c>
      <c r="H11" s="1">
        <f t="shared" si="0"/>
        <v>1300000</v>
      </c>
    </row>
    <row r="12" spans="1:8" x14ac:dyDescent="0.3">
      <c r="A12" s="6">
        <v>45692</v>
      </c>
      <c r="B12" t="s">
        <v>10</v>
      </c>
      <c r="C12" t="s">
        <v>79</v>
      </c>
      <c r="D12">
        <v>110</v>
      </c>
      <c r="E12">
        <f>LOOKUP(1,1/('[1]PURCHASE PRICE'!$A:$A=A12)/('[1]PURCHASE PRICE'!$B:$B=B12)/('[1]PURCHASE PRICE'!$C:$C=C12),'[1]PURCHASE PRICE'!$D:$D)</f>
        <v>7500</v>
      </c>
      <c r="F12">
        <f>LOOKUP(1,1/('[1]PURCHASE PRICE'!$A:$A=A12)/('[1]PURCHASE PRICE'!$B:$B=B12),'[1]PURCHASE PRICE'!$D:$D)</f>
        <v>7500</v>
      </c>
      <c r="G12" s="1">
        <f t="shared" si="1"/>
        <v>7500</v>
      </c>
      <c r="H12" s="1">
        <f t="shared" si="0"/>
        <v>825000</v>
      </c>
    </row>
    <row r="13" spans="1:8" x14ac:dyDescent="0.3">
      <c r="A13" s="6">
        <v>45692</v>
      </c>
      <c r="B13" t="s">
        <v>12</v>
      </c>
      <c r="C13" t="s">
        <v>13</v>
      </c>
      <c r="D13">
        <v>100</v>
      </c>
      <c r="E13">
        <f>LOOKUP(1,1/('[1]PURCHASE PRICE'!$A:$A=A13)/('[1]PURCHASE PRICE'!$B:$B=B13)/('[1]PURCHASE PRICE'!$C:$C=C13),'[1]PURCHASE PRICE'!$D:$D)</f>
        <v>5400</v>
      </c>
      <c r="F13">
        <f>LOOKUP(1,1/('[1]PURCHASE PRICE'!$A:$A=A13)/('[1]PURCHASE PRICE'!$B:$B=B13),'[1]PURCHASE PRICE'!$D:$D)</f>
        <v>9000</v>
      </c>
      <c r="G13" s="1">
        <f t="shared" si="1"/>
        <v>5400</v>
      </c>
      <c r="H13" s="1">
        <f t="shared" si="0"/>
        <v>540000</v>
      </c>
    </row>
    <row r="14" spans="1:8" x14ac:dyDescent="0.3">
      <c r="A14" s="6">
        <v>45692</v>
      </c>
      <c r="B14" t="s">
        <v>14</v>
      </c>
      <c r="C14" t="s">
        <v>15</v>
      </c>
      <c r="D14">
        <v>120</v>
      </c>
      <c r="E14">
        <f>LOOKUP(1,1/('[1]PURCHASE PRICE'!$A:$A=A14)/('[1]PURCHASE PRICE'!$B:$B=B14)/('[1]PURCHASE PRICE'!$C:$C=C14),'[1]PURCHASE PRICE'!$D:$D)</f>
        <v>11400</v>
      </c>
      <c r="F14">
        <f>LOOKUP(1,1/('[1]PURCHASE PRICE'!$A:$A=A14)/('[1]PURCHASE PRICE'!$B:$B=B14),'[1]PURCHASE PRICE'!$D:$D)</f>
        <v>11400</v>
      </c>
      <c r="G14" s="1">
        <f t="shared" si="1"/>
        <v>11400</v>
      </c>
      <c r="H14" s="1">
        <f t="shared" si="0"/>
        <v>1368000</v>
      </c>
    </row>
    <row r="15" spans="1:8" x14ac:dyDescent="0.3">
      <c r="A15" s="6">
        <v>45692</v>
      </c>
      <c r="B15" t="s">
        <v>16</v>
      </c>
      <c r="C15" t="s">
        <v>13</v>
      </c>
      <c r="D15">
        <v>150</v>
      </c>
      <c r="E15">
        <f>LOOKUP(1,1/('[1]PURCHASE PRICE'!$A:$A=A15)/('[1]PURCHASE PRICE'!$B:$B=B15)/('[1]PURCHASE PRICE'!$C:$C=C15),'[1]PURCHASE PRICE'!$D:$D)</f>
        <v>10050</v>
      </c>
      <c r="F15">
        <f>LOOKUP(1,1/('[1]PURCHASE PRICE'!$A:$A=A15)/('[1]PURCHASE PRICE'!$B:$B=B15),'[1]PURCHASE PRICE'!$D:$D)</f>
        <v>8625</v>
      </c>
      <c r="G15" s="1">
        <f t="shared" si="1"/>
        <v>10050</v>
      </c>
      <c r="H15" s="1">
        <f t="shared" si="0"/>
        <v>1507500</v>
      </c>
    </row>
    <row r="16" spans="1:8" x14ac:dyDescent="0.3">
      <c r="A16" s="6">
        <v>45692</v>
      </c>
      <c r="B16" t="s">
        <v>17</v>
      </c>
      <c r="C16" t="s">
        <v>1</v>
      </c>
      <c r="D16">
        <v>80</v>
      </c>
      <c r="E16">
        <f>LOOKUP(1,1/('[1]PURCHASE PRICE'!$A:$A=A16)/('[1]PURCHASE PRICE'!$B:$B=B16)/('[1]PURCHASE PRICE'!$C:$C=C16),'[1]PURCHASE PRICE'!$D:$D)</f>
        <v>8000</v>
      </c>
      <c r="F16">
        <f>LOOKUP(1,1/('[1]PURCHASE PRICE'!$A:$A=A16)/('[1]PURCHASE PRICE'!$B:$B=B16),'[1]PURCHASE PRICE'!$D:$D)</f>
        <v>8000</v>
      </c>
      <c r="G16" s="1">
        <f t="shared" si="1"/>
        <v>8000</v>
      </c>
      <c r="H16" s="1">
        <f t="shared" si="0"/>
        <v>640000</v>
      </c>
    </row>
    <row r="17" spans="1:8" x14ac:dyDescent="0.3">
      <c r="A17" s="6">
        <v>45692</v>
      </c>
      <c r="B17" t="s">
        <v>18</v>
      </c>
      <c r="C17" t="s">
        <v>1</v>
      </c>
      <c r="D17">
        <v>20</v>
      </c>
      <c r="E17">
        <f>LOOKUP(1,1/('[1]PURCHASE PRICE'!$A:$A=A17)/('[1]PURCHASE PRICE'!$B:$B=B17)/('[1]PURCHASE PRICE'!$C:$C=C17),'[1]PURCHASE PRICE'!$D:$D)</f>
        <v>9500</v>
      </c>
      <c r="F17">
        <f>LOOKUP(1,1/('[1]PURCHASE PRICE'!$A:$A=A17)/('[1]PURCHASE PRICE'!$B:$B=B17),'[1]PURCHASE PRICE'!$D:$D)</f>
        <v>9500</v>
      </c>
      <c r="G17" s="1">
        <f t="shared" si="1"/>
        <v>9500</v>
      </c>
      <c r="H17" s="1">
        <f t="shared" si="0"/>
        <v>190000</v>
      </c>
    </row>
    <row r="18" spans="1:8" x14ac:dyDescent="0.3">
      <c r="A18" s="6">
        <v>45692</v>
      </c>
      <c r="B18" t="s">
        <v>19</v>
      </c>
      <c r="C18" t="s">
        <v>9</v>
      </c>
      <c r="D18">
        <v>80</v>
      </c>
      <c r="E18">
        <f>LOOKUP(1,1/('[1]PURCHASE PRICE'!$A:$A=A18)/('[1]PURCHASE PRICE'!$B:$B=B18)/('[1]PURCHASE PRICE'!$C:$C=C18),'[1]PURCHASE PRICE'!$D:$D)</f>
        <v>6000</v>
      </c>
      <c r="F18">
        <f>LOOKUP(1,1/('[1]PURCHASE PRICE'!$A:$A=A18)/('[1]PURCHASE PRICE'!$B:$B=B18),'[1]PURCHASE PRICE'!$D:$D)</f>
        <v>6000</v>
      </c>
      <c r="G18" s="1">
        <f t="shared" si="1"/>
        <v>6000</v>
      </c>
      <c r="H18" s="1">
        <f t="shared" si="0"/>
        <v>480000</v>
      </c>
    </row>
    <row r="19" spans="1:8" x14ac:dyDescent="0.3">
      <c r="A19" s="6">
        <v>45692</v>
      </c>
      <c r="B19" t="s">
        <v>87</v>
      </c>
      <c r="C19" t="s">
        <v>1</v>
      </c>
      <c r="D19">
        <v>30</v>
      </c>
      <c r="E19">
        <f>LOOKUP(1,1/('[1]PURCHASE PRICE'!$A:$A=A19)/('[1]PURCHASE PRICE'!$B:$B=B19)/('[1]PURCHASE PRICE'!$C:$C=C19),'[1]PURCHASE PRICE'!$D:$D)</f>
        <v>7000</v>
      </c>
      <c r="F19">
        <f>LOOKUP(1,1/('[1]PURCHASE PRICE'!$A:$A=A19)/('[1]PURCHASE PRICE'!$B:$B=B19),'[1]PURCHASE PRICE'!$D:$D)</f>
        <v>7000</v>
      </c>
      <c r="G19" s="1">
        <f t="shared" si="1"/>
        <v>7000</v>
      </c>
      <c r="H19" s="1">
        <f t="shared" si="0"/>
        <v>210000</v>
      </c>
    </row>
    <row r="20" spans="1:8" x14ac:dyDescent="0.3">
      <c r="A20" s="6">
        <v>45692</v>
      </c>
      <c r="B20" t="s">
        <v>20</v>
      </c>
      <c r="C20" t="s">
        <v>1</v>
      </c>
      <c r="D20">
        <v>40</v>
      </c>
      <c r="E20">
        <f>LOOKUP(1,1/('[1]PURCHASE PRICE'!$A:$A=A20)/('[1]PURCHASE PRICE'!$B:$B=B20)/('[1]PURCHASE PRICE'!$C:$C=C20),'[1]PURCHASE PRICE'!$D:$D)</f>
        <v>16000</v>
      </c>
      <c r="F20">
        <f>LOOKUP(1,1/('[1]PURCHASE PRICE'!$A:$A=A20)/('[1]PURCHASE PRICE'!$B:$B=B20),'[1]PURCHASE PRICE'!$D:$D)</f>
        <v>6300</v>
      </c>
      <c r="G20" s="1">
        <f t="shared" si="1"/>
        <v>16000</v>
      </c>
      <c r="H20" s="1">
        <f t="shared" si="0"/>
        <v>640000</v>
      </c>
    </row>
    <row r="21" spans="1:8" x14ac:dyDescent="0.3">
      <c r="A21" s="6">
        <v>45692</v>
      </c>
      <c r="B21" t="s">
        <v>21</v>
      </c>
      <c r="C21" t="s">
        <v>22</v>
      </c>
      <c r="D21">
        <v>360</v>
      </c>
      <c r="E21">
        <f>LOOKUP(1,1/('[1]PURCHASE PRICE'!$A:$A=A21)/('[1]PURCHASE PRICE'!$B:$B=B21)/('[1]PURCHASE PRICE'!$C:$C=C21),'[1]PURCHASE PRICE'!$D:$D)</f>
        <v>3300</v>
      </c>
      <c r="F21">
        <f>LOOKUP(1,1/('[1]PURCHASE PRICE'!$A:$A=A21)/('[1]PURCHASE PRICE'!$B:$B=B21),'[1]PURCHASE PRICE'!$D:$D)</f>
        <v>3300</v>
      </c>
      <c r="G21" s="1">
        <f t="shared" si="1"/>
        <v>3300</v>
      </c>
      <c r="H21" s="1">
        <f t="shared" si="0"/>
        <v>1188000</v>
      </c>
    </row>
    <row r="22" spans="1:8" x14ac:dyDescent="0.3">
      <c r="A22" s="6">
        <v>45692</v>
      </c>
      <c r="B22" t="s">
        <v>25</v>
      </c>
      <c r="C22" t="s">
        <v>26</v>
      </c>
      <c r="D22">
        <v>300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20000</v>
      </c>
      <c r="G22" s="1">
        <f>+F22/2</f>
        <v>10000</v>
      </c>
      <c r="H22" s="1">
        <f t="shared" si="0"/>
        <v>3000000</v>
      </c>
    </row>
    <row r="23" spans="1:8" x14ac:dyDescent="0.3">
      <c r="A23" s="6">
        <v>45692</v>
      </c>
      <c r="B23" t="s">
        <v>27</v>
      </c>
      <c r="C23" t="s">
        <v>9</v>
      </c>
      <c r="D23">
        <v>50</v>
      </c>
      <c r="E23">
        <f>LOOKUP(1,1/('[1]PURCHASE PRICE'!$A:$A=A23)/('[1]PURCHASE PRICE'!$B:$B=B23)/('[1]PURCHASE PRICE'!$C:$C=C23),'[1]PURCHASE PRICE'!$D:$D)</f>
        <v>6750</v>
      </c>
      <c r="F23">
        <f>LOOKUP(1,1/('[1]PURCHASE PRICE'!$A:$A=A23)/('[1]PURCHASE PRICE'!$B:$B=B23),'[1]PURCHASE PRICE'!$D:$D)</f>
        <v>6750</v>
      </c>
      <c r="G23" s="1">
        <f t="shared" si="1"/>
        <v>6750</v>
      </c>
      <c r="H23" s="1">
        <f t="shared" si="0"/>
        <v>337500</v>
      </c>
    </row>
    <row r="24" spans="1:8" x14ac:dyDescent="0.3">
      <c r="A24" s="6">
        <v>45692</v>
      </c>
      <c r="B24" t="s">
        <v>28</v>
      </c>
      <c r="C24" t="s">
        <v>15</v>
      </c>
      <c r="D24">
        <v>20</v>
      </c>
      <c r="E24">
        <f>LOOKUP(1,1/('[1]PURCHASE PRICE'!$A:$A=A24)/('[1]PURCHASE PRICE'!$B:$B=B24)/('[1]PURCHASE PRICE'!$C:$C=C24),'[1]PURCHASE PRICE'!$D:$D)</f>
        <v>11000</v>
      </c>
      <c r="F24">
        <f>LOOKUP(1,1/('[1]PURCHASE PRICE'!$A:$A=A24)/('[1]PURCHASE PRICE'!$B:$B=B24),'[1]PURCHASE PRICE'!$D:$D)</f>
        <v>11000</v>
      </c>
      <c r="G24" s="1">
        <f t="shared" si="1"/>
        <v>11000</v>
      </c>
      <c r="H24" s="1">
        <f t="shared" si="0"/>
        <v>220000</v>
      </c>
    </row>
    <row r="25" spans="1:8" x14ac:dyDescent="0.3">
      <c r="A25" s="6">
        <v>45692</v>
      </c>
      <c r="B25" t="s">
        <v>29</v>
      </c>
      <c r="C25" t="s">
        <v>1</v>
      </c>
      <c r="D25">
        <v>5</v>
      </c>
      <c r="E25">
        <f>LOOKUP(1,1/('[1]PURCHASE PRICE'!$A:$A=A25)/('[1]PURCHASE PRICE'!$B:$B=B25)/('[1]PURCHASE PRICE'!$C:$C=C25),'[1]PURCHASE PRICE'!$D:$D)</f>
        <v>5500</v>
      </c>
      <c r="F25">
        <f>LOOKUP(1,1/('[1]PURCHASE PRICE'!$A:$A=A25)/('[1]PURCHASE PRICE'!$B:$B=B25),'[1]PURCHASE PRICE'!$D:$D)</f>
        <v>5500</v>
      </c>
      <c r="G25" s="1">
        <f t="shared" si="1"/>
        <v>5500</v>
      </c>
      <c r="H25" s="1">
        <f t="shared" si="0"/>
        <v>27500</v>
      </c>
    </row>
    <row r="26" spans="1:8" x14ac:dyDescent="0.3">
      <c r="A26" s="6">
        <v>45692</v>
      </c>
      <c r="B26" t="s">
        <v>32</v>
      </c>
      <c r="C26" t="s">
        <v>1</v>
      </c>
      <c r="D26">
        <v>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20000</v>
      </c>
      <c r="H26" s="1">
        <f t="shared" si="0"/>
        <v>0</v>
      </c>
    </row>
    <row r="27" spans="1:8" x14ac:dyDescent="0.3">
      <c r="A27" s="6">
        <v>45692</v>
      </c>
      <c r="B27" t="s">
        <v>88</v>
      </c>
      <c r="C27" t="s">
        <v>89</v>
      </c>
      <c r="D27">
        <v>40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15225</v>
      </c>
      <c r="G27" s="1">
        <f>+F27</f>
        <v>15225</v>
      </c>
      <c r="H27" s="1">
        <f t="shared" si="0"/>
        <v>609000</v>
      </c>
    </row>
    <row r="28" spans="1:8" x14ac:dyDescent="0.3">
      <c r="A28" s="6">
        <v>45692</v>
      </c>
      <c r="B28" t="s">
        <v>64</v>
      </c>
      <c r="C28" t="s">
        <v>1</v>
      </c>
      <c r="D28">
        <v>0</v>
      </c>
      <c r="E28">
        <f>LOOKUP(1,1/('[1]PURCHASE PRICE'!$A:$A=A28)/('[1]PURCHASE PRICE'!$B:$B=B28)/('[1]PURCHASE PRICE'!$C:$C=C28),'[1]PURCHASE PRICE'!$D:$D)</f>
        <v>11000</v>
      </c>
      <c r="F28">
        <f>LOOKUP(1,1/('[1]PURCHASE PRICE'!$A:$A=A28)/('[1]PURCHASE PRICE'!$B:$B=B28),'[1]PURCHASE PRICE'!$D:$D)</f>
        <v>11000</v>
      </c>
      <c r="G28" s="1">
        <f t="shared" si="1"/>
        <v>11000</v>
      </c>
      <c r="H28" s="1">
        <f t="shared" si="0"/>
        <v>0</v>
      </c>
    </row>
    <row r="29" spans="1:8" x14ac:dyDescent="0.3">
      <c r="A29" s="6">
        <v>45692</v>
      </c>
      <c r="B29" t="s">
        <v>36</v>
      </c>
      <c r="C29" t="s">
        <v>22</v>
      </c>
      <c r="D29">
        <v>40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6000</v>
      </c>
      <c r="G29" s="1">
        <f t="shared" si="1"/>
        <v>6000</v>
      </c>
      <c r="H29" s="1">
        <f t="shared" si="0"/>
        <v>240000</v>
      </c>
    </row>
    <row r="30" spans="1:8" x14ac:dyDescent="0.3">
      <c r="A30" s="6">
        <v>45692</v>
      </c>
      <c r="B30" t="s">
        <v>37</v>
      </c>
      <c r="C30" t="s">
        <v>31</v>
      </c>
      <c r="D30">
        <v>20</v>
      </c>
      <c r="E30">
        <f>LOOKUP(1,1/('[1]PURCHASE PRICE'!$A:$A=A30)/('[1]PURCHASE PRICE'!$B:$B=B30)/('[1]PURCHASE PRICE'!$C:$C=C30),'[1]PURCHASE PRICE'!$D:$D)</f>
        <v>4500</v>
      </c>
      <c r="F30">
        <f>LOOKUP(1,1/('[1]PURCHASE PRICE'!$A:$A=A30)/('[1]PURCHASE PRICE'!$B:$B=B30),'[1]PURCHASE PRICE'!$D:$D)</f>
        <v>11000</v>
      </c>
      <c r="G30" s="1">
        <f t="shared" si="1"/>
        <v>4500</v>
      </c>
      <c r="H30" s="1">
        <f t="shared" si="0"/>
        <v>90000</v>
      </c>
    </row>
    <row r="31" spans="1:8" x14ac:dyDescent="0.3">
      <c r="A31" s="6">
        <v>45692</v>
      </c>
      <c r="B31" t="s">
        <v>39</v>
      </c>
      <c r="C31" t="s">
        <v>9</v>
      </c>
      <c r="D31">
        <v>1000</v>
      </c>
      <c r="E31">
        <f>LOOKUP(1,1/('[1]PURCHASE PRICE'!$A:$A=A31)/('[1]PURCHASE PRICE'!$B:$B=B31)/('[1]PURCHASE PRICE'!$C:$C=C31),'[1]PURCHASE PRICE'!$D:$D)</f>
        <v>8000</v>
      </c>
      <c r="F31">
        <f>LOOKUP(1,1/('[1]PURCHASE PRICE'!$A:$A=A31)/('[1]PURCHASE PRICE'!$B:$B=B31),'[1]PURCHASE PRICE'!$D:$D)</f>
        <v>8000</v>
      </c>
      <c r="G31" s="1">
        <f t="shared" si="1"/>
        <v>8000</v>
      </c>
      <c r="H31" s="1">
        <f t="shared" si="0"/>
        <v>8000000</v>
      </c>
    </row>
    <row r="32" spans="1:8" x14ac:dyDescent="0.3">
      <c r="A32" s="6">
        <v>45692</v>
      </c>
      <c r="B32" t="s">
        <v>40</v>
      </c>
      <c r="C32" t="s">
        <v>22</v>
      </c>
      <c r="D32">
        <v>20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14000</v>
      </c>
      <c r="G32" s="1">
        <f>+F32*0.6</f>
        <v>8400</v>
      </c>
      <c r="H32" s="1">
        <f t="shared" si="0"/>
        <v>168000</v>
      </c>
    </row>
    <row r="33" spans="1:8" x14ac:dyDescent="0.3">
      <c r="A33" s="6">
        <v>45692</v>
      </c>
      <c r="B33" t="s">
        <v>81</v>
      </c>
      <c r="C33" t="s">
        <v>1</v>
      </c>
      <c r="D33">
        <v>80</v>
      </c>
      <c r="E33">
        <f>LOOKUP(1,1/('[1]PURCHASE PRICE'!$A:$A=A33)/('[1]PURCHASE PRICE'!$B:$B=B33)/('[1]PURCHASE PRICE'!$C:$C=C33),'[1]PURCHASE PRICE'!$D:$D)</f>
        <v>15000</v>
      </c>
      <c r="F33">
        <f>LOOKUP(1,1/('[1]PURCHASE PRICE'!$A:$A=A33)/('[1]PURCHASE PRICE'!$B:$B=B33),'[1]PURCHASE PRICE'!$D:$D)</f>
        <v>15000</v>
      </c>
      <c r="G33" s="1">
        <f t="shared" si="1"/>
        <v>15000</v>
      </c>
      <c r="H33" s="1">
        <f t="shared" si="0"/>
        <v>1200000</v>
      </c>
    </row>
    <row r="34" spans="1:8" x14ac:dyDescent="0.3">
      <c r="A34" s="6">
        <v>45692</v>
      </c>
      <c r="B34" t="s">
        <v>41</v>
      </c>
      <c r="C34" t="s">
        <v>26</v>
      </c>
      <c r="D34">
        <v>120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13000</v>
      </c>
      <c r="G34" s="1">
        <f>+F34*0.15</f>
        <v>1950</v>
      </c>
      <c r="H34" s="1">
        <f t="shared" si="0"/>
        <v>234000</v>
      </c>
    </row>
    <row r="35" spans="1:8" x14ac:dyDescent="0.3">
      <c r="A35" s="6">
        <v>45692</v>
      </c>
      <c r="B35" t="s">
        <v>43</v>
      </c>
      <c r="C35" t="s">
        <v>1</v>
      </c>
      <c r="D35">
        <v>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v>0</v>
      </c>
      <c r="H35" s="1">
        <f t="shared" si="0"/>
        <v>0</v>
      </c>
    </row>
    <row r="36" spans="1:8" x14ac:dyDescent="0.3">
      <c r="A36" s="6">
        <v>45692</v>
      </c>
      <c r="B36" t="s">
        <v>44</v>
      </c>
      <c r="C36" t="s">
        <v>22</v>
      </c>
      <c r="D36">
        <v>440</v>
      </c>
      <c r="E36">
        <f>LOOKUP(1,1/('[1]PURCHASE PRICE'!$A:$A=A36)/('[1]PURCHASE PRICE'!$B:$B=B36)/('[1]PURCHASE PRICE'!$C:$C=C36),'[1]PURCHASE PRICE'!$D:$D)</f>
        <v>3200</v>
      </c>
      <c r="F36">
        <f>LOOKUP(1,1/('[1]PURCHASE PRICE'!$A:$A=A36)/('[1]PURCHASE PRICE'!$B:$B=B36),'[1]PURCHASE PRICE'!$D:$D)</f>
        <v>3200</v>
      </c>
      <c r="G36" s="1">
        <f t="shared" si="1"/>
        <v>3200</v>
      </c>
      <c r="H36" s="1">
        <f t="shared" si="0"/>
        <v>1408000</v>
      </c>
    </row>
    <row r="37" spans="1:8" x14ac:dyDescent="0.3">
      <c r="A37" s="6">
        <v>45692</v>
      </c>
      <c r="B37" t="s">
        <v>82</v>
      </c>
      <c r="C37" t="s">
        <v>22</v>
      </c>
      <c r="D37">
        <v>20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32000</v>
      </c>
      <c r="G37" s="1">
        <f>+F37*0.05</f>
        <v>1600</v>
      </c>
      <c r="H37" s="1">
        <f t="shared" si="0"/>
        <v>32000</v>
      </c>
    </row>
    <row r="38" spans="1:8" x14ac:dyDescent="0.3">
      <c r="A38" s="6">
        <v>45692</v>
      </c>
      <c r="B38" t="s">
        <v>45</v>
      </c>
      <c r="C38" t="s">
        <v>1</v>
      </c>
      <c r="D38">
        <v>30</v>
      </c>
      <c r="E38">
        <f>LOOKUP(1,1/('[1]PURCHASE PRICE'!$A:$A=A38)/('[1]PURCHASE PRICE'!$B:$B=B38)/('[1]PURCHASE PRICE'!$C:$C=C38),'[1]PURCHASE PRICE'!$D:$D)</f>
        <v>52000</v>
      </c>
      <c r="F38">
        <f>LOOKUP(1,1/('[1]PURCHASE PRICE'!$A:$A=A38)/('[1]PURCHASE PRICE'!$B:$B=B38),'[1]PURCHASE PRICE'!$D:$D)</f>
        <v>52000</v>
      </c>
      <c r="G38" s="1">
        <f t="shared" si="1"/>
        <v>52000</v>
      </c>
      <c r="H38" s="1">
        <f t="shared" si="0"/>
        <v>1560000</v>
      </c>
    </row>
    <row r="39" spans="1:8" x14ac:dyDescent="0.3">
      <c r="A39" s="6">
        <v>45692</v>
      </c>
      <c r="B39" t="s">
        <v>47</v>
      </c>
      <c r="C39" t="s">
        <v>1</v>
      </c>
      <c r="D39">
        <v>38</v>
      </c>
      <c r="E39">
        <f>LOOKUP(1,1/('[1]PURCHASE PRICE'!$A:$A=A39)/('[1]PURCHASE PRICE'!$B:$B=B39)/('[1]PURCHASE PRICE'!$C:$C=C39),'[1]PURCHASE PRICE'!$D:$D)</f>
        <v>50000</v>
      </c>
      <c r="F39">
        <f>LOOKUP(1,1/('[1]PURCHASE PRICE'!$A:$A=A39)/('[1]PURCHASE PRICE'!$B:$B=B39),'[1]PURCHASE PRICE'!$D:$D)</f>
        <v>50000</v>
      </c>
      <c r="G39" s="1">
        <f t="shared" si="1"/>
        <v>50000</v>
      </c>
      <c r="H39" s="1">
        <f t="shared" si="0"/>
        <v>1900000</v>
      </c>
    </row>
    <row r="40" spans="1:8" x14ac:dyDescent="0.3">
      <c r="A40" s="6">
        <v>45692</v>
      </c>
      <c r="B40" t="s">
        <v>48</v>
      </c>
      <c r="C40" t="s">
        <v>1</v>
      </c>
      <c r="D40">
        <v>30</v>
      </c>
      <c r="E40">
        <f>LOOKUP(1,1/('[1]PURCHASE PRICE'!$A:$A=A40)/('[1]PURCHASE PRICE'!$B:$B=B40)/('[1]PURCHASE PRICE'!$C:$C=C40),'[1]PURCHASE PRICE'!$D:$D)</f>
        <v>50000</v>
      </c>
      <c r="F40">
        <f>LOOKUP(1,1/('[1]PURCHASE PRICE'!$A:$A=A40)/('[1]PURCHASE PRICE'!$B:$B=B40),'[1]PURCHASE PRICE'!$D:$D)</f>
        <v>50000</v>
      </c>
      <c r="G40" s="1">
        <f t="shared" si="1"/>
        <v>50000</v>
      </c>
      <c r="H40" s="1">
        <f t="shared" si="0"/>
        <v>1500000</v>
      </c>
    </row>
    <row r="41" spans="1:8" x14ac:dyDescent="0.3">
      <c r="A41" s="6">
        <v>45692</v>
      </c>
      <c r="B41" t="s">
        <v>49</v>
      </c>
      <c r="C41" t="s">
        <v>11</v>
      </c>
      <c r="D41">
        <v>15</v>
      </c>
      <c r="E41">
        <f>LOOKUP(1,1/('[1]PURCHASE PRICE'!$A:$A=A41)/('[1]PURCHASE PRICE'!$B:$B=B41)/('[1]PURCHASE PRICE'!$C:$C=C41),'[1]PURCHASE PRICE'!$D:$D)</f>
        <v>60000</v>
      </c>
      <c r="F41">
        <f>LOOKUP(1,1/('[1]PURCHASE PRICE'!$A:$A=A41)/('[1]PURCHASE PRICE'!$B:$B=B41),'[1]PURCHASE PRICE'!$D:$D)</f>
        <v>60000</v>
      </c>
      <c r="G41" s="1">
        <f t="shared" si="1"/>
        <v>60000</v>
      </c>
      <c r="H41" s="1">
        <f t="shared" si="0"/>
        <v>900000</v>
      </c>
    </row>
    <row r="42" spans="1:8" x14ac:dyDescent="0.3">
      <c r="A42" s="6">
        <v>45692</v>
      </c>
      <c r="B42" t="s">
        <v>50</v>
      </c>
      <c r="C42" t="s">
        <v>1</v>
      </c>
      <c r="D42">
        <v>0</v>
      </c>
      <c r="E42">
        <f>LOOKUP(1,1/('[1]PURCHASE PRICE'!$A:$A=A42)/('[1]PURCHASE PRICE'!$B:$B=B42)/('[1]PURCHASE PRICE'!$C:$C=C42),'[1]PURCHASE PRICE'!$D:$D)</f>
        <v>47000</v>
      </c>
      <c r="F42">
        <f>LOOKUP(1,1/('[1]PURCHASE PRICE'!$A:$A=A42)/('[1]PURCHASE PRICE'!$B:$B=B42),'[1]PURCHASE PRICE'!$D:$D)</f>
        <v>47000</v>
      </c>
      <c r="G42" s="1">
        <f t="shared" si="1"/>
        <v>47000</v>
      </c>
      <c r="H42" s="1">
        <f t="shared" si="0"/>
        <v>0</v>
      </c>
    </row>
    <row r="43" spans="1:8" x14ac:dyDescent="0.3">
      <c r="A43" s="6">
        <v>45692</v>
      </c>
      <c r="B43" t="s">
        <v>52</v>
      </c>
      <c r="C43" t="s">
        <v>1</v>
      </c>
      <c r="D43">
        <v>20</v>
      </c>
      <c r="E43">
        <f>LOOKUP(1,1/('[1]PURCHASE PRICE'!$A:$A=A43)/('[1]PURCHASE PRICE'!$B:$B=B43)/('[1]PURCHASE PRICE'!$C:$C=C43),'[1]PURCHASE PRICE'!$D:$D)</f>
        <v>32000</v>
      </c>
      <c r="F43">
        <f>LOOKUP(1,1/('[1]PURCHASE PRICE'!$A:$A=A43)/('[1]PURCHASE PRICE'!$B:$B=B43),'[1]PURCHASE PRICE'!$D:$D)</f>
        <v>32000</v>
      </c>
      <c r="G43" s="1">
        <f t="shared" si="1"/>
        <v>32000</v>
      </c>
      <c r="H43" s="1">
        <f t="shared" si="0"/>
        <v>640000</v>
      </c>
    </row>
    <row r="44" spans="1:8" x14ac:dyDescent="0.3">
      <c r="A44" s="6">
        <v>45692</v>
      </c>
      <c r="B44" t="s">
        <v>53</v>
      </c>
      <c r="C44" t="s">
        <v>22</v>
      </c>
      <c r="D44">
        <v>120</v>
      </c>
      <c r="E44">
        <f>LOOKUP(1,1/('[1]PURCHASE PRICE'!$A:$A=A44)/('[1]PURCHASE PRICE'!$B:$B=B44)/('[1]PURCHASE PRICE'!$C:$C=C44),'[1]PURCHASE PRICE'!$D:$D)</f>
        <v>18000</v>
      </c>
      <c r="F44">
        <f>LOOKUP(1,1/('[1]PURCHASE PRICE'!$A:$A=A44)/('[1]PURCHASE PRICE'!$B:$B=B44),'[1]PURCHASE PRICE'!$D:$D)</f>
        <v>18000</v>
      </c>
      <c r="G44" s="1">
        <f t="shared" si="1"/>
        <v>18000</v>
      </c>
      <c r="H44" s="1">
        <f t="shared" si="0"/>
        <v>2160000</v>
      </c>
    </row>
    <row r="45" spans="1:8" x14ac:dyDescent="0.3">
      <c r="A45" s="6">
        <v>45692</v>
      </c>
      <c r="B45" t="s">
        <v>83</v>
      </c>
      <c r="C45" t="s">
        <v>22</v>
      </c>
      <c r="D45">
        <v>30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20000</v>
      </c>
      <c r="G45" s="1">
        <f>+F45*0.3</f>
        <v>6000</v>
      </c>
      <c r="H45" s="1">
        <f t="shared" si="0"/>
        <v>180000</v>
      </c>
    </row>
    <row r="46" spans="1:8" x14ac:dyDescent="0.3">
      <c r="A46" s="6">
        <v>45692</v>
      </c>
      <c r="B46" t="s">
        <v>55</v>
      </c>
      <c r="C46" t="s">
        <v>1</v>
      </c>
      <c r="D46">
        <v>200</v>
      </c>
      <c r="E46">
        <f>LOOKUP(1,1/('[1]PURCHASE PRICE'!$A:$A=A46)/('[1]PURCHASE PRICE'!$B:$B=B46)/('[1]PURCHASE PRICE'!$C:$C=C46),'[1]PURCHASE PRICE'!$D:$D)</f>
        <v>13000</v>
      </c>
      <c r="F46">
        <f>LOOKUP(1,1/('[1]PURCHASE PRICE'!$A:$A=A46)/('[1]PURCHASE PRICE'!$B:$B=B46),'[1]PURCHASE PRICE'!$D:$D)</f>
        <v>13000</v>
      </c>
      <c r="G46" s="1">
        <f t="shared" si="1"/>
        <v>13000</v>
      </c>
      <c r="H46" s="1">
        <f t="shared" si="0"/>
        <v>2600000</v>
      </c>
    </row>
    <row r="47" spans="1:8" x14ac:dyDescent="0.3">
      <c r="A47" s="6">
        <v>45692</v>
      </c>
      <c r="B47" t="s">
        <v>56</v>
      </c>
      <c r="C47" t="s">
        <v>26</v>
      </c>
      <c r="D47">
        <v>100</v>
      </c>
      <c r="E47">
        <f>LOOKUP(1,1/('[1]PURCHASE PRICE'!$A:$A=A47)/('[1]PURCHASE PRICE'!$B:$B=B47)/('[1]PURCHASE PRICE'!$C:$C=C47),'[1]PURCHASE PRICE'!$D:$D)</f>
        <v>6800</v>
      </c>
      <c r="F47">
        <f>LOOKUP(1,1/('[1]PURCHASE PRICE'!$A:$A=A47)/('[1]PURCHASE PRICE'!$B:$B=B47),'[1]PURCHASE PRICE'!$D:$D)</f>
        <v>6800</v>
      </c>
      <c r="G47" s="1">
        <f t="shared" si="1"/>
        <v>6800</v>
      </c>
      <c r="H47" s="1">
        <f t="shared" si="0"/>
        <v>680000</v>
      </c>
    </row>
    <row r="48" spans="1:8" x14ac:dyDescent="0.3">
      <c r="A48" s="6">
        <v>45692</v>
      </c>
      <c r="B48" t="s">
        <v>58</v>
      </c>
      <c r="C48" t="s">
        <v>1</v>
      </c>
      <c r="D48">
        <v>40</v>
      </c>
      <c r="E48">
        <f>LOOKUP(1,1/('[1]PURCHASE PRICE'!$A:$A=A48)/('[1]PURCHASE PRICE'!$B:$B=B48)/('[1]PURCHASE PRICE'!$C:$C=C48),'[1]PURCHASE PRICE'!$D:$D)</f>
        <v>18000</v>
      </c>
      <c r="F48">
        <f>LOOKUP(1,1/('[1]PURCHASE PRICE'!$A:$A=A48)/('[1]PURCHASE PRICE'!$B:$B=B48),'[1]PURCHASE PRICE'!$D:$D)</f>
        <v>18000</v>
      </c>
      <c r="G48" s="1">
        <f t="shared" si="1"/>
        <v>18000</v>
      </c>
      <c r="H48" s="1">
        <f t="shared" si="0"/>
        <v>720000</v>
      </c>
    </row>
    <row r="49" spans="1:8" x14ac:dyDescent="0.3">
      <c r="A49" s="6">
        <v>45692</v>
      </c>
      <c r="B49" t="s">
        <v>59</v>
      </c>
      <c r="C49" t="s">
        <v>22</v>
      </c>
      <c r="D49">
        <v>10</v>
      </c>
      <c r="E49" t="e">
        <f>LOOKUP(1,1/('[1]PURCHASE PRICE'!$A:$A=A49)/('[1]PURCHASE PRICE'!$B:$B=B49)/('[1]PURCHASE PRICE'!$C:$C=C49),'[1]PURCHASE PRICE'!$D:$D)</f>
        <v>#N/A</v>
      </c>
      <c r="F49">
        <f>LOOKUP(1,1/('[1]PURCHASE PRICE'!$A:$A=A49)/('[1]PURCHASE PRICE'!$B:$B=B49),'[1]PURCHASE PRICE'!$D:$D)</f>
        <v>70000</v>
      </c>
      <c r="G49" s="1">
        <f>+F49*0.2</f>
        <v>14000</v>
      </c>
      <c r="H49" s="1">
        <f t="shared" si="0"/>
        <v>140000</v>
      </c>
    </row>
    <row r="50" spans="1:8" x14ac:dyDescent="0.3">
      <c r="A50" s="6">
        <v>45692</v>
      </c>
      <c r="B50" t="s">
        <v>61</v>
      </c>
      <c r="C50" t="s">
        <v>26</v>
      </c>
      <c r="D50">
        <v>10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1"/>
        <v>6800</v>
      </c>
      <c r="H50" s="1">
        <f t="shared" si="0"/>
        <v>68000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3AA8-8CF2-444F-97BD-11A073B9D193}">
  <dimension ref="A1:H38"/>
  <sheetViews>
    <sheetView workbookViewId="0">
      <selection activeCell="E3" sqref="E3:H3"/>
    </sheetView>
  </sheetViews>
  <sheetFormatPr defaultRowHeight="14.4" x14ac:dyDescent="0.3"/>
  <cols>
    <col min="2" max="2" width="22.5546875" bestFit="1" customWidth="1"/>
    <col min="3" max="3" width="9.33203125" bestFit="1" customWidth="1"/>
    <col min="4" max="4" width="5" bestFit="1" customWidth="1"/>
    <col min="5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1"/>
      <c r="H1" s="2">
        <f>SUM(H3:H51)</f>
        <v>40209000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45693</v>
      </c>
      <c r="B3" t="s">
        <v>4</v>
      </c>
      <c r="C3" t="s">
        <v>77</v>
      </c>
      <c r="D3">
        <v>250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8000</v>
      </c>
      <c r="G3" s="1">
        <f>13000*0.3</f>
        <v>3900</v>
      </c>
      <c r="H3" s="1">
        <f>+G3*D3</f>
        <v>975000</v>
      </c>
    </row>
    <row r="4" spans="1:8" x14ac:dyDescent="0.3">
      <c r="A4" s="6">
        <v>45693</v>
      </c>
      <c r="B4" t="s">
        <v>8</v>
      </c>
      <c r="C4" t="s">
        <v>9</v>
      </c>
      <c r="D4">
        <v>110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6000</v>
      </c>
      <c r="H4" s="1">
        <f t="shared" ref="H4:H38" si="0">+G4*D4</f>
        <v>660000</v>
      </c>
    </row>
    <row r="5" spans="1:8" x14ac:dyDescent="0.3">
      <c r="A5" s="6">
        <v>45693</v>
      </c>
      <c r="B5" t="s">
        <v>78</v>
      </c>
      <c r="C5" t="s">
        <v>1</v>
      </c>
      <c r="D5">
        <v>100</v>
      </c>
      <c r="E5">
        <f>LOOKUP(1,1/('[1]PURCHASE PRICE'!$A:$A=A5)/('[1]PURCHASE PRICE'!$B:$B=B5)/('[1]PURCHASE PRICE'!$C:$C=C5),'[1]PURCHASE PRICE'!$D:$D)</f>
        <v>12000</v>
      </c>
      <c r="F5">
        <f>LOOKUP(1,1/('[1]PURCHASE PRICE'!$A:$A=A5)/('[1]PURCHASE PRICE'!$B:$B=B5),'[1]PURCHASE PRICE'!$D:$D)</f>
        <v>11500</v>
      </c>
      <c r="G5" s="1">
        <f t="shared" ref="G5:G38" si="1">+E5</f>
        <v>12000</v>
      </c>
      <c r="H5" s="1">
        <f t="shared" si="0"/>
        <v>1200000</v>
      </c>
    </row>
    <row r="6" spans="1:8" x14ac:dyDescent="0.3">
      <c r="A6" s="6">
        <v>45693</v>
      </c>
      <c r="B6" t="s">
        <v>10</v>
      </c>
      <c r="C6" t="s">
        <v>79</v>
      </c>
      <c r="D6">
        <v>100</v>
      </c>
      <c r="E6">
        <f>LOOKUP(1,1/('[1]PURCHASE PRICE'!$A:$A=A6)/('[1]PURCHASE PRICE'!$B:$B=B6)/('[1]PURCHASE PRICE'!$C:$C=C6),'[1]PURCHASE PRICE'!$D:$D)</f>
        <v>7000</v>
      </c>
      <c r="F6">
        <f>LOOKUP(1,1/('[1]PURCHASE PRICE'!$A:$A=A6)/('[1]PURCHASE PRICE'!$B:$B=B6),'[1]PURCHASE PRICE'!$D:$D)</f>
        <v>7000</v>
      </c>
      <c r="G6" s="1">
        <f t="shared" si="1"/>
        <v>7000</v>
      </c>
      <c r="H6" s="1">
        <f t="shared" si="0"/>
        <v>700000</v>
      </c>
    </row>
    <row r="7" spans="1:8" x14ac:dyDescent="0.3">
      <c r="A7" s="6">
        <v>45693</v>
      </c>
      <c r="B7" t="s">
        <v>12</v>
      </c>
      <c r="C7" t="s">
        <v>13</v>
      </c>
      <c r="D7">
        <v>100</v>
      </c>
      <c r="E7">
        <f>LOOKUP(1,1/('[1]PURCHASE PRICE'!$A:$A=A7)/('[1]PURCHASE PRICE'!$B:$B=B7)/('[1]PURCHASE PRICE'!$C:$C=C7),'[1]PURCHASE PRICE'!$D:$D)</f>
        <v>5400</v>
      </c>
      <c r="F7">
        <f>LOOKUP(1,1/('[1]PURCHASE PRICE'!$A:$A=A7)/('[1]PURCHASE PRICE'!$B:$B=B7),'[1]PURCHASE PRICE'!$D:$D)</f>
        <v>9000</v>
      </c>
      <c r="G7" s="1">
        <f t="shared" si="1"/>
        <v>5400</v>
      </c>
      <c r="H7" s="1">
        <f t="shared" si="0"/>
        <v>540000</v>
      </c>
    </row>
    <row r="8" spans="1:8" x14ac:dyDescent="0.3">
      <c r="A8" s="6">
        <v>45693</v>
      </c>
      <c r="B8" t="s">
        <v>14</v>
      </c>
      <c r="C8" t="s">
        <v>15</v>
      </c>
      <c r="D8">
        <v>60</v>
      </c>
      <c r="E8">
        <f>LOOKUP(1,1/('[1]PURCHASE PRICE'!$A:$A=A8)/('[1]PURCHASE PRICE'!$B:$B=B8)/('[1]PURCHASE PRICE'!$C:$C=C8),'[1]PURCHASE PRICE'!$D:$D)</f>
        <v>11400</v>
      </c>
      <c r="F8">
        <f>LOOKUP(1,1/('[1]PURCHASE PRICE'!$A:$A=A8)/('[1]PURCHASE PRICE'!$B:$B=B8),'[1]PURCHASE PRICE'!$D:$D)</f>
        <v>11400</v>
      </c>
      <c r="G8" s="1">
        <f t="shared" si="1"/>
        <v>11400</v>
      </c>
      <c r="H8" s="1">
        <f t="shared" si="0"/>
        <v>684000</v>
      </c>
    </row>
    <row r="9" spans="1:8" x14ac:dyDescent="0.3">
      <c r="A9" s="6">
        <v>45693</v>
      </c>
      <c r="B9" t="s">
        <v>16</v>
      </c>
      <c r="C9" t="s">
        <v>13</v>
      </c>
      <c r="D9">
        <v>100</v>
      </c>
      <c r="E9">
        <f>LOOKUP(1,1/('[1]PURCHASE PRICE'!$A:$A=A9)/('[1]PURCHASE PRICE'!$B:$B=B9)/('[1]PURCHASE PRICE'!$C:$C=C9),'[1]PURCHASE PRICE'!$D:$D)</f>
        <v>10500</v>
      </c>
      <c r="F9">
        <f>LOOKUP(1,1/('[1]PURCHASE PRICE'!$A:$A=A9)/('[1]PURCHASE PRICE'!$B:$B=B9),'[1]PURCHASE PRICE'!$D:$D)</f>
        <v>10500</v>
      </c>
      <c r="G9" s="1">
        <f t="shared" si="1"/>
        <v>10500</v>
      </c>
      <c r="H9" s="1">
        <f t="shared" si="0"/>
        <v>1050000</v>
      </c>
    </row>
    <row r="10" spans="1:8" x14ac:dyDescent="0.3">
      <c r="A10" s="6">
        <v>45693</v>
      </c>
      <c r="B10" t="s">
        <v>17</v>
      </c>
      <c r="C10" t="s">
        <v>1</v>
      </c>
      <c r="D10">
        <v>50</v>
      </c>
      <c r="E10">
        <f>LOOKUP(1,1/('[1]PURCHASE PRICE'!$A:$A=A10)/('[1]PURCHASE PRICE'!$B:$B=B10)/('[1]PURCHASE PRICE'!$C:$C=C10),'[1]PURCHASE PRICE'!$D:$D)</f>
        <v>12000</v>
      </c>
      <c r="F10">
        <f>LOOKUP(1,1/('[1]PURCHASE PRICE'!$A:$A=A10)/('[1]PURCHASE PRICE'!$B:$B=B10),'[1]PURCHASE PRICE'!$D:$D)</f>
        <v>12000</v>
      </c>
      <c r="G10" s="1">
        <f t="shared" si="1"/>
        <v>12000</v>
      </c>
      <c r="H10" s="1">
        <f t="shared" si="0"/>
        <v>600000</v>
      </c>
    </row>
    <row r="11" spans="1:8" x14ac:dyDescent="0.3">
      <c r="A11" s="6">
        <v>45693</v>
      </c>
      <c r="B11" t="s">
        <v>18</v>
      </c>
      <c r="C11" t="s">
        <v>1</v>
      </c>
      <c r="D11">
        <v>60</v>
      </c>
      <c r="E11">
        <f>LOOKUP(1,1/('[1]PURCHASE PRICE'!$A:$A=A11)/('[1]PURCHASE PRICE'!$B:$B=B11)/('[1]PURCHASE PRICE'!$C:$C=C11),'[1]PURCHASE PRICE'!$D:$D)</f>
        <v>9000</v>
      </c>
      <c r="F11">
        <f>LOOKUP(1,1/('[1]PURCHASE PRICE'!$A:$A=A11)/('[1]PURCHASE PRICE'!$B:$B=B11),'[1]PURCHASE PRICE'!$D:$D)</f>
        <v>9000</v>
      </c>
      <c r="G11" s="1">
        <f t="shared" si="1"/>
        <v>9000</v>
      </c>
      <c r="H11" s="1">
        <f t="shared" si="0"/>
        <v>540000</v>
      </c>
    </row>
    <row r="12" spans="1:8" x14ac:dyDescent="0.3">
      <c r="A12" s="6">
        <v>45693</v>
      </c>
      <c r="B12" t="s">
        <v>20</v>
      </c>
      <c r="C12" t="s">
        <v>1</v>
      </c>
      <c r="D12">
        <v>40</v>
      </c>
      <c r="E12">
        <f>LOOKUP(1,1/('[1]PURCHASE PRICE'!$A:$A=A12)/('[1]PURCHASE PRICE'!$B:$B=B12)/('[1]PURCHASE PRICE'!$C:$C=C12),'[1]PURCHASE PRICE'!$D:$D)</f>
        <v>15000</v>
      </c>
      <c r="F12">
        <f>LOOKUP(1,1/('[1]PURCHASE PRICE'!$A:$A=A12)/('[1]PURCHASE PRICE'!$B:$B=B12),'[1]PURCHASE PRICE'!$D:$D)</f>
        <v>15000</v>
      </c>
      <c r="G12" s="1">
        <f t="shared" si="1"/>
        <v>15000</v>
      </c>
      <c r="H12" s="1">
        <f t="shared" si="0"/>
        <v>600000</v>
      </c>
    </row>
    <row r="13" spans="1:8" x14ac:dyDescent="0.3">
      <c r="A13" s="6">
        <v>45693</v>
      </c>
      <c r="B13" t="s">
        <v>21</v>
      </c>
      <c r="C13" t="s">
        <v>22</v>
      </c>
      <c r="D13">
        <v>100</v>
      </c>
      <c r="E13">
        <f>LOOKUP(1,1/('[1]PURCHASE PRICE'!$A:$A=A13)/('[1]PURCHASE PRICE'!$B:$B=B13)/('[1]PURCHASE PRICE'!$C:$C=C13),'[1]PURCHASE PRICE'!$D:$D)</f>
        <v>4000</v>
      </c>
      <c r="F13">
        <f>LOOKUP(1,1/('[1]PURCHASE PRICE'!$A:$A=A13)/('[1]PURCHASE PRICE'!$B:$B=B13),'[1]PURCHASE PRICE'!$D:$D)</f>
        <v>4000</v>
      </c>
      <c r="G13" s="1">
        <f t="shared" si="1"/>
        <v>4000</v>
      </c>
      <c r="H13" s="1">
        <f t="shared" si="0"/>
        <v>400000</v>
      </c>
    </row>
    <row r="14" spans="1:8" x14ac:dyDescent="0.3">
      <c r="A14" s="6">
        <v>45693</v>
      </c>
      <c r="B14" t="s">
        <v>21</v>
      </c>
      <c r="C14" t="s">
        <v>23</v>
      </c>
      <c r="D14">
        <v>20</v>
      </c>
      <c r="E14">
        <f>LOOKUP(1,1/('[1]PURCHASE PRICE'!$A:$A=A14)/('[1]PURCHASE PRICE'!$B:$B=B14)/('[1]PURCHASE PRICE'!$C:$C=C14),'[1]PURCHASE PRICE'!$D:$D)</f>
        <v>1900</v>
      </c>
      <c r="F14">
        <f>LOOKUP(1,1/('[1]PURCHASE PRICE'!$A:$A=A14)/('[1]PURCHASE PRICE'!$B:$B=B14),'[1]PURCHASE PRICE'!$D:$D)</f>
        <v>4000</v>
      </c>
      <c r="G14" s="1">
        <f t="shared" si="1"/>
        <v>1900</v>
      </c>
      <c r="H14" s="1">
        <f t="shared" si="0"/>
        <v>38000</v>
      </c>
    </row>
    <row r="15" spans="1:8" x14ac:dyDescent="0.3">
      <c r="A15" s="6">
        <v>45693</v>
      </c>
      <c r="B15" t="s">
        <v>24</v>
      </c>
      <c r="C15" t="s">
        <v>1</v>
      </c>
      <c r="D15">
        <v>30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 s="1">
        <v>5500</v>
      </c>
      <c r="H15" s="1">
        <f t="shared" si="0"/>
        <v>165000</v>
      </c>
    </row>
    <row r="16" spans="1:8" x14ac:dyDescent="0.3">
      <c r="A16" s="6">
        <v>45693</v>
      </c>
      <c r="B16" t="s">
        <v>25</v>
      </c>
      <c r="C16" t="s">
        <v>26</v>
      </c>
      <c r="D16">
        <v>160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19000</v>
      </c>
      <c r="G16" s="1">
        <f>+F16/2</f>
        <v>9500</v>
      </c>
      <c r="H16" s="1">
        <f t="shared" si="0"/>
        <v>1520000</v>
      </c>
    </row>
    <row r="17" spans="1:8" x14ac:dyDescent="0.3">
      <c r="A17" s="6">
        <v>45693</v>
      </c>
      <c r="B17" t="s">
        <v>27</v>
      </c>
      <c r="C17" t="s">
        <v>9</v>
      </c>
      <c r="D17">
        <v>56</v>
      </c>
      <c r="E17">
        <f>LOOKUP(1,1/('[1]PURCHASE PRICE'!$A:$A=A17)/('[1]PURCHASE PRICE'!$B:$B=B17)/('[1]PURCHASE PRICE'!$C:$C=C17),'[1]PURCHASE PRICE'!$D:$D)</f>
        <v>6750</v>
      </c>
      <c r="F17">
        <f>LOOKUP(1,1/('[1]PURCHASE PRICE'!$A:$A=A17)/('[1]PURCHASE PRICE'!$B:$B=B17),'[1]PURCHASE PRICE'!$D:$D)</f>
        <v>6750</v>
      </c>
      <c r="G17" s="1">
        <f t="shared" si="1"/>
        <v>6750</v>
      </c>
      <c r="H17" s="1">
        <f t="shared" si="0"/>
        <v>378000</v>
      </c>
    </row>
    <row r="18" spans="1:8" x14ac:dyDescent="0.3">
      <c r="A18" s="6">
        <v>45693</v>
      </c>
      <c r="B18" t="s">
        <v>28</v>
      </c>
      <c r="C18" t="s">
        <v>11</v>
      </c>
      <c r="D18">
        <v>5</v>
      </c>
      <c r="E18">
        <f>LOOKUP(1,1/('[1]PURCHASE PRICE'!$A:$A=A18)/('[1]PURCHASE PRICE'!$B:$B=B18)/('[1]PURCHASE PRICE'!$C:$C=C18),'[1]PURCHASE PRICE'!$D:$D)</f>
        <v>25000</v>
      </c>
      <c r="F18">
        <f>LOOKUP(1,1/('[1]PURCHASE PRICE'!$A:$A=A18)/('[1]PURCHASE PRICE'!$B:$B=B18),'[1]PURCHASE PRICE'!$D:$D)</f>
        <v>25000</v>
      </c>
      <c r="G18" s="1">
        <f t="shared" si="1"/>
        <v>25000</v>
      </c>
      <c r="H18" s="1">
        <f t="shared" si="0"/>
        <v>125000</v>
      </c>
    </row>
    <row r="19" spans="1:8" x14ac:dyDescent="0.3">
      <c r="A19" s="6">
        <v>45693</v>
      </c>
      <c r="B19" t="s">
        <v>33</v>
      </c>
      <c r="C19" t="s">
        <v>1</v>
      </c>
      <c r="D19">
        <v>100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27000</v>
      </c>
      <c r="H19" s="1">
        <f t="shared" si="0"/>
        <v>2700000</v>
      </c>
    </row>
    <row r="20" spans="1:8" x14ac:dyDescent="0.3">
      <c r="A20" s="6">
        <v>45693</v>
      </c>
      <c r="B20" t="s">
        <v>34</v>
      </c>
      <c r="C20" t="s">
        <v>1</v>
      </c>
      <c r="D20">
        <v>100</v>
      </c>
      <c r="E20">
        <f>LOOKUP(1,1/('[1]PURCHASE PRICE'!$A:$A=A20)/('[1]PURCHASE PRICE'!$B:$B=B20)/('[1]PURCHASE PRICE'!$C:$C=C20),'[1]PURCHASE PRICE'!$D:$D)</f>
        <v>17000</v>
      </c>
      <c r="F20">
        <f>LOOKUP(1,1/('[1]PURCHASE PRICE'!$A:$A=A20)/('[1]PURCHASE PRICE'!$B:$B=B20),'[1]PURCHASE PRICE'!$D:$D)</f>
        <v>17000</v>
      </c>
      <c r="G20" s="1">
        <f t="shared" si="1"/>
        <v>17000</v>
      </c>
      <c r="H20" s="1">
        <f t="shared" si="0"/>
        <v>1700000</v>
      </c>
    </row>
    <row r="21" spans="1:8" x14ac:dyDescent="0.3">
      <c r="A21" s="6">
        <v>45693</v>
      </c>
      <c r="B21" t="s">
        <v>36</v>
      </c>
      <c r="C21" t="s">
        <v>22</v>
      </c>
      <c r="D21">
        <v>20</v>
      </c>
      <c r="E21">
        <f>LOOKUP(1,1/('[1]PURCHASE PRICE'!$A:$A=A21)/('[1]PURCHASE PRICE'!$B:$B=B21)/('[1]PURCHASE PRICE'!$C:$C=C21),'[1]PURCHASE PRICE'!$D:$D)</f>
        <v>6000</v>
      </c>
      <c r="F21">
        <f>LOOKUP(1,1/('[1]PURCHASE PRICE'!$A:$A=A21)/('[1]PURCHASE PRICE'!$B:$B=B21),'[1]PURCHASE PRICE'!$D:$D)</f>
        <v>6000</v>
      </c>
      <c r="G21" s="1">
        <f t="shared" si="1"/>
        <v>6000</v>
      </c>
      <c r="H21" s="1">
        <f t="shared" si="0"/>
        <v>120000</v>
      </c>
    </row>
    <row r="22" spans="1:8" x14ac:dyDescent="0.3">
      <c r="A22" s="6">
        <v>45693</v>
      </c>
      <c r="B22" t="s">
        <v>38</v>
      </c>
      <c r="C22" t="s">
        <v>1</v>
      </c>
      <c r="D22">
        <v>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0</v>
      </c>
      <c r="H22" s="1">
        <f t="shared" si="0"/>
        <v>0</v>
      </c>
    </row>
    <row r="23" spans="1:8" x14ac:dyDescent="0.3">
      <c r="A23" s="6">
        <v>45693</v>
      </c>
      <c r="B23" t="s">
        <v>39</v>
      </c>
      <c r="C23" t="s">
        <v>9</v>
      </c>
      <c r="D23">
        <v>1000</v>
      </c>
      <c r="E23">
        <f>LOOKUP(1,1/('[1]PURCHASE PRICE'!$A:$A=A23)/('[1]PURCHASE PRICE'!$B:$B=B23)/('[1]PURCHASE PRICE'!$C:$C=C23),'[1]PURCHASE PRICE'!$D:$D)</f>
        <v>7000</v>
      </c>
      <c r="F23">
        <f>LOOKUP(1,1/('[1]PURCHASE PRICE'!$A:$A=A23)/('[1]PURCHASE PRICE'!$B:$B=B23),'[1]PURCHASE PRICE'!$D:$D)</f>
        <v>9500</v>
      </c>
      <c r="G23" s="1">
        <f t="shared" si="1"/>
        <v>7000</v>
      </c>
      <c r="H23" s="1">
        <f t="shared" si="0"/>
        <v>7000000</v>
      </c>
    </row>
    <row r="24" spans="1:8" x14ac:dyDescent="0.3">
      <c r="A24" s="6">
        <v>45693</v>
      </c>
      <c r="B24" t="s">
        <v>40</v>
      </c>
      <c r="C24" t="s">
        <v>11</v>
      </c>
      <c r="D24">
        <v>15</v>
      </c>
      <c r="E24">
        <f>LOOKUP(1,1/('[1]PURCHASE PRICE'!$A:$A=A24)/('[1]PURCHASE PRICE'!$B:$B=B24)/('[1]PURCHASE PRICE'!$C:$C=C24),'[1]PURCHASE PRICE'!$D:$D)</f>
        <v>14000</v>
      </c>
      <c r="F24">
        <f>LOOKUP(1,1/('[1]PURCHASE PRICE'!$A:$A=A24)/('[1]PURCHASE PRICE'!$B:$B=B24),'[1]PURCHASE PRICE'!$D:$D)</f>
        <v>14000</v>
      </c>
      <c r="G24" s="1">
        <f t="shared" si="1"/>
        <v>14000</v>
      </c>
      <c r="H24" s="1">
        <f t="shared" si="0"/>
        <v>210000</v>
      </c>
    </row>
    <row r="25" spans="1:8" x14ac:dyDescent="0.3">
      <c r="A25" s="6">
        <v>45693</v>
      </c>
      <c r="B25" t="s">
        <v>41</v>
      </c>
      <c r="C25" t="s">
        <v>26</v>
      </c>
      <c r="D25">
        <v>160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11000</v>
      </c>
      <c r="G25" s="1">
        <f>+F25*0.15</f>
        <v>1650</v>
      </c>
      <c r="H25" s="1">
        <f t="shared" si="0"/>
        <v>264000</v>
      </c>
    </row>
    <row r="26" spans="1:8" x14ac:dyDescent="0.3">
      <c r="A26" s="6">
        <v>45693</v>
      </c>
      <c r="B26" t="s">
        <v>42</v>
      </c>
      <c r="C26" t="s">
        <v>1</v>
      </c>
      <c r="D26">
        <v>5</v>
      </c>
      <c r="E26">
        <f>LOOKUP(1,1/('[1]PURCHASE PRICE'!$A:$A=A26)/('[1]PURCHASE PRICE'!$B:$B=B26)/('[1]PURCHASE PRICE'!$C:$C=C26),'[1]PURCHASE PRICE'!$D:$D)</f>
        <v>25000</v>
      </c>
      <c r="F26">
        <f>LOOKUP(1,1/('[1]PURCHASE PRICE'!$A:$A=A26)/('[1]PURCHASE PRICE'!$B:$B=B26),'[1]PURCHASE PRICE'!$D:$D)</f>
        <v>25000</v>
      </c>
      <c r="G26" s="1">
        <f t="shared" si="1"/>
        <v>25000</v>
      </c>
      <c r="H26" s="1">
        <f t="shared" si="0"/>
        <v>125000</v>
      </c>
    </row>
    <row r="27" spans="1:8" x14ac:dyDescent="0.3">
      <c r="A27" s="6">
        <v>45693</v>
      </c>
      <c r="B27" t="s">
        <v>44</v>
      </c>
      <c r="C27" t="s">
        <v>22</v>
      </c>
      <c r="D27">
        <v>510</v>
      </c>
      <c r="E27">
        <f>LOOKUP(1,1/('[1]PURCHASE PRICE'!$A:$A=A27)/('[1]PURCHASE PRICE'!$B:$B=B27)/('[1]PURCHASE PRICE'!$C:$C=C27),'[1]PURCHASE PRICE'!$D:$D)</f>
        <v>3000</v>
      </c>
      <c r="F27">
        <f>LOOKUP(1,1/('[1]PURCHASE PRICE'!$A:$A=A27)/('[1]PURCHASE PRICE'!$B:$B=B27),'[1]PURCHASE PRICE'!$D:$D)</f>
        <v>3000</v>
      </c>
      <c r="G27" s="1">
        <f t="shared" si="1"/>
        <v>3000</v>
      </c>
      <c r="H27" s="1">
        <f t="shared" si="0"/>
        <v>1530000</v>
      </c>
    </row>
    <row r="28" spans="1:8" x14ac:dyDescent="0.3">
      <c r="A28" s="6">
        <v>45693</v>
      </c>
      <c r="B28" t="s">
        <v>45</v>
      </c>
      <c r="C28" t="s">
        <v>1</v>
      </c>
      <c r="D28">
        <v>40</v>
      </c>
      <c r="E28">
        <f>LOOKUP(1,1/('[1]PURCHASE PRICE'!$A:$A=A28)/('[1]PURCHASE PRICE'!$B:$B=B28)/('[1]PURCHASE PRICE'!$C:$C=C28),'[1]PURCHASE PRICE'!$D:$D)</f>
        <v>41000</v>
      </c>
      <c r="F28">
        <f>LOOKUP(1,1/('[1]PURCHASE PRICE'!$A:$A=A28)/('[1]PURCHASE PRICE'!$B:$B=B28),'[1]PURCHASE PRICE'!$D:$D)</f>
        <v>41000</v>
      </c>
      <c r="G28" s="1">
        <f t="shared" si="1"/>
        <v>41000</v>
      </c>
      <c r="H28" s="1">
        <f t="shared" si="0"/>
        <v>1640000</v>
      </c>
    </row>
    <row r="29" spans="1:8" x14ac:dyDescent="0.3">
      <c r="A29" s="6">
        <v>45693</v>
      </c>
      <c r="B29" t="s">
        <v>47</v>
      </c>
      <c r="C29" t="s">
        <v>1</v>
      </c>
      <c r="D29">
        <v>20</v>
      </c>
      <c r="E29">
        <f>LOOKUP(1,1/('[1]PURCHASE PRICE'!$A:$A=A29)/('[1]PURCHASE PRICE'!$B:$B=B29)/('[1]PURCHASE PRICE'!$C:$C=C29),'[1]PURCHASE PRICE'!$D:$D)</f>
        <v>55000</v>
      </c>
      <c r="F29">
        <f>LOOKUP(1,1/('[1]PURCHASE PRICE'!$A:$A=A29)/('[1]PURCHASE PRICE'!$B:$B=B29),'[1]PURCHASE PRICE'!$D:$D)</f>
        <v>55000</v>
      </c>
      <c r="G29" s="1">
        <f t="shared" si="1"/>
        <v>55000</v>
      </c>
      <c r="H29" s="1">
        <f t="shared" si="0"/>
        <v>1100000</v>
      </c>
    </row>
    <row r="30" spans="1:8" x14ac:dyDescent="0.3">
      <c r="A30" s="6">
        <v>45693</v>
      </c>
      <c r="B30" t="s">
        <v>48</v>
      </c>
      <c r="C30" t="s">
        <v>1</v>
      </c>
      <c r="D30">
        <v>36</v>
      </c>
      <c r="E30">
        <f>LOOKUP(1,1/('[1]PURCHASE PRICE'!$A:$A=A30)/('[1]PURCHASE PRICE'!$B:$B=B30)/('[1]PURCHASE PRICE'!$C:$C=C30),'[1]PURCHASE PRICE'!$D:$D)</f>
        <v>55000</v>
      </c>
      <c r="F30">
        <f>LOOKUP(1,1/('[1]PURCHASE PRICE'!$A:$A=A30)/('[1]PURCHASE PRICE'!$B:$B=B30),'[1]PURCHASE PRICE'!$D:$D)</f>
        <v>55000</v>
      </c>
      <c r="G30" s="1">
        <f t="shared" si="1"/>
        <v>55000</v>
      </c>
      <c r="H30" s="1">
        <f t="shared" si="0"/>
        <v>1980000</v>
      </c>
    </row>
    <row r="31" spans="1:8" x14ac:dyDescent="0.3">
      <c r="A31" s="6">
        <v>45693</v>
      </c>
      <c r="B31" t="s">
        <v>49</v>
      </c>
      <c r="C31" t="s">
        <v>1</v>
      </c>
      <c r="D31">
        <v>15</v>
      </c>
      <c r="E31">
        <f>LOOKUP(1,1/('[1]PURCHASE PRICE'!$A:$A=A31)/('[1]PURCHASE PRICE'!$B:$B=B31)/('[1]PURCHASE PRICE'!$C:$C=C31),'[1]PURCHASE PRICE'!$D:$D)</f>
        <v>57000</v>
      </c>
      <c r="F31">
        <f>LOOKUP(1,1/('[1]PURCHASE PRICE'!$A:$A=A31)/('[1]PURCHASE PRICE'!$B:$B=B31),'[1]PURCHASE PRICE'!$D:$D)</f>
        <v>57000</v>
      </c>
      <c r="G31" s="1">
        <f t="shared" si="1"/>
        <v>57000</v>
      </c>
      <c r="H31" s="1">
        <f t="shared" si="0"/>
        <v>855000</v>
      </c>
    </row>
    <row r="32" spans="1:8" x14ac:dyDescent="0.3">
      <c r="A32" s="6">
        <v>45693</v>
      </c>
      <c r="B32" t="s">
        <v>50</v>
      </c>
      <c r="C32" t="s">
        <v>1</v>
      </c>
      <c r="D32">
        <v>0</v>
      </c>
      <c r="E32">
        <f>LOOKUP(1,1/('[1]PURCHASE PRICE'!$A:$A=A32)/('[1]PURCHASE PRICE'!$B:$B=B32)/('[1]PURCHASE PRICE'!$C:$C=C32),'[1]PURCHASE PRICE'!$D:$D)</f>
        <v>47000</v>
      </c>
      <c r="F32">
        <f>LOOKUP(1,1/('[1]PURCHASE PRICE'!$A:$A=A32)/('[1]PURCHASE PRICE'!$B:$B=B32),'[1]PURCHASE PRICE'!$D:$D)</f>
        <v>47000</v>
      </c>
      <c r="G32" s="1">
        <f t="shared" si="1"/>
        <v>47000</v>
      </c>
      <c r="H32" s="1">
        <f t="shared" si="0"/>
        <v>0</v>
      </c>
    </row>
    <row r="33" spans="1:8" x14ac:dyDescent="0.3">
      <c r="A33" s="6">
        <v>45693</v>
      </c>
      <c r="B33" t="s">
        <v>52</v>
      </c>
      <c r="C33" t="s">
        <v>1</v>
      </c>
      <c r="D33">
        <v>10</v>
      </c>
      <c r="E33">
        <f>LOOKUP(1,1/('[1]PURCHASE PRICE'!$A:$A=A33)/('[1]PURCHASE PRICE'!$B:$B=B33)/('[1]PURCHASE PRICE'!$C:$C=C33),'[1]PURCHASE PRICE'!$D:$D)</f>
        <v>35000</v>
      </c>
      <c r="F33">
        <f>LOOKUP(1,1/('[1]PURCHASE PRICE'!$A:$A=A33)/('[1]PURCHASE PRICE'!$B:$B=B33),'[1]PURCHASE PRICE'!$D:$D)</f>
        <v>35000</v>
      </c>
      <c r="G33" s="1">
        <f t="shared" si="1"/>
        <v>35000</v>
      </c>
      <c r="H33" s="1">
        <f t="shared" si="0"/>
        <v>350000</v>
      </c>
    </row>
    <row r="34" spans="1:8" x14ac:dyDescent="0.3">
      <c r="A34" s="6">
        <v>45693</v>
      </c>
      <c r="B34" t="s">
        <v>53</v>
      </c>
      <c r="C34" t="s">
        <v>22</v>
      </c>
      <c r="D34">
        <v>300</v>
      </c>
      <c r="E34">
        <f>LOOKUP(1,1/('[1]PURCHASE PRICE'!$A:$A=A34)/('[1]PURCHASE PRICE'!$B:$B=B34)/('[1]PURCHASE PRICE'!$C:$C=C34),'[1]PURCHASE PRICE'!$D:$D)</f>
        <v>17000</v>
      </c>
      <c r="F34">
        <f>LOOKUP(1,1/('[1]PURCHASE PRICE'!$A:$A=A34)/('[1]PURCHASE PRICE'!$B:$B=B34),'[1]PURCHASE PRICE'!$D:$D)</f>
        <v>17000</v>
      </c>
      <c r="G34" s="1">
        <f t="shared" si="1"/>
        <v>17000</v>
      </c>
      <c r="H34" s="1">
        <f t="shared" si="0"/>
        <v>5100000</v>
      </c>
    </row>
    <row r="35" spans="1:8" x14ac:dyDescent="0.3">
      <c r="A35" s="6">
        <v>45693</v>
      </c>
      <c r="B35" t="s">
        <v>55</v>
      </c>
      <c r="C35" t="s">
        <v>1</v>
      </c>
      <c r="D35">
        <v>160</v>
      </c>
      <c r="E35">
        <f>LOOKUP(1,1/('[1]PURCHASE PRICE'!$A:$A=A35)/('[1]PURCHASE PRICE'!$B:$B=B35)/('[1]PURCHASE PRICE'!$C:$C=C35),'[1]PURCHASE PRICE'!$D:$D)</f>
        <v>13000</v>
      </c>
      <c r="F35">
        <f>LOOKUP(1,1/('[1]PURCHASE PRICE'!$A:$A=A35)/('[1]PURCHASE PRICE'!$B:$B=B35),'[1]PURCHASE PRICE'!$D:$D)</f>
        <v>13000</v>
      </c>
      <c r="G35" s="1">
        <f t="shared" si="1"/>
        <v>13000</v>
      </c>
      <c r="H35" s="1">
        <f t="shared" si="0"/>
        <v>2080000</v>
      </c>
    </row>
    <row r="36" spans="1:8" x14ac:dyDescent="0.3">
      <c r="A36" s="6">
        <v>45693</v>
      </c>
      <c r="B36" t="s">
        <v>56</v>
      </c>
      <c r="C36" t="s">
        <v>26</v>
      </c>
      <c r="D36">
        <v>100</v>
      </c>
      <c r="E36">
        <f>LOOKUP(1,1/('[1]PURCHASE PRICE'!$A:$A=A36)/('[1]PURCHASE PRICE'!$B:$B=B36)/('[1]PURCHASE PRICE'!$C:$C=C36),'[1]PURCHASE PRICE'!$D:$D)</f>
        <v>6800</v>
      </c>
      <c r="F36">
        <f>LOOKUP(1,1/('[1]PURCHASE PRICE'!$A:$A=A36)/('[1]PURCHASE PRICE'!$B:$B=B36),'[1]PURCHASE PRICE'!$D:$D)</f>
        <v>6800</v>
      </c>
      <c r="G36" s="1">
        <f t="shared" si="1"/>
        <v>6800</v>
      </c>
      <c r="H36" s="1">
        <f t="shared" si="0"/>
        <v>680000</v>
      </c>
    </row>
    <row r="37" spans="1:8" x14ac:dyDescent="0.3">
      <c r="A37" s="6">
        <v>45693</v>
      </c>
      <c r="B37" t="s">
        <v>75</v>
      </c>
      <c r="C37" t="s">
        <v>1</v>
      </c>
      <c r="D37">
        <v>80</v>
      </c>
      <c r="E37">
        <f>LOOKUP(1,1/('[1]PURCHASE PRICE'!$A:$A=A37)/('[1]PURCHASE PRICE'!$B:$B=B37)/('[1]PURCHASE PRICE'!$C:$C=C37),'[1]PURCHASE PRICE'!$D:$D)</f>
        <v>28000</v>
      </c>
      <c r="F37">
        <f>LOOKUP(1,1/('[1]PURCHASE PRICE'!$A:$A=A37)/('[1]PURCHASE PRICE'!$B:$B=B37),'[1]PURCHASE PRICE'!$D:$D)</f>
        <v>28000</v>
      </c>
      <c r="G37" s="1">
        <f t="shared" si="1"/>
        <v>28000</v>
      </c>
      <c r="H37" s="1">
        <f t="shared" si="0"/>
        <v>2240000</v>
      </c>
    </row>
    <row r="38" spans="1:8" x14ac:dyDescent="0.3">
      <c r="A38" s="6">
        <v>45693</v>
      </c>
      <c r="B38" t="s">
        <v>58</v>
      </c>
      <c r="C38" t="s">
        <v>1</v>
      </c>
      <c r="D38">
        <v>20</v>
      </c>
      <c r="E38">
        <f>LOOKUP(1,1/('[1]PURCHASE PRICE'!$A:$A=A38)/('[1]PURCHASE PRICE'!$B:$B=B38)/('[1]PURCHASE PRICE'!$C:$C=C38),'[1]PURCHASE PRICE'!$D:$D)</f>
        <v>18000</v>
      </c>
      <c r="F38">
        <f>LOOKUP(1,1/('[1]PURCHASE PRICE'!$A:$A=A38)/('[1]PURCHASE PRICE'!$B:$B=B38),'[1]PURCHASE PRICE'!$D:$D)</f>
        <v>18000</v>
      </c>
      <c r="G38" s="1">
        <f t="shared" si="1"/>
        <v>18000</v>
      </c>
      <c r="H38" s="1">
        <f t="shared" si="0"/>
        <v>360000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58F2-FF44-47ED-87C3-E39195DFF9AE}">
  <dimension ref="A1:H48"/>
  <sheetViews>
    <sheetView workbookViewId="0">
      <selection activeCell="E3" sqref="E3:H3"/>
    </sheetView>
  </sheetViews>
  <sheetFormatPr defaultRowHeight="14.4" x14ac:dyDescent="0.3"/>
  <cols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SUM(H3:H51)</f>
        <v>37422600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45694</v>
      </c>
      <c r="B3" t="s">
        <v>0</v>
      </c>
      <c r="C3" t="s">
        <v>1</v>
      </c>
      <c r="D3">
        <v>60</v>
      </c>
      <c r="E3">
        <f>LOOKUP(1,1/('[1]PURCHASE PRICE'!$A:$A=A3)/('[1]PURCHASE PRICE'!$B:$B=B3)/('[1]PURCHASE PRICE'!$C:$C=C3),'[1]PURCHASE PRICE'!$D:$D)</f>
        <v>15000</v>
      </c>
      <c r="F3">
        <f>LOOKUP(1,1/('[1]PURCHASE PRICE'!$A:$A=A3)/('[1]PURCHASE PRICE'!$B:$B=B3),'[1]PURCHASE PRICE'!$D:$D)</f>
        <v>15000</v>
      </c>
      <c r="G3" s="1">
        <f>E3</f>
        <v>15000</v>
      </c>
      <c r="H3" s="1">
        <f>+G3*D3</f>
        <v>900000</v>
      </c>
    </row>
    <row r="4" spans="1:8" x14ac:dyDescent="0.3">
      <c r="A4" s="6">
        <v>45694</v>
      </c>
      <c r="B4" t="s">
        <v>85</v>
      </c>
      <c r="C4" t="s">
        <v>1</v>
      </c>
      <c r="D4">
        <v>30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48" si="0">E4</f>
        <v>6000</v>
      </c>
      <c r="H4" s="1">
        <f t="shared" ref="H4:H48" si="1">+G4*D4</f>
        <v>180000</v>
      </c>
    </row>
    <row r="5" spans="1:8" x14ac:dyDescent="0.3">
      <c r="A5" s="6">
        <v>45694</v>
      </c>
      <c r="B5" t="s">
        <v>3</v>
      </c>
      <c r="C5" t="s">
        <v>77</v>
      </c>
      <c r="D5">
        <v>30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12000</v>
      </c>
      <c r="G5" s="1">
        <f>+F5*0.4</f>
        <v>4800</v>
      </c>
      <c r="H5" s="1">
        <f t="shared" si="1"/>
        <v>144000</v>
      </c>
    </row>
    <row r="6" spans="1:8" x14ac:dyDescent="0.3">
      <c r="A6" s="6">
        <v>45694</v>
      </c>
      <c r="B6" t="s">
        <v>4</v>
      </c>
      <c r="C6" t="s">
        <v>77</v>
      </c>
      <c r="D6">
        <v>180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9000</v>
      </c>
      <c r="G6" s="1">
        <f>15000*0.3</f>
        <v>4500</v>
      </c>
      <c r="H6" s="1">
        <f t="shared" si="1"/>
        <v>810000</v>
      </c>
    </row>
    <row r="7" spans="1:8" x14ac:dyDescent="0.3">
      <c r="A7" s="6">
        <v>45694</v>
      </c>
      <c r="B7" t="s">
        <v>6</v>
      </c>
      <c r="C7" t="s">
        <v>77</v>
      </c>
      <c r="D7">
        <v>80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11000</v>
      </c>
      <c r="G7" s="1">
        <f>12000*0.3</f>
        <v>3600</v>
      </c>
      <c r="H7" s="1">
        <f t="shared" si="1"/>
        <v>288000</v>
      </c>
    </row>
    <row r="8" spans="1:8" x14ac:dyDescent="0.3">
      <c r="A8" s="6">
        <v>45694</v>
      </c>
      <c r="B8" t="s">
        <v>63</v>
      </c>
      <c r="C8" t="s">
        <v>1</v>
      </c>
      <c r="D8">
        <v>10</v>
      </c>
      <c r="E8">
        <f>LOOKUP(1,1/('[1]PURCHASE PRICE'!$A:$A=A8)/('[1]PURCHASE PRICE'!$B:$B=B8)/('[1]PURCHASE PRICE'!$C:$C=C8),'[1]PURCHASE PRICE'!$D:$D)</f>
        <v>22000</v>
      </c>
      <c r="F8">
        <f>LOOKUP(1,1/('[1]PURCHASE PRICE'!$A:$A=A8)/('[1]PURCHASE PRICE'!$B:$B=B8),'[1]PURCHASE PRICE'!$D:$D)</f>
        <v>22000</v>
      </c>
      <c r="G8" s="1">
        <f t="shared" si="0"/>
        <v>22000</v>
      </c>
      <c r="H8" s="1">
        <f t="shared" si="1"/>
        <v>220000</v>
      </c>
    </row>
    <row r="9" spans="1:8" x14ac:dyDescent="0.3">
      <c r="A9" s="6">
        <v>45694</v>
      </c>
      <c r="B9" t="s">
        <v>8</v>
      </c>
      <c r="C9" t="s">
        <v>9</v>
      </c>
      <c r="D9">
        <v>40</v>
      </c>
      <c r="E9">
        <f>LOOKUP(1,1/('[1]PURCHASE PRICE'!$A:$A=A9)/('[1]PURCHASE PRICE'!$B:$B=B9)/('[1]PURCHASE PRICE'!$C:$C=C9),'[1]PURCHASE PRICE'!$D:$D)</f>
        <v>5000</v>
      </c>
      <c r="F9">
        <f>LOOKUP(1,1/('[1]PURCHASE PRICE'!$A:$A=A9)/('[1]PURCHASE PRICE'!$B:$B=B9),'[1]PURCHASE PRICE'!$D:$D)</f>
        <v>5000</v>
      </c>
      <c r="G9" s="1">
        <f t="shared" si="0"/>
        <v>5000</v>
      </c>
      <c r="H9" s="1">
        <f t="shared" si="1"/>
        <v>200000</v>
      </c>
    </row>
    <row r="10" spans="1:8" x14ac:dyDescent="0.3">
      <c r="A10" s="6">
        <v>45694</v>
      </c>
      <c r="B10" t="s">
        <v>78</v>
      </c>
      <c r="C10" t="s">
        <v>1</v>
      </c>
      <c r="D10">
        <v>120</v>
      </c>
      <c r="E10">
        <f>LOOKUP(1,1/('[1]PURCHASE PRICE'!$A:$A=A10)/('[1]PURCHASE PRICE'!$B:$B=B10)/('[1]PURCHASE PRICE'!$C:$C=C10),'[1]PURCHASE PRICE'!$D:$D)</f>
        <v>13000</v>
      </c>
      <c r="F10">
        <f>LOOKUP(1,1/('[1]PURCHASE PRICE'!$A:$A=A10)/('[1]PURCHASE PRICE'!$B:$B=B10),'[1]PURCHASE PRICE'!$D:$D)</f>
        <v>13000</v>
      </c>
      <c r="G10" s="1">
        <f t="shared" si="0"/>
        <v>13000</v>
      </c>
      <c r="H10" s="1">
        <f t="shared" si="1"/>
        <v>1560000</v>
      </c>
    </row>
    <row r="11" spans="1:8" x14ac:dyDescent="0.3">
      <c r="A11" s="6">
        <v>45694</v>
      </c>
      <c r="B11" t="s">
        <v>10</v>
      </c>
      <c r="C11" t="s">
        <v>79</v>
      </c>
      <c r="D11">
        <v>90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11000</v>
      </c>
      <c r="G11" s="1">
        <f t="shared" si="0"/>
        <v>7000</v>
      </c>
      <c r="H11" s="1">
        <f t="shared" si="1"/>
        <v>630000</v>
      </c>
    </row>
    <row r="12" spans="1:8" x14ac:dyDescent="0.3">
      <c r="A12" s="6">
        <v>45694</v>
      </c>
      <c r="B12" t="s">
        <v>12</v>
      </c>
      <c r="C12" t="s">
        <v>13</v>
      </c>
      <c r="D12">
        <v>200</v>
      </c>
      <c r="E12">
        <f>LOOKUP(1,1/('[1]PURCHASE PRICE'!$A:$A=A12)/('[1]PURCHASE PRICE'!$B:$B=B12)/('[1]PURCHASE PRICE'!$C:$C=C12),'[1]PURCHASE PRICE'!$D:$D)</f>
        <v>5400</v>
      </c>
      <c r="F12">
        <f>LOOKUP(1,1/('[1]PURCHASE PRICE'!$A:$A=A12)/('[1]PURCHASE PRICE'!$B:$B=B12),'[1]PURCHASE PRICE'!$D:$D)</f>
        <v>9000</v>
      </c>
      <c r="G12" s="1">
        <f t="shared" si="0"/>
        <v>5400</v>
      </c>
      <c r="H12" s="1">
        <f t="shared" si="1"/>
        <v>1080000</v>
      </c>
    </row>
    <row r="13" spans="1:8" x14ac:dyDescent="0.3">
      <c r="A13" s="6">
        <v>45694</v>
      </c>
      <c r="B13" t="s">
        <v>14</v>
      </c>
      <c r="C13" t="s">
        <v>15</v>
      </c>
      <c r="D13">
        <v>100</v>
      </c>
      <c r="E13">
        <f>LOOKUP(1,1/('[1]PURCHASE PRICE'!$A:$A=A13)/('[1]PURCHASE PRICE'!$B:$B=B13)/('[1]PURCHASE PRICE'!$C:$C=C13),'[1]PURCHASE PRICE'!$D:$D)</f>
        <v>11100</v>
      </c>
      <c r="F13">
        <f>LOOKUP(1,1/('[1]PURCHASE PRICE'!$A:$A=A13)/('[1]PURCHASE PRICE'!$B:$B=B13),'[1]PURCHASE PRICE'!$D:$D)</f>
        <v>11100</v>
      </c>
      <c r="G13" s="1">
        <f t="shared" si="0"/>
        <v>11100</v>
      </c>
      <c r="H13" s="1">
        <f t="shared" si="1"/>
        <v>1110000</v>
      </c>
    </row>
    <row r="14" spans="1:8" x14ac:dyDescent="0.3">
      <c r="A14" s="6">
        <v>45694</v>
      </c>
      <c r="B14" t="s">
        <v>16</v>
      </c>
      <c r="C14" t="s">
        <v>13</v>
      </c>
      <c r="D14">
        <v>160</v>
      </c>
      <c r="E14">
        <f>LOOKUP(1,1/('[1]PURCHASE PRICE'!$A:$A=A14)/('[1]PURCHASE PRICE'!$B:$B=B14)/('[1]PURCHASE PRICE'!$C:$C=C14),'[1]PURCHASE PRICE'!$D:$D)</f>
        <v>10500</v>
      </c>
      <c r="F14">
        <f>LOOKUP(1,1/('[1]PURCHASE PRICE'!$A:$A=A14)/('[1]PURCHASE PRICE'!$B:$B=B14),'[1]PURCHASE PRICE'!$D:$D)</f>
        <v>7500</v>
      </c>
      <c r="G14" s="1">
        <f t="shared" si="0"/>
        <v>10500</v>
      </c>
      <c r="H14" s="1">
        <f t="shared" si="1"/>
        <v>1680000</v>
      </c>
    </row>
    <row r="15" spans="1:8" x14ac:dyDescent="0.3">
      <c r="A15" s="6">
        <v>45694</v>
      </c>
      <c r="B15" t="s">
        <v>17</v>
      </c>
      <c r="C15" t="s">
        <v>1</v>
      </c>
      <c r="D15">
        <v>70</v>
      </c>
      <c r="E15">
        <f>LOOKUP(1,1/('[1]PURCHASE PRICE'!$A:$A=A15)/('[1]PURCHASE PRICE'!$B:$B=B15)/('[1]PURCHASE PRICE'!$C:$C=C15),'[1]PURCHASE PRICE'!$D:$D)</f>
        <v>16000</v>
      </c>
      <c r="F15">
        <f>LOOKUP(1,1/('[1]PURCHASE PRICE'!$A:$A=A15)/('[1]PURCHASE PRICE'!$B:$B=B15),'[1]PURCHASE PRICE'!$D:$D)</f>
        <v>16000</v>
      </c>
      <c r="G15" s="1">
        <f t="shared" si="0"/>
        <v>16000</v>
      </c>
      <c r="H15" s="1">
        <f t="shared" si="1"/>
        <v>1120000</v>
      </c>
    </row>
    <row r="16" spans="1:8" x14ac:dyDescent="0.3">
      <c r="A16" s="6">
        <v>45694</v>
      </c>
      <c r="B16" t="s">
        <v>18</v>
      </c>
      <c r="C16" t="s">
        <v>1</v>
      </c>
      <c r="D16">
        <v>40</v>
      </c>
      <c r="E16">
        <f>LOOKUP(1,1/('[1]PURCHASE PRICE'!$A:$A=A16)/('[1]PURCHASE PRICE'!$B:$B=B16)/('[1]PURCHASE PRICE'!$C:$C=C16),'[1]PURCHASE PRICE'!$D:$D)</f>
        <v>10000</v>
      </c>
      <c r="F16">
        <f>LOOKUP(1,1/('[1]PURCHASE PRICE'!$A:$A=A16)/('[1]PURCHASE PRICE'!$B:$B=B16),'[1]PURCHASE PRICE'!$D:$D)</f>
        <v>10000</v>
      </c>
      <c r="G16" s="1">
        <f t="shared" si="0"/>
        <v>10000</v>
      </c>
      <c r="H16" s="1">
        <f t="shared" si="1"/>
        <v>400000</v>
      </c>
    </row>
    <row r="17" spans="1:8" x14ac:dyDescent="0.3">
      <c r="A17" s="6">
        <v>45694</v>
      </c>
      <c r="B17" t="s">
        <v>20</v>
      </c>
      <c r="C17" t="s">
        <v>1</v>
      </c>
      <c r="D17">
        <v>60</v>
      </c>
      <c r="E17">
        <f>LOOKUP(1,1/('[1]PURCHASE PRICE'!$A:$A=A17)/('[1]PURCHASE PRICE'!$B:$B=B17)/('[1]PURCHASE PRICE'!$C:$C=C17),'[1]PURCHASE PRICE'!$D:$D)</f>
        <v>15000</v>
      </c>
      <c r="F17">
        <f>LOOKUP(1,1/('[1]PURCHASE PRICE'!$A:$A=A17)/('[1]PURCHASE PRICE'!$B:$B=B17),'[1]PURCHASE PRICE'!$D:$D)</f>
        <v>15000</v>
      </c>
      <c r="G17" s="1">
        <f t="shared" si="0"/>
        <v>15000</v>
      </c>
      <c r="H17" s="1">
        <f t="shared" si="1"/>
        <v>900000</v>
      </c>
    </row>
    <row r="18" spans="1:8" x14ac:dyDescent="0.3">
      <c r="A18" s="6">
        <v>45694</v>
      </c>
      <c r="B18" t="s">
        <v>21</v>
      </c>
      <c r="C18" t="s">
        <v>23</v>
      </c>
      <c r="D18">
        <v>20</v>
      </c>
      <c r="E18">
        <f>LOOKUP(1,1/('[1]PURCHASE PRICE'!$A:$A=A18)/('[1]PURCHASE PRICE'!$B:$B=B18)/('[1]PURCHASE PRICE'!$C:$C=C18),'[1]PURCHASE PRICE'!$D:$D)</f>
        <v>1900</v>
      </c>
      <c r="F18">
        <f>LOOKUP(1,1/('[1]PURCHASE PRICE'!$A:$A=A18)/('[1]PURCHASE PRICE'!$B:$B=B18),'[1]PURCHASE PRICE'!$D:$D)</f>
        <v>4800</v>
      </c>
      <c r="G18" s="1">
        <f t="shared" si="0"/>
        <v>1900</v>
      </c>
      <c r="H18" s="1">
        <f t="shared" si="1"/>
        <v>38000</v>
      </c>
    </row>
    <row r="19" spans="1:8" x14ac:dyDescent="0.3">
      <c r="A19" s="6">
        <v>45694</v>
      </c>
      <c r="B19" t="s">
        <v>25</v>
      </c>
      <c r="C19" t="s">
        <v>26</v>
      </c>
      <c r="D19">
        <v>100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15000</v>
      </c>
      <c r="G19" s="1">
        <f>+F19/2</f>
        <v>7500</v>
      </c>
      <c r="H19" s="1">
        <f t="shared" si="1"/>
        <v>750000</v>
      </c>
    </row>
    <row r="20" spans="1:8" x14ac:dyDescent="0.3">
      <c r="A20" s="6">
        <v>45694</v>
      </c>
      <c r="B20" t="s">
        <v>27</v>
      </c>
      <c r="C20" t="s">
        <v>9</v>
      </c>
      <c r="D20">
        <v>37</v>
      </c>
      <c r="E20">
        <f>LOOKUP(1,1/('[1]PURCHASE PRICE'!$A:$A=A20)/('[1]PURCHASE PRICE'!$B:$B=B20)/('[1]PURCHASE PRICE'!$C:$C=C20),'[1]PURCHASE PRICE'!$D:$D)</f>
        <v>7500</v>
      </c>
      <c r="F20">
        <f>LOOKUP(1,1/('[1]PURCHASE PRICE'!$A:$A=A20)/('[1]PURCHASE PRICE'!$B:$B=B20),'[1]PURCHASE PRICE'!$D:$D)</f>
        <v>7500</v>
      </c>
      <c r="G20" s="1">
        <f t="shared" si="0"/>
        <v>7500</v>
      </c>
      <c r="H20" s="1">
        <f t="shared" si="1"/>
        <v>277500</v>
      </c>
    </row>
    <row r="21" spans="1:8" x14ac:dyDescent="0.3">
      <c r="A21" s="6">
        <v>45694</v>
      </c>
      <c r="B21" t="s">
        <v>28</v>
      </c>
      <c r="C21" t="s">
        <v>15</v>
      </c>
      <c r="D21">
        <v>30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0"/>
        <v>10000</v>
      </c>
      <c r="H21" s="1">
        <f t="shared" si="1"/>
        <v>300000</v>
      </c>
    </row>
    <row r="22" spans="1:8" x14ac:dyDescent="0.3">
      <c r="A22" s="6">
        <v>45694</v>
      </c>
      <c r="B22" t="s">
        <v>29</v>
      </c>
      <c r="C22" t="s">
        <v>1</v>
      </c>
      <c r="D22">
        <v>10</v>
      </c>
      <c r="E22">
        <f>LOOKUP(1,1/('[1]PURCHASE PRICE'!$A:$A=A22)/('[1]PURCHASE PRICE'!$B:$B=B22)/('[1]PURCHASE PRICE'!$C:$C=C22),'[1]PURCHASE PRICE'!$D:$D)</f>
        <v>5000</v>
      </c>
      <c r="F22">
        <f>LOOKUP(1,1/('[1]PURCHASE PRICE'!$A:$A=A22)/('[1]PURCHASE PRICE'!$B:$B=B22),'[1]PURCHASE PRICE'!$D:$D)</f>
        <v>5000</v>
      </c>
      <c r="G22" s="1">
        <f t="shared" si="0"/>
        <v>5000</v>
      </c>
      <c r="H22" s="1">
        <f t="shared" si="1"/>
        <v>50000</v>
      </c>
    </row>
    <row r="23" spans="1:8" x14ac:dyDescent="0.3">
      <c r="A23" s="6">
        <v>45694</v>
      </c>
      <c r="B23" t="s">
        <v>32</v>
      </c>
      <c r="C23" t="s">
        <v>1</v>
      </c>
      <c r="D23">
        <v>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20000</v>
      </c>
      <c r="H23" s="1">
        <f t="shared" si="1"/>
        <v>0</v>
      </c>
    </row>
    <row r="24" spans="1:8" x14ac:dyDescent="0.3">
      <c r="A24" s="6">
        <v>45694</v>
      </c>
      <c r="B24" t="s">
        <v>34</v>
      </c>
      <c r="C24" t="s">
        <v>1</v>
      </c>
      <c r="D24">
        <v>100</v>
      </c>
      <c r="E24">
        <f>LOOKUP(1,1/('[1]PURCHASE PRICE'!$A:$A=A24)/('[1]PURCHASE PRICE'!$B:$B=B24)/('[1]PURCHASE PRICE'!$C:$C=C24),'[1]PURCHASE PRICE'!$D:$D)</f>
        <v>17000</v>
      </c>
      <c r="F24">
        <f>LOOKUP(1,1/('[1]PURCHASE PRICE'!$A:$A=A24)/('[1]PURCHASE PRICE'!$B:$B=B24),'[1]PURCHASE PRICE'!$D:$D)</f>
        <v>17000</v>
      </c>
      <c r="G24" s="1">
        <f t="shared" si="0"/>
        <v>17000</v>
      </c>
      <c r="H24" s="1">
        <f t="shared" si="1"/>
        <v>1700000</v>
      </c>
    </row>
    <row r="25" spans="1:8" x14ac:dyDescent="0.3">
      <c r="A25" s="6">
        <v>45694</v>
      </c>
      <c r="B25" t="s">
        <v>88</v>
      </c>
      <c r="C25" t="s">
        <v>89</v>
      </c>
      <c r="D25">
        <v>20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15225</v>
      </c>
      <c r="G25" s="1">
        <f>+F25</f>
        <v>15225</v>
      </c>
      <c r="H25" s="1">
        <f t="shared" si="1"/>
        <v>304500</v>
      </c>
    </row>
    <row r="26" spans="1:8" x14ac:dyDescent="0.3">
      <c r="A26" s="6">
        <v>45694</v>
      </c>
      <c r="B26" t="s">
        <v>36</v>
      </c>
      <c r="C26" t="s">
        <v>22</v>
      </c>
      <c r="D26">
        <v>10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6000</v>
      </c>
      <c r="G26" s="1">
        <f t="shared" si="0"/>
        <v>6000</v>
      </c>
      <c r="H26" s="1">
        <f t="shared" si="1"/>
        <v>60000</v>
      </c>
    </row>
    <row r="27" spans="1:8" x14ac:dyDescent="0.3">
      <c r="A27" s="6">
        <v>45694</v>
      </c>
      <c r="B27" t="s">
        <v>38</v>
      </c>
      <c r="C27" t="s">
        <v>1</v>
      </c>
      <c r="D27">
        <v>4</v>
      </c>
      <c r="E27">
        <f>LOOKUP(1,1/('[1]PURCHASE PRICE'!$A:$A=A27)/('[1]PURCHASE PRICE'!$B:$B=B27)/('[1]PURCHASE PRICE'!$C:$C=C27),'[1]PURCHASE PRICE'!$D:$D)</f>
        <v>80000</v>
      </c>
      <c r="F27">
        <f>LOOKUP(1,1/('[1]PURCHASE PRICE'!$A:$A=A27)/('[1]PURCHASE PRICE'!$B:$B=B27),'[1]PURCHASE PRICE'!$D:$D)</f>
        <v>80000</v>
      </c>
      <c r="G27" s="1">
        <f t="shared" si="0"/>
        <v>80000</v>
      </c>
      <c r="H27" s="1">
        <f t="shared" si="1"/>
        <v>320000</v>
      </c>
    </row>
    <row r="28" spans="1:8" x14ac:dyDescent="0.3">
      <c r="A28" s="6">
        <v>45694</v>
      </c>
      <c r="B28" t="s">
        <v>39</v>
      </c>
      <c r="C28" t="s">
        <v>9</v>
      </c>
      <c r="D28">
        <v>850</v>
      </c>
      <c r="E28">
        <f>LOOKUP(1,1/('[1]PURCHASE PRICE'!$A:$A=A28)/('[1]PURCHASE PRICE'!$B:$B=B28)/('[1]PURCHASE PRICE'!$C:$C=C28),'[1]PURCHASE PRICE'!$D:$D)</f>
        <v>6500</v>
      </c>
      <c r="F28">
        <f>LOOKUP(1,1/('[1]PURCHASE PRICE'!$A:$A=A28)/('[1]PURCHASE PRICE'!$B:$B=B28),'[1]PURCHASE PRICE'!$D:$D)</f>
        <v>9500</v>
      </c>
      <c r="G28" s="1">
        <f t="shared" si="0"/>
        <v>6500</v>
      </c>
      <c r="H28" s="1">
        <f t="shared" si="1"/>
        <v>5525000</v>
      </c>
    </row>
    <row r="29" spans="1:8" x14ac:dyDescent="0.3">
      <c r="A29" s="6">
        <v>45694</v>
      </c>
      <c r="B29" t="s">
        <v>40</v>
      </c>
      <c r="C29" t="s">
        <v>22</v>
      </c>
      <c r="D29">
        <v>37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13000</v>
      </c>
      <c r="G29" s="1">
        <f>+F29*0.6</f>
        <v>7800</v>
      </c>
      <c r="H29" s="1">
        <f t="shared" si="1"/>
        <v>288600</v>
      </c>
    </row>
    <row r="30" spans="1:8" x14ac:dyDescent="0.3">
      <c r="A30" s="6">
        <v>45694</v>
      </c>
      <c r="B30" t="s">
        <v>81</v>
      </c>
      <c r="C30" t="s">
        <v>1</v>
      </c>
      <c r="D30">
        <v>60</v>
      </c>
      <c r="E30">
        <f>LOOKUP(1,1/('[1]PURCHASE PRICE'!$A:$A=A30)/('[1]PURCHASE PRICE'!$B:$B=B30)/('[1]PURCHASE PRICE'!$C:$C=C30),'[1]PURCHASE PRICE'!$D:$D)</f>
        <v>12000</v>
      </c>
      <c r="F30">
        <f>LOOKUP(1,1/('[1]PURCHASE PRICE'!$A:$A=A30)/('[1]PURCHASE PRICE'!$B:$B=B30),'[1]PURCHASE PRICE'!$D:$D)</f>
        <v>12000</v>
      </c>
      <c r="G30" s="1">
        <f t="shared" si="0"/>
        <v>12000</v>
      </c>
      <c r="H30" s="1">
        <f t="shared" si="1"/>
        <v>720000</v>
      </c>
    </row>
    <row r="31" spans="1:8" x14ac:dyDescent="0.3">
      <c r="A31" s="6">
        <v>45694</v>
      </c>
      <c r="B31" t="s">
        <v>41</v>
      </c>
      <c r="C31" t="s">
        <v>26</v>
      </c>
      <c r="D31">
        <v>150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12000</v>
      </c>
      <c r="G31" s="1">
        <f>+F31*0.15</f>
        <v>1800</v>
      </c>
      <c r="H31" s="1">
        <f t="shared" si="1"/>
        <v>270000</v>
      </c>
    </row>
    <row r="32" spans="1:8" x14ac:dyDescent="0.3">
      <c r="A32" s="6">
        <v>45694</v>
      </c>
      <c r="B32" t="s">
        <v>42</v>
      </c>
      <c r="C32" t="s">
        <v>1</v>
      </c>
      <c r="D32">
        <v>15</v>
      </c>
      <c r="E32">
        <f>LOOKUP(1,1/('[1]PURCHASE PRICE'!$A:$A=A32)/('[1]PURCHASE PRICE'!$B:$B=B32)/('[1]PURCHASE PRICE'!$C:$C=C32),'[1]PURCHASE PRICE'!$D:$D)</f>
        <v>25000</v>
      </c>
      <c r="F32">
        <f>LOOKUP(1,1/('[1]PURCHASE PRICE'!$A:$A=A32)/('[1]PURCHASE PRICE'!$B:$B=B32),'[1]PURCHASE PRICE'!$D:$D)</f>
        <v>25000</v>
      </c>
      <c r="G32" s="1">
        <f t="shared" si="0"/>
        <v>25000</v>
      </c>
      <c r="H32" s="1">
        <f t="shared" si="1"/>
        <v>375000</v>
      </c>
    </row>
    <row r="33" spans="1:8" x14ac:dyDescent="0.3">
      <c r="A33" s="6">
        <v>45694</v>
      </c>
      <c r="B33" t="s">
        <v>43</v>
      </c>
      <c r="C33" t="s">
        <v>1</v>
      </c>
      <c r="D33">
        <v>2</v>
      </c>
      <c r="E33">
        <f>LOOKUP(1,1/('[1]PURCHASE PRICE'!$A:$A=A33)/('[1]PURCHASE PRICE'!$B:$B=B33)/('[1]PURCHASE PRICE'!$C:$C=C33),'[1]PURCHASE PRICE'!$D:$D)</f>
        <v>130000</v>
      </c>
      <c r="F33">
        <f>LOOKUP(1,1/('[1]PURCHASE PRICE'!$A:$A=A33)/('[1]PURCHASE PRICE'!$B:$B=B33),'[1]PURCHASE PRICE'!$D:$D)</f>
        <v>130000</v>
      </c>
      <c r="G33" s="1">
        <f t="shared" si="0"/>
        <v>130000</v>
      </c>
      <c r="H33" s="1">
        <f t="shared" si="1"/>
        <v>260000</v>
      </c>
    </row>
    <row r="34" spans="1:8" x14ac:dyDescent="0.3">
      <c r="A34" s="6">
        <v>45694</v>
      </c>
      <c r="B34" t="s">
        <v>44</v>
      </c>
      <c r="C34" t="s">
        <v>22</v>
      </c>
      <c r="D34">
        <v>300</v>
      </c>
      <c r="E34">
        <f>LOOKUP(1,1/('[1]PURCHASE PRICE'!$A:$A=A34)/('[1]PURCHASE PRICE'!$B:$B=B34)/('[1]PURCHASE PRICE'!$C:$C=C34),'[1]PURCHASE PRICE'!$D:$D)</f>
        <v>3000</v>
      </c>
      <c r="F34">
        <f>LOOKUP(1,1/('[1]PURCHASE PRICE'!$A:$A=A34)/('[1]PURCHASE PRICE'!$B:$B=B34),'[1]PURCHASE PRICE'!$D:$D)</f>
        <v>3000</v>
      </c>
      <c r="G34" s="1">
        <f t="shared" si="0"/>
        <v>3000</v>
      </c>
      <c r="H34" s="1">
        <f t="shared" si="1"/>
        <v>900000</v>
      </c>
    </row>
    <row r="35" spans="1:8" x14ac:dyDescent="0.3">
      <c r="A35" s="6">
        <v>45694</v>
      </c>
      <c r="B35" t="s">
        <v>45</v>
      </c>
      <c r="C35" t="s">
        <v>1</v>
      </c>
      <c r="D35">
        <v>30</v>
      </c>
      <c r="E35">
        <f>LOOKUP(1,1/('[1]PURCHASE PRICE'!$A:$A=A35)/('[1]PURCHASE PRICE'!$B:$B=B35)/('[1]PURCHASE PRICE'!$C:$C=C35),'[1]PURCHASE PRICE'!$D:$D)</f>
        <v>40000</v>
      </c>
      <c r="F35">
        <f>LOOKUP(1,1/('[1]PURCHASE PRICE'!$A:$A=A35)/('[1]PURCHASE PRICE'!$B:$B=B35),'[1]PURCHASE PRICE'!$D:$D)</f>
        <v>40000</v>
      </c>
      <c r="G35" s="1">
        <f t="shared" si="0"/>
        <v>40000</v>
      </c>
      <c r="H35" s="1">
        <f t="shared" si="1"/>
        <v>1200000</v>
      </c>
    </row>
    <row r="36" spans="1:8" x14ac:dyDescent="0.3">
      <c r="A36" s="6">
        <v>45694</v>
      </c>
      <c r="B36" t="s">
        <v>48</v>
      </c>
      <c r="C36" t="s">
        <v>1</v>
      </c>
      <c r="D36">
        <v>18</v>
      </c>
      <c r="E36">
        <f>LOOKUP(1,1/('[1]PURCHASE PRICE'!$A:$A=A36)/('[1]PURCHASE PRICE'!$B:$B=B36)/('[1]PURCHASE PRICE'!$C:$C=C36),'[1]PURCHASE PRICE'!$D:$D)</f>
        <v>58000</v>
      </c>
      <c r="F36">
        <f>LOOKUP(1,1/('[1]PURCHASE PRICE'!$A:$A=A36)/('[1]PURCHASE PRICE'!$B:$B=B36),'[1]PURCHASE PRICE'!$D:$D)</f>
        <v>58000</v>
      </c>
      <c r="G36" s="1">
        <f t="shared" si="0"/>
        <v>58000</v>
      </c>
      <c r="H36" s="1">
        <f t="shared" si="1"/>
        <v>1044000</v>
      </c>
    </row>
    <row r="37" spans="1:8" x14ac:dyDescent="0.3">
      <c r="A37" s="6">
        <v>45694</v>
      </c>
      <c r="B37" t="s">
        <v>49</v>
      </c>
      <c r="C37" t="s">
        <v>1</v>
      </c>
      <c r="D37">
        <v>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0</v>
      </c>
      <c r="H37" s="1">
        <f t="shared" si="1"/>
        <v>0</v>
      </c>
    </row>
    <row r="38" spans="1:8" x14ac:dyDescent="0.3">
      <c r="A38" s="6">
        <v>45694</v>
      </c>
      <c r="B38" t="s">
        <v>50</v>
      </c>
      <c r="C38" t="s">
        <v>1</v>
      </c>
      <c r="D38">
        <v>0</v>
      </c>
      <c r="E38">
        <f>LOOKUP(1,1/('[1]PURCHASE PRICE'!$A:$A=A38)/('[1]PURCHASE PRICE'!$B:$B=B38)/('[1]PURCHASE PRICE'!$C:$C=C38),'[1]PURCHASE PRICE'!$D:$D)</f>
        <v>58000</v>
      </c>
      <c r="F38">
        <f>LOOKUP(1,1/('[1]PURCHASE PRICE'!$A:$A=A38)/('[1]PURCHASE PRICE'!$B:$B=B38),'[1]PURCHASE PRICE'!$D:$D)</f>
        <v>58000</v>
      </c>
      <c r="G38" s="1">
        <f t="shared" si="0"/>
        <v>58000</v>
      </c>
      <c r="H38" s="1">
        <f t="shared" si="1"/>
        <v>0</v>
      </c>
    </row>
    <row r="39" spans="1:8" x14ac:dyDescent="0.3">
      <c r="A39" s="6">
        <v>45694</v>
      </c>
      <c r="B39" t="s">
        <v>52</v>
      </c>
      <c r="C39" t="s">
        <v>1</v>
      </c>
      <c r="D39">
        <v>20</v>
      </c>
      <c r="E39">
        <f>LOOKUP(1,1/('[1]PURCHASE PRICE'!$A:$A=A39)/('[1]PURCHASE PRICE'!$B:$B=B39)/('[1]PURCHASE PRICE'!$C:$C=C39),'[1]PURCHASE PRICE'!$D:$D)</f>
        <v>30000</v>
      </c>
      <c r="F39">
        <f>LOOKUP(1,1/('[1]PURCHASE PRICE'!$A:$A=A39)/('[1]PURCHASE PRICE'!$B:$B=B39),'[1]PURCHASE PRICE'!$D:$D)</f>
        <v>30000</v>
      </c>
      <c r="G39" s="1">
        <f t="shared" si="0"/>
        <v>30000</v>
      </c>
      <c r="H39" s="1">
        <f t="shared" si="1"/>
        <v>600000</v>
      </c>
    </row>
    <row r="40" spans="1:8" x14ac:dyDescent="0.3">
      <c r="A40" s="6">
        <v>45694</v>
      </c>
      <c r="B40" t="s">
        <v>53</v>
      </c>
      <c r="C40" t="s">
        <v>22</v>
      </c>
      <c r="D40">
        <v>244</v>
      </c>
      <c r="E40">
        <f>LOOKUP(1,1/('[1]PURCHASE PRICE'!$A:$A=A40)/('[1]PURCHASE PRICE'!$B:$B=B40)/('[1]PURCHASE PRICE'!$C:$C=C40),'[1]PURCHASE PRICE'!$D:$D)</f>
        <v>18000</v>
      </c>
      <c r="F40">
        <f>LOOKUP(1,1/('[1]PURCHASE PRICE'!$A:$A=A40)/('[1]PURCHASE PRICE'!$B:$B=B40),'[1]PURCHASE PRICE'!$D:$D)</f>
        <v>18000</v>
      </c>
      <c r="G40" s="1">
        <f t="shared" si="0"/>
        <v>18000</v>
      </c>
      <c r="H40" s="1">
        <f t="shared" si="1"/>
        <v>4392000</v>
      </c>
    </row>
    <row r="41" spans="1:8" x14ac:dyDescent="0.3">
      <c r="A41" s="6">
        <v>45694</v>
      </c>
      <c r="B41" t="s">
        <v>83</v>
      </c>
      <c r="C41" t="s">
        <v>22</v>
      </c>
      <c r="D41">
        <v>15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20000</v>
      </c>
      <c r="G41" s="1">
        <f>+F41*0.3</f>
        <v>6000</v>
      </c>
      <c r="H41" s="1">
        <f t="shared" si="1"/>
        <v>90000</v>
      </c>
    </row>
    <row r="42" spans="1:8" x14ac:dyDescent="0.3">
      <c r="A42" s="6">
        <v>45694</v>
      </c>
      <c r="B42" t="s">
        <v>55</v>
      </c>
      <c r="C42" t="s">
        <v>1</v>
      </c>
      <c r="D42">
        <v>200</v>
      </c>
      <c r="E42">
        <f>LOOKUP(1,1/('[1]PURCHASE PRICE'!$A:$A=A42)/('[1]PURCHASE PRICE'!$B:$B=B42)/('[1]PURCHASE PRICE'!$C:$C=C42),'[1]PURCHASE PRICE'!$D:$D)</f>
        <v>13000</v>
      </c>
      <c r="F42">
        <f>LOOKUP(1,1/('[1]PURCHASE PRICE'!$A:$A=A42)/('[1]PURCHASE PRICE'!$B:$B=B42),'[1]PURCHASE PRICE'!$D:$D)</f>
        <v>13000</v>
      </c>
      <c r="G42" s="1">
        <f t="shared" si="0"/>
        <v>13000</v>
      </c>
      <c r="H42" s="1">
        <f t="shared" si="1"/>
        <v>2600000</v>
      </c>
    </row>
    <row r="43" spans="1:8" x14ac:dyDescent="0.3">
      <c r="A43" s="6">
        <v>45694</v>
      </c>
      <c r="B43" t="s">
        <v>56</v>
      </c>
      <c r="C43" t="s">
        <v>26</v>
      </c>
      <c r="D43">
        <v>50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 s="1">
        <f t="shared" si="0"/>
        <v>6800</v>
      </c>
      <c r="H43" s="1">
        <f t="shared" si="1"/>
        <v>340000</v>
      </c>
    </row>
    <row r="44" spans="1:8" x14ac:dyDescent="0.3">
      <c r="A44" s="6">
        <v>45694</v>
      </c>
      <c r="B44" t="s">
        <v>75</v>
      </c>
      <c r="C44" t="s">
        <v>1</v>
      </c>
      <c r="D44">
        <v>80</v>
      </c>
      <c r="E44">
        <f>LOOKUP(1,1/('[1]PURCHASE PRICE'!$A:$A=A44)/('[1]PURCHASE PRICE'!$B:$B=B44)/('[1]PURCHASE PRICE'!$C:$C=C44),'[1]PURCHASE PRICE'!$D:$D)</f>
        <v>28000</v>
      </c>
      <c r="F44">
        <f>LOOKUP(1,1/('[1]PURCHASE PRICE'!$A:$A=A44)/('[1]PURCHASE PRICE'!$B:$B=B44),'[1]PURCHASE PRICE'!$D:$D)</f>
        <v>28000</v>
      </c>
      <c r="G44" s="1">
        <f t="shared" si="0"/>
        <v>28000</v>
      </c>
      <c r="H44" s="1">
        <f t="shared" si="1"/>
        <v>2240000</v>
      </c>
    </row>
    <row r="45" spans="1:8" x14ac:dyDescent="0.3">
      <c r="A45" s="6">
        <v>45694</v>
      </c>
      <c r="B45" t="s">
        <v>57</v>
      </c>
      <c r="C45" t="s">
        <v>26</v>
      </c>
      <c r="D45">
        <v>20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 s="1">
        <f t="shared" si="0"/>
        <v>6800</v>
      </c>
      <c r="H45" s="1">
        <f t="shared" si="1"/>
        <v>136000</v>
      </c>
    </row>
    <row r="46" spans="1:8" x14ac:dyDescent="0.3">
      <c r="A46" s="6">
        <v>45694</v>
      </c>
      <c r="B46" t="s">
        <v>58</v>
      </c>
      <c r="C46" t="s">
        <v>1</v>
      </c>
      <c r="D46">
        <v>30</v>
      </c>
      <c r="E46">
        <f>LOOKUP(1,1/('[1]PURCHASE PRICE'!$A:$A=A46)/('[1]PURCHASE PRICE'!$B:$B=B46)/('[1]PURCHASE PRICE'!$C:$C=C46),'[1]PURCHASE PRICE'!$D:$D)</f>
        <v>18000</v>
      </c>
      <c r="F46">
        <f>LOOKUP(1,1/('[1]PURCHASE PRICE'!$A:$A=A46)/('[1]PURCHASE PRICE'!$B:$B=B46),'[1]PURCHASE PRICE'!$D:$D)</f>
        <v>18000</v>
      </c>
      <c r="G46" s="1">
        <f t="shared" si="0"/>
        <v>18000</v>
      </c>
      <c r="H46" s="1">
        <f t="shared" si="1"/>
        <v>540000</v>
      </c>
    </row>
    <row r="47" spans="1:8" x14ac:dyDescent="0.3">
      <c r="A47" s="6">
        <v>45694</v>
      </c>
      <c r="B47" t="s">
        <v>91</v>
      </c>
      <c r="C47" t="s">
        <v>11</v>
      </c>
      <c r="D47">
        <v>30</v>
      </c>
      <c r="E47">
        <f>LOOKUP(1,1/('[1]PURCHASE PRICE'!$A:$A=A47)/('[1]PURCHASE PRICE'!$B:$B=B47)/('[1]PURCHASE PRICE'!$C:$C=C47),'[1]PURCHASE PRICE'!$D:$D)</f>
        <v>12000</v>
      </c>
      <c r="F47">
        <f>LOOKUP(1,1/('[1]PURCHASE PRICE'!$A:$A=A47)/('[1]PURCHASE PRICE'!$B:$B=B47),'[1]PURCHASE PRICE'!$D:$D)</f>
        <v>12000</v>
      </c>
      <c r="G47" s="1">
        <f t="shared" si="0"/>
        <v>12000</v>
      </c>
      <c r="H47" s="1">
        <f t="shared" si="1"/>
        <v>360000</v>
      </c>
    </row>
    <row r="48" spans="1:8" x14ac:dyDescent="0.3">
      <c r="A48" s="6">
        <v>45694</v>
      </c>
      <c r="B48" t="s">
        <v>92</v>
      </c>
      <c r="C48" t="s">
        <v>11</v>
      </c>
      <c r="D48">
        <v>40</v>
      </c>
      <c r="E48">
        <f>LOOKUP(1,1/('[1]PURCHASE PRICE'!$A:$A=A48)/('[1]PURCHASE PRICE'!$B:$B=B48)/('[1]PURCHASE PRICE'!$C:$C=C48),'[1]PURCHASE PRICE'!$D:$D)</f>
        <v>13000</v>
      </c>
      <c r="F48">
        <f>LOOKUP(1,1/('[1]PURCHASE PRICE'!$A:$A=A48)/('[1]PURCHASE PRICE'!$B:$B=B48),'[1]PURCHASE PRICE'!$D:$D)</f>
        <v>13000</v>
      </c>
      <c r="G48" s="1">
        <f t="shared" si="0"/>
        <v>13000</v>
      </c>
      <c r="H48" s="1">
        <f t="shared" si="1"/>
        <v>520000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08D3-26AD-4C95-A882-503464E7AAA8}">
  <dimension ref="A1:H50"/>
  <sheetViews>
    <sheetView topLeftCell="A31" workbookViewId="0">
      <selection activeCell="E3" sqref="E3:H3"/>
    </sheetView>
  </sheetViews>
  <sheetFormatPr defaultRowHeight="14.4" x14ac:dyDescent="0.3"/>
  <cols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SUM(H3:H51)</f>
        <v>36375855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45695</v>
      </c>
      <c r="B3" t="s">
        <v>2</v>
      </c>
      <c r="C3" t="s">
        <v>1</v>
      </c>
      <c r="D3">
        <v>10</v>
      </c>
      <c r="E3">
        <f>LOOKUP(1,1/('[1]PURCHASE PRICE'!$A:$A=A3)/('[1]PURCHASE PRICE'!$B:$B=B3)/('[1]PURCHASE PRICE'!$C:$C=C3),'[1]PURCHASE PRICE'!$D:$D)</f>
        <v>6000</v>
      </c>
      <c r="F3">
        <f>LOOKUP(1,1/('[1]PURCHASE PRICE'!$A:$A=A3)/('[1]PURCHASE PRICE'!$B:$B=B3),'[1]PURCHASE PRICE'!$D:$D)</f>
        <v>6000</v>
      </c>
      <c r="G3" s="1">
        <f>E3</f>
        <v>6000</v>
      </c>
      <c r="H3" s="1">
        <f>+G3*D3</f>
        <v>60000</v>
      </c>
    </row>
    <row r="4" spans="1:8" x14ac:dyDescent="0.3">
      <c r="A4" s="6">
        <v>45695</v>
      </c>
      <c r="B4" t="s">
        <v>93</v>
      </c>
      <c r="C4" t="s">
        <v>1</v>
      </c>
      <c r="D4">
        <v>10</v>
      </c>
      <c r="E4">
        <f>LOOKUP(1,1/('[1]PURCHASE PRICE'!$A:$A=A4)/('[1]PURCHASE PRICE'!$B:$B=B4)/('[1]PURCHASE PRICE'!$C:$C=C4),'[1]PURCHASE PRICE'!$D:$D)</f>
        <v>65000</v>
      </c>
      <c r="F4">
        <f>LOOKUP(1,1/('[1]PURCHASE PRICE'!$A:$A=A4)/('[1]PURCHASE PRICE'!$B:$B=B4),'[1]PURCHASE PRICE'!$D:$D)</f>
        <v>65000</v>
      </c>
      <c r="G4" s="1">
        <f t="shared" ref="G4:G50" si="0">E4</f>
        <v>65000</v>
      </c>
      <c r="H4" s="1">
        <f t="shared" ref="H4:H50" si="1">+G4*D4</f>
        <v>650000</v>
      </c>
    </row>
    <row r="5" spans="1:8" x14ac:dyDescent="0.3">
      <c r="A5" s="6">
        <v>45695</v>
      </c>
      <c r="B5" t="s">
        <v>4</v>
      </c>
      <c r="C5" t="s">
        <v>77</v>
      </c>
      <c r="D5">
        <v>200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9000</v>
      </c>
      <c r="G5" s="1">
        <f>16000*0.3</f>
        <v>4800</v>
      </c>
      <c r="H5" s="1">
        <f t="shared" si="1"/>
        <v>960000</v>
      </c>
    </row>
    <row r="6" spans="1:8" x14ac:dyDescent="0.3">
      <c r="A6" s="6">
        <v>45695</v>
      </c>
      <c r="B6" t="s">
        <v>4</v>
      </c>
      <c r="C6" t="s">
        <v>1</v>
      </c>
      <c r="D6">
        <v>30</v>
      </c>
      <c r="E6">
        <f>LOOKUP(1,1/('[1]PURCHASE PRICE'!$A:$A=A6)/('[1]PURCHASE PRICE'!$B:$B=B6)/('[1]PURCHASE PRICE'!$C:$C=C6),'[1]PURCHASE PRICE'!$D:$D)</f>
        <v>9000</v>
      </c>
      <c r="F6">
        <f>LOOKUP(1,1/('[1]PURCHASE PRICE'!$A:$A=A6)/('[1]PURCHASE PRICE'!$B:$B=B6),'[1]PURCHASE PRICE'!$D:$D)</f>
        <v>9000</v>
      </c>
      <c r="G6" s="1">
        <v>16000</v>
      </c>
      <c r="H6" s="1">
        <f t="shared" si="1"/>
        <v>480000</v>
      </c>
    </row>
    <row r="7" spans="1:8" x14ac:dyDescent="0.3">
      <c r="A7" s="6">
        <v>45695</v>
      </c>
      <c r="B7" t="s">
        <v>6</v>
      </c>
      <c r="C7" t="s">
        <v>77</v>
      </c>
      <c r="D7">
        <v>100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15000*0.3</f>
        <v>4500</v>
      </c>
      <c r="H7" s="1">
        <f t="shared" si="1"/>
        <v>450000</v>
      </c>
    </row>
    <row r="8" spans="1:8" x14ac:dyDescent="0.3">
      <c r="A8" s="6">
        <v>45695</v>
      </c>
      <c r="B8" t="s">
        <v>63</v>
      </c>
      <c r="C8" t="s">
        <v>1</v>
      </c>
      <c r="D8">
        <v>15</v>
      </c>
      <c r="E8">
        <f>LOOKUP(1,1/('[1]PURCHASE PRICE'!$A:$A=A8)/('[1]PURCHASE PRICE'!$B:$B=B8)/('[1]PURCHASE PRICE'!$C:$C=C8),'[1]PURCHASE PRICE'!$D:$D)</f>
        <v>20000</v>
      </c>
      <c r="F8">
        <f>LOOKUP(1,1/('[1]PURCHASE PRICE'!$A:$A=A8)/('[1]PURCHASE PRICE'!$B:$B=B8),'[1]PURCHASE PRICE'!$D:$D)</f>
        <v>20000</v>
      </c>
      <c r="G8" s="1">
        <f t="shared" si="0"/>
        <v>20000</v>
      </c>
      <c r="H8" s="1">
        <f t="shared" si="1"/>
        <v>300000</v>
      </c>
    </row>
    <row r="9" spans="1:8" x14ac:dyDescent="0.3">
      <c r="A9" s="6">
        <v>45695</v>
      </c>
      <c r="B9" t="s">
        <v>78</v>
      </c>
      <c r="C9" t="s">
        <v>1</v>
      </c>
      <c r="D9">
        <v>100</v>
      </c>
      <c r="E9">
        <f>LOOKUP(1,1/('[1]PURCHASE PRICE'!$A:$A=A9)/('[1]PURCHASE PRICE'!$B:$B=B9)/('[1]PURCHASE PRICE'!$C:$C=C9),'[1]PURCHASE PRICE'!$D:$D)</f>
        <v>14000</v>
      </c>
      <c r="F9">
        <f>LOOKUP(1,1/('[1]PURCHASE PRICE'!$A:$A=A9)/('[1]PURCHASE PRICE'!$B:$B=B9),'[1]PURCHASE PRICE'!$D:$D)</f>
        <v>14000</v>
      </c>
      <c r="G9" s="1">
        <f t="shared" si="0"/>
        <v>14000</v>
      </c>
      <c r="H9" s="1">
        <f t="shared" si="1"/>
        <v>1400000</v>
      </c>
    </row>
    <row r="10" spans="1:8" x14ac:dyDescent="0.3">
      <c r="A10" s="6">
        <v>45695</v>
      </c>
      <c r="B10" t="s">
        <v>10</v>
      </c>
      <c r="C10" t="s">
        <v>79</v>
      </c>
      <c r="D10">
        <v>100</v>
      </c>
      <c r="E10">
        <f>LOOKUP(1,1/('[1]PURCHASE PRICE'!$A:$A=A10)/('[1]PURCHASE PRICE'!$B:$B=B10)/('[1]PURCHASE PRICE'!$C:$C=C10),'[1]PURCHASE PRICE'!$D:$D)</f>
        <v>6351.85</v>
      </c>
      <c r="F10">
        <f>LOOKUP(1,1/('[1]PURCHASE PRICE'!$A:$A=A10)/('[1]PURCHASE PRICE'!$B:$B=B10),'[1]PURCHASE PRICE'!$D:$D)</f>
        <v>12000</v>
      </c>
      <c r="G10" s="1">
        <f t="shared" si="0"/>
        <v>6351.85</v>
      </c>
      <c r="H10" s="1">
        <f t="shared" si="1"/>
        <v>635185</v>
      </c>
    </row>
    <row r="11" spans="1:8" x14ac:dyDescent="0.3">
      <c r="A11" s="6">
        <v>45695</v>
      </c>
      <c r="B11" t="s">
        <v>12</v>
      </c>
      <c r="C11" t="s">
        <v>13</v>
      </c>
      <c r="D11">
        <v>100</v>
      </c>
      <c r="E11">
        <f>LOOKUP(1,1/('[1]PURCHASE PRICE'!$A:$A=A11)/('[1]PURCHASE PRICE'!$B:$B=B11)/('[1]PURCHASE PRICE'!$C:$C=C11),'[1]PURCHASE PRICE'!$D:$D)</f>
        <v>5400</v>
      </c>
      <c r="F11">
        <f>LOOKUP(1,1/('[1]PURCHASE PRICE'!$A:$A=A11)/('[1]PURCHASE PRICE'!$B:$B=B11),'[1]PURCHASE PRICE'!$D:$D)</f>
        <v>20000</v>
      </c>
      <c r="G11" s="1">
        <f t="shared" si="0"/>
        <v>5400</v>
      </c>
      <c r="H11" s="1">
        <f t="shared" si="1"/>
        <v>540000</v>
      </c>
    </row>
    <row r="12" spans="1:8" x14ac:dyDescent="0.3">
      <c r="A12" s="6">
        <v>45695</v>
      </c>
      <c r="B12" t="s">
        <v>14</v>
      </c>
      <c r="C12" t="s">
        <v>15</v>
      </c>
      <c r="D12">
        <v>25</v>
      </c>
      <c r="E12">
        <f>LOOKUP(1,1/('[1]PURCHASE PRICE'!$A:$A=A12)/('[1]PURCHASE PRICE'!$B:$B=B12)/('[1]PURCHASE PRICE'!$C:$C=C12),'[1]PURCHASE PRICE'!$D:$D)</f>
        <v>11100</v>
      </c>
      <c r="F12">
        <f>LOOKUP(1,1/('[1]PURCHASE PRICE'!$A:$A=A12)/('[1]PURCHASE PRICE'!$B:$B=B12),'[1]PURCHASE PRICE'!$D:$D)</f>
        <v>11100</v>
      </c>
      <c r="G12" s="1">
        <f t="shared" si="0"/>
        <v>11100</v>
      </c>
      <c r="H12" s="1">
        <f t="shared" si="1"/>
        <v>277500</v>
      </c>
    </row>
    <row r="13" spans="1:8" x14ac:dyDescent="0.3">
      <c r="A13" s="6">
        <v>45695</v>
      </c>
      <c r="B13" t="s">
        <v>16</v>
      </c>
      <c r="C13" t="s">
        <v>13</v>
      </c>
      <c r="D13">
        <v>80</v>
      </c>
      <c r="E13">
        <f>LOOKUP(1,1/('[1]PURCHASE PRICE'!$A:$A=A13)/('[1]PURCHASE PRICE'!$B:$B=B13)/('[1]PURCHASE PRICE'!$C:$C=C13),'[1]PURCHASE PRICE'!$D:$D)</f>
        <v>10500</v>
      </c>
      <c r="F13">
        <f>LOOKUP(1,1/('[1]PURCHASE PRICE'!$A:$A=A13)/('[1]PURCHASE PRICE'!$B:$B=B13),'[1]PURCHASE PRICE'!$D:$D)</f>
        <v>20000</v>
      </c>
      <c r="G13" s="1">
        <f t="shared" si="0"/>
        <v>10500</v>
      </c>
      <c r="H13" s="1">
        <f t="shared" si="1"/>
        <v>840000</v>
      </c>
    </row>
    <row r="14" spans="1:8" x14ac:dyDescent="0.3">
      <c r="A14" s="6">
        <v>45695</v>
      </c>
      <c r="B14" t="s">
        <v>17</v>
      </c>
      <c r="C14" t="s">
        <v>1</v>
      </c>
      <c r="D14">
        <v>60</v>
      </c>
      <c r="E14">
        <f>LOOKUP(1,1/('[1]PURCHASE PRICE'!$A:$A=A14)/('[1]PURCHASE PRICE'!$B:$B=B14)/('[1]PURCHASE PRICE'!$C:$C=C14),'[1]PURCHASE PRICE'!$D:$D)</f>
        <v>17000</v>
      </c>
      <c r="F14">
        <f>LOOKUP(1,1/('[1]PURCHASE PRICE'!$A:$A=A14)/('[1]PURCHASE PRICE'!$B:$B=B14),'[1]PURCHASE PRICE'!$D:$D)</f>
        <v>17000</v>
      </c>
      <c r="G14" s="1">
        <f t="shared" si="0"/>
        <v>17000</v>
      </c>
      <c r="H14" s="1">
        <f t="shared" si="1"/>
        <v>1020000</v>
      </c>
    </row>
    <row r="15" spans="1:8" x14ac:dyDescent="0.3">
      <c r="A15" s="6">
        <v>45695</v>
      </c>
      <c r="B15" t="s">
        <v>19</v>
      </c>
      <c r="C15" t="s">
        <v>9</v>
      </c>
      <c r="D15">
        <v>100</v>
      </c>
      <c r="E15">
        <f>LOOKUP(1,1/('[1]PURCHASE PRICE'!$A:$A=A15)/('[1]PURCHASE PRICE'!$B:$B=B15)/('[1]PURCHASE PRICE'!$C:$C=C15),'[1]PURCHASE PRICE'!$D:$D)</f>
        <v>5000</v>
      </c>
      <c r="F15">
        <f>LOOKUP(1,1/('[1]PURCHASE PRICE'!$A:$A=A15)/('[1]PURCHASE PRICE'!$B:$B=B15),'[1]PURCHASE PRICE'!$D:$D)</f>
        <v>5000</v>
      </c>
      <c r="G15" s="1">
        <f t="shared" si="0"/>
        <v>5000</v>
      </c>
      <c r="H15" s="1">
        <f t="shared" si="1"/>
        <v>500000</v>
      </c>
    </row>
    <row r="16" spans="1:8" x14ac:dyDescent="0.3">
      <c r="A16" s="6">
        <v>45695</v>
      </c>
      <c r="B16" t="s">
        <v>20</v>
      </c>
      <c r="C16" t="s">
        <v>1</v>
      </c>
      <c r="D16">
        <v>20</v>
      </c>
      <c r="E16">
        <f>LOOKUP(1,1/('[1]PURCHASE PRICE'!$A:$A=A16)/('[1]PURCHASE PRICE'!$B:$B=B16)/('[1]PURCHASE PRICE'!$C:$C=C16),'[1]PURCHASE PRICE'!$D:$D)</f>
        <v>15000</v>
      </c>
      <c r="F16">
        <f>LOOKUP(1,1/('[1]PURCHASE PRICE'!$A:$A=A16)/('[1]PURCHASE PRICE'!$B:$B=B16),'[1]PURCHASE PRICE'!$D:$D)</f>
        <v>15000</v>
      </c>
      <c r="G16" s="1">
        <f t="shared" si="0"/>
        <v>15000</v>
      </c>
      <c r="H16" s="1">
        <f t="shared" si="1"/>
        <v>300000</v>
      </c>
    </row>
    <row r="17" spans="1:8" x14ac:dyDescent="0.3">
      <c r="A17" s="6">
        <v>45695</v>
      </c>
      <c r="B17" t="s">
        <v>21</v>
      </c>
      <c r="C17" t="s">
        <v>22</v>
      </c>
      <c r="D17">
        <v>55</v>
      </c>
      <c r="E17">
        <f>LOOKUP(1,1/('[1]PURCHASE PRICE'!$A:$A=A17)/('[1]PURCHASE PRICE'!$B:$B=B17)/('[1]PURCHASE PRICE'!$C:$C=C17),'[1]PURCHASE PRICE'!$D:$D)</f>
        <v>3900</v>
      </c>
      <c r="F17">
        <f>LOOKUP(1,1/('[1]PURCHASE PRICE'!$A:$A=A17)/('[1]PURCHASE PRICE'!$B:$B=B17),'[1]PURCHASE PRICE'!$D:$D)</f>
        <v>3900</v>
      </c>
      <c r="G17" s="1">
        <f t="shared" si="0"/>
        <v>3900</v>
      </c>
      <c r="H17" s="1">
        <f t="shared" si="1"/>
        <v>214500</v>
      </c>
    </row>
    <row r="18" spans="1:8" x14ac:dyDescent="0.3">
      <c r="A18" s="6">
        <v>45695</v>
      </c>
      <c r="B18" t="s">
        <v>21</v>
      </c>
      <c r="C18" t="s">
        <v>23</v>
      </c>
      <c r="D18">
        <v>25</v>
      </c>
      <c r="E18">
        <f>LOOKUP(1,1/('[1]PURCHASE PRICE'!$A:$A=A18)/('[1]PURCHASE PRICE'!$B:$B=B18)/('[1]PURCHASE PRICE'!$C:$C=C18),'[1]PURCHASE PRICE'!$D:$D)</f>
        <v>2000</v>
      </c>
      <c r="F18">
        <f>LOOKUP(1,1/('[1]PURCHASE PRICE'!$A:$A=A18)/('[1]PURCHASE PRICE'!$B:$B=B18),'[1]PURCHASE PRICE'!$D:$D)</f>
        <v>3900</v>
      </c>
      <c r="G18" s="1">
        <f t="shared" si="0"/>
        <v>2000</v>
      </c>
      <c r="H18" s="1">
        <f t="shared" si="1"/>
        <v>50000</v>
      </c>
    </row>
    <row r="19" spans="1:8" x14ac:dyDescent="0.3">
      <c r="A19" s="6">
        <v>45695</v>
      </c>
      <c r="B19" t="s">
        <v>25</v>
      </c>
      <c r="C19" t="s">
        <v>26</v>
      </c>
      <c r="D19">
        <v>200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17000</v>
      </c>
      <c r="G19" s="1">
        <f>+F19/2</f>
        <v>8500</v>
      </c>
      <c r="H19" s="1">
        <f t="shared" si="1"/>
        <v>1700000</v>
      </c>
    </row>
    <row r="20" spans="1:8" x14ac:dyDescent="0.3">
      <c r="A20" s="6">
        <v>45695</v>
      </c>
      <c r="B20" t="s">
        <v>27</v>
      </c>
      <c r="C20" t="s">
        <v>9</v>
      </c>
      <c r="D20">
        <v>60</v>
      </c>
      <c r="E20">
        <f>LOOKUP(1,1/('[1]PURCHASE PRICE'!$A:$A=A20)/('[1]PURCHASE PRICE'!$B:$B=B20)/('[1]PURCHASE PRICE'!$C:$C=C20),'[1]PURCHASE PRICE'!$D:$D)</f>
        <v>7500</v>
      </c>
      <c r="F20">
        <f>LOOKUP(1,1/('[1]PURCHASE PRICE'!$A:$A=A20)/('[1]PURCHASE PRICE'!$B:$B=B20),'[1]PURCHASE PRICE'!$D:$D)</f>
        <v>7500</v>
      </c>
      <c r="G20" s="1">
        <f t="shared" si="0"/>
        <v>7500</v>
      </c>
      <c r="H20" s="1">
        <f t="shared" si="1"/>
        <v>450000</v>
      </c>
    </row>
    <row r="21" spans="1:8" x14ac:dyDescent="0.3">
      <c r="A21" s="6">
        <v>45695</v>
      </c>
      <c r="B21" t="s">
        <v>80</v>
      </c>
      <c r="C21" t="s">
        <v>1</v>
      </c>
      <c r="D21">
        <v>20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0"/>
        <v>10000</v>
      </c>
      <c r="H21" s="1">
        <f t="shared" si="1"/>
        <v>200000</v>
      </c>
    </row>
    <row r="22" spans="1:8" x14ac:dyDescent="0.3">
      <c r="A22" s="6">
        <v>45695</v>
      </c>
      <c r="B22" t="s">
        <v>30</v>
      </c>
      <c r="C22" t="s">
        <v>1</v>
      </c>
      <c r="D22">
        <v>40</v>
      </c>
      <c r="E22">
        <f>LOOKUP(1,1/('[1]PURCHASE PRICE'!$A:$A=A22)/('[1]PURCHASE PRICE'!$B:$B=B22)/('[1]PURCHASE PRICE'!$C:$C=C22),'[1]PURCHASE PRICE'!$D:$D)</f>
        <v>8700</v>
      </c>
      <c r="F22">
        <f>LOOKUP(1,1/('[1]PURCHASE PRICE'!$A:$A=A22)/('[1]PURCHASE PRICE'!$B:$B=B22),'[1]PURCHASE PRICE'!$D:$D)</f>
        <v>8700</v>
      </c>
      <c r="G22" s="1">
        <f t="shared" si="0"/>
        <v>8700</v>
      </c>
      <c r="H22" s="1">
        <f t="shared" si="1"/>
        <v>348000</v>
      </c>
    </row>
    <row r="23" spans="1:8" x14ac:dyDescent="0.3">
      <c r="A23" s="6">
        <v>45695</v>
      </c>
      <c r="B23" t="s">
        <v>34</v>
      </c>
      <c r="C23" t="s">
        <v>1</v>
      </c>
      <c r="D23">
        <v>100</v>
      </c>
      <c r="E23">
        <f>LOOKUP(1,1/('[1]PURCHASE PRICE'!$A:$A=A23)/('[1]PURCHASE PRICE'!$B:$B=B23)/('[1]PURCHASE PRICE'!$C:$C=C23),'[1]PURCHASE PRICE'!$D:$D)</f>
        <v>17000</v>
      </c>
      <c r="F23">
        <f>LOOKUP(1,1/('[1]PURCHASE PRICE'!$A:$A=A23)/('[1]PURCHASE PRICE'!$B:$B=B23),'[1]PURCHASE PRICE'!$D:$D)</f>
        <v>17000</v>
      </c>
      <c r="G23" s="1">
        <f t="shared" si="0"/>
        <v>17000</v>
      </c>
      <c r="H23" s="1">
        <f t="shared" si="1"/>
        <v>1700000</v>
      </c>
    </row>
    <row r="24" spans="1:8" x14ac:dyDescent="0.3">
      <c r="A24" s="6">
        <v>45695</v>
      </c>
      <c r="B24" t="s">
        <v>88</v>
      </c>
      <c r="C24" t="s">
        <v>1</v>
      </c>
      <c r="D24">
        <v>40</v>
      </c>
      <c r="E24">
        <f>LOOKUP(1,1/('[1]PURCHASE PRICE'!$A:$A=A24)/('[1]PURCHASE PRICE'!$B:$B=B24)/('[1]PURCHASE PRICE'!$C:$C=C24),'[1]PURCHASE PRICE'!$D:$D)</f>
        <v>15225</v>
      </c>
      <c r="F24">
        <f>LOOKUP(1,1/('[1]PURCHASE PRICE'!$A:$A=A24)/('[1]PURCHASE PRICE'!$B:$B=B24),'[1]PURCHASE PRICE'!$D:$D)</f>
        <v>15225</v>
      </c>
      <c r="G24" s="1">
        <f>+F24</f>
        <v>15225</v>
      </c>
      <c r="H24" s="1">
        <f t="shared" si="1"/>
        <v>609000</v>
      </c>
    </row>
    <row r="25" spans="1:8" x14ac:dyDescent="0.3">
      <c r="A25" s="6">
        <v>45695</v>
      </c>
      <c r="B25" t="s">
        <v>64</v>
      </c>
      <c r="C25" t="s">
        <v>1</v>
      </c>
      <c r="D25">
        <v>5</v>
      </c>
      <c r="E25">
        <f>LOOKUP(1,1/('[1]PURCHASE PRICE'!$A:$A=A25)/('[1]PURCHASE PRICE'!$B:$B=B25)/('[1]PURCHASE PRICE'!$C:$C=C25),'[1]PURCHASE PRICE'!$D:$D)</f>
        <v>9000</v>
      </c>
      <c r="F25">
        <f>LOOKUP(1,1/('[1]PURCHASE PRICE'!$A:$A=A25)/('[1]PURCHASE PRICE'!$B:$B=B25),'[1]PURCHASE PRICE'!$D:$D)</f>
        <v>9000</v>
      </c>
      <c r="G25" s="1">
        <f t="shared" si="0"/>
        <v>9000</v>
      </c>
      <c r="H25" s="1">
        <f t="shared" si="1"/>
        <v>45000</v>
      </c>
    </row>
    <row r="26" spans="1:8" x14ac:dyDescent="0.3">
      <c r="A26" s="6">
        <v>45695</v>
      </c>
      <c r="B26" t="s">
        <v>36</v>
      </c>
      <c r="C26" t="s">
        <v>22</v>
      </c>
      <c r="D26">
        <v>30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6000</v>
      </c>
      <c r="G26" s="1">
        <f t="shared" si="0"/>
        <v>6000</v>
      </c>
      <c r="H26" s="1">
        <f t="shared" si="1"/>
        <v>180000</v>
      </c>
    </row>
    <row r="27" spans="1:8" x14ac:dyDescent="0.3">
      <c r="A27" s="6">
        <v>45695</v>
      </c>
      <c r="B27" t="s">
        <v>37</v>
      </c>
      <c r="C27" t="s">
        <v>1</v>
      </c>
      <c r="D27">
        <v>10</v>
      </c>
      <c r="E27">
        <f>LOOKUP(1,1/('[1]PURCHASE PRICE'!$A:$A=A27)/('[1]PURCHASE PRICE'!$B:$B=B27)/('[1]PURCHASE PRICE'!$C:$C=C27),'[1]PURCHASE PRICE'!$D:$D)</f>
        <v>11000</v>
      </c>
      <c r="F27">
        <f>LOOKUP(1,1/('[1]PURCHASE PRICE'!$A:$A=A27)/('[1]PURCHASE PRICE'!$B:$B=B27),'[1]PURCHASE PRICE'!$D:$D)</f>
        <v>11000</v>
      </c>
      <c r="G27" s="1">
        <f t="shared" si="0"/>
        <v>11000</v>
      </c>
      <c r="H27" s="1">
        <f t="shared" si="1"/>
        <v>110000</v>
      </c>
    </row>
    <row r="28" spans="1:8" x14ac:dyDescent="0.3">
      <c r="A28" s="6">
        <v>45695</v>
      </c>
      <c r="B28" t="s">
        <v>39</v>
      </c>
      <c r="C28" t="s">
        <v>9</v>
      </c>
      <c r="D28">
        <v>370</v>
      </c>
      <c r="E28">
        <f>LOOKUP(1,1/('[1]PURCHASE PRICE'!$A:$A=A28)/('[1]PURCHASE PRICE'!$B:$B=B28)/('[1]PURCHASE PRICE'!$C:$C=C28),'[1]PURCHASE PRICE'!$D:$D)</f>
        <v>6500</v>
      </c>
      <c r="F28">
        <f>LOOKUP(1,1/('[1]PURCHASE PRICE'!$A:$A=A28)/('[1]PURCHASE PRICE'!$B:$B=B28),'[1]PURCHASE PRICE'!$D:$D)</f>
        <v>7000</v>
      </c>
      <c r="G28" s="1">
        <f t="shared" si="0"/>
        <v>6500</v>
      </c>
      <c r="H28" s="1">
        <f t="shared" si="1"/>
        <v>2405000</v>
      </c>
    </row>
    <row r="29" spans="1:8" x14ac:dyDescent="0.3">
      <c r="A29" s="6">
        <v>45695</v>
      </c>
      <c r="B29" t="s">
        <v>39</v>
      </c>
      <c r="C29" t="s">
        <v>1</v>
      </c>
      <c r="D29">
        <v>136</v>
      </c>
      <c r="E29">
        <f>LOOKUP(1,1/('[1]PURCHASE PRICE'!$A:$A=A29)/('[1]PURCHASE PRICE'!$B:$B=B29)/('[1]PURCHASE PRICE'!$C:$C=C29),'[1]PURCHASE PRICE'!$D:$D)</f>
        <v>7000</v>
      </c>
      <c r="F29">
        <f>LOOKUP(1,1/('[1]PURCHASE PRICE'!$A:$A=A29)/('[1]PURCHASE PRICE'!$B:$B=B29),'[1]PURCHASE PRICE'!$D:$D)</f>
        <v>7000</v>
      </c>
      <c r="G29" s="1">
        <f t="shared" si="0"/>
        <v>7000</v>
      </c>
      <c r="H29" s="1">
        <f t="shared" si="1"/>
        <v>952000</v>
      </c>
    </row>
    <row r="30" spans="1:8" x14ac:dyDescent="0.3">
      <c r="A30" s="6">
        <v>45695</v>
      </c>
      <c r="B30" t="s">
        <v>40</v>
      </c>
      <c r="C30" t="s">
        <v>22</v>
      </c>
      <c r="D30">
        <v>22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13000</v>
      </c>
      <c r="G30" s="1">
        <f>+F30*0.6</f>
        <v>7800</v>
      </c>
      <c r="H30" s="1">
        <f t="shared" si="1"/>
        <v>171600</v>
      </c>
    </row>
    <row r="31" spans="1:8" x14ac:dyDescent="0.3">
      <c r="A31" s="6">
        <v>45695</v>
      </c>
      <c r="B31" t="s">
        <v>41</v>
      </c>
      <c r="C31" t="s">
        <v>26</v>
      </c>
      <c r="D31">
        <v>100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11000</v>
      </c>
      <c r="G31" s="1">
        <f>+F31*0.15</f>
        <v>1650</v>
      </c>
      <c r="H31" s="1">
        <f t="shared" si="1"/>
        <v>165000</v>
      </c>
    </row>
    <row r="32" spans="1:8" x14ac:dyDescent="0.3">
      <c r="A32" s="6">
        <v>45695</v>
      </c>
      <c r="B32" t="s">
        <v>94</v>
      </c>
      <c r="C32" t="s">
        <v>15</v>
      </c>
      <c r="D32">
        <v>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0</v>
      </c>
      <c r="H32" s="1">
        <f t="shared" si="1"/>
        <v>0</v>
      </c>
    </row>
    <row r="33" spans="1:8" x14ac:dyDescent="0.3">
      <c r="A33" s="6">
        <v>45695</v>
      </c>
      <c r="B33" t="s">
        <v>42</v>
      </c>
      <c r="C33" t="s">
        <v>1</v>
      </c>
      <c r="D33">
        <v>5</v>
      </c>
      <c r="E33">
        <f>LOOKUP(1,1/('[1]PURCHASE PRICE'!$A:$A=A33)/('[1]PURCHASE PRICE'!$B:$B=B33)/('[1]PURCHASE PRICE'!$C:$C=C33),'[1]PURCHASE PRICE'!$D:$D)</f>
        <v>25000</v>
      </c>
      <c r="F33">
        <f>LOOKUP(1,1/('[1]PURCHASE PRICE'!$A:$A=A33)/('[1]PURCHASE PRICE'!$B:$B=B33),'[1]PURCHASE PRICE'!$D:$D)</f>
        <v>25000</v>
      </c>
      <c r="G33" s="1">
        <f t="shared" si="0"/>
        <v>25000</v>
      </c>
      <c r="H33" s="1">
        <f t="shared" si="1"/>
        <v>125000</v>
      </c>
    </row>
    <row r="34" spans="1:8" x14ac:dyDescent="0.3">
      <c r="A34" s="6">
        <v>45695</v>
      </c>
      <c r="B34" t="s">
        <v>44</v>
      </c>
      <c r="C34" t="s">
        <v>22</v>
      </c>
      <c r="D34">
        <v>296</v>
      </c>
      <c r="E34">
        <f>LOOKUP(1,1/('[1]PURCHASE PRICE'!$A:$A=A34)/('[1]PURCHASE PRICE'!$B:$B=B34)/('[1]PURCHASE PRICE'!$C:$C=C34),'[1]PURCHASE PRICE'!$D:$D)</f>
        <v>2900</v>
      </c>
      <c r="F34">
        <f>LOOKUP(1,1/('[1]PURCHASE PRICE'!$A:$A=A34)/('[1]PURCHASE PRICE'!$B:$B=B34),'[1]PURCHASE PRICE'!$D:$D)</f>
        <v>2900</v>
      </c>
      <c r="G34" s="1">
        <f t="shared" si="0"/>
        <v>2900</v>
      </c>
      <c r="H34" s="1">
        <f t="shared" si="1"/>
        <v>858400</v>
      </c>
    </row>
    <row r="35" spans="1:8" x14ac:dyDescent="0.3">
      <c r="A35" s="6">
        <v>45695</v>
      </c>
      <c r="B35" t="s">
        <v>65</v>
      </c>
      <c r="C35" t="s">
        <v>1</v>
      </c>
      <c r="D35">
        <v>5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v>14000</v>
      </c>
      <c r="H35" s="1">
        <f t="shared" si="1"/>
        <v>70000</v>
      </c>
    </row>
    <row r="36" spans="1:8" x14ac:dyDescent="0.3">
      <c r="A36" s="6">
        <v>45695</v>
      </c>
      <c r="B36" t="s">
        <v>45</v>
      </c>
      <c r="C36" t="s">
        <v>1</v>
      </c>
      <c r="D36">
        <v>30</v>
      </c>
      <c r="E36">
        <f>LOOKUP(1,1/('[1]PURCHASE PRICE'!$A:$A=A36)/('[1]PURCHASE PRICE'!$B:$B=B36)/('[1]PURCHASE PRICE'!$C:$C=C36),'[1]PURCHASE PRICE'!$D:$D)</f>
        <v>52089</v>
      </c>
      <c r="F36">
        <f>LOOKUP(1,1/('[1]PURCHASE PRICE'!$A:$A=A36)/('[1]PURCHASE PRICE'!$B:$B=B36),'[1]PURCHASE PRICE'!$D:$D)</f>
        <v>52089</v>
      </c>
      <c r="G36" s="1">
        <f t="shared" si="0"/>
        <v>52089</v>
      </c>
      <c r="H36" s="1">
        <f t="shared" si="1"/>
        <v>1562670</v>
      </c>
    </row>
    <row r="37" spans="1:8" x14ac:dyDescent="0.3">
      <c r="A37" s="6">
        <v>45695</v>
      </c>
      <c r="B37" t="s">
        <v>48</v>
      </c>
      <c r="C37" t="s">
        <v>77</v>
      </c>
      <c r="D37">
        <v>100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58000</v>
      </c>
      <c r="G37" s="1">
        <f>+F37*0.25</f>
        <v>14500</v>
      </c>
      <c r="H37" s="1">
        <f t="shared" si="1"/>
        <v>1450000</v>
      </c>
    </row>
    <row r="38" spans="1:8" x14ac:dyDescent="0.3">
      <c r="A38" s="6">
        <v>45695</v>
      </c>
      <c r="B38" t="s">
        <v>48</v>
      </c>
      <c r="C38" t="s">
        <v>1</v>
      </c>
      <c r="D38">
        <v>18</v>
      </c>
      <c r="E38">
        <f>LOOKUP(1,1/('[1]PURCHASE PRICE'!$A:$A=A38)/('[1]PURCHASE PRICE'!$B:$B=B38)/('[1]PURCHASE PRICE'!$C:$C=C38),'[1]PURCHASE PRICE'!$D:$D)</f>
        <v>58000</v>
      </c>
      <c r="F38">
        <f>LOOKUP(1,1/('[1]PURCHASE PRICE'!$A:$A=A38)/('[1]PURCHASE PRICE'!$B:$B=B38),'[1]PURCHASE PRICE'!$D:$D)</f>
        <v>58000</v>
      </c>
      <c r="G38" s="1">
        <f t="shared" si="0"/>
        <v>58000</v>
      </c>
      <c r="H38" s="1">
        <f t="shared" si="1"/>
        <v>1044000</v>
      </c>
    </row>
    <row r="39" spans="1:8" x14ac:dyDescent="0.3">
      <c r="A39" s="6">
        <v>45695</v>
      </c>
      <c r="B39" t="s">
        <v>49</v>
      </c>
      <c r="C39" t="s">
        <v>1</v>
      </c>
      <c r="D39">
        <v>0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0</v>
      </c>
      <c r="H39" s="1">
        <f t="shared" si="1"/>
        <v>0</v>
      </c>
    </row>
    <row r="40" spans="1:8" x14ac:dyDescent="0.3">
      <c r="A40" s="6">
        <v>45695</v>
      </c>
      <c r="B40" t="s">
        <v>50</v>
      </c>
      <c r="C40" t="s">
        <v>77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58000</v>
      </c>
      <c r="G40" s="1">
        <f>+F40*0.25</f>
        <v>14500</v>
      </c>
      <c r="H40" s="1">
        <f t="shared" si="1"/>
        <v>1450000</v>
      </c>
    </row>
    <row r="41" spans="1:8" x14ac:dyDescent="0.3">
      <c r="A41" s="6">
        <v>45695</v>
      </c>
      <c r="B41" t="s">
        <v>50</v>
      </c>
      <c r="C41" t="s">
        <v>1</v>
      </c>
      <c r="D41">
        <v>29</v>
      </c>
      <c r="E41">
        <f>LOOKUP(1,1/('[1]PURCHASE PRICE'!$A:$A=A41)/('[1]PURCHASE PRICE'!$B:$B=B41)/('[1]PURCHASE PRICE'!$C:$C=C41),'[1]PURCHASE PRICE'!$D:$D)</f>
        <v>58000</v>
      </c>
      <c r="F41">
        <f>LOOKUP(1,1/('[1]PURCHASE PRICE'!$A:$A=A41)/('[1]PURCHASE PRICE'!$B:$B=B41),'[1]PURCHASE PRICE'!$D:$D)</f>
        <v>58000</v>
      </c>
      <c r="G41" s="1">
        <f t="shared" si="0"/>
        <v>58000</v>
      </c>
      <c r="H41" s="1">
        <f t="shared" si="1"/>
        <v>1682000</v>
      </c>
    </row>
    <row r="42" spans="1:8" x14ac:dyDescent="0.3">
      <c r="A42" s="6">
        <v>45695</v>
      </c>
      <c r="B42" t="s">
        <v>52</v>
      </c>
      <c r="C42" t="s">
        <v>1</v>
      </c>
      <c r="D42">
        <v>18</v>
      </c>
      <c r="E42">
        <f>LOOKUP(1,1/('[1]PURCHASE PRICE'!$A:$A=A42)/('[1]PURCHASE PRICE'!$B:$B=B42)/('[1]PURCHASE PRICE'!$C:$C=C42),'[1]PURCHASE PRICE'!$D:$D)</f>
        <v>30000</v>
      </c>
      <c r="F42">
        <f>LOOKUP(1,1/('[1]PURCHASE PRICE'!$A:$A=A42)/('[1]PURCHASE PRICE'!$B:$B=B42),'[1]PURCHASE PRICE'!$D:$D)</f>
        <v>30000</v>
      </c>
      <c r="G42" s="1">
        <f t="shared" si="0"/>
        <v>30000</v>
      </c>
      <c r="H42" s="1">
        <f t="shared" si="1"/>
        <v>540000</v>
      </c>
    </row>
    <row r="43" spans="1:8" x14ac:dyDescent="0.3">
      <c r="A43" s="6">
        <v>45695</v>
      </c>
      <c r="B43" t="s">
        <v>53</v>
      </c>
      <c r="C43" t="s">
        <v>22</v>
      </c>
      <c r="D43">
        <v>245</v>
      </c>
      <c r="E43">
        <f>LOOKUP(1,1/('[1]PURCHASE PRICE'!$A:$A=A43)/('[1]PURCHASE PRICE'!$B:$B=B43)/('[1]PURCHASE PRICE'!$C:$C=C43),'[1]PURCHASE PRICE'!$D:$D)</f>
        <v>18000</v>
      </c>
      <c r="F43">
        <f>LOOKUP(1,1/('[1]PURCHASE PRICE'!$A:$A=A43)/('[1]PURCHASE PRICE'!$B:$B=B43),'[1]PURCHASE PRICE'!$D:$D)</f>
        <v>18000</v>
      </c>
      <c r="G43" s="1">
        <f t="shared" si="0"/>
        <v>18000</v>
      </c>
      <c r="H43" s="1">
        <f t="shared" si="1"/>
        <v>4410000</v>
      </c>
    </row>
    <row r="44" spans="1:8" x14ac:dyDescent="0.3">
      <c r="A44" s="6">
        <v>45695</v>
      </c>
      <c r="B44" t="s">
        <v>54</v>
      </c>
      <c r="C44" t="s">
        <v>1</v>
      </c>
      <c r="D44">
        <v>5</v>
      </c>
      <c r="E44">
        <f>LOOKUP(1,1/('[1]PURCHASE PRICE'!$A:$A=A44)/('[1]PURCHASE PRICE'!$B:$B=B44)/('[1]PURCHASE PRICE'!$C:$C=C44),'[1]PURCHASE PRICE'!$D:$D)</f>
        <v>35000</v>
      </c>
      <c r="F44">
        <f>LOOKUP(1,1/('[1]PURCHASE PRICE'!$A:$A=A44)/('[1]PURCHASE PRICE'!$B:$B=B44),'[1]PURCHASE PRICE'!$D:$D)</f>
        <v>35000</v>
      </c>
      <c r="G44" s="1">
        <f>+F44</f>
        <v>35000</v>
      </c>
      <c r="H44" s="1">
        <f t="shared" si="1"/>
        <v>175000</v>
      </c>
    </row>
    <row r="45" spans="1:8" x14ac:dyDescent="0.3">
      <c r="A45" s="6">
        <v>45695</v>
      </c>
      <c r="B45" t="s">
        <v>55</v>
      </c>
      <c r="C45" t="s">
        <v>1</v>
      </c>
      <c r="D45">
        <v>120</v>
      </c>
      <c r="E45">
        <f>LOOKUP(1,1/('[1]PURCHASE PRICE'!$A:$A=A45)/('[1]PURCHASE PRICE'!$B:$B=B45)/('[1]PURCHASE PRICE'!$C:$C=C45),'[1]PURCHASE PRICE'!$D:$D)</f>
        <v>13000</v>
      </c>
      <c r="F45">
        <f>LOOKUP(1,1/('[1]PURCHASE PRICE'!$A:$A=A45)/('[1]PURCHASE PRICE'!$B:$B=B45),'[1]PURCHASE PRICE'!$D:$D)</f>
        <v>13000</v>
      </c>
      <c r="G45" s="1">
        <f t="shared" si="0"/>
        <v>13000</v>
      </c>
      <c r="H45" s="1">
        <f t="shared" si="1"/>
        <v>1560000</v>
      </c>
    </row>
    <row r="46" spans="1:8" x14ac:dyDescent="0.3">
      <c r="A46" s="6">
        <v>45695</v>
      </c>
      <c r="B46" t="s">
        <v>56</v>
      </c>
      <c r="C46" t="s">
        <v>26</v>
      </c>
      <c r="D46">
        <v>200</v>
      </c>
      <c r="E46">
        <f>LOOKUP(1,1/('[1]PURCHASE PRICE'!$A:$A=A46)/('[1]PURCHASE PRICE'!$B:$B=B46)/('[1]PURCHASE PRICE'!$C:$C=C46),'[1]PURCHASE PRICE'!$D:$D)</f>
        <v>6800</v>
      </c>
      <c r="F46">
        <f>LOOKUP(1,1/('[1]PURCHASE PRICE'!$A:$A=A46)/('[1]PURCHASE PRICE'!$B:$B=B46),'[1]PURCHASE PRICE'!$D:$D)</f>
        <v>6800</v>
      </c>
      <c r="G46" s="1">
        <f t="shared" si="0"/>
        <v>6800</v>
      </c>
      <c r="H46" s="1">
        <f t="shared" si="1"/>
        <v>1360000</v>
      </c>
    </row>
    <row r="47" spans="1:8" x14ac:dyDescent="0.3">
      <c r="A47" s="6">
        <v>45695</v>
      </c>
      <c r="B47" t="s">
        <v>96</v>
      </c>
      <c r="C47" t="s">
        <v>1</v>
      </c>
      <c r="D47">
        <v>60</v>
      </c>
      <c r="E47">
        <f>LOOKUP(1,1/('[1]PURCHASE PRICE'!$A:$A=A47)/('[1]PURCHASE PRICE'!$B:$B=B47)/('[1]PURCHASE PRICE'!$C:$C=C47),'[1]PURCHASE PRICE'!$D:$D)</f>
        <v>28000</v>
      </c>
      <c r="F47">
        <f>LOOKUP(1,1/('[1]PURCHASE PRICE'!$A:$A=A47)/('[1]PURCHASE PRICE'!$B:$B=B47),'[1]PURCHASE PRICE'!$D:$D)</f>
        <v>28000</v>
      </c>
      <c r="G47" s="1">
        <f t="shared" si="0"/>
        <v>28000</v>
      </c>
      <c r="H47" s="1">
        <f t="shared" si="1"/>
        <v>1680000</v>
      </c>
    </row>
    <row r="48" spans="1:8" x14ac:dyDescent="0.3">
      <c r="A48" s="6">
        <v>45695</v>
      </c>
      <c r="B48" t="s">
        <v>58</v>
      </c>
      <c r="C48" t="s">
        <v>1</v>
      </c>
      <c r="D48">
        <v>20</v>
      </c>
      <c r="E48">
        <f>LOOKUP(1,1/('[1]PURCHASE PRICE'!$A:$A=A48)/('[1]PURCHASE PRICE'!$B:$B=B48)/('[1]PURCHASE PRICE'!$C:$C=C48),'[1]PURCHASE PRICE'!$D:$D)</f>
        <v>18000</v>
      </c>
      <c r="F48">
        <f>LOOKUP(1,1/('[1]PURCHASE PRICE'!$A:$A=A48)/('[1]PURCHASE PRICE'!$B:$B=B48),'[1]PURCHASE PRICE'!$D:$D)</f>
        <v>18000</v>
      </c>
      <c r="G48" s="1">
        <f t="shared" si="0"/>
        <v>18000</v>
      </c>
      <c r="H48" s="1">
        <f t="shared" si="1"/>
        <v>360000</v>
      </c>
    </row>
    <row r="49" spans="1:8" x14ac:dyDescent="0.3">
      <c r="A49" s="6">
        <v>45695</v>
      </c>
      <c r="B49" t="s">
        <v>60</v>
      </c>
      <c r="C49" t="s">
        <v>1</v>
      </c>
      <c r="D49">
        <v>10</v>
      </c>
      <c r="E49">
        <f>LOOKUP(1,1/('[1]PURCHASE PRICE'!$A:$A=A49)/('[1]PURCHASE PRICE'!$B:$B=B49)/('[1]PURCHASE PRICE'!$C:$C=C49),'[1]PURCHASE PRICE'!$D:$D)</f>
        <v>20000</v>
      </c>
      <c r="F49">
        <f>LOOKUP(1,1/('[1]PURCHASE PRICE'!$A:$A=A49)/('[1]PURCHASE PRICE'!$B:$B=B49),'[1]PURCHASE PRICE'!$D:$D)</f>
        <v>20000</v>
      </c>
      <c r="G49" s="1">
        <f t="shared" si="0"/>
        <v>20000</v>
      </c>
      <c r="H49" s="1">
        <f t="shared" si="1"/>
        <v>200000</v>
      </c>
    </row>
    <row r="50" spans="1:8" x14ac:dyDescent="0.3">
      <c r="A50" s="6">
        <v>45695</v>
      </c>
      <c r="B50" t="s">
        <v>61</v>
      </c>
      <c r="C50" t="s">
        <v>26</v>
      </c>
      <c r="D50">
        <v>20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0"/>
        <v>6800</v>
      </c>
      <c r="H50" s="1">
        <f t="shared" si="1"/>
        <v>136000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DE83-D2BE-420D-B451-4A54DFFCE036}">
  <dimension ref="A1:H58"/>
  <sheetViews>
    <sheetView workbookViewId="0">
      <selection activeCell="E3" sqref="E3:H3"/>
    </sheetView>
  </sheetViews>
  <sheetFormatPr defaultRowHeight="14.4" x14ac:dyDescent="0.3"/>
  <cols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SUM(H3:H51)</f>
        <v>37875500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45696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17000</v>
      </c>
      <c r="F3">
        <f>LOOKUP(1,1/('[1]PURCHASE PRICE'!$A:$A=A3)/('[1]PURCHASE PRICE'!$B:$B=B3),'[1]PURCHASE PRICE'!$D:$D)</f>
        <v>17000</v>
      </c>
      <c r="G3" s="1">
        <f>E3</f>
        <v>17000</v>
      </c>
      <c r="H3" s="1">
        <f>+G3*D3</f>
        <v>340000</v>
      </c>
    </row>
    <row r="4" spans="1:8" x14ac:dyDescent="0.3">
      <c r="A4" s="6">
        <v>45696</v>
      </c>
      <c r="B4" t="s">
        <v>2</v>
      </c>
      <c r="C4" t="s">
        <v>1</v>
      </c>
      <c r="D4">
        <v>10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8" si="0">E4</f>
        <v>6000</v>
      </c>
      <c r="H4" s="1">
        <f t="shared" ref="H4:H58" si="1">+G4*D4</f>
        <v>60000</v>
      </c>
    </row>
    <row r="5" spans="1:8" x14ac:dyDescent="0.3">
      <c r="A5" s="6">
        <v>45696</v>
      </c>
      <c r="B5" t="s">
        <v>3</v>
      </c>
      <c r="C5" t="s">
        <v>1</v>
      </c>
      <c r="D5">
        <v>5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12000</v>
      </c>
      <c r="H5" s="1">
        <f t="shared" si="1"/>
        <v>60000</v>
      </c>
    </row>
    <row r="6" spans="1:8" x14ac:dyDescent="0.3">
      <c r="A6" s="6">
        <v>45696</v>
      </c>
      <c r="B6" t="s">
        <v>93</v>
      </c>
      <c r="C6" t="s">
        <v>1</v>
      </c>
      <c r="D6">
        <v>10</v>
      </c>
      <c r="E6">
        <f>LOOKUP(1,1/('[1]PURCHASE PRICE'!$A:$A=A6)/('[1]PURCHASE PRICE'!$B:$B=B6)/('[1]PURCHASE PRICE'!$C:$C=C6),'[1]PURCHASE PRICE'!$D:$D)</f>
        <v>65000</v>
      </c>
      <c r="F6">
        <f>LOOKUP(1,1/('[1]PURCHASE PRICE'!$A:$A=A6)/('[1]PURCHASE PRICE'!$B:$B=B6),'[1]PURCHASE PRICE'!$D:$D)</f>
        <v>65000</v>
      </c>
      <c r="G6" s="1">
        <f t="shared" si="0"/>
        <v>65000</v>
      </c>
      <c r="H6" s="1">
        <f t="shared" si="1"/>
        <v>650000</v>
      </c>
    </row>
    <row r="7" spans="1:8" x14ac:dyDescent="0.3">
      <c r="A7" s="6">
        <v>45696</v>
      </c>
      <c r="B7" t="s">
        <v>4</v>
      </c>
      <c r="C7" t="s">
        <v>77</v>
      </c>
      <c r="D7">
        <v>300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15000</v>
      </c>
      <c r="G7" s="1">
        <f>+F7*0.3</f>
        <v>4500</v>
      </c>
      <c r="H7" s="1">
        <f t="shared" si="1"/>
        <v>1350000</v>
      </c>
    </row>
    <row r="8" spans="1:8" x14ac:dyDescent="0.3">
      <c r="A8" s="6">
        <v>45696</v>
      </c>
      <c r="B8" t="s">
        <v>6</v>
      </c>
      <c r="C8" t="s">
        <v>77</v>
      </c>
      <c r="D8">
        <v>200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13000</v>
      </c>
      <c r="G8" s="1">
        <f>+F8*0.3</f>
        <v>3900</v>
      </c>
      <c r="H8" s="1">
        <f t="shared" si="1"/>
        <v>780000</v>
      </c>
    </row>
    <row r="9" spans="1:8" x14ac:dyDescent="0.3">
      <c r="A9" s="6">
        <v>45696</v>
      </c>
      <c r="B9" t="s">
        <v>63</v>
      </c>
      <c r="C9" t="s">
        <v>1</v>
      </c>
      <c r="D9">
        <v>10</v>
      </c>
      <c r="E9">
        <f>LOOKUP(1,1/('[1]PURCHASE PRICE'!$A:$A=A9)/('[1]PURCHASE PRICE'!$B:$B=B9)/('[1]PURCHASE PRICE'!$C:$C=C9),'[1]PURCHASE PRICE'!$D:$D)</f>
        <v>20000</v>
      </c>
      <c r="F9">
        <f>LOOKUP(1,1/('[1]PURCHASE PRICE'!$A:$A=A9)/('[1]PURCHASE PRICE'!$B:$B=B9),'[1]PURCHASE PRICE'!$D:$D)</f>
        <v>20000</v>
      </c>
      <c r="G9" s="1">
        <f t="shared" si="0"/>
        <v>20000</v>
      </c>
      <c r="H9" s="1">
        <f t="shared" si="1"/>
        <v>200000</v>
      </c>
    </row>
    <row r="10" spans="1:8" x14ac:dyDescent="0.3">
      <c r="A10" s="6">
        <v>45696</v>
      </c>
      <c r="B10" t="s">
        <v>8</v>
      </c>
      <c r="C10" t="s">
        <v>9</v>
      </c>
      <c r="D10">
        <v>80</v>
      </c>
      <c r="E10">
        <f>LOOKUP(1,1/('[1]PURCHASE PRICE'!$A:$A=A10)/('[1]PURCHASE PRICE'!$B:$B=B10)/('[1]PURCHASE PRICE'!$C:$C=C10),'[1]PURCHASE PRICE'!$D:$D)</f>
        <v>5000</v>
      </c>
      <c r="F10">
        <f>LOOKUP(1,1/('[1]PURCHASE PRICE'!$A:$A=A10)/('[1]PURCHASE PRICE'!$B:$B=B10),'[1]PURCHASE PRICE'!$D:$D)</f>
        <v>5000</v>
      </c>
      <c r="G10" s="1">
        <f t="shared" si="0"/>
        <v>5000</v>
      </c>
      <c r="H10" s="1">
        <f t="shared" si="1"/>
        <v>400000</v>
      </c>
    </row>
    <row r="11" spans="1:8" x14ac:dyDescent="0.3">
      <c r="A11" s="6">
        <v>45696</v>
      </c>
      <c r="B11" t="s">
        <v>78</v>
      </c>
      <c r="C11" t="s">
        <v>1</v>
      </c>
      <c r="D11">
        <v>100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11050</v>
      </c>
      <c r="G11" s="1">
        <f t="shared" si="0"/>
        <v>12000</v>
      </c>
      <c r="H11" s="1">
        <f t="shared" si="1"/>
        <v>1200000</v>
      </c>
    </row>
    <row r="12" spans="1:8" x14ac:dyDescent="0.3">
      <c r="A12" s="6">
        <v>45696</v>
      </c>
      <c r="B12" t="s">
        <v>10</v>
      </c>
      <c r="C12" t="s">
        <v>79</v>
      </c>
      <c r="D12">
        <v>100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12000</v>
      </c>
      <c r="G12" s="1">
        <f t="shared" si="0"/>
        <v>7000</v>
      </c>
      <c r="H12" s="1">
        <f t="shared" si="1"/>
        <v>700000</v>
      </c>
    </row>
    <row r="13" spans="1:8" x14ac:dyDescent="0.3">
      <c r="A13" s="6">
        <v>45696</v>
      </c>
      <c r="B13" t="s">
        <v>12</v>
      </c>
      <c r="C13" t="s">
        <v>13</v>
      </c>
      <c r="D13">
        <v>80</v>
      </c>
      <c r="E13">
        <f>LOOKUP(1,1/('[1]PURCHASE PRICE'!$A:$A=A13)/('[1]PURCHASE PRICE'!$B:$B=B13)/('[1]PURCHASE PRICE'!$C:$C=C13),'[1]PURCHASE PRICE'!$D:$D)</f>
        <v>5400</v>
      </c>
      <c r="F13">
        <f>LOOKUP(1,1/('[1]PURCHASE PRICE'!$A:$A=A13)/('[1]PURCHASE PRICE'!$B:$B=B13),'[1]PURCHASE PRICE'!$D:$D)</f>
        <v>5400</v>
      </c>
      <c r="G13" s="1">
        <f t="shared" si="0"/>
        <v>5400</v>
      </c>
      <c r="H13" s="1">
        <f t="shared" si="1"/>
        <v>432000</v>
      </c>
    </row>
    <row r="14" spans="1:8" x14ac:dyDescent="0.3">
      <c r="A14" s="6">
        <v>45696</v>
      </c>
      <c r="B14" t="s">
        <v>14</v>
      </c>
      <c r="C14" t="s">
        <v>15</v>
      </c>
      <c r="D14">
        <v>65</v>
      </c>
      <c r="E14">
        <f>LOOKUP(1,1/('[1]PURCHASE PRICE'!$A:$A=A14)/('[1]PURCHASE PRICE'!$B:$B=B14)/('[1]PURCHASE PRICE'!$C:$C=C14),'[1]PURCHASE PRICE'!$D:$D)</f>
        <v>11100</v>
      </c>
      <c r="F14">
        <f>LOOKUP(1,1/('[1]PURCHASE PRICE'!$A:$A=A14)/('[1]PURCHASE PRICE'!$B:$B=B14),'[1]PURCHASE PRICE'!$D:$D)</f>
        <v>11100</v>
      </c>
      <c r="G14" s="1">
        <f t="shared" si="0"/>
        <v>11100</v>
      </c>
      <c r="H14" s="1">
        <f t="shared" si="1"/>
        <v>721500</v>
      </c>
    </row>
    <row r="15" spans="1:8" x14ac:dyDescent="0.3">
      <c r="A15" s="6">
        <v>45696</v>
      </c>
      <c r="B15" t="s">
        <v>16</v>
      </c>
      <c r="C15" t="s">
        <v>13</v>
      </c>
      <c r="D15">
        <v>120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20000</v>
      </c>
      <c r="G15" s="1">
        <f>+F15*0.3</f>
        <v>6000</v>
      </c>
      <c r="H15" s="1">
        <f t="shared" si="1"/>
        <v>720000</v>
      </c>
    </row>
    <row r="16" spans="1:8" x14ac:dyDescent="0.3">
      <c r="A16" s="6">
        <v>45696</v>
      </c>
      <c r="B16" t="s">
        <v>17</v>
      </c>
      <c r="C16" t="s">
        <v>1</v>
      </c>
      <c r="D16">
        <v>40</v>
      </c>
      <c r="E16">
        <f>LOOKUP(1,1/('[1]PURCHASE PRICE'!$A:$A=A16)/('[1]PURCHASE PRICE'!$B:$B=B16)/('[1]PURCHASE PRICE'!$C:$C=C16),'[1]PURCHASE PRICE'!$D:$D)</f>
        <v>17000</v>
      </c>
      <c r="F16">
        <f>LOOKUP(1,1/('[1]PURCHASE PRICE'!$A:$A=A16)/('[1]PURCHASE PRICE'!$B:$B=B16),'[1]PURCHASE PRICE'!$D:$D)</f>
        <v>17000</v>
      </c>
      <c r="G16" s="1">
        <f t="shared" si="0"/>
        <v>17000</v>
      </c>
      <c r="H16" s="1">
        <f t="shared" si="1"/>
        <v>680000</v>
      </c>
    </row>
    <row r="17" spans="1:8" x14ac:dyDescent="0.3">
      <c r="A17" s="6">
        <v>45696</v>
      </c>
      <c r="B17" t="s">
        <v>18</v>
      </c>
      <c r="C17" t="s">
        <v>1</v>
      </c>
      <c r="D17">
        <v>20</v>
      </c>
      <c r="E17">
        <f>LOOKUP(1,1/('[1]PURCHASE PRICE'!$A:$A=A17)/('[1]PURCHASE PRICE'!$B:$B=B17)/('[1]PURCHASE PRICE'!$C:$C=C17),'[1]PURCHASE PRICE'!$D:$D)</f>
        <v>8500</v>
      </c>
      <c r="F17">
        <f>LOOKUP(1,1/('[1]PURCHASE PRICE'!$A:$A=A17)/('[1]PURCHASE PRICE'!$B:$B=B17),'[1]PURCHASE PRICE'!$D:$D)</f>
        <v>8500</v>
      </c>
      <c r="G17" s="1">
        <f t="shared" si="0"/>
        <v>8500</v>
      </c>
      <c r="H17" s="1">
        <f t="shared" si="1"/>
        <v>170000</v>
      </c>
    </row>
    <row r="18" spans="1:8" x14ac:dyDescent="0.3">
      <c r="A18" s="6">
        <v>45696</v>
      </c>
      <c r="B18" t="s">
        <v>19</v>
      </c>
      <c r="C18" t="s">
        <v>9</v>
      </c>
      <c r="D18">
        <v>50</v>
      </c>
      <c r="E18">
        <f>LOOKUP(1,1/('[1]PURCHASE PRICE'!$A:$A=A18)/('[1]PURCHASE PRICE'!$B:$B=B18)/('[1]PURCHASE PRICE'!$C:$C=C18),'[1]PURCHASE PRICE'!$D:$D)</f>
        <v>5000</v>
      </c>
      <c r="F18">
        <f>LOOKUP(1,1/('[1]PURCHASE PRICE'!$A:$A=A18)/('[1]PURCHASE PRICE'!$B:$B=B18),'[1]PURCHASE PRICE'!$D:$D)</f>
        <v>5000</v>
      </c>
      <c r="G18" s="1">
        <f t="shared" si="0"/>
        <v>5000</v>
      </c>
      <c r="H18" s="1">
        <f t="shared" si="1"/>
        <v>250000</v>
      </c>
    </row>
    <row r="19" spans="1:8" x14ac:dyDescent="0.3">
      <c r="A19" s="6">
        <v>45696</v>
      </c>
      <c r="B19" t="s">
        <v>95</v>
      </c>
      <c r="C19" t="s">
        <v>11</v>
      </c>
      <c r="D19">
        <v>5</v>
      </c>
      <c r="E19">
        <f>LOOKUP(1,1/('[1]PURCHASE PRICE'!$A:$A=A19)/('[1]PURCHASE PRICE'!$B:$B=B19)/('[1]PURCHASE PRICE'!$C:$C=C19),'[1]PURCHASE PRICE'!$D:$D)</f>
        <v>18000</v>
      </c>
      <c r="F19">
        <f>LOOKUP(1,1/('[1]PURCHASE PRICE'!$A:$A=A19)/('[1]PURCHASE PRICE'!$B:$B=B19),'[1]PURCHASE PRICE'!$D:$D)</f>
        <v>18000</v>
      </c>
      <c r="G19" s="1">
        <f t="shared" si="0"/>
        <v>18000</v>
      </c>
      <c r="H19" s="1">
        <f t="shared" si="1"/>
        <v>90000</v>
      </c>
    </row>
    <row r="20" spans="1:8" x14ac:dyDescent="0.3">
      <c r="A20" s="6">
        <v>45696</v>
      </c>
      <c r="B20" t="s">
        <v>20</v>
      </c>
      <c r="C20" t="s">
        <v>11</v>
      </c>
      <c r="D20">
        <v>40</v>
      </c>
      <c r="E20">
        <f>LOOKUP(1,1/('[1]PURCHASE PRICE'!$A:$A=A20)/('[1]PURCHASE PRICE'!$B:$B=B20)/('[1]PURCHASE PRICE'!$C:$C=C20),'[1]PURCHASE PRICE'!$D:$D)</f>
        <v>14000</v>
      </c>
      <c r="F20">
        <f>LOOKUP(1,1/('[1]PURCHASE PRICE'!$A:$A=A20)/('[1]PURCHASE PRICE'!$B:$B=B20),'[1]PURCHASE PRICE'!$D:$D)</f>
        <v>14000</v>
      </c>
      <c r="G20" s="1">
        <f t="shared" si="0"/>
        <v>14000</v>
      </c>
      <c r="H20" s="1">
        <f t="shared" si="1"/>
        <v>560000</v>
      </c>
    </row>
    <row r="21" spans="1:8" x14ac:dyDescent="0.3">
      <c r="A21" s="6">
        <v>45696</v>
      </c>
      <c r="B21" t="s">
        <v>21</v>
      </c>
      <c r="C21" t="s">
        <v>22</v>
      </c>
      <c r="D21">
        <v>88</v>
      </c>
      <c r="E21">
        <f>LOOKUP(1,1/('[1]PURCHASE PRICE'!$A:$A=A21)/('[1]PURCHASE PRICE'!$B:$B=B21)/('[1]PURCHASE PRICE'!$C:$C=C21),'[1]PURCHASE PRICE'!$D:$D)</f>
        <v>4200</v>
      </c>
      <c r="F21">
        <f>LOOKUP(1,1/('[1]PURCHASE PRICE'!$A:$A=A21)/('[1]PURCHASE PRICE'!$B:$B=B21),'[1]PURCHASE PRICE'!$D:$D)</f>
        <v>4200</v>
      </c>
      <c r="G21" s="1">
        <f t="shared" si="0"/>
        <v>4200</v>
      </c>
      <c r="H21" s="1">
        <f t="shared" si="1"/>
        <v>369600</v>
      </c>
    </row>
    <row r="22" spans="1:8" x14ac:dyDescent="0.3">
      <c r="A22" s="6">
        <v>45696</v>
      </c>
      <c r="B22" t="s">
        <v>21</v>
      </c>
      <c r="C22" t="s">
        <v>23</v>
      </c>
      <c r="D22">
        <v>19</v>
      </c>
      <c r="E22">
        <f>LOOKUP(1,1/('[1]PURCHASE PRICE'!$A:$A=A22)/('[1]PURCHASE PRICE'!$B:$B=B22)/('[1]PURCHASE PRICE'!$C:$C=C22),'[1]PURCHASE PRICE'!$D:$D)</f>
        <v>1900</v>
      </c>
      <c r="F22">
        <f>LOOKUP(1,1/('[1]PURCHASE PRICE'!$A:$A=A22)/('[1]PURCHASE PRICE'!$B:$B=B22),'[1]PURCHASE PRICE'!$D:$D)</f>
        <v>4200</v>
      </c>
      <c r="G22" s="1">
        <f t="shared" si="0"/>
        <v>1900</v>
      </c>
      <c r="H22" s="1">
        <f t="shared" si="1"/>
        <v>36100</v>
      </c>
    </row>
    <row r="23" spans="1:8" x14ac:dyDescent="0.3">
      <c r="A23" s="6">
        <v>45696</v>
      </c>
      <c r="B23" t="s">
        <v>24</v>
      </c>
      <c r="C23" t="s">
        <v>1</v>
      </c>
      <c r="D23">
        <v>10</v>
      </c>
      <c r="E23">
        <f>LOOKUP(1,1/('[1]PURCHASE PRICE'!$A:$A=A23)/('[1]PURCHASE PRICE'!$B:$B=B23)/('[1]PURCHASE PRICE'!$C:$C=C23),'[1]PURCHASE PRICE'!$D:$D)</f>
        <v>4500</v>
      </c>
      <c r="F23">
        <f>LOOKUP(1,1/('[1]PURCHASE PRICE'!$A:$A=A23)/('[1]PURCHASE PRICE'!$B:$B=B23),'[1]PURCHASE PRICE'!$D:$D)</f>
        <v>4500</v>
      </c>
      <c r="G23" s="1">
        <f t="shared" si="0"/>
        <v>4500</v>
      </c>
      <c r="H23" s="1">
        <f t="shared" si="1"/>
        <v>45000</v>
      </c>
    </row>
    <row r="24" spans="1:8" x14ac:dyDescent="0.3">
      <c r="A24" s="6">
        <v>45696</v>
      </c>
      <c r="B24" t="s">
        <v>25</v>
      </c>
      <c r="C24" t="s">
        <v>26</v>
      </c>
      <c r="D24">
        <v>200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15000</v>
      </c>
      <c r="G24" s="1">
        <f>+F24/2</f>
        <v>7500</v>
      </c>
      <c r="H24" s="1">
        <f t="shared" si="1"/>
        <v>1500000</v>
      </c>
    </row>
    <row r="25" spans="1:8" x14ac:dyDescent="0.3">
      <c r="A25" s="6">
        <v>45696</v>
      </c>
      <c r="B25" t="s">
        <v>27</v>
      </c>
      <c r="C25" t="s">
        <v>9</v>
      </c>
      <c r="D25">
        <v>50</v>
      </c>
      <c r="E25">
        <f>LOOKUP(1,1/('[1]PURCHASE PRICE'!$A:$A=A25)/('[1]PURCHASE PRICE'!$B:$B=B25)/('[1]PURCHASE PRICE'!$C:$C=C25),'[1]PURCHASE PRICE'!$D:$D)</f>
        <v>7500</v>
      </c>
      <c r="F25">
        <f>LOOKUP(1,1/('[1]PURCHASE PRICE'!$A:$A=A25)/('[1]PURCHASE PRICE'!$B:$B=B25),'[1]PURCHASE PRICE'!$D:$D)</f>
        <v>7500</v>
      </c>
      <c r="G25" s="1">
        <f t="shared" si="0"/>
        <v>7500</v>
      </c>
      <c r="H25" s="1">
        <f t="shared" si="1"/>
        <v>375000</v>
      </c>
    </row>
    <row r="26" spans="1:8" x14ac:dyDescent="0.3">
      <c r="A26" s="6">
        <v>45696</v>
      </c>
      <c r="B26" t="s">
        <v>28</v>
      </c>
      <c r="C26" t="s">
        <v>15</v>
      </c>
      <c r="D26">
        <v>10</v>
      </c>
      <c r="E26">
        <f>LOOKUP(1,1/('[1]PURCHASE PRICE'!$A:$A=A26)/('[1]PURCHASE PRICE'!$B:$B=B26)/('[1]PURCHASE PRICE'!$C:$C=C26),'[1]PURCHASE PRICE'!$D:$D)</f>
        <v>10000</v>
      </c>
      <c r="F26">
        <f>LOOKUP(1,1/('[1]PURCHASE PRICE'!$A:$A=A26)/('[1]PURCHASE PRICE'!$B:$B=B26),'[1]PURCHASE PRICE'!$D:$D)</f>
        <v>10000</v>
      </c>
      <c r="G26" s="1">
        <f t="shared" si="0"/>
        <v>10000</v>
      </c>
      <c r="H26" s="1">
        <f t="shared" si="1"/>
        <v>100000</v>
      </c>
    </row>
    <row r="27" spans="1:8" x14ac:dyDescent="0.3">
      <c r="A27" s="6">
        <v>45696</v>
      </c>
      <c r="B27" t="s">
        <v>29</v>
      </c>
      <c r="C27" t="s">
        <v>1</v>
      </c>
      <c r="D27">
        <v>5</v>
      </c>
      <c r="E27">
        <f>LOOKUP(1,1/('[1]PURCHASE PRICE'!$A:$A=A27)/('[1]PURCHASE PRICE'!$B:$B=B27)/('[1]PURCHASE PRICE'!$C:$C=C27),'[1]PURCHASE PRICE'!$D:$D)</f>
        <v>4500</v>
      </c>
      <c r="F27">
        <f>LOOKUP(1,1/('[1]PURCHASE PRICE'!$A:$A=A27)/('[1]PURCHASE PRICE'!$B:$B=B27),'[1]PURCHASE PRICE'!$D:$D)</f>
        <v>4500</v>
      </c>
      <c r="G27" s="1">
        <f t="shared" si="0"/>
        <v>4500</v>
      </c>
      <c r="H27" s="1">
        <f t="shared" si="1"/>
        <v>22500</v>
      </c>
    </row>
    <row r="28" spans="1:8" x14ac:dyDescent="0.3">
      <c r="A28" s="6">
        <v>45696</v>
      </c>
      <c r="B28" t="s">
        <v>80</v>
      </c>
      <c r="C28" t="s">
        <v>1</v>
      </c>
      <c r="D28">
        <v>10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 s="1">
        <f t="shared" si="0"/>
        <v>10000</v>
      </c>
      <c r="H28" s="1">
        <f t="shared" si="1"/>
        <v>100000</v>
      </c>
    </row>
    <row r="29" spans="1:8" x14ac:dyDescent="0.3">
      <c r="A29" s="6">
        <v>45696</v>
      </c>
      <c r="B29" t="s">
        <v>30</v>
      </c>
      <c r="C29" t="s">
        <v>11</v>
      </c>
      <c r="D29">
        <v>40</v>
      </c>
      <c r="E29">
        <f>LOOKUP(1,1/('[1]PURCHASE PRICE'!$A:$A=A29)/('[1]PURCHASE PRICE'!$B:$B=B29)/('[1]PURCHASE PRICE'!$C:$C=C29),'[1]PURCHASE PRICE'!$D:$D)</f>
        <v>9000</v>
      </c>
      <c r="F29">
        <f>LOOKUP(1,1/('[1]PURCHASE PRICE'!$A:$A=A29)/('[1]PURCHASE PRICE'!$B:$B=B29),'[1]PURCHASE PRICE'!$D:$D)</f>
        <v>9000</v>
      </c>
      <c r="G29" s="1">
        <f t="shared" si="0"/>
        <v>9000</v>
      </c>
      <c r="H29" s="1">
        <f t="shared" si="1"/>
        <v>360000</v>
      </c>
    </row>
    <row r="30" spans="1:8" x14ac:dyDescent="0.3">
      <c r="A30" s="6">
        <v>45696</v>
      </c>
      <c r="B30" t="s">
        <v>32</v>
      </c>
      <c r="C30" t="s">
        <v>11</v>
      </c>
      <c r="D30">
        <v>20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1"/>
        <v>400000</v>
      </c>
    </row>
    <row r="31" spans="1:8" x14ac:dyDescent="0.3">
      <c r="A31" s="6">
        <v>45696</v>
      </c>
      <c r="B31" t="s">
        <v>33</v>
      </c>
      <c r="C31" t="s">
        <v>1</v>
      </c>
      <c r="D31">
        <v>115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27000</v>
      </c>
      <c r="H31" s="1">
        <f t="shared" si="1"/>
        <v>3105000</v>
      </c>
    </row>
    <row r="32" spans="1:8" x14ac:dyDescent="0.3">
      <c r="A32" s="6">
        <v>45696</v>
      </c>
      <c r="B32" t="s">
        <v>34</v>
      </c>
      <c r="C32" t="s">
        <v>1</v>
      </c>
      <c r="D32">
        <v>100</v>
      </c>
      <c r="E32">
        <f>LOOKUP(1,1/('[1]PURCHASE PRICE'!$A:$A=A32)/('[1]PURCHASE PRICE'!$B:$B=B32)/('[1]PURCHASE PRICE'!$C:$C=C32),'[1]PURCHASE PRICE'!$D:$D)</f>
        <v>16000</v>
      </c>
      <c r="F32">
        <f>LOOKUP(1,1/('[1]PURCHASE PRICE'!$A:$A=A32)/('[1]PURCHASE PRICE'!$B:$B=B32),'[1]PURCHASE PRICE'!$D:$D)</f>
        <v>16000</v>
      </c>
      <c r="G32" s="1">
        <f t="shared" si="0"/>
        <v>16000</v>
      </c>
      <c r="H32" s="1">
        <f t="shared" si="1"/>
        <v>1600000</v>
      </c>
    </row>
    <row r="33" spans="1:8" x14ac:dyDescent="0.3">
      <c r="A33" s="6">
        <v>45696</v>
      </c>
      <c r="B33" t="s">
        <v>35</v>
      </c>
      <c r="C33" t="s">
        <v>11</v>
      </c>
      <c r="D33">
        <v>40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15000</v>
      </c>
      <c r="H33" s="1">
        <f t="shared" si="1"/>
        <v>600000</v>
      </c>
    </row>
    <row r="34" spans="1:8" x14ac:dyDescent="0.3">
      <c r="A34" s="6">
        <v>45696</v>
      </c>
      <c r="B34" t="s">
        <v>36</v>
      </c>
      <c r="C34" t="s">
        <v>22</v>
      </c>
      <c r="D34">
        <v>10</v>
      </c>
      <c r="E34">
        <f>LOOKUP(1,1/('[1]PURCHASE PRICE'!$A:$A=A34)/('[1]PURCHASE PRICE'!$B:$B=B34)/('[1]PURCHASE PRICE'!$C:$C=C34),'[1]PURCHASE PRICE'!$D:$D)</f>
        <v>6000</v>
      </c>
      <c r="F34">
        <f>LOOKUP(1,1/('[1]PURCHASE PRICE'!$A:$A=A34)/('[1]PURCHASE PRICE'!$B:$B=B34),'[1]PURCHASE PRICE'!$D:$D)</f>
        <v>6000</v>
      </c>
      <c r="G34" s="1">
        <f t="shared" si="0"/>
        <v>6000</v>
      </c>
      <c r="H34" s="1">
        <f t="shared" si="1"/>
        <v>60000</v>
      </c>
    </row>
    <row r="35" spans="1:8" x14ac:dyDescent="0.3">
      <c r="A35" s="6">
        <v>45696</v>
      </c>
      <c r="B35" t="s">
        <v>37</v>
      </c>
      <c r="C35" t="s">
        <v>31</v>
      </c>
      <c r="D35">
        <v>10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11000</v>
      </c>
      <c r="G35" s="1">
        <f>+F35*0.3</f>
        <v>3300</v>
      </c>
      <c r="H35" s="1">
        <f t="shared" si="1"/>
        <v>33000</v>
      </c>
    </row>
    <row r="36" spans="1:8" x14ac:dyDescent="0.3">
      <c r="A36" s="6">
        <v>45696</v>
      </c>
      <c r="B36" t="s">
        <v>39</v>
      </c>
      <c r="C36" t="s">
        <v>9</v>
      </c>
      <c r="D36">
        <v>700</v>
      </c>
      <c r="E36">
        <f>LOOKUP(1,1/('[1]PURCHASE PRICE'!$A:$A=A36)/('[1]PURCHASE PRICE'!$B:$B=B36)/('[1]PURCHASE PRICE'!$C:$C=C36),'[1]PURCHASE PRICE'!$D:$D)</f>
        <v>6500</v>
      </c>
      <c r="F36">
        <f>LOOKUP(1,1/('[1]PURCHASE PRICE'!$A:$A=A36)/('[1]PURCHASE PRICE'!$B:$B=B36),'[1]PURCHASE PRICE'!$D:$D)</f>
        <v>9500</v>
      </c>
      <c r="G36" s="1">
        <f t="shared" si="0"/>
        <v>6500</v>
      </c>
      <c r="H36" s="1">
        <f t="shared" si="1"/>
        <v>4550000</v>
      </c>
    </row>
    <row r="37" spans="1:8" x14ac:dyDescent="0.3">
      <c r="A37" s="6">
        <v>45696</v>
      </c>
      <c r="B37" t="s">
        <v>40</v>
      </c>
      <c r="C37" t="s">
        <v>22</v>
      </c>
      <c r="D37">
        <v>30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12000</v>
      </c>
      <c r="G37" s="1">
        <f>+F37*0.3</f>
        <v>3600</v>
      </c>
      <c r="H37" s="1">
        <f t="shared" si="1"/>
        <v>108000</v>
      </c>
    </row>
    <row r="38" spans="1:8" x14ac:dyDescent="0.3">
      <c r="A38" s="6">
        <v>45696</v>
      </c>
      <c r="B38" t="s">
        <v>41</v>
      </c>
      <c r="C38" t="s">
        <v>26</v>
      </c>
      <c r="D38">
        <v>120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12000</v>
      </c>
      <c r="G38" s="1">
        <f>+F38*0.15</f>
        <v>1800</v>
      </c>
      <c r="H38" s="1">
        <f t="shared" si="1"/>
        <v>216000</v>
      </c>
    </row>
    <row r="39" spans="1:8" x14ac:dyDescent="0.3">
      <c r="A39" s="6">
        <v>45696</v>
      </c>
      <c r="B39" t="s">
        <v>42</v>
      </c>
      <c r="C39" t="s">
        <v>11</v>
      </c>
      <c r="D39">
        <v>10</v>
      </c>
      <c r="E39">
        <f>LOOKUP(1,1/('[1]PURCHASE PRICE'!$A:$A=A39)/('[1]PURCHASE PRICE'!$B:$B=B39)/('[1]PURCHASE PRICE'!$C:$C=C39),'[1]PURCHASE PRICE'!$D:$D)</f>
        <v>25000</v>
      </c>
      <c r="F39">
        <f>LOOKUP(1,1/('[1]PURCHASE PRICE'!$A:$A=A39)/('[1]PURCHASE PRICE'!$B:$B=B39),'[1]PURCHASE PRICE'!$D:$D)</f>
        <v>25000</v>
      </c>
      <c r="G39" s="1">
        <f t="shared" si="0"/>
        <v>25000</v>
      </c>
      <c r="H39" s="1">
        <f t="shared" si="1"/>
        <v>250000</v>
      </c>
    </row>
    <row r="40" spans="1:8" x14ac:dyDescent="0.3">
      <c r="A40" s="6">
        <v>45696</v>
      </c>
      <c r="B40" t="s">
        <v>44</v>
      </c>
      <c r="C40" t="s">
        <v>22</v>
      </c>
      <c r="D40">
        <v>300</v>
      </c>
      <c r="E40">
        <f>LOOKUP(1,1/('[1]PURCHASE PRICE'!$A:$A=A40)/('[1]PURCHASE PRICE'!$B:$B=B40)/('[1]PURCHASE PRICE'!$C:$C=C40),'[1]PURCHASE PRICE'!$D:$D)</f>
        <v>2900</v>
      </c>
      <c r="F40">
        <f>LOOKUP(1,1/('[1]PURCHASE PRICE'!$A:$A=A40)/('[1]PURCHASE PRICE'!$B:$B=B40),'[1]PURCHASE PRICE'!$D:$D)</f>
        <v>2900</v>
      </c>
      <c r="G40" s="1">
        <f t="shared" si="0"/>
        <v>2900</v>
      </c>
      <c r="H40" s="1">
        <f t="shared" si="1"/>
        <v>870000</v>
      </c>
    </row>
    <row r="41" spans="1:8" x14ac:dyDescent="0.3">
      <c r="A41" s="6">
        <v>45696</v>
      </c>
      <c r="B41" t="s">
        <v>65</v>
      </c>
      <c r="C41" t="s">
        <v>1</v>
      </c>
      <c r="D41">
        <v>5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14000</v>
      </c>
      <c r="H41" s="1">
        <f t="shared" si="1"/>
        <v>70000</v>
      </c>
    </row>
    <row r="42" spans="1:8" x14ac:dyDescent="0.3">
      <c r="A42" s="6">
        <v>45696</v>
      </c>
      <c r="B42" t="s">
        <v>45</v>
      </c>
      <c r="C42" t="s">
        <v>11</v>
      </c>
      <c r="D42">
        <v>45</v>
      </c>
      <c r="E42">
        <f>LOOKUP(1,1/('[1]PURCHASE PRICE'!$A:$A=A42)/('[1]PURCHASE PRICE'!$B:$B=B42)/('[1]PURCHASE PRICE'!$C:$C=C42),'[1]PURCHASE PRICE'!$D:$D)</f>
        <v>40000</v>
      </c>
      <c r="F42">
        <f>LOOKUP(1,1/('[1]PURCHASE PRICE'!$A:$A=A42)/('[1]PURCHASE PRICE'!$B:$B=B42),'[1]PURCHASE PRICE'!$D:$D)</f>
        <v>40000</v>
      </c>
      <c r="G42" s="1">
        <f t="shared" si="0"/>
        <v>40000</v>
      </c>
      <c r="H42" s="1">
        <f t="shared" si="1"/>
        <v>1800000</v>
      </c>
    </row>
    <row r="43" spans="1:8" x14ac:dyDescent="0.3">
      <c r="A43" s="6">
        <v>45696</v>
      </c>
      <c r="B43" t="s">
        <v>46</v>
      </c>
      <c r="C43" t="s">
        <v>9</v>
      </c>
      <c r="D43">
        <v>6</v>
      </c>
      <c r="E43" t="e">
        <f>LOOKUP(1,1/('[1]PURCHASE PRICE'!$A:$A=A43)/('[1]PURCHASE PRICE'!$B:$B=B43)/('[1]PURCHASE PRICE'!$C:$C=C43),'[1]PURCHASE PRICE'!$D:$D)</f>
        <v>#N/A</v>
      </c>
      <c r="F43">
        <f>58000*0.35</f>
        <v>20300</v>
      </c>
      <c r="G43" s="1">
        <f>+F43</f>
        <v>20300</v>
      </c>
      <c r="H43" s="1">
        <f t="shared" si="1"/>
        <v>121800</v>
      </c>
    </row>
    <row r="44" spans="1:8" x14ac:dyDescent="0.3">
      <c r="A44" s="6">
        <v>45696</v>
      </c>
      <c r="B44" t="s">
        <v>47</v>
      </c>
      <c r="C44" t="s">
        <v>11</v>
      </c>
      <c r="D44">
        <v>15</v>
      </c>
      <c r="E44">
        <f>LOOKUP(1,1/('[1]PURCHASE PRICE'!$A:$A=A44)/('[1]PURCHASE PRICE'!$B:$B=B44)/('[1]PURCHASE PRICE'!$C:$C=C44),'[1]PURCHASE PRICE'!$D:$D)</f>
        <v>50000</v>
      </c>
      <c r="F44">
        <f>LOOKUP(1,1/('[1]PURCHASE PRICE'!$A:$A=A44)/('[1]PURCHASE PRICE'!$B:$B=B44),'[1]PURCHASE PRICE'!$D:$D)</f>
        <v>50000</v>
      </c>
      <c r="G44" s="1">
        <f t="shared" si="0"/>
        <v>50000</v>
      </c>
      <c r="H44" s="1">
        <f t="shared" si="1"/>
        <v>750000</v>
      </c>
    </row>
    <row r="45" spans="1:8" x14ac:dyDescent="0.3">
      <c r="A45" s="6">
        <v>45696</v>
      </c>
      <c r="B45" t="s">
        <v>48</v>
      </c>
      <c r="C45" t="s">
        <v>77</v>
      </c>
      <c r="D45">
        <v>150</v>
      </c>
      <c r="E45" t="e">
        <f>LOOKUP(1,1/('[1]PURCHASE PRICE'!$A:$A=A45)/('[1]PURCHASE PRICE'!$B:$B=B45)/('[1]PURCHASE PRICE'!$C:$C=C45),'[1]PURCHASE PRICE'!$D:$D)</f>
        <v>#N/A</v>
      </c>
      <c r="F45">
        <v>58000</v>
      </c>
      <c r="G45" s="1">
        <f>+F45*0.25</f>
        <v>14500</v>
      </c>
      <c r="H45" s="1">
        <f t="shared" si="1"/>
        <v>2175000</v>
      </c>
    </row>
    <row r="46" spans="1:8" x14ac:dyDescent="0.3">
      <c r="A46" s="6">
        <v>45696</v>
      </c>
      <c r="B46" t="s">
        <v>49</v>
      </c>
      <c r="C46" t="s">
        <v>11</v>
      </c>
      <c r="D46">
        <v>5</v>
      </c>
      <c r="E46">
        <f>LOOKUP(1,1/('[1]PURCHASE PRICE'!$A:$A=A46)/('[1]PURCHASE PRICE'!$B:$B=B46)/('[1]PURCHASE PRICE'!$C:$C=C46),'[1]PURCHASE PRICE'!$D:$D)</f>
        <v>60000</v>
      </c>
      <c r="F46">
        <f>LOOKUP(1,1/('[1]PURCHASE PRICE'!$A:$A=A46)/('[1]PURCHASE PRICE'!$B:$B=B46),'[1]PURCHASE PRICE'!$D:$D)</f>
        <v>60000</v>
      </c>
      <c r="G46" s="1">
        <f t="shared" si="0"/>
        <v>60000</v>
      </c>
      <c r="H46" s="1">
        <f t="shared" si="1"/>
        <v>300000</v>
      </c>
    </row>
    <row r="47" spans="1:8" x14ac:dyDescent="0.3">
      <c r="A47" s="6">
        <v>45696</v>
      </c>
      <c r="B47" t="s">
        <v>50</v>
      </c>
      <c r="C47" t="s">
        <v>77</v>
      </c>
      <c r="D47">
        <v>120</v>
      </c>
      <c r="E47" t="e">
        <f>LOOKUP(1,1/('[1]PURCHASE PRICE'!$A:$A=A47)/('[1]PURCHASE PRICE'!$B:$B=B47)/('[1]PURCHASE PRICE'!$C:$C=C47),'[1]PURCHASE PRICE'!$D:$D)</f>
        <v>#N/A</v>
      </c>
      <c r="F47">
        <v>58000</v>
      </c>
      <c r="G47" s="1">
        <f>+F47*0.25</f>
        <v>14500</v>
      </c>
      <c r="H47" s="1">
        <f t="shared" si="1"/>
        <v>1740000</v>
      </c>
    </row>
    <row r="48" spans="1:8" x14ac:dyDescent="0.3">
      <c r="A48" s="6">
        <v>45696</v>
      </c>
      <c r="B48" t="s">
        <v>52</v>
      </c>
      <c r="C48" t="s">
        <v>77</v>
      </c>
      <c r="D48">
        <v>50</v>
      </c>
      <c r="E48" t="e">
        <f>LOOKUP(1,1/('[1]PURCHASE PRICE'!$A:$A=A48)/('[1]PURCHASE PRICE'!$B:$B=B48)/('[1]PURCHASE PRICE'!$C:$C=C48),'[1]PURCHASE PRICE'!$D:$D)</f>
        <v>#N/A</v>
      </c>
      <c r="F48">
        <v>58000</v>
      </c>
      <c r="G48" s="1">
        <f>+F48</f>
        <v>58000</v>
      </c>
      <c r="H48" s="1">
        <f t="shared" si="1"/>
        <v>2900000</v>
      </c>
    </row>
    <row r="49" spans="1:8" x14ac:dyDescent="0.3">
      <c r="A49" s="6">
        <v>45696</v>
      </c>
      <c r="B49" t="s">
        <v>53</v>
      </c>
      <c r="C49" t="s">
        <v>22</v>
      </c>
      <c r="D49">
        <v>200</v>
      </c>
      <c r="E49">
        <f>LOOKUP(1,1/('[1]PURCHASE PRICE'!$A:$A=A49)/('[1]PURCHASE PRICE'!$B:$B=B49)/('[1]PURCHASE PRICE'!$C:$C=C49),'[1]PURCHASE PRICE'!$D:$D)</f>
        <v>18000</v>
      </c>
      <c r="F49">
        <f>LOOKUP(1,1/('[1]PURCHASE PRICE'!$A:$A=A49)/('[1]PURCHASE PRICE'!$B:$B=B49),'[1]PURCHASE PRICE'!$D:$D)</f>
        <v>18000</v>
      </c>
      <c r="G49" s="1">
        <f t="shared" si="0"/>
        <v>18000</v>
      </c>
      <c r="H49" s="1">
        <f t="shared" si="1"/>
        <v>3600000</v>
      </c>
    </row>
    <row r="50" spans="1:8" x14ac:dyDescent="0.3">
      <c r="A50" s="6">
        <v>45696</v>
      </c>
      <c r="B50" t="s">
        <v>54</v>
      </c>
      <c r="C50" t="s">
        <v>11</v>
      </c>
      <c r="D50">
        <v>5</v>
      </c>
      <c r="E50">
        <f>LOOKUP(1,1/('[1]PURCHASE PRICE'!$A:$A=A50)/('[1]PURCHASE PRICE'!$B:$B=B50)/('[1]PURCHASE PRICE'!$C:$C=C50),'[1]PURCHASE PRICE'!$D:$D)</f>
        <v>35000</v>
      </c>
      <c r="F50">
        <f>LOOKUP(1,1/('[1]PURCHASE PRICE'!$A:$A=A50)/('[1]PURCHASE PRICE'!$B:$B=B50),'[1]PURCHASE PRICE'!$D:$D)</f>
        <v>35000</v>
      </c>
      <c r="G50" s="1">
        <f t="shared" si="0"/>
        <v>35000</v>
      </c>
      <c r="H50" s="1">
        <f t="shared" si="1"/>
        <v>175000</v>
      </c>
    </row>
    <row r="51" spans="1:8" x14ac:dyDescent="0.3">
      <c r="A51" s="6">
        <v>45696</v>
      </c>
      <c r="B51" t="s">
        <v>83</v>
      </c>
      <c r="C51" t="s">
        <v>11</v>
      </c>
      <c r="D51">
        <v>10</v>
      </c>
      <c r="E51">
        <f>LOOKUP(1,1/('[1]PURCHASE PRICE'!$A:$A=A51)/('[1]PURCHASE PRICE'!$B:$B=B51)/('[1]PURCHASE PRICE'!$C:$C=C51),'[1]PURCHASE PRICE'!$D:$D)</f>
        <v>18000</v>
      </c>
      <c r="F51">
        <f>LOOKUP(1,1/('[1]PURCHASE PRICE'!$A:$A=A51)/('[1]PURCHASE PRICE'!$B:$B=B51),'[1]PURCHASE PRICE'!$D:$D)</f>
        <v>18000</v>
      </c>
      <c r="G51" s="1">
        <f t="shared" si="0"/>
        <v>18000</v>
      </c>
      <c r="H51" s="1">
        <f t="shared" si="1"/>
        <v>180000</v>
      </c>
    </row>
    <row r="52" spans="1:8" x14ac:dyDescent="0.3">
      <c r="A52" s="6">
        <v>45696</v>
      </c>
      <c r="B52" t="s">
        <v>55</v>
      </c>
      <c r="C52" t="s">
        <v>1</v>
      </c>
      <c r="D52">
        <v>100</v>
      </c>
      <c r="E52">
        <f>LOOKUP(1,1/('[1]PURCHASE PRICE'!$A:$A=A52)/('[1]PURCHASE PRICE'!$B:$B=B52)/('[1]PURCHASE PRICE'!$C:$C=C52),'[1]PURCHASE PRICE'!$D:$D)</f>
        <v>13000</v>
      </c>
      <c r="F52">
        <f>LOOKUP(1,1/('[1]PURCHASE PRICE'!$A:$A=A52)/('[1]PURCHASE PRICE'!$B:$B=B52),'[1]PURCHASE PRICE'!$D:$D)</f>
        <v>13000</v>
      </c>
      <c r="G52" s="1">
        <f t="shared" si="0"/>
        <v>13000</v>
      </c>
      <c r="H52" s="1">
        <f t="shared" si="1"/>
        <v>1300000</v>
      </c>
    </row>
    <row r="53" spans="1:8" x14ac:dyDescent="0.3">
      <c r="A53" s="6">
        <v>45696</v>
      </c>
      <c r="B53" t="s">
        <v>56</v>
      </c>
      <c r="C53" t="s">
        <v>26</v>
      </c>
      <c r="D53">
        <v>80</v>
      </c>
      <c r="E53">
        <f>LOOKUP(1,1/('[1]PURCHASE PRICE'!$A:$A=A53)/('[1]PURCHASE PRICE'!$B:$B=B53)/('[1]PURCHASE PRICE'!$C:$C=C53),'[1]PURCHASE PRICE'!$D:$D)</f>
        <v>6800</v>
      </c>
      <c r="F53">
        <f>LOOKUP(1,1/('[1]PURCHASE PRICE'!$A:$A=A53)/('[1]PURCHASE PRICE'!$B:$B=B53),'[1]PURCHASE PRICE'!$D:$D)</f>
        <v>6800</v>
      </c>
      <c r="G53" s="1">
        <f t="shared" si="0"/>
        <v>6800</v>
      </c>
      <c r="H53" s="1">
        <f t="shared" si="1"/>
        <v>544000</v>
      </c>
    </row>
    <row r="54" spans="1:8" x14ac:dyDescent="0.3">
      <c r="A54" s="6">
        <v>45696</v>
      </c>
      <c r="B54" t="s">
        <v>96</v>
      </c>
      <c r="C54" t="s">
        <v>1</v>
      </c>
      <c r="D54">
        <v>50</v>
      </c>
      <c r="E54">
        <f>LOOKUP(1,1/('[1]PURCHASE PRICE'!$A:$A=A54)/('[1]PURCHASE PRICE'!$B:$B=B54)/('[1]PURCHASE PRICE'!$C:$C=C54),'[1]PURCHASE PRICE'!$D:$D)</f>
        <v>24000</v>
      </c>
      <c r="F54">
        <f>LOOKUP(1,1/('[1]PURCHASE PRICE'!$A:$A=A54)/('[1]PURCHASE PRICE'!$B:$B=B54),'[1]PURCHASE PRICE'!$D:$D)</f>
        <v>24000</v>
      </c>
      <c r="G54" s="1">
        <f t="shared" si="0"/>
        <v>24000</v>
      </c>
      <c r="H54" s="1">
        <f t="shared" si="1"/>
        <v>1200000</v>
      </c>
    </row>
    <row r="55" spans="1:8" x14ac:dyDescent="0.3">
      <c r="A55" s="6">
        <v>45696</v>
      </c>
      <c r="B55" t="s">
        <v>57</v>
      </c>
      <c r="C55" t="s">
        <v>26</v>
      </c>
      <c r="D55">
        <v>25</v>
      </c>
      <c r="E55">
        <f>LOOKUP(1,1/('[1]PURCHASE PRICE'!$A:$A=A55)/('[1]PURCHASE PRICE'!$B:$B=B55)/('[1]PURCHASE PRICE'!$C:$C=C55),'[1]PURCHASE PRICE'!$D:$D)</f>
        <v>6800</v>
      </c>
      <c r="F55">
        <f>LOOKUP(1,1/('[1]PURCHASE PRICE'!$A:$A=A55)/('[1]PURCHASE PRICE'!$B:$B=B55),'[1]PURCHASE PRICE'!$D:$D)</f>
        <v>6800</v>
      </c>
      <c r="G55" s="1">
        <f t="shared" si="0"/>
        <v>6800</v>
      </c>
      <c r="H55" s="1">
        <f t="shared" si="1"/>
        <v>170000</v>
      </c>
    </row>
    <row r="56" spans="1:8" x14ac:dyDescent="0.3">
      <c r="A56" s="6">
        <v>45696</v>
      </c>
      <c r="B56" t="s">
        <v>58</v>
      </c>
      <c r="C56" t="s">
        <v>1</v>
      </c>
      <c r="D56">
        <v>35.299999999999997</v>
      </c>
      <c r="E56">
        <f>LOOKUP(1,1/('[1]PURCHASE PRICE'!$A:$A=A56)/('[1]PURCHASE PRICE'!$B:$B=B56)/('[1]PURCHASE PRICE'!$C:$C=C56),'[1]PURCHASE PRICE'!$D:$D)</f>
        <v>18000</v>
      </c>
      <c r="F56">
        <f>LOOKUP(1,1/('[1]PURCHASE PRICE'!$A:$A=A56)/('[1]PURCHASE PRICE'!$B:$B=B56),'[1]PURCHASE PRICE'!$D:$D)</f>
        <v>18000</v>
      </c>
      <c r="G56" s="1">
        <f t="shared" si="0"/>
        <v>18000</v>
      </c>
      <c r="H56" s="1">
        <f t="shared" si="1"/>
        <v>635400</v>
      </c>
    </row>
    <row r="57" spans="1:8" x14ac:dyDescent="0.3">
      <c r="A57" s="6">
        <v>45696</v>
      </c>
      <c r="B57" t="s">
        <v>59</v>
      </c>
      <c r="C57" t="s">
        <v>11</v>
      </c>
      <c r="D57">
        <v>2</v>
      </c>
      <c r="E57">
        <f>LOOKUP(1,1/('[1]PURCHASE PRICE'!$A:$A=A57)/('[1]PURCHASE PRICE'!$B:$B=B57)/('[1]PURCHASE PRICE'!$C:$C=C57),'[1]PURCHASE PRICE'!$D:$D)</f>
        <v>70000</v>
      </c>
      <c r="F57">
        <f>LOOKUP(1,1/('[1]PURCHASE PRICE'!$A:$A=A57)/('[1]PURCHASE PRICE'!$B:$B=B57),'[1]PURCHASE PRICE'!$D:$D)</f>
        <v>70000</v>
      </c>
      <c r="G57" s="1">
        <f t="shared" si="0"/>
        <v>70000</v>
      </c>
      <c r="H57" s="1">
        <f t="shared" si="1"/>
        <v>140000</v>
      </c>
    </row>
    <row r="58" spans="1:8" x14ac:dyDescent="0.3">
      <c r="A58" s="6">
        <v>45696</v>
      </c>
      <c r="B58" t="s">
        <v>61</v>
      </c>
      <c r="C58" t="s">
        <v>26</v>
      </c>
      <c r="D58">
        <v>5</v>
      </c>
      <c r="E58">
        <f>LOOKUP(1,1/('[1]PURCHASE PRICE'!$A:$A=A58)/('[1]PURCHASE PRICE'!$B:$B=B58)/('[1]PURCHASE PRICE'!$C:$C=C58),'[1]PURCHASE PRICE'!$D:$D)</f>
        <v>6500</v>
      </c>
      <c r="F58">
        <f>LOOKUP(1,1/('[1]PURCHASE PRICE'!$A:$A=A58)/('[1]PURCHASE PRICE'!$B:$B=B58),'[1]PURCHASE PRICE'!$D:$D)</f>
        <v>6500</v>
      </c>
      <c r="G58" s="1">
        <f t="shared" si="0"/>
        <v>6500</v>
      </c>
      <c r="H58" s="1">
        <f t="shared" si="1"/>
        <v>32500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3D93-788E-47E3-935A-EB8F08D45A88}">
  <dimension ref="A1:H41"/>
  <sheetViews>
    <sheetView workbookViewId="0">
      <selection activeCell="H1" sqref="H1"/>
    </sheetView>
  </sheetViews>
  <sheetFormatPr defaultRowHeight="14.4" x14ac:dyDescent="0.3"/>
  <cols>
    <col min="1" max="1" width="12.5546875" customWidth="1"/>
    <col min="2" max="2" width="22.554687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SUM(H3:H51)</f>
        <v>24568900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45697</v>
      </c>
      <c r="B3" t="s">
        <v>4</v>
      </c>
      <c r="C3" t="s">
        <v>11</v>
      </c>
      <c r="D3">
        <v>76</v>
      </c>
      <c r="E3">
        <f>LOOKUP(1,1/('[1]PURCHASE PRICE'!$A:$A=A3)/('[1]PURCHASE PRICE'!$B:$B=B3)/('[1]PURCHASE PRICE'!$C:$C=C3),'[1]PURCHASE PRICE'!$D:$D)</f>
        <v>15000</v>
      </c>
      <c r="F3">
        <f>LOOKUP(1,1/('[1]PURCHASE PRICE'!$A:$A=A3)/('[1]PURCHASE PRICE'!$B:$B=B3),'[1]PURCHASE PRICE'!$D:$D)</f>
        <v>15000</v>
      </c>
      <c r="G3" s="1">
        <f>E3</f>
        <v>15000</v>
      </c>
      <c r="H3" s="1">
        <f>+G3*D3</f>
        <v>1140000</v>
      </c>
    </row>
    <row r="4" spans="1:8" x14ac:dyDescent="0.3">
      <c r="A4" s="6">
        <v>45697</v>
      </c>
      <c r="B4" t="s">
        <v>4</v>
      </c>
      <c r="C4" t="s">
        <v>105</v>
      </c>
      <c r="D4">
        <v>200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15000</v>
      </c>
      <c r="G4" s="1">
        <f>+F4*0.3</f>
        <v>4500</v>
      </c>
      <c r="H4" s="1">
        <f t="shared" ref="H4:H41" si="0">+G4*D4</f>
        <v>900000</v>
      </c>
    </row>
    <row r="5" spans="1:8" x14ac:dyDescent="0.3">
      <c r="A5" s="6">
        <v>45697</v>
      </c>
      <c r="B5" t="s">
        <v>0</v>
      </c>
      <c r="C5" t="s">
        <v>1</v>
      </c>
      <c r="D5">
        <v>30</v>
      </c>
      <c r="E5">
        <f>LOOKUP(1,1/('[1]PURCHASE PRICE'!$A:$A=A5)/('[1]PURCHASE PRICE'!$B:$B=B5)/('[1]PURCHASE PRICE'!$C:$C=C5),'[1]PURCHASE PRICE'!$D:$D)</f>
        <v>18000</v>
      </c>
      <c r="F5">
        <f>LOOKUP(1,1/('[1]PURCHASE PRICE'!$A:$A=A5)/('[1]PURCHASE PRICE'!$B:$B=B5),'[1]PURCHASE PRICE'!$D:$D)</f>
        <v>18000</v>
      </c>
      <c r="G5" s="1">
        <f t="shared" ref="G5:G41" si="1">E5</f>
        <v>18000</v>
      </c>
      <c r="H5" s="1">
        <f t="shared" si="0"/>
        <v>540000</v>
      </c>
    </row>
    <row r="6" spans="1:8" x14ac:dyDescent="0.3">
      <c r="A6" s="6">
        <v>45697</v>
      </c>
      <c r="B6" t="s">
        <v>3</v>
      </c>
      <c r="C6" t="s">
        <v>7</v>
      </c>
      <c r="D6">
        <v>16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12000</v>
      </c>
      <c r="G6" s="1">
        <f>+F6*0.3</f>
        <v>3600</v>
      </c>
      <c r="H6" s="1">
        <f t="shared" si="0"/>
        <v>57600</v>
      </c>
    </row>
    <row r="7" spans="1:8" x14ac:dyDescent="0.3">
      <c r="A7" s="6">
        <v>45697</v>
      </c>
      <c r="B7" t="s">
        <v>6</v>
      </c>
      <c r="C7" t="s">
        <v>7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15000</v>
      </c>
      <c r="G7" s="1">
        <f>+F7*0.3</f>
        <v>4500</v>
      </c>
      <c r="H7" s="1">
        <f t="shared" si="0"/>
        <v>900000</v>
      </c>
    </row>
    <row r="8" spans="1:8" x14ac:dyDescent="0.3">
      <c r="A8" s="6">
        <v>45697</v>
      </c>
      <c r="B8" t="s">
        <v>63</v>
      </c>
      <c r="C8" t="s">
        <v>1</v>
      </c>
      <c r="D8">
        <v>10</v>
      </c>
      <c r="E8">
        <f>LOOKUP(1,1/('[1]PURCHASE PRICE'!$A:$A=A8)/('[1]PURCHASE PRICE'!$B:$B=B8)/('[1]PURCHASE PRICE'!$C:$C=C8),'[1]PURCHASE PRICE'!$D:$D)</f>
        <v>20000</v>
      </c>
      <c r="F8">
        <f>LOOKUP(1,1/('[1]PURCHASE PRICE'!$A:$A=A8)/('[1]PURCHASE PRICE'!$B:$B=B8),'[1]PURCHASE PRICE'!$D:$D)</f>
        <v>20000</v>
      </c>
      <c r="G8" s="1">
        <f t="shared" si="1"/>
        <v>20000</v>
      </c>
      <c r="H8" s="1">
        <f t="shared" si="0"/>
        <v>200000</v>
      </c>
    </row>
    <row r="9" spans="1:8" x14ac:dyDescent="0.3">
      <c r="A9" s="6">
        <v>45697</v>
      </c>
      <c r="B9" t="s">
        <v>8</v>
      </c>
      <c r="C9" t="s">
        <v>9</v>
      </c>
      <c r="D9">
        <v>30</v>
      </c>
      <c r="E9">
        <f>LOOKUP(1,1/('[1]PURCHASE PRICE'!$A:$A=A9)/('[1]PURCHASE PRICE'!$B:$B=B9)/('[1]PURCHASE PRICE'!$C:$C=C9),'[1]PURCHASE PRICE'!$D:$D)</f>
        <v>5000</v>
      </c>
      <c r="F9">
        <f>LOOKUP(1,1/('[1]PURCHASE PRICE'!$A:$A=A9)/('[1]PURCHASE PRICE'!$B:$B=B9),'[1]PURCHASE PRICE'!$D:$D)</f>
        <v>5000</v>
      </c>
      <c r="G9" s="1">
        <f t="shared" si="1"/>
        <v>5000</v>
      </c>
      <c r="H9" s="1">
        <f t="shared" si="0"/>
        <v>150000</v>
      </c>
    </row>
    <row r="10" spans="1:8" x14ac:dyDescent="0.3">
      <c r="A10" s="6">
        <v>45697</v>
      </c>
      <c r="B10" t="s">
        <v>78</v>
      </c>
      <c r="C10" t="s">
        <v>1</v>
      </c>
      <c r="D10">
        <v>40</v>
      </c>
      <c r="E10">
        <f>LOOKUP(1,1/('[1]PURCHASE PRICE'!$A:$A=A10)/('[1]PURCHASE PRICE'!$B:$B=B10)/('[1]PURCHASE PRICE'!$C:$C=C10),'[1]PURCHASE PRICE'!$D:$D)</f>
        <v>17000</v>
      </c>
      <c r="F10">
        <f>LOOKUP(1,1/('[1]PURCHASE PRICE'!$A:$A=A10)/('[1]PURCHASE PRICE'!$B:$B=B10),'[1]PURCHASE PRICE'!$D:$D)</f>
        <v>17000</v>
      </c>
      <c r="G10" s="1">
        <f t="shared" si="1"/>
        <v>17000</v>
      </c>
      <c r="H10" s="1">
        <f t="shared" si="0"/>
        <v>680000</v>
      </c>
    </row>
    <row r="11" spans="1:8" x14ac:dyDescent="0.3">
      <c r="A11" s="6">
        <v>45697</v>
      </c>
      <c r="B11" t="s">
        <v>10</v>
      </c>
      <c r="C11" t="s">
        <v>106</v>
      </c>
      <c r="D11">
        <v>60</v>
      </c>
      <c r="E11">
        <f>LOOKUP(1,1/('[1]PURCHASE PRICE'!$A:$A=A11)/('[1]PURCHASE PRICE'!$B:$B=B11)/('[1]PURCHASE PRICE'!$C:$C=C11),'[1]PURCHASE PRICE'!$D:$D)</f>
        <v>6500</v>
      </c>
      <c r="F11">
        <f>LOOKUP(1,1/('[1]PURCHASE PRICE'!$A:$A=A11)/('[1]PURCHASE PRICE'!$B:$B=B11),'[1]PURCHASE PRICE'!$D:$D)</f>
        <v>6500</v>
      </c>
      <c r="G11" s="1">
        <f t="shared" si="1"/>
        <v>6500</v>
      </c>
      <c r="H11" s="1">
        <f t="shared" si="0"/>
        <v>390000</v>
      </c>
    </row>
    <row r="12" spans="1:8" x14ac:dyDescent="0.3">
      <c r="A12" s="6">
        <v>45697</v>
      </c>
      <c r="B12" t="s">
        <v>14</v>
      </c>
      <c r="C12" t="s">
        <v>15</v>
      </c>
      <c r="D12">
        <v>25</v>
      </c>
      <c r="E12">
        <f>LOOKUP(1,1/('[1]PURCHASE PRICE'!$A:$A=A12)/('[1]PURCHASE PRICE'!$B:$B=B12)/('[1]PURCHASE PRICE'!$C:$C=C12),'[1]PURCHASE PRICE'!$D:$D)</f>
        <v>10000</v>
      </c>
      <c r="F12">
        <f>LOOKUP(1,1/('[1]PURCHASE PRICE'!$A:$A=A12)/('[1]PURCHASE PRICE'!$B:$B=B12),'[1]PURCHASE PRICE'!$D:$D)</f>
        <v>10000</v>
      </c>
      <c r="G12" s="1">
        <f t="shared" si="1"/>
        <v>10000</v>
      </c>
      <c r="H12" s="1">
        <f t="shared" si="0"/>
        <v>250000</v>
      </c>
    </row>
    <row r="13" spans="1:8" x14ac:dyDescent="0.3">
      <c r="A13" s="6">
        <v>45697</v>
      </c>
      <c r="B13" t="s">
        <v>19</v>
      </c>
      <c r="C13" t="s">
        <v>9</v>
      </c>
      <c r="D13">
        <v>40</v>
      </c>
      <c r="E13">
        <f>LOOKUP(1,1/('[1]PURCHASE PRICE'!$A:$A=A13)/('[1]PURCHASE PRICE'!$B:$B=B13)/('[1]PURCHASE PRICE'!$C:$C=C13),'[1]PURCHASE PRICE'!$D:$D)</f>
        <v>5000</v>
      </c>
      <c r="F13">
        <f>LOOKUP(1,1/('[1]PURCHASE PRICE'!$A:$A=A13)/('[1]PURCHASE PRICE'!$B:$B=B13),'[1]PURCHASE PRICE'!$D:$D)</f>
        <v>5000</v>
      </c>
      <c r="G13" s="1">
        <f t="shared" si="1"/>
        <v>5000</v>
      </c>
      <c r="H13" s="1">
        <f t="shared" si="0"/>
        <v>200000</v>
      </c>
    </row>
    <row r="14" spans="1:8" x14ac:dyDescent="0.3">
      <c r="A14" s="6">
        <v>45697</v>
      </c>
      <c r="B14" t="s">
        <v>20</v>
      </c>
      <c r="C14" t="s">
        <v>1</v>
      </c>
      <c r="D14">
        <v>20</v>
      </c>
      <c r="E14">
        <f>LOOKUP(1,1/('[1]PURCHASE PRICE'!$A:$A=A14)/('[1]PURCHASE PRICE'!$B:$B=B14)/('[1]PURCHASE PRICE'!$C:$C=C14),'[1]PURCHASE PRICE'!$D:$D)</f>
        <v>14000</v>
      </c>
      <c r="F14">
        <f>LOOKUP(1,1/('[1]PURCHASE PRICE'!$A:$A=A14)/('[1]PURCHASE PRICE'!$B:$B=B14),'[1]PURCHASE PRICE'!$D:$D)</f>
        <v>14000</v>
      </c>
      <c r="G14" s="1">
        <f t="shared" si="1"/>
        <v>14000</v>
      </c>
      <c r="H14" s="1">
        <f t="shared" si="0"/>
        <v>280000</v>
      </c>
    </row>
    <row r="15" spans="1:8" x14ac:dyDescent="0.3">
      <c r="A15" s="6">
        <v>45697</v>
      </c>
      <c r="B15" t="s">
        <v>21</v>
      </c>
      <c r="C15" t="s">
        <v>22</v>
      </c>
      <c r="D15">
        <v>30</v>
      </c>
      <c r="E15">
        <f>LOOKUP(1,1/('[1]PURCHASE PRICE'!$A:$A=A15)/('[1]PURCHASE PRICE'!$B:$B=B15)/('[1]PURCHASE PRICE'!$C:$C=C15),'[1]PURCHASE PRICE'!$D:$D)</f>
        <v>3300</v>
      </c>
      <c r="F15">
        <f>LOOKUP(1,1/('[1]PURCHASE PRICE'!$A:$A=A15)/('[1]PURCHASE PRICE'!$B:$B=B15),'[1]PURCHASE PRICE'!$D:$D)</f>
        <v>1900</v>
      </c>
      <c r="G15" s="1">
        <f t="shared" si="1"/>
        <v>3300</v>
      </c>
      <c r="H15" s="1">
        <f t="shared" si="0"/>
        <v>99000</v>
      </c>
    </row>
    <row r="16" spans="1:8" x14ac:dyDescent="0.3">
      <c r="A16" s="6">
        <v>45697</v>
      </c>
      <c r="B16" t="s">
        <v>21</v>
      </c>
      <c r="C16" t="s">
        <v>97</v>
      </c>
      <c r="D16">
        <v>20</v>
      </c>
      <c r="E16">
        <f>LOOKUP(1,1/('[1]PURCHASE PRICE'!$A:$A=A16)/('[1]PURCHASE PRICE'!$B:$B=B16)/('[1]PURCHASE PRICE'!$C:$C=C16),'[1]PURCHASE PRICE'!$D:$D)</f>
        <v>1900</v>
      </c>
      <c r="F16">
        <f>LOOKUP(1,1/('[1]PURCHASE PRICE'!$A:$A=A16)/('[1]PURCHASE PRICE'!$B:$B=B16),'[1]PURCHASE PRICE'!$D:$D)</f>
        <v>1900</v>
      </c>
      <c r="G16" s="1">
        <f t="shared" si="1"/>
        <v>1900</v>
      </c>
      <c r="H16" s="1">
        <f t="shared" si="0"/>
        <v>38000</v>
      </c>
    </row>
    <row r="17" spans="1:8" x14ac:dyDescent="0.3">
      <c r="A17" s="6">
        <v>45697</v>
      </c>
      <c r="B17" t="s">
        <v>25</v>
      </c>
      <c r="C17" t="s">
        <v>26</v>
      </c>
      <c r="D17">
        <v>80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16000</v>
      </c>
      <c r="G17" s="1">
        <f>+F17/2</f>
        <v>8000</v>
      </c>
      <c r="H17" s="1">
        <f t="shared" si="0"/>
        <v>640000</v>
      </c>
    </row>
    <row r="18" spans="1:8" x14ac:dyDescent="0.3">
      <c r="A18" s="6">
        <v>45697</v>
      </c>
      <c r="B18" t="s">
        <v>27</v>
      </c>
      <c r="C18" t="s">
        <v>9</v>
      </c>
      <c r="D18">
        <v>38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30000</v>
      </c>
      <c r="G18" s="1">
        <f>+F18/4</f>
        <v>7500</v>
      </c>
      <c r="H18" s="1">
        <f t="shared" si="0"/>
        <v>285000</v>
      </c>
    </row>
    <row r="19" spans="1:8" x14ac:dyDescent="0.3">
      <c r="A19" s="6">
        <v>45697</v>
      </c>
      <c r="B19" t="s">
        <v>28</v>
      </c>
      <c r="C19" t="s">
        <v>15</v>
      </c>
      <c r="D19">
        <v>20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0"/>
        <v>200000</v>
      </c>
    </row>
    <row r="20" spans="1:8" x14ac:dyDescent="0.3">
      <c r="A20" s="6">
        <v>45697</v>
      </c>
      <c r="B20" t="s">
        <v>80</v>
      </c>
      <c r="C20" t="s">
        <v>1</v>
      </c>
      <c r="D20">
        <v>20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 s="1">
        <f t="shared" si="1"/>
        <v>10000</v>
      </c>
      <c r="H20" s="1">
        <f t="shared" si="0"/>
        <v>200000</v>
      </c>
    </row>
    <row r="21" spans="1:8" x14ac:dyDescent="0.3">
      <c r="A21" s="6">
        <v>45697</v>
      </c>
      <c r="B21" t="s">
        <v>32</v>
      </c>
      <c r="C21" t="s">
        <v>1</v>
      </c>
      <c r="D21">
        <v>40</v>
      </c>
      <c r="E21">
        <f>LOOKUP(1,1/('[1]PURCHASE PRICE'!$A:$A=A21)/('[1]PURCHASE PRICE'!$B:$B=B21)/('[1]PURCHASE PRICE'!$C:$C=C21),'[1]PURCHASE PRICE'!$D:$D)</f>
        <v>20000</v>
      </c>
      <c r="F21">
        <f>LOOKUP(1,1/('[1]PURCHASE PRICE'!$A:$A=A21)/('[1]PURCHASE PRICE'!$B:$B=B21),'[1]PURCHASE PRICE'!$D:$D)</f>
        <v>20000</v>
      </c>
      <c r="G21" s="1">
        <f t="shared" si="1"/>
        <v>20000</v>
      </c>
      <c r="H21" s="1">
        <f t="shared" si="0"/>
        <v>800000</v>
      </c>
    </row>
    <row r="22" spans="1:8" x14ac:dyDescent="0.3">
      <c r="A22" s="6">
        <v>45697</v>
      </c>
      <c r="B22" t="s">
        <v>34</v>
      </c>
      <c r="C22" t="s">
        <v>1</v>
      </c>
      <c r="D22">
        <v>60</v>
      </c>
      <c r="E22">
        <f>LOOKUP(1,1/('[1]PURCHASE PRICE'!$A:$A=A22)/('[1]PURCHASE PRICE'!$B:$B=B22)/('[1]PURCHASE PRICE'!$C:$C=C22),'[1]PURCHASE PRICE'!$D:$D)</f>
        <v>17255</v>
      </c>
      <c r="F22">
        <f>LOOKUP(1,1/('[1]PURCHASE PRICE'!$A:$A=A22)/('[1]PURCHASE PRICE'!$B:$B=B22),'[1]PURCHASE PRICE'!$D:$D)</f>
        <v>17255</v>
      </c>
      <c r="G22" s="1">
        <f t="shared" si="1"/>
        <v>17255</v>
      </c>
      <c r="H22" s="1">
        <f t="shared" si="0"/>
        <v>1035300</v>
      </c>
    </row>
    <row r="23" spans="1:8" x14ac:dyDescent="0.3">
      <c r="A23" s="6">
        <v>45697</v>
      </c>
      <c r="B23" t="s">
        <v>88</v>
      </c>
      <c r="C23" t="s">
        <v>1</v>
      </c>
      <c r="D23">
        <v>20</v>
      </c>
      <c r="E23">
        <f>LOOKUP(1,1/('[1]PURCHASE PRICE'!$A:$A=A23)/('[1]PURCHASE PRICE'!$B:$B=B23)/('[1]PURCHASE PRICE'!$C:$C=C23),'[1]PURCHASE PRICE'!$D:$D)</f>
        <v>15225</v>
      </c>
      <c r="F23">
        <f>LOOKUP(1,1/('[1]PURCHASE PRICE'!$A:$A=A23)/('[1]PURCHASE PRICE'!$B:$B=B23),'[1]PURCHASE PRICE'!$D:$D)</f>
        <v>15225</v>
      </c>
      <c r="G23" s="1">
        <f t="shared" si="1"/>
        <v>15225</v>
      </c>
      <c r="H23" s="1">
        <f t="shared" si="0"/>
        <v>304500</v>
      </c>
    </row>
    <row r="24" spans="1:8" x14ac:dyDescent="0.3">
      <c r="A24" s="6">
        <v>45697</v>
      </c>
      <c r="B24" t="s">
        <v>36</v>
      </c>
      <c r="C24" t="s">
        <v>22</v>
      </c>
      <c r="D24">
        <v>10</v>
      </c>
      <c r="E24">
        <f>LOOKUP(1,1/('[1]PURCHASE PRICE'!$A:$A=A24)/('[1]PURCHASE PRICE'!$B:$B=B24)/('[1]PURCHASE PRICE'!$C:$C=C24),'[1]PURCHASE PRICE'!$D:$D)</f>
        <v>6000</v>
      </c>
      <c r="F24">
        <f>LOOKUP(1,1/('[1]PURCHASE PRICE'!$A:$A=A24)/('[1]PURCHASE PRICE'!$B:$B=B24),'[1]PURCHASE PRICE'!$D:$D)</f>
        <v>6000</v>
      </c>
      <c r="G24" s="1">
        <f t="shared" si="1"/>
        <v>6000</v>
      </c>
      <c r="H24" s="1">
        <f t="shared" si="0"/>
        <v>60000</v>
      </c>
    </row>
    <row r="25" spans="1:8" x14ac:dyDescent="0.3">
      <c r="A25" s="6">
        <v>45697</v>
      </c>
      <c r="B25" t="s">
        <v>38</v>
      </c>
      <c r="C25" t="s">
        <v>1</v>
      </c>
      <c r="D25">
        <v>2</v>
      </c>
      <c r="E25">
        <f>LOOKUP(1,1/('[1]PURCHASE PRICE'!$A:$A=A25)/('[1]PURCHASE PRICE'!$B:$B=B25)/('[1]PURCHASE PRICE'!$C:$C=C25),'[1]PURCHASE PRICE'!$D:$D)</f>
        <v>80000</v>
      </c>
      <c r="F25">
        <f>LOOKUP(1,1/('[1]PURCHASE PRICE'!$A:$A=A25)/('[1]PURCHASE PRICE'!$B:$B=B25),'[1]PURCHASE PRICE'!$D:$D)</f>
        <v>80000</v>
      </c>
      <c r="G25" s="1">
        <f t="shared" si="1"/>
        <v>80000</v>
      </c>
      <c r="H25" s="1">
        <f t="shared" si="0"/>
        <v>160000</v>
      </c>
    </row>
    <row r="26" spans="1:8" x14ac:dyDescent="0.3">
      <c r="A26" s="6">
        <v>45697</v>
      </c>
      <c r="B26" t="s">
        <v>39</v>
      </c>
      <c r="C26" t="s">
        <v>9</v>
      </c>
      <c r="D26">
        <v>400</v>
      </c>
      <c r="E26">
        <f>LOOKUP(1,1/('[1]PURCHASE PRICE'!$A:$A=A26)/('[1]PURCHASE PRICE'!$B:$B=B26)/('[1]PURCHASE PRICE'!$C:$C=C26),'[1]PURCHASE PRICE'!$D:$D)</f>
        <v>7000</v>
      </c>
      <c r="F26">
        <f>LOOKUP(1,1/('[1]PURCHASE PRICE'!$A:$A=A26)/('[1]PURCHASE PRICE'!$B:$B=B26),'[1]PURCHASE PRICE'!$D:$D)</f>
        <v>7000</v>
      </c>
      <c r="G26" s="1">
        <f t="shared" si="1"/>
        <v>7000</v>
      </c>
      <c r="H26" s="1">
        <f t="shared" si="0"/>
        <v>2800000</v>
      </c>
    </row>
    <row r="27" spans="1:8" x14ac:dyDescent="0.3">
      <c r="A27" s="6">
        <v>45697</v>
      </c>
      <c r="B27" t="s">
        <v>40</v>
      </c>
      <c r="C27" t="s">
        <v>22</v>
      </c>
      <c r="D27">
        <v>20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12000</v>
      </c>
      <c r="G27" s="1">
        <f>+F27*0.6</f>
        <v>7200</v>
      </c>
      <c r="H27" s="1">
        <f t="shared" si="0"/>
        <v>144000</v>
      </c>
    </row>
    <row r="28" spans="1:8" x14ac:dyDescent="0.3">
      <c r="A28" s="6">
        <v>45697</v>
      </c>
      <c r="B28" t="s">
        <v>41</v>
      </c>
      <c r="C28" t="s">
        <v>26</v>
      </c>
      <c r="D28">
        <v>150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11000</v>
      </c>
      <c r="G28" s="1">
        <f>F28*0.15</f>
        <v>1650</v>
      </c>
      <c r="H28" s="1">
        <f t="shared" si="0"/>
        <v>247500</v>
      </c>
    </row>
    <row r="29" spans="1:8" x14ac:dyDescent="0.3">
      <c r="A29" s="6">
        <v>45697</v>
      </c>
      <c r="B29" t="s">
        <v>42</v>
      </c>
      <c r="C29" t="s">
        <v>1</v>
      </c>
      <c r="D29">
        <v>10</v>
      </c>
      <c r="E29">
        <f>LOOKUP(1,1/('[1]PURCHASE PRICE'!$A:$A=A29)/('[1]PURCHASE PRICE'!$B:$B=B29)/('[1]PURCHASE PRICE'!$C:$C=C29),'[1]PURCHASE PRICE'!$D:$D)</f>
        <v>25000</v>
      </c>
      <c r="F29">
        <f>LOOKUP(1,1/('[1]PURCHASE PRICE'!$A:$A=A29)/('[1]PURCHASE PRICE'!$B:$B=B29),'[1]PURCHASE PRICE'!$D:$D)</f>
        <v>25000</v>
      </c>
      <c r="G29" s="1">
        <f t="shared" si="1"/>
        <v>25000</v>
      </c>
      <c r="H29" s="1">
        <f t="shared" si="0"/>
        <v>250000</v>
      </c>
    </row>
    <row r="30" spans="1:8" x14ac:dyDescent="0.3">
      <c r="A30" s="6">
        <v>45697</v>
      </c>
      <c r="B30" t="s">
        <v>43</v>
      </c>
      <c r="C30" t="s">
        <v>11</v>
      </c>
      <c r="D30">
        <v>1</v>
      </c>
      <c r="E30">
        <f>LOOKUP(1,1/('[1]PURCHASE PRICE'!$A:$A=A30)/('[1]PURCHASE PRICE'!$B:$B=B30)/('[1]PURCHASE PRICE'!$C:$C=C30),'[1]PURCHASE PRICE'!$D:$D)</f>
        <v>130000</v>
      </c>
      <c r="F30">
        <f>LOOKUP(1,1/('[1]PURCHASE PRICE'!$A:$A=A30)/('[1]PURCHASE PRICE'!$B:$B=B30),'[1]PURCHASE PRICE'!$D:$D)</f>
        <v>130000</v>
      </c>
      <c r="G30" s="1">
        <f t="shared" si="1"/>
        <v>130000</v>
      </c>
      <c r="H30" s="1">
        <f t="shared" si="0"/>
        <v>130000</v>
      </c>
    </row>
    <row r="31" spans="1:8" x14ac:dyDescent="0.3">
      <c r="A31" s="6">
        <v>45697</v>
      </c>
      <c r="B31" t="s">
        <v>44</v>
      </c>
      <c r="C31" t="s">
        <v>22</v>
      </c>
      <c r="D31">
        <v>610</v>
      </c>
      <c r="E31">
        <f>LOOKUP(1,1/('[1]PURCHASE PRICE'!$A:$A=A31)/('[1]PURCHASE PRICE'!$B:$B=B31)/('[1]PURCHASE PRICE'!$C:$C=C31),'[1]PURCHASE PRICE'!$D:$D)</f>
        <v>2800</v>
      </c>
      <c r="F31">
        <f>LOOKUP(1,1/('[1]PURCHASE PRICE'!$A:$A=A31)/('[1]PURCHASE PRICE'!$B:$B=B31),'[1]PURCHASE PRICE'!$D:$D)</f>
        <v>2800</v>
      </c>
      <c r="G31" s="1">
        <f t="shared" si="1"/>
        <v>2800</v>
      </c>
      <c r="H31" s="1">
        <f t="shared" si="0"/>
        <v>1708000</v>
      </c>
    </row>
    <row r="32" spans="1:8" x14ac:dyDescent="0.3">
      <c r="A32" s="6">
        <v>45697</v>
      </c>
      <c r="B32" t="s">
        <v>65</v>
      </c>
      <c r="C32" t="s">
        <v>1</v>
      </c>
      <c r="D32">
        <v>5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14000</v>
      </c>
      <c r="H32" s="1">
        <f t="shared" si="0"/>
        <v>70000</v>
      </c>
    </row>
    <row r="33" spans="1:8" x14ac:dyDescent="0.3">
      <c r="A33" s="6">
        <v>45697</v>
      </c>
      <c r="B33" t="s">
        <v>45</v>
      </c>
      <c r="C33" t="s">
        <v>1</v>
      </c>
      <c r="D33">
        <v>20</v>
      </c>
      <c r="E33">
        <f>LOOKUP(1,1/('[1]PURCHASE PRICE'!$A:$A=A33)/('[1]PURCHASE PRICE'!$B:$B=B33)/('[1]PURCHASE PRICE'!$C:$C=C33),'[1]PURCHASE PRICE'!$D:$D)</f>
        <v>50000</v>
      </c>
      <c r="F33">
        <f>LOOKUP(1,1/('[1]PURCHASE PRICE'!$A:$A=A33)/('[1]PURCHASE PRICE'!$B:$B=B33),'[1]PURCHASE PRICE'!$D:$D)</f>
        <v>50000</v>
      </c>
      <c r="G33" s="1">
        <f t="shared" si="1"/>
        <v>50000</v>
      </c>
      <c r="H33" s="1">
        <f t="shared" si="0"/>
        <v>1000000</v>
      </c>
    </row>
    <row r="34" spans="1:8" x14ac:dyDescent="0.3">
      <c r="A34" s="6">
        <v>45697</v>
      </c>
      <c r="B34" t="s">
        <v>49</v>
      </c>
      <c r="C34" t="s">
        <v>1</v>
      </c>
      <c r="D34">
        <v>15</v>
      </c>
      <c r="E34">
        <f>LOOKUP(1,1/('[1]PURCHASE PRICE'!$A:$A=A34)/('[1]PURCHASE PRICE'!$B:$B=B34)/('[1]PURCHASE PRICE'!$C:$C=C34),'[1]PURCHASE PRICE'!$D:$D)</f>
        <v>60000</v>
      </c>
      <c r="F34">
        <f>LOOKUP(1,1/('[1]PURCHASE PRICE'!$A:$A=A34)/('[1]PURCHASE PRICE'!$B:$B=B34),'[1]PURCHASE PRICE'!$D:$D)</f>
        <v>60000</v>
      </c>
      <c r="G34" s="1">
        <f t="shared" si="1"/>
        <v>60000</v>
      </c>
      <c r="H34" s="1">
        <f t="shared" si="0"/>
        <v>900000</v>
      </c>
    </row>
    <row r="35" spans="1:8" x14ac:dyDescent="0.3">
      <c r="A35" s="6">
        <v>45697</v>
      </c>
      <c r="B35" t="s">
        <v>50</v>
      </c>
      <c r="C35" t="s">
        <v>7</v>
      </c>
      <c r="D35">
        <v>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60000</v>
      </c>
      <c r="G35" s="1">
        <v>0</v>
      </c>
      <c r="H35" s="1">
        <f t="shared" si="0"/>
        <v>0</v>
      </c>
    </row>
    <row r="36" spans="1:8" x14ac:dyDescent="0.3">
      <c r="A36" s="6">
        <v>45697</v>
      </c>
      <c r="B36" t="s">
        <v>50</v>
      </c>
      <c r="C36" t="s">
        <v>1</v>
      </c>
      <c r="D36">
        <v>0</v>
      </c>
      <c r="E36">
        <f>LOOKUP(1,1/('[1]PURCHASE PRICE'!$A:$A=A36)/('[1]PURCHASE PRICE'!$B:$B=B36)/('[1]PURCHASE PRICE'!$C:$C=C36),'[1]PURCHASE PRICE'!$D:$D)</f>
        <v>60000</v>
      </c>
      <c r="F36">
        <f>LOOKUP(1,1/('[1]PURCHASE PRICE'!$A:$A=A36)/('[1]PURCHASE PRICE'!$B:$B=B36),'[1]PURCHASE PRICE'!$D:$D)</f>
        <v>60000</v>
      </c>
      <c r="G36" s="1">
        <f t="shared" si="1"/>
        <v>60000</v>
      </c>
      <c r="H36" s="1">
        <f t="shared" si="0"/>
        <v>0</v>
      </c>
    </row>
    <row r="37" spans="1:8" x14ac:dyDescent="0.3">
      <c r="A37" s="6">
        <v>45697</v>
      </c>
      <c r="B37" t="s">
        <v>53</v>
      </c>
      <c r="C37" t="s">
        <v>22</v>
      </c>
      <c r="D37">
        <v>150</v>
      </c>
      <c r="E37">
        <f>LOOKUP(1,1/('[1]PURCHASE PRICE'!$A:$A=A37)/('[1]PURCHASE PRICE'!$B:$B=B37)/('[1]PURCHASE PRICE'!$C:$C=C37),'[1]PURCHASE PRICE'!$D:$D)</f>
        <v>17000</v>
      </c>
      <c r="F37">
        <f>LOOKUP(1,1/('[1]PURCHASE PRICE'!$A:$A=A37)/('[1]PURCHASE PRICE'!$B:$B=B37),'[1]PURCHASE PRICE'!$D:$D)</f>
        <v>17000</v>
      </c>
      <c r="G37" s="1">
        <f t="shared" si="1"/>
        <v>17000</v>
      </c>
      <c r="H37" s="1">
        <f t="shared" si="0"/>
        <v>2550000</v>
      </c>
    </row>
    <row r="38" spans="1:8" x14ac:dyDescent="0.3">
      <c r="A38" s="6">
        <v>45697</v>
      </c>
      <c r="B38" t="s">
        <v>55</v>
      </c>
      <c r="C38" t="s">
        <v>1</v>
      </c>
      <c r="D38">
        <v>100</v>
      </c>
      <c r="E38">
        <f>LOOKUP(1,1/('[1]PURCHASE PRICE'!$A:$A=A38)/('[1]PURCHASE PRICE'!$B:$B=B38)/('[1]PURCHASE PRICE'!$C:$C=C38),'[1]PURCHASE PRICE'!$D:$D)</f>
        <v>13000</v>
      </c>
      <c r="F38">
        <f>LOOKUP(1,1/('[1]PURCHASE PRICE'!$A:$A=A38)/('[1]PURCHASE PRICE'!$B:$B=B38),'[1]PURCHASE PRICE'!$D:$D)</f>
        <v>13000</v>
      </c>
      <c r="G38" s="1">
        <f t="shared" si="1"/>
        <v>13000</v>
      </c>
      <c r="H38" s="1">
        <f t="shared" si="0"/>
        <v>1300000</v>
      </c>
    </row>
    <row r="39" spans="1:8" x14ac:dyDescent="0.3">
      <c r="A39" s="6">
        <v>45697</v>
      </c>
      <c r="B39" t="s">
        <v>56</v>
      </c>
      <c r="C39" t="s">
        <v>26</v>
      </c>
      <c r="D39">
        <v>200</v>
      </c>
      <c r="E39">
        <f>LOOKUP(1,1/('[1]PURCHASE PRICE'!$A:$A=A39)/('[1]PURCHASE PRICE'!$B:$B=B39)/('[1]PURCHASE PRICE'!$C:$C=C39),'[1]PURCHASE PRICE'!$D:$D)</f>
        <v>6800</v>
      </c>
      <c r="F39">
        <f>LOOKUP(1,1/('[1]PURCHASE PRICE'!$A:$A=A39)/('[1]PURCHASE PRICE'!$B:$B=B39),'[1]PURCHASE PRICE'!$D:$D)</f>
        <v>6800</v>
      </c>
      <c r="G39" s="1">
        <f t="shared" si="1"/>
        <v>6800</v>
      </c>
      <c r="H39" s="1">
        <f t="shared" si="0"/>
        <v>1360000</v>
      </c>
    </row>
    <row r="40" spans="1:8" x14ac:dyDescent="0.3">
      <c r="A40" s="6">
        <v>45697</v>
      </c>
      <c r="B40" t="s">
        <v>96</v>
      </c>
      <c r="C40" t="s">
        <v>1</v>
      </c>
      <c r="D40">
        <v>80</v>
      </c>
      <c r="E40">
        <f>LOOKUP(1,1/('[1]PURCHASE PRICE'!$A:$A=A40)/('[1]PURCHASE PRICE'!$B:$B=B40)/('[1]PURCHASE PRICE'!$C:$C=C40),'[1]PURCHASE PRICE'!$D:$D)</f>
        <v>28000</v>
      </c>
      <c r="F40">
        <f>LOOKUP(1,1/('[1]PURCHASE PRICE'!$A:$A=A40)/('[1]PURCHASE PRICE'!$B:$B=B40),'[1]PURCHASE PRICE'!$D:$D)</f>
        <v>28000</v>
      </c>
      <c r="G40" s="1">
        <f t="shared" si="1"/>
        <v>28000</v>
      </c>
      <c r="H40" s="1">
        <f t="shared" si="0"/>
        <v>2240000</v>
      </c>
    </row>
    <row r="41" spans="1:8" x14ac:dyDescent="0.3">
      <c r="A41" s="6">
        <v>45697</v>
      </c>
      <c r="B41" t="s">
        <v>58</v>
      </c>
      <c r="C41" t="s">
        <v>1</v>
      </c>
      <c r="D41">
        <v>20</v>
      </c>
      <c r="E41">
        <f>LOOKUP(1,1/('[1]PURCHASE PRICE'!$A:$A=A41)/('[1]PURCHASE PRICE'!$B:$B=B41)/('[1]PURCHASE PRICE'!$C:$C=C41),'[1]PURCHASE PRICE'!$D:$D)</f>
        <v>18000</v>
      </c>
      <c r="F41">
        <f>LOOKUP(1,1/('[1]PURCHASE PRICE'!$A:$A=A41)/('[1]PURCHASE PRICE'!$B:$B=B41),'[1]PURCHASE PRICE'!$D:$D)</f>
        <v>18000</v>
      </c>
      <c r="G41" s="1">
        <f t="shared" si="1"/>
        <v>18000</v>
      </c>
      <c r="H41" s="1">
        <f t="shared" si="0"/>
        <v>360000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B0E7-2316-4992-ACBD-46D6BC6FB600}">
  <dimension ref="A1:H60"/>
  <sheetViews>
    <sheetView workbookViewId="0">
      <selection activeCell="A3" sqref="A3"/>
    </sheetView>
  </sheetViews>
  <sheetFormatPr defaultRowHeight="14.4" x14ac:dyDescent="0.3"/>
  <cols>
    <col min="1" max="1" width="9.5546875" bestFit="1" customWidth="1"/>
    <col min="2" max="2" width="22.5546875" bestFit="1" customWidth="1"/>
    <col min="5" max="6" width="6.10937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SUM(H3:H51)</f>
        <v>52491700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45697</v>
      </c>
      <c r="B3" t="s">
        <v>2</v>
      </c>
      <c r="C3" t="s">
        <v>62</v>
      </c>
      <c r="D3">
        <v>10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>
        <v>6000</v>
      </c>
      <c r="H3" s="1">
        <f>+G3*D3</f>
        <v>60000</v>
      </c>
    </row>
    <row r="4" spans="1:8" x14ac:dyDescent="0.3">
      <c r="A4" s="6">
        <v>45697</v>
      </c>
      <c r="B4" t="s">
        <v>3</v>
      </c>
      <c r="C4" t="s">
        <v>77</v>
      </c>
      <c r="D4">
        <v>34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12000</v>
      </c>
      <c r="G4" s="1">
        <f>12000*0.4</f>
        <v>4800</v>
      </c>
      <c r="H4" s="1">
        <f t="shared" ref="H4:H60" si="0">+G4*D4</f>
        <v>163200</v>
      </c>
    </row>
    <row r="5" spans="1:8" x14ac:dyDescent="0.3">
      <c r="A5" s="6">
        <v>45697</v>
      </c>
      <c r="B5" t="s">
        <v>4</v>
      </c>
      <c r="C5" t="s">
        <v>77</v>
      </c>
      <c r="D5">
        <v>284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15000</v>
      </c>
      <c r="G5" s="1">
        <f>+F5*0.3</f>
        <v>4500</v>
      </c>
      <c r="H5" s="1">
        <f t="shared" si="0"/>
        <v>1278000</v>
      </c>
    </row>
    <row r="6" spans="1:8" x14ac:dyDescent="0.3">
      <c r="A6" s="6">
        <v>45697</v>
      </c>
      <c r="B6" t="s">
        <v>4</v>
      </c>
      <c r="C6" t="s">
        <v>62</v>
      </c>
      <c r="D6">
        <v>0</v>
      </c>
      <c r="E6">
        <f>LOOKUP(1,1/('[1]PURCHASE PRICE'!$A:$A=A6)/('[1]PURCHASE PRICE'!$B:$B=B6)/('[1]PURCHASE PRICE'!$C:$C=C6),'[1]PURCHASE PRICE'!$D:$D)</f>
        <v>15000</v>
      </c>
      <c r="F6">
        <f>LOOKUP(1,1/('[1]PURCHASE PRICE'!$A:$A=A6)/('[1]PURCHASE PRICE'!$B:$B=B6),'[1]PURCHASE PRICE'!$D:$D)</f>
        <v>15000</v>
      </c>
      <c r="G6" s="1">
        <f t="shared" ref="G6:G60" si="1">E6</f>
        <v>15000</v>
      </c>
      <c r="H6" s="1">
        <f t="shared" si="0"/>
        <v>0</v>
      </c>
    </row>
    <row r="7" spans="1:8" x14ac:dyDescent="0.3">
      <c r="A7" s="6">
        <v>45697</v>
      </c>
      <c r="B7" t="s">
        <v>6</v>
      </c>
      <c r="C7" t="s">
        <v>77</v>
      </c>
      <c r="D7">
        <v>260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15000</v>
      </c>
      <c r="G7" s="1">
        <f>+F7*0.3</f>
        <v>4500</v>
      </c>
      <c r="H7" s="1">
        <f t="shared" si="0"/>
        <v>1170000</v>
      </c>
    </row>
    <row r="8" spans="1:8" x14ac:dyDescent="0.3">
      <c r="A8" s="6">
        <v>45697</v>
      </c>
      <c r="B8" t="s">
        <v>63</v>
      </c>
      <c r="C8" t="s">
        <v>62</v>
      </c>
      <c r="D8">
        <v>10</v>
      </c>
      <c r="E8">
        <f>LOOKUP(1,1/('[1]PURCHASE PRICE'!$A:$A=A8)/('[1]PURCHASE PRICE'!$B:$B=B8)/('[1]PURCHASE PRICE'!$C:$C=C8),'[1]PURCHASE PRICE'!$D:$D)</f>
        <v>20000</v>
      </c>
      <c r="F8">
        <f>LOOKUP(1,1/('[1]PURCHASE PRICE'!$A:$A=A8)/('[1]PURCHASE PRICE'!$B:$B=B8),'[1]PURCHASE PRICE'!$D:$D)</f>
        <v>20000</v>
      </c>
      <c r="G8" s="1">
        <f t="shared" si="1"/>
        <v>20000</v>
      </c>
      <c r="H8" s="1">
        <f t="shared" si="0"/>
        <v>200000</v>
      </c>
    </row>
    <row r="9" spans="1:8" x14ac:dyDescent="0.3">
      <c r="A9" s="6">
        <v>45697</v>
      </c>
      <c r="B9" t="s">
        <v>8</v>
      </c>
      <c r="C9" t="s">
        <v>9</v>
      </c>
      <c r="D9">
        <v>80</v>
      </c>
      <c r="E9">
        <f>LOOKUP(1,1/('[1]PURCHASE PRICE'!$A:$A=A9)/('[1]PURCHASE PRICE'!$B:$B=B9)/('[1]PURCHASE PRICE'!$C:$C=C9),'[1]PURCHASE PRICE'!$D:$D)</f>
        <v>5000</v>
      </c>
      <c r="F9">
        <f>LOOKUP(1,1/('[1]PURCHASE PRICE'!$A:$A=A9)/('[1]PURCHASE PRICE'!$B:$B=B9),'[1]PURCHASE PRICE'!$D:$D)</f>
        <v>5000</v>
      </c>
      <c r="G9" s="1">
        <f t="shared" si="1"/>
        <v>5000</v>
      </c>
      <c r="H9" s="1">
        <f t="shared" si="0"/>
        <v>400000</v>
      </c>
    </row>
    <row r="10" spans="1:8" x14ac:dyDescent="0.3">
      <c r="A10" s="6">
        <v>45697</v>
      </c>
      <c r="B10" t="s">
        <v>78</v>
      </c>
      <c r="C10" t="s">
        <v>62</v>
      </c>
      <c r="D10">
        <v>80</v>
      </c>
      <c r="E10">
        <f>LOOKUP(1,1/('[1]PURCHASE PRICE'!$A:$A=A10)/('[1]PURCHASE PRICE'!$B:$B=B10)/('[1]PURCHASE PRICE'!$C:$C=C10),'[1]PURCHASE PRICE'!$D:$D)</f>
        <v>17000</v>
      </c>
      <c r="F10">
        <f>LOOKUP(1,1/('[1]PURCHASE PRICE'!$A:$A=A10)/('[1]PURCHASE PRICE'!$B:$B=B10),'[1]PURCHASE PRICE'!$D:$D)</f>
        <v>17000</v>
      </c>
      <c r="G10" s="1">
        <f t="shared" si="1"/>
        <v>17000</v>
      </c>
      <c r="H10" s="1">
        <f t="shared" si="0"/>
        <v>1360000</v>
      </c>
    </row>
    <row r="11" spans="1:8" x14ac:dyDescent="0.3">
      <c r="A11" s="6">
        <v>45697</v>
      </c>
      <c r="B11" t="s">
        <v>10</v>
      </c>
      <c r="C11" t="s">
        <v>79</v>
      </c>
      <c r="D11">
        <v>120</v>
      </c>
      <c r="E11">
        <f>LOOKUP(1,1/('[1]PURCHASE PRICE'!$A:$A=A11)/('[1]PURCHASE PRICE'!$B:$B=B11)/('[1]PURCHASE PRICE'!$C:$C=C11),'[1]PURCHASE PRICE'!$D:$D)</f>
        <v>6500</v>
      </c>
      <c r="F11">
        <f>LOOKUP(1,1/('[1]PURCHASE PRICE'!$A:$A=A11)/('[1]PURCHASE PRICE'!$B:$B=B11),'[1]PURCHASE PRICE'!$D:$D)</f>
        <v>6500</v>
      </c>
      <c r="G11" s="1">
        <f t="shared" si="1"/>
        <v>6500</v>
      </c>
      <c r="H11" s="1">
        <f t="shared" si="0"/>
        <v>780000</v>
      </c>
    </row>
    <row r="12" spans="1:8" x14ac:dyDescent="0.3">
      <c r="A12" s="6">
        <v>45697</v>
      </c>
      <c r="B12" t="s">
        <v>12</v>
      </c>
      <c r="C12" t="s">
        <v>13</v>
      </c>
      <c r="D12">
        <v>200</v>
      </c>
      <c r="E12">
        <f>LOOKUP(1,1/('[1]PURCHASE PRICE'!$A:$A=A12)/('[1]PURCHASE PRICE'!$B:$B=B12)/('[1]PURCHASE PRICE'!$C:$C=C12),'[1]PURCHASE PRICE'!$D:$D)</f>
        <v>5400</v>
      </c>
      <c r="F12">
        <f>LOOKUP(1,1/('[1]PURCHASE PRICE'!$A:$A=A12)/('[1]PURCHASE PRICE'!$B:$B=B12),'[1]PURCHASE PRICE'!$D:$D)</f>
        <v>9000</v>
      </c>
      <c r="G12" s="1">
        <f t="shared" si="1"/>
        <v>5400</v>
      </c>
      <c r="H12" s="1">
        <f t="shared" si="0"/>
        <v>1080000</v>
      </c>
    </row>
    <row r="13" spans="1:8" x14ac:dyDescent="0.3">
      <c r="A13" s="6">
        <v>45697</v>
      </c>
      <c r="B13" t="s">
        <v>14</v>
      </c>
      <c r="C13" t="s">
        <v>15</v>
      </c>
      <c r="D13">
        <v>80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 s="1">
        <f t="shared" si="1"/>
        <v>10000</v>
      </c>
      <c r="H13" s="1">
        <f t="shared" si="0"/>
        <v>800000</v>
      </c>
    </row>
    <row r="14" spans="1:8" x14ac:dyDescent="0.3">
      <c r="A14" s="6">
        <v>45697</v>
      </c>
      <c r="B14" t="s">
        <v>16</v>
      </c>
      <c r="C14" t="s">
        <v>13</v>
      </c>
      <c r="D14">
        <v>55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20000</v>
      </c>
      <c r="G14" s="1">
        <v>10500</v>
      </c>
      <c r="H14" s="1">
        <f t="shared" si="0"/>
        <v>577500</v>
      </c>
    </row>
    <row r="15" spans="1:8" x14ac:dyDescent="0.3">
      <c r="A15" s="6">
        <v>45697</v>
      </c>
      <c r="B15" t="s">
        <v>17</v>
      </c>
      <c r="C15" t="s">
        <v>62</v>
      </c>
      <c r="D15">
        <v>20</v>
      </c>
      <c r="E15">
        <f>LOOKUP(1,1/('[1]PURCHASE PRICE'!$A:$A=A15)/('[1]PURCHASE PRICE'!$B:$B=B15)/('[1]PURCHASE PRICE'!$C:$C=C15),'[1]PURCHASE PRICE'!$D:$D)</f>
        <v>16000</v>
      </c>
      <c r="F15">
        <f>LOOKUP(1,1/('[1]PURCHASE PRICE'!$A:$A=A15)/('[1]PURCHASE PRICE'!$B:$B=B15),'[1]PURCHASE PRICE'!$D:$D)</f>
        <v>16000</v>
      </c>
      <c r="G15" s="1">
        <f t="shared" si="1"/>
        <v>16000</v>
      </c>
      <c r="H15" s="1">
        <f t="shared" si="0"/>
        <v>320000</v>
      </c>
    </row>
    <row r="16" spans="1:8" x14ac:dyDescent="0.3">
      <c r="A16" s="6">
        <v>45697</v>
      </c>
      <c r="B16" t="s">
        <v>18</v>
      </c>
      <c r="C16" t="s">
        <v>62</v>
      </c>
      <c r="D16">
        <v>40</v>
      </c>
      <c r="E16">
        <f>LOOKUP(1,1/('[1]PURCHASE PRICE'!$A:$A=A16)/('[1]PURCHASE PRICE'!$B:$B=B16)/('[1]PURCHASE PRICE'!$C:$C=C16),'[1]PURCHASE PRICE'!$D:$D)</f>
        <v>9000</v>
      </c>
      <c r="F16">
        <f>LOOKUP(1,1/('[1]PURCHASE PRICE'!$A:$A=A16)/('[1]PURCHASE PRICE'!$B:$B=B16),'[1]PURCHASE PRICE'!$D:$D)</f>
        <v>9000</v>
      </c>
      <c r="G16" s="1">
        <f t="shared" si="1"/>
        <v>9000</v>
      </c>
      <c r="H16" s="1">
        <f t="shared" si="0"/>
        <v>360000</v>
      </c>
    </row>
    <row r="17" spans="1:8" x14ac:dyDescent="0.3">
      <c r="A17" s="6">
        <v>45697</v>
      </c>
      <c r="B17" t="s">
        <v>19</v>
      </c>
      <c r="C17" t="s">
        <v>9</v>
      </c>
      <c r="D17">
        <v>50</v>
      </c>
      <c r="E17">
        <f>LOOKUP(1,1/('[1]PURCHASE PRICE'!$A:$A=A17)/('[1]PURCHASE PRICE'!$B:$B=B17)/('[1]PURCHASE PRICE'!$C:$C=C17),'[1]PURCHASE PRICE'!$D:$D)</f>
        <v>5000</v>
      </c>
      <c r="F17">
        <f>LOOKUP(1,1/('[1]PURCHASE PRICE'!$A:$A=A17)/('[1]PURCHASE PRICE'!$B:$B=B17),'[1]PURCHASE PRICE'!$D:$D)</f>
        <v>5000</v>
      </c>
      <c r="G17" s="1">
        <f t="shared" si="1"/>
        <v>5000</v>
      </c>
      <c r="H17" s="1">
        <f t="shared" si="0"/>
        <v>250000</v>
      </c>
    </row>
    <row r="18" spans="1:8" x14ac:dyDescent="0.3">
      <c r="A18" s="6">
        <v>45697</v>
      </c>
      <c r="B18" t="s">
        <v>87</v>
      </c>
      <c r="C18" t="s">
        <v>62</v>
      </c>
      <c r="D18">
        <v>0</v>
      </c>
      <c r="E18" t="e">
        <f>LOOKUP(1,1/('[1]PURCHASE PRICE'!$A:$A=A18)/('[1]PURCHASE PRICE'!$B:$B=B18)/('[1]PURCHASE PRICE'!$C:$C=C18),'[1]PURCHASE PRICE'!$D:$D)</f>
        <v>#N/A</v>
      </c>
      <c r="F18" t="e">
        <f>LOOKUP(1,1/('[1]PURCHASE PRICE'!$A:$A=A18)/('[1]PURCHASE PRICE'!$B:$B=B18),'[1]PURCHASE PRICE'!$D:$D)</f>
        <v>#N/A</v>
      </c>
      <c r="G18" s="1">
        <v>0</v>
      </c>
      <c r="H18" s="1">
        <f t="shared" si="0"/>
        <v>0</v>
      </c>
    </row>
    <row r="19" spans="1:8" x14ac:dyDescent="0.3">
      <c r="A19" s="6">
        <v>45697</v>
      </c>
      <c r="B19" t="s">
        <v>20</v>
      </c>
      <c r="C19" t="s">
        <v>62</v>
      </c>
      <c r="D19">
        <v>50</v>
      </c>
      <c r="E19">
        <f>LOOKUP(1,1/('[1]PURCHASE PRICE'!$A:$A=A19)/('[1]PURCHASE PRICE'!$B:$B=B19)/('[1]PURCHASE PRICE'!$C:$C=C19),'[1]PURCHASE PRICE'!$D:$D)</f>
        <v>14000</v>
      </c>
      <c r="F19">
        <f>LOOKUP(1,1/('[1]PURCHASE PRICE'!$A:$A=A19)/('[1]PURCHASE PRICE'!$B:$B=B19),'[1]PURCHASE PRICE'!$D:$D)</f>
        <v>14000</v>
      </c>
      <c r="G19" s="1">
        <f t="shared" si="1"/>
        <v>14000</v>
      </c>
      <c r="H19" s="1">
        <f t="shared" si="0"/>
        <v>700000</v>
      </c>
    </row>
    <row r="20" spans="1:8" x14ac:dyDescent="0.3">
      <c r="A20" s="6">
        <v>45697</v>
      </c>
      <c r="B20" t="s">
        <v>21</v>
      </c>
      <c r="C20" t="s">
        <v>22</v>
      </c>
      <c r="D20">
        <v>150</v>
      </c>
      <c r="E20">
        <f>LOOKUP(1,1/('[1]PURCHASE PRICE'!$A:$A=A20)/('[1]PURCHASE PRICE'!$B:$B=B20)/('[1]PURCHASE PRICE'!$C:$C=C20),'[1]PURCHASE PRICE'!$D:$D)</f>
        <v>3300</v>
      </c>
      <c r="F20">
        <f>LOOKUP(1,1/('[1]PURCHASE PRICE'!$A:$A=A20)/('[1]PURCHASE PRICE'!$B:$B=B20),'[1]PURCHASE PRICE'!$D:$D)</f>
        <v>1900</v>
      </c>
      <c r="G20" s="1">
        <f t="shared" si="1"/>
        <v>3300</v>
      </c>
      <c r="H20" s="1">
        <f t="shared" si="0"/>
        <v>495000</v>
      </c>
    </row>
    <row r="21" spans="1:8" x14ac:dyDescent="0.3">
      <c r="A21" s="6">
        <v>45697</v>
      </c>
      <c r="B21" t="s">
        <v>21</v>
      </c>
      <c r="C21" t="s">
        <v>97</v>
      </c>
      <c r="D21">
        <v>20</v>
      </c>
      <c r="E21">
        <f>LOOKUP(1,1/('[1]PURCHASE PRICE'!$A:$A=A21)/('[1]PURCHASE PRICE'!$B:$B=B21)/('[1]PURCHASE PRICE'!$C:$C=C21),'[1]PURCHASE PRICE'!$D:$D)</f>
        <v>1900</v>
      </c>
      <c r="F21">
        <f>LOOKUP(1,1/('[1]PURCHASE PRICE'!$A:$A=A21)/('[1]PURCHASE PRICE'!$B:$B=B21),'[1]PURCHASE PRICE'!$D:$D)</f>
        <v>1900</v>
      </c>
      <c r="G21" s="1">
        <f t="shared" si="1"/>
        <v>1900</v>
      </c>
      <c r="H21" s="1">
        <f t="shared" si="0"/>
        <v>38000</v>
      </c>
    </row>
    <row r="22" spans="1:8" x14ac:dyDescent="0.3">
      <c r="A22" s="6">
        <v>45697</v>
      </c>
      <c r="B22" t="s">
        <v>24</v>
      </c>
      <c r="C22" t="s">
        <v>62</v>
      </c>
      <c r="D22">
        <v>20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5000</v>
      </c>
      <c r="H22" s="1">
        <f t="shared" si="0"/>
        <v>100000</v>
      </c>
    </row>
    <row r="23" spans="1:8" x14ac:dyDescent="0.3">
      <c r="A23" s="6">
        <v>45697</v>
      </c>
      <c r="B23" t="s">
        <v>25</v>
      </c>
      <c r="C23" t="s">
        <v>26</v>
      </c>
      <c r="D23">
        <v>300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16000</v>
      </c>
      <c r="G23" s="1">
        <f>+F23/2</f>
        <v>8000</v>
      </c>
      <c r="H23" s="1">
        <f t="shared" si="0"/>
        <v>2400000</v>
      </c>
    </row>
    <row r="24" spans="1:8" x14ac:dyDescent="0.3">
      <c r="A24" s="6">
        <v>45697</v>
      </c>
      <c r="B24" t="s">
        <v>27</v>
      </c>
      <c r="C24" t="s">
        <v>9</v>
      </c>
      <c r="D24">
        <v>72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30000</v>
      </c>
      <c r="G24" s="1">
        <f>+F24/4</f>
        <v>7500</v>
      </c>
      <c r="H24" s="1">
        <f t="shared" si="0"/>
        <v>540000</v>
      </c>
    </row>
    <row r="25" spans="1:8" x14ac:dyDescent="0.3">
      <c r="A25" s="6">
        <v>45697</v>
      </c>
      <c r="B25" t="s">
        <v>28</v>
      </c>
      <c r="C25" t="s">
        <v>15</v>
      </c>
      <c r="D25">
        <v>10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">
        <f t="shared" si="1"/>
        <v>10000</v>
      </c>
      <c r="H25" s="1">
        <f t="shared" si="0"/>
        <v>100000</v>
      </c>
    </row>
    <row r="26" spans="1:8" x14ac:dyDescent="0.3">
      <c r="A26" s="6">
        <v>45697</v>
      </c>
      <c r="B26" t="s">
        <v>80</v>
      </c>
      <c r="C26" t="s">
        <v>62</v>
      </c>
      <c r="D26">
        <v>40</v>
      </c>
      <c r="E26">
        <f>LOOKUP(1,1/('[1]PURCHASE PRICE'!$A:$A=A26)/('[1]PURCHASE PRICE'!$B:$B=B26)/('[1]PURCHASE PRICE'!$C:$C=C26),'[1]PURCHASE PRICE'!$D:$D)</f>
        <v>10000</v>
      </c>
      <c r="F26">
        <f>LOOKUP(1,1/('[1]PURCHASE PRICE'!$A:$A=A26)/('[1]PURCHASE PRICE'!$B:$B=B26),'[1]PURCHASE PRICE'!$D:$D)</f>
        <v>10000</v>
      </c>
      <c r="G26" s="1">
        <f t="shared" si="1"/>
        <v>10000</v>
      </c>
      <c r="H26" s="1">
        <f t="shared" si="0"/>
        <v>400000</v>
      </c>
    </row>
    <row r="27" spans="1:8" x14ac:dyDescent="0.3">
      <c r="A27" s="6">
        <v>45697</v>
      </c>
      <c r="B27" t="s">
        <v>30</v>
      </c>
      <c r="C27" t="s">
        <v>62</v>
      </c>
      <c r="D27">
        <v>60</v>
      </c>
      <c r="E27">
        <f>LOOKUP(1,1/('[1]PURCHASE PRICE'!$A:$A=A27)/('[1]PURCHASE PRICE'!$B:$B=B27)/('[1]PURCHASE PRICE'!$C:$C=C27),'[1]PURCHASE PRICE'!$D:$D)</f>
        <v>9000</v>
      </c>
      <c r="F27">
        <f>LOOKUP(1,1/('[1]PURCHASE PRICE'!$A:$A=A27)/('[1]PURCHASE PRICE'!$B:$B=B27),'[1]PURCHASE PRICE'!$D:$D)</f>
        <v>9000</v>
      </c>
      <c r="G27" s="1">
        <f t="shared" si="1"/>
        <v>9000</v>
      </c>
      <c r="H27" s="1">
        <f t="shared" si="0"/>
        <v>540000</v>
      </c>
    </row>
    <row r="28" spans="1:8" x14ac:dyDescent="0.3">
      <c r="A28" s="6">
        <v>45697</v>
      </c>
      <c r="B28" t="s">
        <v>33</v>
      </c>
      <c r="C28" t="s">
        <v>62</v>
      </c>
      <c r="D28">
        <v>300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27000</v>
      </c>
      <c r="H28" s="1">
        <f t="shared" si="0"/>
        <v>8100000</v>
      </c>
    </row>
    <row r="29" spans="1:8" x14ac:dyDescent="0.3">
      <c r="A29" s="6">
        <v>45697</v>
      </c>
      <c r="B29" t="s">
        <v>34</v>
      </c>
      <c r="C29" t="s">
        <v>62</v>
      </c>
      <c r="D29">
        <v>160</v>
      </c>
      <c r="E29">
        <f>LOOKUP(1,1/('[1]PURCHASE PRICE'!$A:$A=A29)/('[1]PURCHASE PRICE'!$B:$B=B29)/('[1]PURCHASE PRICE'!$C:$C=C29),'[1]PURCHASE PRICE'!$D:$D)</f>
        <v>17255</v>
      </c>
      <c r="F29">
        <f>LOOKUP(1,1/('[1]PURCHASE PRICE'!$A:$A=A29)/('[1]PURCHASE PRICE'!$B:$B=B29),'[1]PURCHASE PRICE'!$D:$D)</f>
        <v>17255</v>
      </c>
      <c r="G29" s="1">
        <f t="shared" si="1"/>
        <v>17255</v>
      </c>
      <c r="H29" s="1">
        <f t="shared" si="0"/>
        <v>2760800</v>
      </c>
    </row>
    <row r="30" spans="1:8" x14ac:dyDescent="0.3">
      <c r="A30" s="6">
        <v>45697</v>
      </c>
      <c r="B30" t="s">
        <v>98</v>
      </c>
      <c r="C30" t="s">
        <v>62</v>
      </c>
      <c r="D30">
        <v>0</v>
      </c>
      <c r="E30">
        <f>LOOKUP(1,1/('[1]PURCHASE PRICE'!$A:$A=A30)/('[1]PURCHASE PRICE'!$B:$B=B30)/('[1]PURCHASE PRICE'!$C:$C=C30),'[1]PURCHASE PRICE'!$D:$D)</f>
        <v>29000</v>
      </c>
      <c r="F30">
        <f>LOOKUP(1,1/('[1]PURCHASE PRICE'!$A:$A=A30)/('[1]PURCHASE PRICE'!$B:$B=B30),'[1]PURCHASE PRICE'!$D:$D)</f>
        <v>29000</v>
      </c>
      <c r="G30" s="1">
        <f t="shared" si="1"/>
        <v>29000</v>
      </c>
      <c r="H30" s="1">
        <f t="shared" si="0"/>
        <v>0</v>
      </c>
    </row>
    <row r="31" spans="1:8" x14ac:dyDescent="0.3">
      <c r="A31" s="6">
        <v>45697</v>
      </c>
      <c r="B31" t="s">
        <v>36</v>
      </c>
      <c r="C31" t="s">
        <v>22</v>
      </c>
      <c r="D31">
        <v>25</v>
      </c>
      <c r="E31">
        <f>LOOKUP(1,1/('[1]PURCHASE PRICE'!$A:$A=A31)/('[1]PURCHASE PRICE'!$B:$B=B31)/('[1]PURCHASE PRICE'!$C:$C=C31),'[1]PURCHASE PRICE'!$D:$D)</f>
        <v>6000</v>
      </c>
      <c r="F31">
        <f>LOOKUP(1,1/('[1]PURCHASE PRICE'!$A:$A=A31)/('[1]PURCHASE PRICE'!$B:$B=B31),'[1]PURCHASE PRICE'!$D:$D)</f>
        <v>6000</v>
      </c>
      <c r="G31" s="1">
        <f t="shared" si="1"/>
        <v>6000</v>
      </c>
      <c r="H31" s="1">
        <f t="shared" si="0"/>
        <v>150000</v>
      </c>
    </row>
    <row r="32" spans="1:8" x14ac:dyDescent="0.3">
      <c r="A32" s="6">
        <v>45697</v>
      </c>
      <c r="B32" t="s">
        <v>37</v>
      </c>
      <c r="C32" t="s">
        <v>31</v>
      </c>
      <c r="D32">
        <v>30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8500</v>
      </c>
      <c r="G32" s="1">
        <v>6000</v>
      </c>
      <c r="H32" s="1">
        <f t="shared" si="0"/>
        <v>180000</v>
      </c>
    </row>
    <row r="33" spans="1:8" x14ac:dyDescent="0.3">
      <c r="A33" s="6">
        <v>45697</v>
      </c>
      <c r="B33" t="s">
        <v>38</v>
      </c>
      <c r="C33" t="s">
        <v>62</v>
      </c>
      <c r="D33">
        <v>0</v>
      </c>
      <c r="E33">
        <f>LOOKUP(1,1/('[1]PURCHASE PRICE'!$A:$A=A33)/('[1]PURCHASE PRICE'!$B:$B=B33)/('[1]PURCHASE PRICE'!$C:$C=C33),'[1]PURCHASE PRICE'!$D:$D)</f>
        <v>80000</v>
      </c>
      <c r="F33">
        <f>LOOKUP(1,1/('[1]PURCHASE PRICE'!$A:$A=A33)/('[1]PURCHASE PRICE'!$B:$B=B33),'[1]PURCHASE PRICE'!$D:$D)</f>
        <v>80000</v>
      </c>
      <c r="G33" s="1">
        <f t="shared" si="1"/>
        <v>80000</v>
      </c>
      <c r="H33" s="1">
        <f t="shared" si="0"/>
        <v>0</v>
      </c>
    </row>
    <row r="34" spans="1:8" x14ac:dyDescent="0.3">
      <c r="A34" s="6">
        <v>45697</v>
      </c>
      <c r="B34" t="s">
        <v>39</v>
      </c>
      <c r="C34" t="s">
        <v>9</v>
      </c>
      <c r="D34">
        <v>700</v>
      </c>
      <c r="E34">
        <f>LOOKUP(1,1/('[1]PURCHASE PRICE'!$A:$A=A34)/('[1]PURCHASE PRICE'!$B:$B=B34)/('[1]PURCHASE PRICE'!$C:$C=C34),'[1]PURCHASE PRICE'!$D:$D)</f>
        <v>7000</v>
      </c>
      <c r="F34">
        <f>LOOKUP(1,1/('[1]PURCHASE PRICE'!$A:$A=A34)/('[1]PURCHASE PRICE'!$B:$B=B34),'[1]PURCHASE PRICE'!$D:$D)</f>
        <v>7000</v>
      </c>
      <c r="G34" s="1">
        <f t="shared" si="1"/>
        <v>7000</v>
      </c>
      <c r="H34" s="1">
        <f t="shared" si="0"/>
        <v>4900000</v>
      </c>
    </row>
    <row r="35" spans="1:8" x14ac:dyDescent="0.3">
      <c r="A35" s="6">
        <v>45697</v>
      </c>
      <c r="B35" t="s">
        <v>40</v>
      </c>
      <c r="C35" t="s">
        <v>22</v>
      </c>
      <c r="D35">
        <v>21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12000</v>
      </c>
      <c r="G35" s="1">
        <f>+F35*0.6</f>
        <v>7200</v>
      </c>
      <c r="H35" s="1">
        <f t="shared" si="0"/>
        <v>151200</v>
      </c>
    </row>
    <row r="36" spans="1:8" x14ac:dyDescent="0.3">
      <c r="A36" s="6">
        <v>45697</v>
      </c>
      <c r="B36" t="s">
        <v>81</v>
      </c>
      <c r="C36" t="s">
        <v>62</v>
      </c>
      <c r="D36">
        <v>90</v>
      </c>
      <c r="E36">
        <f>LOOKUP(1,1/('[1]PURCHASE PRICE'!$A:$A=A36)/('[1]PURCHASE PRICE'!$B:$B=B36)/('[1]PURCHASE PRICE'!$C:$C=C36),'[1]PURCHASE PRICE'!$D:$D)</f>
        <v>13000</v>
      </c>
      <c r="F36">
        <f>LOOKUP(1,1/('[1]PURCHASE PRICE'!$A:$A=A36)/('[1]PURCHASE PRICE'!$B:$B=B36),'[1]PURCHASE PRICE'!$D:$D)</f>
        <v>13000</v>
      </c>
      <c r="G36" s="1">
        <f t="shared" si="1"/>
        <v>13000</v>
      </c>
      <c r="H36" s="1">
        <f t="shared" si="0"/>
        <v>1170000</v>
      </c>
    </row>
    <row r="37" spans="1:8" x14ac:dyDescent="0.3">
      <c r="A37" s="6">
        <v>45697</v>
      </c>
      <c r="B37" t="s">
        <v>41</v>
      </c>
      <c r="C37" t="s">
        <v>26</v>
      </c>
      <c r="D37">
        <v>160</v>
      </c>
      <c r="E37" t="e">
        <f>LOOKUP(1,1/('[1]PURCHASE PRICE'!$A:$A=A37)/('[1]PURCHASE PRICE'!$B:$B=B37)/('[1]PURCHASE PRICE'!$C:$C=C37),'[1]PURCHASE PRICE'!$D:$D)</f>
        <v>#N/A</v>
      </c>
      <c r="F37">
        <v>12000</v>
      </c>
      <c r="G37" s="1">
        <f>+F37*0.15</f>
        <v>1800</v>
      </c>
      <c r="H37" s="1">
        <f t="shared" si="0"/>
        <v>288000</v>
      </c>
    </row>
    <row r="38" spans="1:8" x14ac:dyDescent="0.3">
      <c r="A38" s="6">
        <v>45697</v>
      </c>
      <c r="B38" t="s">
        <v>42</v>
      </c>
      <c r="C38" t="s">
        <v>62</v>
      </c>
      <c r="D38">
        <v>15</v>
      </c>
      <c r="E38">
        <f>LOOKUP(1,1/('[1]PURCHASE PRICE'!$A:$A=A38)/('[1]PURCHASE PRICE'!$B:$B=B38)/('[1]PURCHASE PRICE'!$C:$C=C38),'[1]PURCHASE PRICE'!$D:$D)</f>
        <v>25000</v>
      </c>
      <c r="F38">
        <f>LOOKUP(1,1/('[1]PURCHASE PRICE'!$A:$A=A38)/('[1]PURCHASE PRICE'!$B:$B=B38),'[1]PURCHASE PRICE'!$D:$D)</f>
        <v>25000</v>
      </c>
      <c r="G38" s="1">
        <f t="shared" si="1"/>
        <v>25000</v>
      </c>
      <c r="H38" s="1">
        <f t="shared" si="0"/>
        <v>375000</v>
      </c>
    </row>
    <row r="39" spans="1:8" x14ac:dyDescent="0.3">
      <c r="A39" s="6">
        <v>45697</v>
      </c>
      <c r="B39" t="s">
        <v>44</v>
      </c>
      <c r="C39" t="s">
        <v>22</v>
      </c>
      <c r="D39">
        <v>500</v>
      </c>
      <c r="E39">
        <f>LOOKUP(1,1/('[1]PURCHASE PRICE'!$A:$A=A39)/('[1]PURCHASE PRICE'!$B:$B=B39)/('[1]PURCHASE PRICE'!$C:$C=C39),'[1]PURCHASE PRICE'!$D:$D)</f>
        <v>2800</v>
      </c>
      <c r="F39">
        <f>LOOKUP(1,1/('[1]PURCHASE PRICE'!$A:$A=A39)/('[1]PURCHASE PRICE'!$B:$B=B39),'[1]PURCHASE PRICE'!$D:$D)</f>
        <v>2800</v>
      </c>
      <c r="G39" s="1">
        <f t="shared" si="1"/>
        <v>2800</v>
      </c>
      <c r="H39" s="1">
        <f t="shared" si="0"/>
        <v>1400000</v>
      </c>
    </row>
    <row r="40" spans="1:8" x14ac:dyDescent="0.3">
      <c r="A40" s="6">
        <v>45697</v>
      </c>
      <c r="B40" t="s">
        <v>45</v>
      </c>
      <c r="C40" t="s">
        <v>62</v>
      </c>
      <c r="D40">
        <v>66</v>
      </c>
      <c r="E40">
        <f>LOOKUP(1,1/('[1]PURCHASE PRICE'!$A:$A=A40)/('[1]PURCHASE PRICE'!$B:$B=B40)/('[1]PURCHASE PRICE'!$C:$C=C40),'[1]PURCHASE PRICE'!$D:$D)</f>
        <v>50000</v>
      </c>
      <c r="F40">
        <f>LOOKUP(1,1/('[1]PURCHASE PRICE'!$A:$A=A40)/('[1]PURCHASE PRICE'!$B:$B=B40),'[1]PURCHASE PRICE'!$D:$D)</f>
        <v>50000</v>
      </c>
      <c r="G40" s="1">
        <f t="shared" si="1"/>
        <v>50000</v>
      </c>
      <c r="H40" s="1">
        <f t="shared" si="0"/>
        <v>3300000</v>
      </c>
    </row>
    <row r="41" spans="1:8" x14ac:dyDescent="0.3">
      <c r="A41" s="6">
        <v>45697</v>
      </c>
      <c r="B41" t="s">
        <v>47</v>
      </c>
      <c r="C41" t="s">
        <v>62</v>
      </c>
      <c r="D41">
        <v>12</v>
      </c>
      <c r="E41">
        <f>LOOKUP(1,1/('[1]PURCHASE PRICE'!$A:$A=A41)/('[1]PURCHASE PRICE'!$B:$B=B41)/('[1]PURCHASE PRICE'!$C:$C=C41),'[1]PURCHASE PRICE'!$D:$D)</f>
        <v>50000</v>
      </c>
      <c r="F41">
        <f>LOOKUP(1,1/('[1]PURCHASE PRICE'!$A:$A=A41)/('[1]PURCHASE PRICE'!$B:$B=B41),'[1]PURCHASE PRICE'!$D:$D)</f>
        <v>50000</v>
      </c>
      <c r="G41" s="1">
        <f t="shared" si="1"/>
        <v>50000</v>
      </c>
      <c r="H41" s="1">
        <f t="shared" si="0"/>
        <v>600000</v>
      </c>
    </row>
    <row r="42" spans="1:8" x14ac:dyDescent="0.3">
      <c r="A42" s="6">
        <v>45697</v>
      </c>
      <c r="B42" t="s">
        <v>48</v>
      </c>
      <c r="C42" t="s">
        <v>11</v>
      </c>
      <c r="D42">
        <v>55</v>
      </c>
      <c r="E42">
        <f>LOOKUP(1,1/('[1]PURCHASE PRICE'!$A:$A=A42)/('[1]PURCHASE PRICE'!$B:$B=B42)/('[1]PURCHASE PRICE'!$C:$C=C42),'[1]PURCHASE PRICE'!$D:$D)</f>
        <v>60000</v>
      </c>
      <c r="F42">
        <f>LOOKUP(1,1/('[1]PURCHASE PRICE'!$A:$A=A42)/('[1]PURCHASE PRICE'!$B:$B=B42),'[1]PURCHASE PRICE'!$D:$D)</f>
        <v>60000</v>
      </c>
      <c r="G42" s="1">
        <f t="shared" si="1"/>
        <v>60000</v>
      </c>
      <c r="H42" s="1">
        <f t="shared" si="0"/>
        <v>3300000</v>
      </c>
    </row>
    <row r="43" spans="1:8" x14ac:dyDescent="0.3">
      <c r="A43" s="6">
        <v>45697</v>
      </c>
      <c r="B43" t="s">
        <v>49</v>
      </c>
      <c r="C43" t="s">
        <v>62</v>
      </c>
      <c r="D43">
        <v>15</v>
      </c>
      <c r="E43">
        <f>LOOKUP(1,1/('[1]PURCHASE PRICE'!$A:$A=A43)/('[1]PURCHASE PRICE'!$B:$B=B43)/('[1]PURCHASE PRICE'!$C:$C=C43),'[1]PURCHASE PRICE'!$D:$D)</f>
        <v>60000</v>
      </c>
      <c r="F43">
        <f>LOOKUP(1,1/('[1]PURCHASE PRICE'!$A:$A=A43)/('[1]PURCHASE PRICE'!$B:$B=B43),'[1]PURCHASE PRICE'!$D:$D)</f>
        <v>60000</v>
      </c>
      <c r="G43" s="1">
        <f t="shared" si="1"/>
        <v>60000</v>
      </c>
      <c r="H43" s="1">
        <f t="shared" si="0"/>
        <v>900000</v>
      </c>
    </row>
    <row r="44" spans="1:8" x14ac:dyDescent="0.3">
      <c r="A44" s="6">
        <v>45697</v>
      </c>
      <c r="B44" t="s">
        <v>50</v>
      </c>
      <c r="C44" t="s">
        <v>77</v>
      </c>
      <c r="D44">
        <v>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60000</v>
      </c>
      <c r="G44" s="1">
        <v>0</v>
      </c>
      <c r="H44" s="1">
        <f t="shared" si="0"/>
        <v>0</v>
      </c>
    </row>
    <row r="45" spans="1:8" x14ac:dyDescent="0.3">
      <c r="A45" s="6">
        <v>45697</v>
      </c>
      <c r="B45" t="s">
        <v>52</v>
      </c>
      <c r="C45" t="s">
        <v>77</v>
      </c>
      <c r="D45">
        <v>60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30000</v>
      </c>
      <c r="G45" s="1">
        <f>+F45*0.25</f>
        <v>7500</v>
      </c>
      <c r="H45" s="1">
        <f t="shared" si="0"/>
        <v>450000</v>
      </c>
    </row>
    <row r="46" spans="1:8" x14ac:dyDescent="0.3">
      <c r="A46" s="6">
        <v>45697</v>
      </c>
      <c r="B46" t="s">
        <v>53</v>
      </c>
      <c r="C46" t="s">
        <v>22</v>
      </c>
      <c r="D46">
        <v>300</v>
      </c>
      <c r="E46">
        <f>LOOKUP(1,1/('[1]PURCHASE PRICE'!$A:$A=A46)/('[1]PURCHASE PRICE'!$B:$B=B46)/('[1]PURCHASE PRICE'!$C:$C=C46),'[1]PURCHASE PRICE'!$D:$D)</f>
        <v>17000</v>
      </c>
      <c r="F46">
        <f>LOOKUP(1,1/('[1]PURCHASE PRICE'!$A:$A=A46)/('[1]PURCHASE PRICE'!$B:$B=B46),'[1]PURCHASE PRICE'!$D:$D)</f>
        <v>17000</v>
      </c>
      <c r="G46" s="1">
        <f t="shared" si="1"/>
        <v>17000</v>
      </c>
      <c r="H46" s="1">
        <f t="shared" si="0"/>
        <v>5100000</v>
      </c>
    </row>
    <row r="47" spans="1:8" x14ac:dyDescent="0.3">
      <c r="A47" s="6">
        <v>45697</v>
      </c>
      <c r="B47" t="s">
        <v>83</v>
      </c>
      <c r="C47" t="s">
        <v>62</v>
      </c>
      <c r="D47">
        <v>5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35000</v>
      </c>
      <c r="H47" s="1">
        <f t="shared" si="0"/>
        <v>175000</v>
      </c>
    </row>
    <row r="48" spans="1:8" x14ac:dyDescent="0.3">
      <c r="A48" s="6">
        <v>45697</v>
      </c>
      <c r="B48" t="s">
        <v>55</v>
      </c>
      <c r="C48" t="s">
        <v>62</v>
      </c>
      <c r="D48">
        <v>100</v>
      </c>
      <c r="E48">
        <f>LOOKUP(1,1/('[1]PURCHASE PRICE'!$A:$A=A48)/('[1]PURCHASE PRICE'!$B:$B=B48)/('[1]PURCHASE PRICE'!$C:$C=C48),'[1]PURCHASE PRICE'!$D:$D)</f>
        <v>13000</v>
      </c>
      <c r="F48">
        <f>LOOKUP(1,1/('[1]PURCHASE PRICE'!$A:$A=A48)/('[1]PURCHASE PRICE'!$B:$B=B48),'[1]PURCHASE PRICE'!$D:$D)</f>
        <v>13000</v>
      </c>
      <c r="G48" s="1">
        <f t="shared" si="1"/>
        <v>13000</v>
      </c>
      <c r="H48" s="1">
        <f t="shared" si="0"/>
        <v>1300000</v>
      </c>
    </row>
    <row r="49" spans="1:8" x14ac:dyDescent="0.3">
      <c r="A49" s="6">
        <v>45697</v>
      </c>
      <c r="B49" t="s">
        <v>99</v>
      </c>
      <c r="C49" t="s">
        <v>62</v>
      </c>
      <c r="D49">
        <v>20</v>
      </c>
      <c r="E49">
        <f>LOOKUP(1,1/('[1]PURCHASE PRICE'!$A:$A=A49)/('[1]PURCHASE PRICE'!$B:$B=B49)/('[1]PURCHASE PRICE'!$C:$C=C49),'[1]PURCHASE PRICE'!$D:$D)</f>
        <v>26000</v>
      </c>
      <c r="F49">
        <f>LOOKUP(1,1/('[1]PURCHASE PRICE'!$A:$A=A49)/('[1]PURCHASE PRICE'!$B:$B=B49),'[1]PURCHASE PRICE'!$D:$D)</f>
        <v>26000</v>
      </c>
      <c r="G49" s="1">
        <f t="shared" si="1"/>
        <v>26000</v>
      </c>
      <c r="H49" s="1">
        <f t="shared" si="0"/>
        <v>520000</v>
      </c>
    </row>
    <row r="50" spans="1:8" x14ac:dyDescent="0.3">
      <c r="A50" s="6">
        <v>45697</v>
      </c>
      <c r="B50" t="s">
        <v>56</v>
      </c>
      <c r="C50" t="s">
        <v>26</v>
      </c>
      <c r="D50">
        <v>150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1"/>
        <v>6800</v>
      </c>
      <c r="H50" s="1">
        <f t="shared" si="0"/>
        <v>1020000</v>
      </c>
    </row>
    <row r="51" spans="1:8" x14ac:dyDescent="0.3">
      <c r="A51" s="6">
        <v>45697</v>
      </c>
      <c r="B51" t="s">
        <v>96</v>
      </c>
      <c r="C51" t="s">
        <v>62</v>
      </c>
      <c r="D51">
        <v>80</v>
      </c>
      <c r="E51">
        <f>LOOKUP(1,1/('[1]PURCHASE PRICE'!$A:$A=A51)/('[1]PURCHASE PRICE'!$B:$B=B51)/('[1]PURCHASE PRICE'!$C:$C=C51),'[1]PURCHASE PRICE'!$D:$D)</f>
        <v>28000</v>
      </c>
      <c r="F51">
        <f>LOOKUP(1,1/('[1]PURCHASE PRICE'!$A:$A=A51)/('[1]PURCHASE PRICE'!$B:$B=B51),'[1]PURCHASE PRICE'!$D:$D)</f>
        <v>28000</v>
      </c>
      <c r="G51" s="1">
        <f t="shared" si="1"/>
        <v>28000</v>
      </c>
      <c r="H51" s="1">
        <f t="shared" si="0"/>
        <v>2240000</v>
      </c>
    </row>
    <row r="52" spans="1:8" x14ac:dyDescent="0.3">
      <c r="A52" s="6">
        <v>45697</v>
      </c>
      <c r="B52" t="s">
        <v>58</v>
      </c>
      <c r="C52" t="s">
        <v>62</v>
      </c>
      <c r="D52">
        <v>40</v>
      </c>
      <c r="E52">
        <f>LOOKUP(1,1/('[1]PURCHASE PRICE'!$A:$A=A52)/('[1]PURCHASE PRICE'!$B:$B=B52)/('[1]PURCHASE PRICE'!$C:$C=C52),'[1]PURCHASE PRICE'!$D:$D)</f>
        <v>18000</v>
      </c>
      <c r="F52">
        <f>LOOKUP(1,1/('[1]PURCHASE PRICE'!$A:$A=A52)/('[1]PURCHASE PRICE'!$B:$B=B52),'[1]PURCHASE PRICE'!$D:$D)</f>
        <v>18000</v>
      </c>
      <c r="G52" s="1">
        <f t="shared" si="1"/>
        <v>18000</v>
      </c>
      <c r="H52" s="1">
        <f t="shared" si="0"/>
        <v>720000</v>
      </c>
    </row>
    <row r="53" spans="1:8" x14ac:dyDescent="0.3">
      <c r="A53" s="6">
        <v>45697</v>
      </c>
      <c r="B53" t="s">
        <v>61</v>
      </c>
      <c r="C53" t="s">
        <v>26</v>
      </c>
      <c r="D53">
        <v>10</v>
      </c>
      <c r="E53">
        <f>LOOKUP(1,1/('[1]PURCHASE PRICE'!$A:$A=A53)/('[1]PURCHASE PRICE'!$B:$B=B53)/('[1]PURCHASE PRICE'!$C:$C=C53),'[1]PURCHASE PRICE'!$D:$D)</f>
        <v>6800</v>
      </c>
      <c r="F53">
        <f>LOOKUP(1,1/('[1]PURCHASE PRICE'!$A:$A=A53)/('[1]PURCHASE PRICE'!$B:$B=B53),'[1]PURCHASE PRICE'!$D:$D)</f>
        <v>6800</v>
      </c>
      <c r="G53" s="1">
        <f t="shared" si="1"/>
        <v>6800</v>
      </c>
      <c r="H53" s="1">
        <f t="shared" si="0"/>
        <v>68000</v>
      </c>
    </row>
    <row r="54" spans="1:8" x14ac:dyDescent="0.3">
      <c r="A54" s="6">
        <v>45697</v>
      </c>
      <c r="B54" t="s">
        <v>100</v>
      </c>
      <c r="C54" t="s">
        <v>11</v>
      </c>
      <c r="D54">
        <v>3</v>
      </c>
      <c r="E54">
        <f>LOOKUP(1,1/('[1]PURCHASE PRICE'!$A:$A=A54)/('[1]PURCHASE PRICE'!$B:$B=B54)/('[1]PURCHASE PRICE'!$C:$C=C54),'[1]PURCHASE PRICE'!$D:$D)</f>
        <v>6000</v>
      </c>
      <c r="F54">
        <f>LOOKUP(1,1/('[1]PURCHASE PRICE'!$A:$A=A54)/('[1]PURCHASE PRICE'!$B:$B=B54),'[1]PURCHASE PRICE'!$D:$D)</f>
        <v>6000</v>
      </c>
      <c r="G54" s="1">
        <f t="shared" si="1"/>
        <v>6000</v>
      </c>
      <c r="H54" s="1">
        <f t="shared" si="0"/>
        <v>18000</v>
      </c>
    </row>
    <row r="55" spans="1:8" x14ac:dyDescent="0.3">
      <c r="A55" s="6">
        <v>45697</v>
      </c>
      <c r="B55" t="s">
        <v>101</v>
      </c>
      <c r="C55" t="s">
        <v>11</v>
      </c>
      <c r="D55">
        <v>10</v>
      </c>
      <c r="E55">
        <f>LOOKUP(1,1/('[1]PURCHASE PRICE'!$A:$A=A55)/('[1]PURCHASE PRICE'!$B:$B=B55)/('[1]PURCHASE PRICE'!$C:$C=C55),'[1]PURCHASE PRICE'!$D:$D)</f>
        <v>4300</v>
      </c>
      <c r="F55">
        <f>LOOKUP(1,1/('[1]PURCHASE PRICE'!$A:$A=A55)/('[1]PURCHASE PRICE'!$B:$B=B55),'[1]PURCHASE PRICE'!$D:$D)</f>
        <v>4300</v>
      </c>
      <c r="G55" s="1">
        <f t="shared" si="1"/>
        <v>4300</v>
      </c>
      <c r="H55" s="1">
        <f t="shared" si="0"/>
        <v>43000</v>
      </c>
    </row>
    <row r="56" spans="1:8" x14ac:dyDescent="0.3">
      <c r="A56" s="6">
        <v>45697</v>
      </c>
      <c r="B56" t="s">
        <v>102</v>
      </c>
      <c r="C56" t="s">
        <v>11</v>
      </c>
      <c r="D56">
        <v>3</v>
      </c>
      <c r="E56" t="e">
        <f>LOOKUP(1,1/('[1]PURCHASE PRICE'!$A:$A=A56)/('[1]PURCHASE PRICE'!$B:$B=B56)/('[1]PURCHASE PRICE'!$C:$C=C56),'[1]PURCHASE PRICE'!$D:$D)</f>
        <v>#N/A</v>
      </c>
      <c r="F56">
        <f>LOOKUP(1,1/('[1]PURCHASE PRICE'!$A:$A=A56)/('[1]PURCHASE PRICE'!$B:$B=B56),'[1]PURCHASE PRICE'!$D:$D)</f>
        <v>10000</v>
      </c>
      <c r="G56" s="1">
        <f>+F56*3.3</f>
        <v>33000</v>
      </c>
      <c r="H56" s="1">
        <f t="shared" si="0"/>
        <v>99000</v>
      </c>
    </row>
    <row r="57" spans="1:8" x14ac:dyDescent="0.3">
      <c r="A57" s="6">
        <v>45697</v>
      </c>
      <c r="B57" t="s">
        <v>103</v>
      </c>
      <c r="C57" t="s">
        <v>11</v>
      </c>
      <c r="D57">
        <v>2</v>
      </c>
      <c r="E57" t="e">
        <f>LOOKUP(1,1/('[1]PURCHASE PRICE'!$A:$A=A57)/('[1]PURCHASE PRICE'!$B:$B=B57)/('[1]PURCHASE PRICE'!$C:$C=C57),'[1]PURCHASE PRICE'!$D:$D)</f>
        <v>#N/A</v>
      </c>
      <c r="F57">
        <f>LOOKUP(1,1/('[1]PURCHASE PRICE'!$A:$A=A57)/('[1]PURCHASE PRICE'!$B:$B=B57),'[1]PURCHASE PRICE'!$D:$D)</f>
        <v>2800</v>
      </c>
      <c r="G57" s="1">
        <f>+F57*20</f>
        <v>56000</v>
      </c>
      <c r="H57" s="1">
        <f t="shared" si="0"/>
        <v>112000</v>
      </c>
    </row>
    <row r="58" spans="1:8" x14ac:dyDescent="0.3">
      <c r="A58" s="6">
        <v>45697</v>
      </c>
      <c r="B58" t="s">
        <v>12</v>
      </c>
      <c r="C58" t="s">
        <v>11</v>
      </c>
      <c r="D58">
        <v>5</v>
      </c>
      <c r="E58" t="e">
        <f>LOOKUP(1,1/('[1]PURCHASE PRICE'!$A:$A=A58)/('[1]PURCHASE PRICE'!$B:$B=B58)/('[1]PURCHASE PRICE'!$C:$C=C58),'[1]PURCHASE PRICE'!$D:$D)</f>
        <v>#N/A</v>
      </c>
      <c r="F58">
        <f>LOOKUP(1,1/('[1]PURCHASE PRICE'!$A:$A=A58)/('[1]PURCHASE PRICE'!$B:$B=B58),'[1]PURCHASE PRICE'!$D:$D)</f>
        <v>9000</v>
      </c>
      <c r="G58" s="1">
        <f>+F58*2</f>
        <v>18000</v>
      </c>
      <c r="H58" s="1">
        <f t="shared" si="0"/>
        <v>90000</v>
      </c>
    </row>
    <row r="59" spans="1:8" x14ac:dyDescent="0.3">
      <c r="A59" s="6">
        <v>45697</v>
      </c>
      <c r="B59" t="s">
        <v>104</v>
      </c>
      <c r="C59" t="s">
        <v>11</v>
      </c>
      <c r="D59">
        <v>3</v>
      </c>
      <c r="E59">
        <f>LOOKUP(1,1/('[1]PURCHASE PRICE'!$A:$A=A59)/('[1]PURCHASE PRICE'!$B:$B=B59)/('[1]PURCHASE PRICE'!$C:$C=C59),'[1]PURCHASE PRICE'!$D:$D)</f>
        <v>18000</v>
      </c>
      <c r="F59">
        <f>LOOKUP(1,1/('[1]PURCHASE PRICE'!$A:$A=A59)/('[1]PURCHASE PRICE'!$B:$B=B59),'[1]PURCHASE PRICE'!$D:$D)</f>
        <v>18000</v>
      </c>
      <c r="G59" s="1">
        <f t="shared" si="1"/>
        <v>18000</v>
      </c>
      <c r="H59" s="1">
        <f t="shared" si="0"/>
        <v>54000</v>
      </c>
    </row>
    <row r="60" spans="1:8" x14ac:dyDescent="0.3">
      <c r="A60" s="6">
        <v>45697</v>
      </c>
      <c r="B60" t="s">
        <v>107</v>
      </c>
      <c r="C60" t="s">
        <v>11</v>
      </c>
      <c r="D60">
        <v>40</v>
      </c>
      <c r="E60">
        <f>LOOKUP(1,1/('[1]PURCHASE PRICE'!$A:$A=A60)/('[1]PURCHASE PRICE'!$B:$B=B60)/('[1]PURCHASE PRICE'!$C:$C=C60),'[1]PURCHASE PRICE'!$D:$D)</f>
        <v>15225</v>
      </c>
      <c r="F60">
        <f>LOOKUP(1,1/('[1]PURCHASE PRICE'!$A:$A=A60)/('[1]PURCHASE PRICE'!$B:$B=B60),'[1]PURCHASE PRICE'!$D:$D)</f>
        <v>15225</v>
      </c>
      <c r="G60" s="1">
        <f t="shared" si="1"/>
        <v>15225</v>
      </c>
      <c r="H60" s="1">
        <f t="shared" si="0"/>
        <v>609000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C259-2D86-4CA9-8C68-33CD1C35E8E2}">
  <dimension ref="A1:H45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SUM(H3:H51)</f>
        <v>37385000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45699</v>
      </c>
      <c r="B3" t="s">
        <v>4</v>
      </c>
      <c r="C3" t="s">
        <v>77</v>
      </c>
      <c r="D3">
        <v>300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17500</v>
      </c>
      <c r="G3" s="1">
        <f>+F3*0.3</f>
        <v>5250</v>
      </c>
      <c r="H3" s="1">
        <f>+G3*D3</f>
        <v>1575000</v>
      </c>
    </row>
    <row r="4" spans="1:8" x14ac:dyDescent="0.3">
      <c r="A4" s="6">
        <v>45699</v>
      </c>
      <c r="B4" t="s">
        <v>48</v>
      </c>
      <c r="C4" t="s">
        <v>77</v>
      </c>
      <c r="D4">
        <v>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60000</v>
      </c>
      <c r="G4" s="1">
        <f>+F4*0.25</f>
        <v>15000</v>
      </c>
      <c r="H4" s="1">
        <f t="shared" ref="H4:H45" si="0">+G4*D4</f>
        <v>0</v>
      </c>
    </row>
    <row r="5" spans="1:8" x14ac:dyDescent="0.3">
      <c r="A5" s="6">
        <v>45699</v>
      </c>
      <c r="B5" t="s">
        <v>50</v>
      </c>
      <c r="C5" t="s">
        <v>77</v>
      </c>
      <c r="D5">
        <v>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60000</v>
      </c>
      <c r="G5" s="1">
        <f>+F5*0.25</f>
        <v>15000</v>
      </c>
      <c r="H5" s="1">
        <f t="shared" si="0"/>
        <v>0</v>
      </c>
    </row>
    <row r="6" spans="1:8" x14ac:dyDescent="0.3">
      <c r="A6" s="6">
        <v>45699</v>
      </c>
      <c r="B6" t="s">
        <v>18</v>
      </c>
      <c r="C6" t="s">
        <v>62</v>
      </c>
      <c r="D6">
        <v>40</v>
      </c>
      <c r="E6">
        <f>LOOKUP(1,1/('[1]PURCHASE PRICE'!$A:$A=A6)/('[1]PURCHASE PRICE'!$B:$B=B6)/('[1]PURCHASE PRICE'!$C:$C=C6),'[1]PURCHASE PRICE'!$D:$D)</f>
        <v>8000</v>
      </c>
      <c r="F6">
        <f>LOOKUP(1,1/('[1]PURCHASE PRICE'!$A:$A=A6)/('[1]PURCHASE PRICE'!$B:$B=B6),'[1]PURCHASE PRICE'!$D:$D)</f>
        <v>8000</v>
      </c>
      <c r="G6" s="1">
        <f t="shared" ref="G6:G45" si="1">E6</f>
        <v>8000</v>
      </c>
      <c r="H6" s="1">
        <f t="shared" si="0"/>
        <v>320000</v>
      </c>
    </row>
    <row r="7" spans="1:8" x14ac:dyDescent="0.3">
      <c r="A7" s="6">
        <v>45699</v>
      </c>
      <c r="B7" t="s">
        <v>33</v>
      </c>
      <c r="C7" t="s">
        <v>62</v>
      </c>
      <c r="D7">
        <v>100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27000</v>
      </c>
      <c r="H7" s="1">
        <f t="shared" si="0"/>
        <v>2700000</v>
      </c>
    </row>
    <row r="8" spans="1:8" x14ac:dyDescent="0.3">
      <c r="A8" s="6">
        <v>45699</v>
      </c>
      <c r="B8" t="s">
        <v>34</v>
      </c>
      <c r="C8" t="s">
        <v>62</v>
      </c>
      <c r="D8">
        <v>120</v>
      </c>
      <c r="E8">
        <f>LOOKUP(1,1/('[1]PURCHASE PRICE'!$A:$A=A8)/('[1]PURCHASE PRICE'!$B:$B=B8)/('[1]PURCHASE PRICE'!$C:$C=C8),'[1]PURCHASE PRICE'!$D:$D)</f>
        <v>16500</v>
      </c>
      <c r="F8">
        <f>LOOKUP(1,1/('[1]PURCHASE PRICE'!$A:$A=A8)/('[1]PURCHASE PRICE'!$B:$B=B8),'[1]PURCHASE PRICE'!$D:$D)</f>
        <v>16500</v>
      </c>
      <c r="G8" s="1">
        <f t="shared" si="1"/>
        <v>16500</v>
      </c>
      <c r="H8" s="1">
        <f t="shared" si="0"/>
        <v>1980000</v>
      </c>
    </row>
    <row r="9" spans="1:8" x14ac:dyDescent="0.3">
      <c r="A9" s="6">
        <v>45699</v>
      </c>
      <c r="B9" t="s">
        <v>0</v>
      </c>
      <c r="C9" t="s">
        <v>62</v>
      </c>
      <c r="D9">
        <v>20</v>
      </c>
      <c r="E9">
        <f>LOOKUP(1,1/('[1]PURCHASE PRICE'!$A:$A=A9)/('[1]PURCHASE PRICE'!$B:$B=B9)/('[1]PURCHASE PRICE'!$C:$C=C9),'[1]PURCHASE PRICE'!$D:$D)</f>
        <v>18000</v>
      </c>
      <c r="F9">
        <f>LOOKUP(1,1/('[1]PURCHASE PRICE'!$A:$A=A9)/('[1]PURCHASE PRICE'!$B:$B=B9),'[1]PURCHASE PRICE'!$D:$D)</f>
        <v>18000</v>
      </c>
      <c r="G9" s="1">
        <f t="shared" si="1"/>
        <v>18000</v>
      </c>
      <c r="H9" s="1">
        <f t="shared" si="0"/>
        <v>360000</v>
      </c>
    </row>
    <row r="10" spans="1:8" x14ac:dyDescent="0.3">
      <c r="A10" s="6">
        <v>45699</v>
      </c>
      <c r="B10" t="s">
        <v>20</v>
      </c>
      <c r="C10" t="s">
        <v>62</v>
      </c>
      <c r="D10">
        <v>40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5100</v>
      </c>
      <c r="G10" s="1">
        <f t="shared" si="1"/>
        <v>14000</v>
      </c>
      <c r="H10" s="1">
        <f t="shared" si="0"/>
        <v>560000</v>
      </c>
    </row>
    <row r="11" spans="1:8" x14ac:dyDescent="0.3">
      <c r="A11" s="6">
        <v>45699</v>
      </c>
      <c r="B11" t="s">
        <v>25</v>
      </c>
      <c r="C11" t="s">
        <v>26</v>
      </c>
      <c r="D11">
        <v>200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13000</v>
      </c>
      <c r="G11" s="1">
        <f>+F11/2</f>
        <v>6500</v>
      </c>
      <c r="H11" s="1">
        <f t="shared" si="0"/>
        <v>1300000</v>
      </c>
    </row>
    <row r="12" spans="1:8" x14ac:dyDescent="0.3">
      <c r="A12" s="6">
        <v>45699</v>
      </c>
      <c r="B12" t="s">
        <v>41</v>
      </c>
      <c r="C12" t="s">
        <v>26</v>
      </c>
      <c r="D12">
        <v>120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12000</v>
      </c>
      <c r="G12" s="1">
        <f>+F12*0.15</f>
        <v>1800</v>
      </c>
      <c r="H12" s="1">
        <f t="shared" si="0"/>
        <v>216000</v>
      </c>
    </row>
    <row r="13" spans="1:8" x14ac:dyDescent="0.3">
      <c r="A13" s="6">
        <v>45699</v>
      </c>
      <c r="B13" t="s">
        <v>42</v>
      </c>
      <c r="C13" t="s">
        <v>62</v>
      </c>
      <c r="D13">
        <v>5</v>
      </c>
      <c r="E13">
        <f>LOOKUP(1,1/('[1]PURCHASE PRICE'!$A:$A=A13)/('[1]PURCHASE PRICE'!$B:$B=B13)/('[1]PURCHASE PRICE'!$C:$C=C13),'[1]PURCHASE PRICE'!$D:$D)</f>
        <v>25000</v>
      </c>
      <c r="F13">
        <f>LOOKUP(1,1/('[1]PURCHASE PRICE'!$A:$A=A13)/('[1]PURCHASE PRICE'!$B:$B=B13),'[1]PURCHASE PRICE'!$D:$D)</f>
        <v>25000</v>
      </c>
      <c r="G13" s="1">
        <f t="shared" si="1"/>
        <v>25000</v>
      </c>
      <c r="H13" s="1">
        <f t="shared" si="0"/>
        <v>125000</v>
      </c>
    </row>
    <row r="14" spans="1:8" x14ac:dyDescent="0.3">
      <c r="A14" s="6">
        <v>45699</v>
      </c>
      <c r="B14" t="s">
        <v>44</v>
      </c>
      <c r="C14" t="s">
        <v>22</v>
      </c>
      <c r="D14">
        <v>600</v>
      </c>
      <c r="E14">
        <f>LOOKUP(1,1/('[1]PURCHASE PRICE'!$A:$A=A14)/('[1]PURCHASE PRICE'!$B:$B=B14)/('[1]PURCHASE PRICE'!$C:$C=C14),'[1]PURCHASE PRICE'!$D:$D)</f>
        <v>2800</v>
      </c>
      <c r="F14">
        <f>LOOKUP(1,1/('[1]PURCHASE PRICE'!$A:$A=A14)/('[1]PURCHASE PRICE'!$B:$B=B14),'[1]PURCHASE PRICE'!$D:$D)</f>
        <v>2800</v>
      </c>
      <c r="G14" s="1">
        <f t="shared" si="1"/>
        <v>2800</v>
      </c>
      <c r="H14" s="1">
        <f t="shared" si="0"/>
        <v>1680000</v>
      </c>
    </row>
    <row r="15" spans="1:8" x14ac:dyDescent="0.3">
      <c r="A15" s="6">
        <v>45699</v>
      </c>
      <c r="B15" t="s">
        <v>45</v>
      </c>
      <c r="C15" t="s">
        <v>62</v>
      </c>
      <c r="D15">
        <v>30</v>
      </c>
      <c r="E15">
        <f>LOOKUP(1,1/('[1]PURCHASE PRICE'!$A:$A=A15)/('[1]PURCHASE PRICE'!$B:$B=B15)/('[1]PURCHASE PRICE'!$C:$C=C15),'[1]PURCHASE PRICE'!$D:$D)</f>
        <v>44000</v>
      </c>
      <c r="F15">
        <f>LOOKUP(1,1/('[1]PURCHASE PRICE'!$A:$A=A15)/('[1]PURCHASE PRICE'!$B:$B=B15),'[1]PURCHASE PRICE'!$D:$D)</f>
        <v>44000</v>
      </c>
      <c r="G15" s="1">
        <f t="shared" si="1"/>
        <v>44000</v>
      </c>
      <c r="H15" s="1">
        <f t="shared" si="0"/>
        <v>1320000</v>
      </c>
    </row>
    <row r="16" spans="1:8" x14ac:dyDescent="0.3">
      <c r="A16" s="6">
        <v>45699</v>
      </c>
      <c r="B16" t="s">
        <v>55</v>
      </c>
      <c r="C16" t="s">
        <v>62</v>
      </c>
      <c r="D16">
        <v>100</v>
      </c>
      <c r="E16">
        <f>LOOKUP(1,1/('[1]PURCHASE PRICE'!$A:$A=A16)/('[1]PURCHASE PRICE'!$B:$B=B16)/('[1]PURCHASE PRICE'!$C:$C=C16),'[1]PURCHASE PRICE'!$D:$D)</f>
        <v>13000</v>
      </c>
      <c r="F16">
        <f>LOOKUP(1,1/('[1]PURCHASE PRICE'!$A:$A=A16)/('[1]PURCHASE PRICE'!$B:$B=B16),'[1]PURCHASE PRICE'!$D:$D)</f>
        <v>13000</v>
      </c>
      <c r="G16" s="1">
        <f t="shared" si="1"/>
        <v>13000</v>
      </c>
      <c r="H16" s="1">
        <f t="shared" si="0"/>
        <v>1300000</v>
      </c>
    </row>
    <row r="17" spans="1:8" x14ac:dyDescent="0.3">
      <c r="A17" s="6">
        <v>45699</v>
      </c>
      <c r="B17" t="s">
        <v>96</v>
      </c>
      <c r="C17" t="s">
        <v>62</v>
      </c>
      <c r="D17">
        <v>60</v>
      </c>
      <c r="E17">
        <f>LOOKUP(1,1/('[1]PURCHASE PRICE'!$A:$A=A17)/('[1]PURCHASE PRICE'!$B:$B=B17)/('[1]PURCHASE PRICE'!$C:$C=C17),'[1]PURCHASE PRICE'!$D:$D)</f>
        <v>26000</v>
      </c>
      <c r="F17">
        <f>LOOKUP(1,1/('[1]PURCHASE PRICE'!$A:$A=A17)/('[1]PURCHASE PRICE'!$B:$B=B17),'[1]PURCHASE PRICE'!$D:$D)</f>
        <v>26000</v>
      </c>
      <c r="G17" s="1">
        <f t="shared" si="1"/>
        <v>26000</v>
      </c>
      <c r="H17" s="1">
        <f t="shared" si="0"/>
        <v>1560000</v>
      </c>
    </row>
    <row r="18" spans="1:8" x14ac:dyDescent="0.3">
      <c r="A18" s="6">
        <v>45699</v>
      </c>
      <c r="B18" t="s">
        <v>12</v>
      </c>
      <c r="C18" t="s">
        <v>13</v>
      </c>
      <c r="D18">
        <v>100</v>
      </c>
      <c r="E18">
        <f>LOOKUP(1,1/('[1]PURCHASE PRICE'!$A:$A=A18)/('[1]PURCHASE PRICE'!$B:$B=B18)/('[1]PURCHASE PRICE'!$C:$C=C18),'[1]PURCHASE PRICE'!$D:$D)</f>
        <v>5100</v>
      </c>
      <c r="F18">
        <f>LOOKUP(1,1/('[1]PURCHASE PRICE'!$A:$A=A18)/('[1]PURCHASE PRICE'!$B:$B=B18),'[1]PURCHASE PRICE'!$D:$D)</f>
        <v>5100</v>
      </c>
      <c r="G18" s="1">
        <f t="shared" si="1"/>
        <v>5100</v>
      </c>
      <c r="H18" s="1">
        <f t="shared" si="0"/>
        <v>510000</v>
      </c>
    </row>
    <row r="19" spans="1:8" x14ac:dyDescent="0.3">
      <c r="A19" s="6">
        <v>45699</v>
      </c>
      <c r="B19" t="s">
        <v>6</v>
      </c>
      <c r="C19" t="s">
        <v>11</v>
      </c>
      <c r="D19">
        <v>40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0"/>
        <v>400000</v>
      </c>
    </row>
    <row r="20" spans="1:8" x14ac:dyDescent="0.3">
      <c r="A20" s="6">
        <v>45699</v>
      </c>
      <c r="B20" t="s">
        <v>6</v>
      </c>
      <c r="C20" t="s">
        <v>77</v>
      </c>
      <c r="D20">
        <v>40</v>
      </c>
      <c r="E20" t="e">
        <f>LOOKUP(1,1/('[1]PURCHASE PRICE'!$A:$A=A20)/('[1]PURCHASE PRICE'!$B:$B=B20)/('[1]PURCHASE PRICE'!$C:$C=C20),'[1]PURCHASE PRICE'!$D:$D)</f>
        <v>#N/A</v>
      </c>
      <c r="F20">
        <v>15000</v>
      </c>
      <c r="G20" s="1">
        <f>+F20*0.3</f>
        <v>4500</v>
      </c>
      <c r="H20" s="1">
        <f t="shared" si="0"/>
        <v>180000</v>
      </c>
    </row>
    <row r="21" spans="1:8" x14ac:dyDescent="0.3">
      <c r="A21" s="6">
        <v>45699</v>
      </c>
      <c r="B21" t="s">
        <v>14</v>
      </c>
      <c r="C21" t="s">
        <v>15</v>
      </c>
      <c r="D21">
        <v>45</v>
      </c>
      <c r="E21">
        <f>LOOKUP(1,1/('[1]PURCHASE PRICE'!$A:$A=A21)/('[1]PURCHASE PRICE'!$B:$B=B21)/('[1]PURCHASE PRICE'!$C:$C=C21),'[1]PURCHASE PRICE'!$D:$D)</f>
        <v>11100</v>
      </c>
      <c r="F21">
        <f>LOOKUP(1,1/('[1]PURCHASE PRICE'!$A:$A=A21)/('[1]PURCHASE PRICE'!$B:$B=B21),'[1]PURCHASE PRICE'!$D:$D)</f>
        <v>11100</v>
      </c>
      <c r="G21" s="1">
        <f t="shared" si="1"/>
        <v>11100</v>
      </c>
      <c r="H21" s="1">
        <f t="shared" si="0"/>
        <v>499500</v>
      </c>
    </row>
    <row r="22" spans="1:8" x14ac:dyDescent="0.3">
      <c r="A22" s="6">
        <v>45699</v>
      </c>
      <c r="B22" t="s">
        <v>16</v>
      </c>
      <c r="C22" t="s">
        <v>13</v>
      </c>
      <c r="D22">
        <v>125</v>
      </c>
      <c r="E22">
        <f>LOOKUP(1,1/('[1]PURCHASE PRICE'!$A:$A=A22)/('[1]PURCHASE PRICE'!$B:$B=B22)/('[1]PURCHASE PRICE'!$C:$C=C22),'[1]PURCHASE PRICE'!$D:$D)</f>
        <v>9900</v>
      </c>
      <c r="F22">
        <f>LOOKUP(1,1/('[1]PURCHASE PRICE'!$A:$A=A22)/('[1]PURCHASE PRICE'!$B:$B=B22),'[1]PURCHASE PRICE'!$D:$D)</f>
        <v>9900</v>
      </c>
      <c r="G22" s="1">
        <f t="shared" si="1"/>
        <v>9900</v>
      </c>
      <c r="H22" s="1">
        <f t="shared" si="0"/>
        <v>1237500</v>
      </c>
    </row>
    <row r="23" spans="1:8" x14ac:dyDescent="0.3">
      <c r="A23" s="6">
        <v>45699</v>
      </c>
      <c r="B23" t="s">
        <v>39</v>
      </c>
      <c r="C23" t="s">
        <v>9</v>
      </c>
      <c r="D23">
        <v>800</v>
      </c>
      <c r="E23">
        <f>LOOKUP(1,1/('[1]PURCHASE PRICE'!$A:$A=A23)/('[1]PURCHASE PRICE'!$B:$B=B23)/('[1]PURCHASE PRICE'!$C:$C=C23),'[1]PURCHASE PRICE'!$D:$D)</f>
        <v>8000</v>
      </c>
      <c r="F23">
        <f>LOOKUP(1,1/('[1]PURCHASE PRICE'!$A:$A=A23)/('[1]PURCHASE PRICE'!$B:$B=B23),'[1]PURCHASE PRICE'!$D:$D)</f>
        <v>8000</v>
      </c>
      <c r="G23" s="1">
        <f t="shared" si="1"/>
        <v>8000</v>
      </c>
      <c r="H23" s="1">
        <f t="shared" si="0"/>
        <v>6400000</v>
      </c>
    </row>
    <row r="24" spans="1:8" x14ac:dyDescent="0.3">
      <c r="A24" s="6">
        <v>45699</v>
      </c>
      <c r="B24" t="s">
        <v>81</v>
      </c>
      <c r="C24" t="s">
        <v>62</v>
      </c>
      <c r="D24">
        <v>40</v>
      </c>
      <c r="E24">
        <f>LOOKUP(1,1/('[1]PURCHASE PRICE'!$A:$A=A24)/('[1]PURCHASE PRICE'!$B:$B=B24)/('[1]PURCHASE PRICE'!$C:$C=C24),'[1]PURCHASE PRICE'!$D:$D)</f>
        <v>15000</v>
      </c>
      <c r="F24">
        <f>LOOKUP(1,1/('[1]PURCHASE PRICE'!$A:$A=A24)/('[1]PURCHASE PRICE'!$B:$B=B24),'[1]PURCHASE PRICE'!$D:$D)</f>
        <v>15000</v>
      </c>
      <c r="G24" s="1">
        <f t="shared" si="1"/>
        <v>15000</v>
      </c>
      <c r="H24" s="1">
        <f t="shared" si="0"/>
        <v>600000</v>
      </c>
    </row>
    <row r="25" spans="1:8" x14ac:dyDescent="0.3">
      <c r="A25" s="6">
        <v>45699</v>
      </c>
      <c r="B25" t="s">
        <v>47</v>
      </c>
      <c r="C25" t="s">
        <v>62</v>
      </c>
      <c r="D25">
        <v>20</v>
      </c>
      <c r="E25">
        <f>LOOKUP(1,1/('[1]PURCHASE PRICE'!$A:$A=A25)/('[1]PURCHASE PRICE'!$B:$B=B25)/('[1]PURCHASE PRICE'!$C:$C=C25),'[1]PURCHASE PRICE'!$D:$D)</f>
        <v>55000</v>
      </c>
      <c r="F25">
        <f>LOOKUP(1,1/('[1]PURCHASE PRICE'!$A:$A=A25)/('[1]PURCHASE PRICE'!$B:$B=B25),'[1]PURCHASE PRICE'!$D:$D)</f>
        <v>55000</v>
      </c>
      <c r="G25" s="1">
        <f t="shared" si="1"/>
        <v>55000</v>
      </c>
      <c r="H25" s="1">
        <f t="shared" si="0"/>
        <v>1100000</v>
      </c>
    </row>
    <row r="26" spans="1:8" x14ac:dyDescent="0.3">
      <c r="A26" s="6">
        <v>45699</v>
      </c>
      <c r="B26" t="s">
        <v>53</v>
      </c>
      <c r="C26" t="s">
        <v>22</v>
      </c>
      <c r="D26">
        <v>200</v>
      </c>
      <c r="E26">
        <f>LOOKUP(1,1/('[1]PURCHASE PRICE'!$A:$A=A26)/('[1]PURCHASE PRICE'!$B:$B=B26)/('[1]PURCHASE PRICE'!$C:$C=C26),'[1]PURCHASE PRICE'!$D:$D)</f>
        <v>18000</v>
      </c>
      <c r="F26">
        <f>LOOKUP(1,1/('[1]PURCHASE PRICE'!$A:$A=A26)/('[1]PURCHASE PRICE'!$B:$B=B26),'[1]PURCHASE PRICE'!$D:$D)</f>
        <v>18000</v>
      </c>
      <c r="G26" s="1">
        <f t="shared" si="1"/>
        <v>18000</v>
      </c>
      <c r="H26" s="1">
        <f t="shared" si="0"/>
        <v>3600000</v>
      </c>
    </row>
    <row r="27" spans="1:8" x14ac:dyDescent="0.3">
      <c r="A27" s="6">
        <v>45699</v>
      </c>
      <c r="B27" t="s">
        <v>19</v>
      </c>
      <c r="C27" t="s">
        <v>9</v>
      </c>
      <c r="D27">
        <v>80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5000</v>
      </c>
      <c r="H27" s="1">
        <f t="shared" si="0"/>
        <v>400000</v>
      </c>
    </row>
    <row r="28" spans="1:8" x14ac:dyDescent="0.3">
      <c r="A28" s="6">
        <v>45699</v>
      </c>
      <c r="B28" t="s">
        <v>28</v>
      </c>
      <c r="C28" t="s">
        <v>15</v>
      </c>
      <c r="D28">
        <v>30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11000</v>
      </c>
      <c r="H28" s="1">
        <f t="shared" si="0"/>
        <v>330000</v>
      </c>
    </row>
    <row r="29" spans="1:8" x14ac:dyDescent="0.3">
      <c r="A29" s="6">
        <v>45699</v>
      </c>
      <c r="B29" t="s">
        <v>30</v>
      </c>
      <c r="C29" t="s">
        <v>62</v>
      </c>
      <c r="D29">
        <v>80</v>
      </c>
      <c r="E29">
        <f>LOOKUP(1,1/('[1]PURCHASE PRICE'!$A:$A=A29)/('[1]PURCHASE PRICE'!$B:$B=B29)/('[1]PURCHASE PRICE'!$C:$C=C29),'[1]PURCHASE PRICE'!$D:$D)</f>
        <v>8700</v>
      </c>
      <c r="F29">
        <f>LOOKUP(1,1/('[1]PURCHASE PRICE'!$A:$A=A29)/('[1]PURCHASE PRICE'!$B:$B=B29),'[1]PURCHASE PRICE'!$D:$D)</f>
        <v>8700</v>
      </c>
      <c r="G29" s="1">
        <f t="shared" si="1"/>
        <v>8700</v>
      </c>
      <c r="H29" s="1">
        <f t="shared" si="0"/>
        <v>696000</v>
      </c>
    </row>
    <row r="30" spans="1:8" x14ac:dyDescent="0.3">
      <c r="A30" s="6">
        <v>45699</v>
      </c>
      <c r="B30" t="s">
        <v>2</v>
      </c>
      <c r="C30" t="s">
        <v>62</v>
      </c>
      <c r="D30">
        <v>20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6000</v>
      </c>
      <c r="H30" s="1">
        <f t="shared" si="0"/>
        <v>120000</v>
      </c>
    </row>
    <row r="31" spans="1:8" x14ac:dyDescent="0.3">
      <c r="A31" s="6">
        <v>45699</v>
      </c>
      <c r="B31" t="s">
        <v>21</v>
      </c>
      <c r="C31" t="s">
        <v>22</v>
      </c>
      <c r="D31">
        <v>100</v>
      </c>
      <c r="E31">
        <f>LOOKUP(1,1/('[1]PURCHASE PRICE'!$A:$A=A31)/('[1]PURCHASE PRICE'!$B:$B=B31)/('[1]PURCHASE PRICE'!$C:$C=C31),'[1]PURCHASE PRICE'!$D:$D)</f>
        <v>4200</v>
      </c>
      <c r="F31">
        <f>LOOKUP(1,1/('[1]PURCHASE PRICE'!$A:$A=A31)/('[1]PURCHASE PRICE'!$B:$B=B31),'[1]PURCHASE PRICE'!$D:$D)</f>
        <v>4200</v>
      </c>
      <c r="G31" s="1">
        <f t="shared" si="1"/>
        <v>4200</v>
      </c>
      <c r="H31" s="1">
        <f t="shared" si="0"/>
        <v>420000</v>
      </c>
    </row>
    <row r="32" spans="1:8" x14ac:dyDescent="0.3">
      <c r="A32" s="6">
        <v>45699</v>
      </c>
      <c r="B32" t="s">
        <v>21</v>
      </c>
      <c r="C32" t="s">
        <v>97</v>
      </c>
      <c r="D32">
        <v>30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4200</v>
      </c>
      <c r="G32" s="1">
        <f>+F32/2</f>
        <v>2100</v>
      </c>
      <c r="H32" s="1">
        <f t="shared" si="0"/>
        <v>63000</v>
      </c>
    </row>
    <row r="33" spans="1:8" x14ac:dyDescent="0.3">
      <c r="A33" s="6">
        <v>45699</v>
      </c>
      <c r="B33" t="s">
        <v>56</v>
      </c>
      <c r="C33" t="s">
        <v>26</v>
      </c>
      <c r="D33">
        <v>100</v>
      </c>
      <c r="E33">
        <f>LOOKUP(1,1/('[1]PURCHASE PRICE'!$A:$A=A33)/('[1]PURCHASE PRICE'!$B:$B=B33)/('[1]PURCHASE PRICE'!$C:$C=C33),'[1]PURCHASE PRICE'!$D:$D)</f>
        <v>6800</v>
      </c>
      <c r="F33">
        <f>LOOKUP(1,1/('[1]PURCHASE PRICE'!$A:$A=A33)/('[1]PURCHASE PRICE'!$B:$B=B33),'[1]PURCHASE PRICE'!$D:$D)</f>
        <v>6800</v>
      </c>
      <c r="G33" s="1">
        <f t="shared" si="1"/>
        <v>6800</v>
      </c>
      <c r="H33" s="1">
        <f t="shared" si="0"/>
        <v>680000</v>
      </c>
    </row>
    <row r="34" spans="1:8" x14ac:dyDescent="0.3">
      <c r="A34" s="6">
        <v>45699</v>
      </c>
      <c r="B34" t="s">
        <v>58</v>
      </c>
      <c r="C34" t="s">
        <v>62</v>
      </c>
      <c r="D34">
        <v>30</v>
      </c>
      <c r="E34">
        <f>LOOKUP(1,1/('[1]PURCHASE PRICE'!$A:$A=A34)/('[1]PURCHASE PRICE'!$B:$B=B34)/('[1]PURCHASE PRICE'!$C:$C=C34),'[1]PURCHASE PRICE'!$D:$D)</f>
        <v>16000</v>
      </c>
      <c r="F34">
        <f>LOOKUP(1,1/('[1]PURCHASE PRICE'!$A:$A=A34)/('[1]PURCHASE PRICE'!$B:$B=B34),'[1]PURCHASE PRICE'!$D:$D)</f>
        <v>16000</v>
      </c>
      <c r="G34" s="1">
        <f t="shared" si="1"/>
        <v>16000</v>
      </c>
      <c r="H34" s="1">
        <f t="shared" si="0"/>
        <v>480000</v>
      </c>
    </row>
    <row r="35" spans="1:8" x14ac:dyDescent="0.3">
      <c r="A35" s="6">
        <v>45699</v>
      </c>
      <c r="B35" t="s">
        <v>10</v>
      </c>
      <c r="C35" t="s">
        <v>62</v>
      </c>
      <c r="D35">
        <v>80</v>
      </c>
      <c r="E35">
        <f>LOOKUP(1,1/('[1]PURCHASE PRICE'!$A:$A=A35)/('[1]PURCHASE PRICE'!$B:$B=B35)/('[1]PURCHASE PRICE'!$C:$C=C35),'[1]PURCHASE PRICE'!$D:$D)</f>
        <v>12000</v>
      </c>
      <c r="F35">
        <f>LOOKUP(1,1/('[1]PURCHASE PRICE'!$A:$A=A35)/('[1]PURCHASE PRICE'!$B:$B=B35),'[1]PURCHASE PRICE'!$D:$D)</f>
        <v>12000</v>
      </c>
      <c r="G35" s="1">
        <f t="shared" si="1"/>
        <v>12000</v>
      </c>
      <c r="H35" s="1">
        <f t="shared" si="0"/>
        <v>960000</v>
      </c>
    </row>
    <row r="36" spans="1:8" x14ac:dyDescent="0.3">
      <c r="A36" s="6">
        <v>45699</v>
      </c>
      <c r="B36" t="s">
        <v>10</v>
      </c>
      <c r="C36" t="s">
        <v>106</v>
      </c>
      <c r="D36">
        <v>120</v>
      </c>
      <c r="E36">
        <f>LOOKUP(1,1/('[1]PURCHASE PRICE'!$A:$A=A36)/('[1]PURCHASE PRICE'!$B:$B=B36)/('[1]PURCHASE PRICE'!$C:$C=C36),'[1]PURCHASE PRICE'!$D:$D)</f>
        <v>7000</v>
      </c>
      <c r="F36">
        <f>LOOKUP(1,1/('[1]PURCHASE PRICE'!$A:$A=A36)/('[1]PURCHASE PRICE'!$B:$B=B36),'[1]PURCHASE PRICE'!$D:$D)</f>
        <v>12000</v>
      </c>
      <c r="G36" s="1">
        <f t="shared" si="1"/>
        <v>7000</v>
      </c>
      <c r="H36" s="1">
        <f t="shared" si="0"/>
        <v>840000</v>
      </c>
    </row>
    <row r="37" spans="1:8" x14ac:dyDescent="0.3">
      <c r="A37" s="6">
        <v>45699</v>
      </c>
      <c r="B37" t="s">
        <v>27</v>
      </c>
      <c r="C37" t="s">
        <v>9</v>
      </c>
      <c r="D37">
        <v>42</v>
      </c>
      <c r="E37">
        <f>LOOKUP(1,1/('[1]PURCHASE PRICE'!$A:$A=A37)/('[1]PURCHASE PRICE'!$B:$B=B37)/('[1]PURCHASE PRICE'!$C:$C=C37),'[1]PURCHASE PRICE'!$D:$D)</f>
        <v>7500</v>
      </c>
      <c r="F37">
        <f>LOOKUP(1,1/('[1]PURCHASE PRICE'!$A:$A=A37)/('[1]PURCHASE PRICE'!$B:$B=B37),'[1]PURCHASE PRICE'!$D:$D)</f>
        <v>7500</v>
      </c>
      <c r="G37" s="1">
        <f t="shared" si="1"/>
        <v>7500</v>
      </c>
      <c r="H37" s="1">
        <f t="shared" si="0"/>
        <v>315000</v>
      </c>
    </row>
    <row r="38" spans="1:8" x14ac:dyDescent="0.3">
      <c r="A38" s="6">
        <v>45699</v>
      </c>
      <c r="B38" t="s">
        <v>40</v>
      </c>
      <c r="C38" t="s">
        <v>22</v>
      </c>
      <c r="D38">
        <v>30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16000</v>
      </c>
      <c r="G38" s="1">
        <f>+F38*0.6</f>
        <v>9600</v>
      </c>
      <c r="H38" s="1">
        <f t="shared" si="0"/>
        <v>288000</v>
      </c>
    </row>
    <row r="39" spans="1:8" x14ac:dyDescent="0.3">
      <c r="A39" s="6">
        <v>45699</v>
      </c>
      <c r="B39" t="s">
        <v>49</v>
      </c>
      <c r="C39" t="s">
        <v>62</v>
      </c>
      <c r="D39">
        <v>9</v>
      </c>
      <c r="E39">
        <f>LOOKUP(1,1/('[1]PURCHASE PRICE'!$A:$A=A39)/('[1]PURCHASE PRICE'!$B:$B=B39)/('[1]PURCHASE PRICE'!$C:$C=C39),'[1]PURCHASE PRICE'!$D:$D)</f>
        <v>60000</v>
      </c>
      <c r="F39">
        <f>LOOKUP(1,1/('[1]PURCHASE PRICE'!$A:$A=A39)/('[1]PURCHASE PRICE'!$B:$B=B39),'[1]PURCHASE PRICE'!$D:$D)</f>
        <v>60000</v>
      </c>
      <c r="G39" s="1">
        <f t="shared" si="1"/>
        <v>60000</v>
      </c>
      <c r="H39" s="1">
        <f t="shared" si="0"/>
        <v>540000</v>
      </c>
    </row>
    <row r="40" spans="1:8" x14ac:dyDescent="0.3">
      <c r="A40" s="6">
        <v>45699</v>
      </c>
      <c r="B40" t="s">
        <v>36</v>
      </c>
      <c r="C40" t="s">
        <v>22</v>
      </c>
      <c r="D40">
        <v>0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v>0</v>
      </c>
      <c r="H40" s="1">
        <f t="shared" si="0"/>
        <v>0</v>
      </c>
    </row>
    <row r="41" spans="1:8" x14ac:dyDescent="0.3">
      <c r="A41" s="6">
        <v>45699</v>
      </c>
      <c r="B41" t="s">
        <v>63</v>
      </c>
      <c r="C41" t="s">
        <v>62</v>
      </c>
      <c r="D41">
        <v>20</v>
      </c>
      <c r="E41">
        <f>LOOKUP(1,1/('[1]PURCHASE PRICE'!$A:$A=A41)/('[1]PURCHASE PRICE'!$B:$B=B41)/('[1]PURCHASE PRICE'!$C:$C=C41),'[1]PURCHASE PRICE'!$D:$D)</f>
        <v>24000</v>
      </c>
      <c r="F41">
        <f>LOOKUP(1,1/('[1]PURCHASE PRICE'!$A:$A=A41)/('[1]PURCHASE PRICE'!$B:$B=B41),'[1]PURCHASE PRICE'!$D:$D)</f>
        <v>24000</v>
      </c>
      <c r="G41" s="1">
        <f t="shared" si="1"/>
        <v>24000</v>
      </c>
      <c r="H41" s="1">
        <f t="shared" si="0"/>
        <v>480000</v>
      </c>
    </row>
    <row r="42" spans="1:8" x14ac:dyDescent="0.3">
      <c r="A42" s="6">
        <v>45699</v>
      </c>
      <c r="B42" t="s">
        <v>32</v>
      </c>
      <c r="C42" t="s">
        <v>62</v>
      </c>
      <c r="D42">
        <v>40</v>
      </c>
      <c r="E42">
        <f>LOOKUP(1,1/('[1]PURCHASE PRICE'!$A:$A=A42)/('[1]PURCHASE PRICE'!$B:$B=B42)/('[1]PURCHASE PRICE'!$C:$C=C42),'[1]PURCHASE PRICE'!$D:$D)</f>
        <v>20000</v>
      </c>
      <c r="F42">
        <f>LOOKUP(1,1/('[1]PURCHASE PRICE'!$A:$A=A42)/('[1]PURCHASE PRICE'!$B:$B=B42),'[1]PURCHASE PRICE'!$D:$D)</f>
        <v>20000</v>
      </c>
      <c r="G42" s="1">
        <f t="shared" si="1"/>
        <v>20000</v>
      </c>
      <c r="H42" s="1">
        <f t="shared" si="0"/>
        <v>800000</v>
      </c>
    </row>
    <row r="43" spans="1:8" x14ac:dyDescent="0.3">
      <c r="A43" s="6">
        <v>45699</v>
      </c>
      <c r="B43" t="s">
        <v>37</v>
      </c>
      <c r="C43" t="s">
        <v>31</v>
      </c>
      <c r="D43">
        <v>30</v>
      </c>
      <c r="E43">
        <f>LOOKUP(1,1/('[1]PURCHASE PRICE'!$A:$A=A43)/('[1]PURCHASE PRICE'!$B:$B=B43)/('[1]PURCHASE PRICE'!$C:$C=C43),'[1]PURCHASE PRICE'!$D:$D)</f>
        <v>6000</v>
      </c>
      <c r="F43">
        <f>LOOKUP(1,1/('[1]PURCHASE PRICE'!$A:$A=A43)/('[1]PURCHASE PRICE'!$B:$B=B43),'[1]PURCHASE PRICE'!$D:$D)</f>
        <v>8000</v>
      </c>
      <c r="G43" s="1">
        <f t="shared" si="1"/>
        <v>6000</v>
      </c>
      <c r="H43" s="1">
        <f t="shared" si="0"/>
        <v>180000</v>
      </c>
    </row>
    <row r="44" spans="1:8" x14ac:dyDescent="0.3">
      <c r="A44" s="6">
        <v>45699</v>
      </c>
      <c r="B44" t="s">
        <v>83</v>
      </c>
      <c r="C44" t="s">
        <v>62</v>
      </c>
      <c r="D44">
        <v>10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18000</v>
      </c>
      <c r="H44" s="1">
        <f t="shared" si="0"/>
        <v>180000</v>
      </c>
    </row>
    <row r="45" spans="1:8" x14ac:dyDescent="0.3">
      <c r="A45" s="6">
        <v>45699</v>
      </c>
      <c r="B45" t="s">
        <v>95</v>
      </c>
      <c r="C45" t="s">
        <v>11</v>
      </c>
      <c r="D45">
        <v>5</v>
      </c>
      <c r="E45">
        <f>LOOKUP(1,1/('[1]PURCHASE PRICE'!$A:$A=A45)/('[1]PURCHASE PRICE'!$B:$B=B45)/('[1]PURCHASE PRICE'!$C:$C=C45),'[1]PURCHASE PRICE'!$D:$D)</f>
        <v>18000</v>
      </c>
      <c r="F45">
        <f>LOOKUP(1,1/('[1]PURCHASE PRICE'!$A:$A=A45)/('[1]PURCHASE PRICE'!$B:$B=B45),'[1]PURCHASE PRICE'!$D:$D)</f>
        <v>18000</v>
      </c>
      <c r="G45" s="1">
        <f t="shared" si="1"/>
        <v>18000</v>
      </c>
      <c r="H45" s="1">
        <f t="shared" si="0"/>
        <v>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615F-868A-4031-9AAD-C43817B1107D}">
  <dimension ref="A1:H50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SUM(H3:H51)</f>
        <v>49237000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45700</v>
      </c>
      <c r="B3" t="s">
        <v>2</v>
      </c>
      <c r="C3" t="s">
        <v>62</v>
      </c>
      <c r="D3">
        <v>20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>
        <v>6000</v>
      </c>
      <c r="H3" s="1">
        <f>+G3*D3</f>
        <v>120000</v>
      </c>
    </row>
    <row r="4" spans="1:8" x14ac:dyDescent="0.3">
      <c r="A4" s="6">
        <v>45700</v>
      </c>
      <c r="B4" t="s">
        <v>3</v>
      </c>
      <c r="C4" t="s">
        <v>77</v>
      </c>
      <c r="D4">
        <v>20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12000</v>
      </c>
      <c r="G4" s="1">
        <f t="shared" ref="G4:G50" si="0">+F4</f>
        <v>12000</v>
      </c>
      <c r="H4" s="1">
        <f t="shared" ref="H4:H50" si="1">+G4*D4</f>
        <v>240000</v>
      </c>
    </row>
    <row r="5" spans="1:8" x14ac:dyDescent="0.3">
      <c r="A5" s="6">
        <v>45700</v>
      </c>
      <c r="B5" t="s">
        <v>4</v>
      </c>
      <c r="C5" t="s">
        <v>77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17500</v>
      </c>
      <c r="G5" s="1">
        <f t="shared" si="0"/>
        <v>17500</v>
      </c>
      <c r="H5" s="1">
        <f t="shared" si="1"/>
        <v>5250000</v>
      </c>
    </row>
    <row r="6" spans="1:8" x14ac:dyDescent="0.3">
      <c r="A6" s="6">
        <v>45700</v>
      </c>
      <c r="B6" t="s">
        <v>4</v>
      </c>
      <c r="C6" t="s">
        <v>62</v>
      </c>
      <c r="D6">
        <v>50</v>
      </c>
      <c r="E6">
        <f>LOOKUP(1,1/('[1]PURCHASE PRICE'!$A:$A=A6)/('[1]PURCHASE PRICE'!$B:$B=B6)/('[1]PURCHASE PRICE'!$C:$C=C6),'[1]PURCHASE PRICE'!$D:$D)</f>
        <v>17500</v>
      </c>
      <c r="F6">
        <f>LOOKUP(1,1/('[1]PURCHASE PRICE'!$A:$A=A6)/('[1]PURCHASE PRICE'!$B:$B=B6),'[1]PURCHASE PRICE'!$D:$D)</f>
        <v>17500</v>
      </c>
      <c r="G6" s="1">
        <f t="shared" si="0"/>
        <v>17500</v>
      </c>
      <c r="H6" s="1">
        <f t="shared" si="1"/>
        <v>875000</v>
      </c>
    </row>
    <row r="7" spans="1:8" x14ac:dyDescent="0.3">
      <c r="A7" s="6">
        <v>45700</v>
      </c>
      <c r="B7" t="s">
        <v>6</v>
      </c>
      <c r="C7" t="s">
        <v>77</v>
      </c>
      <c r="D7">
        <v>30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15000</v>
      </c>
      <c r="G7" s="1">
        <f t="shared" si="0"/>
        <v>15000</v>
      </c>
      <c r="H7" s="1">
        <f t="shared" si="1"/>
        <v>450000</v>
      </c>
    </row>
    <row r="8" spans="1:8" x14ac:dyDescent="0.3">
      <c r="A8" s="6">
        <v>45700</v>
      </c>
      <c r="B8" t="s">
        <v>8</v>
      </c>
      <c r="C8" t="s">
        <v>9</v>
      </c>
      <c r="D8">
        <v>70</v>
      </c>
      <c r="E8">
        <f>LOOKUP(1,1/('[1]PURCHASE PRICE'!$A:$A=A8)/('[1]PURCHASE PRICE'!$B:$B=B8)/('[1]PURCHASE PRICE'!$C:$C=C8),'[1]PURCHASE PRICE'!$D:$D)</f>
        <v>5000</v>
      </c>
      <c r="F8">
        <f>LOOKUP(1,1/('[1]PURCHASE PRICE'!$A:$A=A8)/('[1]PURCHASE PRICE'!$B:$B=B8),'[1]PURCHASE PRICE'!$D:$D)</f>
        <v>5000</v>
      </c>
      <c r="G8" s="1">
        <f t="shared" si="0"/>
        <v>5000</v>
      </c>
      <c r="H8" s="1">
        <f t="shared" si="1"/>
        <v>350000</v>
      </c>
    </row>
    <row r="9" spans="1:8" x14ac:dyDescent="0.3">
      <c r="A9" s="6">
        <v>45700</v>
      </c>
      <c r="B9" t="s">
        <v>78</v>
      </c>
      <c r="C9" t="s">
        <v>62</v>
      </c>
      <c r="D9">
        <v>60</v>
      </c>
      <c r="E9">
        <f>LOOKUP(1,1/('[1]PURCHASE PRICE'!$A:$A=A9)/('[1]PURCHASE PRICE'!$B:$B=B9)/('[1]PURCHASE PRICE'!$C:$C=C9),'[1]PURCHASE PRICE'!$D:$D)</f>
        <v>12500</v>
      </c>
      <c r="F9">
        <f>LOOKUP(1,1/('[1]PURCHASE PRICE'!$A:$A=A9)/('[1]PURCHASE PRICE'!$B:$B=B9),'[1]PURCHASE PRICE'!$D:$D)</f>
        <v>12500</v>
      </c>
      <c r="G9" s="1">
        <f t="shared" si="0"/>
        <v>12500</v>
      </c>
      <c r="H9" s="1">
        <f t="shared" si="1"/>
        <v>750000</v>
      </c>
    </row>
    <row r="10" spans="1:8" x14ac:dyDescent="0.3">
      <c r="A10" s="6">
        <v>45700</v>
      </c>
      <c r="B10" t="s">
        <v>10</v>
      </c>
      <c r="C10" t="s">
        <v>62</v>
      </c>
      <c r="D10">
        <v>40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14000</v>
      </c>
      <c r="G10" s="1">
        <f t="shared" si="0"/>
        <v>14000</v>
      </c>
      <c r="H10" s="1">
        <f t="shared" si="1"/>
        <v>560000</v>
      </c>
    </row>
    <row r="11" spans="1:8" x14ac:dyDescent="0.3">
      <c r="A11" s="6">
        <v>45700</v>
      </c>
      <c r="B11" t="s">
        <v>10</v>
      </c>
      <c r="C11" t="s">
        <v>79</v>
      </c>
      <c r="D11">
        <v>100</v>
      </c>
      <c r="E11">
        <f>LOOKUP(1,1/('[1]PURCHASE PRICE'!$A:$A=A11)/('[1]PURCHASE PRICE'!$B:$B=B11)/('[1]PURCHASE PRICE'!$C:$C=C11),'[1]PURCHASE PRICE'!$D:$D)</f>
        <v>6500</v>
      </c>
      <c r="F11">
        <f>LOOKUP(1,1/('[1]PURCHASE PRICE'!$A:$A=A11)/('[1]PURCHASE PRICE'!$B:$B=B11),'[1]PURCHASE PRICE'!$D:$D)</f>
        <v>14000</v>
      </c>
      <c r="G11" s="1">
        <f t="shared" si="0"/>
        <v>14000</v>
      </c>
      <c r="H11" s="1">
        <f t="shared" si="1"/>
        <v>1400000</v>
      </c>
    </row>
    <row r="12" spans="1:8" x14ac:dyDescent="0.3">
      <c r="A12" s="6">
        <v>45700</v>
      </c>
      <c r="B12" t="s">
        <v>12</v>
      </c>
      <c r="C12" t="s">
        <v>13</v>
      </c>
      <c r="D12">
        <v>100</v>
      </c>
      <c r="E12">
        <f>LOOKUP(1,1/('[1]PURCHASE PRICE'!$A:$A=A12)/('[1]PURCHASE PRICE'!$B:$B=B12)/('[1]PURCHASE PRICE'!$C:$C=C12),'[1]PURCHASE PRICE'!$D:$D)</f>
        <v>5100</v>
      </c>
      <c r="F12">
        <f>LOOKUP(1,1/('[1]PURCHASE PRICE'!$A:$A=A12)/('[1]PURCHASE PRICE'!$B:$B=B12),'[1]PURCHASE PRICE'!$D:$D)</f>
        <v>5100</v>
      </c>
      <c r="G12" s="1">
        <f t="shared" si="0"/>
        <v>5100</v>
      </c>
      <c r="H12" s="1">
        <f t="shared" si="1"/>
        <v>510000</v>
      </c>
    </row>
    <row r="13" spans="1:8" x14ac:dyDescent="0.3">
      <c r="A13" s="6">
        <v>45700</v>
      </c>
      <c r="B13" t="s">
        <v>14</v>
      </c>
      <c r="C13" t="s">
        <v>15</v>
      </c>
      <c r="D13">
        <v>50</v>
      </c>
      <c r="E13">
        <f>LOOKUP(1,1/('[1]PURCHASE PRICE'!$A:$A=A13)/('[1]PURCHASE PRICE'!$B:$B=B13)/('[1]PURCHASE PRICE'!$C:$C=C13),'[1]PURCHASE PRICE'!$D:$D)</f>
        <v>11100</v>
      </c>
      <c r="F13">
        <f>LOOKUP(1,1/('[1]PURCHASE PRICE'!$A:$A=A13)/('[1]PURCHASE PRICE'!$B:$B=B13),'[1]PURCHASE PRICE'!$D:$D)</f>
        <v>11100</v>
      </c>
      <c r="G13" s="1">
        <f t="shared" si="0"/>
        <v>11100</v>
      </c>
      <c r="H13" s="1">
        <f t="shared" si="1"/>
        <v>555000</v>
      </c>
    </row>
    <row r="14" spans="1:8" x14ac:dyDescent="0.3">
      <c r="A14" s="6">
        <v>45700</v>
      </c>
      <c r="B14" t="s">
        <v>16</v>
      </c>
      <c r="C14" t="s">
        <v>13</v>
      </c>
      <c r="D14">
        <v>100</v>
      </c>
      <c r="E14">
        <f>LOOKUP(1,1/('[1]PURCHASE PRICE'!$A:$A=A14)/('[1]PURCHASE PRICE'!$B:$B=B14)/('[1]PURCHASE PRICE'!$C:$C=C14),'[1]PURCHASE PRICE'!$D:$D)</f>
        <v>10000</v>
      </c>
      <c r="F14">
        <f>LOOKUP(1,1/('[1]PURCHASE PRICE'!$A:$A=A14)/('[1]PURCHASE PRICE'!$B:$B=B14),'[1]PURCHASE PRICE'!$D:$D)</f>
        <v>10000</v>
      </c>
      <c r="G14" s="1">
        <f t="shared" si="0"/>
        <v>10000</v>
      </c>
      <c r="H14" s="1">
        <f t="shared" si="1"/>
        <v>1000000</v>
      </c>
    </row>
    <row r="15" spans="1:8" x14ac:dyDescent="0.3">
      <c r="A15" s="6">
        <v>45700</v>
      </c>
      <c r="B15" t="s">
        <v>17</v>
      </c>
      <c r="C15" t="s">
        <v>62</v>
      </c>
      <c r="D15">
        <v>100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 s="1">
        <v>12000</v>
      </c>
      <c r="H15" s="1">
        <f t="shared" si="1"/>
        <v>1200000</v>
      </c>
    </row>
    <row r="16" spans="1:8" x14ac:dyDescent="0.3">
      <c r="A16" s="6">
        <v>45700</v>
      </c>
      <c r="B16" t="s">
        <v>18</v>
      </c>
      <c r="C16" t="s">
        <v>62</v>
      </c>
      <c r="D16">
        <v>40</v>
      </c>
      <c r="E16">
        <f>LOOKUP(1,1/('[1]PURCHASE PRICE'!$A:$A=A16)/('[1]PURCHASE PRICE'!$B:$B=B16)/('[1]PURCHASE PRICE'!$C:$C=C16),'[1]PURCHASE PRICE'!$D:$D)</f>
        <v>7500</v>
      </c>
      <c r="F16">
        <f>LOOKUP(1,1/('[1]PURCHASE PRICE'!$A:$A=A16)/('[1]PURCHASE PRICE'!$B:$B=B16),'[1]PURCHASE PRICE'!$D:$D)</f>
        <v>7500</v>
      </c>
      <c r="G16" s="1">
        <f t="shared" si="0"/>
        <v>7500</v>
      </c>
      <c r="H16" s="1">
        <f t="shared" si="1"/>
        <v>300000</v>
      </c>
    </row>
    <row r="17" spans="1:8" x14ac:dyDescent="0.3">
      <c r="A17" s="6">
        <v>45700</v>
      </c>
      <c r="B17" t="s">
        <v>19</v>
      </c>
      <c r="C17" t="s">
        <v>9</v>
      </c>
      <c r="D17">
        <v>80</v>
      </c>
      <c r="E17">
        <f>LOOKUP(1,1/('[1]PURCHASE PRICE'!$A:$A=A17)/('[1]PURCHASE PRICE'!$B:$B=B17)/('[1]PURCHASE PRICE'!$C:$C=C17),'[1]PURCHASE PRICE'!$D:$D)</f>
        <v>5500</v>
      </c>
      <c r="F17">
        <f>LOOKUP(1,1/('[1]PURCHASE PRICE'!$A:$A=A17)/('[1]PURCHASE PRICE'!$B:$B=B17),'[1]PURCHASE PRICE'!$D:$D)</f>
        <v>5500</v>
      </c>
      <c r="G17" s="1">
        <f t="shared" si="0"/>
        <v>5500</v>
      </c>
      <c r="H17" s="1">
        <f t="shared" si="1"/>
        <v>440000</v>
      </c>
    </row>
    <row r="18" spans="1:8" x14ac:dyDescent="0.3">
      <c r="A18" s="6">
        <v>45700</v>
      </c>
      <c r="B18" t="s">
        <v>20</v>
      </c>
      <c r="C18" t="s">
        <v>62</v>
      </c>
      <c r="D18">
        <v>20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5100</v>
      </c>
      <c r="G18" s="1">
        <f t="shared" si="0"/>
        <v>5100</v>
      </c>
      <c r="H18" s="1">
        <f t="shared" si="1"/>
        <v>102000</v>
      </c>
    </row>
    <row r="19" spans="1:8" x14ac:dyDescent="0.3">
      <c r="A19" s="6">
        <v>45700</v>
      </c>
      <c r="B19" t="s">
        <v>21</v>
      </c>
      <c r="C19" t="s">
        <v>22</v>
      </c>
      <c r="D19">
        <v>100</v>
      </c>
      <c r="E19">
        <f>LOOKUP(1,1/('[1]PURCHASE PRICE'!$A:$A=A19)/('[1]PURCHASE PRICE'!$B:$B=B19)/('[1]PURCHASE PRICE'!$C:$C=C19),'[1]PURCHASE PRICE'!$D:$D)</f>
        <v>4200</v>
      </c>
      <c r="F19">
        <f>LOOKUP(1,1/('[1]PURCHASE PRICE'!$A:$A=A19)/('[1]PURCHASE PRICE'!$B:$B=B19),'[1]PURCHASE PRICE'!$D:$D)</f>
        <v>4200</v>
      </c>
      <c r="G19" s="1">
        <f t="shared" si="0"/>
        <v>4200</v>
      </c>
      <c r="H19" s="1">
        <f t="shared" si="1"/>
        <v>420000</v>
      </c>
    </row>
    <row r="20" spans="1:8" x14ac:dyDescent="0.3">
      <c r="A20" s="6">
        <v>45700</v>
      </c>
      <c r="B20" t="s">
        <v>21</v>
      </c>
      <c r="C20" t="s">
        <v>97</v>
      </c>
      <c r="D20">
        <v>20</v>
      </c>
      <c r="E20">
        <f>LOOKUP(1,1/('[1]PURCHASE PRICE'!$A:$A=A20)/('[1]PURCHASE PRICE'!$B:$B=B20)/('[1]PURCHASE PRICE'!$C:$C=C20),'[1]PURCHASE PRICE'!$D:$D)</f>
        <v>1900</v>
      </c>
      <c r="F20">
        <f>LOOKUP(1,1/('[1]PURCHASE PRICE'!$A:$A=A20)/('[1]PURCHASE PRICE'!$B:$B=B20),'[1]PURCHASE PRICE'!$D:$D)</f>
        <v>4200</v>
      </c>
      <c r="G20" s="1">
        <f t="shared" si="0"/>
        <v>4200</v>
      </c>
      <c r="H20" s="1">
        <f t="shared" si="1"/>
        <v>84000</v>
      </c>
    </row>
    <row r="21" spans="1:8" x14ac:dyDescent="0.3">
      <c r="A21" s="6">
        <v>45700</v>
      </c>
      <c r="B21" t="s">
        <v>25</v>
      </c>
      <c r="C21" t="s">
        <v>26</v>
      </c>
      <c r="D21">
        <v>100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12000</v>
      </c>
      <c r="G21" s="1">
        <f t="shared" si="0"/>
        <v>12000</v>
      </c>
      <c r="H21" s="1">
        <f t="shared" si="1"/>
        <v>1200000</v>
      </c>
    </row>
    <row r="22" spans="1:8" x14ac:dyDescent="0.3">
      <c r="A22" s="6">
        <v>45700</v>
      </c>
      <c r="B22" t="s">
        <v>27</v>
      </c>
      <c r="C22" t="s">
        <v>9</v>
      </c>
      <c r="D22">
        <v>40</v>
      </c>
      <c r="E22">
        <f>LOOKUP(1,1/('[1]PURCHASE PRICE'!$A:$A=A22)/('[1]PURCHASE PRICE'!$B:$B=B22)/('[1]PURCHASE PRICE'!$C:$C=C22),'[1]PURCHASE PRICE'!$D:$D)</f>
        <v>7500</v>
      </c>
      <c r="F22">
        <f>LOOKUP(1,1/('[1]PURCHASE PRICE'!$A:$A=A22)/('[1]PURCHASE PRICE'!$B:$B=B22),'[1]PURCHASE PRICE'!$D:$D)</f>
        <v>7500</v>
      </c>
      <c r="G22" s="1">
        <f t="shared" si="0"/>
        <v>7500</v>
      </c>
      <c r="H22" s="1">
        <f t="shared" si="1"/>
        <v>300000</v>
      </c>
    </row>
    <row r="23" spans="1:8" x14ac:dyDescent="0.3">
      <c r="A23" s="6">
        <v>45700</v>
      </c>
      <c r="B23" t="s">
        <v>28</v>
      </c>
      <c r="C23" t="s">
        <v>15</v>
      </c>
      <c r="D23">
        <v>30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 s="1">
        <f t="shared" si="0"/>
        <v>10000</v>
      </c>
      <c r="H23" s="1">
        <f t="shared" si="1"/>
        <v>300000</v>
      </c>
    </row>
    <row r="24" spans="1:8" x14ac:dyDescent="0.3">
      <c r="A24" s="6">
        <v>45700</v>
      </c>
      <c r="B24" t="s">
        <v>30</v>
      </c>
      <c r="C24" t="s">
        <v>62</v>
      </c>
      <c r="D24">
        <v>20</v>
      </c>
      <c r="E24">
        <f>LOOKUP(1,1/('[1]PURCHASE PRICE'!$A:$A=A24)/('[1]PURCHASE PRICE'!$B:$B=B24)/('[1]PURCHASE PRICE'!$C:$C=C24),'[1]PURCHASE PRICE'!$D:$D)</f>
        <v>8700</v>
      </c>
      <c r="F24">
        <f>LOOKUP(1,1/('[1]PURCHASE PRICE'!$A:$A=A24)/('[1]PURCHASE PRICE'!$B:$B=B24),'[1]PURCHASE PRICE'!$D:$D)</f>
        <v>8700</v>
      </c>
      <c r="G24" s="1">
        <f t="shared" si="0"/>
        <v>8700</v>
      </c>
      <c r="H24" s="1">
        <f t="shared" si="1"/>
        <v>174000</v>
      </c>
    </row>
    <row r="25" spans="1:8" x14ac:dyDescent="0.3">
      <c r="A25" s="6">
        <v>45700</v>
      </c>
      <c r="B25" t="s">
        <v>32</v>
      </c>
      <c r="C25" t="s">
        <v>62</v>
      </c>
      <c r="D25">
        <v>20</v>
      </c>
      <c r="E25">
        <f>LOOKUP(1,1/('[1]PURCHASE PRICE'!$A:$A=A25)/('[1]PURCHASE PRICE'!$B:$B=B25)/('[1]PURCHASE PRICE'!$C:$C=C25),'[1]PURCHASE PRICE'!$D:$D)</f>
        <v>20000</v>
      </c>
      <c r="F25">
        <f>LOOKUP(1,1/('[1]PURCHASE PRICE'!$A:$A=A25)/('[1]PURCHASE PRICE'!$B:$B=B25),'[1]PURCHASE PRICE'!$D:$D)</f>
        <v>20000</v>
      </c>
      <c r="G25" s="1">
        <f t="shared" si="0"/>
        <v>20000</v>
      </c>
      <c r="H25" s="1">
        <f t="shared" si="1"/>
        <v>400000</v>
      </c>
    </row>
    <row r="26" spans="1:8" x14ac:dyDescent="0.3">
      <c r="A26" s="6">
        <v>45700</v>
      </c>
      <c r="B26" t="s">
        <v>33</v>
      </c>
      <c r="C26" t="s">
        <v>62</v>
      </c>
      <c r="D26">
        <v>100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27000</v>
      </c>
      <c r="H26" s="1">
        <f t="shared" si="1"/>
        <v>2700000</v>
      </c>
    </row>
    <row r="27" spans="1:8" x14ac:dyDescent="0.3">
      <c r="A27" s="6">
        <v>45700</v>
      </c>
      <c r="B27" t="s">
        <v>34</v>
      </c>
      <c r="C27" t="s">
        <v>62</v>
      </c>
      <c r="D27">
        <v>100</v>
      </c>
      <c r="E27">
        <f>LOOKUP(1,1/('[1]PURCHASE PRICE'!$A:$A=A27)/('[1]PURCHASE PRICE'!$B:$B=B27)/('[1]PURCHASE PRICE'!$C:$C=C27),'[1]PURCHASE PRICE'!$D:$D)</f>
        <v>17500</v>
      </c>
      <c r="F27">
        <f>LOOKUP(1,1/('[1]PURCHASE PRICE'!$A:$A=A27)/('[1]PURCHASE PRICE'!$B:$B=B27),'[1]PURCHASE PRICE'!$D:$D)</f>
        <v>17500</v>
      </c>
      <c r="G27" s="1">
        <f t="shared" si="0"/>
        <v>17500</v>
      </c>
      <c r="H27" s="1">
        <f t="shared" si="1"/>
        <v>1750000</v>
      </c>
    </row>
    <row r="28" spans="1:8" x14ac:dyDescent="0.3">
      <c r="A28" s="6">
        <v>45700</v>
      </c>
      <c r="B28" t="s">
        <v>64</v>
      </c>
      <c r="C28" t="s">
        <v>62</v>
      </c>
      <c r="D28">
        <v>0</v>
      </c>
      <c r="E28">
        <f>LOOKUP(1,1/('[1]PURCHASE PRICE'!$A:$A=A28)/('[1]PURCHASE PRICE'!$B:$B=B28)/('[1]PURCHASE PRICE'!$C:$C=C28),'[1]PURCHASE PRICE'!$D:$D)</f>
        <v>9000</v>
      </c>
      <c r="F28">
        <f>LOOKUP(1,1/('[1]PURCHASE PRICE'!$A:$A=A28)/('[1]PURCHASE PRICE'!$B:$B=B28),'[1]PURCHASE PRICE'!$D:$D)</f>
        <v>9000</v>
      </c>
      <c r="G28" s="1">
        <f t="shared" si="0"/>
        <v>9000</v>
      </c>
      <c r="H28" s="1">
        <f t="shared" si="1"/>
        <v>0</v>
      </c>
    </row>
    <row r="29" spans="1:8" x14ac:dyDescent="0.3">
      <c r="A29" s="6">
        <v>45700</v>
      </c>
      <c r="B29" t="s">
        <v>36</v>
      </c>
      <c r="C29" t="s">
        <v>22</v>
      </c>
      <c r="D29">
        <v>15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6000</v>
      </c>
      <c r="G29" s="1">
        <f t="shared" si="0"/>
        <v>6000</v>
      </c>
      <c r="H29" s="1">
        <f t="shared" si="1"/>
        <v>90000</v>
      </c>
    </row>
    <row r="30" spans="1:8" x14ac:dyDescent="0.3">
      <c r="A30" s="6">
        <v>45700</v>
      </c>
      <c r="B30" t="s">
        <v>37</v>
      </c>
      <c r="C30" t="s">
        <v>31</v>
      </c>
      <c r="D30">
        <v>40</v>
      </c>
      <c r="E30">
        <f>LOOKUP(1,1/('[1]PURCHASE PRICE'!$A:$A=A30)/('[1]PURCHASE PRICE'!$B:$B=B30)/('[1]PURCHASE PRICE'!$C:$C=C30),'[1]PURCHASE PRICE'!$D:$D)</f>
        <v>6000</v>
      </c>
      <c r="F30">
        <f>LOOKUP(1,1/('[1]PURCHASE PRICE'!$A:$A=A30)/('[1]PURCHASE PRICE'!$B:$B=B30),'[1]PURCHASE PRICE'!$D:$D)</f>
        <v>6000</v>
      </c>
      <c r="G30" s="1">
        <f t="shared" si="0"/>
        <v>6000</v>
      </c>
      <c r="H30" s="1">
        <f t="shared" si="1"/>
        <v>240000</v>
      </c>
    </row>
    <row r="31" spans="1:8" x14ac:dyDescent="0.3">
      <c r="A31" s="6">
        <v>45700</v>
      </c>
      <c r="B31" t="s">
        <v>39</v>
      </c>
      <c r="C31" t="s">
        <v>9</v>
      </c>
      <c r="D31">
        <v>600</v>
      </c>
      <c r="E31">
        <f>LOOKUP(1,1/('[1]PURCHASE PRICE'!$A:$A=A31)/('[1]PURCHASE PRICE'!$B:$B=B31)/('[1]PURCHASE PRICE'!$C:$C=C31),'[1]PURCHASE PRICE'!$D:$D)</f>
        <v>9000</v>
      </c>
      <c r="F31">
        <f>LOOKUP(1,1/('[1]PURCHASE PRICE'!$A:$A=A31)/('[1]PURCHASE PRICE'!$B:$B=B31),'[1]PURCHASE PRICE'!$D:$D)</f>
        <v>9000</v>
      </c>
      <c r="G31" s="1">
        <f t="shared" si="0"/>
        <v>9000</v>
      </c>
      <c r="H31" s="1">
        <f t="shared" si="1"/>
        <v>5400000</v>
      </c>
    </row>
    <row r="32" spans="1:8" x14ac:dyDescent="0.3">
      <c r="A32" s="6">
        <v>45700</v>
      </c>
      <c r="B32" t="s">
        <v>40</v>
      </c>
      <c r="C32" t="s">
        <v>22</v>
      </c>
      <c r="D32">
        <v>20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17000</v>
      </c>
      <c r="G32" s="1">
        <f t="shared" si="0"/>
        <v>17000</v>
      </c>
      <c r="H32" s="1">
        <f t="shared" si="1"/>
        <v>340000</v>
      </c>
    </row>
    <row r="33" spans="1:8" x14ac:dyDescent="0.3">
      <c r="A33" s="6">
        <v>45700</v>
      </c>
      <c r="B33" t="s">
        <v>41</v>
      </c>
      <c r="C33" t="s">
        <v>26</v>
      </c>
      <c r="D33">
        <v>100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10000</v>
      </c>
      <c r="G33" s="1">
        <f t="shared" si="0"/>
        <v>10000</v>
      </c>
      <c r="H33" s="1">
        <f t="shared" si="1"/>
        <v>1000000</v>
      </c>
    </row>
    <row r="34" spans="1:8" x14ac:dyDescent="0.3">
      <c r="A34" s="6">
        <v>45700</v>
      </c>
      <c r="B34" t="s">
        <v>42</v>
      </c>
      <c r="C34" t="s">
        <v>62</v>
      </c>
      <c r="D34">
        <v>10</v>
      </c>
      <c r="E34">
        <f>LOOKUP(1,1/('[1]PURCHASE PRICE'!$A:$A=A34)/('[1]PURCHASE PRICE'!$B:$B=B34)/('[1]PURCHASE PRICE'!$C:$C=C34),'[1]PURCHASE PRICE'!$D:$D)</f>
        <v>25000</v>
      </c>
      <c r="F34">
        <f>LOOKUP(1,1/('[1]PURCHASE PRICE'!$A:$A=A34)/('[1]PURCHASE PRICE'!$B:$B=B34),'[1]PURCHASE PRICE'!$D:$D)</f>
        <v>25000</v>
      </c>
      <c r="G34" s="1">
        <f t="shared" si="0"/>
        <v>25000</v>
      </c>
      <c r="H34" s="1">
        <f t="shared" si="1"/>
        <v>250000</v>
      </c>
    </row>
    <row r="35" spans="1:8" x14ac:dyDescent="0.3">
      <c r="A35" s="6">
        <v>45700</v>
      </c>
      <c r="B35" t="s">
        <v>43</v>
      </c>
      <c r="C35" t="s">
        <v>62</v>
      </c>
      <c r="D35">
        <v>1</v>
      </c>
      <c r="E35">
        <f>LOOKUP(1,1/('[1]PURCHASE PRICE'!$A:$A=A35)/('[1]PURCHASE PRICE'!$B:$B=B35)/('[1]PURCHASE PRICE'!$C:$C=C35),'[1]PURCHASE PRICE'!$D:$D)</f>
        <v>130000</v>
      </c>
      <c r="F35">
        <f>LOOKUP(1,1/('[1]PURCHASE PRICE'!$A:$A=A35)/('[1]PURCHASE PRICE'!$B:$B=B35),'[1]PURCHASE PRICE'!$D:$D)</f>
        <v>130000</v>
      </c>
      <c r="G35" s="1">
        <f t="shared" si="0"/>
        <v>130000</v>
      </c>
      <c r="H35" s="1">
        <f t="shared" si="1"/>
        <v>130000</v>
      </c>
    </row>
    <row r="36" spans="1:8" x14ac:dyDescent="0.3">
      <c r="A36" s="6">
        <v>45700</v>
      </c>
      <c r="B36" t="s">
        <v>44</v>
      </c>
      <c r="C36" t="s">
        <v>22</v>
      </c>
      <c r="D36">
        <v>400</v>
      </c>
      <c r="E36">
        <f>LOOKUP(1,1/('[1]PURCHASE PRICE'!$A:$A=A36)/('[1]PURCHASE PRICE'!$B:$B=B36)/('[1]PURCHASE PRICE'!$C:$C=C36),'[1]PURCHASE PRICE'!$D:$D)</f>
        <v>3000</v>
      </c>
      <c r="F36">
        <f>LOOKUP(1,1/('[1]PURCHASE PRICE'!$A:$A=A36)/('[1]PURCHASE PRICE'!$B:$B=B36),'[1]PURCHASE PRICE'!$D:$D)</f>
        <v>3000</v>
      </c>
      <c r="G36" s="1">
        <f t="shared" si="0"/>
        <v>3000</v>
      </c>
      <c r="H36" s="1">
        <f t="shared" si="1"/>
        <v>1200000</v>
      </c>
    </row>
    <row r="37" spans="1:8" x14ac:dyDescent="0.3">
      <c r="A37" s="6">
        <v>45700</v>
      </c>
      <c r="B37" t="s">
        <v>45</v>
      </c>
      <c r="C37" t="s">
        <v>62</v>
      </c>
      <c r="D37">
        <v>40</v>
      </c>
      <c r="E37">
        <f>LOOKUP(1,1/('[1]PURCHASE PRICE'!$A:$A=A37)/('[1]PURCHASE PRICE'!$B:$B=B37)/('[1]PURCHASE PRICE'!$C:$C=C37),'[1]PURCHASE PRICE'!$D:$D)</f>
        <v>40000</v>
      </c>
      <c r="F37">
        <f>LOOKUP(1,1/('[1]PURCHASE PRICE'!$A:$A=A37)/('[1]PURCHASE PRICE'!$B:$B=B37),'[1]PURCHASE PRICE'!$D:$D)</f>
        <v>40000</v>
      </c>
      <c r="G37" s="1">
        <f t="shared" si="0"/>
        <v>40000</v>
      </c>
      <c r="H37" s="1">
        <f t="shared" si="1"/>
        <v>1600000</v>
      </c>
    </row>
    <row r="38" spans="1:8" x14ac:dyDescent="0.3">
      <c r="A38" s="6">
        <v>45700</v>
      </c>
      <c r="B38" t="s">
        <v>47</v>
      </c>
      <c r="C38" t="s">
        <v>62</v>
      </c>
      <c r="D38">
        <v>20</v>
      </c>
      <c r="E38">
        <f>LOOKUP(1,1/('[1]PURCHASE PRICE'!$A:$A=A38)/('[1]PURCHASE PRICE'!$B:$B=B38)/('[1]PURCHASE PRICE'!$C:$C=C38),'[1]PURCHASE PRICE'!$D:$D)</f>
        <v>50000</v>
      </c>
      <c r="F38">
        <f>LOOKUP(1,1/('[1]PURCHASE PRICE'!$A:$A=A38)/('[1]PURCHASE PRICE'!$B:$B=B38),'[1]PURCHASE PRICE'!$D:$D)</f>
        <v>50000</v>
      </c>
      <c r="G38" s="1">
        <f t="shared" si="0"/>
        <v>50000</v>
      </c>
      <c r="H38" s="1">
        <f t="shared" si="1"/>
        <v>1000000</v>
      </c>
    </row>
    <row r="39" spans="1:8" x14ac:dyDescent="0.3">
      <c r="A39" s="6">
        <v>45700</v>
      </c>
      <c r="B39" t="s">
        <v>48</v>
      </c>
      <c r="C39" t="s">
        <v>62</v>
      </c>
      <c r="D39">
        <v>100</v>
      </c>
      <c r="E39">
        <f>LOOKUP(1,1/('[1]PURCHASE PRICE'!$A:$A=A39)/('[1]PURCHASE PRICE'!$B:$B=B39)/('[1]PURCHASE PRICE'!$C:$C=C39),'[1]PURCHASE PRICE'!$D:$D)</f>
        <v>60000</v>
      </c>
      <c r="F39">
        <f>LOOKUP(1,1/('[1]PURCHASE PRICE'!$A:$A=A39)/('[1]PURCHASE PRICE'!$B:$B=B39),'[1]PURCHASE PRICE'!$D:$D)</f>
        <v>60000</v>
      </c>
      <c r="G39" s="1">
        <f t="shared" si="0"/>
        <v>60000</v>
      </c>
      <c r="H39" s="1">
        <f t="shared" si="1"/>
        <v>6000000</v>
      </c>
    </row>
    <row r="40" spans="1:8" x14ac:dyDescent="0.3">
      <c r="A40" s="6">
        <v>45700</v>
      </c>
      <c r="B40" t="s">
        <v>49</v>
      </c>
      <c r="C40" t="s">
        <v>62</v>
      </c>
      <c r="D40">
        <v>15</v>
      </c>
      <c r="E40">
        <f>LOOKUP(1,1/('[1]PURCHASE PRICE'!$A:$A=A40)/('[1]PURCHASE PRICE'!$B:$B=B40)/('[1]PURCHASE PRICE'!$C:$C=C40),'[1]PURCHASE PRICE'!$D:$D)</f>
        <v>55000</v>
      </c>
      <c r="F40">
        <f>LOOKUP(1,1/('[1]PURCHASE PRICE'!$A:$A=A40)/('[1]PURCHASE PRICE'!$B:$B=B40),'[1]PURCHASE PRICE'!$D:$D)</f>
        <v>55000</v>
      </c>
      <c r="G40" s="1">
        <f t="shared" si="0"/>
        <v>55000</v>
      </c>
      <c r="H40" s="1">
        <f t="shared" si="1"/>
        <v>825000</v>
      </c>
    </row>
    <row r="41" spans="1:8" x14ac:dyDescent="0.3">
      <c r="A41" s="6">
        <v>45700</v>
      </c>
      <c r="B41" t="s">
        <v>50</v>
      </c>
      <c r="C41" t="s">
        <v>77</v>
      </c>
      <c r="D41">
        <v>40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60000</v>
      </c>
      <c r="G41" s="1">
        <f>+F41*0.25</f>
        <v>15000</v>
      </c>
      <c r="H41" s="1">
        <f t="shared" si="1"/>
        <v>600000</v>
      </c>
    </row>
    <row r="42" spans="1:8" x14ac:dyDescent="0.3">
      <c r="A42" s="6">
        <v>45700</v>
      </c>
      <c r="B42" t="s">
        <v>52</v>
      </c>
      <c r="C42" t="s">
        <v>77</v>
      </c>
      <c r="D42">
        <v>40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35000</v>
      </c>
      <c r="G42" s="1">
        <f>+F42*0.25</f>
        <v>8750</v>
      </c>
      <c r="H42" s="1">
        <f t="shared" si="1"/>
        <v>350000</v>
      </c>
    </row>
    <row r="43" spans="1:8" x14ac:dyDescent="0.3">
      <c r="A43" s="6">
        <v>45700</v>
      </c>
      <c r="B43" t="s">
        <v>53</v>
      </c>
      <c r="C43" t="s">
        <v>22</v>
      </c>
      <c r="D43">
        <v>208</v>
      </c>
      <c r="E43">
        <f>LOOKUP(1,1/('[1]PURCHASE PRICE'!$A:$A=A43)/('[1]PURCHASE PRICE'!$B:$B=B43)/('[1]PURCHASE PRICE'!$C:$C=C43),'[1]PURCHASE PRICE'!$D:$D)</f>
        <v>19000</v>
      </c>
      <c r="F43">
        <f>LOOKUP(1,1/('[1]PURCHASE PRICE'!$A:$A=A43)/('[1]PURCHASE PRICE'!$B:$B=B43),'[1]PURCHASE PRICE'!$D:$D)</f>
        <v>19000</v>
      </c>
      <c r="G43" s="1">
        <f t="shared" si="0"/>
        <v>19000</v>
      </c>
      <c r="H43" s="1">
        <f t="shared" si="1"/>
        <v>3952000</v>
      </c>
    </row>
    <row r="44" spans="1:8" x14ac:dyDescent="0.3">
      <c r="A44" s="6">
        <v>45700</v>
      </c>
      <c r="B44" t="s">
        <v>83</v>
      </c>
      <c r="C44" t="s">
        <v>62</v>
      </c>
      <c r="D44">
        <v>15</v>
      </c>
      <c r="E44">
        <f>LOOKUP(1,1/('[1]PURCHASE PRICE'!$A:$A=A44)/('[1]PURCHASE PRICE'!$B:$B=B44)/('[1]PURCHASE PRICE'!$C:$C=C44),'[1]PURCHASE PRICE'!$D:$D)</f>
        <v>18000</v>
      </c>
      <c r="F44">
        <f>LOOKUP(1,1/('[1]PURCHASE PRICE'!$A:$A=A44)/('[1]PURCHASE PRICE'!$B:$B=B44),'[1]PURCHASE PRICE'!$D:$D)</f>
        <v>18000</v>
      </c>
      <c r="G44" s="1">
        <f t="shared" si="0"/>
        <v>18000</v>
      </c>
      <c r="H44" s="1">
        <f t="shared" si="1"/>
        <v>270000</v>
      </c>
    </row>
    <row r="45" spans="1:8" x14ac:dyDescent="0.3">
      <c r="A45" s="6">
        <v>45700</v>
      </c>
      <c r="B45" t="s">
        <v>55</v>
      </c>
      <c r="C45" t="s">
        <v>62</v>
      </c>
      <c r="D45">
        <v>100</v>
      </c>
      <c r="E45">
        <f>LOOKUP(1,1/('[1]PURCHASE PRICE'!$A:$A=A45)/('[1]PURCHASE PRICE'!$B:$B=B45)/('[1]PURCHASE PRICE'!$C:$C=C45),'[1]PURCHASE PRICE'!$D:$D)</f>
        <v>13000</v>
      </c>
      <c r="F45">
        <f>LOOKUP(1,1/('[1]PURCHASE PRICE'!$A:$A=A45)/('[1]PURCHASE PRICE'!$B:$B=B45),'[1]PURCHASE PRICE'!$D:$D)</f>
        <v>13000</v>
      </c>
      <c r="G45" s="1">
        <f t="shared" si="0"/>
        <v>13000</v>
      </c>
      <c r="H45" s="1">
        <f t="shared" si="1"/>
        <v>1300000</v>
      </c>
    </row>
    <row r="46" spans="1:8" x14ac:dyDescent="0.3">
      <c r="A46" s="6">
        <v>45700</v>
      </c>
      <c r="B46" t="s">
        <v>56</v>
      </c>
      <c r="C46" t="s">
        <v>26</v>
      </c>
      <c r="D46">
        <v>100</v>
      </c>
      <c r="E46">
        <f>LOOKUP(1,1/('[1]PURCHASE PRICE'!$A:$A=A46)/('[1]PURCHASE PRICE'!$B:$B=B46)/('[1]PURCHASE PRICE'!$C:$C=C46),'[1]PURCHASE PRICE'!$D:$D)</f>
        <v>6800</v>
      </c>
      <c r="F46">
        <f>LOOKUP(1,1/('[1]PURCHASE PRICE'!$A:$A=A46)/('[1]PURCHASE PRICE'!$B:$B=B46),'[1]PURCHASE PRICE'!$D:$D)</f>
        <v>6800</v>
      </c>
      <c r="G46" s="1">
        <f t="shared" si="0"/>
        <v>6800</v>
      </c>
      <c r="H46" s="1">
        <f t="shared" si="1"/>
        <v>680000</v>
      </c>
    </row>
    <row r="47" spans="1:8" x14ac:dyDescent="0.3">
      <c r="A47" s="6">
        <v>45700</v>
      </c>
      <c r="B47" t="s">
        <v>96</v>
      </c>
      <c r="C47" t="s">
        <v>62</v>
      </c>
      <c r="D47">
        <v>80</v>
      </c>
      <c r="E47">
        <f>LOOKUP(1,1/('[1]PURCHASE PRICE'!$A:$A=A47)/('[1]PURCHASE PRICE'!$B:$B=B47)/('[1]PURCHASE PRICE'!$C:$C=C47),'[1]PURCHASE PRICE'!$D:$D)</f>
        <v>26000</v>
      </c>
      <c r="F47">
        <f>LOOKUP(1,1/('[1]PURCHASE PRICE'!$A:$A=A47)/('[1]PURCHASE PRICE'!$B:$B=B47),'[1]PURCHASE PRICE'!$D:$D)</f>
        <v>26000</v>
      </c>
      <c r="G47" s="1">
        <f t="shared" si="0"/>
        <v>26000</v>
      </c>
      <c r="H47" s="1">
        <f t="shared" si="1"/>
        <v>2080000</v>
      </c>
    </row>
    <row r="48" spans="1:8" x14ac:dyDescent="0.3">
      <c r="A48" s="6">
        <v>45700</v>
      </c>
      <c r="B48" t="s">
        <v>58</v>
      </c>
      <c r="C48" t="s">
        <v>62</v>
      </c>
      <c r="D48">
        <v>20</v>
      </c>
      <c r="E48">
        <f>LOOKUP(1,1/('[1]PURCHASE PRICE'!$A:$A=A48)/('[1]PURCHASE PRICE'!$B:$B=B48)/('[1]PURCHASE PRICE'!$C:$C=C48),'[1]PURCHASE PRICE'!$D:$D)</f>
        <v>16000</v>
      </c>
      <c r="F48">
        <f>LOOKUP(1,1/('[1]PURCHASE PRICE'!$A:$A=A48)/('[1]PURCHASE PRICE'!$B:$B=B48),'[1]PURCHASE PRICE'!$D:$D)</f>
        <v>16000</v>
      </c>
      <c r="G48" s="1">
        <f t="shared" si="0"/>
        <v>16000</v>
      </c>
      <c r="H48" s="1">
        <f t="shared" si="1"/>
        <v>320000</v>
      </c>
    </row>
    <row r="49" spans="1:8" x14ac:dyDescent="0.3">
      <c r="A49" s="6">
        <v>45700</v>
      </c>
      <c r="B49" t="s">
        <v>60</v>
      </c>
      <c r="C49" t="s">
        <v>62</v>
      </c>
      <c r="D49">
        <v>10</v>
      </c>
      <c r="E49">
        <f>LOOKUP(1,1/('[1]PURCHASE PRICE'!$A:$A=A49)/('[1]PURCHASE PRICE'!$B:$B=B49)/('[1]PURCHASE PRICE'!$C:$C=C49),'[1]PURCHASE PRICE'!$D:$D)</f>
        <v>15000</v>
      </c>
      <c r="F49">
        <f>LOOKUP(1,1/('[1]PURCHASE PRICE'!$A:$A=A49)/('[1]PURCHASE PRICE'!$B:$B=B49),'[1]PURCHASE PRICE'!$D:$D)</f>
        <v>15000</v>
      </c>
      <c r="G49" s="1">
        <f t="shared" si="0"/>
        <v>15000</v>
      </c>
      <c r="H49" s="1">
        <f t="shared" si="1"/>
        <v>150000</v>
      </c>
    </row>
    <row r="50" spans="1:8" x14ac:dyDescent="0.3">
      <c r="A50" s="6">
        <v>45700</v>
      </c>
      <c r="B50" t="s">
        <v>61</v>
      </c>
      <c r="C50" t="s">
        <v>26</v>
      </c>
      <c r="D50">
        <v>5</v>
      </c>
      <c r="E50">
        <f>LOOKUP(1,1/('[1]PURCHASE PRICE'!$A:$A=A50)/('[1]PURCHASE PRICE'!$B:$B=B50)/('[1]PURCHASE PRICE'!$C:$C=C50),'[1]PURCHASE PRICE'!$D:$D)</f>
        <v>6000</v>
      </c>
      <c r="F50">
        <f>LOOKUP(1,1/('[1]PURCHASE PRICE'!$A:$A=A50)/('[1]PURCHASE PRICE'!$B:$B=B50),'[1]PURCHASE PRICE'!$D:$D)</f>
        <v>6000</v>
      </c>
      <c r="G50" s="1">
        <f t="shared" si="0"/>
        <v>6000</v>
      </c>
      <c r="H50" s="1">
        <f t="shared" si="1"/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50AF-B6F4-4F64-AB65-892AE9A62F74}">
  <dimension ref="A1:H64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1"/>
      <c r="H1" s="2">
        <f>SUM(H3:H64)</f>
        <v>45149150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45701</v>
      </c>
      <c r="B3" t="s">
        <v>0</v>
      </c>
      <c r="C3" t="s">
        <v>62</v>
      </c>
      <c r="D3">
        <v>20</v>
      </c>
      <c r="E3">
        <f>LOOKUP(1,1/('[1]PURCHASE PRICE'!$A:$A=A3)/('[1]PURCHASE PRICE'!$B:$B=B3)/('[1]PURCHASE PRICE'!$C:$C=C3),'[1]PURCHASE PRICE'!$D:$D)</f>
        <v>20000</v>
      </c>
      <c r="F3">
        <f>LOOKUP(1,1/('[1]PURCHASE PRICE'!$A:$A=A3)/('[1]PURCHASE PRICE'!$B:$B=B3),'[1]PURCHASE PRICE'!$D:$D)</f>
        <v>20000</v>
      </c>
      <c r="G3" s="1">
        <f>+E3</f>
        <v>20000</v>
      </c>
      <c r="H3" s="1">
        <f>+G3*D3</f>
        <v>400000</v>
      </c>
    </row>
    <row r="4" spans="1:8" x14ac:dyDescent="0.3">
      <c r="A4" s="6">
        <v>45701</v>
      </c>
      <c r="B4" t="s">
        <v>2</v>
      </c>
      <c r="C4" t="s">
        <v>62</v>
      </c>
      <c r="D4">
        <v>10</v>
      </c>
      <c r="E4">
        <f>LOOKUP(1,1/('[1]PURCHASE PRICE'!$A:$A=A4)/('[1]PURCHASE PRICE'!$B:$B=B4)/('[1]PURCHASE PRICE'!$C:$C=C4),'[1]PURCHASE PRICE'!$D:$D)</f>
        <v>5000</v>
      </c>
      <c r="F4">
        <f>LOOKUP(1,1/('[1]PURCHASE PRICE'!$A:$A=A4)/('[1]PURCHASE PRICE'!$B:$B=B4),'[1]PURCHASE PRICE'!$D:$D)</f>
        <v>5000</v>
      </c>
      <c r="G4" s="1">
        <f t="shared" ref="G4:G64" si="0">+E4</f>
        <v>5000</v>
      </c>
      <c r="H4" s="1">
        <f t="shared" ref="H4:H64" si="1">+G4*D4</f>
        <v>50000</v>
      </c>
    </row>
    <row r="5" spans="1:8" x14ac:dyDescent="0.3">
      <c r="A5" s="6">
        <v>45701</v>
      </c>
      <c r="B5" t="s">
        <v>3</v>
      </c>
      <c r="C5" t="s">
        <v>77</v>
      </c>
      <c r="D5">
        <v>40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f>12000*0.4</f>
        <v>4800</v>
      </c>
      <c r="H5" s="1">
        <f t="shared" si="1"/>
        <v>192000</v>
      </c>
    </row>
    <row r="6" spans="1:8" x14ac:dyDescent="0.3">
      <c r="A6" s="6">
        <v>45701</v>
      </c>
      <c r="B6" t="s">
        <v>108</v>
      </c>
      <c r="C6" t="s">
        <v>62</v>
      </c>
      <c r="D6">
        <v>30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12000</v>
      </c>
      <c r="H6" s="1">
        <f t="shared" si="1"/>
        <v>360000</v>
      </c>
    </row>
    <row r="7" spans="1:8" x14ac:dyDescent="0.3">
      <c r="A7" s="6">
        <v>45701</v>
      </c>
      <c r="B7" t="s">
        <v>93</v>
      </c>
      <c r="C7" t="s">
        <v>62</v>
      </c>
      <c r="D7">
        <v>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0</v>
      </c>
      <c r="H7" s="1">
        <f t="shared" si="1"/>
        <v>0</v>
      </c>
    </row>
    <row r="8" spans="1:8" x14ac:dyDescent="0.3">
      <c r="A8" s="6">
        <v>45701</v>
      </c>
      <c r="B8" t="s">
        <v>4</v>
      </c>
      <c r="C8" t="s">
        <v>77</v>
      </c>
      <c r="D8">
        <v>400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17500</v>
      </c>
      <c r="G8" s="1">
        <f>+F8*0.3</f>
        <v>5250</v>
      </c>
      <c r="H8" s="1">
        <f t="shared" si="1"/>
        <v>2100000</v>
      </c>
    </row>
    <row r="9" spans="1:8" x14ac:dyDescent="0.3">
      <c r="A9" s="6">
        <v>45701</v>
      </c>
      <c r="B9" t="s">
        <v>6</v>
      </c>
      <c r="C9" t="s">
        <v>77</v>
      </c>
      <c r="D9">
        <v>130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16000</v>
      </c>
      <c r="G9" s="1">
        <f>+F9*0.3</f>
        <v>4800</v>
      </c>
      <c r="H9" s="1">
        <f t="shared" si="1"/>
        <v>624000</v>
      </c>
    </row>
    <row r="10" spans="1:8" x14ac:dyDescent="0.3">
      <c r="A10" s="6">
        <v>45701</v>
      </c>
      <c r="B10" t="s">
        <v>6</v>
      </c>
      <c r="C10" t="s">
        <v>11</v>
      </c>
      <c r="D10">
        <v>30</v>
      </c>
      <c r="E10">
        <f>LOOKUP(1,1/('[1]PURCHASE PRICE'!$A:$A=A10)/('[1]PURCHASE PRICE'!$B:$B=B10)/('[1]PURCHASE PRICE'!$C:$C=C10),'[1]PURCHASE PRICE'!$D:$D)</f>
        <v>16000</v>
      </c>
      <c r="F10">
        <f>LOOKUP(1,1/('[1]PURCHASE PRICE'!$A:$A=A10)/('[1]PURCHASE PRICE'!$B:$B=B10),'[1]PURCHASE PRICE'!$D:$D)</f>
        <v>16000</v>
      </c>
      <c r="G10" s="1">
        <f t="shared" si="0"/>
        <v>16000</v>
      </c>
      <c r="H10" s="1">
        <f t="shared" si="1"/>
        <v>480000</v>
      </c>
    </row>
    <row r="11" spans="1:8" x14ac:dyDescent="0.3">
      <c r="A11" s="6">
        <v>45701</v>
      </c>
      <c r="B11" t="s">
        <v>63</v>
      </c>
      <c r="C11" t="s">
        <v>62</v>
      </c>
      <c r="D11">
        <v>10</v>
      </c>
      <c r="E11">
        <f>LOOKUP(1,1/('[1]PURCHASE PRICE'!$A:$A=A11)/('[1]PURCHASE PRICE'!$B:$B=B11)/('[1]PURCHASE PRICE'!$C:$C=C11),'[1]PURCHASE PRICE'!$D:$D)</f>
        <v>25000</v>
      </c>
      <c r="F11">
        <f>LOOKUP(1,1/('[1]PURCHASE PRICE'!$A:$A=A11)/('[1]PURCHASE PRICE'!$B:$B=B11),'[1]PURCHASE PRICE'!$D:$D)</f>
        <v>25000</v>
      </c>
      <c r="G11" s="1">
        <f t="shared" si="0"/>
        <v>25000</v>
      </c>
      <c r="H11" s="1">
        <f t="shared" si="1"/>
        <v>250000</v>
      </c>
    </row>
    <row r="12" spans="1:8" x14ac:dyDescent="0.3">
      <c r="A12" s="6">
        <v>45701</v>
      </c>
      <c r="B12" t="s">
        <v>8</v>
      </c>
      <c r="C12" t="s">
        <v>9</v>
      </c>
      <c r="D12">
        <v>70</v>
      </c>
      <c r="E12">
        <f>LOOKUP(1,1/('[1]PURCHASE PRICE'!$A:$A=A12)/('[1]PURCHASE PRICE'!$B:$B=B12)/('[1]PURCHASE PRICE'!$C:$C=C12),'[1]PURCHASE PRICE'!$D:$D)</f>
        <v>5000</v>
      </c>
      <c r="F12">
        <f>LOOKUP(1,1/('[1]PURCHASE PRICE'!$A:$A=A12)/('[1]PURCHASE PRICE'!$B:$B=B12),'[1]PURCHASE PRICE'!$D:$D)</f>
        <v>5000</v>
      </c>
      <c r="G12" s="1">
        <f t="shared" si="0"/>
        <v>5000</v>
      </c>
      <c r="H12" s="1">
        <f t="shared" si="1"/>
        <v>350000</v>
      </c>
    </row>
    <row r="13" spans="1:8" x14ac:dyDescent="0.3">
      <c r="A13" s="6">
        <v>45701</v>
      </c>
      <c r="B13" t="s">
        <v>78</v>
      </c>
      <c r="C13" t="s">
        <v>62</v>
      </c>
      <c r="D13">
        <v>60</v>
      </c>
      <c r="E13">
        <f>LOOKUP(1,1/('[1]PURCHASE PRICE'!$A:$A=A13)/('[1]PURCHASE PRICE'!$B:$B=B13)/('[1]PURCHASE PRICE'!$C:$C=C13),'[1]PURCHASE PRICE'!$D:$D)</f>
        <v>12500</v>
      </c>
      <c r="F13">
        <f>LOOKUP(1,1/('[1]PURCHASE PRICE'!$A:$A=A13)/('[1]PURCHASE PRICE'!$B:$B=B13),'[1]PURCHASE PRICE'!$D:$D)</f>
        <v>12500</v>
      </c>
      <c r="G13" s="1">
        <f t="shared" si="0"/>
        <v>12500</v>
      </c>
      <c r="H13" s="1">
        <f t="shared" si="1"/>
        <v>750000</v>
      </c>
    </row>
    <row r="14" spans="1:8" x14ac:dyDescent="0.3">
      <c r="A14" s="6">
        <v>45701</v>
      </c>
      <c r="B14" t="s">
        <v>10</v>
      </c>
      <c r="C14" t="s">
        <v>11</v>
      </c>
      <c r="D14">
        <v>50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6500</v>
      </c>
      <c r="G14" s="1">
        <f>+F14*2</f>
        <v>13000</v>
      </c>
      <c r="H14" s="1">
        <f t="shared" si="1"/>
        <v>650000</v>
      </c>
    </row>
    <row r="15" spans="1:8" x14ac:dyDescent="0.3">
      <c r="A15" s="6">
        <v>45701</v>
      </c>
      <c r="B15" t="s">
        <v>10</v>
      </c>
      <c r="C15" t="s">
        <v>106</v>
      </c>
      <c r="D15">
        <v>64</v>
      </c>
      <c r="E15">
        <f>LOOKUP(1,1/('[1]PURCHASE PRICE'!$A:$A=A15)/('[1]PURCHASE PRICE'!$B:$B=B15)/('[1]PURCHASE PRICE'!$C:$C=C15),'[1]PURCHASE PRICE'!$D:$D)</f>
        <v>6500</v>
      </c>
      <c r="F15">
        <f>LOOKUP(1,1/('[1]PURCHASE PRICE'!$A:$A=A15)/('[1]PURCHASE PRICE'!$B:$B=B15),'[1]PURCHASE PRICE'!$D:$D)</f>
        <v>6500</v>
      </c>
      <c r="G15" s="1">
        <f t="shared" si="0"/>
        <v>6500</v>
      </c>
      <c r="H15" s="1">
        <f t="shared" si="1"/>
        <v>416000</v>
      </c>
    </row>
    <row r="16" spans="1:8" x14ac:dyDescent="0.3">
      <c r="A16" s="6">
        <v>45701</v>
      </c>
      <c r="B16" t="s">
        <v>12</v>
      </c>
      <c r="C16" t="s">
        <v>13</v>
      </c>
      <c r="D16">
        <v>150</v>
      </c>
      <c r="E16">
        <f>LOOKUP(1,1/('[1]PURCHASE PRICE'!$A:$A=A16)/('[1]PURCHASE PRICE'!$B:$B=B16)/('[1]PURCHASE PRICE'!$C:$C=C16),'[1]PURCHASE PRICE'!$D:$D)</f>
        <v>5100</v>
      </c>
      <c r="F16">
        <f>LOOKUP(1,1/('[1]PURCHASE PRICE'!$A:$A=A16)/('[1]PURCHASE PRICE'!$B:$B=B16),'[1]PURCHASE PRICE'!$D:$D)</f>
        <v>5100</v>
      </c>
      <c r="G16" s="1">
        <f t="shared" si="0"/>
        <v>5100</v>
      </c>
      <c r="H16" s="1">
        <f t="shared" si="1"/>
        <v>765000</v>
      </c>
    </row>
    <row r="17" spans="1:8" x14ac:dyDescent="0.3">
      <c r="A17" s="6">
        <v>45701</v>
      </c>
      <c r="B17" t="s">
        <v>14</v>
      </c>
      <c r="C17" t="s">
        <v>15</v>
      </c>
      <c r="D17">
        <v>65</v>
      </c>
      <c r="E17">
        <f>LOOKUP(1,1/('[1]PURCHASE PRICE'!$A:$A=A17)/('[1]PURCHASE PRICE'!$B:$B=B17)/('[1]PURCHASE PRICE'!$C:$C=C17),'[1]PURCHASE PRICE'!$D:$D)</f>
        <v>11100</v>
      </c>
      <c r="F17">
        <f>LOOKUP(1,1/('[1]PURCHASE PRICE'!$A:$A=A17)/('[1]PURCHASE PRICE'!$B:$B=B17),'[1]PURCHASE PRICE'!$D:$D)</f>
        <v>11100</v>
      </c>
      <c r="G17" s="1">
        <f t="shared" si="0"/>
        <v>11100</v>
      </c>
      <c r="H17" s="1">
        <f t="shared" si="1"/>
        <v>721500</v>
      </c>
    </row>
    <row r="18" spans="1:8" x14ac:dyDescent="0.3">
      <c r="A18" s="6">
        <v>45701</v>
      </c>
      <c r="B18" t="s">
        <v>16</v>
      </c>
      <c r="C18" t="s">
        <v>13</v>
      </c>
      <c r="D18">
        <v>100</v>
      </c>
      <c r="E18">
        <f>LOOKUP(1,1/('[1]PURCHASE PRICE'!$A:$A=A18)/('[1]PURCHASE PRICE'!$B:$B=B18)/('[1]PURCHASE PRICE'!$C:$C=C18),'[1]PURCHASE PRICE'!$D:$D)</f>
        <v>10000</v>
      </c>
      <c r="F18">
        <f>LOOKUP(1,1/('[1]PURCHASE PRICE'!$A:$A=A18)/('[1]PURCHASE PRICE'!$B:$B=B18),'[1]PURCHASE PRICE'!$D:$D)</f>
        <v>7500</v>
      </c>
      <c r="G18" s="1">
        <f t="shared" si="0"/>
        <v>10000</v>
      </c>
      <c r="H18" s="1">
        <f t="shared" si="1"/>
        <v>1000000</v>
      </c>
    </row>
    <row r="19" spans="1:8" x14ac:dyDescent="0.3">
      <c r="A19" s="6">
        <v>45701</v>
      </c>
      <c r="B19" t="s">
        <v>17</v>
      </c>
      <c r="C19" t="s">
        <v>62</v>
      </c>
      <c r="D19">
        <v>60</v>
      </c>
      <c r="E19">
        <f>LOOKUP(1,1/('[1]PURCHASE PRICE'!$A:$A=A19)/('[1]PURCHASE PRICE'!$B:$B=B19)/('[1]PURCHASE PRICE'!$C:$C=C19),'[1]PURCHASE PRICE'!$D:$D)</f>
        <v>14000</v>
      </c>
      <c r="F19">
        <f>LOOKUP(1,1/('[1]PURCHASE PRICE'!$A:$A=A19)/('[1]PURCHASE PRICE'!$B:$B=B19),'[1]PURCHASE PRICE'!$D:$D)</f>
        <v>14000</v>
      </c>
      <c r="G19" s="1">
        <f t="shared" si="0"/>
        <v>14000</v>
      </c>
      <c r="H19" s="1">
        <f t="shared" si="1"/>
        <v>840000</v>
      </c>
    </row>
    <row r="20" spans="1:8" x14ac:dyDescent="0.3">
      <c r="A20" s="6">
        <v>45701</v>
      </c>
      <c r="B20" t="s">
        <v>18</v>
      </c>
      <c r="C20" t="s">
        <v>62</v>
      </c>
      <c r="D20">
        <v>30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0"/>
        <v>8000</v>
      </c>
      <c r="H20" s="1">
        <f t="shared" si="1"/>
        <v>240000</v>
      </c>
    </row>
    <row r="21" spans="1:8" x14ac:dyDescent="0.3">
      <c r="A21" s="6">
        <v>45701</v>
      </c>
      <c r="B21" t="s">
        <v>19</v>
      </c>
      <c r="C21" t="s">
        <v>9</v>
      </c>
      <c r="D21">
        <v>50</v>
      </c>
      <c r="E21">
        <f>LOOKUP(1,1/('[1]PURCHASE PRICE'!$A:$A=A21)/('[1]PURCHASE PRICE'!$B:$B=B21)/('[1]PURCHASE PRICE'!$C:$C=C21),'[1]PURCHASE PRICE'!$D:$D)</f>
        <v>5500</v>
      </c>
      <c r="F21">
        <f>LOOKUP(1,1/('[1]PURCHASE PRICE'!$A:$A=A21)/('[1]PURCHASE PRICE'!$B:$B=B21),'[1]PURCHASE PRICE'!$D:$D)</f>
        <v>5500</v>
      </c>
      <c r="G21" s="1">
        <f t="shared" si="0"/>
        <v>5500</v>
      </c>
      <c r="H21" s="1">
        <f t="shared" si="1"/>
        <v>275000</v>
      </c>
    </row>
    <row r="22" spans="1:8" x14ac:dyDescent="0.3">
      <c r="A22" s="6">
        <v>45701</v>
      </c>
      <c r="B22" t="s">
        <v>20</v>
      </c>
      <c r="C22" t="s">
        <v>11</v>
      </c>
      <c r="D22">
        <v>40</v>
      </c>
      <c r="E22">
        <f>LOOKUP(1,1/('[1]PURCHASE PRICE'!$A:$A=A22)/('[1]PURCHASE PRICE'!$B:$B=B22)/('[1]PURCHASE PRICE'!$C:$C=C22),'[1]PURCHASE PRICE'!$D:$D)</f>
        <v>12000</v>
      </c>
      <c r="F22">
        <f>LOOKUP(1,1/('[1]PURCHASE PRICE'!$A:$A=A22)/('[1]PURCHASE PRICE'!$B:$B=B22),'[1]PURCHASE PRICE'!$D:$D)</f>
        <v>12000</v>
      </c>
      <c r="G22" s="1">
        <f t="shared" si="0"/>
        <v>12000</v>
      </c>
      <c r="H22" s="1">
        <f t="shared" si="1"/>
        <v>480000</v>
      </c>
    </row>
    <row r="23" spans="1:8" x14ac:dyDescent="0.3">
      <c r="A23" s="6">
        <v>45701</v>
      </c>
      <c r="B23" t="s">
        <v>21</v>
      </c>
      <c r="C23" t="s">
        <v>22</v>
      </c>
      <c r="D23">
        <v>100</v>
      </c>
      <c r="E23">
        <f>LOOKUP(1,1/('[1]PURCHASE PRICE'!$A:$A=A23)/('[1]PURCHASE PRICE'!$B:$B=B23)/('[1]PURCHASE PRICE'!$C:$C=C23),'[1]PURCHASE PRICE'!$D:$D)</f>
        <v>3900</v>
      </c>
      <c r="F23">
        <f>LOOKUP(1,1/('[1]PURCHASE PRICE'!$A:$A=A23)/('[1]PURCHASE PRICE'!$B:$B=B23),'[1]PURCHASE PRICE'!$D:$D)</f>
        <v>3900</v>
      </c>
      <c r="G23" s="1">
        <f t="shared" si="0"/>
        <v>3900</v>
      </c>
      <c r="H23" s="1">
        <f t="shared" si="1"/>
        <v>390000</v>
      </c>
    </row>
    <row r="24" spans="1:8" x14ac:dyDescent="0.3">
      <c r="A24" s="6">
        <v>45701</v>
      </c>
      <c r="B24" t="s">
        <v>21</v>
      </c>
      <c r="C24" t="s">
        <v>97</v>
      </c>
      <c r="D24">
        <v>20</v>
      </c>
      <c r="E24">
        <f>LOOKUP(1,1/('[1]PURCHASE PRICE'!$A:$A=A24)/('[1]PURCHASE PRICE'!$B:$B=B24)/('[1]PURCHASE PRICE'!$C:$C=C24),'[1]PURCHASE PRICE'!$D:$D)</f>
        <v>1900</v>
      </c>
      <c r="F24">
        <f>LOOKUP(1,1/('[1]PURCHASE PRICE'!$A:$A=A24)/('[1]PURCHASE PRICE'!$B:$B=B24),'[1]PURCHASE PRICE'!$D:$D)</f>
        <v>3900</v>
      </c>
      <c r="G24" s="1">
        <f t="shared" si="0"/>
        <v>1900</v>
      </c>
      <c r="H24" s="1">
        <f t="shared" si="1"/>
        <v>38000</v>
      </c>
    </row>
    <row r="25" spans="1:8" x14ac:dyDescent="0.3">
      <c r="A25" s="6">
        <v>45701</v>
      </c>
      <c r="B25" t="s">
        <v>24</v>
      </c>
      <c r="C25" t="s">
        <v>62</v>
      </c>
      <c r="D25">
        <v>5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4500</v>
      </c>
      <c r="H25" s="1">
        <f t="shared" si="1"/>
        <v>22500</v>
      </c>
    </row>
    <row r="26" spans="1:8" x14ac:dyDescent="0.3">
      <c r="A26" s="6">
        <v>45701</v>
      </c>
      <c r="B26" t="s">
        <v>25</v>
      </c>
      <c r="C26" t="s">
        <v>26</v>
      </c>
      <c r="D26">
        <v>250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12000</v>
      </c>
      <c r="G26" s="1">
        <f>+F26/2</f>
        <v>6000</v>
      </c>
      <c r="H26" s="1">
        <f t="shared" si="1"/>
        <v>1500000</v>
      </c>
    </row>
    <row r="27" spans="1:8" x14ac:dyDescent="0.3">
      <c r="A27" s="6">
        <v>45701</v>
      </c>
      <c r="B27" t="s">
        <v>27</v>
      </c>
      <c r="C27" t="s">
        <v>9</v>
      </c>
      <c r="D27">
        <v>62</v>
      </c>
      <c r="E27">
        <f>LOOKUP(1,1/('[1]PURCHASE PRICE'!$A:$A=A27)/('[1]PURCHASE PRICE'!$B:$B=B27)/('[1]PURCHASE PRICE'!$C:$C=C27),'[1]PURCHASE PRICE'!$D:$D)</f>
        <v>7500</v>
      </c>
      <c r="F27">
        <f>LOOKUP(1,1/('[1]PURCHASE PRICE'!$A:$A=A27)/('[1]PURCHASE PRICE'!$B:$B=B27),'[1]PURCHASE PRICE'!$D:$D)</f>
        <v>7500</v>
      </c>
      <c r="G27" s="1">
        <f t="shared" si="0"/>
        <v>7500</v>
      </c>
      <c r="H27" s="1">
        <f t="shared" si="1"/>
        <v>465000</v>
      </c>
    </row>
    <row r="28" spans="1:8" x14ac:dyDescent="0.3">
      <c r="A28" s="6">
        <v>45701</v>
      </c>
      <c r="B28" t="s">
        <v>28</v>
      </c>
      <c r="C28" t="s">
        <v>15</v>
      </c>
      <c r="D28">
        <v>20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 s="1">
        <f t="shared" si="0"/>
        <v>10000</v>
      </c>
      <c r="H28" s="1">
        <f t="shared" si="1"/>
        <v>200000</v>
      </c>
    </row>
    <row r="29" spans="1:8" x14ac:dyDescent="0.3">
      <c r="A29" s="6">
        <v>45701</v>
      </c>
      <c r="B29" t="s">
        <v>29</v>
      </c>
      <c r="C29" t="s">
        <v>62</v>
      </c>
      <c r="D29">
        <v>5</v>
      </c>
      <c r="E29">
        <f>LOOKUP(1,1/('[1]PURCHASE PRICE'!$A:$A=A29)/('[1]PURCHASE PRICE'!$B:$B=B29)/('[1]PURCHASE PRICE'!$C:$C=C29),'[1]PURCHASE PRICE'!$D:$D)</f>
        <v>4000</v>
      </c>
      <c r="F29">
        <f>LOOKUP(1,1/('[1]PURCHASE PRICE'!$A:$A=A29)/('[1]PURCHASE PRICE'!$B:$B=B29),'[1]PURCHASE PRICE'!$D:$D)</f>
        <v>4000</v>
      </c>
      <c r="G29" s="1">
        <f t="shared" si="0"/>
        <v>4000</v>
      </c>
      <c r="H29" s="1">
        <f t="shared" si="1"/>
        <v>20000</v>
      </c>
    </row>
    <row r="30" spans="1:8" x14ac:dyDescent="0.3">
      <c r="A30" s="6">
        <v>45701</v>
      </c>
      <c r="B30" t="s">
        <v>80</v>
      </c>
      <c r="C30" t="s">
        <v>62</v>
      </c>
      <c r="D30">
        <v>15</v>
      </c>
      <c r="E30">
        <f>LOOKUP(1,1/('[1]PURCHASE PRICE'!$A:$A=A30)/('[1]PURCHASE PRICE'!$B:$B=B30)/('[1]PURCHASE PRICE'!$C:$C=C30),'[1]PURCHASE PRICE'!$D:$D)</f>
        <v>10000</v>
      </c>
      <c r="F30">
        <f>LOOKUP(1,1/('[1]PURCHASE PRICE'!$A:$A=A30)/('[1]PURCHASE PRICE'!$B:$B=B30),'[1]PURCHASE PRICE'!$D:$D)</f>
        <v>10000</v>
      </c>
      <c r="G30" s="1">
        <f t="shared" si="0"/>
        <v>10000</v>
      </c>
      <c r="H30" s="1">
        <f t="shared" si="1"/>
        <v>150000</v>
      </c>
    </row>
    <row r="31" spans="1:8" x14ac:dyDescent="0.3">
      <c r="A31" s="6">
        <v>45701</v>
      </c>
      <c r="B31" t="s">
        <v>30</v>
      </c>
      <c r="C31" t="s">
        <v>11</v>
      </c>
      <c r="D31">
        <v>60</v>
      </c>
      <c r="E31">
        <f>LOOKUP(1,1/('[1]PURCHASE PRICE'!$A:$A=A31)/('[1]PURCHASE PRICE'!$B:$B=B31)/('[1]PURCHASE PRICE'!$C:$C=C31),'[1]PURCHASE PRICE'!$D:$D)</f>
        <v>8700</v>
      </c>
      <c r="F31">
        <f>LOOKUP(1,1/('[1]PURCHASE PRICE'!$A:$A=A31)/('[1]PURCHASE PRICE'!$B:$B=B31),'[1]PURCHASE PRICE'!$D:$D)</f>
        <v>8700</v>
      </c>
      <c r="G31" s="1">
        <f t="shared" si="0"/>
        <v>8700</v>
      </c>
      <c r="H31" s="1">
        <f t="shared" si="1"/>
        <v>522000</v>
      </c>
    </row>
    <row r="32" spans="1:8" x14ac:dyDescent="0.3">
      <c r="A32" s="6">
        <v>45701</v>
      </c>
      <c r="B32" t="s">
        <v>33</v>
      </c>
      <c r="C32" t="s">
        <v>62</v>
      </c>
      <c r="D32">
        <v>140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27000</v>
      </c>
      <c r="H32" s="1">
        <f t="shared" si="1"/>
        <v>3780000</v>
      </c>
    </row>
    <row r="33" spans="1:8" x14ac:dyDescent="0.3">
      <c r="A33" s="6">
        <v>45701</v>
      </c>
      <c r="B33" t="s">
        <v>34</v>
      </c>
      <c r="C33" t="s">
        <v>62</v>
      </c>
      <c r="D33">
        <v>120</v>
      </c>
      <c r="E33">
        <f>LOOKUP(1,1/('[1]PURCHASE PRICE'!$A:$A=A33)/('[1]PURCHASE PRICE'!$B:$B=B33)/('[1]PURCHASE PRICE'!$C:$C=C33),'[1]PURCHASE PRICE'!$D:$D)</f>
        <v>16000</v>
      </c>
      <c r="F33">
        <f>LOOKUP(1,1/('[1]PURCHASE PRICE'!$A:$A=A33)/('[1]PURCHASE PRICE'!$B:$B=B33),'[1]PURCHASE PRICE'!$D:$D)</f>
        <v>16000</v>
      </c>
      <c r="G33" s="1">
        <f t="shared" si="0"/>
        <v>16000</v>
      </c>
      <c r="H33" s="1">
        <f t="shared" si="1"/>
        <v>1920000</v>
      </c>
    </row>
    <row r="34" spans="1:8" x14ac:dyDescent="0.3">
      <c r="A34" s="6">
        <v>45701</v>
      </c>
      <c r="B34" t="s">
        <v>88</v>
      </c>
      <c r="C34" t="s">
        <v>11</v>
      </c>
      <c r="D34">
        <v>2</v>
      </c>
      <c r="E34">
        <f>LOOKUP(1,1/('[1]PURCHASE PRICE'!$A:$A=A34)/('[1]PURCHASE PRICE'!$B:$B=B34)/('[1]PURCHASE PRICE'!$C:$C=C34),'[1]PURCHASE PRICE'!$D:$D)</f>
        <v>14000</v>
      </c>
      <c r="F34">
        <f>LOOKUP(1,1/('[1]PURCHASE PRICE'!$A:$A=A34)/('[1]PURCHASE PRICE'!$B:$B=B34),'[1]PURCHASE PRICE'!$D:$D)</f>
        <v>14000</v>
      </c>
      <c r="G34" s="1">
        <f t="shared" si="0"/>
        <v>14000</v>
      </c>
      <c r="H34" s="1">
        <f t="shared" si="1"/>
        <v>28000</v>
      </c>
    </row>
    <row r="35" spans="1:8" x14ac:dyDescent="0.3">
      <c r="A35" s="6">
        <v>45701</v>
      </c>
      <c r="B35" t="s">
        <v>98</v>
      </c>
      <c r="C35" t="s">
        <v>62</v>
      </c>
      <c r="D35">
        <v>20</v>
      </c>
      <c r="E35">
        <f>LOOKUP(1,1/('[1]PURCHASE PRICE'!$A:$A=A35)/('[1]PURCHASE PRICE'!$B:$B=B35)/('[1]PURCHASE PRICE'!$C:$C=C35),'[1]PURCHASE PRICE'!$D:$D)</f>
        <v>28000</v>
      </c>
      <c r="F35">
        <f>LOOKUP(1,1/('[1]PURCHASE PRICE'!$A:$A=A35)/('[1]PURCHASE PRICE'!$B:$B=B35),'[1]PURCHASE PRICE'!$D:$D)</f>
        <v>28000</v>
      </c>
      <c r="G35" s="1">
        <f t="shared" si="0"/>
        <v>28000</v>
      </c>
      <c r="H35" s="1">
        <f t="shared" si="1"/>
        <v>560000</v>
      </c>
    </row>
    <row r="36" spans="1:8" x14ac:dyDescent="0.3">
      <c r="A36" s="6">
        <v>45701</v>
      </c>
      <c r="B36" t="s">
        <v>35</v>
      </c>
      <c r="C36" t="s">
        <v>11</v>
      </c>
      <c r="D36">
        <v>20</v>
      </c>
      <c r="E36">
        <f>LOOKUP(1,1/('[1]PURCHASE PRICE'!$A:$A=A36)/('[1]PURCHASE PRICE'!$B:$B=B36)/('[1]PURCHASE PRICE'!$C:$C=C36),'[1]PURCHASE PRICE'!$D:$D)</f>
        <v>11700</v>
      </c>
      <c r="F36">
        <f>LOOKUP(1,1/('[1]PURCHASE PRICE'!$A:$A=A36)/('[1]PURCHASE PRICE'!$B:$B=B36),'[1]PURCHASE PRICE'!$D:$D)</f>
        <v>11700</v>
      </c>
      <c r="G36" s="1">
        <f t="shared" si="0"/>
        <v>11700</v>
      </c>
      <c r="H36" s="1">
        <f t="shared" si="1"/>
        <v>234000</v>
      </c>
    </row>
    <row r="37" spans="1:8" x14ac:dyDescent="0.3">
      <c r="A37" s="6">
        <v>45701</v>
      </c>
      <c r="B37" t="s">
        <v>36</v>
      </c>
      <c r="C37" t="s">
        <v>22</v>
      </c>
      <c r="D37">
        <v>15</v>
      </c>
      <c r="E37">
        <f>LOOKUP(1,1/('[1]PURCHASE PRICE'!$A:$A=A37)/('[1]PURCHASE PRICE'!$B:$B=B37)/('[1]PURCHASE PRICE'!$C:$C=C37),'[1]PURCHASE PRICE'!$D:$D)</f>
        <v>6500</v>
      </c>
      <c r="F37">
        <f>LOOKUP(1,1/('[1]PURCHASE PRICE'!$A:$A=A37)/('[1]PURCHASE PRICE'!$B:$B=B37),'[1]PURCHASE PRICE'!$D:$D)</f>
        <v>6500</v>
      </c>
      <c r="G37" s="1">
        <f t="shared" si="0"/>
        <v>6500</v>
      </c>
      <c r="H37" s="1">
        <f t="shared" si="1"/>
        <v>97500</v>
      </c>
    </row>
    <row r="38" spans="1:8" x14ac:dyDescent="0.3">
      <c r="A38" s="6">
        <v>45701</v>
      </c>
      <c r="B38" t="s">
        <v>37</v>
      </c>
      <c r="C38" t="s">
        <v>31</v>
      </c>
      <c r="D38">
        <v>39</v>
      </c>
      <c r="E38">
        <f>LOOKUP(1,1/('[1]PURCHASE PRICE'!$A:$A=A38)/('[1]PURCHASE PRICE'!$B:$B=B38)/('[1]PURCHASE PRICE'!$C:$C=C38),'[1]PURCHASE PRICE'!$D:$D)</f>
        <v>5500</v>
      </c>
      <c r="F38">
        <f>LOOKUP(1,1/('[1]PURCHASE PRICE'!$A:$A=A38)/('[1]PURCHASE PRICE'!$B:$B=B38),'[1]PURCHASE PRICE'!$D:$D)</f>
        <v>14500</v>
      </c>
      <c r="G38" s="1">
        <f t="shared" si="0"/>
        <v>5500</v>
      </c>
      <c r="H38" s="1">
        <f t="shared" si="1"/>
        <v>214500</v>
      </c>
    </row>
    <row r="39" spans="1:8" x14ac:dyDescent="0.3">
      <c r="A39" s="6">
        <v>45701</v>
      </c>
      <c r="B39" t="s">
        <v>39</v>
      </c>
      <c r="C39" t="s">
        <v>11</v>
      </c>
      <c r="D39">
        <v>300</v>
      </c>
      <c r="E39">
        <f>LOOKUP(1,1/('[1]PURCHASE PRICE'!$A:$A=A39)/('[1]PURCHASE PRICE'!$B:$B=B39)/('[1]PURCHASE PRICE'!$C:$C=C39),'[1]PURCHASE PRICE'!$D:$D)</f>
        <v>9500</v>
      </c>
      <c r="F39">
        <f>LOOKUP(1,1/('[1]PURCHASE PRICE'!$A:$A=A39)/('[1]PURCHASE PRICE'!$B:$B=B39),'[1]PURCHASE PRICE'!$D:$D)</f>
        <v>9500</v>
      </c>
      <c r="G39" s="1">
        <f t="shared" si="0"/>
        <v>9500</v>
      </c>
      <c r="H39" s="1">
        <f t="shared" si="1"/>
        <v>2850000</v>
      </c>
    </row>
    <row r="40" spans="1:8" x14ac:dyDescent="0.3">
      <c r="A40" s="6">
        <v>45701</v>
      </c>
      <c r="B40" t="s">
        <v>39</v>
      </c>
      <c r="C40" t="s">
        <v>9</v>
      </c>
      <c r="D40">
        <v>150</v>
      </c>
      <c r="E40">
        <f>LOOKUP(1,1/('[1]PURCHASE PRICE'!$A:$A=A40)/('[1]PURCHASE PRICE'!$B:$B=B40)/('[1]PURCHASE PRICE'!$C:$C=C40),'[1]PURCHASE PRICE'!$D:$D)</f>
        <v>10000</v>
      </c>
      <c r="F40">
        <f>LOOKUP(1,1/('[1]PURCHASE PRICE'!$A:$A=A40)/('[1]PURCHASE PRICE'!$B:$B=B40),'[1]PURCHASE PRICE'!$D:$D)</f>
        <v>9500</v>
      </c>
      <c r="G40" s="1">
        <f t="shared" si="0"/>
        <v>10000</v>
      </c>
      <c r="H40" s="1">
        <f t="shared" si="1"/>
        <v>1500000</v>
      </c>
    </row>
    <row r="41" spans="1:8" x14ac:dyDescent="0.3">
      <c r="A41" s="6">
        <v>45701</v>
      </c>
      <c r="B41" t="s">
        <v>40</v>
      </c>
      <c r="C41" t="s">
        <v>22</v>
      </c>
      <c r="D41">
        <v>22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17000</v>
      </c>
      <c r="G41" s="1">
        <f>+F41*0.6</f>
        <v>10200</v>
      </c>
      <c r="H41" s="1">
        <f t="shared" si="1"/>
        <v>224400</v>
      </c>
    </row>
    <row r="42" spans="1:8" x14ac:dyDescent="0.3">
      <c r="A42" s="6">
        <v>45701</v>
      </c>
      <c r="B42" t="s">
        <v>41</v>
      </c>
      <c r="C42" t="s">
        <v>26</v>
      </c>
      <c r="D42">
        <v>150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11500</v>
      </c>
      <c r="G42" s="1">
        <f>+F42*0.15</f>
        <v>1725</v>
      </c>
      <c r="H42" s="1">
        <f t="shared" si="1"/>
        <v>258750</v>
      </c>
    </row>
    <row r="43" spans="1:8" x14ac:dyDescent="0.3">
      <c r="A43" s="6">
        <v>45701</v>
      </c>
      <c r="B43" t="s">
        <v>42</v>
      </c>
      <c r="C43" t="s">
        <v>11</v>
      </c>
      <c r="D43">
        <v>20</v>
      </c>
      <c r="E43">
        <f>LOOKUP(1,1/('[1]PURCHASE PRICE'!$A:$A=A43)/('[1]PURCHASE PRICE'!$B:$B=B43)/('[1]PURCHASE PRICE'!$C:$C=C43),'[1]PURCHASE PRICE'!$D:$D)</f>
        <v>25000</v>
      </c>
      <c r="F43">
        <f>LOOKUP(1,1/('[1]PURCHASE PRICE'!$A:$A=A43)/('[1]PURCHASE PRICE'!$B:$B=B43),'[1]PURCHASE PRICE'!$D:$D)</f>
        <v>25000</v>
      </c>
      <c r="G43" s="1">
        <f t="shared" si="0"/>
        <v>25000</v>
      </c>
      <c r="H43" s="1">
        <f t="shared" si="1"/>
        <v>500000</v>
      </c>
    </row>
    <row r="44" spans="1:8" x14ac:dyDescent="0.3">
      <c r="A44" s="6">
        <v>45701</v>
      </c>
      <c r="B44" t="s">
        <v>43</v>
      </c>
      <c r="C44" t="s">
        <v>22</v>
      </c>
      <c r="D44">
        <v>0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0</v>
      </c>
      <c r="H44" s="1">
        <f t="shared" si="1"/>
        <v>0</v>
      </c>
    </row>
    <row r="45" spans="1:8" x14ac:dyDescent="0.3">
      <c r="A45" s="6">
        <v>45701</v>
      </c>
      <c r="B45" t="s">
        <v>44</v>
      </c>
      <c r="C45" t="s">
        <v>22</v>
      </c>
      <c r="D45">
        <v>400</v>
      </c>
      <c r="E45">
        <f>LOOKUP(1,1/('[1]PURCHASE PRICE'!$A:$A=A45)/('[1]PURCHASE PRICE'!$B:$B=B45)/('[1]PURCHASE PRICE'!$C:$C=C45),'[1]PURCHASE PRICE'!$D:$D)</f>
        <v>2800</v>
      </c>
      <c r="F45">
        <f>LOOKUP(1,1/('[1]PURCHASE PRICE'!$A:$A=A45)/('[1]PURCHASE PRICE'!$B:$B=B45),'[1]PURCHASE PRICE'!$D:$D)</f>
        <v>2800</v>
      </c>
      <c r="G45" s="1">
        <f t="shared" si="0"/>
        <v>2800</v>
      </c>
      <c r="H45" s="1">
        <f t="shared" si="1"/>
        <v>1120000</v>
      </c>
    </row>
    <row r="46" spans="1:8" x14ac:dyDescent="0.3">
      <c r="A46" s="6">
        <v>45701</v>
      </c>
      <c r="B46" t="s">
        <v>65</v>
      </c>
      <c r="C46" t="s">
        <v>62</v>
      </c>
      <c r="D46">
        <v>5</v>
      </c>
      <c r="E46">
        <f>LOOKUP(1,1/('[1]PURCHASE PRICE'!$A:$A=A46)/('[1]PURCHASE PRICE'!$B:$B=B46)/('[1]PURCHASE PRICE'!$C:$C=C46),'[1]PURCHASE PRICE'!$D:$D)</f>
        <v>14000</v>
      </c>
      <c r="F46">
        <f>LOOKUP(1,1/('[1]PURCHASE PRICE'!$A:$A=A46)/('[1]PURCHASE PRICE'!$B:$B=B46),'[1]PURCHASE PRICE'!$D:$D)</f>
        <v>14000</v>
      </c>
      <c r="G46" s="1">
        <f t="shared" si="0"/>
        <v>14000</v>
      </c>
      <c r="H46" s="1">
        <f t="shared" si="1"/>
        <v>70000</v>
      </c>
    </row>
    <row r="47" spans="1:8" x14ac:dyDescent="0.3">
      <c r="A47" s="6">
        <v>45701</v>
      </c>
      <c r="B47" t="s">
        <v>109</v>
      </c>
      <c r="C47" t="s">
        <v>11</v>
      </c>
      <c r="D47">
        <v>0.5</v>
      </c>
      <c r="E47">
        <f>LOOKUP(1,1/('[1]PURCHASE PRICE'!$A:$A=A47)/('[1]PURCHASE PRICE'!$B:$B=B47)/('[1]PURCHASE PRICE'!$C:$C=C47),'[1]PURCHASE PRICE'!$D:$D)</f>
        <v>90000</v>
      </c>
      <c r="F47">
        <f>LOOKUP(1,1/('[1]PURCHASE PRICE'!$A:$A=A47)/('[1]PURCHASE PRICE'!$B:$B=B47),'[1]PURCHASE PRICE'!$D:$D)</f>
        <v>90000</v>
      </c>
      <c r="G47" s="1">
        <f t="shared" si="0"/>
        <v>90000</v>
      </c>
      <c r="H47" s="1">
        <f t="shared" si="1"/>
        <v>45000</v>
      </c>
    </row>
    <row r="48" spans="1:8" x14ac:dyDescent="0.3">
      <c r="A48" s="6">
        <v>45701</v>
      </c>
      <c r="B48" t="s">
        <v>45</v>
      </c>
      <c r="C48" t="s">
        <v>11</v>
      </c>
      <c r="D48">
        <v>70</v>
      </c>
      <c r="E48">
        <f>LOOKUP(1,1/('[1]PURCHASE PRICE'!$A:$A=A48)/('[1]PURCHASE PRICE'!$B:$B=B48)/('[1]PURCHASE PRICE'!$C:$C=C48),'[1]PURCHASE PRICE'!$D:$D)</f>
        <v>40000</v>
      </c>
      <c r="F48">
        <f>LOOKUP(1,1/('[1]PURCHASE PRICE'!$A:$A=A48)/('[1]PURCHASE PRICE'!$B:$B=B48),'[1]PURCHASE PRICE'!$D:$D)</f>
        <v>40000</v>
      </c>
      <c r="G48" s="1">
        <f t="shared" si="0"/>
        <v>40000</v>
      </c>
      <c r="H48" s="1">
        <f t="shared" si="1"/>
        <v>2800000</v>
      </c>
    </row>
    <row r="49" spans="1:8" x14ac:dyDescent="0.3">
      <c r="A49" s="6">
        <v>45701</v>
      </c>
      <c r="B49" t="s">
        <v>47</v>
      </c>
      <c r="C49" t="s">
        <v>11</v>
      </c>
      <c r="D49">
        <v>20</v>
      </c>
      <c r="E49">
        <f>LOOKUP(1,1/('[1]PURCHASE PRICE'!$A:$A=A49)/('[1]PURCHASE PRICE'!$B:$B=B49)/('[1]PURCHASE PRICE'!$C:$C=C49),'[1]PURCHASE PRICE'!$D:$D)</f>
        <v>50000</v>
      </c>
      <c r="F49">
        <f>LOOKUP(1,1/('[1]PURCHASE PRICE'!$A:$A=A49)/('[1]PURCHASE PRICE'!$B:$B=B49),'[1]PURCHASE PRICE'!$D:$D)</f>
        <v>50000</v>
      </c>
      <c r="G49" s="1">
        <f t="shared" si="0"/>
        <v>50000</v>
      </c>
      <c r="H49" s="1">
        <f t="shared" si="1"/>
        <v>1000000</v>
      </c>
    </row>
    <row r="50" spans="1:8" x14ac:dyDescent="0.3">
      <c r="A50" s="6">
        <v>45701</v>
      </c>
      <c r="B50" t="s">
        <v>48</v>
      </c>
      <c r="C50" t="s">
        <v>77</v>
      </c>
      <c r="D50">
        <v>150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60000</v>
      </c>
      <c r="G50" s="1">
        <f>+F50*0.15</f>
        <v>9000</v>
      </c>
      <c r="H50" s="1">
        <f t="shared" si="1"/>
        <v>1350000</v>
      </c>
    </row>
    <row r="51" spans="1:8" x14ac:dyDescent="0.3">
      <c r="A51" s="6">
        <v>45701</v>
      </c>
      <c r="B51" t="s">
        <v>49</v>
      </c>
      <c r="C51" t="s">
        <v>11</v>
      </c>
      <c r="D51">
        <v>10</v>
      </c>
      <c r="E51">
        <f>LOOKUP(1,1/('[1]PURCHASE PRICE'!$A:$A=A51)/('[1]PURCHASE PRICE'!$B:$B=B51)/('[1]PURCHASE PRICE'!$C:$C=C51),'[1]PURCHASE PRICE'!$D:$D)</f>
        <v>55000</v>
      </c>
      <c r="F51">
        <f>LOOKUP(1,1/('[1]PURCHASE PRICE'!$A:$A=A51)/('[1]PURCHASE PRICE'!$B:$B=B51),'[1]PURCHASE PRICE'!$D:$D)</f>
        <v>55000</v>
      </c>
      <c r="G51" s="1">
        <f t="shared" si="0"/>
        <v>55000</v>
      </c>
      <c r="H51" s="1">
        <f t="shared" si="1"/>
        <v>550000</v>
      </c>
    </row>
    <row r="52" spans="1:8" x14ac:dyDescent="0.3">
      <c r="A52" s="6">
        <v>45701</v>
      </c>
      <c r="B52" t="s">
        <v>50</v>
      </c>
      <c r="C52" t="s">
        <v>77</v>
      </c>
      <c r="D52">
        <v>100</v>
      </c>
      <c r="E52" t="e">
        <f>LOOKUP(1,1/('[1]PURCHASE PRICE'!$A:$A=A52)/('[1]PURCHASE PRICE'!$B:$B=B52)/('[1]PURCHASE PRICE'!$C:$C=C52),'[1]PURCHASE PRICE'!$D:$D)</f>
        <v>#N/A</v>
      </c>
      <c r="F52">
        <f>LOOKUP(1,1/('[1]PURCHASE PRICE'!$A:$A=A52)/('[1]PURCHASE PRICE'!$B:$B=B52),'[1]PURCHASE PRICE'!$D:$D)</f>
        <v>60000</v>
      </c>
      <c r="G52" s="1">
        <f>+F52*0.25</f>
        <v>15000</v>
      </c>
      <c r="H52" s="1">
        <f t="shared" si="1"/>
        <v>1500000</v>
      </c>
    </row>
    <row r="53" spans="1:8" x14ac:dyDescent="0.3">
      <c r="A53" s="6">
        <v>45701</v>
      </c>
      <c r="B53" t="s">
        <v>52</v>
      </c>
      <c r="C53" t="s">
        <v>77</v>
      </c>
      <c r="D53">
        <v>50</v>
      </c>
      <c r="E53" t="e">
        <f>LOOKUP(1,1/('[1]PURCHASE PRICE'!$A:$A=A53)/('[1]PURCHASE PRICE'!$B:$B=B53)/('[1]PURCHASE PRICE'!$C:$C=C53),'[1]PURCHASE PRICE'!$D:$D)</f>
        <v>#N/A</v>
      </c>
      <c r="F53">
        <f>LOOKUP(1,1/('[1]PURCHASE PRICE'!$A:$A=A53)/('[1]PURCHASE PRICE'!$B:$B=B53),'[1]PURCHASE PRICE'!$D:$D)</f>
        <v>32000</v>
      </c>
      <c r="G53" s="1">
        <f>+F53*0.25</f>
        <v>8000</v>
      </c>
      <c r="H53" s="1">
        <f t="shared" si="1"/>
        <v>400000</v>
      </c>
    </row>
    <row r="54" spans="1:8" x14ac:dyDescent="0.3">
      <c r="A54" s="6">
        <v>45701</v>
      </c>
      <c r="B54" t="s">
        <v>53</v>
      </c>
      <c r="C54" t="s">
        <v>22</v>
      </c>
      <c r="D54">
        <v>200</v>
      </c>
      <c r="E54">
        <f>LOOKUP(1,1/('[1]PURCHASE PRICE'!$A:$A=A54)/('[1]PURCHASE PRICE'!$B:$B=B54)/('[1]PURCHASE PRICE'!$C:$C=C54),'[1]PURCHASE PRICE'!$D:$D)</f>
        <v>18000</v>
      </c>
      <c r="F54">
        <f>LOOKUP(1,1/('[1]PURCHASE PRICE'!$A:$A=A54)/('[1]PURCHASE PRICE'!$B:$B=B54),'[1]PURCHASE PRICE'!$D:$D)</f>
        <v>18000</v>
      </c>
      <c r="G54" s="1">
        <f t="shared" si="0"/>
        <v>18000</v>
      </c>
      <c r="H54" s="1">
        <f t="shared" si="1"/>
        <v>3600000</v>
      </c>
    </row>
    <row r="55" spans="1:8" x14ac:dyDescent="0.3">
      <c r="A55" s="6">
        <v>45701</v>
      </c>
      <c r="B55" t="s">
        <v>53</v>
      </c>
      <c r="C55" t="s">
        <v>11</v>
      </c>
      <c r="D55">
        <v>30</v>
      </c>
      <c r="E55">
        <f>LOOKUP(1,1/('[1]PURCHASE PRICE'!$A:$A=A55)/('[1]PURCHASE PRICE'!$B:$B=B55)/('[1]PURCHASE PRICE'!$C:$C=C55),'[1]PURCHASE PRICE'!$D:$D)</f>
        <v>60000</v>
      </c>
      <c r="F55">
        <f>LOOKUP(1,1/('[1]PURCHASE PRICE'!$A:$A=A55)/('[1]PURCHASE PRICE'!$B:$B=B55),'[1]PURCHASE PRICE'!$D:$D)</f>
        <v>18000</v>
      </c>
      <c r="G55" s="1">
        <f t="shared" si="0"/>
        <v>60000</v>
      </c>
      <c r="H55" s="1">
        <f t="shared" si="1"/>
        <v>1800000</v>
      </c>
    </row>
    <row r="56" spans="1:8" x14ac:dyDescent="0.3">
      <c r="A56" s="6">
        <v>45701</v>
      </c>
      <c r="B56" t="s">
        <v>83</v>
      </c>
      <c r="C56" t="s">
        <v>11</v>
      </c>
      <c r="D56">
        <v>10</v>
      </c>
      <c r="E56">
        <f>LOOKUP(1,1/('[1]PURCHASE PRICE'!$A:$A=A56)/('[1]PURCHASE PRICE'!$B:$B=B56)/('[1]PURCHASE PRICE'!$C:$C=C56),'[1]PURCHASE PRICE'!$D:$D)</f>
        <v>18000</v>
      </c>
      <c r="F56">
        <f>LOOKUP(1,1/('[1]PURCHASE PRICE'!$A:$A=A56)/('[1]PURCHASE PRICE'!$B:$B=B56),'[1]PURCHASE PRICE'!$D:$D)</f>
        <v>18000</v>
      </c>
      <c r="G56" s="1">
        <f t="shared" si="0"/>
        <v>18000</v>
      </c>
      <c r="H56" s="1">
        <f t="shared" si="1"/>
        <v>180000</v>
      </c>
    </row>
    <row r="57" spans="1:8" x14ac:dyDescent="0.3">
      <c r="A57" s="6">
        <v>45701</v>
      </c>
      <c r="B57" t="s">
        <v>55</v>
      </c>
      <c r="C57" t="s">
        <v>62</v>
      </c>
      <c r="D57">
        <v>120</v>
      </c>
      <c r="E57">
        <f>LOOKUP(1,1/('[1]PURCHASE PRICE'!$A:$A=A57)/('[1]PURCHASE PRICE'!$B:$B=B57)/('[1]PURCHASE PRICE'!$C:$C=C57),'[1]PURCHASE PRICE'!$D:$D)</f>
        <v>13000</v>
      </c>
      <c r="F57">
        <f>LOOKUP(1,1/('[1]PURCHASE PRICE'!$A:$A=A57)/('[1]PURCHASE PRICE'!$B:$B=B57),'[1]PURCHASE PRICE'!$D:$D)</f>
        <v>13000</v>
      </c>
      <c r="G57" s="1">
        <f t="shared" si="0"/>
        <v>13000</v>
      </c>
      <c r="H57" s="1">
        <f t="shared" si="1"/>
        <v>1560000</v>
      </c>
    </row>
    <row r="58" spans="1:8" x14ac:dyDescent="0.3">
      <c r="A58" s="6">
        <v>45701</v>
      </c>
      <c r="B58" t="s">
        <v>56</v>
      </c>
      <c r="C58" t="s">
        <v>26</v>
      </c>
      <c r="D58">
        <v>80</v>
      </c>
      <c r="E58">
        <f>LOOKUP(1,1/('[1]PURCHASE PRICE'!$A:$A=A58)/('[1]PURCHASE PRICE'!$B:$B=B58)/('[1]PURCHASE PRICE'!$C:$C=C58),'[1]PURCHASE PRICE'!$D:$D)</f>
        <v>6800</v>
      </c>
      <c r="F58">
        <f>LOOKUP(1,1/('[1]PURCHASE PRICE'!$A:$A=A58)/('[1]PURCHASE PRICE'!$B:$B=B58),'[1]PURCHASE PRICE'!$D:$D)</f>
        <v>6800</v>
      </c>
      <c r="G58" s="1">
        <f t="shared" si="0"/>
        <v>6800</v>
      </c>
      <c r="H58" s="1">
        <f t="shared" si="1"/>
        <v>544000</v>
      </c>
    </row>
    <row r="59" spans="1:8" x14ac:dyDescent="0.3">
      <c r="A59" s="6">
        <v>45701</v>
      </c>
      <c r="B59" t="s">
        <v>110</v>
      </c>
      <c r="C59" t="s">
        <v>62</v>
      </c>
      <c r="D59">
        <v>60</v>
      </c>
      <c r="E59">
        <f>LOOKUP(1,1/('[1]PURCHASE PRICE'!$A:$A=A59)/('[1]PURCHASE PRICE'!$B:$B=B59)/('[1]PURCHASE PRICE'!$C:$C=C59),'[1]PURCHASE PRICE'!$D:$D)</f>
        <v>26000</v>
      </c>
      <c r="F59">
        <f>LOOKUP(1,1/('[1]PURCHASE PRICE'!$A:$A=A59)/('[1]PURCHASE PRICE'!$B:$B=B59),'[1]PURCHASE PRICE'!$D:$D)</f>
        <v>26000</v>
      </c>
      <c r="G59" s="1">
        <f t="shared" si="0"/>
        <v>26000</v>
      </c>
      <c r="H59" s="1">
        <f t="shared" si="1"/>
        <v>1560000</v>
      </c>
    </row>
    <row r="60" spans="1:8" x14ac:dyDescent="0.3">
      <c r="A60" s="6">
        <v>45701</v>
      </c>
      <c r="B60" t="s">
        <v>57</v>
      </c>
      <c r="C60" t="s">
        <v>26</v>
      </c>
      <c r="D60">
        <v>15</v>
      </c>
      <c r="E60">
        <f>LOOKUP(1,1/('[1]PURCHASE PRICE'!$A:$A=A60)/('[1]PURCHASE PRICE'!$B:$B=B60)/('[1]PURCHASE PRICE'!$C:$C=C60),'[1]PURCHASE PRICE'!$D:$D)</f>
        <v>6800</v>
      </c>
      <c r="F60">
        <f>LOOKUP(1,1/('[1]PURCHASE PRICE'!$A:$A=A60)/('[1]PURCHASE PRICE'!$B:$B=B60),'[1]PURCHASE PRICE'!$D:$D)</f>
        <v>6800</v>
      </c>
      <c r="G60" s="1">
        <f t="shared" si="0"/>
        <v>6800</v>
      </c>
      <c r="H60" s="1">
        <f t="shared" si="1"/>
        <v>102000</v>
      </c>
    </row>
    <row r="61" spans="1:8" x14ac:dyDescent="0.3">
      <c r="A61" s="6">
        <v>45701</v>
      </c>
      <c r="B61" t="s">
        <v>58</v>
      </c>
      <c r="C61" t="s">
        <v>62</v>
      </c>
      <c r="D61">
        <v>20</v>
      </c>
      <c r="E61">
        <f>LOOKUP(1,1/('[1]PURCHASE PRICE'!$A:$A=A61)/('[1]PURCHASE PRICE'!$B:$B=B61)/('[1]PURCHASE PRICE'!$C:$C=C61),'[1]PURCHASE PRICE'!$D:$D)</f>
        <v>16000</v>
      </c>
      <c r="F61">
        <f>LOOKUP(1,1/('[1]PURCHASE PRICE'!$A:$A=A61)/('[1]PURCHASE PRICE'!$B:$B=B61),'[1]PURCHASE PRICE'!$D:$D)</f>
        <v>16000</v>
      </c>
      <c r="G61" s="1">
        <f t="shared" si="0"/>
        <v>16000</v>
      </c>
      <c r="H61" s="1">
        <f t="shared" si="1"/>
        <v>320000</v>
      </c>
    </row>
    <row r="62" spans="1:8" x14ac:dyDescent="0.3">
      <c r="A62" s="6">
        <v>45701</v>
      </c>
      <c r="B62" t="s">
        <v>59</v>
      </c>
      <c r="C62" t="s">
        <v>11</v>
      </c>
      <c r="D62">
        <v>2</v>
      </c>
      <c r="E62">
        <f>LOOKUP(1,1/('[1]PURCHASE PRICE'!$A:$A=A62)/('[1]PURCHASE PRICE'!$B:$B=B62)/('[1]PURCHASE PRICE'!$C:$C=C62),'[1]PURCHASE PRICE'!$D:$D)</f>
        <v>70000</v>
      </c>
      <c r="F62">
        <f>LOOKUP(1,1/('[1]PURCHASE PRICE'!$A:$A=A62)/('[1]PURCHASE PRICE'!$B:$B=B62),'[1]PURCHASE PRICE'!$D:$D)</f>
        <v>70000</v>
      </c>
      <c r="G62" s="1">
        <f t="shared" si="0"/>
        <v>70000</v>
      </c>
      <c r="H62" s="1">
        <f t="shared" si="1"/>
        <v>140000</v>
      </c>
    </row>
    <row r="63" spans="1:8" x14ac:dyDescent="0.3">
      <c r="A63" s="6">
        <v>45701</v>
      </c>
      <c r="B63" t="s">
        <v>60</v>
      </c>
      <c r="C63" t="s">
        <v>11</v>
      </c>
      <c r="D63">
        <v>5</v>
      </c>
      <c r="E63">
        <f>LOOKUP(1,1/('[1]PURCHASE PRICE'!$A:$A=A63)/('[1]PURCHASE PRICE'!$B:$B=B63)/('[1]PURCHASE PRICE'!$C:$C=C63),'[1]PURCHASE PRICE'!$D:$D)</f>
        <v>15000</v>
      </c>
      <c r="F63">
        <f>LOOKUP(1,1/('[1]PURCHASE PRICE'!$A:$A=A63)/('[1]PURCHASE PRICE'!$B:$B=B63),'[1]PURCHASE PRICE'!$D:$D)</f>
        <v>15000</v>
      </c>
      <c r="G63" s="1">
        <f t="shared" si="0"/>
        <v>15000</v>
      </c>
      <c r="H63" s="1">
        <f t="shared" si="1"/>
        <v>75000</v>
      </c>
    </row>
    <row r="64" spans="1:8" x14ac:dyDescent="0.3">
      <c r="A64" s="6">
        <v>45701</v>
      </c>
      <c r="B64" t="s">
        <v>61</v>
      </c>
      <c r="C64" t="s">
        <v>26</v>
      </c>
      <c r="D64">
        <v>2</v>
      </c>
      <c r="E64">
        <f>LOOKUP(1,1/('[1]PURCHASE PRICE'!$A:$A=A64)/('[1]PURCHASE PRICE'!$B:$B=B64)/('[1]PURCHASE PRICE'!$C:$C=C64),'[1]PURCHASE PRICE'!$D:$D)</f>
        <v>7500</v>
      </c>
      <c r="F64">
        <f>LOOKUP(1,1/('[1]PURCHASE PRICE'!$A:$A=A64)/('[1]PURCHASE PRICE'!$B:$B=B64),'[1]PURCHASE PRICE'!$D:$D)</f>
        <v>7500</v>
      </c>
      <c r="G64" s="1">
        <f t="shared" si="0"/>
        <v>7500</v>
      </c>
      <c r="H64" s="1">
        <f t="shared" si="1"/>
        <v>15000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CE30-84DD-461C-A14C-52F465B628B5}">
  <dimension ref="A1:H45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4" max="4" width="4.2187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42203400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45702</v>
      </c>
      <c r="B3" t="s">
        <v>4</v>
      </c>
      <c r="C3" t="s">
        <v>77</v>
      </c>
      <c r="D3">
        <v>300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9000</v>
      </c>
      <c r="G3" s="1">
        <f>18000*0.3</f>
        <v>5400</v>
      </c>
      <c r="H3" s="1">
        <f>+G3*D3</f>
        <v>1620000</v>
      </c>
    </row>
    <row r="4" spans="1:8" x14ac:dyDescent="0.3">
      <c r="A4" s="6">
        <v>45702</v>
      </c>
      <c r="B4" t="s">
        <v>48</v>
      </c>
      <c r="C4" t="s">
        <v>77</v>
      </c>
      <c r="D4">
        <v>300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55000</v>
      </c>
      <c r="G4" s="1">
        <f>+F4*0.25</f>
        <v>13750</v>
      </c>
      <c r="H4" s="1">
        <f t="shared" ref="H4:H45" si="0">+G4*D4</f>
        <v>4125000</v>
      </c>
    </row>
    <row r="5" spans="1:8" x14ac:dyDescent="0.3">
      <c r="A5" s="6">
        <v>45702</v>
      </c>
      <c r="B5" t="s">
        <v>48</v>
      </c>
      <c r="C5" t="s">
        <v>1</v>
      </c>
      <c r="D5">
        <v>30</v>
      </c>
      <c r="E5">
        <f>LOOKUP(1,1/('[1]PURCHASE PRICE'!$A:$A=A5)/('[1]PURCHASE PRICE'!$B:$B=B5)/('[1]PURCHASE PRICE'!$C:$C=C5),'[1]PURCHASE PRICE'!$D:$D)</f>
        <v>55000</v>
      </c>
      <c r="F5">
        <f>LOOKUP(1,1/('[1]PURCHASE PRICE'!$A:$A=A5)/('[1]PURCHASE PRICE'!$B:$B=B5),'[1]PURCHASE PRICE'!$D:$D)</f>
        <v>55000</v>
      </c>
      <c r="G5" s="1">
        <f t="shared" ref="G5:G45" si="1">+E5</f>
        <v>55000</v>
      </c>
      <c r="H5" s="1">
        <f t="shared" si="0"/>
        <v>1650000</v>
      </c>
    </row>
    <row r="6" spans="1:8" x14ac:dyDescent="0.3">
      <c r="A6" s="6">
        <v>45702</v>
      </c>
      <c r="B6" t="s">
        <v>50</v>
      </c>
      <c r="C6" t="s">
        <v>77</v>
      </c>
      <c r="D6">
        <v>200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60000</v>
      </c>
      <c r="G6" s="1">
        <f>+F6*0.25</f>
        <v>15000</v>
      </c>
      <c r="H6" s="1">
        <f t="shared" si="0"/>
        <v>3000000</v>
      </c>
    </row>
    <row r="7" spans="1:8" x14ac:dyDescent="0.3">
      <c r="A7" s="6">
        <v>45702</v>
      </c>
      <c r="B7" t="s">
        <v>52</v>
      </c>
      <c r="C7" t="s">
        <v>77</v>
      </c>
      <c r="D7">
        <v>80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35000</v>
      </c>
      <c r="G7" s="1">
        <f>+F7*0.25</f>
        <v>8750</v>
      </c>
      <c r="H7" s="1">
        <f t="shared" si="0"/>
        <v>700000</v>
      </c>
    </row>
    <row r="8" spans="1:8" x14ac:dyDescent="0.3">
      <c r="A8" s="6">
        <v>45702</v>
      </c>
      <c r="B8" t="s">
        <v>19</v>
      </c>
      <c r="C8" t="s">
        <v>9</v>
      </c>
      <c r="D8">
        <v>120</v>
      </c>
      <c r="E8">
        <f>LOOKUP(1,1/('[1]PURCHASE PRICE'!$A:$A=A8)/('[1]PURCHASE PRICE'!$B:$B=B8)/('[1]PURCHASE PRICE'!$C:$C=C8),'[1]PURCHASE PRICE'!$D:$D)</f>
        <v>5500</v>
      </c>
      <c r="F8">
        <f>LOOKUP(1,1/('[1]PURCHASE PRICE'!$A:$A=A8)/('[1]PURCHASE PRICE'!$B:$B=B8),'[1]PURCHASE PRICE'!$D:$D)</f>
        <v>5500</v>
      </c>
      <c r="G8" s="1">
        <f t="shared" si="1"/>
        <v>5500</v>
      </c>
      <c r="H8" s="1">
        <f t="shared" si="0"/>
        <v>660000</v>
      </c>
    </row>
    <row r="9" spans="1:8" x14ac:dyDescent="0.3">
      <c r="A9" s="6">
        <v>45702</v>
      </c>
      <c r="B9" t="s">
        <v>28</v>
      </c>
      <c r="C9" t="s">
        <v>15</v>
      </c>
      <c r="D9">
        <v>20</v>
      </c>
      <c r="E9">
        <f>LOOKUP(1,1/('[1]PURCHASE PRICE'!$A:$A=A9)/('[1]PURCHASE PRICE'!$B:$B=B9)/('[1]PURCHASE PRICE'!$C:$C=C9),'[1]PURCHASE PRICE'!$D:$D)</f>
        <v>10000</v>
      </c>
      <c r="F9">
        <f>LOOKUP(1,1/('[1]PURCHASE PRICE'!$A:$A=A9)/('[1]PURCHASE PRICE'!$B:$B=B9),'[1]PURCHASE PRICE'!$D:$D)</f>
        <v>10000</v>
      </c>
      <c r="G9" s="1">
        <f t="shared" si="1"/>
        <v>10000</v>
      </c>
      <c r="H9" s="1">
        <f t="shared" si="0"/>
        <v>200000</v>
      </c>
    </row>
    <row r="10" spans="1:8" x14ac:dyDescent="0.3">
      <c r="A10" s="6">
        <v>45702</v>
      </c>
      <c r="B10" t="s">
        <v>33</v>
      </c>
      <c r="C10" t="s">
        <v>1</v>
      </c>
      <c r="D10">
        <v>200</v>
      </c>
      <c r="E10">
        <f>LOOKUP(1,1/('[1]PURCHASE PRICE'!$A:$A=A10)/('[1]PURCHASE PRICE'!$B:$B=B10)/('[1]PURCHASE PRICE'!$C:$C=C10),'[1]PURCHASE PRICE'!$D:$D)</f>
        <v>25000</v>
      </c>
      <c r="F10">
        <f>LOOKUP(1,1/('[1]PURCHASE PRICE'!$A:$A=A10)/('[1]PURCHASE PRICE'!$B:$B=B10),'[1]PURCHASE PRICE'!$D:$D)</f>
        <v>25000</v>
      </c>
      <c r="G10" s="1">
        <f t="shared" si="1"/>
        <v>25000</v>
      </c>
      <c r="H10" s="1">
        <f t="shared" si="0"/>
        <v>5000000</v>
      </c>
    </row>
    <row r="11" spans="1:8" x14ac:dyDescent="0.3">
      <c r="A11" s="6">
        <v>45702</v>
      </c>
      <c r="B11" t="s">
        <v>35</v>
      </c>
      <c r="C11" t="s">
        <v>1</v>
      </c>
      <c r="D11">
        <v>40</v>
      </c>
      <c r="E11">
        <f>LOOKUP(1,1/('[1]PURCHASE PRICE'!$A:$A=A11)/('[1]PURCHASE PRICE'!$B:$B=B11)/('[1]PURCHASE PRICE'!$C:$C=C11),'[1]PURCHASE PRICE'!$D:$D)</f>
        <v>12500</v>
      </c>
      <c r="F11">
        <f>LOOKUP(1,1/('[1]PURCHASE PRICE'!$A:$A=A11)/('[1]PURCHASE PRICE'!$B:$B=B11),'[1]PURCHASE PRICE'!$D:$D)</f>
        <v>12500</v>
      </c>
      <c r="G11" s="1">
        <f t="shared" si="1"/>
        <v>12500</v>
      </c>
      <c r="H11" s="1">
        <f t="shared" si="0"/>
        <v>500000</v>
      </c>
    </row>
    <row r="12" spans="1:8" x14ac:dyDescent="0.3">
      <c r="A12" s="6">
        <v>45702</v>
      </c>
      <c r="B12" t="s">
        <v>8</v>
      </c>
      <c r="C12" t="s">
        <v>9</v>
      </c>
      <c r="D12">
        <v>25</v>
      </c>
      <c r="E12">
        <f>LOOKUP(1,1/('[1]PURCHASE PRICE'!$A:$A=A12)/('[1]PURCHASE PRICE'!$B:$B=B12)/('[1]PURCHASE PRICE'!$C:$C=C12),'[1]PURCHASE PRICE'!$D:$D)</f>
        <v>5500</v>
      </c>
      <c r="F12">
        <f>LOOKUP(1,1/('[1]PURCHASE PRICE'!$A:$A=A12)/('[1]PURCHASE PRICE'!$B:$B=B12),'[1]PURCHASE PRICE'!$D:$D)</f>
        <v>5500</v>
      </c>
      <c r="G12" s="1">
        <f t="shared" si="1"/>
        <v>5500</v>
      </c>
      <c r="H12" s="1">
        <f t="shared" si="0"/>
        <v>137500</v>
      </c>
    </row>
    <row r="13" spans="1:8" x14ac:dyDescent="0.3">
      <c r="A13" s="6">
        <v>45702</v>
      </c>
      <c r="B13" t="s">
        <v>20</v>
      </c>
      <c r="C13" t="s">
        <v>1</v>
      </c>
      <c r="D13">
        <v>40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1"/>
        <v>12000</v>
      </c>
      <c r="H13" s="1">
        <f t="shared" si="0"/>
        <v>480000</v>
      </c>
    </row>
    <row r="14" spans="1:8" x14ac:dyDescent="0.3">
      <c r="A14" s="6">
        <v>45702</v>
      </c>
      <c r="B14" t="s">
        <v>21</v>
      </c>
      <c r="C14" t="s">
        <v>22</v>
      </c>
      <c r="D14">
        <v>100</v>
      </c>
      <c r="E14">
        <f>LOOKUP(1,1/('[1]PURCHASE PRICE'!$A:$A=A14)/('[1]PURCHASE PRICE'!$B:$B=B14)/('[1]PURCHASE PRICE'!$C:$C=C14),'[1]PURCHASE PRICE'!$D:$D)</f>
        <v>3900</v>
      </c>
      <c r="F14">
        <f>LOOKUP(1,1/('[1]PURCHASE PRICE'!$A:$A=A14)/('[1]PURCHASE PRICE'!$B:$B=B14),'[1]PURCHASE PRICE'!$D:$D)</f>
        <v>3900</v>
      </c>
      <c r="G14" s="1">
        <f t="shared" si="1"/>
        <v>3900</v>
      </c>
      <c r="H14" s="1">
        <f t="shared" si="0"/>
        <v>390000</v>
      </c>
    </row>
    <row r="15" spans="1:8" x14ac:dyDescent="0.3">
      <c r="A15" s="6">
        <v>45702</v>
      </c>
      <c r="B15" t="s">
        <v>21</v>
      </c>
      <c r="C15" t="s">
        <v>97</v>
      </c>
      <c r="D15">
        <v>30</v>
      </c>
      <c r="E15">
        <f>LOOKUP(1,1/('[1]PURCHASE PRICE'!$A:$A=A15)/('[1]PURCHASE PRICE'!$B:$B=B15)/('[1]PURCHASE PRICE'!$C:$C=C15),'[1]PURCHASE PRICE'!$D:$D)</f>
        <v>1900</v>
      </c>
      <c r="F15">
        <f>LOOKUP(1,1/('[1]PURCHASE PRICE'!$A:$A=A15)/('[1]PURCHASE PRICE'!$B:$B=B15),'[1]PURCHASE PRICE'!$D:$D)</f>
        <v>3900</v>
      </c>
      <c r="G15" s="1">
        <f t="shared" si="1"/>
        <v>1900</v>
      </c>
      <c r="H15" s="1">
        <f t="shared" si="0"/>
        <v>57000</v>
      </c>
    </row>
    <row r="16" spans="1:8" x14ac:dyDescent="0.3">
      <c r="A16" s="6">
        <v>45702</v>
      </c>
      <c r="B16" t="s">
        <v>41</v>
      </c>
      <c r="C16" t="s">
        <v>26</v>
      </c>
      <c r="D16">
        <v>100</v>
      </c>
      <c r="E16" t="e">
        <f>LOOKUP(1,1/('[1]PURCHASE PRICE'!$A:$A=A16)/('[1]PURCHASE PRICE'!$B:$B=B16)/('[1]PURCHASE PRICE'!$C:$C=C16),'[1]PURCHASE PRICE'!$D:$D)</f>
        <v>#N/A</v>
      </c>
      <c r="F16">
        <v>11000</v>
      </c>
      <c r="G16" s="1">
        <f>+F16*0.15</f>
        <v>1650</v>
      </c>
      <c r="H16" s="1">
        <f t="shared" si="0"/>
        <v>165000</v>
      </c>
    </row>
    <row r="17" spans="1:8" x14ac:dyDescent="0.3">
      <c r="A17" s="6">
        <v>45702</v>
      </c>
      <c r="B17" t="s">
        <v>44</v>
      </c>
      <c r="C17" t="s">
        <v>22</v>
      </c>
      <c r="D17">
        <v>400</v>
      </c>
      <c r="E17">
        <f>LOOKUP(1,1/('[1]PURCHASE PRICE'!$A:$A=A17)/('[1]PURCHASE PRICE'!$B:$B=B17)/('[1]PURCHASE PRICE'!$C:$C=C17),'[1]PURCHASE PRICE'!$D:$D)</f>
        <v>2800</v>
      </c>
      <c r="F17">
        <f>LOOKUP(1,1/('[1]PURCHASE PRICE'!$A:$A=A17)/('[1]PURCHASE PRICE'!$B:$B=B17),'[1]PURCHASE PRICE'!$D:$D)</f>
        <v>2800</v>
      </c>
      <c r="G17" s="1">
        <f t="shared" si="1"/>
        <v>2800</v>
      </c>
      <c r="H17" s="1">
        <f t="shared" si="0"/>
        <v>1120000</v>
      </c>
    </row>
    <row r="18" spans="1:8" x14ac:dyDescent="0.3">
      <c r="A18" s="6">
        <v>45702</v>
      </c>
      <c r="B18" t="s">
        <v>45</v>
      </c>
      <c r="C18" t="s">
        <v>1</v>
      </c>
      <c r="D18">
        <v>40</v>
      </c>
      <c r="E18">
        <f>LOOKUP(1,1/('[1]PURCHASE PRICE'!$A:$A=A18)/('[1]PURCHASE PRICE'!$B:$B=B18)/('[1]PURCHASE PRICE'!$C:$C=C18),'[1]PURCHASE PRICE'!$D:$D)</f>
        <v>40000</v>
      </c>
      <c r="F18">
        <f>LOOKUP(1,1/('[1]PURCHASE PRICE'!$A:$A=A18)/('[1]PURCHASE PRICE'!$B:$B=B18),'[1]PURCHASE PRICE'!$D:$D)</f>
        <v>40000</v>
      </c>
      <c r="G18" s="1">
        <f t="shared" si="1"/>
        <v>40000</v>
      </c>
      <c r="H18" s="1">
        <f t="shared" si="0"/>
        <v>1600000</v>
      </c>
    </row>
    <row r="19" spans="1:8" x14ac:dyDescent="0.3">
      <c r="A19" s="6">
        <v>45702</v>
      </c>
      <c r="B19" t="s">
        <v>55</v>
      </c>
      <c r="C19" t="s">
        <v>1</v>
      </c>
      <c r="D19">
        <v>60</v>
      </c>
      <c r="E19">
        <f>LOOKUP(1,1/('[1]PURCHASE PRICE'!$A:$A=A19)/('[1]PURCHASE PRICE'!$B:$B=B19)/('[1]PURCHASE PRICE'!$C:$C=C19),'[1]PURCHASE PRICE'!$D:$D)</f>
        <v>13000</v>
      </c>
      <c r="F19">
        <f>LOOKUP(1,1/('[1]PURCHASE PRICE'!$A:$A=A19)/('[1]PURCHASE PRICE'!$B:$B=B19),'[1]PURCHASE PRICE'!$D:$D)</f>
        <v>13000</v>
      </c>
      <c r="G19" s="1">
        <f t="shared" si="1"/>
        <v>13000</v>
      </c>
      <c r="H19" s="1">
        <f t="shared" si="0"/>
        <v>780000</v>
      </c>
    </row>
    <row r="20" spans="1:8" x14ac:dyDescent="0.3">
      <c r="A20" s="6">
        <v>45702</v>
      </c>
      <c r="B20" t="s">
        <v>56</v>
      </c>
      <c r="C20" t="s">
        <v>26</v>
      </c>
      <c r="D20">
        <v>80</v>
      </c>
      <c r="E20">
        <f>LOOKUP(1,1/('[1]PURCHASE PRICE'!$A:$A=A20)/('[1]PURCHASE PRICE'!$B:$B=B20)/('[1]PURCHASE PRICE'!$C:$C=C20),'[1]PURCHASE PRICE'!$D:$D)</f>
        <v>6800</v>
      </c>
      <c r="F20">
        <f>LOOKUP(1,1/('[1]PURCHASE PRICE'!$A:$A=A20)/('[1]PURCHASE PRICE'!$B:$B=B20),'[1]PURCHASE PRICE'!$D:$D)</f>
        <v>6800</v>
      </c>
      <c r="G20" s="1">
        <f t="shared" si="1"/>
        <v>6800</v>
      </c>
      <c r="H20" s="1">
        <f t="shared" si="0"/>
        <v>544000</v>
      </c>
    </row>
    <row r="21" spans="1:8" x14ac:dyDescent="0.3">
      <c r="A21" s="6">
        <v>45702</v>
      </c>
      <c r="B21" t="s">
        <v>61</v>
      </c>
      <c r="C21" t="s">
        <v>26</v>
      </c>
      <c r="D21">
        <v>10</v>
      </c>
      <c r="E21">
        <f>LOOKUP(1,1/('[1]PURCHASE PRICE'!$A:$A=A21)/('[1]PURCHASE PRICE'!$B:$B=B21)/('[1]PURCHASE PRICE'!$C:$C=C21),'[1]PURCHASE PRICE'!$D:$D)</f>
        <v>6800</v>
      </c>
      <c r="F21">
        <f>LOOKUP(1,1/('[1]PURCHASE PRICE'!$A:$A=A21)/('[1]PURCHASE PRICE'!$B:$B=B21),'[1]PURCHASE PRICE'!$D:$D)</f>
        <v>6800</v>
      </c>
      <c r="G21" s="1">
        <f t="shared" si="1"/>
        <v>6800</v>
      </c>
      <c r="H21" s="1">
        <f t="shared" si="0"/>
        <v>68000</v>
      </c>
    </row>
    <row r="22" spans="1:8" x14ac:dyDescent="0.3">
      <c r="A22" s="6">
        <v>45702</v>
      </c>
      <c r="B22" t="s">
        <v>96</v>
      </c>
      <c r="C22" t="s">
        <v>1</v>
      </c>
      <c r="D22">
        <v>80</v>
      </c>
      <c r="E22">
        <f>LOOKUP(1,1/('[1]PURCHASE PRICE'!$A:$A=A22)/('[1]PURCHASE PRICE'!$B:$B=B22)/('[1]PURCHASE PRICE'!$C:$C=C22),'[1]PURCHASE PRICE'!$D:$D)</f>
        <v>28000</v>
      </c>
      <c r="F22">
        <f>LOOKUP(1,1/('[1]PURCHASE PRICE'!$A:$A=A22)/('[1]PURCHASE PRICE'!$B:$B=B22),'[1]PURCHASE PRICE'!$D:$D)</f>
        <v>28000</v>
      </c>
      <c r="G22" s="1">
        <f t="shared" si="1"/>
        <v>28000</v>
      </c>
      <c r="H22" s="1">
        <f t="shared" si="0"/>
        <v>2240000</v>
      </c>
    </row>
    <row r="23" spans="1:8" x14ac:dyDescent="0.3">
      <c r="A23" s="6">
        <v>45702</v>
      </c>
      <c r="B23" t="s">
        <v>3</v>
      </c>
      <c r="C23" t="s">
        <v>77</v>
      </c>
      <c r="D23">
        <v>60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12000</v>
      </c>
      <c r="G23" s="1">
        <f>+F23*0.4</f>
        <v>4800</v>
      </c>
      <c r="H23" s="1">
        <f t="shared" si="0"/>
        <v>288000</v>
      </c>
    </row>
    <row r="24" spans="1:8" x14ac:dyDescent="0.3">
      <c r="A24" s="6">
        <v>45702</v>
      </c>
      <c r="B24" t="s">
        <v>12</v>
      </c>
      <c r="C24" t="s">
        <v>13</v>
      </c>
      <c r="D24">
        <v>120</v>
      </c>
      <c r="E24">
        <f>LOOKUP(1,1/('[1]PURCHASE PRICE'!$A:$A=A24)/('[1]PURCHASE PRICE'!$B:$B=B24)/('[1]PURCHASE PRICE'!$C:$C=C24),'[1]PURCHASE PRICE'!$D:$D)</f>
        <v>5100</v>
      </c>
      <c r="F24">
        <f>LOOKUP(1,1/('[1]PURCHASE PRICE'!$A:$A=A24)/('[1]PURCHASE PRICE'!$B:$B=B24),'[1]PURCHASE PRICE'!$D:$D)</f>
        <v>5100</v>
      </c>
      <c r="G24" s="1">
        <f t="shared" si="1"/>
        <v>5100</v>
      </c>
      <c r="H24" s="1">
        <f t="shared" si="0"/>
        <v>612000</v>
      </c>
    </row>
    <row r="25" spans="1:8" x14ac:dyDescent="0.3">
      <c r="A25" s="6">
        <v>45702</v>
      </c>
      <c r="B25" t="s">
        <v>6</v>
      </c>
      <c r="C25" t="s">
        <v>77</v>
      </c>
      <c r="D25">
        <v>90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18000</v>
      </c>
      <c r="G25" s="1">
        <f>+F25*0.3</f>
        <v>5400</v>
      </c>
      <c r="H25" s="1">
        <f t="shared" si="0"/>
        <v>486000</v>
      </c>
    </row>
    <row r="26" spans="1:8" x14ac:dyDescent="0.3">
      <c r="A26" s="6">
        <v>45702</v>
      </c>
      <c r="B26" t="s">
        <v>6</v>
      </c>
      <c r="C26" t="s">
        <v>11</v>
      </c>
      <c r="D26">
        <v>20</v>
      </c>
      <c r="E26">
        <f>LOOKUP(1,1/('[1]PURCHASE PRICE'!$A:$A=A26)/('[1]PURCHASE PRICE'!$B:$B=B26)/('[1]PURCHASE PRICE'!$C:$C=C26),'[1]PURCHASE PRICE'!$D:$D)</f>
        <v>18000</v>
      </c>
      <c r="F26">
        <f>LOOKUP(1,1/('[1]PURCHASE PRICE'!$A:$A=A26)/('[1]PURCHASE PRICE'!$B:$B=B26),'[1]PURCHASE PRICE'!$D:$D)</f>
        <v>18000</v>
      </c>
      <c r="G26" s="1">
        <f t="shared" si="1"/>
        <v>18000</v>
      </c>
      <c r="H26" s="1">
        <f t="shared" si="0"/>
        <v>360000</v>
      </c>
    </row>
    <row r="27" spans="1:8" x14ac:dyDescent="0.3">
      <c r="A27" s="6">
        <v>45702</v>
      </c>
      <c r="B27" t="s">
        <v>10</v>
      </c>
      <c r="C27" t="s">
        <v>79</v>
      </c>
      <c r="D27">
        <v>100</v>
      </c>
      <c r="E27">
        <f>LOOKUP(1,1/('[1]PURCHASE PRICE'!$A:$A=A27)/('[1]PURCHASE PRICE'!$B:$B=B27)/('[1]PURCHASE PRICE'!$C:$C=C27),'[1]PURCHASE PRICE'!$D:$D)</f>
        <v>6500</v>
      </c>
      <c r="F27">
        <f>LOOKUP(1,1/('[1]PURCHASE PRICE'!$A:$A=A27)/('[1]PURCHASE PRICE'!$B:$B=B27),'[1]PURCHASE PRICE'!$D:$D)</f>
        <v>6500</v>
      </c>
      <c r="G27" s="1">
        <f t="shared" si="1"/>
        <v>6500</v>
      </c>
      <c r="H27" s="1">
        <f t="shared" si="0"/>
        <v>650000</v>
      </c>
    </row>
    <row r="28" spans="1:8" x14ac:dyDescent="0.3">
      <c r="A28" s="6">
        <v>45702</v>
      </c>
      <c r="B28" t="s">
        <v>16</v>
      </c>
      <c r="C28" t="s">
        <v>13</v>
      </c>
      <c r="D28">
        <v>40</v>
      </c>
      <c r="E28">
        <f>LOOKUP(1,1/('[1]PURCHASE PRICE'!$A:$A=A28)/('[1]PURCHASE PRICE'!$B:$B=B28)/('[1]PURCHASE PRICE'!$C:$C=C28),'[1]PURCHASE PRICE'!$D:$D)</f>
        <v>9900</v>
      </c>
      <c r="F28">
        <f>LOOKUP(1,1/('[1]PURCHASE PRICE'!$A:$A=A28)/('[1]PURCHASE PRICE'!$B:$B=B28),'[1]PURCHASE PRICE'!$D:$D)</f>
        <v>7500</v>
      </c>
      <c r="G28" s="1">
        <f t="shared" si="1"/>
        <v>9900</v>
      </c>
      <c r="H28" s="1">
        <f t="shared" si="0"/>
        <v>396000</v>
      </c>
    </row>
    <row r="29" spans="1:8" x14ac:dyDescent="0.3">
      <c r="A29" s="6">
        <v>45702</v>
      </c>
      <c r="B29" t="s">
        <v>17</v>
      </c>
      <c r="C29" t="s">
        <v>1</v>
      </c>
      <c r="D29">
        <v>40</v>
      </c>
      <c r="E29">
        <f>LOOKUP(1,1/('[1]PURCHASE PRICE'!$A:$A=A29)/('[1]PURCHASE PRICE'!$B:$B=B29)/('[1]PURCHASE PRICE'!$C:$C=C29),'[1]PURCHASE PRICE'!$D:$D)</f>
        <v>16000</v>
      </c>
      <c r="F29">
        <f>LOOKUP(1,1/('[1]PURCHASE PRICE'!$A:$A=A29)/('[1]PURCHASE PRICE'!$B:$B=B29),'[1]PURCHASE PRICE'!$D:$D)</f>
        <v>16000</v>
      </c>
      <c r="G29" s="1">
        <f t="shared" si="1"/>
        <v>16000</v>
      </c>
      <c r="H29" s="1">
        <f t="shared" si="0"/>
        <v>640000</v>
      </c>
    </row>
    <row r="30" spans="1:8" x14ac:dyDescent="0.3">
      <c r="A30" s="6">
        <v>45702</v>
      </c>
      <c r="B30" t="s">
        <v>38</v>
      </c>
      <c r="C30" t="s">
        <v>1</v>
      </c>
      <c r="D30">
        <v>3</v>
      </c>
      <c r="E30">
        <f>LOOKUP(1,1/('[1]PURCHASE PRICE'!$A:$A=A30)/('[1]PURCHASE PRICE'!$B:$B=B30)/('[1]PURCHASE PRICE'!$C:$C=C30),'[1]PURCHASE PRICE'!$D:$D)</f>
        <v>80000</v>
      </c>
      <c r="F30">
        <f>LOOKUP(1,1/('[1]PURCHASE PRICE'!$A:$A=A30)/('[1]PURCHASE PRICE'!$B:$B=B30),'[1]PURCHASE PRICE'!$D:$D)</f>
        <v>80000</v>
      </c>
      <c r="G30" s="1">
        <f>+F30</f>
        <v>80000</v>
      </c>
      <c r="H30" s="1">
        <f t="shared" si="0"/>
        <v>240000</v>
      </c>
    </row>
    <row r="31" spans="1:8" x14ac:dyDescent="0.3">
      <c r="A31" s="6">
        <v>45702</v>
      </c>
      <c r="B31" t="s">
        <v>39</v>
      </c>
      <c r="C31" t="s">
        <v>9</v>
      </c>
      <c r="D31">
        <v>200</v>
      </c>
      <c r="E31">
        <f>LOOKUP(1,1/('[1]PURCHASE PRICE'!$A:$A=A31)/('[1]PURCHASE PRICE'!$B:$B=B31)/('[1]PURCHASE PRICE'!$C:$C=C31),'[1]PURCHASE PRICE'!$D:$D)</f>
        <v>7000</v>
      </c>
      <c r="F31">
        <f>LOOKUP(1,1/('[1]PURCHASE PRICE'!$A:$A=A31)/('[1]PURCHASE PRICE'!$B:$B=B31),'[1]PURCHASE PRICE'!$D:$D)</f>
        <v>7000</v>
      </c>
      <c r="G31" s="1">
        <f t="shared" si="1"/>
        <v>7000</v>
      </c>
      <c r="H31" s="1">
        <f t="shared" si="0"/>
        <v>1400000</v>
      </c>
    </row>
    <row r="32" spans="1:8" x14ac:dyDescent="0.3">
      <c r="A32" s="6">
        <v>45702</v>
      </c>
      <c r="B32" t="s">
        <v>40</v>
      </c>
      <c r="C32" t="s">
        <v>22</v>
      </c>
      <c r="D32">
        <v>7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17000</v>
      </c>
      <c r="G32" s="1">
        <f>+F32*0.6</f>
        <v>10200</v>
      </c>
      <c r="H32" s="1">
        <f t="shared" si="0"/>
        <v>71400</v>
      </c>
    </row>
    <row r="33" spans="1:8" x14ac:dyDescent="0.3">
      <c r="A33" s="6">
        <v>45702</v>
      </c>
      <c r="B33" t="s">
        <v>47</v>
      </c>
      <c r="C33" t="s">
        <v>1</v>
      </c>
      <c r="D33">
        <v>20</v>
      </c>
      <c r="E33">
        <f>LOOKUP(1,1/('[1]PURCHASE PRICE'!$A:$A=A33)/('[1]PURCHASE PRICE'!$B:$B=B33)/('[1]PURCHASE PRICE'!$C:$C=C33),'[1]PURCHASE PRICE'!$D:$D)</f>
        <v>55000</v>
      </c>
      <c r="F33">
        <f>LOOKUP(1,1/('[1]PURCHASE PRICE'!$A:$A=A33)/('[1]PURCHASE PRICE'!$B:$B=B33),'[1]PURCHASE PRICE'!$D:$D)</f>
        <v>55000</v>
      </c>
      <c r="G33" s="1">
        <f t="shared" si="1"/>
        <v>55000</v>
      </c>
      <c r="H33" s="1">
        <f t="shared" si="0"/>
        <v>1100000</v>
      </c>
    </row>
    <row r="34" spans="1:8" x14ac:dyDescent="0.3">
      <c r="A34" s="6">
        <v>45702</v>
      </c>
      <c r="B34" t="s">
        <v>49</v>
      </c>
      <c r="C34" t="s">
        <v>1</v>
      </c>
      <c r="D34">
        <v>15</v>
      </c>
      <c r="E34">
        <f>LOOKUP(1,1/('[1]PURCHASE PRICE'!$A:$A=A34)/('[1]PURCHASE PRICE'!$B:$B=B34)/('[1]PURCHASE PRICE'!$C:$C=C34),'[1]PURCHASE PRICE'!$D:$D)</f>
        <v>55000</v>
      </c>
      <c r="F34">
        <f>LOOKUP(1,1/('[1]PURCHASE PRICE'!$A:$A=A34)/('[1]PURCHASE PRICE'!$B:$B=B34),'[1]PURCHASE PRICE'!$D:$D)</f>
        <v>55000</v>
      </c>
      <c r="G34" s="1">
        <f t="shared" si="1"/>
        <v>55000</v>
      </c>
      <c r="H34" s="1">
        <f t="shared" si="0"/>
        <v>825000</v>
      </c>
    </row>
    <row r="35" spans="1:8" x14ac:dyDescent="0.3">
      <c r="A35" s="6">
        <v>45702</v>
      </c>
      <c r="B35" t="s">
        <v>53</v>
      </c>
      <c r="C35" t="s">
        <v>22</v>
      </c>
      <c r="D35">
        <v>325</v>
      </c>
      <c r="E35">
        <f>LOOKUP(1,1/('[1]PURCHASE PRICE'!$A:$A=A35)/('[1]PURCHASE PRICE'!$B:$B=B35)/('[1]PURCHASE PRICE'!$C:$C=C35),'[1]PURCHASE PRICE'!$D:$D)</f>
        <v>18000</v>
      </c>
      <c r="F35">
        <f>LOOKUP(1,1/('[1]PURCHASE PRICE'!$A:$A=A35)/('[1]PURCHASE PRICE'!$B:$B=B35),'[1]PURCHASE PRICE'!$D:$D)</f>
        <v>18000</v>
      </c>
      <c r="G35" s="1">
        <f t="shared" si="1"/>
        <v>18000</v>
      </c>
      <c r="H35" s="1">
        <f t="shared" si="0"/>
        <v>5850000</v>
      </c>
    </row>
    <row r="36" spans="1:8" x14ac:dyDescent="0.3">
      <c r="A36" s="6">
        <v>45702</v>
      </c>
      <c r="B36" t="s">
        <v>80</v>
      </c>
      <c r="C36" t="s">
        <v>1</v>
      </c>
      <c r="D36">
        <v>40</v>
      </c>
      <c r="E36">
        <f>LOOKUP(1,1/('[1]PURCHASE PRICE'!$A:$A=A36)/('[1]PURCHASE PRICE'!$B:$B=B36)/('[1]PURCHASE PRICE'!$C:$C=C36),'[1]PURCHASE PRICE'!$D:$D)</f>
        <v>9000</v>
      </c>
      <c r="F36">
        <f>LOOKUP(1,1/('[1]PURCHASE PRICE'!$A:$A=A36)/('[1]PURCHASE PRICE'!$B:$B=B36),'[1]PURCHASE PRICE'!$D:$D)</f>
        <v>9000</v>
      </c>
      <c r="G36" s="1">
        <f t="shared" si="1"/>
        <v>9000</v>
      </c>
      <c r="H36" s="1">
        <f t="shared" si="0"/>
        <v>360000</v>
      </c>
    </row>
    <row r="37" spans="1:8" x14ac:dyDescent="0.3">
      <c r="A37" s="6">
        <v>45702</v>
      </c>
      <c r="B37" t="s">
        <v>34</v>
      </c>
      <c r="C37" t="s">
        <v>1</v>
      </c>
      <c r="D37">
        <v>100</v>
      </c>
      <c r="E37">
        <f>LOOKUP(1,1/('[1]PURCHASE PRICE'!$A:$A=A37)/('[1]PURCHASE PRICE'!$B:$B=B37)/('[1]PURCHASE PRICE'!$C:$C=C37),'[1]PURCHASE PRICE'!$D:$D)</f>
        <v>15500</v>
      </c>
      <c r="F37">
        <f>LOOKUP(1,1/('[1]PURCHASE PRICE'!$A:$A=A37)/('[1]PURCHASE PRICE'!$B:$B=B37),'[1]PURCHASE PRICE'!$D:$D)</f>
        <v>15500</v>
      </c>
      <c r="G37" s="1">
        <f t="shared" si="1"/>
        <v>15500</v>
      </c>
      <c r="H37" s="1">
        <f t="shared" si="0"/>
        <v>1550000</v>
      </c>
    </row>
    <row r="38" spans="1:8" x14ac:dyDescent="0.3">
      <c r="A38" s="6">
        <v>45702</v>
      </c>
      <c r="B38" t="s">
        <v>42</v>
      </c>
      <c r="C38" t="s">
        <v>1</v>
      </c>
      <c r="D38">
        <v>15</v>
      </c>
      <c r="E38">
        <f>LOOKUP(1,1/('[1]PURCHASE PRICE'!$A:$A=A38)/('[1]PURCHASE PRICE'!$B:$B=B38)/('[1]PURCHASE PRICE'!$C:$C=C38),'[1]PURCHASE PRICE'!$D:$D)</f>
        <v>25000</v>
      </c>
      <c r="F38">
        <f>LOOKUP(1,1/('[1]PURCHASE PRICE'!$A:$A=A38)/('[1]PURCHASE PRICE'!$B:$B=B38),'[1]PURCHASE PRICE'!$D:$D)</f>
        <v>25000</v>
      </c>
      <c r="G38" s="1">
        <f t="shared" si="1"/>
        <v>25000</v>
      </c>
      <c r="H38" s="1">
        <f t="shared" si="0"/>
        <v>375000</v>
      </c>
    </row>
    <row r="39" spans="1:8" x14ac:dyDescent="0.3">
      <c r="A39" s="6">
        <v>45702</v>
      </c>
      <c r="B39" t="s">
        <v>83</v>
      </c>
      <c r="C39" t="s">
        <v>1</v>
      </c>
      <c r="D39">
        <v>10</v>
      </c>
      <c r="E39">
        <f>LOOKUP(1,1/('[1]PURCHASE PRICE'!$A:$A=A39)/('[1]PURCHASE PRICE'!$B:$B=B39)/('[1]PURCHASE PRICE'!$C:$C=C39),'[1]PURCHASE PRICE'!$D:$D)</f>
        <v>18000</v>
      </c>
      <c r="F39">
        <f>LOOKUP(1,1/('[1]PURCHASE PRICE'!$A:$A=A39)/('[1]PURCHASE PRICE'!$B:$B=B39),'[1]PURCHASE PRICE'!$D:$D)</f>
        <v>18000</v>
      </c>
      <c r="G39" s="1">
        <f t="shared" si="1"/>
        <v>18000</v>
      </c>
      <c r="H39" s="1">
        <f t="shared" si="0"/>
        <v>180000</v>
      </c>
    </row>
    <row r="40" spans="1:8" x14ac:dyDescent="0.3">
      <c r="A40" s="6">
        <v>45702</v>
      </c>
      <c r="B40" t="s">
        <v>108</v>
      </c>
      <c r="C40" t="s">
        <v>1</v>
      </c>
      <c r="D40">
        <v>30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v>12000</v>
      </c>
      <c r="H40" s="1">
        <f t="shared" si="0"/>
        <v>360000</v>
      </c>
    </row>
    <row r="41" spans="1:8" x14ac:dyDescent="0.3">
      <c r="A41" s="6">
        <v>45702</v>
      </c>
      <c r="B41" t="s">
        <v>78</v>
      </c>
      <c r="C41" t="s">
        <v>1</v>
      </c>
      <c r="D41">
        <v>40</v>
      </c>
      <c r="E41">
        <f>LOOKUP(1,1/('[1]PURCHASE PRICE'!$A:$A=A41)/('[1]PURCHASE PRICE'!$B:$B=B41)/('[1]PURCHASE PRICE'!$C:$C=C41),'[1]PURCHASE PRICE'!$D:$D)</f>
        <v>12500</v>
      </c>
      <c r="F41">
        <f>LOOKUP(1,1/('[1]PURCHASE PRICE'!$A:$A=A41)/('[1]PURCHASE PRICE'!$B:$B=B41),'[1]PURCHASE PRICE'!$D:$D)</f>
        <v>12500</v>
      </c>
      <c r="G41" s="1">
        <f t="shared" si="1"/>
        <v>12500</v>
      </c>
      <c r="H41" s="1">
        <f t="shared" si="0"/>
        <v>500000</v>
      </c>
    </row>
    <row r="42" spans="1:8" x14ac:dyDescent="0.3">
      <c r="A42" s="6">
        <v>45702</v>
      </c>
      <c r="B42" t="s">
        <v>14</v>
      </c>
      <c r="C42" t="s">
        <v>15</v>
      </c>
      <c r="D42">
        <v>35</v>
      </c>
      <c r="E42">
        <f>LOOKUP(1,1/('[1]PURCHASE PRICE'!$A:$A=A42)/('[1]PURCHASE PRICE'!$B:$B=B42)/('[1]PURCHASE PRICE'!$C:$C=C42),'[1]PURCHASE PRICE'!$D:$D)</f>
        <v>11100</v>
      </c>
      <c r="F42">
        <f>LOOKUP(1,1/('[1]PURCHASE PRICE'!$A:$A=A42)/('[1]PURCHASE PRICE'!$B:$B=B42),'[1]PURCHASE PRICE'!$D:$D)</f>
        <v>11100</v>
      </c>
      <c r="G42" s="1">
        <f t="shared" si="1"/>
        <v>11100</v>
      </c>
      <c r="H42" s="1">
        <f t="shared" si="0"/>
        <v>388500</v>
      </c>
    </row>
    <row r="43" spans="1:8" x14ac:dyDescent="0.3">
      <c r="A43" s="6">
        <v>45702</v>
      </c>
      <c r="B43" t="s">
        <v>37</v>
      </c>
      <c r="C43" t="s">
        <v>31</v>
      </c>
      <c r="D43">
        <v>30</v>
      </c>
      <c r="E43">
        <f>LOOKUP(1,1/('[1]PURCHASE PRICE'!$A:$A=A43)/('[1]PURCHASE PRICE'!$B:$B=B43)/('[1]PURCHASE PRICE'!$C:$C=C43),'[1]PURCHASE PRICE'!$D:$D)</f>
        <v>5500</v>
      </c>
      <c r="F43">
        <f>LOOKUP(1,1/('[1]PURCHASE PRICE'!$A:$A=A43)/('[1]PURCHASE PRICE'!$B:$B=B43),'[1]PURCHASE PRICE'!$D:$D)</f>
        <v>14500</v>
      </c>
      <c r="G43" s="1">
        <f t="shared" si="1"/>
        <v>5500</v>
      </c>
      <c r="H43" s="1">
        <f t="shared" si="0"/>
        <v>165000</v>
      </c>
    </row>
    <row r="44" spans="1:8" x14ac:dyDescent="0.3">
      <c r="A44" s="6">
        <v>45702</v>
      </c>
      <c r="B44" t="s">
        <v>43</v>
      </c>
      <c r="C44" t="s">
        <v>1</v>
      </c>
      <c r="D44">
        <v>1</v>
      </c>
      <c r="E44">
        <f>LOOKUP(1,1/('[1]PURCHASE PRICE'!$A:$A=A44)/('[1]PURCHASE PRICE'!$B:$B=B44)/('[1]PURCHASE PRICE'!$C:$C=C44),'[1]PURCHASE PRICE'!$D:$D)</f>
        <v>130000</v>
      </c>
      <c r="F44">
        <f>LOOKUP(1,1/('[1]PURCHASE PRICE'!$A:$A=A44)/('[1]PURCHASE PRICE'!$B:$B=B44),'[1]PURCHASE PRICE'!$D:$D)</f>
        <v>130000</v>
      </c>
      <c r="G44" s="1">
        <f t="shared" si="1"/>
        <v>130000</v>
      </c>
      <c r="H44" s="1">
        <f t="shared" si="0"/>
        <v>130000</v>
      </c>
    </row>
    <row r="45" spans="1:8" x14ac:dyDescent="0.3">
      <c r="A45" s="6">
        <v>45702</v>
      </c>
      <c r="B45" t="s">
        <v>81</v>
      </c>
      <c r="C45" t="s">
        <v>1</v>
      </c>
      <c r="D45">
        <v>20</v>
      </c>
      <c r="E45">
        <f>LOOKUP(1,1/('[1]PURCHASE PRICE'!$A:$A=A45)/('[1]PURCHASE PRICE'!$B:$B=B45)/('[1]PURCHASE PRICE'!$C:$C=C45),'[1]PURCHASE PRICE'!$D:$D)</f>
        <v>12000</v>
      </c>
      <c r="F45">
        <f>LOOKUP(1,1/('[1]PURCHASE PRICE'!$A:$A=A45)/('[1]PURCHASE PRICE'!$B:$B=B45),'[1]PURCHASE PRICE'!$D:$D)</f>
        <v>12000</v>
      </c>
      <c r="G45" s="1">
        <f t="shared" si="1"/>
        <v>12000</v>
      </c>
      <c r="H45" s="1">
        <f t="shared" si="0"/>
        <v>240000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CFDB-411D-4DD4-B11A-215B29168E60}">
  <dimension ref="A1:H36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14296000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45703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20000</v>
      </c>
      <c r="F3">
        <f>LOOKUP(1,1/('[1]PURCHASE PRICE'!$A:$A=A3)/('[1]PURCHASE PRICE'!$B:$B=B3),'[1]PURCHASE PRICE'!$D:$D)</f>
        <v>20000</v>
      </c>
      <c r="G3" s="1">
        <f>+E3</f>
        <v>20000</v>
      </c>
      <c r="H3" s="1">
        <f>+G3*D3</f>
        <v>400000</v>
      </c>
    </row>
    <row r="4" spans="1:8" x14ac:dyDescent="0.3">
      <c r="A4" s="6">
        <v>45703</v>
      </c>
      <c r="B4" t="s">
        <v>2</v>
      </c>
      <c r="C4" t="s">
        <v>1</v>
      </c>
      <c r="D4">
        <v>10</v>
      </c>
      <c r="E4">
        <f>LOOKUP(1,1/('[1]PURCHASE PRICE'!$A:$A=A4)/('[1]PURCHASE PRICE'!$B:$B=B4)/('[1]PURCHASE PRICE'!$C:$C=C4),'[1]PURCHASE PRICE'!$D:$D)</f>
        <v>5000</v>
      </c>
      <c r="F4">
        <f>LOOKUP(1,1/('[1]PURCHASE PRICE'!$A:$A=A4)/('[1]PURCHASE PRICE'!$B:$B=B4),'[1]PURCHASE PRICE'!$D:$D)</f>
        <v>5000</v>
      </c>
      <c r="G4" s="1">
        <f t="shared" ref="G4:G36" si="0">+E4</f>
        <v>5000</v>
      </c>
      <c r="H4" s="1">
        <f t="shared" ref="H4:H36" si="1">+G4*D4</f>
        <v>50000</v>
      </c>
    </row>
    <row r="5" spans="1:8" x14ac:dyDescent="0.3">
      <c r="A5" s="6">
        <v>45703</v>
      </c>
      <c r="B5" t="s">
        <v>108</v>
      </c>
      <c r="C5" t="s">
        <v>1</v>
      </c>
      <c r="D5">
        <v>20</v>
      </c>
      <c r="E5">
        <f>LOOKUP(1,1/('[1]PURCHASE PRICE'!$A:$A=A5)/('[1]PURCHASE PRICE'!$B:$B=B5)/('[1]PURCHASE PRICE'!$C:$C=C5),'[1]PURCHASE PRICE'!$D:$D)</f>
        <v>9000</v>
      </c>
      <c r="F5">
        <f>LOOKUP(1,1/('[1]PURCHASE PRICE'!$A:$A=A5)/('[1]PURCHASE PRICE'!$B:$B=B5),'[1]PURCHASE PRICE'!$D:$D)</f>
        <v>9000</v>
      </c>
      <c r="G5" s="1">
        <f t="shared" si="0"/>
        <v>9000</v>
      </c>
      <c r="H5" s="1">
        <f t="shared" si="1"/>
        <v>180000</v>
      </c>
    </row>
    <row r="6" spans="1:8" x14ac:dyDescent="0.3">
      <c r="A6" s="6">
        <v>45703</v>
      </c>
      <c r="B6" t="s">
        <v>4</v>
      </c>
      <c r="C6" t="s">
        <v>77</v>
      </c>
      <c r="D6">
        <v>120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18000</v>
      </c>
      <c r="G6" s="1">
        <f>+F6*0.3</f>
        <v>5400</v>
      </c>
      <c r="H6" s="1">
        <f t="shared" si="1"/>
        <v>648000</v>
      </c>
    </row>
    <row r="7" spans="1:8" x14ac:dyDescent="0.3">
      <c r="A7" s="6">
        <v>45703</v>
      </c>
      <c r="B7" t="s">
        <v>6</v>
      </c>
      <c r="C7" t="s">
        <v>77</v>
      </c>
      <c r="D7">
        <v>100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15000*0.3</f>
        <v>4500</v>
      </c>
      <c r="H7" s="1">
        <f t="shared" si="1"/>
        <v>450000</v>
      </c>
    </row>
    <row r="8" spans="1:8" x14ac:dyDescent="0.3">
      <c r="A8" s="6">
        <v>45703</v>
      </c>
      <c r="B8" t="s">
        <v>8</v>
      </c>
      <c r="C8" t="s">
        <v>9</v>
      </c>
      <c r="D8">
        <v>20</v>
      </c>
      <c r="E8">
        <f>LOOKUP(1,1/('[1]PURCHASE PRICE'!$A:$A=A8)/('[1]PURCHASE PRICE'!$B:$B=B8)/('[1]PURCHASE PRICE'!$C:$C=C8),'[1]PURCHASE PRICE'!$D:$D)</f>
        <v>5500</v>
      </c>
      <c r="F8">
        <f>LOOKUP(1,1/('[1]PURCHASE PRICE'!$A:$A=A8)/('[1]PURCHASE PRICE'!$B:$B=B8),'[1]PURCHASE PRICE'!$D:$D)</f>
        <v>5500</v>
      </c>
      <c r="G8" s="1">
        <f t="shared" si="0"/>
        <v>5500</v>
      </c>
      <c r="H8" s="1">
        <f t="shared" si="1"/>
        <v>110000</v>
      </c>
    </row>
    <row r="9" spans="1:8" x14ac:dyDescent="0.3">
      <c r="A9" s="6">
        <v>45703</v>
      </c>
      <c r="B9" t="s">
        <v>10</v>
      </c>
      <c r="C9" t="s">
        <v>79</v>
      </c>
      <c r="D9">
        <v>40</v>
      </c>
      <c r="E9">
        <f>LOOKUP(1,1/('[1]PURCHASE PRICE'!$A:$A=A9)/('[1]PURCHASE PRICE'!$B:$B=B9)/('[1]PURCHASE PRICE'!$C:$C=C9),'[1]PURCHASE PRICE'!$D:$D)</f>
        <v>6500</v>
      </c>
      <c r="F9">
        <f>LOOKUP(1,1/('[1]PURCHASE PRICE'!$A:$A=A9)/('[1]PURCHASE PRICE'!$B:$B=B9),'[1]PURCHASE PRICE'!$D:$D)</f>
        <v>6500</v>
      </c>
      <c r="G9" s="1">
        <f t="shared" si="0"/>
        <v>6500</v>
      </c>
      <c r="H9" s="1">
        <f t="shared" si="1"/>
        <v>260000</v>
      </c>
    </row>
    <row r="10" spans="1:8" x14ac:dyDescent="0.3">
      <c r="A10" s="6">
        <v>45703</v>
      </c>
      <c r="B10" t="s">
        <v>12</v>
      </c>
      <c r="C10" t="s">
        <v>13</v>
      </c>
      <c r="D10">
        <v>60</v>
      </c>
      <c r="E10">
        <f>LOOKUP(1,1/('[1]PURCHASE PRICE'!$A:$A=A10)/('[1]PURCHASE PRICE'!$B:$B=B10)/('[1]PURCHASE PRICE'!$C:$C=C10),'[1]PURCHASE PRICE'!$D:$D)</f>
        <v>5100</v>
      </c>
      <c r="F10">
        <f>LOOKUP(1,1/('[1]PURCHASE PRICE'!$A:$A=A10)/('[1]PURCHASE PRICE'!$B:$B=B10),'[1]PURCHASE PRICE'!$D:$D)</f>
        <v>5100</v>
      </c>
      <c r="G10" s="1">
        <f t="shared" si="0"/>
        <v>5100</v>
      </c>
      <c r="H10" s="1">
        <f t="shared" si="1"/>
        <v>306000</v>
      </c>
    </row>
    <row r="11" spans="1:8" x14ac:dyDescent="0.3">
      <c r="A11" s="6">
        <v>45703</v>
      </c>
      <c r="B11" t="s">
        <v>17</v>
      </c>
      <c r="C11" t="s">
        <v>1</v>
      </c>
      <c r="D11">
        <v>40</v>
      </c>
      <c r="E11">
        <f>LOOKUP(1,1/('[1]PURCHASE PRICE'!$A:$A=A11)/('[1]PURCHASE PRICE'!$B:$B=B11)/('[1]PURCHASE PRICE'!$C:$C=C11),'[1]PURCHASE PRICE'!$D:$D)</f>
        <v>17000</v>
      </c>
      <c r="F11">
        <f>LOOKUP(1,1/('[1]PURCHASE PRICE'!$A:$A=A11)/('[1]PURCHASE PRICE'!$B:$B=B11),'[1]PURCHASE PRICE'!$D:$D)</f>
        <v>17000</v>
      </c>
      <c r="G11" s="1">
        <f t="shared" si="0"/>
        <v>17000</v>
      </c>
      <c r="H11" s="1">
        <f t="shared" si="1"/>
        <v>680000</v>
      </c>
    </row>
    <row r="12" spans="1:8" x14ac:dyDescent="0.3">
      <c r="A12" s="6">
        <v>45703</v>
      </c>
      <c r="B12" t="s">
        <v>18</v>
      </c>
      <c r="C12" t="s">
        <v>1</v>
      </c>
      <c r="D12">
        <v>30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 s="1">
        <f t="shared" si="0"/>
        <v>7000</v>
      </c>
      <c r="H12" s="1">
        <f t="shared" si="1"/>
        <v>210000</v>
      </c>
    </row>
    <row r="13" spans="1:8" x14ac:dyDescent="0.3">
      <c r="A13" s="6">
        <v>45703</v>
      </c>
      <c r="B13" t="s">
        <v>19</v>
      </c>
      <c r="C13" t="s">
        <v>9</v>
      </c>
      <c r="D13">
        <v>40</v>
      </c>
      <c r="E13">
        <f>LOOKUP(1,1/('[1]PURCHASE PRICE'!$A:$A=A13)/('[1]PURCHASE PRICE'!$B:$B=B13)/('[1]PURCHASE PRICE'!$C:$C=C13),'[1]PURCHASE PRICE'!$D:$D)</f>
        <v>5500</v>
      </c>
      <c r="F13">
        <f>LOOKUP(1,1/('[1]PURCHASE PRICE'!$A:$A=A13)/('[1]PURCHASE PRICE'!$B:$B=B13),'[1]PURCHASE PRICE'!$D:$D)</f>
        <v>5500</v>
      </c>
      <c r="G13" s="1">
        <f t="shared" si="0"/>
        <v>5500</v>
      </c>
      <c r="H13" s="1">
        <f t="shared" si="1"/>
        <v>220000</v>
      </c>
    </row>
    <row r="14" spans="1:8" x14ac:dyDescent="0.3">
      <c r="A14" s="6">
        <v>45703</v>
      </c>
      <c r="B14" t="s">
        <v>21</v>
      </c>
      <c r="C14" t="s">
        <v>22</v>
      </c>
      <c r="D14">
        <v>50</v>
      </c>
      <c r="E14">
        <f>LOOKUP(1,1/('[1]PURCHASE PRICE'!$A:$A=A14)/('[1]PURCHASE PRICE'!$B:$B=B14)/('[1]PURCHASE PRICE'!$C:$C=C14),'[1]PURCHASE PRICE'!$D:$D)</f>
        <v>3900</v>
      </c>
      <c r="F14">
        <f>LOOKUP(1,1/('[1]PURCHASE PRICE'!$A:$A=A14)/('[1]PURCHASE PRICE'!$B:$B=B14),'[1]PURCHASE PRICE'!$D:$D)</f>
        <v>3900</v>
      </c>
      <c r="G14" s="1">
        <f t="shared" si="0"/>
        <v>3900</v>
      </c>
      <c r="H14" s="1">
        <f t="shared" si="1"/>
        <v>195000</v>
      </c>
    </row>
    <row r="15" spans="1:8" x14ac:dyDescent="0.3">
      <c r="A15" s="6">
        <v>45703</v>
      </c>
      <c r="B15" t="s">
        <v>21</v>
      </c>
      <c r="C15" t="s">
        <v>23</v>
      </c>
      <c r="D15">
        <v>30</v>
      </c>
      <c r="E15">
        <f>LOOKUP(1,1/('[1]PURCHASE PRICE'!$A:$A=A15)/('[1]PURCHASE PRICE'!$B:$B=B15)/('[1]PURCHASE PRICE'!$C:$C=C15),'[1]PURCHASE PRICE'!$D:$D)</f>
        <v>1900</v>
      </c>
      <c r="F15">
        <f>LOOKUP(1,1/('[1]PURCHASE PRICE'!$A:$A=A15)/('[1]PURCHASE PRICE'!$B:$B=B15),'[1]PURCHASE PRICE'!$D:$D)</f>
        <v>3900</v>
      </c>
      <c r="G15" s="1">
        <f t="shared" si="0"/>
        <v>1900</v>
      </c>
      <c r="H15" s="1">
        <f t="shared" si="1"/>
        <v>57000</v>
      </c>
    </row>
    <row r="16" spans="1:8" x14ac:dyDescent="0.3">
      <c r="A16" s="6">
        <v>45703</v>
      </c>
      <c r="B16" t="s">
        <v>27</v>
      </c>
      <c r="C16" t="s">
        <v>9</v>
      </c>
      <c r="D16">
        <v>60</v>
      </c>
      <c r="E16">
        <f>LOOKUP(1,1/('[1]PURCHASE PRICE'!$A:$A=A16)/('[1]PURCHASE PRICE'!$B:$B=B16)/('[1]PURCHASE PRICE'!$C:$C=C16),'[1]PURCHASE PRICE'!$D:$D)</f>
        <v>7500</v>
      </c>
      <c r="F16">
        <f>LOOKUP(1,1/('[1]PURCHASE PRICE'!$A:$A=A16)/('[1]PURCHASE PRICE'!$B:$B=B16),'[1]PURCHASE PRICE'!$D:$D)</f>
        <v>7500</v>
      </c>
      <c r="G16" s="1">
        <f t="shared" si="0"/>
        <v>7500</v>
      </c>
      <c r="H16" s="1">
        <f t="shared" si="1"/>
        <v>450000</v>
      </c>
    </row>
    <row r="17" spans="1:8" x14ac:dyDescent="0.3">
      <c r="A17" s="6">
        <v>45703</v>
      </c>
      <c r="B17" t="s">
        <v>28</v>
      </c>
      <c r="C17" t="s">
        <v>15</v>
      </c>
      <c r="D17">
        <v>25</v>
      </c>
      <c r="E17">
        <f>LOOKUP(1,1/('[1]PURCHASE PRICE'!$A:$A=A17)/('[1]PURCHASE PRICE'!$B:$B=B17)/('[1]PURCHASE PRICE'!$C:$C=C17),'[1]PURCHASE PRICE'!$D:$D)</f>
        <v>10000</v>
      </c>
      <c r="F17">
        <f>LOOKUP(1,1/('[1]PURCHASE PRICE'!$A:$A=A17)/('[1]PURCHASE PRICE'!$B:$B=B17),'[1]PURCHASE PRICE'!$D:$D)</f>
        <v>10000</v>
      </c>
      <c r="G17" s="1">
        <f t="shared" si="0"/>
        <v>10000</v>
      </c>
      <c r="H17" s="1">
        <f t="shared" si="1"/>
        <v>250000</v>
      </c>
    </row>
    <row r="18" spans="1:8" x14ac:dyDescent="0.3">
      <c r="A18" s="6">
        <v>45703</v>
      </c>
      <c r="B18" t="s">
        <v>29</v>
      </c>
      <c r="C18" t="s">
        <v>1</v>
      </c>
      <c r="D18">
        <v>5</v>
      </c>
      <c r="E18">
        <f>LOOKUP(1,1/('[1]PURCHASE PRICE'!$A:$A=A18)/('[1]PURCHASE PRICE'!$B:$B=B18)/('[1]PURCHASE PRICE'!$C:$C=C18),'[1]PURCHASE PRICE'!$D:$D)</f>
        <v>4000</v>
      </c>
      <c r="F18">
        <f>LOOKUP(1,1/('[1]PURCHASE PRICE'!$A:$A=A18)/('[1]PURCHASE PRICE'!$B:$B=B18),'[1]PURCHASE PRICE'!$D:$D)</f>
        <v>4000</v>
      </c>
      <c r="G18" s="1">
        <f t="shared" si="0"/>
        <v>4000</v>
      </c>
      <c r="H18" s="1">
        <f t="shared" si="1"/>
        <v>20000</v>
      </c>
    </row>
    <row r="19" spans="1:8" x14ac:dyDescent="0.3">
      <c r="A19" s="6">
        <v>45703</v>
      </c>
      <c r="B19" t="s">
        <v>30</v>
      </c>
      <c r="C19" t="s">
        <v>1</v>
      </c>
      <c r="D19">
        <v>40</v>
      </c>
      <c r="E19">
        <f>LOOKUP(1,1/('[1]PURCHASE PRICE'!$A:$A=A19)/('[1]PURCHASE PRICE'!$B:$B=B19)/('[1]PURCHASE PRICE'!$C:$C=C19),'[1]PURCHASE PRICE'!$D:$D)</f>
        <v>8000</v>
      </c>
      <c r="F19">
        <f>LOOKUP(1,1/('[1]PURCHASE PRICE'!$A:$A=A19)/('[1]PURCHASE PRICE'!$B:$B=B19),'[1]PURCHASE PRICE'!$D:$D)</f>
        <v>8000</v>
      </c>
      <c r="G19" s="1">
        <f t="shared" si="0"/>
        <v>8000</v>
      </c>
      <c r="H19" s="1">
        <f t="shared" si="1"/>
        <v>320000</v>
      </c>
    </row>
    <row r="20" spans="1:8" x14ac:dyDescent="0.3">
      <c r="A20" s="6">
        <v>45703</v>
      </c>
      <c r="B20" t="s">
        <v>33</v>
      </c>
      <c r="C20" t="s">
        <v>1</v>
      </c>
      <c r="D20">
        <v>100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27000</v>
      </c>
      <c r="H20" s="1">
        <f t="shared" si="1"/>
        <v>2700000</v>
      </c>
    </row>
    <row r="21" spans="1:8" x14ac:dyDescent="0.3">
      <c r="A21" s="6">
        <v>45703</v>
      </c>
      <c r="B21" t="s">
        <v>34</v>
      </c>
      <c r="C21" t="s">
        <v>1</v>
      </c>
      <c r="D21">
        <v>60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 s="1">
        <f t="shared" si="0"/>
        <v>15000</v>
      </c>
      <c r="H21" s="1">
        <f t="shared" si="1"/>
        <v>900000</v>
      </c>
    </row>
    <row r="22" spans="1:8" x14ac:dyDescent="0.3">
      <c r="A22" s="6">
        <v>45703</v>
      </c>
      <c r="B22" t="s">
        <v>88</v>
      </c>
      <c r="C22" t="s">
        <v>1</v>
      </c>
      <c r="D22">
        <v>20</v>
      </c>
      <c r="E22">
        <f>LOOKUP(1,1/('[1]PURCHASE PRICE'!$A:$A=A22)/('[1]PURCHASE PRICE'!$B:$B=B22)/('[1]PURCHASE PRICE'!$C:$C=C22),'[1]PURCHASE PRICE'!$D:$D)</f>
        <v>14000</v>
      </c>
      <c r="F22">
        <f>LOOKUP(1,1/('[1]PURCHASE PRICE'!$A:$A=A22)/('[1]PURCHASE PRICE'!$B:$B=B22),'[1]PURCHASE PRICE'!$D:$D)</f>
        <v>14000</v>
      </c>
      <c r="G22" s="1">
        <f t="shared" si="0"/>
        <v>14000</v>
      </c>
      <c r="H22" s="1">
        <f t="shared" si="1"/>
        <v>280000</v>
      </c>
    </row>
    <row r="23" spans="1:8" x14ac:dyDescent="0.3">
      <c r="A23" s="6">
        <v>45703</v>
      </c>
      <c r="B23" t="s">
        <v>36</v>
      </c>
      <c r="C23" t="s">
        <v>22</v>
      </c>
      <c r="D23">
        <v>15</v>
      </c>
      <c r="E23">
        <f>LOOKUP(1,1/('[1]PURCHASE PRICE'!$A:$A=A23)/('[1]PURCHASE PRICE'!$B:$B=B23)/('[1]PURCHASE PRICE'!$C:$C=C23),'[1]PURCHASE PRICE'!$D:$D)</f>
        <v>6500</v>
      </c>
      <c r="F23">
        <f>LOOKUP(1,1/('[1]PURCHASE PRICE'!$A:$A=A23)/('[1]PURCHASE PRICE'!$B:$B=B23),'[1]PURCHASE PRICE'!$D:$D)</f>
        <v>6500</v>
      </c>
      <c r="G23" s="1">
        <f t="shared" si="0"/>
        <v>6500</v>
      </c>
      <c r="H23" s="1">
        <f t="shared" si="1"/>
        <v>97500</v>
      </c>
    </row>
    <row r="24" spans="1:8" x14ac:dyDescent="0.3">
      <c r="A24" s="6">
        <v>45703</v>
      </c>
      <c r="B24" t="s">
        <v>37</v>
      </c>
      <c r="C24" t="s">
        <v>31</v>
      </c>
      <c r="D24">
        <v>30</v>
      </c>
      <c r="E24">
        <f>LOOKUP(1,1/('[1]PURCHASE PRICE'!$A:$A=A24)/('[1]PURCHASE PRICE'!$B:$B=B24)/('[1]PURCHASE PRICE'!$C:$C=C24),'[1]PURCHASE PRICE'!$D:$D)</f>
        <v>5000</v>
      </c>
      <c r="F24">
        <f>LOOKUP(1,1/('[1]PURCHASE PRICE'!$A:$A=A24)/('[1]PURCHASE PRICE'!$B:$B=B24),'[1]PURCHASE PRICE'!$D:$D)</f>
        <v>5000</v>
      </c>
      <c r="G24" s="1">
        <f t="shared" si="0"/>
        <v>5000</v>
      </c>
      <c r="H24" s="1">
        <f t="shared" si="1"/>
        <v>150000</v>
      </c>
    </row>
    <row r="25" spans="1:8" x14ac:dyDescent="0.3">
      <c r="A25" s="6">
        <v>45703</v>
      </c>
      <c r="B25" t="s">
        <v>39</v>
      </c>
      <c r="C25" t="s">
        <v>9</v>
      </c>
      <c r="D25">
        <v>30</v>
      </c>
      <c r="E25">
        <f>LOOKUP(1,1/('[1]PURCHASE PRICE'!$A:$A=A25)/('[1]PURCHASE PRICE'!$B:$B=B25)/('[1]PURCHASE PRICE'!$C:$C=C25),'[1]PURCHASE PRICE'!$D:$D)</f>
        <v>7000</v>
      </c>
      <c r="F25">
        <f>LOOKUP(1,1/('[1]PURCHASE PRICE'!$A:$A=A25)/('[1]PURCHASE PRICE'!$B:$B=B25),'[1]PURCHASE PRICE'!$D:$D)</f>
        <v>7000</v>
      </c>
      <c r="G25" s="1">
        <f t="shared" si="0"/>
        <v>7000</v>
      </c>
      <c r="H25" s="1">
        <f t="shared" si="1"/>
        <v>210000</v>
      </c>
    </row>
    <row r="26" spans="1:8" x14ac:dyDescent="0.3">
      <c r="A26" s="6">
        <v>45703</v>
      </c>
      <c r="B26" t="s">
        <v>40</v>
      </c>
      <c r="C26" t="s">
        <v>22</v>
      </c>
      <c r="D26">
        <v>30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17000</v>
      </c>
      <c r="G26" s="1">
        <f>+F26*0.6</f>
        <v>10200</v>
      </c>
      <c r="H26" s="1">
        <f t="shared" si="1"/>
        <v>306000</v>
      </c>
    </row>
    <row r="27" spans="1:8" x14ac:dyDescent="0.3">
      <c r="A27" s="6">
        <v>45703</v>
      </c>
      <c r="B27" t="s">
        <v>81</v>
      </c>
      <c r="C27" t="s">
        <v>1</v>
      </c>
      <c r="D27">
        <v>20</v>
      </c>
      <c r="E27">
        <f>LOOKUP(1,1/('[1]PURCHASE PRICE'!$A:$A=A27)/('[1]PURCHASE PRICE'!$B:$B=B27)/('[1]PURCHASE PRICE'!$C:$C=C27),'[1]PURCHASE PRICE'!$D:$D)</f>
        <v>12000</v>
      </c>
      <c r="F27">
        <f>LOOKUP(1,1/('[1]PURCHASE PRICE'!$A:$A=A27)/('[1]PURCHASE PRICE'!$B:$B=B27),'[1]PURCHASE PRICE'!$D:$D)</f>
        <v>12000</v>
      </c>
      <c r="G27" s="1">
        <f t="shared" si="0"/>
        <v>12000</v>
      </c>
      <c r="H27" s="1">
        <f t="shared" si="1"/>
        <v>240000</v>
      </c>
    </row>
    <row r="28" spans="1:8" x14ac:dyDescent="0.3">
      <c r="A28" s="6">
        <v>45703</v>
      </c>
      <c r="B28" t="s">
        <v>41</v>
      </c>
      <c r="C28" t="s">
        <v>26</v>
      </c>
      <c r="D28">
        <v>100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10000</v>
      </c>
      <c r="G28" s="1">
        <f>11500*0.15</f>
        <v>1725</v>
      </c>
      <c r="H28" s="1">
        <f t="shared" si="1"/>
        <v>172500</v>
      </c>
    </row>
    <row r="29" spans="1:8" x14ac:dyDescent="0.3">
      <c r="A29" s="6">
        <v>45703</v>
      </c>
      <c r="B29" t="s">
        <v>42</v>
      </c>
      <c r="C29" t="s">
        <v>1</v>
      </c>
      <c r="D29">
        <v>5</v>
      </c>
      <c r="E29">
        <f>LOOKUP(1,1/('[1]PURCHASE PRICE'!$A:$A=A29)/('[1]PURCHASE PRICE'!$B:$B=B29)/('[1]PURCHASE PRICE'!$C:$C=C29),'[1]PURCHASE PRICE'!$D:$D)</f>
        <v>33000</v>
      </c>
      <c r="F29">
        <f>LOOKUP(1,1/('[1]PURCHASE PRICE'!$A:$A=A29)/('[1]PURCHASE PRICE'!$B:$B=B29),'[1]PURCHASE PRICE'!$D:$D)</f>
        <v>33000</v>
      </c>
      <c r="G29" s="1">
        <f t="shared" si="0"/>
        <v>33000</v>
      </c>
      <c r="H29" s="1">
        <f t="shared" si="1"/>
        <v>165000</v>
      </c>
    </row>
    <row r="30" spans="1:8" x14ac:dyDescent="0.3">
      <c r="A30" s="6">
        <v>45703</v>
      </c>
      <c r="B30" t="s">
        <v>43</v>
      </c>
      <c r="C30" t="s">
        <v>1</v>
      </c>
      <c r="D30">
        <v>1</v>
      </c>
      <c r="E30">
        <f>LOOKUP(1,1/('[1]PURCHASE PRICE'!$A:$A=A30)/('[1]PURCHASE PRICE'!$B:$B=B30)/('[1]PURCHASE PRICE'!$C:$C=C30),'[1]PURCHASE PRICE'!$D:$D)</f>
        <v>130000</v>
      </c>
      <c r="F30">
        <f>LOOKUP(1,1/('[1]PURCHASE PRICE'!$A:$A=A30)/('[1]PURCHASE PRICE'!$B:$B=B30),'[1]PURCHASE PRICE'!$D:$D)</f>
        <v>130000</v>
      </c>
      <c r="G30" s="1">
        <f t="shared" si="0"/>
        <v>130000</v>
      </c>
      <c r="H30" s="1">
        <f t="shared" si="1"/>
        <v>130000</v>
      </c>
    </row>
    <row r="31" spans="1:8" x14ac:dyDescent="0.3">
      <c r="A31" s="6">
        <v>45703</v>
      </c>
      <c r="B31" t="s">
        <v>44</v>
      </c>
      <c r="C31" t="s">
        <v>22</v>
      </c>
      <c r="D31">
        <v>100</v>
      </c>
      <c r="E31">
        <f>LOOKUP(1,1/('[1]PURCHASE PRICE'!$A:$A=A31)/('[1]PURCHASE PRICE'!$B:$B=B31)/('[1]PURCHASE PRICE'!$C:$C=C31),'[1]PURCHASE PRICE'!$D:$D)</f>
        <v>2700</v>
      </c>
      <c r="F31">
        <f>LOOKUP(1,1/('[1]PURCHASE PRICE'!$A:$A=A31)/('[1]PURCHASE PRICE'!$B:$B=B31),'[1]PURCHASE PRICE'!$D:$D)</f>
        <v>2700</v>
      </c>
      <c r="G31" s="1">
        <f t="shared" si="0"/>
        <v>2700</v>
      </c>
      <c r="H31" s="1">
        <f t="shared" si="1"/>
        <v>270000</v>
      </c>
    </row>
    <row r="32" spans="1:8" x14ac:dyDescent="0.3">
      <c r="A32" s="6">
        <v>45703</v>
      </c>
      <c r="B32" t="s">
        <v>45</v>
      </c>
      <c r="C32" t="s">
        <v>1</v>
      </c>
      <c r="D32">
        <v>15</v>
      </c>
      <c r="E32">
        <f>LOOKUP(1,1/('[1]PURCHASE PRICE'!$A:$A=A32)/('[1]PURCHASE PRICE'!$B:$B=B32)/('[1]PURCHASE PRICE'!$C:$C=C32),'[1]PURCHASE PRICE'!$D:$D)</f>
        <v>45000</v>
      </c>
      <c r="F32">
        <f>LOOKUP(1,1/('[1]PURCHASE PRICE'!$A:$A=A32)/('[1]PURCHASE PRICE'!$B:$B=B32),'[1]PURCHASE PRICE'!$D:$D)</f>
        <v>45000</v>
      </c>
      <c r="G32" s="1">
        <f t="shared" si="0"/>
        <v>45000</v>
      </c>
      <c r="H32" s="1">
        <f t="shared" si="1"/>
        <v>675000</v>
      </c>
    </row>
    <row r="33" spans="1:8" x14ac:dyDescent="0.3">
      <c r="A33" s="6">
        <v>45703</v>
      </c>
      <c r="B33" t="s">
        <v>53</v>
      </c>
      <c r="C33" t="s">
        <v>22</v>
      </c>
      <c r="D33">
        <v>50</v>
      </c>
      <c r="E33">
        <f>LOOKUP(1,1/('[1]PURCHASE PRICE'!$A:$A=A33)/('[1]PURCHASE PRICE'!$B:$B=B33)/('[1]PURCHASE PRICE'!$C:$C=C33),'[1]PURCHASE PRICE'!$D:$D)</f>
        <v>18000</v>
      </c>
      <c r="F33">
        <f>LOOKUP(1,1/('[1]PURCHASE PRICE'!$A:$A=A33)/('[1]PURCHASE PRICE'!$B:$B=B33),'[1]PURCHASE PRICE'!$D:$D)</f>
        <v>18000</v>
      </c>
      <c r="G33" s="1">
        <f t="shared" si="0"/>
        <v>18000</v>
      </c>
      <c r="H33" s="1">
        <f t="shared" si="1"/>
        <v>900000</v>
      </c>
    </row>
    <row r="34" spans="1:8" x14ac:dyDescent="0.3">
      <c r="A34" s="6">
        <v>45703</v>
      </c>
      <c r="B34" t="s">
        <v>56</v>
      </c>
      <c r="C34" t="s">
        <v>26</v>
      </c>
      <c r="D34">
        <v>80</v>
      </c>
      <c r="E34">
        <f>LOOKUP(1,1/('[1]PURCHASE PRICE'!$A:$A=A34)/('[1]PURCHASE PRICE'!$B:$B=B34)/('[1]PURCHASE PRICE'!$C:$C=C34),'[1]PURCHASE PRICE'!$D:$D)</f>
        <v>6800</v>
      </c>
      <c r="F34">
        <f>LOOKUP(1,1/('[1]PURCHASE PRICE'!$A:$A=A34)/('[1]PURCHASE PRICE'!$B:$B=B34),'[1]PURCHASE PRICE'!$D:$D)</f>
        <v>6800</v>
      </c>
      <c r="G34" s="1">
        <f t="shared" si="0"/>
        <v>6800</v>
      </c>
      <c r="H34" s="1">
        <f t="shared" si="1"/>
        <v>544000</v>
      </c>
    </row>
    <row r="35" spans="1:8" x14ac:dyDescent="0.3">
      <c r="A35" s="6">
        <v>45703</v>
      </c>
      <c r="B35" t="s">
        <v>96</v>
      </c>
      <c r="C35" t="s">
        <v>1</v>
      </c>
      <c r="D35">
        <v>60</v>
      </c>
      <c r="E35">
        <f>LOOKUP(1,1/('[1]PURCHASE PRICE'!$A:$A=A35)/('[1]PURCHASE PRICE'!$B:$B=B35)/('[1]PURCHASE PRICE'!$C:$C=C35),'[1]PURCHASE PRICE'!$D:$D)</f>
        <v>28000</v>
      </c>
      <c r="F35">
        <f>LOOKUP(1,1/('[1]PURCHASE PRICE'!$A:$A=A35)/('[1]PURCHASE PRICE'!$B:$B=B35),'[1]PURCHASE PRICE'!$D:$D)</f>
        <v>28000</v>
      </c>
      <c r="G35" s="1">
        <f t="shared" si="0"/>
        <v>28000</v>
      </c>
      <c r="H35" s="1">
        <f t="shared" si="1"/>
        <v>1680000</v>
      </c>
    </row>
    <row r="36" spans="1:8" x14ac:dyDescent="0.3">
      <c r="A36" s="6">
        <v>45703</v>
      </c>
      <c r="B36" t="s">
        <v>59</v>
      </c>
      <c r="C36" t="s">
        <v>1</v>
      </c>
      <c r="D36">
        <v>1</v>
      </c>
      <c r="E36">
        <f>LOOKUP(1,1/('[1]PURCHASE PRICE'!$A:$A=A36)/('[1]PURCHASE PRICE'!$B:$B=B36)/('[1]PURCHASE PRICE'!$C:$C=C36),'[1]PURCHASE PRICE'!$D:$D)</f>
        <v>70000</v>
      </c>
      <c r="F36">
        <f>LOOKUP(1,1/('[1]PURCHASE PRICE'!$A:$A=A36)/('[1]PURCHASE PRICE'!$B:$B=B36),'[1]PURCHASE PRICE'!$D:$D)</f>
        <v>70000</v>
      </c>
      <c r="G36" s="1">
        <f t="shared" si="0"/>
        <v>70000</v>
      </c>
      <c r="H36" s="1">
        <f t="shared" si="1"/>
        <v>70000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2167-2383-48E5-A553-13FBBC1B1DF5}">
  <dimension ref="A1:H63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40006500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45704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20000</v>
      </c>
      <c r="F3">
        <f>LOOKUP(1,1/('[1]PURCHASE PRICE'!$A:$A=A3)/('[1]PURCHASE PRICE'!$B:$B=B3),'[1]PURCHASE PRICE'!$D:$D)</f>
        <v>20000</v>
      </c>
      <c r="G3" s="1">
        <f>+E3</f>
        <v>20000</v>
      </c>
      <c r="H3" s="1">
        <f>+G3*D3</f>
        <v>400000</v>
      </c>
    </row>
    <row r="4" spans="1:8" x14ac:dyDescent="0.3">
      <c r="A4" s="6">
        <v>45704</v>
      </c>
      <c r="B4" t="s">
        <v>2</v>
      </c>
      <c r="C4" t="s">
        <v>1</v>
      </c>
      <c r="D4">
        <v>10</v>
      </c>
      <c r="E4">
        <f>LOOKUP(1,1/('[1]PURCHASE PRICE'!$A:$A=A4)/('[1]PURCHASE PRICE'!$B:$B=B4)/('[1]PURCHASE PRICE'!$C:$C=C4),'[1]PURCHASE PRICE'!$D:$D)</f>
        <v>5000</v>
      </c>
      <c r="F4">
        <f>LOOKUP(1,1/('[1]PURCHASE PRICE'!$A:$A=A4)/('[1]PURCHASE PRICE'!$B:$B=B4),'[1]PURCHASE PRICE'!$D:$D)</f>
        <v>5000</v>
      </c>
      <c r="G4" s="1">
        <f t="shared" ref="G4:G63" si="0">+E4</f>
        <v>5000</v>
      </c>
      <c r="H4" s="1">
        <f t="shared" ref="H4:H63" si="1">+G4*D4</f>
        <v>50000</v>
      </c>
    </row>
    <row r="5" spans="1:8" x14ac:dyDescent="0.3">
      <c r="A5" s="6">
        <v>45704</v>
      </c>
      <c r="B5" t="s">
        <v>3</v>
      </c>
      <c r="C5" t="s">
        <v>77</v>
      </c>
      <c r="D5">
        <v>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12000</v>
      </c>
      <c r="G5" s="1">
        <f>+F5*0.4</f>
        <v>4800</v>
      </c>
      <c r="H5" s="1">
        <f t="shared" si="1"/>
        <v>0</v>
      </c>
    </row>
    <row r="6" spans="1:8" x14ac:dyDescent="0.3">
      <c r="A6" s="6">
        <v>45704</v>
      </c>
      <c r="B6" t="s">
        <v>108</v>
      </c>
      <c r="C6" t="s">
        <v>1</v>
      </c>
      <c r="D6">
        <v>30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12000</v>
      </c>
      <c r="H6" s="1">
        <f t="shared" si="1"/>
        <v>360000</v>
      </c>
    </row>
    <row r="7" spans="1:8" x14ac:dyDescent="0.3">
      <c r="A7" s="6">
        <v>45704</v>
      </c>
      <c r="B7" t="s">
        <v>4</v>
      </c>
      <c r="C7" t="s">
        <v>77</v>
      </c>
      <c r="D7">
        <v>300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18000</v>
      </c>
      <c r="G7" s="1">
        <f>+F7*0.3</f>
        <v>5400</v>
      </c>
      <c r="H7" s="1">
        <f t="shared" si="1"/>
        <v>1620000</v>
      </c>
    </row>
    <row r="8" spans="1:8" x14ac:dyDescent="0.3">
      <c r="A8" s="6">
        <v>45704</v>
      </c>
      <c r="B8" t="s">
        <v>6</v>
      </c>
      <c r="C8" t="s">
        <v>77</v>
      </c>
      <c r="D8">
        <v>230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18000</v>
      </c>
      <c r="G8" s="1">
        <f>+F8*0.3</f>
        <v>5400</v>
      </c>
      <c r="H8" s="1">
        <f t="shared" si="1"/>
        <v>1242000</v>
      </c>
    </row>
    <row r="9" spans="1:8" x14ac:dyDescent="0.3">
      <c r="A9" s="6">
        <v>45704</v>
      </c>
      <c r="B9" t="s">
        <v>63</v>
      </c>
      <c r="C9" t="s">
        <v>1</v>
      </c>
      <c r="D9">
        <v>10</v>
      </c>
      <c r="E9">
        <f>LOOKUP(1,1/('[1]PURCHASE PRICE'!$A:$A=A9)/('[1]PURCHASE PRICE'!$B:$B=B9)/('[1]PURCHASE PRICE'!$C:$C=C9),'[1]PURCHASE PRICE'!$D:$D)</f>
        <v>25000</v>
      </c>
      <c r="F9">
        <f>LOOKUP(1,1/('[1]PURCHASE PRICE'!$A:$A=A9)/('[1]PURCHASE PRICE'!$B:$B=B9),'[1]PURCHASE PRICE'!$D:$D)</f>
        <v>25000</v>
      </c>
      <c r="G9" s="1">
        <f t="shared" si="0"/>
        <v>25000</v>
      </c>
      <c r="H9" s="1">
        <f t="shared" si="1"/>
        <v>250000</v>
      </c>
    </row>
    <row r="10" spans="1:8" x14ac:dyDescent="0.3">
      <c r="A10" s="6">
        <v>45704</v>
      </c>
      <c r="B10" t="s">
        <v>8</v>
      </c>
      <c r="C10" t="s">
        <v>9</v>
      </c>
      <c r="D10">
        <v>40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5500</v>
      </c>
      <c r="H10" s="1">
        <f t="shared" si="1"/>
        <v>220000</v>
      </c>
    </row>
    <row r="11" spans="1:8" x14ac:dyDescent="0.3">
      <c r="A11" s="6">
        <v>45704</v>
      </c>
      <c r="B11" t="s">
        <v>78</v>
      </c>
      <c r="C11" t="s">
        <v>1</v>
      </c>
      <c r="D11">
        <v>50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11050</v>
      </c>
      <c r="G11" s="1">
        <f t="shared" si="0"/>
        <v>12000</v>
      </c>
      <c r="H11" s="1">
        <f t="shared" si="1"/>
        <v>600000</v>
      </c>
    </row>
    <row r="12" spans="1:8" x14ac:dyDescent="0.3">
      <c r="A12" s="6">
        <v>45704</v>
      </c>
      <c r="B12" t="s">
        <v>10</v>
      </c>
      <c r="C12" t="s">
        <v>11</v>
      </c>
      <c r="D12">
        <v>30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7000</v>
      </c>
      <c r="G12" s="1">
        <f>+F12*2</f>
        <v>14000</v>
      </c>
      <c r="H12" s="1">
        <f t="shared" si="1"/>
        <v>420000</v>
      </c>
    </row>
    <row r="13" spans="1:8" x14ac:dyDescent="0.3">
      <c r="A13" s="6">
        <v>45704</v>
      </c>
      <c r="B13" t="s">
        <v>10</v>
      </c>
      <c r="C13" t="s">
        <v>79</v>
      </c>
      <c r="D13">
        <v>135</v>
      </c>
      <c r="E13">
        <f>LOOKUP(1,1/('[1]PURCHASE PRICE'!$A:$A=A13)/('[1]PURCHASE PRICE'!$B:$B=B13)/('[1]PURCHASE PRICE'!$C:$C=C13),'[1]PURCHASE PRICE'!$D:$D)</f>
        <v>7000</v>
      </c>
      <c r="F13">
        <f>LOOKUP(1,1/('[1]PURCHASE PRICE'!$A:$A=A13)/('[1]PURCHASE PRICE'!$B:$B=B13),'[1]PURCHASE PRICE'!$D:$D)</f>
        <v>7000</v>
      </c>
      <c r="G13" s="1">
        <f t="shared" si="0"/>
        <v>7000</v>
      </c>
      <c r="H13" s="1">
        <f t="shared" si="1"/>
        <v>945000</v>
      </c>
    </row>
    <row r="14" spans="1:8" x14ac:dyDescent="0.3">
      <c r="A14" s="6">
        <v>45704</v>
      </c>
      <c r="B14" t="s">
        <v>12</v>
      </c>
      <c r="C14" t="s">
        <v>13</v>
      </c>
      <c r="D14">
        <v>200</v>
      </c>
      <c r="E14">
        <f>LOOKUP(1,1/('[1]PURCHASE PRICE'!$A:$A=A14)/('[1]PURCHASE PRICE'!$B:$B=B14)/('[1]PURCHASE PRICE'!$C:$C=C14),'[1]PURCHASE PRICE'!$D:$D)</f>
        <v>5100</v>
      </c>
      <c r="F14">
        <f>LOOKUP(1,1/('[1]PURCHASE PRICE'!$A:$A=A14)/('[1]PURCHASE PRICE'!$B:$B=B14),'[1]PURCHASE PRICE'!$D:$D)</f>
        <v>5100</v>
      </c>
      <c r="G14" s="1">
        <f t="shared" si="0"/>
        <v>5100</v>
      </c>
      <c r="H14" s="1">
        <f t="shared" si="1"/>
        <v>1020000</v>
      </c>
    </row>
    <row r="15" spans="1:8" x14ac:dyDescent="0.3">
      <c r="A15" s="6">
        <v>45704</v>
      </c>
      <c r="B15" t="s">
        <v>14</v>
      </c>
      <c r="C15" t="s">
        <v>15</v>
      </c>
      <c r="D15">
        <v>35</v>
      </c>
      <c r="E15">
        <f>LOOKUP(1,1/('[1]PURCHASE PRICE'!$A:$A=A15)/('[1]PURCHASE PRICE'!$B:$B=B15)/('[1]PURCHASE PRICE'!$C:$C=C15),'[1]PURCHASE PRICE'!$D:$D)</f>
        <v>11100</v>
      </c>
      <c r="F15">
        <f>LOOKUP(1,1/('[1]PURCHASE PRICE'!$A:$A=A15)/('[1]PURCHASE PRICE'!$B:$B=B15),'[1]PURCHASE PRICE'!$D:$D)</f>
        <v>11100</v>
      </c>
      <c r="G15" s="1">
        <f t="shared" si="0"/>
        <v>11100</v>
      </c>
      <c r="H15" s="1">
        <f t="shared" si="1"/>
        <v>388500</v>
      </c>
    </row>
    <row r="16" spans="1:8" x14ac:dyDescent="0.3">
      <c r="A16" s="6">
        <v>45704</v>
      </c>
      <c r="B16" t="s">
        <v>16</v>
      </c>
      <c r="C16" t="s">
        <v>13</v>
      </c>
      <c r="D16">
        <v>170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7500</v>
      </c>
      <c r="G16" s="1">
        <f>+F16</f>
        <v>7500</v>
      </c>
      <c r="H16" s="1">
        <f t="shared" si="1"/>
        <v>1275000</v>
      </c>
    </row>
    <row r="17" spans="1:8" x14ac:dyDescent="0.3">
      <c r="A17" s="6">
        <v>45704</v>
      </c>
      <c r="B17" t="s">
        <v>17</v>
      </c>
      <c r="C17" t="s">
        <v>1</v>
      </c>
      <c r="D17">
        <v>60</v>
      </c>
      <c r="E17">
        <f>LOOKUP(1,1/('[1]PURCHASE PRICE'!$A:$A=A17)/('[1]PURCHASE PRICE'!$B:$B=B17)/('[1]PURCHASE PRICE'!$C:$C=C17),'[1]PURCHASE PRICE'!$D:$D)</f>
        <v>21000</v>
      </c>
      <c r="F17">
        <f>LOOKUP(1,1/('[1]PURCHASE PRICE'!$A:$A=A17)/('[1]PURCHASE PRICE'!$B:$B=B17),'[1]PURCHASE PRICE'!$D:$D)</f>
        <v>21000</v>
      </c>
      <c r="G17" s="1">
        <f t="shared" si="0"/>
        <v>21000</v>
      </c>
      <c r="H17" s="1">
        <f t="shared" si="1"/>
        <v>1260000</v>
      </c>
    </row>
    <row r="18" spans="1:8" x14ac:dyDescent="0.3">
      <c r="A18" s="6">
        <v>45704</v>
      </c>
      <c r="B18" t="s">
        <v>18</v>
      </c>
      <c r="C18" t="s">
        <v>1</v>
      </c>
      <c r="D18">
        <v>10</v>
      </c>
      <c r="E18">
        <f>LOOKUP(1,1/('[1]PURCHASE PRICE'!$A:$A=A18)/('[1]PURCHASE PRICE'!$B:$B=B18)/('[1]PURCHASE PRICE'!$C:$C=C18),'[1]PURCHASE PRICE'!$D:$D)</f>
        <v>6500</v>
      </c>
      <c r="F18">
        <f>LOOKUP(1,1/('[1]PURCHASE PRICE'!$A:$A=A18)/('[1]PURCHASE PRICE'!$B:$B=B18),'[1]PURCHASE PRICE'!$D:$D)</f>
        <v>6500</v>
      </c>
      <c r="G18" s="1">
        <f t="shared" si="0"/>
        <v>6500</v>
      </c>
      <c r="H18" s="1">
        <f t="shared" si="1"/>
        <v>65000</v>
      </c>
    </row>
    <row r="19" spans="1:8" x14ac:dyDescent="0.3">
      <c r="A19" s="6">
        <v>45704</v>
      </c>
      <c r="B19" t="s">
        <v>19</v>
      </c>
      <c r="C19" t="s">
        <v>9</v>
      </c>
      <c r="D19">
        <v>100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5500</v>
      </c>
      <c r="H19" s="1">
        <f t="shared" si="1"/>
        <v>550000</v>
      </c>
    </row>
    <row r="20" spans="1:8" x14ac:dyDescent="0.3">
      <c r="A20" s="6">
        <v>45704</v>
      </c>
      <c r="B20" t="s">
        <v>20</v>
      </c>
      <c r="C20" t="s">
        <v>22</v>
      </c>
      <c r="D20">
        <v>20</v>
      </c>
      <c r="E20">
        <f>LOOKUP(1,1/('[1]PURCHASE PRICE'!$A:$A=A20)/('[1]PURCHASE PRICE'!$B:$B=B20)/('[1]PURCHASE PRICE'!$C:$C=C20),'[1]PURCHASE PRICE'!$D:$D)</f>
        <v>5100</v>
      </c>
      <c r="F20">
        <f>LOOKUP(1,1/('[1]PURCHASE PRICE'!$A:$A=A20)/('[1]PURCHASE PRICE'!$B:$B=B20),'[1]PURCHASE PRICE'!$D:$D)</f>
        <v>12000</v>
      </c>
      <c r="G20" s="1">
        <f t="shared" si="0"/>
        <v>5100</v>
      </c>
      <c r="H20" s="1">
        <f t="shared" si="1"/>
        <v>102000</v>
      </c>
    </row>
    <row r="21" spans="1:8" x14ac:dyDescent="0.3">
      <c r="A21" s="6">
        <v>45704</v>
      </c>
      <c r="B21" t="s">
        <v>21</v>
      </c>
      <c r="C21" t="s">
        <v>22</v>
      </c>
      <c r="D21">
        <v>60</v>
      </c>
      <c r="E21">
        <f>LOOKUP(1,1/('[1]PURCHASE PRICE'!$A:$A=A21)/('[1]PURCHASE PRICE'!$B:$B=B21)/('[1]PURCHASE PRICE'!$C:$C=C21),'[1]PURCHASE PRICE'!$D:$D)</f>
        <v>3900</v>
      </c>
      <c r="F21">
        <f>LOOKUP(1,1/('[1]PURCHASE PRICE'!$A:$A=A21)/('[1]PURCHASE PRICE'!$B:$B=B21),'[1]PURCHASE PRICE'!$D:$D)</f>
        <v>3900</v>
      </c>
      <c r="G21" s="1">
        <f t="shared" si="0"/>
        <v>3900</v>
      </c>
      <c r="H21" s="1">
        <f t="shared" si="1"/>
        <v>234000</v>
      </c>
    </row>
    <row r="22" spans="1:8" x14ac:dyDescent="0.3">
      <c r="A22" s="6">
        <v>45704</v>
      </c>
      <c r="B22" t="s">
        <v>21</v>
      </c>
      <c r="C22" t="s">
        <v>97</v>
      </c>
      <c r="D22">
        <v>20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3900</v>
      </c>
      <c r="G22" s="1">
        <f>+F22/2</f>
        <v>1950</v>
      </c>
      <c r="H22" s="1">
        <f t="shared" si="1"/>
        <v>39000</v>
      </c>
    </row>
    <row r="23" spans="1:8" x14ac:dyDescent="0.3">
      <c r="A23" s="6">
        <v>45704</v>
      </c>
      <c r="B23" t="s">
        <v>24</v>
      </c>
      <c r="C23" t="s">
        <v>1</v>
      </c>
      <c r="D23">
        <v>5</v>
      </c>
      <c r="E23">
        <f>LOOKUP(1,1/('[1]PURCHASE PRICE'!$A:$A=A23)/('[1]PURCHASE PRICE'!$B:$B=B23)/('[1]PURCHASE PRICE'!$C:$C=C23),'[1]PURCHASE PRICE'!$D:$D)</f>
        <v>5000</v>
      </c>
      <c r="F23">
        <f>LOOKUP(1,1/('[1]PURCHASE PRICE'!$A:$A=A23)/('[1]PURCHASE PRICE'!$B:$B=B23),'[1]PURCHASE PRICE'!$D:$D)</f>
        <v>5000</v>
      </c>
      <c r="G23" s="1">
        <f t="shared" si="0"/>
        <v>5000</v>
      </c>
      <c r="H23" s="1">
        <f t="shared" si="1"/>
        <v>25000</v>
      </c>
    </row>
    <row r="24" spans="1:8" x14ac:dyDescent="0.3">
      <c r="A24" s="6">
        <v>45704</v>
      </c>
      <c r="B24" t="s">
        <v>25</v>
      </c>
      <c r="C24" t="s">
        <v>26</v>
      </c>
      <c r="D24">
        <v>100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0</v>
      </c>
      <c r="G24" s="1">
        <v>6500</v>
      </c>
      <c r="H24" s="1">
        <f t="shared" si="1"/>
        <v>650000</v>
      </c>
    </row>
    <row r="25" spans="1:8" x14ac:dyDescent="0.3">
      <c r="A25" s="6">
        <v>45704</v>
      </c>
      <c r="B25" t="s">
        <v>27</v>
      </c>
      <c r="C25" t="s">
        <v>9</v>
      </c>
      <c r="D25">
        <v>45</v>
      </c>
      <c r="E25">
        <f>LOOKUP(1,1/('[1]PURCHASE PRICE'!$A:$A=A25)/('[1]PURCHASE PRICE'!$B:$B=B25)/('[1]PURCHASE PRICE'!$C:$C=C25),'[1]PURCHASE PRICE'!$D:$D)</f>
        <v>7500</v>
      </c>
      <c r="F25">
        <f>LOOKUP(1,1/('[1]PURCHASE PRICE'!$A:$A=A25)/('[1]PURCHASE PRICE'!$B:$B=B25),'[1]PURCHASE PRICE'!$D:$D)</f>
        <v>7500</v>
      </c>
      <c r="G25" s="1">
        <f t="shared" si="0"/>
        <v>7500</v>
      </c>
      <c r="H25" s="1">
        <f t="shared" si="1"/>
        <v>337500</v>
      </c>
    </row>
    <row r="26" spans="1:8" x14ac:dyDescent="0.3">
      <c r="A26" s="6">
        <v>45704</v>
      </c>
      <c r="B26" t="s">
        <v>28</v>
      </c>
      <c r="C26" t="s">
        <v>15</v>
      </c>
      <c r="D26">
        <v>40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10000</v>
      </c>
      <c r="H26" s="1">
        <f t="shared" si="1"/>
        <v>400000</v>
      </c>
    </row>
    <row r="27" spans="1:8" x14ac:dyDescent="0.3">
      <c r="A27" s="6">
        <v>45704</v>
      </c>
      <c r="B27" t="s">
        <v>29</v>
      </c>
      <c r="C27" t="s">
        <v>1</v>
      </c>
      <c r="D27">
        <v>5</v>
      </c>
      <c r="E27">
        <f>LOOKUP(1,1/('[1]PURCHASE PRICE'!$A:$A=A27)/('[1]PURCHASE PRICE'!$B:$B=B27)/('[1]PURCHASE PRICE'!$C:$C=C27),'[1]PURCHASE PRICE'!$D:$D)</f>
        <v>4000</v>
      </c>
      <c r="F27">
        <f>LOOKUP(1,1/('[1]PURCHASE PRICE'!$A:$A=A27)/('[1]PURCHASE PRICE'!$B:$B=B27),'[1]PURCHASE PRICE'!$D:$D)</f>
        <v>4000</v>
      </c>
      <c r="G27" s="1">
        <f t="shared" si="0"/>
        <v>4000</v>
      </c>
      <c r="H27" s="1">
        <f t="shared" si="1"/>
        <v>20000</v>
      </c>
    </row>
    <row r="28" spans="1:8" x14ac:dyDescent="0.3">
      <c r="A28" s="6">
        <v>45704</v>
      </c>
      <c r="B28" t="s">
        <v>80</v>
      </c>
      <c r="C28" t="s">
        <v>1</v>
      </c>
      <c r="D28">
        <v>40</v>
      </c>
      <c r="E28">
        <f>LOOKUP(1,1/('[1]PURCHASE PRICE'!$A:$A=A28)/('[1]PURCHASE PRICE'!$B:$B=B28)/('[1]PURCHASE PRICE'!$C:$C=C28),'[1]PURCHASE PRICE'!$D:$D)</f>
        <v>9000</v>
      </c>
      <c r="F28">
        <f>LOOKUP(1,1/('[1]PURCHASE PRICE'!$A:$A=A28)/('[1]PURCHASE PRICE'!$B:$B=B28),'[1]PURCHASE PRICE'!$D:$D)</f>
        <v>9000</v>
      </c>
      <c r="G28" s="1">
        <f t="shared" si="0"/>
        <v>9000</v>
      </c>
      <c r="H28" s="1">
        <f t="shared" si="1"/>
        <v>360000</v>
      </c>
    </row>
    <row r="29" spans="1:8" x14ac:dyDescent="0.3">
      <c r="A29" s="6">
        <v>45704</v>
      </c>
      <c r="B29" t="s">
        <v>30</v>
      </c>
      <c r="C29" t="s">
        <v>11</v>
      </c>
      <c r="D29">
        <v>30</v>
      </c>
      <c r="E29">
        <f>LOOKUP(1,1/('[1]PURCHASE PRICE'!$A:$A=A29)/('[1]PURCHASE PRICE'!$B:$B=B29)/('[1]PURCHASE PRICE'!$C:$C=C29),'[1]PURCHASE PRICE'!$D:$D)</f>
        <v>8000</v>
      </c>
      <c r="F29">
        <f>LOOKUP(1,1/('[1]PURCHASE PRICE'!$A:$A=A29)/('[1]PURCHASE PRICE'!$B:$B=B29),'[1]PURCHASE PRICE'!$D:$D)</f>
        <v>8000</v>
      </c>
      <c r="G29" s="1">
        <f t="shared" si="0"/>
        <v>8000</v>
      </c>
      <c r="H29" s="1">
        <f t="shared" si="1"/>
        <v>240000</v>
      </c>
    </row>
    <row r="30" spans="1:8" x14ac:dyDescent="0.3">
      <c r="A30" s="6">
        <v>45704</v>
      </c>
      <c r="B30" t="s">
        <v>33</v>
      </c>
      <c r="C30" t="s">
        <v>1</v>
      </c>
      <c r="D30">
        <v>100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27000</v>
      </c>
      <c r="H30" s="1">
        <f t="shared" si="1"/>
        <v>2700000</v>
      </c>
    </row>
    <row r="31" spans="1:8" x14ac:dyDescent="0.3">
      <c r="A31" s="6">
        <v>45704</v>
      </c>
      <c r="B31" t="s">
        <v>34</v>
      </c>
      <c r="C31" t="s">
        <v>1</v>
      </c>
      <c r="D31">
        <v>80</v>
      </c>
      <c r="E31">
        <f>LOOKUP(1,1/('[1]PURCHASE PRICE'!$A:$A=A31)/('[1]PURCHASE PRICE'!$B:$B=B31)/('[1]PURCHASE PRICE'!$C:$C=C31),'[1]PURCHASE PRICE'!$D:$D)</f>
        <v>16000</v>
      </c>
      <c r="F31">
        <f>LOOKUP(1,1/('[1]PURCHASE PRICE'!$A:$A=A31)/('[1]PURCHASE PRICE'!$B:$B=B31),'[1]PURCHASE PRICE'!$D:$D)</f>
        <v>16000</v>
      </c>
      <c r="G31" s="1">
        <f t="shared" si="0"/>
        <v>16000</v>
      </c>
      <c r="H31" s="1">
        <f t="shared" si="1"/>
        <v>1280000</v>
      </c>
    </row>
    <row r="32" spans="1:8" x14ac:dyDescent="0.3">
      <c r="A32" s="6">
        <v>45704</v>
      </c>
      <c r="B32" t="s">
        <v>98</v>
      </c>
      <c r="C32" t="s">
        <v>1</v>
      </c>
      <c r="D32">
        <v>10</v>
      </c>
      <c r="E32">
        <f>LOOKUP(1,1/('[1]PURCHASE PRICE'!$A:$A=A32)/('[1]PURCHASE PRICE'!$B:$B=B32)/('[1]PURCHASE PRICE'!$C:$C=C32),'[1]PURCHASE PRICE'!$D:$D)</f>
        <v>27000</v>
      </c>
      <c r="F32">
        <f>LOOKUP(1,1/('[1]PURCHASE PRICE'!$A:$A=A32)/('[1]PURCHASE PRICE'!$B:$B=B32),'[1]PURCHASE PRICE'!$D:$D)</f>
        <v>27000</v>
      </c>
      <c r="G32" s="1">
        <f t="shared" si="0"/>
        <v>27000</v>
      </c>
      <c r="H32" s="1">
        <f t="shared" si="1"/>
        <v>270000</v>
      </c>
    </row>
    <row r="33" spans="1:8" x14ac:dyDescent="0.3">
      <c r="A33" s="6">
        <v>45704</v>
      </c>
      <c r="B33" t="s">
        <v>35</v>
      </c>
      <c r="C33" t="s">
        <v>11</v>
      </c>
      <c r="D33">
        <v>40</v>
      </c>
      <c r="E33">
        <f>LOOKUP(1,1/('[1]PURCHASE PRICE'!$A:$A=A33)/('[1]PURCHASE PRICE'!$B:$B=B33)/('[1]PURCHASE PRICE'!$C:$C=C33),'[1]PURCHASE PRICE'!$D:$D)</f>
        <v>12500</v>
      </c>
      <c r="F33">
        <f>LOOKUP(1,1/('[1]PURCHASE PRICE'!$A:$A=A33)/('[1]PURCHASE PRICE'!$B:$B=B33),'[1]PURCHASE PRICE'!$D:$D)</f>
        <v>12500</v>
      </c>
      <c r="G33" s="1">
        <f t="shared" si="0"/>
        <v>12500</v>
      </c>
      <c r="H33" s="1">
        <f t="shared" si="1"/>
        <v>500000</v>
      </c>
    </row>
    <row r="34" spans="1:8" x14ac:dyDescent="0.3">
      <c r="A34" s="6">
        <v>45704</v>
      </c>
      <c r="B34" t="s">
        <v>36</v>
      </c>
      <c r="C34" t="s">
        <v>22</v>
      </c>
      <c r="D34">
        <v>20</v>
      </c>
      <c r="E34">
        <f>LOOKUP(1,1/('[1]PURCHASE PRICE'!$A:$A=A34)/('[1]PURCHASE PRICE'!$B:$B=B34)/('[1]PURCHASE PRICE'!$C:$C=C34),'[1]PURCHASE PRICE'!$D:$D)</f>
        <v>6500</v>
      </c>
      <c r="F34">
        <f>LOOKUP(1,1/('[1]PURCHASE PRICE'!$A:$A=A34)/('[1]PURCHASE PRICE'!$B:$B=B34),'[1]PURCHASE PRICE'!$D:$D)</f>
        <v>6500</v>
      </c>
      <c r="G34" s="1">
        <f t="shared" si="0"/>
        <v>6500</v>
      </c>
      <c r="H34" s="1">
        <f t="shared" si="1"/>
        <v>130000</v>
      </c>
    </row>
    <row r="35" spans="1:8" x14ac:dyDescent="0.3">
      <c r="A35" s="6">
        <v>45704</v>
      </c>
      <c r="B35" t="s">
        <v>37</v>
      </c>
      <c r="C35" t="s">
        <v>31</v>
      </c>
      <c r="D35">
        <v>35</v>
      </c>
      <c r="E35">
        <f>LOOKUP(1,1/('[1]PURCHASE PRICE'!$A:$A=A35)/('[1]PURCHASE PRICE'!$B:$B=B35)/('[1]PURCHASE PRICE'!$C:$C=C35),'[1]PURCHASE PRICE'!$D:$D)</f>
        <v>5500</v>
      </c>
      <c r="F35">
        <f>LOOKUP(1,1/('[1]PURCHASE PRICE'!$A:$A=A35)/('[1]PURCHASE PRICE'!$B:$B=B35),'[1]PURCHASE PRICE'!$D:$D)</f>
        <v>5500</v>
      </c>
      <c r="G35" s="1">
        <f t="shared" si="0"/>
        <v>5500</v>
      </c>
      <c r="H35" s="1">
        <f t="shared" si="1"/>
        <v>192500</v>
      </c>
    </row>
    <row r="36" spans="1:8" x14ac:dyDescent="0.3">
      <c r="A36" s="6">
        <v>45704</v>
      </c>
      <c r="B36" t="s">
        <v>38</v>
      </c>
      <c r="C36" t="s">
        <v>11</v>
      </c>
      <c r="D36">
        <v>3</v>
      </c>
      <c r="E36">
        <f>LOOKUP(1,1/('[1]PURCHASE PRICE'!$A:$A=A36)/('[1]PURCHASE PRICE'!$B:$B=B36)/('[1]PURCHASE PRICE'!$C:$C=C36),'[1]PURCHASE PRICE'!$D:$D)</f>
        <v>80000</v>
      </c>
      <c r="F36">
        <f>LOOKUP(1,1/('[1]PURCHASE PRICE'!$A:$A=A36)/('[1]PURCHASE PRICE'!$B:$B=B36),'[1]PURCHASE PRICE'!$D:$D)</f>
        <v>80000</v>
      </c>
      <c r="G36" s="1">
        <f t="shared" si="0"/>
        <v>80000</v>
      </c>
      <c r="H36" s="1">
        <f t="shared" si="1"/>
        <v>240000</v>
      </c>
    </row>
    <row r="37" spans="1:8" x14ac:dyDescent="0.3">
      <c r="A37" s="6">
        <v>45704</v>
      </c>
      <c r="B37" t="s">
        <v>39</v>
      </c>
      <c r="C37" t="s">
        <v>9</v>
      </c>
      <c r="D37">
        <v>620</v>
      </c>
      <c r="E37">
        <f>LOOKUP(1,1/('[1]PURCHASE PRICE'!$A:$A=A37)/('[1]PURCHASE PRICE'!$B:$B=B37)/('[1]PURCHASE PRICE'!$C:$C=C37),'[1]PURCHASE PRICE'!$D:$D)</f>
        <v>7000</v>
      </c>
      <c r="F37">
        <f>LOOKUP(1,1/('[1]PURCHASE PRICE'!$A:$A=A37)/('[1]PURCHASE PRICE'!$B:$B=B37),'[1]PURCHASE PRICE'!$D:$D)</f>
        <v>7000</v>
      </c>
      <c r="G37" s="1">
        <f t="shared" si="0"/>
        <v>7000</v>
      </c>
      <c r="H37" s="1">
        <f t="shared" si="1"/>
        <v>4340000</v>
      </c>
    </row>
    <row r="38" spans="1:8" x14ac:dyDescent="0.3">
      <c r="A38" s="6">
        <v>45704</v>
      </c>
      <c r="B38" t="s">
        <v>40</v>
      </c>
      <c r="C38" t="s">
        <v>22</v>
      </c>
      <c r="D38">
        <v>40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16000</v>
      </c>
      <c r="G38" s="1">
        <f>+F38*0.6</f>
        <v>9600</v>
      </c>
      <c r="H38" s="1">
        <f t="shared" si="1"/>
        <v>384000</v>
      </c>
    </row>
    <row r="39" spans="1:8" x14ac:dyDescent="0.3">
      <c r="A39" s="6">
        <v>45704</v>
      </c>
      <c r="B39" t="s">
        <v>81</v>
      </c>
      <c r="C39" t="s">
        <v>1</v>
      </c>
      <c r="D39">
        <v>20</v>
      </c>
      <c r="E39">
        <f>LOOKUP(1,1/('[1]PURCHASE PRICE'!$A:$A=A39)/('[1]PURCHASE PRICE'!$B:$B=B39)/('[1]PURCHASE PRICE'!$C:$C=C39),'[1]PURCHASE PRICE'!$D:$D)</f>
        <v>13000</v>
      </c>
      <c r="F39">
        <f>LOOKUP(1,1/('[1]PURCHASE PRICE'!$A:$A=A39)/('[1]PURCHASE PRICE'!$B:$B=B39),'[1]PURCHASE PRICE'!$D:$D)</f>
        <v>13000</v>
      </c>
      <c r="G39" s="1">
        <f t="shared" si="0"/>
        <v>13000</v>
      </c>
      <c r="H39" s="1">
        <f t="shared" si="1"/>
        <v>260000</v>
      </c>
    </row>
    <row r="40" spans="1:8" x14ac:dyDescent="0.3">
      <c r="A40" s="6">
        <v>45704</v>
      </c>
      <c r="B40" t="s">
        <v>41</v>
      </c>
      <c r="C40" t="s">
        <v>26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11500</v>
      </c>
      <c r="G40" s="1">
        <f>+F40*0.15</f>
        <v>1725</v>
      </c>
      <c r="H40" s="1">
        <f t="shared" si="1"/>
        <v>172500</v>
      </c>
    </row>
    <row r="41" spans="1:8" x14ac:dyDescent="0.3">
      <c r="A41" s="6">
        <v>45704</v>
      </c>
      <c r="B41" t="s">
        <v>42</v>
      </c>
      <c r="C41" t="s">
        <v>11</v>
      </c>
      <c r="D41">
        <v>30</v>
      </c>
      <c r="E41">
        <f>LOOKUP(1,1/('[1]PURCHASE PRICE'!$A:$A=A41)/('[1]PURCHASE PRICE'!$B:$B=B41)/('[1]PURCHASE PRICE'!$C:$C=C41),'[1]PURCHASE PRICE'!$D:$D)</f>
        <v>33000</v>
      </c>
      <c r="F41">
        <f>LOOKUP(1,1/('[1]PURCHASE PRICE'!$A:$A=A41)/('[1]PURCHASE PRICE'!$B:$B=B41),'[1]PURCHASE PRICE'!$D:$D)</f>
        <v>33000</v>
      </c>
      <c r="G41" s="1">
        <f t="shared" si="0"/>
        <v>33000</v>
      </c>
      <c r="H41" s="1">
        <f t="shared" si="1"/>
        <v>990000</v>
      </c>
    </row>
    <row r="42" spans="1:8" x14ac:dyDescent="0.3">
      <c r="A42" s="6">
        <v>45704</v>
      </c>
      <c r="B42" t="s">
        <v>43</v>
      </c>
      <c r="C42" t="s">
        <v>11</v>
      </c>
      <c r="D42">
        <v>0.5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130000</v>
      </c>
      <c r="H42" s="1">
        <f t="shared" si="1"/>
        <v>65000</v>
      </c>
    </row>
    <row r="43" spans="1:8" x14ac:dyDescent="0.3">
      <c r="A43" s="6">
        <v>45704</v>
      </c>
      <c r="B43" t="s">
        <v>44</v>
      </c>
      <c r="C43" t="s">
        <v>22</v>
      </c>
      <c r="D43">
        <v>500</v>
      </c>
      <c r="E43">
        <f>LOOKUP(1,1/('[1]PURCHASE PRICE'!$A:$A=A43)/('[1]PURCHASE PRICE'!$B:$B=B43)/('[1]PURCHASE PRICE'!$C:$C=C43),'[1]PURCHASE PRICE'!$D:$D)</f>
        <v>2700</v>
      </c>
      <c r="F43">
        <f>LOOKUP(1,1/('[1]PURCHASE PRICE'!$A:$A=A43)/('[1]PURCHASE PRICE'!$B:$B=B43),'[1]PURCHASE PRICE'!$D:$D)</f>
        <v>2700</v>
      </c>
      <c r="G43" s="1">
        <f t="shared" si="0"/>
        <v>2700</v>
      </c>
      <c r="H43" s="1">
        <f t="shared" si="1"/>
        <v>1350000</v>
      </c>
    </row>
    <row r="44" spans="1:8" x14ac:dyDescent="0.3">
      <c r="A44" s="6">
        <v>45704</v>
      </c>
      <c r="B44" t="s">
        <v>109</v>
      </c>
      <c r="C44" t="s">
        <v>11</v>
      </c>
      <c r="D44">
        <v>0.5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90000</v>
      </c>
      <c r="H44" s="1">
        <f t="shared" si="1"/>
        <v>45000</v>
      </c>
    </row>
    <row r="45" spans="1:8" x14ac:dyDescent="0.3">
      <c r="A45" s="6">
        <v>45704</v>
      </c>
      <c r="B45" t="s">
        <v>45</v>
      </c>
      <c r="C45" t="s">
        <v>11</v>
      </c>
      <c r="D45">
        <v>15</v>
      </c>
      <c r="E45">
        <f>LOOKUP(1,1/('[1]PURCHASE PRICE'!$A:$A=A45)/('[1]PURCHASE PRICE'!$B:$B=B45)/('[1]PURCHASE PRICE'!$C:$C=C45),'[1]PURCHASE PRICE'!$D:$D)</f>
        <v>45000</v>
      </c>
      <c r="F45">
        <f>LOOKUP(1,1/('[1]PURCHASE PRICE'!$A:$A=A45)/('[1]PURCHASE PRICE'!$B:$B=B45),'[1]PURCHASE PRICE'!$D:$D)</f>
        <v>45000</v>
      </c>
      <c r="G45" s="1">
        <f t="shared" si="0"/>
        <v>45000</v>
      </c>
      <c r="H45" s="1">
        <f t="shared" si="1"/>
        <v>675000</v>
      </c>
    </row>
    <row r="46" spans="1:8" x14ac:dyDescent="0.3">
      <c r="A46" s="6">
        <v>45704</v>
      </c>
      <c r="B46" t="s">
        <v>46</v>
      </c>
      <c r="C46" t="s">
        <v>9</v>
      </c>
      <c r="D46">
        <v>0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0</v>
      </c>
      <c r="H46" s="1">
        <f t="shared" si="1"/>
        <v>0</v>
      </c>
    </row>
    <row r="47" spans="1:8" x14ac:dyDescent="0.3">
      <c r="A47" s="6">
        <v>45704</v>
      </c>
      <c r="B47" t="s">
        <v>47</v>
      </c>
      <c r="C47" t="s">
        <v>11</v>
      </c>
      <c r="D47">
        <v>10</v>
      </c>
      <c r="E47">
        <f>LOOKUP(1,1/('[1]PURCHASE PRICE'!$A:$A=A47)/('[1]PURCHASE PRICE'!$B:$B=B47)/('[1]PURCHASE PRICE'!$C:$C=C47),'[1]PURCHASE PRICE'!$D:$D)</f>
        <v>42000</v>
      </c>
      <c r="F47">
        <f>LOOKUP(1,1/('[1]PURCHASE PRICE'!$A:$A=A47)/('[1]PURCHASE PRICE'!$B:$B=B47),'[1]PURCHASE PRICE'!$D:$D)</f>
        <v>42000</v>
      </c>
      <c r="G47" s="1">
        <f t="shared" si="0"/>
        <v>42000</v>
      </c>
      <c r="H47" s="1">
        <f t="shared" si="1"/>
        <v>420000</v>
      </c>
    </row>
    <row r="48" spans="1:8" x14ac:dyDescent="0.3">
      <c r="A48" s="6">
        <v>45704</v>
      </c>
      <c r="B48" t="s">
        <v>48</v>
      </c>
      <c r="C48" t="s">
        <v>77</v>
      </c>
      <c r="D48">
        <v>250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36000</v>
      </c>
      <c r="G48" s="1">
        <f>+F48*0.25</f>
        <v>9000</v>
      </c>
      <c r="H48" s="1">
        <f t="shared" si="1"/>
        <v>2250000</v>
      </c>
    </row>
    <row r="49" spans="1:8" x14ac:dyDescent="0.3">
      <c r="A49" s="6">
        <v>45704</v>
      </c>
      <c r="B49" t="s">
        <v>49</v>
      </c>
      <c r="C49" t="s">
        <v>11</v>
      </c>
      <c r="D49">
        <v>10</v>
      </c>
      <c r="E49">
        <f>LOOKUP(1,1/('[1]PURCHASE PRICE'!$A:$A=A49)/('[1]PURCHASE PRICE'!$B:$B=B49)/('[1]PURCHASE PRICE'!$C:$C=C49),'[1]PURCHASE PRICE'!$D:$D)</f>
        <v>55000</v>
      </c>
      <c r="F49">
        <f>LOOKUP(1,1/('[1]PURCHASE PRICE'!$A:$A=A49)/('[1]PURCHASE PRICE'!$B:$B=B49),'[1]PURCHASE PRICE'!$D:$D)</f>
        <v>55000</v>
      </c>
      <c r="G49" s="1">
        <f t="shared" si="0"/>
        <v>55000</v>
      </c>
      <c r="H49" s="1">
        <f t="shared" si="1"/>
        <v>550000</v>
      </c>
    </row>
    <row r="50" spans="1:8" x14ac:dyDescent="0.3">
      <c r="A50" s="6">
        <v>45704</v>
      </c>
      <c r="B50" t="s">
        <v>50</v>
      </c>
      <c r="C50" t="s">
        <v>77</v>
      </c>
      <c r="D50">
        <v>150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46000</v>
      </c>
      <c r="G50" s="1">
        <f>+F50*0.25</f>
        <v>11500</v>
      </c>
      <c r="H50" s="1">
        <f t="shared" si="1"/>
        <v>1725000</v>
      </c>
    </row>
    <row r="51" spans="1:8" x14ac:dyDescent="0.3">
      <c r="A51" s="6">
        <v>45704</v>
      </c>
      <c r="B51" t="s">
        <v>52</v>
      </c>
      <c r="C51" t="s">
        <v>77</v>
      </c>
      <c r="D51">
        <v>100</v>
      </c>
      <c r="E51" t="e">
        <f>LOOKUP(1,1/('[1]PURCHASE PRICE'!$A:$A=A51)/('[1]PURCHASE PRICE'!$B:$B=B51)/('[1]PURCHASE PRICE'!$C:$C=C51),'[1]PURCHASE PRICE'!$D:$D)</f>
        <v>#N/A</v>
      </c>
      <c r="F51">
        <f>LOOKUP(1,1/('[1]PURCHASE PRICE'!$A:$A=A51)/('[1]PURCHASE PRICE'!$B:$B=B51),'[1]PURCHASE PRICE'!$D:$D)</f>
        <v>28000</v>
      </c>
      <c r="G51" s="1">
        <f>+F51*0.25</f>
        <v>7000</v>
      </c>
      <c r="H51" s="1">
        <f t="shared" si="1"/>
        <v>700000</v>
      </c>
    </row>
    <row r="52" spans="1:8" x14ac:dyDescent="0.3">
      <c r="A52" s="6">
        <v>45704</v>
      </c>
      <c r="B52" t="s">
        <v>53</v>
      </c>
      <c r="C52" t="s">
        <v>22</v>
      </c>
      <c r="D52">
        <v>175</v>
      </c>
      <c r="E52">
        <f>LOOKUP(1,1/('[1]PURCHASE PRICE'!$A:$A=A52)/('[1]PURCHASE PRICE'!$B:$B=B52)/('[1]PURCHASE PRICE'!$C:$C=C52),'[1]PURCHASE PRICE'!$D:$D)</f>
        <v>17500</v>
      </c>
      <c r="F52">
        <f>LOOKUP(1,1/('[1]PURCHASE PRICE'!$A:$A=A52)/('[1]PURCHASE PRICE'!$B:$B=B52),'[1]PURCHASE PRICE'!$D:$D)</f>
        <v>17500</v>
      </c>
      <c r="G52" s="1">
        <f t="shared" si="0"/>
        <v>17500</v>
      </c>
      <c r="H52" s="1">
        <f t="shared" si="1"/>
        <v>3062500</v>
      </c>
    </row>
    <row r="53" spans="1:8" x14ac:dyDescent="0.3">
      <c r="A53" s="6">
        <v>45704</v>
      </c>
      <c r="B53" t="s">
        <v>54</v>
      </c>
      <c r="C53" t="s">
        <v>11</v>
      </c>
      <c r="D53">
        <v>5</v>
      </c>
      <c r="E53">
        <f>LOOKUP(1,1/('[1]PURCHASE PRICE'!$A:$A=A53)/('[1]PURCHASE PRICE'!$B:$B=B53)/('[1]PURCHASE PRICE'!$C:$C=C53),'[1]PURCHASE PRICE'!$D:$D)</f>
        <v>5000</v>
      </c>
      <c r="F53">
        <f>LOOKUP(1,1/('[1]PURCHASE PRICE'!$A:$A=A53)/('[1]PURCHASE PRICE'!$B:$B=B53),'[1]PURCHASE PRICE'!$D:$D)</f>
        <v>5000</v>
      </c>
      <c r="G53" s="1">
        <f t="shared" si="0"/>
        <v>5000</v>
      </c>
      <c r="H53" s="1">
        <f t="shared" si="1"/>
        <v>25000</v>
      </c>
    </row>
    <row r="54" spans="1:8" x14ac:dyDescent="0.3">
      <c r="A54" s="6">
        <v>45704</v>
      </c>
      <c r="B54" t="s">
        <v>83</v>
      </c>
      <c r="C54" t="s">
        <v>11</v>
      </c>
      <c r="D54">
        <v>5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 s="1">
        <v>20000</v>
      </c>
      <c r="H54" s="1">
        <f t="shared" si="1"/>
        <v>100000</v>
      </c>
    </row>
    <row r="55" spans="1:8" x14ac:dyDescent="0.3">
      <c r="A55" s="6">
        <v>45704</v>
      </c>
      <c r="B55" t="s">
        <v>55</v>
      </c>
      <c r="C55" t="s">
        <v>1</v>
      </c>
      <c r="D55">
        <v>100</v>
      </c>
      <c r="E55">
        <f>LOOKUP(1,1/('[1]PURCHASE PRICE'!$A:$A=A55)/('[1]PURCHASE PRICE'!$B:$B=B55)/('[1]PURCHASE PRICE'!$C:$C=C55),'[1]PURCHASE PRICE'!$D:$D)</f>
        <v>13000</v>
      </c>
      <c r="F55">
        <f>LOOKUP(1,1/('[1]PURCHASE PRICE'!$A:$A=A55)/('[1]PURCHASE PRICE'!$B:$B=B55),'[1]PURCHASE PRICE'!$D:$D)</f>
        <v>13000</v>
      </c>
      <c r="G55" s="1">
        <f t="shared" si="0"/>
        <v>13000</v>
      </c>
      <c r="H55" s="1">
        <f t="shared" si="1"/>
        <v>1300000</v>
      </c>
    </row>
    <row r="56" spans="1:8" x14ac:dyDescent="0.3">
      <c r="A56" s="6">
        <v>45704</v>
      </c>
      <c r="B56" t="s">
        <v>99</v>
      </c>
      <c r="C56" t="s">
        <v>1</v>
      </c>
      <c r="D56">
        <v>10</v>
      </c>
      <c r="E56">
        <f>LOOKUP(1,1/('[1]PURCHASE PRICE'!$A:$A=A56)/('[1]PURCHASE PRICE'!$B:$B=B56)/('[1]PURCHASE PRICE'!$C:$C=C56),'[1]PURCHASE PRICE'!$D:$D)</f>
        <v>28000</v>
      </c>
      <c r="F56">
        <f>LOOKUP(1,1/('[1]PURCHASE PRICE'!$A:$A=A56)/('[1]PURCHASE PRICE'!$B:$B=B56),'[1]PURCHASE PRICE'!$D:$D)</f>
        <v>28000</v>
      </c>
      <c r="G56" s="1">
        <f t="shared" si="0"/>
        <v>28000</v>
      </c>
      <c r="H56" s="1">
        <f t="shared" si="1"/>
        <v>280000</v>
      </c>
    </row>
    <row r="57" spans="1:8" x14ac:dyDescent="0.3">
      <c r="A57" s="6">
        <v>45704</v>
      </c>
      <c r="B57" t="s">
        <v>56</v>
      </c>
      <c r="C57" t="s">
        <v>26</v>
      </c>
      <c r="D57">
        <v>100</v>
      </c>
      <c r="E57">
        <f>LOOKUP(1,1/('[1]PURCHASE PRICE'!$A:$A=A57)/('[1]PURCHASE PRICE'!$B:$B=B57)/('[1]PURCHASE PRICE'!$C:$C=C57),'[1]PURCHASE PRICE'!$D:$D)</f>
        <v>6800</v>
      </c>
      <c r="F57">
        <f>LOOKUP(1,1/('[1]PURCHASE PRICE'!$A:$A=A57)/('[1]PURCHASE PRICE'!$B:$B=B57),'[1]PURCHASE PRICE'!$D:$D)</f>
        <v>6800</v>
      </c>
      <c r="G57" s="1">
        <f t="shared" si="0"/>
        <v>6800</v>
      </c>
      <c r="H57" s="1">
        <f t="shared" si="1"/>
        <v>680000</v>
      </c>
    </row>
    <row r="58" spans="1:8" x14ac:dyDescent="0.3">
      <c r="A58" s="6">
        <v>45704</v>
      </c>
      <c r="B58" t="s">
        <v>75</v>
      </c>
      <c r="C58" t="s">
        <v>1</v>
      </c>
      <c r="D58">
        <v>60</v>
      </c>
      <c r="E58">
        <f>LOOKUP(1,1/('[1]PURCHASE PRICE'!$A:$A=A58)/('[1]PURCHASE PRICE'!$B:$B=B58)/('[1]PURCHASE PRICE'!$C:$C=C58),'[1]PURCHASE PRICE'!$D:$D)</f>
        <v>28000</v>
      </c>
      <c r="F58">
        <f>LOOKUP(1,1/('[1]PURCHASE PRICE'!$A:$A=A58)/('[1]PURCHASE PRICE'!$B:$B=B58),'[1]PURCHASE PRICE'!$D:$D)</f>
        <v>28000</v>
      </c>
      <c r="G58" s="1">
        <f t="shared" si="0"/>
        <v>28000</v>
      </c>
      <c r="H58" s="1">
        <f t="shared" si="1"/>
        <v>1680000</v>
      </c>
    </row>
    <row r="59" spans="1:8" x14ac:dyDescent="0.3">
      <c r="A59" s="6">
        <v>45704</v>
      </c>
      <c r="B59" t="s">
        <v>57</v>
      </c>
      <c r="C59" t="s">
        <v>26</v>
      </c>
      <c r="D59">
        <v>10</v>
      </c>
      <c r="E59">
        <f>LOOKUP(1,1/('[1]PURCHASE PRICE'!$A:$A=A59)/('[1]PURCHASE PRICE'!$B:$B=B59)/('[1]PURCHASE PRICE'!$C:$C=C59),'[1]PURCHASE PRICE'!$D:$D)</f>
        <v>6800</v>
      </c>
      <c r="F59">
        <f>LOOKUP(1,1/('[1]PURCHASE PRICE'!$A:$A=A59)/('[1]PURCHASE PRICE'!$B:$B=B59),'[1]PURCHASE PRICE'!$D:$D)</f>
        <v>6800</v>
      </c>
      <c r="G59" s="1">
        <f t="shared" si="0"/>
        <v>6800</v>
      </c>
      <c r="H59" s="1">
        <f t="shared" si="1"/>
        <v>68000</v>
      </c>
    </row>
    <row r="60" spans="1:8" x14ac:dyDescent="0.3">
      <c r="A60" s="6">
        <v>45704</v>
      </c>
      <c r="B60" t="s">
        <v>58</v>
      </c>
      <c r="C60" t="s">
        <v>1</v>
      </c>
      <c r="D60">
        <v>20</v>
      </c>
      <c r="E60">
        <f>LOOKUP(1,1/('[1]PURCHASE PRICE'!$A:$A=A60)/('[1]PURCHASE PRICE'!$B:$B=B60)/('[1]PURCHASE PRICE'!$C:$C=C60),'[1]PURCHASE PRICE'!$D:$D)</f>
        <v>16000</v>
      </c>
      <c r="F60">
        <f>LOOKUP(1,1/('[1]PURCHASE PRICE'!$A:$A=A60)/('[1]PURCHASE PRICE'!$B:$B=B60),'[1]PURCHASE PRICE'!$D:$D)</f>
        <v>16000</v>
      </c>
      <c r="G60" s="1">
        <f t="shared" si="0"/>
        <v>16000</v>
      </c>
      <c r="H60" s="1">
        <f t="shared" si="1"/>
        <v>320000</v>
      </c>
    </row>
    <row r="61" spans="1:8" x14ac:dyDescent="0.3">
      <c r="A61" s="6">
        <v>45704</v>
      </c>
      <c r="B61" t="s">
        <v>59</v>
      </c>
      <c r="C61" t="s">
        <v>11</v>
      </c>
      <c r="D61">
        <v>1</v>
      </c>
      <c r="E61" t="e">
        <f>LOOKUP(1,1/('[1]PURCHASE PRICE'!$A:$A=A61)/('[1]PURCHASE PRICE'!$B:$B=B61)/('[1]PURCHASE PRICE'!$C:$C=C61),'[1]PURCHASE PRICE'!$D:$D)</f>
        <v>#N/A</v>
      </c>
      <c r="F61" t="e">
        <f>LOOKUP(1,1/('[1]PURCHASE PRICE'!$A:$A=A61)/('[1]PURCHASE PRICE'!$B:$B=B61),'[1]PURCHASE PRICE'!$D:$D)</f>
        <v>#N/A</v>
      </c>
      <c r="G61" s="1">
        <v>70000</v>
      </c>
      <c r="H61" s="1">
        <f t="shared" si="1"/>
        <v>70000</v>
      </c>
    </row>
    <row r="62" spans="1:8" x14ac:dyDescent="0.3">
      <c r="A62" s="6">
        <v>45704</v>
      </c>
      <c r="B62" t="s">
        <v>60</v>
      </c>
      <c r="C62" t="s">
        <v>11</v>
      </c>
      <c r="D62">
        <v>5</v>
      </c>
      <c r="E62" t="e">
        <f>LOOKUP(1,1/('[1]PURCHASE PRICE'!$A:$A=A62)/('[1]PURCHASE PRICE'!$B:$B=B62)/('[1]PURCHASE PRICE'!$C:$C=C62),'[1]PURCHASE PRICE'!$D:$D)</f>
        <v>#N/A</v>
      </c>
      <c r="F62" t="e">
        <f>LOOKUP(1,1/('[1]PURCHASE PRICE'!$A:$A=A62)/('[1]PURCHASE PRICE'!$B:$B=B62),'[1]PURCHASE PRICE'!$D:$D)</f>
        <v>#N/A</v>
      </c>
      <c r="G62" s="1">
        <v>15000</v>
      </c>
      <c r="H62" s="1">
        <f t="shared" si="1"/>
        <v>75000</v>
      </c>
    </row>
    <row r="63" spans="1:8" x14ac:dyDescent="0.3">
      <c r="A63" s="6">
        <v>45704</v>
      </c>
      <c r="B63" t="s">
        <v>61</v>
      </c>
      <c r="C63" t="s">
        <v>26</v>
      </c>
      <c r="D63">
        <v>5</v>
      </c>
      <c r="E63">
        <f>LOOKUP(1,1/('[1]PURCHASE PRICE'!$A:$A=A63)/('[1]PURCHASE PRICE'!$B:$B=B63)/('[1]PURCHASE PRICE'!$C:$C=C63),'[1]PURCHASE PRICE'!$D:$D)</f>
        <v>6800</v>
      </c>
      <c r="F63">
        <f>LOOKUP(1,1/('[1]PURCHASE PRICE'!$A:$A=A63)/('[1]PURCHASE PRICE'!$B:$B=B63),'[1]PURCHASE PRICE'!$D:$D)</f>
        <v>6800</v>
      </c>
      <c r="G63" s="1">
        <f t="shared" si="0"/>
        <v>6800</v>
      </c>
      <c r="H63" s="1">
        <f t="shared" si="1"/>
        <v>34000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4AA9-B2AA-444D-99CD-6EF66878203B}">
  <dimension ref="A1:H52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29915500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45705</v>
      </c>
      <c r="B3" t="s">
        <v>4</v>
      </c>
      <c r="C3" t="s">
        <v>77</v>
      </c>
      <c r="D3">
        <v>200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9000</v>
      </c>
      <c r="G3" s="1">
        <f>16000*0.3</f>
        <v>4800</v>
      </c>
      <c r="H3" s="1">
        <f>+G3*D3</f>
        <v>960000</v>
      </c>
    </row>
    <row r="4" spans="1:8" x14ac:dyDescent="0.3">
      <c r="A4" s="6">
        <v>45705</v>
      </c>
      <c r="B4" t="s">
        <v>48</v>
      </c>
      <c r="C4" t="s">
        <v>77</v>
      </c>
      <c r="D4">
        <v>120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32000</v>
      </c>
      <c r="G4" s="1">
        <f>+F4*0.25</f>
        <v>8000</v>
      </c>
      <c r="H4" s="1">
        <f t="shared" ref="H4:H52" si="0">+G4*D4</f>
        <v>960000</v>
      </c>
    </row>
    <row r="5" spans="1:8" x14ac:dyDescent="0.3">
      <c r="A5" s="6">
        <v>45705</v>
      </c>
      <c r="B5" t="s">
        <v>50</v>
      </c>
      <c r="C5" t="s">
        <v>77</v>
      </c>
      <c r="D5">
        <v>60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42000</v>
      </c>
      <c r="G5" s="1">
        <f>+F5*0.25</f>
        <v>10500</v>
      </c>
      <c r="H5" s="1">
        <f t="shared" si="0"/>
        <v>630000</v>
      </c>
    </row>
    <row r="6" spans="1:8" x14ac:dyDescent="0.3">
      <c r="A6" s="6">
        <v>45705</v>
      </c>
      <c r="B6" t="s">
        <v>18</v>
      </c>
      <c r="C6" t="s">
        <v>1</v>
      </c>
      <c r="D6">
        <v>20</v>
      </c>
      <c r="E6">
        <f>LOOKUP(1,1/('[1]PURCHASE PRICE'!$A:$A=A6)/('[1]PURCHASE PRICE'!$B:$B=B6)/('[1]PURCHASE PRICE'!$C:$C=C6),'[1]PURCHASE PRICE'!$D:$D)</f>
        <v>6500</v>
      </c>
      <c r="F6">
        <f>LOOKUP(1,1/('[1]PURCHASE PRICE'!$A:$A=A6)/('[1]PURCHASE PRICE'!$B:$B=B6),'[1]PURCHASE PRICE'!$D:$D)</f>
        <v>6500</v>
      </c>
      <c r="G6" s="1">
        <f t="shared" ref="G6:G52" si="1">+E6</f>
        <v>6500</v>
      </c>
      <c r="H6" s="1">
        <f t="shared" si="0"/>
        <v>130000</v>
      </c>
    </row>
    <row r="7" spans="1:8" x14ac:dyDescent="0.3">
      <c r="A7" s="6">
        <v>45705</v>
      </c>
      <c r="B7" t="s">
        <v>80</v>
      </c>
      <c r="C7" t="s">
        <v>1</v>
      </c>
      <c r="D7">
        <v>20</v>
      </c>
      <c r="E7">
        <f>LOOKUP(1,1/('[1]PURCHASE PRICE'!$A:$A=A7)/('[1]PURCHASE PRICE'!$B:$B=B7)/('[1]PURCHASE PRICE'!$C:$C=C7),'[1]PURCHASE PRICE'!$D:$D)</f>
        <v>9000</v>
      </c>
      <c r="F7">
        <f>LOOKUP(1,1/('[1]PURCHASE PRICE'!$A:$A=A7)/('[1]PURCHASE PRICE'!$B:$B=B7),'[1]PURCHASE PRICE'!$D:$D)</f>
        <v>9000</v>
      </c>
      <c r="G7" s="1">
        <f t="shared" si="1"/>
        <v>9000</v>
      </c>
      <c r="H7" s="1">
        <f t="shared" si="0"/>
        <v>180000</v>
      </c>
    </row>
    <row r="8" spans="1:8" x14ac:dyDescent="0.3">
      <c r="A8" s="6">
        <v>45705</v>
      </c>
      <c r="B8" t="s">
        <v>33</v>
      </c>
      <c r="C8" t="s">
        <v>1</v>
      </c>
      <c r="D8">
        <v>100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27000</v>
      </c>
      <c r="H8" s="1">
        <f t="shared" si="0"/>
        <v>2700000</v>
      </c>
    </row>
    <row r="9" spans="1:8" x14ac:dyDescent="0.3">
      <c r="A9" s="6">
        <v>45705</v>
      </c>
      <c r="B9" t="s">
        <v>34</v>
      </c>
      <c r="C9" t="s">
        <v>1</v>
      </c>
      <c r="D9">
        <v>40</v>
      </c>
      <c r="E9">
        <f>LOOKUP(1,1/('[1]PURCHASE PRICE'!$A:$A=A9)/('[1]PURCHASE PRICE'!$B:$B=B9)/('[1]PURCHASE PRICE'!$C:$C=C9),'[1]PURCHASE PRICE'!$D:$D)</f>
        <v>16000</v>
      </c>
      <c r="F9">
        <f>LOOKUP(1,1/('[1]PURCHASE PRICE'!$A:$A=A9)/('[1]PURCHASE PRICE'!$B:$B=B9),'[1]PURCHASE PRICE'!$D:$D)</f>
        <v>16000</v>
      </c>
      <c r="G9" s="1">
        <f t="shared" si="1"/>
        <v>16000</v>
      </c>
      <c r="H9" s="1">
        <f t="shared" si="0"/>
        <v>640000</v>
      </c>
    </row>
    <row r="10" spans="1:8" x14ac:dyDescent="0.3">
      <c r="A10" s="6">
        <v>45705</v>
      </c>
      <c r="B10" t="s">
        <v>8</v>
      </c>
      <c r="C10" t="s">
        <v>9</v>
      </c>
      <c r="D10">
        <v>65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1"/>
        <v>6000</v>
      </c>
      <c r="H10" s="1">
        <f t="shared" si="0"/>
        <v>390000</v>
      </c>
    </row>
    <row r="11" spans="1:8" x14ac:dyDescent="0.3">
      <c r="A11" s="6">
        <v>45705</v>
      </c>
      <c r="B11" t="s">
        <v>0</v>
      </c>
      <c r="C11" t="s">
        <v>1</v>
      </c>
      <c r="D11">
        <v>20</v>
      </c>
      <c r="E11">
        <f>LOOKUP(1,1/('[1]PURCHASE PRICE'!$A:$A=A11)/('[1]PURCHASE PRICE'!$B:$B=B11)/('[1]PURCHASE PRICE'!$C:$C=C11),'[1]PURCHASE PRICE'!$D:$D)</f>
        <v>16000</v>
      </c>
      <c r="F11">
        <f>LOOKUP(1,1/('[1]PURCHASE PRICE'!$A:$A=A11)/('[1]PURCHASE PRICE'!$B:$B=B11),'[1]PURCHASE PRICE'!$D:$D)</f>
        <v>16000</v>
      </c>
      <c r="G11" s="1">
        <f t="shared" si="1"/>
        <v>16000</v>
      </c>
      <c r="H11" s="1">
        <f t="shared" si="0"/>
        <v>320000</v>
      </c>
    </row>
    <row r="12" spans="1:8" x14ac:dyDescent="0.3">
      <c r="A12" s="6">
        <v>45705</v>
      </c>
      <c r="B12" t="s">
        <v>20</v>
      </c>
      <c r="C12" t="s">
        <v>1</v>
      </c>
      <c r="D12">
        <v>20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">
        <f t="shared" si="1"/>
        <v>12000</v>
      </c>
      <c r="H12" s="1">
        <f t="shared" si="0"/>
        <v>240000</v>
      </c>
    </row>
    <row r="13" spans="1:8" x14ac:dyDescent="0.3">
      <c r="A13" s="6">
        <v>45705</v>
      </c>
      <c r="B13" t="s">
        <v>21</v>
      </c>
      <c r="C13" t="s">
        <v>22</v>
      </c>
      <c r="D13">
        <v>120</v>
      </c>
      <c r="E13">
        <f>LOOKUP(1,1/('[1]PURCHASE PRICE'!$A:$A=A13)/('[1]PURCHASE PRICE'!$B:$B=B13)/('[1]PURCHASE PRICE'!$C:$C=C13),'[1]PURCHASE PRICE'!$D:$D)</f>
        <v>3900</v>
      </c>
      <c r="F13">
        <f>LOOKUP(1,1/('[1]PURCHASE PRICE'!$A:$A=A13)/('[1]PURCHASE PRICE'!$B:$B=B13),'[1]PURCHASE PRICE'!$D:$D)</f>
        <v>3900</v>
      </c>
      <c r="G13" s="1">
        <f t="shared" si="1"/>
        <v>3900</v>
      </c>
      <c r="H13" s="1">
        <f t="shared" si="0"/>
        <v>468000</v>
      </c>
    </row>
    <row r="14" spans="1:8" x14ac:dyDescent="0.3">
      <c r="A14" s="6">
        <v>45705</v>
      </c>
      <c r="B14" t="s">
        <v>21</v>
      </c>
      <c r="C14" t="s">
        <v>97</v>
      </c>
      <c r="D14">
        <v>30</v>
      </c>
      <c r="E14">
        <f>LOOKUP(1,1/('[1]PURCHASE PRICE'!$A:$A=A14)/('[1]PURCHASE PRICE'!$B:$B=B14)/('[1]PURCHASE PRICE'!$C:$C=C14),'[1]PURCHASE PRICE'!$D:$D)</f>
        <v>1900</v>
      </c>
      <c r="F14">
        <f>LOOKUP(1,1/('[1]PURCHASE PRICE'!$A:$A=A14)/('[1]PURCHASE PRICE'!$B:$B=B14),'[1]PURCHASE PRICE'!$D:$D)</f>
        <v>3900</v>
      </c>
      <c r="G14" s="1">
        <f t="shared" si="1"/>
        <v>1900</v>
      </c>
      <c r="H14" s="1">
        <f t="shared" si="0"/>
        <v>57000</v>
      </c>
    </row>
    <row r="15" spans="1:8" x14ac:dyDescent="0.3">
      <c r="A15" s="6">
        <v>45705</v>
      </c>
      <c r="B15" t="s">
        <v>41</v>
      </c>
      <c r="C15" t="s">
        <v>26</v>
      </c>
      <c r="D15">
        <v>40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10000</v>
      </c>
      <c r="G15" s="1">
        <f>11500*0.15</f>
        <v>1725</v>
      </c>
      <c r="H15" s="1">
        <f t="shared" si="0"/>
        <v>69000</v>
      </c>
    </row>
    <row r="16" spans="1:8" x14ac:dyDescent="0.3">
      <c r="A16" s="6">
        <v>45705</v>
      </c>
      <c r="B16" t="s">
        <v>42</v>
      </c>
      <c r="C16" t="s">
        <v>1</v>
      </c>
      <c r="D16">
        <v>15</v>
      </c>
      <c r="E16">
        <f>LOOKUP(1,1/('[1]PURCHASE PRICE'!$A:$A=A16)/('[1]PURCHASE PRICE'!$B:$B=B16)/('[1]PURCHASE PRICE'!$C:$C=C16),'[1]PURCHASE PRICE'!$D:$D)</f>
        <v>25000</v>
      </c>
      <c r="F16">
        <f>LOOKUP(1,1/('[1]PURCHASE PRICE'!$A:$A=A16)/('[1]PURCHASE PRICE'!$B:$B=B16),'[1]PURCHASE PRICE'!$D:$D)</f>
        <v>25000</v>
      </c>
      <c r="G16" s="1">
        <f t="shared" si="1"/>
        <v>25000</v>
      </c>
      <c r="H16" s="1">
        <f t="shared" si="0"/>
        <v>375000</v>
      </c>
    </row>
    <row r="17" spans="1:8" x14ac:dyDescent="0.3">
      <c r="A17" s="6">
        <v>45705</v>
      </c>
      <c r="B17" t="s">
        <v>44</v>
      </c>
      <c r="C17" t="s">
        <v>22</v>
      </c>
      <c r="D17">
        <v>600</v>
      </c>
      <c r="E17">
        <f>LOOKUP(1,1/('[1]PURCHASE PRICE'!$A:$A=A17)/('[1]PURCHASE PRICE'!$B:$B=B17)/('[1]PURCHASE PRICE'!$C:$C=C17),'[1]PURCHASE PRICE'!$D:$D)</f>
        <v>2700</v>
      </c>
      <c r="F17">
        <f>LOOKUP(1,1/('[1]PURCHASE PRICE'!$A:$A=A17)/('[1]PURCHASE PRICE'!$B:$B=B17),'[1]PURCHASE PRICE'!$D:$D)</f>
        <v>2700</v>
      </c>
      <c r="G17" s="1">
        <f t="shared" si="1"/>
        <v>2700</v>
      </c>
      <c r="H17" s="1">
        <f t="shared" si="0"/>
        <v>1620000</v>
      </c>
    </row>
    <row r="18" spans="1:8" x14ac:dyDescent="0.3">
      <c r="A18" s="6">
        <v>45705</v>
      </c>
      <c r="B18" t="s">
        <v>82</v>
      </c>
      <c r="C18" t="s">
        <v>11</v>
      </c>
      <c r="D18">
        <v>2</v>
      </c>
      <c r="E18">
        <f>LOOKUP(1,1/('[1]PURCHASE PRICE'!$A:$A=A18)/('[1]PURCHASE PRICE'!$B:$B=B18)/('[1]PURCHASE PRICE'!$C:$C=C18),'[1]PURCHASE PRICE'!$D:$D)</f>
        <v>25000</v>
      </c>
      <c r="F18">
        <f>LOOKUP(1,1/('[1]PURCHASE PRICE'!$A:$A=A18)/('[1]PURCHASE PRICE'!$B:$B=B18),'[1]PURCHASE PRICE'!$D:$D)</f>
        <v>25000</v>
      </c>
      <c r="G18" s="1">
        <f t="shared" si="1"/>
        <v>25000</v>
      </c>
      <c r="H18" s="1">
        <f t="shared" si="0"/>
        <v>50000</v>
      </c>
    </row>
    <row r="19" spans="1:8" x14ac:dyDescent="0.3">
      <c r="A19" s="6">
        <v>45705</v>
      </c>
      <c r="B19" t="s">
        <v>45</v>
      </c>
      <c r="C19" t="s">
        <v>1</v>
      </c>
      <c r="D19">
        <v>50</v>
      </c>
      <c r="E19">
        <f>LOOKUP(1,1/('[1]PURCHASE PRICE'!$A:$A=A19)/('[1]PURCHASE PRICE'!$B:$B=B19)/('[1]PURCHASE PRICE'!$C:$C=C19),'[1]PURCHASE PRICE'!$D:$D)</f>
        <v>35000</v>
      </c>
      <c r="F19">
        <f>LOOKUP(1,1/('[1]PURCHASE PRICE'!$A:$A=A19)/('[1]PURCHASE PRICE'!$B:$B=B19),'[1]PURCHASE PRICE'!$D:$D)</f>
        <v>35000</v>
      </c>
      <c r="G19" s="1">
        <f t="shared" si="1"/>
        <v>35000</v>
      </c>
      <c r="H19" s="1">
        <f t="shared" si="0"/>
        <v>1750000</v>
      </c>
    </row>
    <row r="20" spans="1:8" x14ac:dyDescent="0.3">
      <c r="A20" s="6">
        <v>45705</v>
      </c>
      <c r="B20" t="s">
        <v>55</v>
      </c>
      <c r="C20" t="s">
        <v>1</v>
      </c>
      <c r="D20">
        <v>200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1"/>
        <v>8000</v>
      </c>
      <c r="H20" s="1">
        <f t="shared" si="0"/>
        <v>1600000</v>
      </c>
    </row>
    <row r="21" spans="1:8" x14ac:dyDescent="0.3">
      <c r="A21" s="6">
        <v>45705</v>
      </c>
      <c r="B21" t="s">
        <v>96</v>
      </c>
      <c r="C21" t="s">
        <v>1</v>
      </c>
      <c r="D21">
        <v>60</v>
      </c>
      <c r="E21">
        <f>LOOKUP(1,1/('[1]PURCHASE PRICE'!$A:$A=A21)/('[1]PURCHASE PRICE'!$B:$B=B21)/('[1]PURCHASE PRICE'!$C:$C=C21),'[1]PURCHASE PRICE'!$D:$D)</f>
        <v>24000</v>
      </c>
      <c r="F21">
        <f>LOOKUP(1,1/('[1]PURCHASE PRICE'!$A:$A=A21)/('[1]PURCHASE PRICE'!$B:$B=B21),'[1]PURCHASE PRICE'!$D:$D)</f>
        <v>24000</v>
      </c>
      <c r="G21" s="1">
        <f t="shared" si="1"/>
        <v>24000</v>
      </c>
      <c r="H21" s="1">
        <f t="shared" si="0"/>
        <v>1440000</v>
      </c>
    </row>
    <row r="22" spans="1:8" x14ac:dyDescent="0.3">
      <c r="A22" s="6">
        <v>45705</v>
      </c>
      <c r="B22" t="s">
        <v>12</v>
      </c>
      <c r="C22" t="s">
        <v>13</v>
      </c>
      <c r="D22">
        <v>150</v>
      </c>
      <c r="E22">
        <f>LOOKUP(1,1/('[1]PURCHASE PRICE'!$A:$A=A22)/('[1]PURCHASE PRICE'!$B:$B=B22)/('[1]PURCHASE PRICE'!$C:$C=C22),'[1]PURCHASE PRICE'!$D:$D)</f>
        <v>6000</v>
      </c>
      <c r="F22">
        <f>LOOKUP(1,1/('[1]PURCHASE PRICE'!$A:$A=A22)/('[1]PURCHASE PRICE'!$B:$B=B22),'[1]PURCHASE PRICE'!$D:$D)</f>
        <v>6000</v>
      </c>
      <c r="G22" s="1">
        <f t="shared" si="1"/>
        <v>6000</v>
      </c>
      <c r="H22" s="1">
        <f t="shared" si="0"/>
        <v>900000</v>
      </c>
    </row>
    <row r="23" spans="1:8" x14ac:dyDescent="0.3">
      <c r="A23" s="6">
        <v>45705</v>
      </c>
      <c r="B23" t="s">
        <v>6</v>
      </c>
      <c r="C23" t="s">
        <v>77</v>
      </c>
      <c r="D23">
        <v>100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10000</v>
      </c>
      <c r="G23" s="1">
        <f>15000*0.3</f>
        <v>4500</v>
      </c>
      <c r="H23" s="1">
        <f t="shared" si="0"/>
        <v>450000</v>
      </c>
    </row>
    <row r="24" spans="1:8" x14ac:dyDescent="0.3">
      <c r="A24" s="6">
        <v>45705</v>
      </c>
      <c r="B24" t="s">
        <v>14</v>
      </c>
      <c r="C24" t="s">
        <v>15</v>
      </c>
      <c r="D24">
        <v>60</v>
      </c>
      <c r="E24">
        <f>LOOKUP(1,1/('[1]PURCHASE PRICE'!$A:$A=A24)/('[1]PURCHASE PRICE'!$B:$B=B24)/('[1]PURCHASE PRICE'!$C:$C=C24),'[1]PURCHASE PRICE'!$D:$D)</f>
        <v>9900</v>
      </c>
      <c r="F24">
        <f>LOOKUP(1,1/('[1]PURCHASE PRICE'!$A:$A=A24)/('[1]PURCHASE PRICE'!$B:$B=B24),'[1]PURCHASE PRICE'!$D:$D)</f>
        <v>9900</v>
      </c>
      <c r="G24" s="1">
        <f t="shared" si="1"/>
        <v>9900</v>
      </c>
      <c r="H24" s="1">
        <f t="shared" si="0"/>
        <v>594000</v>
      </c>
    </row>
    <row r="25" spans="1:8" x14ac:dyDescent="0.3">
      <c r="A25" s="6">
        <v>45705</v>
      </c>
      <c r="B25" t="s">
        <v>16</v>
      </c>
      <c r="C25" t="s">
        <v>13</v>
      </c>
      <c r="D25">
        <v>80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20000</v>
      </c>
      <c r="G25" s="1">
        <f>+F25*0.3</f>
        <v>6000</v>
      </c>
      <c r="H25" s="1">
        <f t="shared" si="0"/>
        <v>480000</v>
      </c>
    </row>
    <row r="26" spans="1:8" x14ac:dyDescent="0.3">
      <c r="A26" s="6">
        <v>45705</v>
      </c>
      <c r="B26" t="s">
        <v>17</v>
      </c>
      <c r="C26" t="s">
        <v>1</v>
      </c>
      <c r="D26">
        <v>20</v>
      </c>
      <c r="E26">
        <f>LOOKUP(1,1/('[1]PURCHASE PRICE'!$A:$A=A26)/('[1]PURCHASE PRICE'!$B:$B=B26)/('[1]PURCHASE PRICE'!$C:$C=C26),'[1]PURCHASE PRICE'!$D:$D)</f>
        <v>23000</v>
      </c>
      <c r="F26">
        <f>LOOKUP(1,1/('[1]PURCHASE PRICE'!$A:$A=A26)/('[1]PURCHASE PRICE'!$B:$B=B26),'[1]PURCHASE PRICE'!$D:$D)</f>
        <v>23000</v>
      </c>
      <c r="G26" s="1">
        <f t="shared" si="1"/>
        <v>23000</v>
      </c>
      <c r="H26" s="1">
        <f t="shared" si="0"/>
        <v>460000</v>
      </c>
    </row>
    <row r="27" spans="1:8" x14ac:dyDescent="0.3">
      <c r="A27" s="6">
        <v>45705</v>
      </c>
      <c r="B27" t="s">
        <v>37</v>
      </c>
      <c r="C27" t="s">
        <v>31</v>
      </c>
      <c r="D27">
        <v>20</v>
      </c>
      <c r="E27">
        <f>LOOKUP(1,1/('[1]PURCHASE PRICE'!$A:$A=A27)/('[1]PURCHASE PRICE'!$B:$B=B27)/('[1]PURCHASE PRICE'!$C:$C=C27),'[1]PURCHASE PRICE'!$D:$D)</f>
        <v>4500</v>
      </c>
      <c r="F27">
        <f>LOOKUP(1,1/('[1]PURCHASE PRICE'!$A:$A=A27)/('[1]PURCHASE PRICE'!$B:$B=B27),'[1]PURCHASE PRICE'!$D:$D)</f>
        <v>7000</v>
      </c>
      <c r="G27" s="1">
        <f t="shared" si="1"/>
        <v>4500</v>
      </c>
      <c r="H27" s="1">
        <f t="shared" si="0"/>
        <v>90000</v>
      </c>
    </row>
    <row r="28" spans="1:8" x14ac:dyDescent="0.3">
      <c r="A28" s="6">
        <v>45705</v>
      </c>
      <c r="B28" t="s">
        <v>39</v>
      </c>
      <c r="C28" t="s">
        <v>9</v>
      </c>
      <c r="D28">
        <v>200</v>
      </c>
      <c r="E28">
        <f>LOOKUP(1,1/('[1]PURCHASE PRICE'!$A:$A=A28)/('[1]PURCHASE PRICE'!$B:$B=B28)/('[1]PURCHASE PRICE'!$C:$C=C28),'[1]PURCHASE PRICE'!$D:$D)</f>
        <v>7000</v>
      </c>
      <c r="F28">
        <f>LOOKUP(1,1/('[1]PURCHASE PRICE'!$A:$A=A28)/('[1]PURCHASE PRICE'!$B:$B=B28),'[1]PURCHASE PRICE'!$D:$D)</f>
        <v>10000</v>
      </c>
      <c r="G28" s="1">
        <f t="shared" si="1"/>
        <v>7000</v>
      </c>
      <c r="H28" s="1">
        <f t="shared" si="0"/>
        <v>1400000</v>
      </c>
    </row>
    <row r="29" spans="1:8" x14ac:dyDescent="0.3">
      <c r="A29" s="6">
        <v>45705</v>
      </c>
      <c r="B29" t="s">
        <v>81</v>
      </c>
      <c r="C29" t="s">
        <v>1</v>
      </c>
      <c r="D29">
        <v>100</v>
      </c>
      <c r="E29">
        <f>LOOKUP(1,1/('[1]PURCHASE PRICE'!$A:$A=A29)/('[1]PURCHASE PRICE'!$B:$B=B29)/('[1]PURCHASE PRICE'!$C:$C=C29),'[1]PURCHASE PRICE'!$D:$D)</f>
        <v>12000</v>
      </c>
      <c r="F29">
        <f>LOOKUP(1,1/('[1]PURCHASE PRICE'!$A:$A=A29)/('[1]PURCHASE PRICE'!$B:$B=B29),'[1]PURCHASE PRICE'!$D:$D)</f>
        <v>12000</v>
      </c>
      <c r="G29" s="1">
        <f t="shared" si="1"/>
        <v>12000</v>
      </c>
      <c r="H29" s="1">
        <f t="shared" si="0"/>
        <v>1200000</v>
      </c>
    </row>
    <row r="30" spans="1:8" x14ac:dyDescent="0.3">
      <c r="A30" s="6">
        <v>45705</v>
      </c>
      <c r="B30" t="s">
        <v>53</v>
      </c>
      <c r="C30" t="s">
        <v>22</v>
      </c>
      <c r="D30">
        <v>100</v>
      </c>
      <c r="E30">
        <f>LOOKUP(1,1/('[1]PURCHASE PRICE'!$A:$A=A30)/('[1]PURCHASE PRICE'!$B:$B=B30)/('[1]PURCHASE PRICE'!$C:$C=C30),'[1]PURCHASE PRICE'!$D:$D)</f>
        <v>18000</v>
      </c>
      <c r="F30">
        <f>LOOKUP(1,1/('[1]PURCHASE PRICE'!$A:$A=A30)/('[1]PURCHASE PRICE'!$B:$B=B30),'[1]PURCHASE PRICE'!$D:$D)</f>
        <v>18000</v>
      </c>
      <c r="G30" s="1">
        <f t="shared" si="1"/>
        <v>18000</v>
      </c>
      <c r="H30" s="1">
        <f t="shared" si="0"/>
        <v>1800000</v>
      </c>
    </row>
    <row r="31" spans="1:8" x14ac:dyDescent="0.3">
      <c r="A31" s="6">
        <v>45705</v>
      </c>
      <c r="B31" t="s">
        <v>19</v>
      </c>
      <c r="C31" t="s">
        <v>9</v>
      </c>
      <c r="D31">
        <v>40</v>
      </c>
      <c r="E31">
        <f>LOOKUP(1,1/('[1]PURCHASE PRICE'!$A:$A=A31)/('[1]PURCHASE PRICE'!$B:$B=B31)/('[1]PURCHASE PRICE'!$C:$C=C31),'[1]PURCHASE PRICE'!$D:$D)</f>
        <v>5500</v>
      </c>
      <c r="F31">
        <f>LOOKUP(1,1/('[1]PURCHASE PRICE'!$A:$A=A31)/('[1]PURCHASE PRICE'!$B:$B=B31),'[1]PURCHASE PRICE'!$D:$D)</f>
        <v>5500</v>
      </c>
      <c r="G31" s="1">
        <f t="shared" si="1"/>
        <v>5500</v>
      </c>
      <c r="H31" s="1">
        <f t="shared" si="0"/>
        <v>220000</v>
      </c>
    </row>
    <row r="32" spans="1:8" x14ac:dyDescent="0.3">
      <c r="A32" s="6">
        <v>45705</v>
      </c>
      <c r="B32" t="s">
        <v>10</v>
      </c>
      <c r="C32" t="s">
        <v>1</v>
      </c>
      <c r="D32">
        <v>70</v>
      </c>
      <c r="E32">
        <f>LOOKUP(1,1/('[1]PURCHASE PRICE'!$A:$A=A32)/('[1]PURCHASE PRICE'!$B:$B=B32)/('[1]PURCHASE PRICE'!$C:$C=C32),'[1]PURCHASE PRICE'!$D:$D)</f>
        <v>12000</v>
      </c>
      <c r="F32">
        <f>LOOKUP(1,1/('[1]PURCHASE PRICE'!$A:$A=A32)/('[1]PURCHASE PRICE'!$B:$B=B32),'[1]PURCHASE PRICE'!$D:$D)</f>
        <v>12000</v>
      </c>
      <c r="G32" s="1">
        <f t="shared" si="1"/>
        <v>12000</v>
      </c>
      <c r="H32" s="1">
        <f t="shared" si="0"/>
        <v>840000</v>
      </c>
    </row>
    <row r="33" spans="1:8" x14ac:dyDescent="0.3">
      <c r="A33" s="6">
        <v>45705</v>
      </c>
      <c r="B33" t="s">
        <v>10</v>
      </c>
      <c r="C33" t="s">
        <v>79</v>
      </c>
      <c r="D33">
        <v>100</v>
      </c>
      <c r="E33">
        <f>LOOKUP(1,1/('[1]PURCHASE PRICE'!$A:$A=A33)/('[1]PURCHASE PRICE'!$B:$B=B33)/('[1]PURCHASE PRICE'!$C:$C=C33),'[1]PURCHASE PRICE'!$D:$D)</f>
        <v>6500</v>
      </c>
      <c r="F33">
        <f>LOOKUP(1,1/('[1]PURCHASE PRICE'!$A:$A=A33)/('[1]PURCHASE PRICE'!$B:$B=B33),'[1]PURCHASE PRICE'!$D:$D)</f>
        <v>12000</v>
      </c>
      <c r="G33" s="1">
        <f t="shared" si="1"/>
        <v>6500</v>
      </c>
      <c r="H33" s="1">
        <f t="shared" si="0"/>
        <v>650000</v>
      </c>
    </row>
    <row r="34" spans="1:8" x14ac:dyDescent="0.3">
      <c r="A34" s="6">
        <v>45705</v>
      </c>
      <c r="B34" t="s">
        <v>98</v>
      </c>
      <c r="C34" t="s">
        <v>1</v>
      </c>
      <c r="D34">
        <v>40</v>
      </c>
      <c r="E34">
        <f>LOOKUP(1,1/('[1]PURCHASE PRICE'!$A:$A=A34)/('[1]PURCHASE PRICE'!$B:$B=B34)/('[1]PURCHASE PRICE'!$C:$C=C34),'[1]PURCHASE PRICE'!$D:$D)</f>
        <v>26000</v>
      </c>
      <c r="F34">
        <f>LOOKUP(1,1/('[1]PURCHASE PRICE'!$A:$A=A34)/('[1]PURCHASE PRICE'!$B:$B=B34),'[1]PURCHASE PRICE'!$D:$D)</f>
        <v>26000</v>
      </c>
      <c r="G34" s="1">
        <f t="shared" si="1"/>
        <v>26000</v>
      </c>
      <c r="H34" s="1">
        <f t="shared" si="0"/>
        <v>1040000</v>
      </c>
    </row>
    <row r="35" spans="1:8" x14ac:dyDescent="0.3">
      <c r="A35" s="6">
        <v>45705</v>
      </c>
      <c r="B35" t="s">
        <v>83</v>
      </c>
      <c r="C35" t="s">
        <v>1</v>
      </c>
      <c r="D35">
        <v>15</v>
      </c>
      <c r="E35">
        <f>LOOKUP(1,1/('[1]PURCHASE PRICE'!$A:$A=A35)/('[1]PURCHASE PRICE'!$B:$B=B35)/('[1]PURCHASE PRICE'!$C:$C=C35),'[1]PURCHASE PRICE'!$D:$D)</f>
        <v>20000</v>
      </c>
      <c r="F35">
        <f>LOOKUP(1,1/('[1]PURCHASE PRICE'!$A:$A=A35)/('[1]PURCHASE PRICE'!$B:$B=B35),'[1]PURCHASE PRICE'!$D:$D)</f>
        <v>20000</v>
      </c>
      <c r="G35" s="1">
        <f t="shared" si="1"/>
        <v>20000</v>
      </c>
      <c r="H35" s="1">
        <f t="shared" si="0"/>
        <v>300000</v>
      </c>
    </row>
    <row r="36" spans="1:8" x14ac:dyDescent="0.3">
      <c r="A36" s="6">
        <v>45705</v>
      </c>
      <c r="B36" t="s">
        <v>78</v>
      </c>
      <c r="C36" t="s">
        <v>1</v>
      </c>
      <c r="D36">
        <v>40</v>
      </c>
      <c r="E36">
        <f>LOOKUP(1,1/('[1]PURCHASE PRICE'!$A:$A=A36)/('[1]PURCHASE PRICE'!$B:$B=B36)/('[1]PURCHASE PRICE'!$C:$C=C36),'[1]PURCHASE PRICE'!$D:$D)</f>
        <v>12000</v>
      </c>
      <c r="F36">
        <f>LOOKUP(1,1/('[1]PURCHASE PRICE'!$A:$A=A36)/('[1]PURCHASE PRICE'!$B:$B=B36),'[1]PURCHASE PRICE'!$D:$D)</f>
        <v>11050</v>
      </c>
      <c r="G36" s="1">
        <f t="shared" si="1"/>
        <v>12000</v>
      </c>
      <c r="H36" s="1">
        <f t="shared" si="0"/>
        <v>480000</v>
      </c>
    </row>
    <row r="37" spans="1:8" x14ac:dyDescent="0.3">
      <c r="A37" s="6">
        <v>45705</v>
      </c>
      <c r="B37" t="s">
        <v>63</v>
      </c>
      <c r="C37" t="s">
        <v>1</v>
      </c>
      <c r="D37">
        <v>10</v>
      </c>
      <c r="E37">
        <f>LOOKUP(1,1/('[1]PURCHASE PRICE'!$A:$A=A37)/('[1]PURCHASE PRICE'!$B:$B=B37)/('[1]PURCHASE PRICE'!$C:$C=C37),'[1]PURCHASE PRICE'!$D:$D)</f>
        <v>25000</v>
      </c>
      <c r="F37">
        <f>LOOKUP(1,1/('[1]PURCHASE PRICE'!$A:$A=A37)/('[1]PURCHASE PRICE'!$B:$B=B37),'[1]PURCHASE PRICE'!$D:$D)</f>
        <v>25000</v>
      </c>
      <c r="G37" s="1">
        <f t="shared" si="1"/>
        <v>25000</v>
      </c>
      <c r="H37" s="1">
        <f t="shared" si="0"/>
        <v>250000</v>
      </c>
    </row>
    <row r="38" spans="1:8" x14ac:dyDescent="0.3">
      <c r="A38" s="6">
        <v>45705</v>
      </c>
      <c r="B38" t="s">
        <v>24</v>
      </c>
      <c r="C38" t="s">
        <v>1</v>
      </c>
      <c r="D38">
        <v>10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v>4500</v>
      </c>
      <c r="H38" s="1">
        <f t="shared" si="0"/>
        <v>45000</v>
      </c>
    </row>
    <row r="39" spans="1:8" x14ac:dyDescent="0.3">
      <c r="A39" s="6">
        <v>45705</v>
      </c>
      <c r="B39" t="s">
        <v>25</v>
      </c>
      <c r="C39" t="s">
        <v>26</v>
      </c>
      <c r="D39">
        <v>100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13000</v>
      </c>
      <c r="G39" s="1">
        <f>+F39/2</f>
        <v>6500</v>
      </c>
      <c r="H39" s="1">
        <f t="shared" si="0"/>
        <v>650000</v>
      </c>
    </row>
    <row r="40" spans="1:8" x14ac:dyDescent="0.3">
      <c r="A40" s="6">
        <v>45705</v>
      </c>
      <c r="B40" t="s">
        <v>27</v>
      </c>
      <c r="C40" t="s">
        <v>9</v>
      </c>
      <c r="D40">
        <v>30</v>
      </c>
      <c r="E40">
        <f>LOOKUP(1,1/('[1]PURCHASE PRICE'!$A:$A=A40)/('[1]PURCHASE PRICE'!$B:$B=B40)/('[1]PURCHASE PRICE'!$C:$C=C40),'[1]PURCHASE PRICE'!$D:$D)</f>
        <v>7500</v>
      </c>
      <c r="F40">
        <f>LOOKUP(1,1/('[1]PURCHASE PRICE'!$A:$A=A40)/('[1]PURCHASE PRICE'!$B:$B=B40),'[1]PURCHASE PRICE'!$D:$D)</f>
        <v>7500</v>
      </c>
      <c r="G40" s="1">
        <f t="shared" si="1"/>
        <v>7500</v>
      </c>
      <c r="H40" s="1">
        <f t="shared" si="0"/>
        <v>225000</v>
      </c>
    </row>
    <row r="41" spans="1:8" x14ac:dyDescent="0.3">
      <c r="A41" s="6">
        <v>45705</v>
      </c>
      <c r="B41" t="s">
        <v>29</v>
      </c>
      <c r="C41" t="s">
        <v>1</v>
      </c>
      <c r="D41">
        <v>20</v>
      </c>
      <c r="E41">
        <f>LOOKUP(1,1/('[1]PURCHASE PRICE'!$A:$A=A41)/('[1]PURCHASE PRICE'!$B:$B=B41)/('[1]PURCHASE PRICE'!$C:$C=C41),'[1]PURCHASE PRICE'!$D:$D)</f>
        <v>4000</v>
      </c>
      <c r="F41">
        <f>LOOKUP(1,1/('[1]PURCHASE PRICE'!$A:$A=A41)/('[1]PURCHASE PRICE'!$B:$B=B41),'[1]PURCHASE PRICE'!$D:$D)</f>
        <v>4000</v>
      </c>
      <c r="G41" s="1">
        <f t="shared" si="1"/>
        <v>4000</v>
      </c>
      <c r="H41" s="1">
        <f t="shared" si="0"/>
        <v>80000</v>
      </c>
    </row>
    <row r="42" spans="1:8" x14ac:dyDescent="0.3">
      <c r="A42" s="6">
        <v>45705</v>
      </c>
      <c r="B42" t="s">
        <v>30</v>
      </c>
      <c r="C42" t="s">
        <v>1</v>
      </c>
      <c r="D42">
        <v>60</v>
      </c>
      <c r="E42">
        <f>LOOKUP(1,1/('[1]PURCHASE PRICE'!$A:$A=A42)/('[1]PURCHASE PRICE'!$B:$B=B42)/('[1]PURCHASE PRICE'!$C:$C=C42),'[1]PURCHASE PRICE'!$D:$D)</f>
        <v>8000</v>
      </c>
      <c r="F42">
        <f>LOOKUP(1,1/('[1]PURCHASE PRICE'!$A:$A=A42)/('[1]PURCHASE PRICE'!$B:$B=B42),'[1]PURCHASE PRICE'!$D:$D)</f>
        <v>8000</v>
      </c>
      <c r="G42" s="1">
        <f t="shared" si="1"/>
        <v>8000</v>
      </c>
      <c r="H42" s="1">
        <f t="shared" si="0"/>
        <v>480000</v>
      </c>
    </row>
    <row r="43" spans="1:8" x14ac:dyDescent="0.3">
      <c r="A43" s="6">
        <v>45705</v>
      </c>
      <c r="B43" t="s">
        <v>36</v>
      </c>
      <c r="C43" t="s">
        <v>22</v>
      </c>
      <c r="D43">
        <v>45</v>
      </c>
      <c r="E43">
        <f>LOOKUP(1,1/('[1]PURCHASE PRICE'!$A:$A=A43)/('[1]PURCHASE PRICE'!$B:$B=B43)/('[1]PURCHASE PRICE'!$C:$C=C43),'[1]PURCHASE PRICE'!$D:$D)</f>
        <v>6500</v>
      </c>
      <c r="F43">
        <f>LOOKUP(1,1/('[1]PURCHASE PRICE'!$A:$A=A43)/('[1]PURCHASE PRICE'!$B:$B=B43),'[1]PURCHASE PRICE'!$D:$D)</f>
        <v>6500</v>
      </c>
      <c r="G43" s="1">
        <f t="shared" si="1"/>
        <v>6500</v>
      </c>
      <c r="H43" s="1">
        <f t="shared" si="0"/>
        <v>292500</v>
      </c>
    </row>
    <row r="44" spans="1:8" x14ac:dyDescent="0.3">
      <c r="A44" s="6">
        <v>45705</v>
      </c>
      <c r="B44" t="s">
        <v>38</v>
      </c>
      <c r="C44" t="s">
        <v>1</v>
      </c>
      <c r="D44">
        <v>0</v>
      </c>
      <c r="E44">
        <f>LOOKUP(1,1/('[1]PURCHASE PRICE'!$A:$A=A44)/('[1]PURCHASE PRICE'!$B:$B=B44)/('[1]PURCHASE PRICE'!$C:$C=C44),'[1]PURCHASE PRICE'!$D:$D)</f>
        <v>80000</v>
      </c>
      <c r="F44">
        <f>LOOKUP(1,1/('[1]PURCHASE PRICE'!$A:$A=A44)/('[1]PURCHASE PRICE'!$B:$B=B44),'[1]PURCHASE PRICE'!$D:$D)</f>
        <v>80000</v>
      </c>
      <c r="G44" s="1">
        <f t="shared" si="1"/>
        <v>80000</v>
      </c>
      <c r="H44" s="1">
        <f t="shared" si="0"/>
        <v>0</v>
      </c>
    </row>
    <row r="45" spans="1:8" x14ac:dyDescent="0.3">
      <c r="A45" s="6">
        <v>45705</v>
      </c>
      <c r="B45" t="s">
        <v>40</v>
      </c>
      <c r="C45" t="s">
        <v>22</v>
      </c>
      <c r="D45">
        <v>50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16000</v>
      </c>
      <c r="G45" s="1">
        <f>+F45*0.6</f>
        <v>9600</v>
      </c>
      <c r="H45" s="1">
        <f t="shared" si="0"/>
        <v>480000</v>
      </c>
    </row>
    <row r="46" spans="1:8" x14ac:dyDescent="0.3">
      <c r="A46" s="6">
        <v>45705</v>
      </c>
      <c r="B46" t="s">
        <v>43</v>
      </c>
      <c r="C46" t="s">
        <v>1</v>
      </c>
      <c r="D46">
        <v>0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0</v>
      </c>
      <c r="H46" s="1">
        <f t="shared" si="0"/>
        <v>0</v>
      </c>
    </row>
    <row r="47" spans="1:8" x14ac:dyDescent="0.3">
      <c r="A47" s="6">
        <v>45705</v>
      </c>
      <c r="B47" t="s">
        <v>49</v>
      </c>
      <c r="C47" t="s">
        <v>1</v>
      </c>
      <c r="D47">
        <v>6</v>
      </c>
      <c r="E47">
        <f>LOOKUP(1,1/('[1]PURCHASE PRICE'!$A:$A=A47)/('[1]PURCHASE PRICE'!$B:$B=B47)/('[1]PURCHASE PRICE'!$C:$C=C47),'[1]PURCHASE PRICE'!$D:$D)</f>
        <v>55000</v>
      </c>
      <c r="F47">
        <f>LOOKUP(1,1/('[1]PURCHASE PRICE'!$A:$A=A47)/('[1]PURCHASE PRICE'!$B:$B=B47),'[1]PURCHASE PRICE'!$D:$D)</f>
        <v>55000</v>
      </c>
      <c r="G47" s="1">
        <f t="shared" si="1"/>
        <v>55000</v>
      </c>
      <c r="H47" s="1">
        <f t="shared" si="0"/>
        <v>330000</v>
      </c>
    </row>
    <row r="48" spans="1:8" x14ac:dyDescent="0.3">
      <c r="A48" s="6">
        <v>45705</v>
      </c>
      <c r="B48" t="s">
        <v>56</v>
      </c>
      <c r="C48" t="s">
        <v>26</v>
      </c>
      <c r="D48">
        <v>100</v>
      </c>
      <c r="E48">
        <f>LOOKUP(1,1/('[1]PURCHASE PRICE'!$A:$A=A48)/('[1]PURCHASE PRICE'!$B:$B=B48)/('[1]PURCHASE PRICE'!$C:$C=C48),'[1]PURCHASE PRICE'!$D:$D)</f>
        <v>6800</v>
      </c>
      <c r="F48">
        <f>LOOKUP(1,1/('[1]PURCHASE PRICE'!$A:$A=A48)/('[1]PURCHASE PRICE'!$B:$B=B48),'[1]PURCHASE PRICE'!$D:$D)</f>
        <v>6800</v>
      </c>
      <c r="G48" s="1">
        <f t="shared" si="1"/>
        <v>6800</v>
      </c>
      <c r="H48" s="1">
        <f t="shared" si="0"/>
        <v>680000</v>
      </c>
    </row>
    <row r="49" spans="1:8" x14ac:dyDescent="0.3">
      <c r="A49" s="6">
        <v>45705</v>
      </c>
      <c r="B49" t="s">
        <v>58</v>
      </c>
      <c r="C49" t="s">
        <v>1</v>
      </c>
      <c r="D49">
        <v>40</v>
      </c>
      <c r="E49">
        <f>LOOKUP(1,1/('[1]PURCHASE PRICE'!$A:$A=A49)/('[1]PURCHASE PRICE'!$B:$B=B49)/('[1]PURCHASE PRICE'!$C:$C=C49),'[1]PURCHASE PRICE'!$D:$D)</f>
        <v>12000</v>
      </c>
      <c r="F49">
        <f>LOOKUP(1,1/('[1]PURCHASE PRICE'!$A:$A=A49)/('[1]PURCHASE PRICE'!$B:$B=B49),'[1]PURCHASE PRICE'!$D:$D)</f>
        <v>12000</v>
      </c>
      <c r="G49" s="1">
        <f t="shared" si="1"/>
        <v>12000</v>
      </c>
      <c r="H49" s="1">
        <f t="shared" si="0"/>
        <v>480000</v>
      </c>
    </row>
    <row r="50" spans="1:8" x14ac:dyDescent="0.3">
      <c r="A50" s="6">
        <v>45705</v>
      </c>
      <c r="B50" t="s">
        <v>87</v>
      </c>
      <c r="C50" t="s">
        <v>1</v>
      </c>
      <c r="D50">
        <v>20</v>
      </c>
      <c r="E50">
        <f>LOOKUP(1,1/('[1]PURCHASE PRICE'!$A:$A=A50)/('[1]PURCHASE PRICE'!$B:$B=B50)/('[1]PURCHASE PRICE'!$C:$C=C50),'[1]PURCHASE PRICE'!$D:$D)</f>
        <v>5000</v>
      </c>
      <c r="F50">
        <f>LOOKUP(1,1/('[1]PURCHASE PRICE'!$A:$A=A50)/('[1]PURCHASE PRICE'!$B:$B=B50),'[1]PURCHASE PRICE'!$D:$D)</f>
        <v>5000</v>
      </c>
      <c r="G50" s="1">
        <f t="shared" si="1"/>
        <v>5000</v>
      </c>
      <c r="H50" s="1">
        <f t="shared" si="0"/>
        <v>100000</v>
      </c>
    </row>
    <row r="51" spans="1:8" x14ac:dyDescent="0.3">
      <c r="A51" s="6">
        <v>45705</v>
      </c>
      <c r="B51" t="s">
        <v>88</v>
      </c>
      <c r="C51" t="s">
        <v>1</v>
      </c>
      <c r="D51">
        <v>20</v>
      </c>
      <c r="E51">
        <f>LOOKUP(1,1/('[1]PURCHASE PRICE'!$A:$A=A51)/('[1]PURCHASE PRICE'!$B:$B=B51)/('[1]PURCHASE PRICE'!$C:$C=C51),'[1]PURCHASE PRICE'!$D:$D)</f>
        <v>14000</v>
      </c>
      <c r="F51">
        <f>LOOKUP(1,1/('[1]PURCHASE PRICE'!$A:$A=A51)/('[1]PURCHASE PRICE'!$B:$B=B51),'[1]PURCHASE PRICE'!$D:$D)</f>
        <v>14000</v>
      </c>
      <c r="G51" s="1">
        <f t="shared" si="1"/>
        <v>14000</v>
      </c>
      <c r="H51" s="1">
        <f t="shared" si="0"/>
        <v>280000</v>
      </c>
    </row>
    <row r="52" spans="1:8" x14ac:dyDescent="0.3">
      <c r="A52" s="6">
        <v>45705</v>
      </c>
      <c r="B52" t="s">
        <v>111</v>
      </c>
      <c r="C52" t="s">
        <v>1</v>
      </c>
      <c r="D52">
        <v>1</v>
      </c>
      <c r="E52">
        <f>LOOKUP(1,1/('[1]PURCHASE PRICE'!$A:$A=A52)/('[1]PURCHASE PRICE'!$B:$B=B52)/('[1]PURCHASE PRICE'!$C:$C=C52),'[1]PURCHASE PRICE'!$D:$D)</f>
        <v>60000</v>
      </c>
      <c r="F52">
        <f>LOOKUP(1,1/('[1]PURCHASE PRICE'!$A:$A=A52)/('[1]PURCHASE PRICE'!$B:$B=B52),'[1]PURCHASE PRICE'!$D:$D)</f>
        <v>60000</v>
      </c>
      <c r="G52" s="1">
        <f t="shared" si="1"/>
        <v>60000</v>
      </c>
      <c r="H52" s="1">
        <f t="shared" si="0"/>
        <v>60000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1E94-BD2E-43D3-845F-E459D91CFA65}">
  <dimension ref="A1:H51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29234000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45706</v>
      </c>
      <c r="B3" t="s">
        <v>0</v>
      </c>
      <c r="C3" t="s">
        <v>62</v>
      </c>
      <c r="D3">
        <v>20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+E3</f>
        <v>16000</v>
      </c>
      <c r="H3" s="1">
        <f>+G3*D3</f>
        <v>320000</v>
      </c>
    </row>
    <row r="4" spans="1:8" x14ac:dyDescent="0.3">
      <c r="A4" s="6">
        <v>45706</v>
      </c>
      <c r="B4" t="s">
        <v>3</v>
      </c>
      <c r="C4" t="s">
        <v>62</v>
      </c>
      <c r="D4">
        <v>10</v>
      </c>
      <c r="E4">
        <f>LOOKUP(1,1/('[1]PURCHASE PRICE'!$A:$A=A4)/('[1]PURCHASE PRICE'!$B:$B=B4)/('[1]PURCHASE PRICE'!$C:$C=C4),'[1]PURCHASE PRICE'!$D:$D)</f>
        <v>12000</v>
      </c>
      <c r="F4">
        <f>LOOKUP(1,1/('[1]PURCHASE PRICE'!$A:$A=A4)/('[1]PURCHASE PRICE'!$B:$B=B4),'[1]PURCHASE PRICE'!$D:$D)</f>
        <v>12000</v>
      </c>
      <c r="G4" s="1">
        <f t="shared" ref="G4:G49" si="0">+E4</f>
        <v>12000</v>
      </c>
      <c r="H4" s="1">
        <f t="shared" ref="H4:H51" si="1">+G4*D4</f>
        <v>120000</v>
      </c>
    </row>
    <row r="5" spans="1:8" x14ac:dyDescent="0.3">
      <c r="A5" s="6">
        <v>45706</v>
      </c>
      <c r="B5" t="s">
        <v>4</v>
      </c>
      <c r="C5" t="s">
        <v>77</v>
      </c>
      <c r="D5">
        <v>105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15500</v>
      </c>
      <c r="G5" s="1">
        <f>+F5*0.3</f>
        <v>4650</v>
      </c>
      <c r="H5" s="1">
        <f t="shared" si="1"/>
        <v>488250</v>
      </c>
    </row>
    <row r="6" spans="1:8" x14ac:dyDescent="0.3">
      <c r="A6" s="6">
        <v>45706</v>
      </c>
      <c r="B6" t="s">
        <v>4</v>
      </c>
      <c r="C6" t="s">
        <v>62</v>
      </c>
      <c r="D6">
        <v>30</v>
      </c>
      <c r="E6">
        <f>LOOKUP(1,1/('[1]PURCHASE PRICE'!$A:$A=A6)/('[1]PURCHASE PRICE'!$B:$B=B6)/('[1]PURCHASE PRICE'!$C:$C=C6),'[1]PURCHASE PRICE'!$D:$D)</f>
        <v>15500</v>
      </c>
      <c r="F6">
        <f>LOOKUP(1,1/('[1]PURCHASE PRICE'!$A:$A=A6)/('[1]PURCHASE PRICE'!$B:$B=B6),'[1]PURCHASE PRICE'!$D:$D)</f>
        <v>15500</v>
      </c>
      <c r="G6" s="1">
        <f t="shared" si="0"/>
        <v>15500</v>
      </c>
      <c r="H6" s="1">
        <f t="shared" si="1"/>
        <v>465000</v>
      </c>
    </row>
    <row r="7" spans="1:8" x14ac:dyDescent="0.3">
      <c r="A7" s="6">
        <v>45706</v>
      </c>
      <c r="B7" t="s">
        <v>6</v>
      </c>
      <c r="C7" t="s">
        <v>77</v>
      </c>
      <c r="D7">
        <v>140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15000*0.3</f>
        <v>4500</v>
      </c>
      <c r="H7" s="1">
        <f t="shared" si="1"/>
        <v>630000</v>
      </c>
    </row>
    <row r="8" spans="1:8" x14ac:dyDescent="0.3">
      <c r="A8" s="6">
        <v>45706</v>
      </c>
      <c r="B8" t="s">
        <v>6</v>
      </c>
      <c r="C8" t="s">
        <v>11</v>
      </c>
      <c r="D8">
        <v>30</v>
      </c>
      <c r="E8">
        <f>LOOKUP(1,1/('[1]PURCHASE PRICE'!$A:$A=A8)/('[1]PURCHASE PRICE'!$B:$B=B8)/('[1]PURCHASE PRICE'!$C:$C=C8),'[1]PURCHASE PRICE'!$D:$D)</f>
        <v>10000</v>
      </c>
      <c r="F8">
        <f>LOOKUP(1,1/('[1]PURCHASE PRICE'!$A:$A=A8)/('[1]PURCHASE PRICE'!$B:$B=B8),'[1]PURCHASE PRICE'!$D:$D)</f>
        <v>10000</v>
      </c>
      <c r="G8" s="1">
        <f t="shared" si="0"/>
        <v>10000</v>
      </c>
      <c r="H8" s="1">
        <f t="shared" si="1"/>
        <v>300000</v>
      </c>
    </row>
    <row r="9" spans="1:8" x14ac:dyDescent="0.3">
      <c r="A9" s="6">
        <v>45706</v>
      </c>
      <c r="B9" t="s">
        <v>63</v>
      </c>
      <c r="C9" t="s">
        <v>62</v>
      </c>
      <c r="D9">
        <v>44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25000</v>
      </c>
      <c r="H9" s="1">
        <f t="shared" si="1"/>
        <v>1100000</v>
      </c>
    </row>
    <row r="10" spans="1:8" x14ac:dyDescent="0.3">
      <c r="A10" s="6">
        <v>45706</v>
      </c>
      <c r="B10" t="s">
        <v>8</v>
      </c>
      <c r="C10" t="s">
        <v>9</v>
      </c>
      <c r="D10">
        <v>50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0"/>
        <v>6000</v>
      </c>
      <c r="H10" s="1">
        <f t="shared" si="1"/>
        <v>300000</v>
      </c>
    </row>
    <row r="11" spans="1:8" x14ac:dyDescent="0.3">
      <c r="A11" s="6">
        <v>45706</v>
      </c>
      <c r="B11" t="s">
        <v>78</v>
      </c>
      <c r="C11" t="s">
        <v>62</v>
      </c>
      <c r="D11">
        <v>60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11050</v>
      </c>
      <c r="G11" s="1">
        <f t="shared" si="0"/>
        <v>12000</v>
      </c>
      <c r="H11" s="1">
        <f t="shared" si="1"/>
        <v>720000</v>
      </c>
    </row>
    <row r="12" spans="1:8" x14ac:dyDescent="0.3">
      <c r="A12" s="6">
        <v>45706</v>
      </c>
      <c r="B12" t="s">
        <v>10</v>
      </c>
      <c r="C12" t="s">
        <v>79</v>
      </c>
      <c r="D12">
        <v>80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12000</v>
      </c>
      <c r="G12" s="1">
        <f t="shared" si="0"/>
        <v>7000</v>
      </c>
      <c r="H12" s="1">
        <f t="shared" si="1"/>
        <v>560000</v>
      </c>
    </row>
    <row r="13" spans="1:8" x14ac:dyDescent="0.3">
      <c r="A13" s="6">
        <v>45706</v>
      </c>
      <c r="B13" t="s">
        <v>14</v>
      </c>
      <c r="C13" t="s">
        <v>15</v>
      </c>
      <c r="D13">
        <v>20</v>
      </c>
      <c r="E13">
        <f>LOOKUP(1,1/('[1]PURCHASE PRICE'!$A:$A=A13)/('[1]PURCHASE PRICE'!$B:$B=B13)/('[1]PURCHASE PRICE'!$C:$C=C13),'[1]PURCHASE PRICE'!$D:$D)</f>
        <v>10200</v>
      </c>
      <c r="F13">
        <f>LOOKUP(1,1/('[1]PURCHASE PRICE'!$A:$A=A13)/('[1]PURCHASE PRICE'!$B:$B=B13),'[1]PURCHASE PRICE'!$D:$D)</f>
        <v>10200</v>
      </c>
      <c r="G13" s="1">
        <f t="shared" si="0"/>
        <v>10200</v>
      </c>
      <c r="H13" s="1">
        <f t="shared" si="1"/>
        <v>204000</v>
      </c>
    </row>
    <row r="14" spans="1:8" x14ac:dyDescent="0.3">
      <c r="A14" s="6">
        <v>45706</v>
      </c>
      <c r="B14" t="s">
        <v>19</v>
      </c>
      <c r="C14" t="s">
        <v>9</v>
      </c>
      <c r="D14">
        <v>120</v>
      </c>
      <c r="E14">
        <f>LOOKUP(1,1/('[1]PURCHASE PRICE'!$A:$A=A14)/('[1]PURCHASE PRICE'!$B:$B=B14)/('[1]PURCHASE PRICE'!$C:$C=C14),'[1]PURCHASE PRICE'!$D:$D)</f>
        <v>5500</v>
      </c>
      <c r="F14">
        <f>LOOKUP(1,1/('[1]PURCHASE PRICE'!$A:$A=A14)/('[1]PURCHASE PRICE'!$B:$B=B14),'[1]PURCHASE PRICE'!$D:$D)</f>
        <v>5500</v>
      </c>
      <c r="G14" s="1">
        <f t="shared" si="0"/>
        <v>5500</v>
      </c>
      <c r="H14" s="1">
        <f t="shared" si="1"/>
        <v>660000</v>
      </c>
    </row>
    <row r="15" spans="1:8" x14ac:dyDescent="0.3">
      <c r="A15" s="6">
        <v>45706</v>
      </c>
      <c r="B15" t="s">
        <v>87</v>
      </c>
      <c r="C15" t="s">
        <v>62</v>
      </c>
      <c r="D15">
        <v>40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 s="1">
        <v>5000</v>
      </c>
      <c r="H15" s="1">
        <f t="shared" si="1"/>
        <v>200000</v>
      </c>
    </row>
    <row r="16" spans="1:8" x14ac:dyDescent="0.3">
      <c r="A16" s="6">
        <v>45706</v>
      </c>
      <c r="B16" t="s">
        <v>20</v>
      </c>
      <c r="C16" t="s">
        <v>62</v>
      </c>
      <c r="D16">
        <v>20</v>
      </c>
      <c r="E16">
        <f>LOOKUP(1,1/('[1]PURCHASE PRICE'!$A:$A=A16)/('[1]PURCHASE PRICE'!$B:$B=B16)/('[1]PURCHASE PRICE'!$C:$C=C16),'[1]PURCHASE PRICE'!$D:$D)</f>
        <v>12000</v>
      </c>
      <c r="F16">
        <f>LOOKUP(1,1/('[1]PURCHASE PRICE'!$A:$A=A16)/('[1]PURCHASE PRICE'!$B:$B=B16),'[1]PURCHASE PRICE'!$D:$D)</f>
        <v>5100</v>
      </c>
      <c r="G16" s="1">
        <f t="shared" si="0"/>
        <v>12000</v>
      </c>
      <c r="H16" s="1">
        <f t="shared" si="1"/>
        <v>240000</v>
      </c>
    </row>
    <row r="17" spans="1:8" x14ac:dyDescent="0.3">
      <c r="A17" s="6">
        <v>45706</v>
      </c>
      <c r="B17" t="s">
        <v>21</v>
      </c>
      <c r="C17" t="s">
        <v>22</v>
      </c>
      <c r="D17">
        <v>60</v>
      </c>
      <c r="E17">
        <f>LOOKUP(1,1/('[1]PURCHASE PRICE'!$A:$A=A17)/('[1]PURCHASE PRICE'!$B:$B=B17)/('[1]PURCHASE PRICE'!$C:$C=C17),'[1]PURCHASE PRICE'!$D:$D)</f>
        <v>4200</v>
      </c>
      <c r="F17">
        <f>LOOKUP(1,1/('[1]PURCHASE PRICE'!$A:$A=A17)/('[1]PURCHASE PRICE'!$B:$B=B17),'[1]PURCHASE PRICE'!$D:$D)</f>
        <v>4200</v>
      </c>
      <c r="G17" s="1">
        <f t="shared" si="0"/>
        <v>4200</v>
      </c>
      <c r="H17" s="1">
        <f t="shared" si="1"/>
        <v>252000</v>
      </c>
    </row>
    <row r="18" spans="1:8" x14ac:dyDescent="0.3">
      <c r="A18" s="6">
        <v>45706</v>
      </c>
      <c r="B18" t="s">
        <v>21</v>
      </c>
      <c r="C18" t="s">
        <v>97</v>
      </c>
      <c r="D18">
        <v>30</v>
      </c>
      <c r="E18">
        <f>LOOKUP(1,1/('[1]PURCHASE PRICE'!$A:$A=A18)/('[1]PURCHASE PRICE'!$B:$B=B18)/('[1]PURCHASE PRICE'!$C:$C=C18),'[1]PURCHASE PRICE'!$D:$D)</f>
        <v>2400</v>
      </c>
      <c r="F18">
        <f>LOOKUP(1,1/('[1]PURCHASE PRICE'!$A:$A=A18)/('[1]PURCHASE PRICE'!$B:$B=B18),'[1]PURCHASE PRICE'!$D:$D)</f>
        <v>4200</v>
      </c>
      <c r="G18" s="1">
        <f t="shared" si="0"/>
        <v>2400</v>
      </c>
      <c r="H18" s="1">
        <f t="shared" si="1"/>
        <v>72000</v>
      </c>
    </row>
    <row r="19" spans="1:8" x14ac:dyDescent="0.3">
      <c r="A19" s="6">
        <v>45706</v>
      </c>
      <c r="B19" t="s">
        <v>25</v>
      </c>
      <c r="C19" t="s">
        <v>26</v>
      </c>
      <c r="D19">
        <v>100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11000</v>
      </c>
      <c r="G19" s="1">
        <f>+F19/2</f>
        <v>5500</v>
      </c>
      <c r="H19" s="1">
        <f t="shared" si="1"/>
        <v>550000</v>
      </c>
    </row>
    <row r="20" spans="1:8" x14ac:dyDescent="0.3">
      <c r="A20" s="6">
        <v>45706</v>
      </c>
      <c r="B20" t="s">
        <v>27</v>
      </c>
      <c r="C20" t="s">
        <v>9</v>
      </c>
      <c r="D20">
        <v>50</v>
      </c>
      <c r="E20">
        <f>LOOKUP(1,1/('[1]PURCHASE PRICE'!$A:$A=A20)/('[1]PURCHASE PRICE'!$B:$B=B20)/('[1]PURCHASE PRICE'!$C:$C=C20),'[1]PURCHASE PRICE'!$D:$D)</f>
        <v>7500</v>
      </c>
      <c r="F20">
        <f>LOOKUP(1,1/('[1]PURCHASE PRICE'!$A:$A=A20)/('[1]PURCHASE PRICE'!$B:$B=B20),'[1]PURCHASE PRICE'!$D:$D)</f>
        <v>7500</v>
      </c>
      <c r="G20" s="1">
        <f t="shared" si="0"/>
        <v>7500</v>
      </c>
      <c r="H20" s="1">
        <f t="shared" si="1"/>
        <v>375000</v>
      </c>
    </row>
    <row r="21" spans="1:8" x14ac:dyDescent="0.3">
      <c r="A21" s="6">
        <v>45706</v>
      </c>
      <c r="B21" t="s">
        <v>28</v>
      </c>
      <c r="C21" t="s">
        <v>15</v>
      </c>
      <c r="D21">
        <v>10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0"/>
        <v>10000</v>
      </c>
      <c r="H21" s="1">
        <f t="shared" si="1"/>
        <v>100000</v>
      </c>
    </row>
    <row r="22" spans="1:8" x14ac:dyDescent="0.3">
      <c r="A22" s="6">
        <v>45706</v>
      </c>
      <c r="B22" t="s">
        <v>33</v>
      </c>
      <c r="C22" t="s">
        <v>62</v>
      </c>
      <c r="D22">
        <v>160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27000</v>
      </c>
      <c r="H22" s="1">
        <f t="shared" si="1"/>
        <v>4320000</v>
      </c>
    </row>
    <row r="23" spans="1:8" x14ac:dyDescent="0.3">
      <c r="A23" s="6">
        <v>45706</v>
      </c>
      <c r="B23" t="s">
        <v>34</v>
      </c>
      <c r="C23" t="s">
        <v>62</v>
      </c>
      <c r="D23">
        <v>100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 s="1">
        <f t="shared" si="0"/>
        <v>16000</v>
      </c>
      <c r="H23" s="1">
        <f t="shared" si="1"/>
        <v>1600000</v>
      </c>
    </row>
    <row r="24" spans="1:8" x14ac:dyDescent="0.3">
      <c r="A24" s="6">
        <v>45706</v>
      </c>
      <c r="B24" t="s">
        <v>35</v>
      </c>
      <c r="C24" t="s">
        <v>62</v>
      </c>
      <c r="D24">
        <v>60</v>
      </c>
      <c r="E24">
        <f>LOOKUP(1,1/('[1]PURCHASE PRICE'!$A:$A=A24)/('[1]PURCHASE PRICE'!$B:$B=B24)/('[1]PURCHASE PRICE'!$C:$C=C24),'[1]PURCHASE PRICE'!$D:$D)</f>
        <v>12500</v>
      </c>
      <c r="F24">
        <f>LOOKUP(1,1/('[1]PURCHASE PRICE'!$A:$A=A24)/('[1]PURCHASE PRICE'!$B:$B=B24),'[1]PURCHASE PRICE'!$D:$D)</f>
        <v>12500</v>
      </c>
      <c r="G24" s="1">
        <f t="shared" si="0"/>
        <v>12500</v>
      </c>
      <c r="H24" s="1">
        <f t="shared" si="1"/>
        <v>750000</v>
      </c>
    </row>
    <row r="25" spans="1:8" x14ac:dyDescent="0.3">
      <c r="A25" s="6">
        <v>45706</v>
      </c>
      <c r="B25" t="s">
        <v>36</v>
      </c>
      <c r="C25" t="s">
        <v>22</v>
      </c>
      <c r="D25">
        <v>40</v>
      </c>
      <c r="E25">
        <f>LOOKUP(1,1/('[1]PURCHASE PRICE'!$A:$A=A25)/('[1]PURCHASE PRICE'!$B:$B=B25)/('[1]PURCHASE PRICE'!$C:$C=C25),'[1]PURCHASE PRICE'!$D:$D)</f>
        <v>6000</v>
      </c>
      <c r="F25">
        <f>LOOKUP(1,1/('[1]PURCHASE PRICE'!$A:$A=A25)/('[1]PURCHASE PRICE'!$B:$B=B25),'[1]PURCHASE PRICE'!$D:$D)</f>
        <v>6000</v>
      </c>
      <c r="G25" s="1">
        <f t="shared" si="0"/>
        <v>6000</v>
      </c>
      <c r="H25" s="1">
        <f t="shared" si="1"/>
        <v>240000</v>
      </c>
    </row>
    <row r="26" spans="1:8" x14ac:dyDescent="0.3">
      <c r="A26" s="6">
        <v>45706</v>
      </c>
      <c r="B26" t="s">
        <v>37</v>
      </c>
      <c r="C26" t="s">
        <v>31</v>
      </c>
      <c r="D26">
        <v>40</v>
      </c>
      <c r="E26">
        <f>LOOKUP(1,1/('[1]PURCHASE PRICE'!$A:$A=A26)/('[1]PURCHASE PRICE'!$B:$B=B26)/('[1]PURCHASE PRICE'!$C:$C=C26),'[1]PURCHASE PRICE'!$D:$D)</f>
        <v>4500</v>
      </c>
      <c r="F26">
        <f>LOOKUP(1,1/('[1]PURCHASE PRICE'!$A:$A=A26)/('[1]PURCHASE PRICE'!$B:$B=B26),'[1]PURCHASE PRICE'!$D:$D)</f>
        <v>4500</v>
      </c>
      <c r="G26" s="1">
        <f t="shared" si="0"/>
        <v>4500</v>
      </c>
      <c r="H26" s="1">
        <f t="shared" si="1"/>
        <v>180000</v>
      </c>
    </row>
    <row r="27" spans="1:8" x14ac:dyDescent="0.3">
      <c r="A27" s="6">
        <v>45706</v>
      </c>
      <c r="B27" t="s">
        <v>38</v>
      </c>
      <c r="C27" t="s">
        <v>62</v>
      </c>
      <c r="D27">
        <v>6</v>
      </c>
      <c r="E27">
        <f>LOOKUP(1,1/('[1]PURCHASE PRICE'!$A:$A=A27)/('[1]PURCHASE PRICE'!$B:$B=B27)/('[1]PURCHASE PRICE'!$C:$C=C27),'[1]PURCHASE PRICE'!$D:$D)</f>
        <v>80000</v>
      </c>
      <c r="F27">
        <f>LOOKUP(1,1/('[1]PURCHASE PRICE'!$A:$A=A27)/('[1]PURCHASE PRICE'!$B:$B=B27),'[1]PURCHASE PRICE'!$D:$D)</f>
        <v>80000</v>
      </c>
      <c r="G27" s="1">
        <f t="shared" si="0"/>
        <v>80000</v>
      </c>
      <c r="H27" s="1">
        <f t="shared" si="1"/>
        <v>480000</v>
      </c>
    </row>
    <row r="28" spans="1:8" x14ac:dyDescent="0.3">
      <c r="A28" s="6">
        <v>45706</v>
      </c>
      <c r="B28" t="s">
        <v>39</v>
      </c>
      <c r="C28" t="s">
        <v>9</v>
      </c>
      <c r="D28">
        <v>190</v>
      </c>
      <c r="E28">
        <f>LOOKUP(1,1/('[1]PURCHASE PRICE'!$A:$A=A28)/('[1]PURCHASE PRICE'!$B:$B=B28)/('[1]PURCHASE PRICE'!$C:$C=C28),'[1]PURCHASE PRICE'!$D:$D)</f>
        <v>7000</v>
      </c>
      <c r="F28">
        <f>LOOKUP(1,1/('[1]PURCHASE PRICE'!$A:$A=A28)/('[1]PURCHASE PRICE'!$B:$B=B28),'[1]PURCHASE PRICE'!$D:$D)</f>
        <v>7000</v>
      </c>
      <c r="G28" s="1">
        <f t="shared" si="0"/>
        <v>7000</v>
      </c>
      <c r="H28" s="1">
        <f t="shared" si="1"/>
        <v>1330000</v>
      </c>
    </row>
    <row r="29" spans="1:8" x14ac:dyDescent="0.3">
      <c r="A29" s="6">
        <v>45706</v>
      </c>
      <c r="B29" t="s">
        <v>40</v>
      </c>
      <c r="C29" t="s">
        <v>22</v>
      </c>
      <c r="D29">
        <v>40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16000</v>
      </c>
      <c r="G29" s="1">
        <f>+F29*0.6</f>
        <v>9600</v>
      </c>
      <c r="H29" s="1">
        <f t="shared" si="1"/>
        <v>384000</v>
      </c>
    </row>
    <row r="30" spans="1:8" x14ac:dyDescent="0.3">
      <c r="A30" s="6">
        <v>45706</v>
      </c>
      <c r="B30" t="s">
        <v>41</v>
      </c>
      <c r="C30" t="s">
        <v>26</v>
      </c>
      <c r="D30">
        <v>100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11500</v>
      </c>
      <c r="G30" s="1">
        <f>+F30*0.15</f>
        <v>1725</v>
      </c>
      <c r="H30" s="1">
        <f t="shared" si="1"/>
        <v>172500</v>
      </c>
    </row>
    <row r="31" spans="1:8" x14ac:dyDescent="0.3">
      <c r="A31" s="6">
        <v>45706</v>
      </c>
      <c r="B31" t="s">
        <v>42</v>
      </c>
      <c r="C31" t="s">
        <v>62</v>
      </c>
      <c r="D31">
        <v>5</v>
      </c>
      <c r="E31">
        <f>LOOKUP(1,1/('[1]PURCHASE PRICE'!$A:$A=A31)/('[1]PURCHASE PRICE'!$B:$B=B31)/('[1]PURCHASE PRICE'!$C:$C=C31),'[1]PURCHASE PRICE'!$D:$D)</f>
        <v>27000</v>
      </c>
      <c r="F31">
        <f>LOOKUP(1,1/('[1]PURCHASE PRICE'!$A:$A=A31)/('[1]PURCHASE PRICE'!$B:$B=B31),'[1]PURCHASE PRICE'!$D:$D)</f>
        <v>27000</v>
      </c>
      <c r="G31" s="1">
        <f t="shared" si="0"/>
        <v>27000</v>
      </c>
      <c r="H31" s="1">
        <f t="shared" si="1"/>
        <v>135000</v>
      </c>
    </row>
    <row r="32" spans="1:8" x14ac:dyDescent="0.3">
      <c r="A32" s="6">
        <v>45706</v>
      </c>
      <c r="B32" t="s">
        <v>43</v>
      </c>
      <c r="C32" t="s">
        <v>62</v>
      </c>
      <c r="D32">
        <v>1</v>
      </c>
      <c r="E32">
        <f>LOOKUP(1,1/('[1]PURCHASE PRICE'!$A:$A=A32)/('[1]PURCHASE PRICE'!$B:$B=B32)/('[1]PURCHASE PRICE'!$C:$C=C32),'[1]PURCHASE PRICE'!$D:$D)</f>
        <v>130000</v>
      </c>
      <c r="F32">
        <f>LOOKUP(1,1/('[1]PURCHASE PRICE'!$A:$A=A32)/('[1]PURCHASE PRICE'!$B:$B=B32),'[1]PURCHASE PRICE'!$D:$D)</f>
        <v>130000</v>
      </c>
      <c r="G32" s="1">
        <f t="shared" si="0"/>
        <v>130000</v>
      </c>
      <c r="H32" s="1">
        <f t="shared" si="1"/>
        <v>130000</v>
      </c>
    </row>
    <row r="33" spans="1:8" x14ac:dyDescent="0.3">
      <c r="A33" s="6">
        <v>45706</v>
      </c>
      <c r="B33" t="s">
        <v>44</v>
      </c>
      <c r="C33" t="s">
        <v>22</v>
      </c>
      <c r="D33">
        <v>510</v>
      </c>
      <c r="E33">
        <f>LOOKUP(1,1/('[1]PURCHASE PRICE'!$A:$A=A33)/('[1]PURCHASE PRICE'!$B:$B=B33)/('[1]PURCHASE PRICE'!$C:$C=C33),'[1]PURCHASE PRICE'!$D:$D)</f>
        <v>2700</v>
      </c>
      <c r="F33">
        <f>LOOKUP(1,1/('[1]PURCHASE PRICE'!$A:$A=A33)/('[1]PURCHASE PRICE'!$B:$B=B33),'[1]PURCHASE PRICE'!$D:$D)</f>
        <v>2700</v>
      </c>
      <c r="G33" s="1">
        <f t="shared" si="0"/>
        <v>2700</v>
      </c>
      <c r="H33" s="1">
        <f t="shared" si="1"/>
        <v>1377000</v>
      </c>
    </row>
    <row r="34" spans="1:8" x14ac:dyDescent="0.3">
      <c r="A34" s="6">
        <v>45706</v>
      </c>
      <c r="B34" t="s">
        <v>65</v>
      </c>
      <c r="C34" t="s">
        <v>62</v>
      </c>
      <c r="D34">
        <v>5</v>
      </c>
      <c r="E34">
        <f>LOOKUP(1,1/('[1]PURCHASE PRICE'!$A:$A=A34)/('[1]PURCHASE PRICE'!$B:$B=B34)/('[1]PURCHASE PRICE'!$C:$C=C34),'[1]PURCHASE PRICE'!$D:$D)</f>
        <v>14000</v>
      </c>
      <c r="F34">
        <f>LOOKUP(1,1/('[1]PURCHASE PRICE'!$A:$A=A34)/('[1]PURCHASE PRICE'!$B:$B=B34),'[1]PURCHASE PRICE'!$D:$D)</f>
        <v>14000</v>
      </c>
      <c r="G34" s="1">
        <f t="shared" si="0"/>
        <v>14000</v>
      </c>
      <c r="H34" s="1">
        <f t="shared" si="1"/>
        <v>70000</v>
      </c>
    </row>
    <row r="35" spans="1:8" x14ac:dyDescent="0.3">
      <c r="A35" s="6">
        <v>45706</v>
      </c>
      <c r="B35" t="s">
        <v>45</v>
      </c>
      <c r="C35" t="s">
        <v>62</v>
      </c>
      <c r="D35">
        <v>15</v>
      </c>
      <c r="E35">
        <f>LOOKUP(1,1/('[1]PURCHASE PRICE'!$A:$A=A35)/('[1]PURCHASE PRICE'!$B:$B=B35)/('[1]PURCHASE PRICE'!$C:$C=C35),'[1]PURCHASE PRICE'!$D:$D)</f>
        <v>47000</v>
      </c>
      <c r="F35">
        <f>LOOKUP(1,1/('[1]PURCHASE PRICE'!$A:$A=A35)/('[1]PURCHASE PRICE'!$B:$B=B35),'[1]PURCHASE PRICE'!$D:$D)</f>
        <v>47000</v>
      </c>
      <c r="G35" s="1">
        <f t="shared" si="0"/>
        <v>47000</v>
      </c>
      <c r="H35" s="1">
        <f t="shared" si="1"/>
        <v>705000</v>
      </c>
    </row>
    <row r="36" spans="1:8" x14ac:dyDescent="0.3">
      <c r="A36" s="6">
        <v>45706</v>
      </c>
      <c r="B36" t="s">
        <v>47</v>
      </c>
      <c r="C36" t="s">
        <v>62</v>
      </c>
      <c r="D36">
        <v>20</v>
      </c>
      <c r="E36">
        <f>LOOKUP(1,1/('[1]PURCHASE PRICE'!$A:$A=A36)/('[1]PURCHASE PRICE'!$B:$B=B36)/('[1]PURCHASE PRICE'!$C:$C=C36),'[1]PURCHASE PRICE'!$D:$D)</f>
        <v>42000</v>
      </c>
      <c r="F36">
        <f>LOOKUP(1,1/('[1]PURCHASE PRICE'!$A:$A=A36)/('[1]PURCHASE PRICE'!$B:$B=B36),'[1]PURCHASE PRICE'!$D:$D)</f>
        <v>42000</v>
      </c>
      <c r="G36" s="1">
        <f t="shared" si="0"/>
        <v>42000</v>
      </c>
      <c r="H36" s="1">
        <f t="shared" si="1"/>
        <v>840000</v>
      </c>
    </row>
    <row r="37" spans="1:8" x14ac:dyDescent="0.3">
      <c r="A37" s="6">
        <v>45706</v>
      </c>
      <c r="B37" t="s">
        <v>48</v>
      </c>
      <c r="C37" t="s">
        <v>77</v>
      </c>
      <c r="D37">
        <v>100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26000</v>
      </c>
      <c r="G37" s="1">
        <f>+F37*0.25</f>
        <v>6500</v>
      </c>
      <c r="H37" s="1">
        <f t="shared" si="1"/>
        <v>650000</v>
      </c>
    </row>
    <row r="38" spans="1:8" x14ac:dyDescent="0.3">
      <c r="A38" s="6">
        <v>45706</v>
      </c>
      <c r="B38" t="s">
        <v>49</v>
      </c>
      <c r="C38" t="s">
        <v>15</v>
      </c>
      <c r="D38">
        <v>9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55000</v>
      </c>
      <c r="G38" s="1">
        <f>+F38*0.25</f>
        <v>13750</v>
      </c>
      <c r="H38" s="1">
        <f t="shared" si="1"/>
        <v>123750</v>
      </c>
    </row>
    <row r="39" spans="1:8" x14ac:dyDescent="0.3">
      <c r="A39" s="6">
        <v>45706</v>
      </c>
      <c r="B39" t="s">
        <v>50</v>
      </c>
      <c r="C39" t="s">
        <v>11</v>
      </c>
      <c r="D39">
        <v>40</v>
      </c>
      <c r="E39">
        <f>LOOKUP(1,1/('[1]PURCHASE PRICE'!$A:$A=A39)/('[1]PURCHASE PRICE'!$B:$B=B39)/('[1]PURCHASE PRICE'!$C:$C=C39),'[1]PURCHASE PRICE'!$D:$D)</f>
        <v>35000</v>
      </c>
      <c r="F39">
        <f>LOOKUP(1,1/('[1]PURCHASE PRICE'!$A:$A=A39)/('[1]PURCHASE PRICE'!$B:$B=B39),'[1]PURCHASE PRICE'!$D:$D)</f>
        <v>35000</v>
      </c>
      <c r="G39" s="1">
        <f t="shared" si="0"/>
        <v>35000</v>
      </c>
      <c r="H39" s="1">
        <f t="shared" si="1"/>
        <v>1400000</v>
      </c>
    </row>
    <row r="40" spans="1:8" x14ac:dyDescent="0.3">
      <c r="A40" s="6">
        <v>45706</v>
      </c>
      <c r="B40" t="s">
        <v>52</v>
      </c>
      <c r="C40" t="s">
        <v>77</v>
      </c>
      <c r="D40">
        <v>50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30000</v>
      </c>
      <c r="G40" s="1">
        <f>+F40*0.25</f>
        <v>7500</v>
      </c>
      <c r="H40" s="1">
        <f t="shared" si="1"/>
        <v>375000</v>
      </c>
    </row>
    <row r="41" spans="1:8" x14ac:dyDescent="0.3">
      <c r="A41" s="6">
        <v>45706</v>
      </c>
      <c r="B41" t="s">
        <v>53</v>
      </c>
      <c r="C41" t="s">
        <v>22</v>
      </c>
      <c r="D41">
        <v>120</v>
      </c>
      <c r="E41">
        <f>LOOKUP(1,1/('[1]PURCHASE PRICE'!$A:$A=A41)/('[1]PURCHASE PRICE'!$B:$B=B41)/('[1]PURCHASE PRICE'!$C:$C=C41),'[1]PURCHASE PRICE'!$D:$D)</f>
        <v>18000</v>
      </c>
      <c r="F41">
        <f>LOOKUP(1,1/('[1]PURCHASE PRICE'!$A:$A=A41)/('[1]PURCHASE PRICE'!$B:$B=B41),'[1]PURCHASE PRICE'!$D:$D)</f>
        <v>18000</v>
      </c>
      <c r="G41" s="1">
        <f t="shared" si="0"/>
        <v>18000</v>
      </c>
      <c r="H41" s="1">
        <f t="shared" si="1"/>
        <v>2160000</v>
      </c>
    </row>
    <row r="42" spans="1:8" x14ac:dyDescent="0.3">
      <c r="A42" s="6">
        <v>45706</v>
      </c>
      <c r="B42" t="s">
        <v>55</v>
      </c>
      <c r="C42" t="s">
        <v>62</v>
      </c>
      <c r="D42">
        <v>180</v>
      </c>
      <c r="E42">
        <f>LOOKUP(1,1/('[1]PURCHASE PRICE'!$A:$A=A42)/('[1]PURCHASE PRICE'!$B:$B=B42)/('[1]PURCHASE PRICE'!$C:$C=C42),'[1]PURCHASE PRICE'!$D:$D)</f>
        <v>7000</v>
      </c>
      <c r="F42">
        <f>LOOKUP(1,1/('[1]PURCHASE PRICE'!$A:$A=A42)/('[1]PURCHASE PRICE'!$B:$B=B42),'[1]PURCHASE PRICE'!$D:$D)</f>
        <v>7000</v>
      </c>
      <c r="G42" s="1">
        <f t="shared" si="0"/>
        <v>7000</v>
      </c>
      <c r="H42" s="1">
        <f t="shared" si="1"/>
        <v>1260000</v>
      </c>
    </row>
    <row r="43" spans="1:8" x14ac:dyDescent="0.3">
      <c r="A43" s="6">
        <v>45706</v>
      </c>
      <c r="B43" t="s">
        <v>56</v>
      </c>
      <c r="C43" t="s">
        <v>26</v>
      </c>
      <c r="D43">
        <v>80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 s="1">
        <f t="shared" si="0"/>
        <v>6800</v>
      </c>
      <c r="H43" s="1">
        <f t="shared" si="1"/>
        <v>544000</v>
      </c>
    </row>
    <row r="44" spans="1:8" x14ac:dyDescent="0.3">
      <c r="A44" s="6">
        <v>45706</v>
      </c>
      <c r="B44" t="s">
        <v>96</v>
      </c>
      <c r="C44" t="s">
        <v>62</v>
      </c>
      <c r="D44">
        <v>50</v>
      </c>
      <c r="E44">
        <f>LOOKUP(1,1/('[1]PURCHASE PRICE'!$A:$A=A44)/('[1]PURCHASE PRICE'!$B:$B=B44)/('[1]PURCHASE PRICE'!$C:$C=C44),'[1]PURCHASE PRICE'!$D:$D)</f>
        <v>24000</v>
      </c>
      <c r="F44">
        <f>LOOKUP(1,1/('[1]PURCHASE PRICE'!$A:$A=A44)/('[1]PURCHASE PRICE'!$B:$B=B44),'[1]PURCHASE PRICE'!$D:$D)</f>
        <v>24000</v>
      </c>
      <c r="G44" s="1">
        <f t="shared" si="0"/>
        <v>24000</v>
      </c>
      <c r="H44" s="1">
        <f t="shared" si="1"/>
        <v>1200000</v>
      </c>
    </row>
    <row r="45" spans="1:8" x14ac:dyDescent="0.3">
      <c r="A45" s="6">
        <v>45706</v>
      </c>
      <c r="B45" t="s">
        <v>58</v>
      </c>
      <c r="C45" t="s">
        <v>62</v>
      </c>
      <c r="D45">
        <v>40</v>
      </c>
      <c r="E45">
        <f>LOOKUP(1,1/('[1]PURCHASE PRICE'!$A:$A=A45)/('[1]PURCHASE PRICE'!$B:$B=B45)/('[1]PURCHASE PRICE'!$C:$C=C45),'[1]PURCHASE PRICE'!$D:$D)</f>
        <v>12000</v>
      </c>
      <c r="F45">
        <f>LOOKUP(1,1/('[1]PURCHASE PRICE'!$A:$A=A45)/('[1]PURCHASE PRICE'!$B:$B=B45),'[1]PURCHASE PRICE'!$D:$D)</f>
        <v>12000</v>
      </c>
      <c r="G45" s="1">
        <f t="shared" si="0"/>
        <v>12000</v>
      </c>
      <c r="H45" s="1">
        <f t="shared" si="1"/>
        <v>480000</v>
      </c>
    </row>
    <row r="46" spans="1:8" x14ac:dyDescent="0.3">
      <c r="A46" s="6">
        <v>45706</v>
      </c>
      <c r="B46" t="s">
        <v>59</v>
      </c>
      <c r="C46" t="s">
        <v>62</v>
      </c>
      <c r="D46">
        <v>2</v>
      </c>
      <c r="E46">
        <f>LOOKUP(1,1/('[1]PURCHASE PRICE'!$A:$A=A46)/('[1]PURCHASE PRICE'!$B:$B=B46)/('[1]PURCHASE PRICE'!$C:$C=C46),'[1]PURCHASE PRICE'!$D:$D)</f>
        <v>70000</v>
      </c>
      <c r="F46">
        <f>LOOKUP(1,1/('[1]PURCHASE PRICE'!$A:$A=A46)/('[1]PURCHASE PRICE'!$B:$B=B46),'[1]PURCHASE PRICE'!$D:$D)</f>
        <v>70000</v>
      </c>
      <c r="G46" s="1">
        <f t="shared" si="0"/>
        <v>70000</v>
      </c>
      <c r="H46" s="1">
        <f t="shared" si="1"/>
        <v>140000</v>
      </c>
    </row>
    <row r="47" spans="1:8" x14ac:dyDescent="0.3">
      <c r="A47" s="6">
        <v>45706</v>
      </c>
      <c r="B47" t="s">
        <v>60</v>
      </c>
      <c r="C47" t="s">
        <v>62</v>
      </c>
      <c r="D47">
        <v>5</v>
      </c>
      <c r="E47">
        <f>LOOKUP(1,1/('[1]PURCHASE PRICE'!$A:$A=A47)/('[1]PURCHASE PRICE'!$B:$B=B47)/('[1]PURCHASE PRICE'!$C:$C=C47),'[1]PURCHASE PRICE'!$D:$D)</f>
        <v>15000</v>
      </c>
      <c r="F47">
        <f>LOOKUP(1,1/('[1]PURCHASE PRICE'!$A:$A=A47)/('[1]PURCHASE PRICE'!$B:$B=B47),'[1]PURCHASE PRICE'!$D:$D)</f>
        <v>15000</v>
      </c>
      <c r="G47" s="1">
        <f t="shared" si="0"/>
        <v>15000</v>
      </c>
      <c r="H47" s="1">
        <f t="shared" si="1"/>
        <v>75000</v>
      </c>
    </row>
    <row r="48" spans="1:8" x14ac:dyDescent="0.3">
      <c r="A48" s="6">
        <v>45706</v>
      </c>
      <c r="B48" t="s">
        <v>61</v>
      </c>
      <c r="C48" t="s">
        <v>26</v>
      </c>
      <c r="D48">
        <v>0</v>
      </c>
      <c r="E48">
        <f>LOOKUP(1,1/('[1]PURCHASE PRICE'!$A:$A=A48)/('[1]PURCHASE PRICE'!$B:$B=B48)/('[1]PURCHASE PRICE'!$C:$C=C48),'[1]PURCHASE PRICE'!$D:$D)</f>
        <v>6800</v>
      </c>
      <c r="F48">
        <f>LOOKUP(1,1/('[1]PURCHASE PRICE'!$A:$A=A48)/('[1]PURCHASE PRICE'!$B:$B=B48),'[1]PURCHASE PRICE'!$D:$D)</f>
        <v>6800</v>
      </c>
      <c r="G48" s="1">
        <f t="shared" si="0"/>
        <v>6800</v>
      </c>
      <c r="H48" s="1">
        <f t="shared" si="1"/>
        <v>0</v>
      </c>
    </row>
    <row r="49" spans="1:8" x14ac:dyDescent="0.3">
      <c r="A49" s="6">
        <v>45706</v>
      </c>
      <c r="B49" t="s">
        <v>91</v>
      </c>
      <c r="C49" t="s">
        <v>11</v>
      </c>
      <c r="D49">
        <v>10</v>
      </c>
      <c r="E49">
        <f>LOOKUP(1,1/('[1]PURCHASE PRICE'!$A:$A=A49)/('[1]PURCHASE PRICE'!$B:$B=B49)/('[1]PURCHASE PRICE'!$C:$C=C49),'[1]PURCHASE PRICE'!$D:$D)</f>
        <v>13000</v>
      </c>
      <c r="F49">
        <f>LOOKUP(1,1/('[1]PURCHASE PRICE'!$A:$A=A49)/('[1]PURCHASE PRICE'!$B:$B=B49),'[1]PURCHASE PRICE'!$D:$D)</f>
        <v>13000</v>
      </c>
      <c r="G49" s="1">
        <f t="shared" si="0"/>
        <v>13000</v>
      </c>
      <c r="H49" s="1">
        <f t="shared" si="1"/>
        <v>130000</v>
      </c>
    </row>
    <row r="50" spans="1:8" x14ac:dyDescent="0.3">
      <c r="A50" s="6">
        <v>45706</v>
      </c>
      <c r="B50" t="s">
        <v>112</v>
      </c>
      <c r="C50" t="s">
        <v>11</v>
      </c>
      <c r="D50">
        <v>5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6000</v>
      </c>
      <c r="G50" s="1">
        <f>+F50*3</f>
        <v>18000</v>
      </c>
      <c r="H50" s="1">
        <f t="shared" si="1"/>
        <v>90000</v>
      </c>
    </row>
    <row r="51" spans="1:8" x14ac:dyDescent="0.3">
      <c r="A51" s="6">
        <v>45706</v>
      </c>
      <c r="B51" t="s">
        <v>25</v>
      </c>
      <c r="C51" t="s">
        <v>84</v>
      </c>
      <c r="D51">
        <v>43</v>
      </c>
      <c r="E51" t="e">
        <f>LOOKUP(1,1/('[1]PURCHASE PRICE'!$A:$A=A51)/('[1]PURCHASE PRICE'!$B:$B=B51)/('[1]PURCHASE PRICE'!$C:$C=C51),'[1]PURCHASE PRICE'!$D:$D)</f>
        <v>#N/A</v>
      </c>
      <c r="F51">
        <f>LOOKUP(1,1/('[1]PURCHASE PRICE'!$A:$A=A51)/('[1]PURCHASE PRICE'!$B:$B=B51),'[1]PURCHASE PRICE'!$D:$D)</f>
        <v>11000</v>
      </c>
      <c r="G51" s="1">
        <f>+F51/2</f>
        <v>5500</v>
      </c>
      <c r="H51" s="1">
        <f t="shared" si="1"/>
        <v>236500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C408-6AB0-43D1-B137-4E9EE3B34D36}">
  <dimension ref="A1:H48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37524750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45707</v>
      </c>
      <c r="B3" t="s">
        <v>0</v>
      </c>
      <c r="C3" t="s">
        <v>62</v>
      </c>
      <c r="D3">
        <v>40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v>18000</v>
      </c>
      <c r="H3" s="1">
        <f>+G3*D3</f>
        <v>720000</v>
      </c>
    </row>
    <row r="4" spans="1:8" x14ac:dyDescent="0.3">
      <c r="A4" s="6">
        <v>45707</v>
      </c>
      <c r="B4" t="s">
        <v>3</v>
      </c>
      <c r="C4" t="s">
        <v>77</v>
      </c>
      <c r="D4">
        <v>20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f>12000*0.4</f>
        <v>4800</v>
      </c>
      <c r="H4" s="1">
        <f t="shared" ref="H4:H48" si="0">+G4*D4</f>
        <v>96000</v>
      </c>
    </row>
    <row r="5" spans="1:8" x14ac:dyDescent="0.3">
      <c r="A5" s="6">
        <v>45707</v>
      </c>
      <c r="B5" t="s">
        <v>93</v>
      </c>
      <c r="C5" t="s">
        <v>62</v>
      </c>
      <c r="D5">
        <v>5</v>
      </c>
      <c r="E5">
        <f>LOOKUP(1,1/('[1]PURCHASE PRICE'!$A:$A=A5)/('[1]PURCHASE PRICE'!$B:$B=B5)/('[1]PURCHASE PRICE'!$C:$C=C5),'[1]PURCHASE PRICE'!$D:$D)</f>
        <v>65000</v>
      </c>
      <c r="F5">
        <f>LOOKUP(1,1/('[1]PURCHASE PRICE'!$A:$A=A5)/('[1]PURCHASE PRICE'!$B:$B=B5),'[1]PURCHASE PRICE'!$D:$D)</f>
        <v>65000</v>
      </c>
      <c r="G5" s="1">
        <f t="shared" ref="G5:G47" si="1">+E5</f>
        <v>65000</v>
      </c>
      <c r="H5" s="1">
        <f t="shared" si="0"/>
        <v>325000</v>
      </c>
    </row>
    <row r="6" spans="1:8" x14ac:dyDescent="0.3">
      <c r="A6" s="6">
        <v>45707</v>
      </c>
      <c r="B6" t="s">
        <v>4</v>
      </c>
      <c r="C6" t="s">
        <v>77</v>
      </c>
      <c r="D6">
        <v>200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15500</v>
      </c>
      <c r="G6" s="1">
        <f>+F6*0.3</f>
        <v>4650</v>
      </c>
      <c r="H6" s="1">
        <f t="shared" si="0"/>
        <v>930000</v>
      </c>
    </row>
    <row r="7" spans="1:8" x14ac:dyDescent="0.3">
      <c r="A7" s="6">
        <v>45707</v>
      </c>
      <c r="B7" t="s">
        <v>6</v>
      </c>
      <c r="C7" t="s">
        <v>77</v>
      </c>
      <c r="D7">
        <v>270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13500*0.3</f>
        <v>4050</v>
      </c>
      <c r="H7" s="1">
        <f t="shared" si="0"/>
        <v>1093500</v>
      </c>
    </row>
    <row r="8" spans="1:8" x14ac:dyDescent="0.3">
      <c r="A8" s="6">
        <v>45707</v>
      </c>
      <c r="B8" t="s">
        <v>63</v>
      </c>
      <c r="C8" t="s">
        <v>62</v>
      </c>
      <c r="D8">
        <v>10</v>
      </c>
      <c r="E8">
        <f>LOOKUP(1,1/('[1]PURCHASE PRICE'!$A:$A=A8)/('[1]PURCHASE PRICE'!$B:$B=B8)/('[1]PURCHASE PRICE'!$C:$C=C8),'[1]PURCHASE PRICE'!$D:$D)</f>
        <v>25000</v>
      </c>
      <c r="F8">
        <f>LOOKUP(1,1/('[1]PURCHASE PRICE'!$A:$A=A8)/('[1]PURCHASE PRICE'!$B:$B=B8),'[1]PURCHASE PRICE'!$D:$D)</f>
        <v>25000</v>
      </c>
      <c r="G8" s="1">
        <f t="shared" si="1"/>
        <v>25000</v>
      </c>
      <c r="H8" s="1">
        <f t="shared" si="0"/>
        <v>250000</v>
      </c>
    </row>
    <row r="9" spans="1:8" x14ac:dyDescent="0.3">
      <c r="A9" s="6">
        <v>45707</v>
      </c>
      <c r="B9" t="s">
        <v>8</v>
      </c>
      <c r="C9" t="s">
        <v>9</v>
      </c>
      <c r="D9">
        <v>50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1"/>
        <v>6000</v>
      </c>
      <c r="H9" s="1">
        <f t="shared" si="0"/>
        <v>300000</v>
      </c>
    </row>
    <row r="10" spans="1:8" x14ac:dyDescent="0.3">
      <c r="A10" s="6">
        <v>45707</v>
      </c>
      <c r="B10" t="s">
        <v>78</v>
      </c>
      <c r="C10" t="s">
        <v>62</v>
      </c>
      <c r="D10">
        <v>120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 s="1">
        <f t="shared" si="1"/>
        <v>15000</v>
      </c>
      <c r="H10" s="1">
        <f t="shared" si="0"/>
        <v>1800000</v>
      </c>
    </row>
    <row r="11" spans="1:8" x14ac:dyDescent="0.3">
      <c r="A11" s="6">
        <v>45707</v>
      </c>
      <c r="B11" t="s">
        <v>10</v>
      </c>
      <c r="C11" t="s">
        <v>79</v>
      </c>
      <c r="D11">
        <v>80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7000</v>
      </c>
      <c r="G11" s="1">
        <f t="shared" si="1"/>
        <v>7000</v>
      </c>
      <c r="H11" s="1">
        <f t="shared" si="0"/>
        <v>560000</v>
      </c>
    </row>
    <row r="12" spans="1:8" x14ac:dyDescent="0.3">
      <c r="A12" s="6">
        <v>45707</v>
      </c>
      <c r="B12" t="s">
        <v>12</v>
      </c>
      <c r="C12" t="s">
        <v>13</v>
      </c>
      <c r="D12">
        <v>120</v>
      </c>
      <c r="E12">
        <f>LOOKUP(1,1/('[1]PURCHASE PRICE'!$A:$A=A12)/('[1]PURCHASE PRICE'!$B:$B=B12)/('[1]PURCHASE PRICE'!$C:$C=C12),'[1]PURCHASE PRICE'!$D:$D)</f>
        <v>6000</v>
      </c>
      <c r="F12">
        <f>LOOKUP(1,1/('[1]PURCHASE PRICE'!$A:$A=A12)/('[1]PURCHASE PRICE'!$B:$B=B12),'[1]PURCHASE PRICE'!$D:$D)</f>
        <v>6000</v>
      </c>
      <c r="G12" s="1">
        <f t="shared" si="1"/>
        <v>6000</v>
      </c>
      <c r="H12" s="1">
        <f t="shared" si="0"/>
        <v>720000</v>
      </c>
    </row>
    <row r="13" spans="1:8" x14ac:dyDescent="0.3">
      <c r="A13" s="6">
        <v>45707</v>
      </c>
      <c r="B13" t="s">
        <v>14</v>
      </c>
      <c r="C13" t="s">
        <v>15</v>
      </c>
      <c r="D13">
        <v>30</v>
      </c>
      <c r="E13">
        <f>LOOKUP(1,1/('[1]PURCHASE PRICE'!$A:$A=A13)/('[1]PURCHASE PRICE'!$B:$B=B13)/('[1]PURCHASE PRICE'!$C:$C=C13),'[1]PURCHASE PRICE'!$D:$D)</f>
        <v>10200</v>
      </c>
      <c r="F13">
        <f>LOOKUP(1,1/('[1]PURCHASE PRICE'!$A:$A=A13)/('[1]PURCHASE PRICE'!$B:$B=B13),'[1]PURCHASE PRICE'!$D:$D)</f>
        <v>10200</v>
      </c>
      <c r="G13" s="1">
        <f t="shared" si="1"/>
        <v>10200</v>
      </c>
      <c r="H13" s="1">
        <f t="shared" si="0"/>
        <v>306000</v>
      </c>
    </row>
    <row r="14" spans="1:8" x14ac:dyDescent="0.3">
      <c r="A14" s="6">
        <v>45707</v>
      </c>
      <c r="B14" t="s">
        <v>18</v>
      </c>
      <c r="C14" t="s">
        <v>62</v>
      </c>
      <c r="D14">
        <v>20</v>
      </c>
      <c r="E14">
        <f>LOOKUP(1,1/('[1]PURCHASE PRICE'!$A:$A=A14)/('[1]PURCHASE PRICE'!$B:$B=B14)/('[1]PURCHASE PRICE'!$C:$C=C14),'[1]PURCHASE PRICE'!$D:$D)</f>
        <v>6800</v>
      </c>
      <c r="F14">
        <f>LOOKUP(1,1/('[1]PURCHASE PRICE'!$A:$A=A14)/('[1]PURCHASE PRICE'!$B:$B=B14),'[1]PURCHASE PRICE'!$D:$D)</f>
        <v>6800</v>
      </c>
      <c r="G14" s="1">
        <f t="shared" si="1"/>
        <v>6800</v>
      </c>
      <c r="H14" s="1">
        <f t="shared" si="0"/>
        <v>136000</v>
      </c>
    </row>
    <row r="15" spans="1:8" x14ac:dyDescent="0.3">
      <c r="A15" s="6">
        <v>45707</v>
      </c>
      <c r="B15" t="s">
        <v>19</v>
      </c>
      <c r="C15" t="s">
        <v>9</v>
      </c>
      <c r="D15">
        <v>100</v>
      </c>
      <c r="E15">
        <f>LOOKUP(1,1/('[1]PURCHASE PRICE'!$A:$A=A15)/('[1]PURCHASE PRICE'!$B:$B=B15)/('[1]PURCHASE PRICE'!$C:$C=C15),'[1]PURCHASE PRICE'!$D:$D)</f>
        <v>5500</v>
      </c>
      <c r="F15">
        <f>LOOKUP(1,1/('[1]PURCHASE PRICE'!$A:$A=A15)/('[1]PURCHASE PRICE'!$B:$B=B15),'[1]PURCHASE PRICE'!$D:$D)</f>
        <v>5500</v>
      </c>
      <c r="G15" s="1">
        <f t="shared" si="1"/>
        <v>5500</v>
      </c>
      <c r="H15" s="1">
        <f t="shared" si="0"/>
        <v>550000</v>
      </c>
    </row>
    <row r="16" spans="1:8" x14ac:dyDescent="0.3">
      <c r="A16" s="6">
        <v>45707</v>
      </c>
      <c r="B16" t="s">
        <v>20</v>
      </c>
      <c r="C16" t="s">
        <v>62</v>
      </c>
      <c r="D16">
        <v>20</v>
      </c>
      <c r="E16">
        <f>LOOKUP(1,1/('[1]PURCHASE PRICE'!$A:$A=A16)/('[1]PURCHASE PRICE'!$B:$B=B16)/('[1]PURCHASE PRICE'!$C:$C=C16),'[1]PURCHASE PRICE'!$D:$D)</f>
        <v>12000</v>
      </c>
      <c r="F16">
        <f>LOOKUP(1,1/('[1]PURCHASE PRICE'!$A:$A=A16)/('[1]PURCHASE PRICE'!$B:$B=B16),'[1]PURCHASE PRICE'!$D:$D)</f>
        <v>12000</v>
      </c>
      <c r="G16" s="1">
        <f t="shared" si="1"/>
        <v>12000</v>
      </c>
      <c r="H16" s="1">
        <f t="shared" si="0"/>
        <v>240000</v>
      </c>
    </row>
    <row r="17" spans="1:8" x14ac:dyDescent="0.3">
      <c r="A17" s="6">
        <v>45707</v>
      </c>
      <c r="B17" t="s">
        <v>21</v>
      </c>
      <c r="C17" t="s">
        <v>97</v>
      </c>
      <c r="D17">
        <v>30</v>
      </c>
      <c r="E17">
        <f>LOOKUP(1,1/('[1]PURCHASE PRICE'!$A:$A=A17)/('[1]PURCHASE PRICE'!$B:$B=B17)/('[1]PURCHASE PRICE'!$C:$C=C17),'[1]PURCHASE PRICE'!$D:$D)</f>
        <v>1900</v>
      </c>
      <c r="F17">
        <f>LOOKUP(1,1/('[1]PURCHASE PRICE'!$A:$A=A17)/('[1]PURCHASE PRICE'!$B:$B=B17),'[1]PURCHASE PRICE'!$D:$D)</f>
        <v>4200</v>
      </c>
      <c r="G17" s="1">
        <f t="shared" si="1"/>
        <v>1900</v>
      </c>
      <c r="H17" s="1">
        <f t="shared" si="0"/>
        <v>57000</v>
      </c>
    </row>
    <row r="18" spans="1:8" x14ac:dyDescent="0.3">
      <c r="A18" s="6">
        <v>45707</v>
      </c>
      <c r="B18" t="s">
        <v>24</v>
      </c>
      <c r="C18" t="s">
        <v>62</v>
      </c>
      <c r="D18">
        <v>10</v>
      </c>
      <c r="E18" t="e">
        <f>LOOKUP(1,1/('[1]PURCHASE PRICE'!$A:$A=A18)/('[1]PURCHASE PRICE'!$B:$B=B18)/('[1]PURCHASE PRICE'!$C:$C=C18),'[1]PURCHASE PRICE'!$D:$D)</f>
        <v>#N/A</v>
      </c>
      <c r="F18" t="e">
        <f>LOOKUP(1,1/('[1]PURCHASE PRICE'!$A:$A=A18)/('[1]PURCHASE PRICE'!$B:$B=B18),'[1]PURCHASE PRICE'!$D:$D)</f>
        <v>#N/A</v>
      </c>
      <c r="G18" s="1">
        <v>4500</v>
      </c>
      <c r="H18" s="1">
        <f t="shared" si="0"/>
        <v>45000</v>
      </c>
    </row>
    <row r="19" spans="1:8" x14ac:dyDescent="0.3">
      <c r="A19" s="6">
        <v>45707</v>
      </c>
      <c r="B19" t="s">
        <v>25</v>
      </c>
      <c r="C19" t="s">
        <v>26</v>
      </c>
      <c r="D19">
        <v>150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11000</v>
      </c>
      <c r="G19" s="1">
        <f>+F19/2</f>
        <v>5500</v>
      </c>
      <c r="H19" s="1">
        <f t="shared" si="0"/>
        <v>825000</v>
      </c>
    </row>
    <row r="20" spans="1:8" x14ac:dyDescent="0.3">
      <c r="A20" s="6">
        <v>45707</v>
      </c>
      <c r="B20" t="s">
        <v>27</v>
      </c>
      <c r="C20" t="s">
        <v>9</v>
      </c>
      <c r="D20">
        <v>40</v>
      </c>
      <c r="E20">
        <f>LOOKUP(1,1/('[1]PURCHASE PRICE'!$A:$A=A20)/('[1]PURCHASE PRICE'!$B:$B=B20)/('[1]PURCHASE PRICE'!$C:$C=C20),'[1]PURCHASE PRICE'!$D:$D)</f>
        <v>7500</v>
      </c>
      <c r="F20">
        <f>LOOKUP(1,1/('[1]PURCHASE PRICE'!$A:$A=A20)/('[1]PURCHASE PRICE'!$B:$B=B20),'[1]PURCHASE PRICE'!$D:$D)</f>
        <v>7500</v>
      </c>
      <c r="G20" s="1">
        <f t="shared" si="1"/>
        <v>7500</v>
      </c>
      <c r="H20" s="1">
        <f t="shared" si="0"/>
        <v>300000</v>
      </c>
    </row>
    <row r="21" spans="1:8" x14ac:dyDescent="0.3">
      <c r="A21" s="6">
        <v>45707</v>
      </c>
      <c r="B21" t="s">
        <v>28</v>
      </c>
      <c r="C21" t="s">
        <v>15</v>
      </c>
      <c r="D21">
        <v>40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15000</v>
      </c>
      <c r="G21" s="1">
        <f t="shared" si="1"/>
        <v>10000</v>
      </c>
      <c r="H21" s="1">
        <f t="shared" si="0"/>
        <v>400000</v>
      </c>
    </row>
    <row r="22" spans="1:8" x14ac:dyDescent="0.3">
      <c r="A22" s="6">
        <v>45707</v>
      </c>
      <c r="B22" t="s">
        <v>80</v>
      </c>
      <c r="C22" t="s">
        <v>62</v>
      </c>
      <c r="D22">
        <v>40</v>
      </c>
      <c r="E22">
        <f>LOOKUP(1,1/('[1]PURCHASE PRICE'!$A:$A=A22)/('[1]PURCHASE PRICE'!$B:$B=B22)/('[1]PURCHASE PRICE'!$C:$C=C22),'[1]PURCHASE PRICE'!$D:$D)</f>
        <v>9000</v>
      </c>
      <c r="F22">
        <f>LOOKUP(1,1/('[1]PURCHASE PRICE'!$A:$A=A22)/('[1]PURCHASE PRICE'!$B:$B=B22),'[1]PURCHASE PRICE'!$D:$D)</f>
        <v>9000</v>
      </c>
      <c r="G22" s="1">
        <f t="shared" si="1"/>
        <v>9000</v>
      </c>
      <c r="H22" s="1">
        <f t="shared" si="0"/>
        <v>360000</v>
      </c>
    </row>
    <row r="23" spans="1:8" x14ac:dyDescent="0.3">
      <c r="A23" s="6">
        <v>45707</v>
      </c>
      <c r="B23" t="s">
        <v>30</v>
      </c>
      <c r="C23" t="s">
        <v>62</v>
      </c>
      <c r="D23">
        <v>40</v>
      </c>
      <c r="E23">
        <f>LOOKUP(1,1/('[1]PURCHASE PRICE'!$A:$A=A23)/('[1]PURCHASE PRICE'!$B:$B=B23)/('[1]PURCHASE PRICE'!$C:$C=C23),'[1]PURCHASE PRICE'!$D:$D)</f>
        <v>8500</v>
      </c>
      <c r="F23">
        <f>LOOKUP(1,1/('[1]PURCHASE PRICE'!$A:$A=A23)/('[1]PURCHASE PRICE'!$B:$B=B23),'[1]PURCHASE PRICE'!$D:$D)</f>
        <v>8500</v>
      </c>
      <c r="G23" s="1">
        <f t="shared" si="1"/>
        <v>8500</v>
      </c>
      <c r="H23" s="1">
        <f t="shared" si="0"/>
        <v>340000</v>
      </c>
    </row>
    <row r="24" spans="1:8" x14ac:dyDescent="0.3">
      <c r="A24" s="6">
        <v>45707</v>
      </c>
      <c r="B24" t="s">
        <v>33</v>
      </c>
      <c r="C24" t="s">
        <v>62</v>
      </c>
      <c r="D24">
        <v>100</v>
      </c>
      <c r="E24">
        <f>LOOKUP(1,1/('[1]PURCHASE PRICE'!$A:$A=A24)/('[1]PURCHASE PRICE'!$B:$B=B24)/('[1]PURCHASE PRICE'!$C:$C=C24),'[1]PURCHASE PRICE'!$D:$D)</f>
        <v>25000</v>
      </c>
      <c r="F24">
        <f>LOOKUP(1,1/('[1]PURCHASE PRICE'!$A:$A=A24)/('[1]PURCHASE PRICE'!$B:$B=B24),'[1]PURCHASE PRICE'!$D:$D)</f>
        <v>25000</v>
      </c>
      <c r="G24" s="1">
        <f t="shared" si="1"/>
        <v>25000</v>
      </c>
      <c r="H24" s="1">
        <f t="shared" si="0"/>
        <v>2500000</v>
      </c>
    </row>
    <row r="25" spans="1:8" x14ac:dyDescent="0.3">
      <c r="A25" s="6">
        <v>45707</v>
      </c>
      <c r="B25" t="s">
        <v>34</v>
      </c>
      <c r="C25" t="s">
        <v>62</v>
      </c>
      <c r="D25">
        <v>120</v>
      </c>
      <c r="E25">
        <f>LOOKUP(1,1/('[1]PURCHASE PRICE'!$A:$A=A25)/('[1]PURCHASE PRICE'!$B:$B=B25)/('[1]PURCHASE PRICE'!$C:$C=C25),'[1]PURCHASE PRICE'!$D:$D)</f>
        <v>15000</v>
      </c>
      <c r="F25">
        <f>LOOKUP(1,1/('[1]PURCHASE PRICE'!$A:$A=A25)/('[1]PURCHASE PRICE'!$B:$B=B25),'[1]PURCHASE PRICE'!$D:$D)</f>
        <v>15000</v>
      </c>
      <c r="G25" s="1">
        <f t="shared" si="1"/>
        <v>15000</v>
      </c>
      <c r="H25" s="1">
        <f t="shared" si="0"/>
        <v>1800000</v>
      </c>
    </row>
    <row r="26" spans="1:8" x14ac:dyDescent="0.3">
      <c r="A26" s="6">
        <v>45707</v>
      </c>
      <c r="B26" t="s">
        <v>37</v>
      </c>
      <c r="C26" t="s">
        <v>31</v>
      </c>
      <c r="D26">
        <v>45</v>
      </c>
      <c r="E26">
        <f>LOOKUP(1,1/('[1]PURCHASE PRICE'!$A:$A=A26)/('[1]PURCHASE PRICE'!$B:$B=B26)/('[1]PURCHASE PRICE'!$C:$C=C26),'[1]PURCHASE PRICE'!$D:$D)</f>
        <v>4000</v>
      </c>
      <c r="F26">
        <f>LOOKUP(1,1/('[1]PURCHASE PRICE'!$A:$A=A26)/('[1]PURCHASE PRICE'!$B:$B=B26),'[1]PURCHASE PRICE'!$D:$D)</f>
        <v>4000</v>
      </c>
      <c r="G26" s="1">
        <f t="shared" si="1"/>
        <v>4000</v>
      </c>
      <c r="H26" s="1">
        <f t="shared" si="0"/>
        <v>180000</v>
      </c>
    </row>
    <row r="27" spans="1:8" x14ac:dyDescent="0.3">
      <c r="A27" s="6">
        <v>45707</v>
      </c>
      <c r="B27" t="s">
        <v>38</v>
      </c>
      <c r="C27" t="s">
        <v>62</v>
      </c>
      <c r="D27">
        <v>4</v>
      </c>
      <c r="E27">
        <f>LOOKUP(1,1/('[1]PURCHASE PRICE'!$A:$A=A27)/('[1]PURCHASE PRICE'!$B:$B=B27)/('[1]PURCHASE PRICE'!$C:$C=C27),'[1]PURCHASE PRICE'!$D:$D)</f>
        <v>80000</v>
      </c>
      <c r="F27">
        <f>LOOKUP(1,1/('[1]PURCHASE PRICE'!$A:$A=A27)/('[1]PURCHASE PRICE'!$B:$B=B27),'[1]PURCHASE PRICE'!$D:$D)</f>
        <v>80000</v>
      </c>
      <c r="G27" s="1">
        <f t="shared" si="1"/>
        <v>80000</v>
      </c>
      <c r="H27" s="1">
        <f t="shared" si="0"/>
        <v>320000</v>
      </c>
    </row>
    <row r="28" spans="1:8" x14ac:dyDescent="0.3">
      <c r="A28" s="6">
        <v>45707</v>
      </c>
      <c r="B28" t="s">
        <v>39</v>
      </c>
      <c r="C28" t="s">
        <v>9</v>
      </c>
      <c r="D28">
        <v>500</v>
      </c>
      <c r="E28">
        <f>LOOKUP(1,1/('[1]PURCHASE PRICE'!$A:$A=A28)/('[1]PURCHASE PRICE'!$B:$B=B28)/('[1]PURCHASE PRICE'!$C:$C=C28),'[1]PURCHASE PRICE'!$D:$D)</f>
        <v>7000</v>
      </c>
      <c r="F28">
        <f>LOOKUP(1,1/('[1]PURCHASE PRICE'!$A:$A=A28)/('[1]PURCHASE PRICE'!$B:$B=B28),'[1]PURCHASE PRICE'!$D:$D)</f>
        <v>7000</v>
      </c>
      <c r="G28" s="1">
        <f t="shared" si="1"/>
        <v>7000</v>
      </c>
      <c r="H28" s="1">
        <f t="shared" si="0"/>
        <v>3500000</v>
      </c>
    </row>
    <row r="29" spans="1:8" x14ac:dyDescent="0.3">
      <c r="A29" s="6">
        <v>45707</v>
      </c>
      <c r="B29" t="s">
        <v>40</v>
      </c>
      <c r="C29" t="s">
        <v>22</v>
      </c>
      <c r="D29">
        <v>25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f>15000*0.6</f>
        <v>9000</v>
      </c>
      <c r="H29" s="1">
        <f t="shared" si="0"/>
        <v>225000</v>
      </c>
    </row>
    <row r="30" spans="1:8" x14ac:dyDescent="0.3">
      <c r="A30" s="6">
        <v>45707</v>
      </c>
      <c r="B30" t="s">
        <v>81</v>
      </c>
      <c r="C30" t="s">
        <v>62</v>
      </c>
      <c r="D30">
        <v>60</v>
      </c>
      <c r="E30">
        <f>LOOKUP(1,1/('[1]PURCHASE PRICE'!$A:$A=A30)/('[1]PURCHASE PRICE'!$B:$B=B30)/('[1]PURCHASE PRICE'!$C:$C=C30),'[1]PURCHASE PRICE'!$D:$D)</f>
        <v>11000</v>
      </c>
      <c r="F30">
        <f>LOOKUP(1,1/('[1]PURCHASE PRICE'!$A:$A=A30)/('[1]PURCHASE PRICE'!$B:$B=B30),'[1]PURCHASE PRICE'!$D:$D)</f>
        <v>11000</v>
      </c>
      <c r="G30" s="1">
        <f t="shared" si="1"/>
        <v>11000</v>
      </c>
      <c r="H30" s="1">
        <f t="shared" si="0"/>
        <v>660000</v>
      </c>
    </row>
    <row r="31" spans="1:8" x14ac:dyDescent="0.3">
      <c r="A31" s="6">
        <v>45707</v>
      </c>
      <c r="B31" t="s">
        <v>41</v>
      </c>
      <c r="C31" t="s">
        <v>26</v>
      </c>
      <c r="D31">
        <v>50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10000</v>
      </c>
      <c r="G31" s="1">
        <f>11500*0.15</f>
        <v>1725</v>
      </c>
      <c r="H31" s="1">
        <f t="shared" si="0"/>
        <v>86250</v>
      </c>
    </row>
    <row r="32" spans="1:8" x14ac:dyDescent="0.3">
      <c r="A32" s="6">
        <v>45707</v>
      </c>
      <c r="B32" t="s">
        <v>42</v>
      </c>
      <c r="C32" t="s">
        <v>62</v>
      </c>
      <c r="D32">
        <v>15</v>
      </c>
      <c r="E32">
        <f>LOOKUP(1,1/('[1]PURCHASE PRICE'!$A:$A=A32)/('[1]PURCHASE PRICE'!$B:$B=B32)/('[1]PURCHASE PRICE'!$C:$C=C32),'[1]PURCHASE PRICE'!$D:$D)</f>
        <v>27000</v>
      </c>
      <c r="F32">
        <f>LOOKUP(1,1/('[1]PURCHASE PRICE'!$A:$A=A32)/('[1]PURCHASE PRICE'!$B:$B=B32),'[1]PURCHASE PRICE'!$D:$D)</f>
        <v>27000</v>
      </c>
      <c r="G32" s="1">
        <f t="shared" si="1"/>
        <v>27000</v>
      </c>
      <c r="H32" s="1">
        <f t="shared" si="0"/>
        <v>405000</v>
      </c>
    </row>
    <row r="33" spans="1:8" x14ac:dyDescent="0.3">
      <c r="A33" s="6">
        <v>45707</v>
      </c>
      <c r="B33" t="s">
        <v>43</v>
      </c>
      <c r="C33" t="s">
        <v>62</v>
      </c>
      <c r="D33">
        <v>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0</v>
      </c>
      <c r="H33" s="1">
        <f t="shared" si="0"/>
        <v>0</v>
      </c>
    </row>
    <row r="34" spans="1:8" x14ac:dyDescent="0.3">
      <c r="A34" s="6">
        <v>45707</v>
      </c>
      <c r="B34" t="s">
        <v>44</v>
      </c>
      <c r="C34" t="s">
        <v>22</v>
      </c>
      <c r="D34">
        <v>500</v>
      </c>
      <c r="E34">
        <f>LOOKUP(1,1/('[1]PURCHASE PRICE'!$A:$A=A34)/('[1]PURCHASE PRICE'!$B:$B=B34)/('[1]PURCHASE PRICE'!$C:$C=C34),'[1]PURCHASE PRICE'!$D:$D)</f>
        <v>2700</v>
      </c>
      <c r="F34">
        <f>LOOKUP(1,1/('[1]PURCHASE PRICE'!$A:$A=A34)/('[1]PURCHASE PRICE'!$B:$B=B34),'[1]PURCHASE PRICE'!$D:$D)</f>
        <v>2700</v>
      </c>
      <c r="G34" s="1">
        <f t="shared" si="1"/>
        <v>2700</v>
      </c>
      <c r="H34" s="1">
        <f t="shared" si="0"/>
        <v>1350000</v>
      </c>
    </row>
    <row r="35" spans="1:8" x14ac:dyDescent="0.3">
      <c r="A35" s="6">
        <v>45707</v>
      </c>
      <c r="B35" t="s">
        <v>65</v>
      </c>
      <c r="C35" t="s">
        <v>62</v>
      </c>
      <c r="D35">
        <v>5</v>
      </c>
      <c r="E35">
        <f>LOOKUP(1,1/('[1]PURCHASE PRICE'!$A:$A=A35)/('[1]PURCHASE PRICE'!$B:$B=B35)/('[1]PURCHASE PRICE'!$C:$C=C35),'[1]PURCHASE PRICE'!$D:$D)</f>
        <v>14000</v>
      </c>
      <c r="F35">
        <f>LOOKUP(1,1/('[1]PURCHASE PRICE'!$A:$A=A35)/('[1]PURCHASE PRICE'!$B:$B=B35),'[1]PURCHASE PRICE'!$D:$D)</f>
        <v>14000</v>
      </c>
      <c r="G35" s="1">
        <f t="shared" si="1"/>
        <v>14000</v>
      </c>
      <c r="H35" s="1">
        <f t="shared" si="0"/>
        <v>70000</v>
      </c>
    </row>
    <row r="36" spans="1:8" x14ac:dyDescent="0.3">
      <c r="A36" s="6">
        <v>45707</v>
      </c>
      <c r="B36" t="s">
        <v>47</v>
      </c>
      <c r="C36" t="s">
        <v>62</v>
      </c>
      <c r="D36">
        <v>10</v>
      </c>
      <c r="E36">
        <f>LOOKUP(1,1/('[1]PURCHASE PRICE'!$A:$A=A36)/('[1]PURCHASE PRICE'!$B:$B=B36)/('[1]PURCHASE PRICE'!$C:$C=C36),'[1]PURCHASE PRICE'!$D:$D)</f>
        <v>48000</v>
      </c>
      <c r="F36">
        <f>LOOKUP(1,1/('[1]PURCHASE PRICE'!$A:$A=A36)/('[1]PURCHASE PRICE'!$B:$B=B36),'[1]PURCHASE PRICE'!$D:$D)</f>
        <v>48000</v>
      </c>
      <c r="G36" s="1">
        <f t="shared" si="1"/>
        <v>48000</v>
      </c>
      <c r="H36" s="1">
        <f t="shared" si="0"/>
        <v>480000</v>
      </c>
    </row>
    <row r="37" spans="1:8" x14ac:dyDescent="0.3">
      <c r="A37" s="6">
        <v>45707</v>
      </c>
      <c r="B37" t="s">
        <v>48</v>
      </c>
      <c r="C37" t="s">
        <v>77</v>
      </c>
      <c r="D37">
        <v>300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27000</v>
      </c>
      <c r="G37" s="1">
        <f>+F37*0.25</f>
        <v>6750</v>
      </c>
      <c r="H37" s="1">
        <f t="shared" si="0"/>
        <v>2025000</v>
      </c>
    </row>
    <row r="38" spans="1:8" x14ac:dyDescent="0.3">
      <c r="A38" s="6">
        <v>45707</v>
      </c>
      <c r="B38" t="s">
        <v>48</v>
      </c>
      <c r="C38" t="s">
        <v>62</v>
      </c>
      <c r="D38">
        <v>40</v>
      </c>
      <c r="E38">
        <f>LOOKUP(1,1/('[1]PURCHASE PRICE'!$A:$A=A38)/('[1]PURCHASE PRICE'!$B:$B=B38)/('[1]PURCHASE PRICE'!$C:$C=C38),'[1]PURCHASE PRICE'!$D:$D)</f>
        <v>27000</v>
      </c>
      <c r="F38">
        <f>LOOKUP(1,1/('[1]PURCHASE PRICE'!$A:$A=A38)/('[1]PURCHASE PRICE'!$B:$B=B38),'[1]PURCHASE PRICE'!$D:$D)</f>
        <v>27000</v>
      </c>
      <c r="G38" s="1">
        <f t="shared" si="1"/>
        <v>27000</v>
      </c>
      <c r="H38" s="1">
        <f t="shared" si="0"/>
        <v>1080000</v>
      </c>
    </row>
    <row r="39" spans="1:8" x14ac:dyDescent="0.3">
      <c r="A39" s="6">
        <v>45707</v>
      </c>
      <c r="B39" t="s">
        <v>49</v>
      </c>
      <c r="C39" t="s">
        <v>62</v>
      </c>
      <c r="D39">
        <v>15</v>
      </c>
      <c r="E39">
        <f>LOOKUP(1,1/('[1]PURCHASE PRICE'!$A:$A=A39)/('[1]PURCHASE PRICE'!$B:$B=B39)/('[1]PURCHASE PRICE'!$C:$C=C39),'[1]PURCHASE PRICE'!$D:$D)</f>
        <v>55000</v>
      </c>
      <c r="F39">
        <f>LOOKUP(1,1/('[1]PURCHASE PRICE'!$A:$A=A39)/('[1]PURCHASE PRICE'!$B:$B=B39),'[1]PURCHASE PRICE'!$D:$D)</f>
        <v>55000</v>
      </c>
      <c r="G39" s="1">
        <f t="shared" si="1"/>
        <v>55000</v>
      </c>
      <c r="H39" s="1">
        <f t="shared" si="0"/>
        <v>825000</v>
      </c>
    </row>
    <row r="40" spans="1:8" x14ac:dyDescent="0.3">
      <c r="A40" s="6">
        <v>45707</v>
      </c>
      <c r="B40" t="s">
        <v>50</v>
      </c>
      <c r="C40" t="s">
        <v>77</v>
      </c>
      <c r="D40">
        <v>240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35000</v>
      </c>
      <c r="G40" s="1">
        <f>+F40*0.25</f>
        <v>8750</v>
      </c>
      <c r="H40" s="1">
        <f t="shared" si="0"/>
        <v>2100000</v>
      </c>
    </row>
    <row r="41" spans="1:8" x14ac:dyDescent="0.3">
      <c r="A41" s="6">
        <v>45707</v>
      </c>
      <c r="B41" t="s">
        <v>52</v>
      </c>
      <c r="C41" t="s">
        <v>77</v>
      </c>
      <c r="D41">
        <v>40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30000</v>
      </c>
      <c r="G41" s="1">
        <f>+F41*0.25</f>
        <v>7500</v>
      </c>
      <c r="H41" s="1">
        <f t="shared" si="0"/>
        <v>300000</v>
      </c>
    </row>
    <row r="42" spans="1:8" x14ac:dyDescent="0.3">
      <c r="A42" s="6">
        <v>45707</v>
      </c>
      <c r="B42" t="s">
        <v>53</v>
      </c>
      <c r="C42" t="s">
        <v>22</v>
      </c>
      <c r="D42">
        <v>200</v>
      </c>
      <c r="E42">
        <f>LOOKUP(1,1/('[1]PURCHASE PRICE'!$A:$A=A42)/('[1]PURCHASE PRICE'!$B:$B=B42)/('[1]PURCHASE PRICE'!$C:$C=C42),'[1]PURCHASE PRICE'!$D:$D)</f>
        <v>18000</v>
      </c>
      <c r="F42">
        <f>LOOKUP(1,1/('[1]PURCHASE PRICE'!$A:$A=A42)/('[1]PURCHASE PRICE'!$B:$B=B42),'[1]PURCHASE PRICE'!$D:$D)</f>
        <v>18000</v>
      </c>
      <c r="G42" s="1">
        <f t="shared" si="1"/>
        <v>18000</v>
      </c>
      <c r="H42" s="1">
        <f t="shared" si="0"/>
        <v>3600000</v>
      </c>
    </row>
    <row r="43" spans="1:8" x14ac:dyDescent="0.3">
      <c r="A43" s="6">
        <v>45707</v>
      </c>
      <c r="B43" t="s">
        <v>83</v>
      </c>
      <c r="C43" t="s">
        <v>62</v>
      </c>
      <c r="D43">
        <v>10</v>
      </c>
      <c r="E43">
        <f>LOOKUP(1,1/('[1]PURCHASE PRICE'!$A:$A=A43)/('[1]PURCHASE PRICE'!$B:$B=B43)/('[1]PURCHASE PRICE'!$C:$C=C43),'[1]PURCHASE PRICE'!$D:$D)</f>
        <v>20000</v>
      </c>
      <c r="F43">
        <f>LOOKUP(1,1/('[1]PURCHASE PRICE'!$A:$A=A43)/('[1]PURCHASE PRICE'!$B:$B=B43),'[1]PURCHASE PRICE'!$D:$D)</f>
        <v>20000</v>
      </c>
      <c r="G43" s="1">
        <f t="shared" si="1"/>
        <v>20000</v>
      </c>
      <c r="H43" s="1">
        <f t="shared" si="0"/>
        <v>200000</v>
      </c>
    </row>
    <row r="44" spans="1:8" x14ac:dyDescent="0.3">
      <c r="A44" s="6">
        <v>45707</v>
      </c>
      <c r="B44" t="s">
        <v>55</v>
      </c>
      <c r="C44" t="s">
        <v>62</v>
      </c>
      <c r="D44">
        <v>200</v>
      </c>
      <c r="E44">
        <f>LOOKUP(1,1/('[1]PURCHASE PRICE'!$A:$A=A44)/('[1]PURCHASE PRICE'!$B:$B=B44)/('[1]PURCHASE PRICE'!$C:$C=C44),'[1]PURCHASE PRICE'!$D:$D)</f>
        <v>10000</v>
      </c>
      <c r="F44">
        <f>LOOKUP(1,1/('[1]PURCHASE PRICE'!$A:$A=A44)/('[1]PURCHASE PRICE'!$B:$B=B44),'[1]PURCHASE PRICE'!$D:$D)</f>
        <v>10000</v>
      </c>
      <c r="G44" s="1">
        <f t="shared" si="1"/>
        <v>10000</v>
      </c>
      <c r="H44" s="1">
        <f t="shared" si="0"/>
        <v>2000000</v>
      </c>
    </row>
    <row r="45" spans="1:8" x14ac:dyDescent="0.3">
      <c r="A45" s="6">
        <v>45707</v>
      </c>
      <c r="B45" t="s">
        <v>56</v>
      </c>
      <c r="C45" t="s">
        <v>26</v>
      </c>
      <c r="D45">
        <v>100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 s="1">
        <f t="shared" si="1"/>
        <v>6800</v>
      </c>
      <c r="H45" s="1">
        <f t="shared" si="0"/>
        <v>680000</v>
      </c>
    </row>
    <row r="46" spans="1:8" x14ac:dyDescent="0.3">
      <c r="A46" s="6">
        <v>45707</v>
      </c>
      <c r="B46" t="s">
        <v>96</v>
      </c>
      <c r="C46" t="s">
        <v>62</v>
      </c>
      <c r="D46">
        <v>80</v>
      </c>
      <c r="E46">
        <f>LOOKUP(1,1/('[1]PURCHASE PRICE'!$A:$A=A46)/('[1]PURCHASE PRICE'!$B:$B=B46)/('[1]PURCHASE PRICE'!$C:$C=C46),'[1]PURCHASE PRICE'!$D:$D)</f>
        <v>24000</v>
      </c>
      <c r="F46">
        <f>LOOKUP(1,1/('[1]PURCHASE PRICE'!$A:$A=A46)/('[1]PURCHASE PRICE'!$B:$B=B46),'[1]PURCHASE PRICE'!$D:$D)</f>
        <v>24000</v>
      </c>
      <c r="G46" s="1">
        <f t="shared" si="1"/>
        <v>24000</v>
      </c>
      <c r="H46" s="1">
        <f t="shared" si="0"/>
        <v>1920000</v>
      </c>
    </row>
    <row r="47" spans="1:8" x14ac:dyDescent="0.3">
      <c r="A47" s="6">
        <v>45707</v>
      </c>
      <c r="B47" t="s">
        <v>58</v>
      </c>
      <c r="C47" t="s">
        <v>62</v>
      </c>
      <c r="D47">
        <v>20</v>
      </c>
      <c r="E47">
        <f>LOOKUP(1,1/('[1]PURCHASE PRICE'!$A:$A=A47)/('[1]PURCHASE PRICE'!$B:$B=B47)/('[1]PURCHASE PRICE'!$C:$C=C47),'[1]PURCHASE PRICE'!$D:$D)</f>
        <v>12000</v>
      </c>
      <c r="F47">
        <f>LOOKUP(1,1/('[1]PURCHASE PRICE'!$A:$A=A47)/('[1]PURCHASE PRICE'!$B:$B=B47),'[1]PURCHASE PRICE'!$D:$D)</f>
        <v>12000</v>
      </c>
      <c r="G47" s="1">
        <f t="shared" si="1"/>
        <v>12000</v>
      </c>
      <c r="H47" s="1">
        <f t="shared" si="0"/>
        <v>240000</v>
      </c>
    </row>
    <row r="48" spans="1:8" x14ac:dyDescent="0.3">
      <c r="A48" s="6">
        <v>45707</v>
      </c>
      <c r="B48" t="s">
        <v>94</v>
      </c>
      <c r="C48" t="s">
        <v>113</v>
      </c>
      <c r="D48">
        <v>5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250000</v>
      </c>
      <c r="G48" s="1">
        <f>+F48/2</f>
        <v>125000</v>
      </c>
      <c r="H48" s="1">
        <f t="shared" si="0"/>
        <v>625000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4786-AC93-4801-BB7C-D9BDA59E98BF}">
  <dimension ref="A1:H42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43459500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45708</v>
      </c>
      <c r="B3" t="s">
        <v>108</v>
      </c>
      <c r="C3" t="s">
        <v>62</v>
      </c>
      <c r="D3">
        <v>20</v>
      </c>
      <c r="E3">
        <f>LOOKUP(1,1/('[1]PURCHASE PRICE'!$A:$A=A3)/('[1]PURCHASE PRICE'!$B:$B=B3)/('[1]PURCHASE PRICE'!$C:$C=C3),'[1]PURCHASE PRICE'!$D:$D)</f>
        <v>9000</v>
      </c>
      <c r="F3">
        <f>LOOKUP(1,1/('[1]PURCHASE PRICE'!$A:$A=A3)/('[1]PURCHASE PRICE'!$B:$B=B3),'[1]PURCHASE PRICE'!$D:$D)</f>
        <v>9000</v>
      </c>
      <c r="G3" s="1">
        <f>E3</f>
        <v>9000</v>
      </c>
      <c r="H3" s="1">
        <f>+G3*D3</f>
        <v>180000</v>
      </c>
    </row>
    <row r="4" spans="1:8" x14ac:dyDescent="0.3">
      <c r="A4" s="6">
        <v>45708</v>
      </c>
      <c r="B4" t="s">
        <v>4</v>
      </c>
      <c r="C4" t="s">
        <v>77</v>
      </c>
      <c r="D4">
        <v>430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15500</v>
      </c>
      <c r="G4" s="1">
        <f>+F4*0.3</f>
        <v>4650</v>
      </c>
      <c r="H4" s="1">
        <f t="shared" ref="H4:H42" si="0">+G4*D4</f>
        <v>1999500</v>
      </c>
    </row>
    <row r="5" spans="1:8" x14ac:dyDescent="0.3">
      <c r="A5" s="6">
        <v>45708</v>
      </c>
      <c r="B5" t="s">
        <v>6</v>
      </c>
      <c r="C5" t="s">
        <v>77</v>
      </c>
      <c r="D5">
        <v>240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13500*0.3</f>
        <v>4050</v>
      </c>
      <c r="H5" s="1">
        <f t="shared" si="0"/>
        <v>972000</v>
      </c>
    </row>
    <row r="6" spans="1:8" x14ac:dyDescent="0.3">
      <c r="A6" s="6">
        <v>45708</v>
      </c>
      <c r="B6" t="s">
        <v>63</v>
      </c>
      <c r="C6" t="s">
        <v>62</v>
      </c>
      <c r="D6">
        <v>5</v>
      </c>
      <c r="E6">
        <f>LOOKUP(1,1/('[1]PURCHASE PRICE'!$A:$A=A6)/('[1]PURCHASE PRICE'!$B:$B=B6)/('[1]PURCHASE PRICE'!$C:$C=C6),'[1]PURCHASE PRICE'!$D:$D)</f>
        <v>20000</v>
      </c>
      <c r="F6">
        <f>LOOKUP(1,1/('[1]PURCHASE PRICE'!$A:$A=A6)/('[1]PURCHASE PRICE'!$B:$B=B6),'[1]PURCHASE PRICE'!$D:$D)</f>
        <v>20000</v>
      </c>
      <c r="G6" s="1">
        <f t="shared" ref="G6:G42" si="1">E6</f>
        <v>20000</v>
      </c>
      <c r="H6" s="1">
        <f t="shared" si="0"/>
        <v>100000</v>
      </c>
    </row>
    <row r="7" spans="1:8" x14ac:dyDescent="0.3">
      <c r="A7" s="6">
        <v>45708</v>
      </c>
      <c r="B7" t="s">
        <v>8</v>
      </c>
      <c r="C7" t="s">
        <v>9</v>
      </c>
      <c r="D7">
        <v>60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si="1"/>
        <v>6000</v>
      </c>
      <c r="H7" s="1">
        <f t="shared" si="0"/>
        <v>360000</v>
      </c>
    </row>
    <row r="8" spans="1:8" x14ac:dyDescent="0.3">
      <c r="A8" s="6">
        <v>45708</v>
      </c>
      <c r="B8" t="s">
        <v>78</v>
      </c>
      <c r="C8" t="s">
        <v>62</v>
      </c>
      <c r="D8">
        <v>100</v>
      </c>
      <c r="E8">
        <f>LOOKUP(1,1/('[1]PURCHASE PRICE'!$A:$A=A8)/('[1]PURCHASE PRICE'!$B:$B=B8)/('[1]PURCHASE PRICE'!$C:$C=C8),'[1]PURCHASE PRICE'!$D:$D)</f>
        <v>16000</v>
      </c>
      <c r="F8">
        <f>LOOKUP(1,1/('[1]PURCHASE PRICE'!$A:$A=A8)/('[1]PURCHASE PRICE'!$B:$B=B8),'[1]PURCHASE PRICE'!$D:$D)</f>
        <v>16000</v>
      </c>
      <c r="G8" s="1">
        <f t="shared" si="1"/>
        <v>16000</v>
      </c>
      <c r="H8" s="1">
        <f t="shared" si="0"/>
        <v>1600000</v>
      </c>
    </row>
    <row r="9" spans="1:8" x14ac:dyDescent="0.3">
      <c r="A9" s="6">
        <v>45708</v>
      </c>
      <c r="B9" t="s">
        <v>10</v>
      </c>
      <c r="C9" t="s">
        <v>79</v>
      </c>
      <c r="D9">
        <v>80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 s="1">
        <f t="shared" si="1"/>
        <v>8000</v>
      </c>
      <c r="H9" s="1">
        <f t="shared" si="0"/>
        <v>640000</v>
      </c>
    </row>
    <row r="10" spans="1:8" x14ac:dyDescent="0.3">
      <c r="A10" s="6">
        <v>45708</v>
      </c>
      <c r="B10" t="s">
        <v>12</v>
      </c>
      <c r="C10" t="s">
        <v>13</v>
      </c>
      <c r="D10">
        <v>200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1"/>
        <v>6000</v>
      </c>
      <c r="H10" s="1">
        <f t="shared" si="0"/>
        <v>1200000</v>
      </c>
    </row>
    <row r="11" spans="1:8" x14ac:dyDescent="0.3">
      <c r="A11" s="6">
        <v>45708</v>
      </c>
      <c r="B11" t="s">
        <v>14</v>
      </c>
      <c r="C11" t="s">
        <v>15</v>
      </c>
      <c r="D11">
        <v>40</v>
      </c>
      <c r="E11">
        <f>LOOKUP(1,1/('[1]PURCHASE PRICE'!$A:$A=A11)/('[1]PURCHASE PRICE'!$B:$B=B11)/('[1]PURCHASE PRICE'!$C:$C=C11),'[1]PURCHASE PRICE'!$D:$D)</f>
        <v>10200</v>
      </c>
      <c r="F11">
        <f>LOOKUP(1,1/('[1]PURCHASE PRICE'!$A:$A=A11)/('[1]PURCHASE PRICE'!$B:$B=B11),'[1]PURCHASE PRICE'!$D:$D)</f>
        <v>10200</v>
      </c>
      <c r="G11" s="1">
        <f t="shared" si="1"/>
        <v>10200</v>
      </c>
      <c r="H11" s="1">
        <f t="shared" si="0"/>
        <v>408000</v>
      </c>
    </row>
    <row r="12" spans="1:8" x14ac:dyDescent="0.3">
      <c r="A12" s="6">
        <v>45708</v>
      </c>
      <c r="B12" t="s">
        <v>16</v>
      </c>
      <c r="C12" t="s">
        <v>13</v>
      </c>
      <c r="D12">
        <v>145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7500</v>
      </c>
      <c r="G12" s="1">
        <f>+F12</f>
        <v>7500</v>
      </c>
      <c r="H12" s="1">
        <f t="shared" si="0"/>
        <v>1087500</v>
      </c>
    </row>
    <row r="13" spans="1:8" x14ac:dyDescent="0.3">
      <c r="A13" s="6">
        <v>45708</v>
      </c>
      <c r="B13" t="s">
        <v>17</v>
      </c>
      <c r="C13" t="s">
        <v>62</v>
      </c>
      <c r="D13">
        <v>40</v>
      </c>
      <c r="E13">
        <f>LOOKUP(1,1/('[1]PURCHASE PRICE'!$A:$A=A13)/('[1]PURCHASE PRICE'!$B:$B=B13)/('[1]PURCHASE PRICE'!$C:$C=C13),'[1]PURCHASE PRICE'!$D:$D)</f>
        <v>18000</v>
      </c>
      <c r="F13">
        <f>LOOKUP(1,1/('[1]PURCHASE PRICE'!$A:$A=A13)/('[1]PURCHASE PRICE'!$B:$B=B13),'[1]PURCHASE PRICE'!$D:$D)</f>
        <v>18000</v>
      </c>
      <c r="G13" s="1">
        <f t="shared" si="1"/>
        <v>18000</v>
      </c>
      <c r="H13" s="1">
        <f t="shared" si="0"/>
        <v>720000</v>
      </c>
    </row>
    <row r="14" spans="1:8" x14ac:dyDescent="0.3">
      <c r="A14" s="6">
        <v>45708</v>
      </c>
      <c r="B14" t="s">
        <v>19</v>
      </c>
      <c r="C14" t="s">
        <v>9</v>
      </c>
      <c r="D14">
        <v>50</v>
      </c>
      <c r="E14">
        <f>LOOKUP(1,1/('[1]PURCHASE PRICE'!$A:$A=A14)/('[1]PURCHASE PRICE'!$B:$B=B14)/('[1]PURCHASE PRICE'!$C:$C=C14),'[1]PURCHASE PRICE'!$D:$D)</f>
        <v>6000</v>
      </c>
      <c r="F14">
        <f>LOOKUP(1,1/('[1]PURCHASE PRICE'!$A:$A=A14)/('[1]PURCHASE PRICE'!$B:$B=B14),'[1]PURCHASE PRICE'!$D:$D)</f>
        <v>6000</v>
      </c>
      <c r="G14" s="1">
        <f t="shared" si="1"/>
        <v>6000</v>
      </c>
      <c r="H14" s="1">
        <f t="shared" si="0"/>
        <v>300000</v>
      </c>
    </row>
    <row r="15" spans="1:8" x14ac:dyDescent="0.3">
      <c r="A15" s="6">
        <v>45708</v>
      </c>
      <c r="B15" t="s">
        <v>20</v>
      </c>
      <c r="C15" t="s">
        <v>62</v>
      </c>
      <c r="D15">
        <v>60</v>
      </c>
      <c r="E15">
        <f>LOOKUP(1,1/('[1]PURCHASE PRICE'!$A:$A=A15)/('[1]PURCHASE PRICE'!$B:$B=B15)/('[1]PURCHASE PRICE'!$C:$C=C15),'[1]PURCHASE PRICE'!$D:$D)</f>
        <v>12000</v>
      </c>
      <c r="F15">
        <f>LOOKUP(1,1/('[1]PURCHASE PRICE'!$A:$A=A15)/('[1]PURCHASE PRICE'!$B:$B=B15),'[1]PURCHASE PRICE'!$D:$D)</f>
        <v>12000</v>
      </c>
      <c r="G15" s="1">
        <f t="shared" si="1"/>
        <v>12000</v>
      </c>
      <c r="H15" s="1">
        <f t="shared" si="0"/>
        <v>720000</v>
      </c>
    </row>
    <row r="16" spans="1:8" x14ac:dyDescent="0.3">
      <c r="A16" s="6">
        <v>45708</v>
      </c>
      <c r="B16" t="s">
        <v>21</v>
      </c>
      <c r="C16" t="s">
        <v>22</v>
      </c>
      <c r="D16">
        <v>100</v>
      </c>
      <c r="E16">
        <f>LOOKUP(1,1/('[1]PURCHASE PRICE'!$A:$A=A16)/('[1]PURCHASE PRICE'!$B:$B=B16)/('[1]PURCHASE PRICE'!$C:$C=C16),'[1]PURCHASE PRICE'!$D:$D)</f>
        <v>3900</v>
      </c>
      <c r="F16">
        <f>LOOKUP(1,1/('[1]PURCHASE PRICE'!$A:$A=A16)/('[1]PURCHASE PRICE'!$B:$B=B16),'[1]PURCHASE PRICE'!$D:$D)</f>
        <v>3900</v>
      </c>
      <c r="G16" s="1">
        <f t="shared" si="1"/>
        <v>3900</v>
      </c>
      <c r="H16" s="1">
        <f t="shared" si="0"/>
        <v>390000</v>
      </c>
    </row>
    <row r="17" spans="1:8" x14ac:dyDescent="0.3">
      <c r="A17" s="6">
        <v>45708</v>
      </c>
      <c r="B17" t="s">
        <v>21</v>
      </c>
      <c r="C17" t="s">
        <v>97</v>
      </c>
      <c r="D17">
        <v>50</v>
      </c>
      <c r="E17">
        <f>LOOKUP(1,1/('[1]PURCHASE PRICE'!$A:$A=A17)/('[1]PURCHASE PRICE'!$B:$B=B17)/('[1]PURCHASE PRICE'!$C:$C=C17),'[1]PURCHASE PRICE'!$D:$D)</f>
        <v>1900</v>
      </c>
      <c r="F17">
        <f>LOOKUP(1,1/('[1]PURCHASE PRICE'!$A:$A=A17)/('[1]PURCHASE PRICE'!$B:$B=B17),'[1]PURCHASE PRICE'!$D:$D)</f>
        <v>3900</v>
      </c>
      <c r="G17" s="1">
        <f t="shared" si="1"/>
        <v>1900</v>
      </c>
      <c r="H17" s="1">
        <f t="shared" si="0"/>
        <v>95000</v>
      </c>
    </row>
    <row r="18" spans="1:8" x14ac:dyDescent="0.3">
      <c r="A18" s="6">
        <v>45708</v>
      </c>
      <c r="B18" t="s">
        <v>25</v>
      </c>
      <c r="C18" t="s">
        <v>26</v>
      </c>
      <c r="D18">
        <v>230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11000</v>
      </c>
      <c r="G18" s="1">
        <f>+F18/2</f>
        <v>5500</v>
      </c>
      <c r="H18" s="1">
        <f t="shared" si="0"/>
        <v>1265000</v>
      </c>
    </row>
    <row r="19" spans="1:8" x14ac:dyDescent="0.3">
      <c r="A19" s="6">
        <v>45708</v>
      </c>
      <c r="B19" t="s">
        <v>28</v>
      </c>
      <c r="C19" t="s">
        <v>15</v>
      </c>
      <c r="D19">
        <v>40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0"/>
        <v>400000</v>
      </c>
    </row>
    <row r="20" spans="1:8" x14ac:dyDescent="0.3">
      <c r="A20" s="6">
        <v>45708</v>
      </c>
      <c r="B20" t="s">
        <v>80</v>
      </c>
      <c r="C20" t="s">
        <v>62</v>
      </c>
      <c r="D20">
        <v>30</v>
      </c>
      <c r="E20">
        <f>LOOKUP(1,1/('[1]PURCHASE PRICE'!$A:$A=A20)/('[1]PURCHASE PRICE'!$B:$B=B20)/('[1]PURCHASE PRICE'!$C:$C=C20),'[1]PURCHASE PRICE'!$D:$D)</f>
        <v>9000</v>
      </c>
      <c r="F20">
        <f>LOOKUP(1,1/('[1]PURCHASE PRICE'!$A:$A=A20)/('[1]PURCHASE PRICE'!$B:$B=B20),'[1]PURCHASE PRICE'!$D:$D)</f>
        <v>9000</v>
      </c>
      <c r="G20" s="1">
        <f t="shared" si="1"/>
        <v>9000</v>
      </c>
      <c r="H20" s="1">
        <f t="shared" si="0"/>
        <v>270000</v>
      </c>
    </row>
    <row r="21" spans="1:8" x14ac:dyDescent="0.3">
      <c r="A21" s="6">
        <v>45708</v>
      </c>
      <c r="B21" t="s">
        <v>33</v>
      </c>
      <c r="C21" t="s">
        <v>62</v>
      </c>
      <c r="D21">
        <v>200</v>
      </c>
      <c r="E21">
        <f>LOOKUP(1,1/('[1]PURCHASE PRICE'!$A:$A=A21)/('[1]PURCHASE PRICE'!$B:$B=B21)/('[1]PURCHASE PRICE'!$C:$C=C21),'[1]PURCHASE PRICE'!$D:$D)</f>
        <v>25000</v>
      </c>
      <c r="F21">
        <f>LOOKUP(1,1/('[1]PURCHASE PRICE'!$A:$A=A21)/('[1]PURCHASE PRICE'!$B:$B=B21),'[1]PURCHASE PRICE'!$D:$D)</f>
        <v>25000</v>
      </c>
      <c r="G21" s="1">
        <f t="shared" si="1"/>
        <v>25000</v>
      </c>
      <c r="H21" s="1">
        <f t="shared" si="0"/>
        <v>5000000</v>
      </c>
    </row>
    <row r="22" spans="1:8" x14ac:dyDescent="0.3">
      <c r="A22" s="6">
        <v>45708</v>
      </c>
      <c r="B22" t="s">
        <v>34</v>
      </c>
      <c r="C22" t="s">
        <v>62</v>
      </c>
      <c r="D22">
        <v>200</v>
      </c>
      <c r="E22">
        <f>LOOKUP(1,1/('[1]PURCHASE PRICE'!$A:$A=A22)/('[1]PURCHASE PRICE'!$B:$B=B22)/('[1]PURCHASE PRICE'!$C:$C=C22),'[1]PURCHASE PRICE'!$D:$D)</f>
        <v>16500</v>
      </c>
      <c r="F22">
        <f>LOOKUP(1,1/('[1]PURCHASE PRICE'!$A:$A=A22)/('[1]PURCHASE PRICE'!$B:$B=B22),'[1]PURCHASE PRICE'!$D:$D)</f>
        <v>16500</v>
      </c>
      <c r="G22" s="1">
        <f t="shared" si="1"/>
        <v>16500</v>
      </c>
      <c r="H22" s="1">
        <f t="shared" si="0"/>
        <v>3300000</v>
      </c>
    </row>
    <row r="23" spans="1:8" x14ac:dyDescent="0.3">
      <c r="A23" s="6">
        <v>45708</v>
      </c>
      <c r="B23" t="s">
        <v>35</v>
      </c>
      <c r="C23" t="s">
        <v>62</v>
      </c>
      <c r="D23">
        <v>20</v>
      </c>
      <c r="E23">
        <f>LOOKUP(1,1/('[1]PURCHASE PRICE'!$A:$A=A23)/('[1]PURCHASE PRICE'!$B:$B=B23)/('[1]PURCHASE PRICE'!$C:$C=C23),'[1]PURCHASE PRICE'!$D:$D)</f>
        <v>10800</v>
      </c>
      <c r="F23">
        <f>LOOKUP(1,1/('[1]PURCHASE PRICE'!$A:$A=A23)/('[1]PURCHASE PRICE'!$B:$B=B23),'[1]PURCHASE PRICE'!$D:$D)</f>
        <v>10800</v>
      </c>
      <c r="G23" s="1">
        <f t="shared" si="1"/>
        <v>10800</v>
      </c>
      <c r="H23" s="1">
        <f t="shared" si="0"/>
        <v>216000</v>
      </c>
    </row>
    <row r="24" spans="1:8" x14ac:dyDescent="0.3">
      <c r="A24" s="6">
        <v>45708</v>
      </c>
      <c r="B24" t="s">
        <v>36</v>
      </c>
      <c r="C24" t="s">
        <v>22</v>
      </c>
      <c r="D24">
        <v>20</v>
      </c>
      <c r="E24">
        <f>LOOKUP(1,1/('[1]PURCHASE PRICE'!$A:$A=A24)/('[1]PURCHASE PRICE'!$B:$B=B24)/('[1]PURCHASE PRICE'!$C:$C=C24),'[1]PURCHASE PRICE'!$D:$D)</f>
        <v>6000</v>
      </c>
      <c r="F24">
        <f>LOOKUP(1,1/('[1]PURCHASE PRICE'!$A:$A=A24)/('[1]PURCHASE PRICE'!$B:$B=B24),'[1]PURCHASE PRICE'!$D:$D)</f>
        <v>6000</v>
      </c>
      <c r="G24" s="1">
        <f t="shared" si="1"/>
        <v>6000</v>
      </c>
      <c r="H24" s="1">
        <f t="shared" si="0"/>
        <v>120000</v>
      </c>
    </row>
    <row r="25" spans="1:8" x14ac:dyDescent="0.3">
      <c r="A25" s="6">
        <v>45708</v>
      </c>
      <c r="B25" t="s">
        <v>37</v>
      </c>
      <c r="C25" t="s">
        <v>31</v>
      </c>
      <c r="D25">
        <v>70</v>
      </c>
      <c r="E25">
        <f>LOOKUP(1,1/('[1]PURCHASE PRICE'!$A:$A=A25)/('[1]PURCHASE PRICE'!$B:$B=B25)/('[1]PURCHASE PRICE'!$C:$C=C25),'[1]PURCHASE PRICE'!$D:$D)</f>
        <v>5500</v>
      </c>
      <c r="F25">
        <f>LOOKUP(1,1/('[1]PURCHASE PRICE'!$A:$A=A25)/('[1]PURCHASE PRICE'!$B:$B=B25),'[1]PURCHASE PRICE'!$D:$D)</f>
        <v>6000</v>
      </c>
      <c r="G25" s="1">
        <f t="shared" si="1"/>
        <v>5500</v>
      </c>
      <c r="H25" s="1">
        <f t="shared" si="0"/>
        <v>385000</v>
      </c>
    </row>
    <row r="26" spans="1:8" x14ac:dyDescent="0.3">
      <c r="A26" s="6">
        <v>45708</v>
      </c>
      <c r="B26" t="s">
        <v>38</v>
      </c>
      <c r="C26" t="s">
        <v>62</v>
      </c>
      <c r="D26">
        <v>3</v>
      </c>
      <c r="E26">
        <f>LOOKUP(1,1/('[1]PURCHASE PRICE'!$A:$A=A26)/('[1]PURCHASE PRICE'!$B:$B=B26)/('[1]PURCHASE PRICE'!$C:$C=C26),'[1]PURCHASE PRICE'!$D:$D)</f>
        <v>80000</v>
      </c>
      <c r="F26">
        <f>LOOKUP(1,1/('[1]PURCHASE PRICE'!$A:$A=A26)/('[1]PURCHASE PRICE'!$B:$B=B26),'[1]PURCHASE PRICE'!$D:$D)</f>
        <v>80000</v>
      </c>
      <c r="G26" s="1">
        <f t="shared" si="1"/>
        <v>80000</v>
      </c>
      <c r="H26" s="1">
        <f t="shared" si="0"/>
        <v>240000</v>
      </c>
    </row>
    <row r="27" spans="1:8" x14ac:dyDescent="0.3">
      <c r="A27" s="6">
        <v>45708</v>
      </c>
      <c r="B27" t="s">
        <v>39</v>
      </c>
      <c r="C27" t="s">
        <v>9</v>
      </c>
      <c r="D27">
        <v>280</v>
      </c>
      <c r="E27">
        <f>LOOKUP(1,1/('[1]PURCHASE PRICE'!$A:$A=A27)/('[1]PURCHASE PRICE'!$B:$B=B27)/('[1]PURCHASE PRICE'!$C:$C=C27),'[1]PURCHASE PRICE'!$D:$D)</f>
        <v>7500</v>
      </c>
      <c r="F27">
        <f>LOOKUP(1,1/('[1]PURCHASE PRICE'!$A:$A=A27)/('[1]PURCHASE PRICE'!$B:$B=B27),'[1]PURCHASE PRICE'!$D:$D)</f>
        <v>7500</v>
      </c>
      <c r="G27" s="1">
        <f t="shared" si="1"/>
        <v>7500</v>
      </c>
      <c r="H27" s="1">
        <f t="shared" si="0"/>
        <v>2100000</v>
      </c>
    </row>
    <row r="28" spans="1:8" x14ac:dyDescent="0.3">
      <c r="A28" s="6">
        <v>45708</v>
      </c>
      <c r="B28" t="s">
        <v>40</v>
      </c>
      <c r="C28" t="s">
        <v>22</v>
      </c>
      <c r="D28">
        <v>20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15000</v>
      </c>
      <c r="G28" s="1">
        <f>+F28*0.6</f>
        <v>9000</v>
      </c>
      <c r="H28" s="1">
        <f t="shared" si="0"/>
        <v>180000</v>
      </c>
    </row>
    <row r="29" spans="1:8" x14ac:dyDescent="0.3">
      <c r="A29" s="6">
        <v>45708</v>
      </c>
      <c r="B29" t="s">
        <v>41</v>
      </c>
      <c r="C29" t="s">
        <v>26</v>
      </c>
      <c r="D29">
        <v>100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10000</v>
      </c>
      <c r="G29" s="1">
        <f>11500*0.15</f>
        <v>1725</v>
      </c>
      <c r="H29" s="1">
        <f t="shared" si="0"/>
        <v>172500</v>
      </c>
    </row>
    <row r="30" spans="1:8" x14ac:dyDescent="0.3">
      <c r="A30" s="6">
        <v>45708</v>
      </c>
      <c r="B30" t="s">
        <v>42</v>
      </c>
      <c r="C30" t="s">
        <v>62</v>
      </c>
      <c r="D30">
        <v>25</v>
      </c>
      <c r="E30">
        <f>LOOKUP(1,1/('[1]PURCHASE PRICE'!$A:$A=A30)/('[1]PURCHASE PRICE'!$B:$B=B30)/('[1]PURCHASE PRICE'!$C:$C=C30),'[1]PURCHASE PRICE'!$D:$D)</f>
        <v>25000</v>
      </c>
      <c r="F30">
        <f>LOOKUP(1,1/('[1]PURCHASE PRICE'!$A:$A=A30)/('[1]PURCHASE PRICE'!$B:$B=B30),'[1]PURCHASE PRICE'!$D:$D)</f>
        <v>25000</v>
      </c>
      <c r="G30" s="1">
        <f t="shared" si="1"/>
        <v>25000</v>
      </c>
      <c r="H30" s="1">
        <f t="shared" si="0"/>
        <v>625000</v>
      </c>
    </row>
    <row r="31" spans="1:8" x14ac:dyDescent="0.3">
      <c r="A31" s="6">
        <v>45708</v>
      </c>
      <c r="B31" t="s">
        <v>43</v>
      </c>
      <c r="C31" t="s">
        <v>62</v>
      </c>
      <c r="D31">
        <v>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0</v>
      </c>
      <c r="H31" s="1">
        <f t="shared" si="0"/>
        <v>0</v>
      </c>
    </row>
    <row r="32" spans="1:8" x14ac:dyDescent="0.3">
      <c r="A32" s="6">
        <v>45708</v>
      </c>
      <c r="B32" t="s">
        <v>44</v>
      </c>
      <c r="C32" t="s">
        <v>22</v>
      </c>
      <c r="D32">
        <v>400</v>
      </c>
      <c r="E32">
        <f>LOOKUP(1,1/('[1]PURCHASE PRICE'!$A:$A=A32)/('[1]PURCHASE PRICE'!$B:$B=B32)/('[1]PURCHASE PRICE'!$C:$C=C32),'[1]PURCHASE PRICE'!$D:$D)</f>
        <v>2500</v>
      </c>
      <c r="F32">
        <f>LOOKUP(1,1/('[1]PURCHASE PRICE'!$A:$A=A32)/('[1]PURCHASE PRICE'!$B:$B=B32),'[1]PURCHASE PRICE'!$D:$D)</f>
        <v>2500</v>
      </c>
      <c r="G32" s="1">
        <f t="shared" si="1"/>
        <v>2500</v>
      </c>
      <c r="H32" s="1">
        <f t="shared" si="0"/>
        <v>1000000</v>
      </c>
    </row>
    <row r="33" spans="1:8" x14ac:dyDescent="0.3">
      <c r="A33" s="6">
        <v>45708</v>
      </c>
      <c r="B33" t="s">
        <v>45</v>
      </c>
      <c r="C33" t="s">
        <v>62</v>
      </c>
      <c r="D33">
        <v>30</v>
      </c>
      <c r="E33">
        <f>LOOKUP(1,1/('[1]PURCHASE PRICE'!$A:$A=A33)/('[1]PURCHASE PRICE'!$B:$B=B33)/('[1]PURCHASE PRICE'!$C:$C=C33),'[1]PURCHASE PRICE'!$D:$D)</f>
        <v>49000</v>
      </c>
      <c r="F33">
        <f>LOOKUP(1,1/('[1]PURCHASE PRICE'!$A:$A=A33)/('[1]PURCHASE PRICE'!$B:$B=B33),'[1]PURCHASE PRICE'!$D:$D)</f>
        <v>49000</v>
      </c>
      <c r="G33" s="1">
        <f t="shared" si="1"/>
        <v>49000</v>
      </c>
      <c r="H33" s="1">
        <f t="shared" si="0"/>
        <v>1470000</v>
      </c>
    </row>
    <row r="34" spans="1:8" x14ac:dyDescent="0.3">
      <c r="A34" s="6">
        <v>45708</v>
      </c>
      <c r="B34" t="s">
        <v>47</v>
      </c>
      <c r="C34" t="s">
        <v>62</v>
      </c>
      <c r="D34">
        <v>12</v>
      </c>
      <c r="E34">
        <f>LOOKUP(1,1/('[1]PURCHASE PRICE'!$A:$A=A34)/('[1]PURCHASE PRICE'!$B:$B=B34)/('[1]PURCHASE PRICE'!$C:$C=C34),'[1]PURCHASE PRICE'!$D:$D)</f>
        <v>42000</v>
      </c>
      <c r="F34">
        <f>LOOKUP(1,1/('[1]PURCHASE PRICE'!$A:$A=A34)/('[1]PURCHASE PRICE'!$B:$B=B34),'[1]PURCHASE PRICE'!$D:$D)</f>
        <v>42000</v>
      </c>
      <c r="G34" s="1">
        <f t="shared" si="1"/>
        <v>42000</v>
      </c>
      <c r="H34" s="1">
        <f t="shared" si="0"/>
        <v>504000</v>
      </c>
    </row>
    <row r="35" spans="1:8" x14ac:dyDescent="0.3">
      <c r="A35" s="6">
        <v>45708</v>
      </c>
      <c r="B35" t="s">
        <v>48</v>
      </c>
      <c r="C35" t="s">
        <v>77</v>
      </c>
      <c r="D35">
        <v>600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22000</v>
      </c>
      <c r="G35" s="1">
        <f>+F35*0.25</f>
        <v>5500</v>
      </c>
      <c r="H35" s="1">
        <f t="shared" si="0"/>
        <v>3300000</v>
      </c>
    </row>
    <row r="36" spans="1:8" x14ac:dyDescent="0.3">
      <c r="A36" s="6">
        <v>45708</v>
      </c>
      <c r="B36" t="s">
        <v>49</v>
      </c>
      <c r="C36" t="s">
        <v>62</v>
      </c>
      <c r="D36">
        <v>10</v>
      </c>
      <c r="E36">
        <f>LOOKUP(1,1/('[1]PURCHASE PRICE'!$A:$A=A36)/('[1]PURCHASE PRICE'!$B:$B=B36)/('[1]PURCHASE PRICE'!$C:$C=C36),'[1]PURCHASE PRICE'!$D:$D)</f>
        <v>55000</v>
      </c>
      <c r="F36">
        <f>LOOKUP(1,1/('[1]PURCHASE PRICE'!$A:$A=A36)/('[1]PURCHASE PRICE'!$B:$B=B36),'[1]PURCHASE PRICE'!$D:$D)</f>
        <v>55000</v>
      </c>
      <c r="G36" s="1">
        <f t="shared" si="1"/>
        <v>55000</v>
      </c>
      <c r="H36" s="1">
        <f t="shared" si="0"/>
        <v>550000</v>
      </c>
    </row>
    <row r="37" spans="1:8" x14ac:dyDescent="0.3">
      <c r="A37" s="6">
        <v>45708</v>
      </c>
      <c r="B37" t="s">
        <v>50</v>
      </c>
      <c r="C37" t="s">
        <v>77</v>
      </c>
      <c r="D37">
        <v>300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32000</v>
      </c>
      <c r="G37" s="1">
        <f>+F37*0.25</f>
        <v>8000</v>
      </c>
      <c r="H37" s="1">
        <f t="shared" si="0"/>
        <v>2400000</v>
      </c>
    </row>
    <row r="38" spans="1:8" x14ac:dyDescent="0.3">
      <c r="A38" s="6">
        <v>45708</v>
      </c>
      <c r="B38" t="s">
        <v>52</v>
      </c>
      <c r="C38" t="s">
        <v>77</v>
      </c>
      <c r="D38">
        <v>20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28000</v>
      </c>
      <c r="G38" s="1">
        <f>+F38*0.25</f>
        <v>7000</v>
      </c>
      <c r="H38" s="1">
        <f t="shared" si="0"/>
        <v>140000</v>
      </c>
    </row>
    <row r="39" spans="1:8" x14ac:dyDescent="0.3">
      <c r="A39" s="6">
        <v>45708</v>
      </c>
      <c r="B39" t="s">
        <v>53</v>
      </c>
      <c r="C39" t="s">
        <v>22</v>
      </c>
      <c r="D39">
        <v>325</v>
      </c>
      <c r="E39">
        <f>LOOKUP(1,1/('[1]PURCHASE PRICE'!$A:$A=A39)/('[1]PURCHASE PRICE'!$B:$B=B39)/('[1]PURCHASE PRICE'!$C:$C=C39),'[1]PURCHASE PRICE'!$D:$D)</f>
        <v>18000</v>
      </c>
      <c r="F39">
        <f>LOOKUP(1,1/('[1]PURCHASE PRICE'!$A:$A=A39)/('[1]PURCHASE PRICE'!$B:$B=B39),'[1]PURCHASE PRICE'!$D:$D)</f>
        <v>18000</v>
      </c>
      <c r="G39" s="1">
        <f t="shared" si="1"/>
        <v>18000</v>
      </c>
      <c r="H39" s="1">
        <f t="shared" si="0"/>
        <v>5850000</v>
      </c>
    </row>
    <row r="40" spans="1:8" x14ac:dyDescent="0.3">
      <c r="A40" s="6">
        <v>45708</v>
      </c>
      <c r="B40" t="s">
        <v>55</v>
      </c>
      <c r="C40" t="s">
        <v>62</v>
      </c>
      <c r="D40">
        <v>160</v>
      </c>
      <c r="E40">
        <f>LOOKUP(1,1/('[1]PURCHASE PRICE'!$A:$A=A40)/('[1]PURCHASE PRICE'!$B:$B=B40)/('[1]PURCHASE PRICE'!$C:$C=C40),'[1]PURCHASE PRICE'!$D:$D)</f>
        <v>8000</v>
      </c>
      <c r="F40">
        <f>LOOKUP(1,1/('[1]PURCHASE PRICE'!$A:$A=A40)/('[1]PURCHASE PRICE'!$B:$B=B40),'[1]PURCHASE PRICE'!$D:$D)</f>
        <v>8000</v>
      </c>
      <c r="G40" s="1">
        <f t="shared" si="1"/>
        <v>8000</v>
      </c>
      <c r="H40" s="1">
        <f t="shared" si="0"/>
        <v>1280000</v>
      </c>
    </row>
    <row r="41" spans="1:8" x14ac:dyDescent="0.3">
      <c r="A41" s="6">
        <v>45708</v>
      </c>
      <c r="B41" t="s">
        <v>96</v>
      </c>
      <c r="C41" t="s">
        <v>62</v>
      </c>
      <c r="D41">
        <v>80</v>
      </c>
      <c r="E41">
        <f>LOOKUP(1,1/('[1]PURCHASE PRICE'!$A:$A=A41)/('[1]PURCHASE PRICE'!$B:$B=B41)/('[1]PURCHASE PRICE'!$C:$C=C41),'[1]PURCHASE PRICE'!$D:$D)</f>
        <v>21000</v>
      </c>
      <c r="F41">
        <f>LOOKUP(1,1/('[1]PURCHASE PRICE'!$A:$A=A41)/('[1]PURCHASE PRICE'!$B:$B=B41),'[1]PURCHASE PRICE'!$D:$D)</f>
        <v>21000</v>
      </c>
      <c r="G41" s="1">
        <f t="shared" si="1"/>
        <v>21000</v>
      </c>
      <c r="H41" s="1">
        <f t="shared" si="0"/>
        <v>1680000</v>
      </c>
    </row>
    <row r="42" spans="1:8" x14ac:dyDescent="0.3">
      <c r="A42" s="6">
        <v>45708</v>
      </c>
      <c r="B42" t="s">
        <v>58</v>
      </c>
      <c r="C42" t="s">
        <v>62</v>
      </c>
      <c r="D42">
        <v>20</v>
      </c>
      <c r="E42">
        <f>LOOKUP(1,1/('[1]PURCHASE PRICE'!$A:$A=A42)/('[1]PURCHASE PRICE'!$B:$B=B42)/('[1]PURCHASE PRICE'!$C:$C=C42),'[1]PURCHASE PRICE'!$D:$D)</f>
        <v>12000</v>
      </c>
      <c r="F42">
        <f>LOOKUP(1,1/('[1]PURCHASE PRICE'!$A:$A=A42)/('[1]PURCHASE PRICE'!$B:$B=B42),'[1]PURCHASE PRICE'!$D:$D)</f>
        <v>12000</v>
      </c>
      <c r="G42" s="1">
        <f t="shared" si="1"/>
        <v>12000</v>
      </c>
      <c r="H42" s="1">
        <f t="shared" si="0"/>
        <v>240000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7910-CC53-492B-A149-F2E244176C7E}">
  <dimension ref="A1:H49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32941500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45709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17000</v>
      </c>
      <c r="F3">
        <f>LOOKUP(1,1/('[1]PURCHASE PRICE'!$A:$A=A3)/('[1]PURCHASE PRICE'!$B:$B=B3),'[1]PURCHASE PRICE'!$D:$D)</f>
        <v>17000</v>
      </c>
      <c r="G3" s="1">
        <f>E3</f>
        <v>17000</v>
      </c>
      <c r="H3" s="1">
        <f>+G3*D3</f>
        <v>340000</v>
      </c>
    </row>
    <row r="4" spans="1:8" x14ac:dyDescent="0.3">
      <c r="A4" s="6">
        <v>45709</v>
      </c>
      <c r="B4" t="s">
        <v>2</v>
      </c>
      <c r="C4" t="s">
        <v>1</v>
      </c>
      <c r="D4">
        <v>20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6000</v>
      </c>
      <c r="H4" s="1">
        <f t="shared" ref="H4:H49" si="0">+G4*D4</f>
        <v>120000</v>
      </c>
    </row>
    <row r="5" spans="1:8" x14ac:dyDescent="0.3">
      <c r="A5" s="6">
        <v>45709</v>
      </c>
      <c r="B5" t="s">
        <v>85</v>
      </c>
      <c r="C5" t="s">
        <v>1</v>
      </c>
      <c r="D5">
        <v>40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3000</v>
      </c>
      <c r="H5" s="1">
        <f t="shared" si="0"/>
        <v>120000</v>
      </c>
    </row>
    <row r="6" spans="1:8" x14ac:dyDescent="0.3">
      <c r="A6" s="6">
        <v>45709</v>
      </c>
      <c r="B6" t="s">
        <v>3</v>
      </c>
      <c r="C6" t="s">
        <v>77</v>
      </c>
      <c r="D6">
        <v>60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9000</v>
      </c>
      <c r="G6" s="1">
        <f>+F6*0.4</f>
        <v>3600</v>
      </c>
      <c r="H6" s="1">
        <f t="shared" si="0"/>
        <v>216000</v>
      </c>
    </row>
    <row r="7" spans="1:8" x14ac:dyDescent="0.3">
      <c r="A7" s="6">
        <v>45709</v>
      </c>
      <c r="B7" t="s">
        <v>4</v>
      </c>
      <c r="C7" t="s">
        <v>77</v>
      </c>
      <c r="D7">
        <v>240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f>15500*0.3</f>
        <v>4650</v>
      </c>
      <c r="H7" s="1">
        <f t="shared" si="0"/>
        <v>1116000</v>
      </c>
    </row>
    <row r="8" spans="1:8" x14ac:dyDescent="0.3">
      <c r="A8" s="6">
        <v>45709</v>
      </c>
      <c r="B8" t="s">
        <v>4</v>
      </c>
      <c r="C8" t="s">
        <v>1</v>
      </c>
      <c r="D8">
        <v>50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15500</v>
      </c>
      <c r="H8" s="1">
        <f t="shared" si="0"/>
        <v>775000</v>
      </c>
    </row>
    <row r="9" spans="1:8" x14ac:dyDescent="0.3">
      <c r="A9" s="6">
        <v>45709</v>
      </c>
      <c r="B9" t="s">
        <v>6</v>
      </c>
      <c r="C9" t="s">
        <v>77</v>
      </c>
      <c r="D9">
        <v>300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14000</v>
      </c>
      <c r="G9" s="1">
        <f>+F9*0.3</f>
        <v>4200</v>
      </c>
      <c r="H9" s="1">
        <f t="shared" si="0"/>
        <v>1260000</v>
      </c>
    </row>
    <row r="10" spans="1:8" x14ac:dyDescent="0.3">
      <c r="A10" s="6">
        <v>45709</v>
      </c>
      <c r="B10" t="s">
        <v>63</v>
      </c>
      <c r="C10" t="s">
        <v>1</v>
      </c>
      <c r="D10">
        <v>10</v>
      </c>
      <c r="E10">
        <f>LOOKUP(1,1/('[1]PURCHASE PRICE'!$A:$A=A10)/('[1]PURCHASE PRICE'!$B:$B=B10)/('[1]PURCHASE PRICE'!$C:$C=C10),'[1]PURCHASE PRICE'!$D:$D)</f>
        <v>25000</v>
      </c>
      <c r="F10">
        <f>LOOKUP(1,1/('[1]PURCHASE PRICE'!$A:$A=A10)/('[1]PURCHASE PRICE'!$B:$B=B10),'[1]PURCHASE PRICE'!$D:$D)</f>
        <v>25000</v>
      </c>
      <c r="G10" s="1">
        <f t="shared" ref="G10:G49" si="1">E10</f>
        <v>25000</v>
      </c>
      <c r="H10" s="1">
        <f t="shared" si="0"/>
        <v>250000</v>
      </c>
    </row>
    <row r="11" spans="1:8" x14ac:dyDescent="0.3">
      <c r="A11" s="6">
        <v>45709</v>
      </c>
      <c r="B11" t="s">
        <v>8</v>
      </c>
      <c r="C11" t="s">
        <v>9</v>
      </c>
      <c r="D11">
        <v>47</v>
      </c>
      <c r="E11">
        <f>LOOKUP(1,1/('[1]PURCHASE PRICE'!$A:$A=A11)/('[1]PURCHASE PRICE'!$B:$B=B11)/('[1]PURCHASE PRICE'!$C:$C=C11),'[1]PURCHASE PRICE'!$D:$D)</f>
        <v>6000</v>
      </c>
      <c r="F11">
        <f>LOOKUP(1,1/('[1]PURCHASE PRICE'!$A:$A=A11)/('[1]PURCHASE PRICE'!$B:$B=B11),'[1]PURCHASE PRICE'!$D:$D)</f>
        <v>6000</v>
      </c>
      <c r="G11" s="1">
        <f t="shared" si="1"/>
        <v>6000</v>
      </c>
      <c r="H11" s="1">
        <f t="shared" si="0"/>
        <v>282000</v>
      </c>
    </row>
    <row r="12" spans="1:8" x14ac:dyDescent="0.3">
      <c r="A12" s="6">
        <v>45709</v>
      </c>
      <c r="B12" t="s">
        <v>78</v>
      </c>
      <c r="C12" t="s">
        <v>1</v>
      </c>
      <c r="D12">
        <v>80</v>
      </c>
      <c r="E12">
        <f>LOOKUP(1,1/('[1]PURCHASE PRICE'!$A:$A=A12)/('[1]PURCHASE PRICE'!$B:$B=B12)/('[1]PURCHASE PRICE'!$C:$C=C12),'[1]PURCHASE PRICE'!$D:$D)</f>
        <v>15500</v>
      </c>
      <c r="F12">
        <f>LOOKUP(1,1/('[1]PURCHASE PRICE'!$A:$A=A12)/('[1]PURCHASE PRICE'!$B:$B=B12),'[1]PURCHASE PRICE'!$D:$D)</f>
        <v>15500</v>
      </c>
      <c r="G12" s="1">
        <f t="shared" si="1"/>
        <v>15500</v>
      </c>
      <c r="H12" s="1">
        <f t="shared" si="0"/>
        <v>1240000</v>
      </c>
    </row>
    <row r="13" spans="1:8" x14ac:dyDescent="0.3">
      <c r="A13" s="6">
        <v>45709</v>
      </c>
      <c r="B13" t="s">
        <v>10</v>
      </c>
      <c r="C13" t="s">
        <v>79</v>
      </c>
      <c r="D13">
        <v>120</v>
      </c>
      <c r="E13">
        <f>LOOKUP(1,1/('[1]PURCHASE PRICE'!$A:$A=A13)/('[1]PURCHASE PRICE'!$B:$B=B13)/('[1]PURCHASE PRICE'!$C:$C=C13),'[1]PURCHASE PRICE'!$D:$D)</f>
        <v>8000</v>
      </c>
      <c r="F13">
        <f>LOOKUP(1,1/('[1]PURCHASE PRICE'!$A:$A=A13)/('[1]PURCHASE PRICE'!$B:$B=B13),'[1]PURCHASE PRICE'!$D:$D)</f>
        <v>8000</v>
      </c>
      <c r="G13" s="1">
        <f t="shared" si="1"/>
        <v>8000</v>
      </c>
      <c r="H13" s="1">
        <f t="shared" si="0"/>
        <v>960000</v>
      </c>
    </row>
    <row r="14" spans="1:8" x14ac:dyDescent="0.3">
      <c r="A14" s="6">
        <v>45709</v>
      </c>
      <c r="B14" t="s">
        <v>12</v>
      </c>
      <c r="C14" t="s">
        <v>13</v>
      </c>
      <c r="D14">
        <v>120</v>
      </c>
      <c r="E14">
        <f>LOOKUP(1,1/('[1]PURCHASE PRICE'!$A:$A=A14)/('[1]PURCHASE PRICE'!$B:$B=B14)/('[1]PURCHASE PRICE'!$C:$C=C14),'[1]PURCHASE PRICE'!$D:$D)</f>
        <v>6000</v>
      </c>
      <c r="F14">
        <f>LOOKUP(1,1/('[1]PURCHASE PRICE'!$A:$A=A14)/('[1]PURCHASE PRICE'!$B:$B=B14),'[1]PURCHASE PRICE'!$D:$D)</f>
        <v>6000</v>
      </c>
      <c r="G14" s="1">
        <f t="shared" si="1"/>
        <v>6000</v>
      </c>
      <c r="H14" s="1">
        <f t="shared" si="0"/>
        <v>720000</v>
      </c>
    </row>
    <row r="15" spans="1:8" x14ac:dyDescent="0.3">
      <c r="A15" s="6">
        <v>45709</v>
      </c>
      <c r="B15" t="s">
        <v>14</v>
      </c>
      <c r="C15" t="s">
        <v>15</v>
      </c>
      <c r="D15">
        <v>50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 s="1">
        <f t="shared" si="1"/>
        <v>10000</v>
      </c>
      <c r="H15" s="1">
        <f t="shared" si="0"/>
        <v>500000</v>
      </c>
    </row>
    <row r="16" spans="1:8" x14ac:dyDescent="0.3">
      <c r="A16" s="6">
        <v>45709</v>
      </c>
      <c r="B16" t="s">
        <v>16</v>
      </c>
      <c r="C16" t="s">
        <v>13</v>
      </c>
      <c r="D16">
        <v>62</v>
      </c>
      <c r="E16">
        <f>LOOKUP(1,1/('[1]PURCHASE PRICE'!$A:$A=A16)/('[1]PURCHASE PRICE'!$B:$B=B16)/('[1]PURCHASE PRICE'!$C:$C=C16),'[1]PURCHASE PRICE'!$D:$D)</f>
        <v>10000</v>
      </c>
      <c r="F16">
        <f>LOOKUP(1,1/('[1]PURCHASE PRICE'!$A:$A=A16)/('[1]PURCHASE PRICE'!$B:$B=B16),'[1]PURCHASE PRICE'!$D:$D)</f>
        <v>7500</v>
      </c>
      <c r="G16" s="1">
        <f t="shared" si="1"/>
        <v>10000</v>
      </c>
      <c r="H16" s="1">
        <f t="shared" si="0"/>
        <v>620000</v>
      </c>
    </row>
    <row r="17" spans="1:8" x14ac:dyDescent="0.3">
      <c r="A17" s="6">
        <v>45709</v>
      </c>
      <c r="B17" t="s">
        <v>17</v>
      </c>
      <c r="C17" t="s">
        <v>1</v>
      </c>
      <c r="D17">
        <v>60</v>
      </c>
      <c r="E17">
        <f>LOOKUP(1,1/('[1]PURCHASE PRICE'!$A:$A=A17)/('[1]PURCHASE PRICE'!$B:$B=B17)/('[1]PURCHASE PRICE'!$C:$C=C17),'[1]PURCHASE PRICE'!$D:$D)</f>
        <v>17000</v>
      </c>
      <c r="F17">
        <f>LOOKUP(1,1/('[1]PURCHASE PRICE'!$A:$A=A17)/('[1]PURCHASE PRICE'!$B:$B=B17),'[1]PURCHASE PRICE'!$D:$D)</f>
        <v>17000</v>
      </c>
      <c r="G17" s="1">
        <f t="shared" si="1"/>
        <v>17000</v>
      </c>
      <c r="H17" s="1">
        <f t="shared" si="0"/>
        <v>1020000</v>
      </c>
    </row>
    <row r="18" spans="1:8" x14ac:dyDescent="0.3">
      <c r="A18" s="6">
        <v>45709</v>
      </c>
      <c r="B18" t="s">
        <v>18</v>
      </c>
      <c r="C18" t="s">
        <v>1</v>
      </c>
      <c r="D18">
        <v>20</v>
      </c>
      <c r="E18">
        <f>LOOKUP(1,1/('[1]PURCHASE PRICE'!$A:$A=A18)/('[1]PURCHASE PRICE'!$B:$B=B18)/('[1]PURCHASE PRICE'!$C:$C=C18),'[1]PURCHASE PRICE'!$D:$D)</f>
        <v>6500</v>
      </c>
      <c r="F18">
        <f>LOOKUP(1,1/('[1]PURCHASE PRICE'!$A:$A=A18)/('[1]PURCHASE PRICE'!$B:$B=B18),'[1]PURCHASE PRICE'!$D:$D)</f>
        <v>6500</v>
      </c>
      <c r="G18" s="1">
        <f t="shared" si="1"/>
        <v>6500</v>
      </c>
      <c r="H18" s="1">
        <f t="shared" si="0"/>
        <v>130000</v>
      </c>
    </row>
    <row r="19" spans="1:8" x14ac:dyDescent="0.3">
      <c r="A19" s="6">
        <v>45709</v>
      </c>
      <c r="B19" t="s">
        <v>19</v>
      </c>
      <c r="C19" t="s">
        <v>9</v>
      </c>
      <c r="D19">
        <v>80</v>
      </c>
      <c r="E19">
        <f>LOOKUP(1,1/('[1]PURCHASE PRICE'!$A:$A=A19)/('[1]PURCHASE PRICE'!$B:$B=B19)/('[1]PURCHASE PRICE'!$C:$C=C19),'[1]PURCHASE PRICE'!$D:$D)</f>
        <v>6000</v>
      </c>
      <c r="F19">
        <f>LOOKUP(1,1/('[1]PURCHASE PRICE'!$A:$A=A19)/('[1]PURCHASE PRICE'!$B:$B=B19),'[1]PURCHASE PRICE'!$D:$D)</f>
        <v>6000</v>
      </c>
      <c r="G19" s="1">
        <f t="shared" si="1"/>
        <v>6000</v>
      </c>
      <c r="H19" s="1">
        <f t="shared" si="0"/>
        <v>480000</v>
      </c>
    </row>
    <row r="20" spans="1:8" x14ac:dyDescent="0.3">
      <c r="A20" s="6">
        <v>45709</v>
      </c>
      <c r="B20" t="s">
        <v>20</v>
      </c>
      <c r="C20" t="s">
        <v>1</v>
      </c>
      <c r="D20">
        <v>30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1"/>
        <v>12000</v>
      </c>
      <c r="H20" s="1">
        <f t="shared" si="0"/>
        <v>360000</v>
      </c>
    </row>
    <row r="21" spans="1:8" x14ac:dyDescent="0.3">
      <c r="A21" s="6">
        <v>45709</v>
      </c>
      <c r="B21" t="s">
        <v>21</v>
      </c>
      <c r="C21" t="s">
        <v>22</v>
      </c>
      <c r="D21">
        <v>20</v>
      </c>
      <c r="E21">
        <f>LOOKUP(1,1/('[1]PURCHASE PRICE'!$A:$A=A21)/('[1]PURCHASE PRICE'!$B:$B=B21)/('[1]PURCHASE PRICE'!$C:$C=C21),'[1]PURCHASE PRICE'!$D:$D)</f>
        <v>3300</v>
      </c>
      <c r="F21">
        <f>LOOKUP(1,1/('[1]PURCHASE PRICE'!$A:$A=A21)/('[1]PURCHASE PRICE'!$B:$B=B21),'[1]PURCHASE PRICE'!$D:$D)</f>
        <v>1900</v>
      </c>
      <c r="G21" s="1">
        <f t="shared" si="1"/>
        <v>3300</v>
      </c>
      <c r="H21" s="1">
        <f t="shared" si="0"/>
        <v>66000</v>
      </c>
    </row>
    <row r="22" spans="1:8" x14ac:dyDescent="0.3">
      <c r="A22" s="6">
        <v>45709</v>
      </c>
      <c r="B22" t="s">
        <v>21</v>
      </c>
      <c r="C22" t="s">
        <v>97</v>
      </c>
      <c r="D22">
        <v>20</v>
      </c>
      <c r="E22">
        <f>LOOKUP(1,1/('[1]PURCHASE PRICE'!$A:$A=A22)/('[1]PURCHASE PRICE'!$B:$B=B22)/('[1]PURCHASE PRICE'!$C:$C=C22),'[1]PURCHASE PRICE'!$D:$D)</f>
        <v>1900</v>
      </c>
      <c r="F22">
        <f>LOOKUP(1,1/('[1]PURCHASE PRICE'!$A:$A=A22)/('[1]PURCHASE PRICE'!$B:$B=B22),'[1]PURCHASE PRICE'!$D:$D)</f>
        <v>1900</v>
      </c>
      <c r="G22" s="1">
        <f t="shared" si="1"/>
        <v>1900</v>
      </c>
      <c r="H22" s="1">
        <f t="shared" si="0"/>
        <v>38000</v>
      </c>
    </row>
    <row r="23" spans="1:8" x14ac:dyDescent="0.3">
      <c r="A23" s="6">
        <v>45709</v>
      </c>
      <c r="B23" t="s">
        <v>24</v>
      </c>
      <c r="C23" t="s">
        <v>1</v>
      </c>
      <c r="D23">
        <v>20</v>
      </c>
      <c r="E23">
        <f>LOOKUP(1,1/('[1]PURCHASE PRICE'!$A:$A=A23)/('[1]PURCHASE PRICE'!$B:$B=B23)/('[1]PURCHASE PRICE'!$C:$C=C23),'[1]PURCHASE PRICE'!$D:$D)</f>
        <v>4000</v>
      </c>
      <c r="F23">
        <f>LOOKUP(1,1/('[1]PURCHASE PRICE'!$A:$A=A23)/('[1]PURCHASE PRICE'!$B:$B=B23),'[1]PURCHASE PRICE'!$D:$D)</f>
        <v>4000</v>
      </c>
      <c r="G23" s="1">
        <f t="shared" si="1"/>
        <v>4000</v>
      </c>
      <c r="H23" s="1">
        <f t="shared" si="0"/>
        <v>80000</v>
      </c>
    </row>
    <row r="24" spans="1:8" x14ac:dyDescent="0.3">
      <c r="A24" s="6">
        <v>45709</v>
      </c>
      <c r="B24" t="s">
        <v>25</v>
      </c>
      <c r="C24" t="s">
        <v>26</v>
      </c>
      <c r="D24">
        <v>200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11000</v>
      </c>
      <c r="G24" s="1">
        <f>+F24/2</f>
        <v>5500</v>
      </c>
      <c r="H24" s="1">
        <f t="shared" si="0"/>
        <v>1100000</v>
      </c>
    </row>
    <row r="25" spans="1:8" x14ac:dyDescent="0.3">
      <c r="A25" s="6">
        <v>45709</v>
      </c>
      <c r="B25" t="s">
        <v>27</v>
      </c>
      <c r="C25" t="s">
        <v>9</v>
      </c>
      <c r="D25">
        <v>108</v>
      </c>
      <c r="E25">
        <f>LOOKUP(1,1/('[1]PURCHASE PRICE'!$A:$A=A25)/('[1]PURCHASE PRICE'!$B:$B=B25)/('[1]PURCHASE PRICE'!$C:$C=C25),'[1]PURCHASE PRICE'!$D:$D)</f>
        <v>7500</v>
      </c>
      <c r="F25">
        <f>LOOKUP(1,1/('[1]PURCHASE PRICE'!$A:$A=A25)/('[1]PURCHASE PRICE'!$B:$B=B25),'[1]PURCHASE PRICE'!$D:$D)</f>
        <v>7500</v>
      </c>
      <c r="G25" s="1">
        <f t="shared" si="1"/>
        <v>7500</v>
      </c>
      <c r="H25" s="1">
        <f t="shared" si="0"/>
        <v>810000</v>
      </c>
    </row>
    <row r="26" spans="1:8" x14ac:dyDescent="0.3">
      <c r="A26" s="6">
        <v>45709</v>
      </c>
      <c r="B26" t="s">
        <v>28</v>
      </c>
      <c r="C26" t="s">
        <v>15</v>
      </c>
      <c r="D26">
        <v>30</v>
      </c>
      <c r="E26">
        <f>LOOKUP(1,1/('[1]PURCHASE PRICE'!$A:$A=A26)/('[1]PURCHASE PRICE'!$B:$B=B26)/('[1]PURCHASE PRICE'!$C:$C=C26),'[1]PURCHASE PRICE'!$D:$D)</f>
        <v>10000</v>
      </c>
      <c r="F26">
        <f>LOOKUP(1,1/('[1]PURCHASE PRICE'!$A:$A=A26)/('[1]PURCHASE PRICE'!$B:$B=B26),'[1]PURCHASE PRICE'!$D:$D)</f>
        <v>10000</v>
      </c>
      <c r="G26" s="1">
        <f t="shared" si="1"/>
        <v>10000</v>
      </c>
      <c r="H26" s="1">
        <f t="shared" si="0"/>
        <v>300000</v>
      </c>
    </row>
    <row r="27" spans="1:8" x14ac:dyDescent="0.3">
      <c r="A27" s="6">
        <v>45709</v>
      </c>
      <c r="B27" t="s">
        <v>80</v>
      </c>
      <c r="C27" t="s">
        <v>1</v>
      </c>
      <c r="D27">
        <v>20</v>
      </c>
      <c r="E27">
        <f>LOOKUP(1,1/('[1]PURCHASE PRICE'!$A:$A=A27)/('[1]PURCHASE PRICE'!$B:$B=B27)/('[1]PURCHASE PRICE'!$C:$C=C27),'[1]PURCHASE PRICE'!$D:$D)</f>
        <v>9000</v>
      </c>
      <c r="F27">
        <f>LOOKUP(1,1/('[1]PURCHASE PRICE'!$A:$A=A27)/('[1]PURCHASE PRICE'!$B:$B=B27),'[1]PURCHASE PRICE'!$D:$D)</f>
        <v>9000</v>
      </c>
      <c r="G27" s="1">
        <f t="shared" si="1"/>
        <v>9000</v>
      </c>
      <c r="H27" s="1">
        <f t="shared" si="0"/>
        <v>180000</v>
      </c>
    </row>
    <row r="28" spans="1:8" x14ac:dyDescent="0.3">
      <c r="A28" s="6">
        <v>45709</v>
      </c>
      <c r="B28" t="s">
        <v>30</v>
      </c>
      <c r="C28" t="s">
        <v>1</v>
      </c>
      <c r="D28">
        <v>40</v>
      </c>
      <c r="E28">
        <f>LOOKUP(1,1/('[1]PURCHASE PRICE'!$A:$A=A28)/('[1]PURCHASE PRICE'!$B:$B=B28)/('[1]PURCHASE PRICE'!$C:$C=C28),'[1]PURCHASE PRICE'!$D:$D)</f>
        <v>7000</v>
      </c>
      <c r="F28">
        <f>LOOKUP(1,1/('[1]PURCHASE PRICE'!$A:$A=A28)/('[1]PURCHASE PRICE'!$B:$B=B28),'[1]PURCHASE PRICE'!$D:$D)</f>
        <v>7000</v>
      </c>
      <c r="G28" s="1">
        <f t="shared" si="1"/>
        <v>7000</v>
      </c>
      <c r="H28" s="1">
        <f t="shared" si="0"/>
        <v>280000</v>
      </c>
    </row>
    <row r="29" spans="1:8" x14ac:dyDescent="0.3">
      <c r="A29" s="6">
        <v>45709</v>
      </c>
      <c r="B29" t="s">
        <v>33</v>
      </c>
      <c r="C29" t="s">
        <v>1</v>
      </c>
      <c r="D29">
        <v>60</v>
      </c>
      <c r="E29">
        <f>LOOKUP(1,1/('[1]PURCHASE PRICE'!$A:$A=A29)/('[1]PURCHASE PRICE'!$B:$B=B29)/('[1]PURCHASE PRICE'!$C:$C=C29),'[1]PURCHASE PRICE'!$D:$D)</f>
        <v>25000</v>
      </c>
      <c r="F29">
        <f>LOOKUP(1,1/('[1]PURCHASE PRICE'!$A:$A=A29)/('[1]PURCHASE PRICE'!$B:$B=B29),'[1]PURCHASE PRICE'!$D:$D)</f>
        <v>25000</v>
      </c>
      <c r="G29" s="1">
        <f t="shared" si="1"/>
        <v>25000</v>
      </c>
      <c r="H29" s="1">
        <f t="shared" si="0"/>
        <v>1500000</v>
      </c>
    </row>
    <row r="30" spans="1:8" x14ac:dyDescent="0.3">
      <c r="A30" s="6">
        <v>45709</v>
      </c>
      <c r="B30" t="s">
        <v>37</v>
      </c>
      <c r="C30" t="s">
        <v>31</v>
      </c>
      <c r="D30">
        <v>80</v>
      </c>
      <c r="E30">
        <f>LOOKUP(1,1/('[1]PURCHASE PRICE'!$A:$A=A30)/('[1]PURCHASE PRICE'!$B:$B=B30)/('[1]PURCHASE PRICE'!$C:$C=C30),'[1]PURCHASE PRICE'!$D:$D)</f>
        <v>4000</v>
      </c>
      <c r="F30">
        <f>LOOKUP(1,1/('[1]PURCHASE PRICE'!$A:$A=A30)/('[1]PURCHASE PRICE'!$B:$B=B30),'[1]PURCHASE PRICE'!$D:$D)</f>
        <v>7000</v>
      </c>
      <c r="G30" s="1">
        <f t="shared" si="1"/>
        <v>4000</v>
      </c>
      <c r="H30" s="1">
        <f t="shared" si="0"/>
        <v>320000</v>
      </c>
    </row>
    <row r="31" spans="1:8" x14ac:dyDescent="0.3">
      <c r="A31" s="6">
        <v>45709</v>
      </c>
      <c r="B31" t="s">
        <v>39</v>
      </c>
      <c r="C31" t="s">
        <v>9</v>
      </c>
      <c r="D31">
        <v>180</v>
      </c>
      <c r="E31">
        <f>LOOKUP(1,1/('[1]PURCHASE PRICE'!$A:$A=A31)/('[1]PURCHASE PRICE'!$B:$B=B31)/('[1]PURCHASE PRICE'!$C:$C=C31),'[1]PURCHASE PRICE'!$D:$D)</f>
        <v>7500</v>
      </c>
      <c r="F31">
        <f>LOOKUP(1,1/('[1]PURCHASE PRICE'!$A:$A=A31)/('[1]PURCHASE PRICE'!$B:$B=B31),'[1]PURCHASE PRICE'!$D:$D)</f>
        <v>9500</v>
      </c>
      <c r="G31" s="1">
        <f t="shared" si="1"/>
        <v>7500</v>
      </c>
      <c r="H31" s="1">
        <f t="shared" si="0"/>
        <v>1350000</v>
      </c>
    </row>
    <row r="32" spans="1:8" x14ac:dyDescent="0.3">
      <c r="A32" s="6">
        <v>45709</v>
      </c>
      <c r="B32" t="s">
        <v>40</v>
      </c>
      <c r="C32" t="s">
        <v>9</v>
      </c>
      <c r="D32">
        <v>25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15000</v>
      </c>
      <c r="G32" s="1">
        <f>+F32*0.6</f>
        <v>9000</v>
      </c>
      <c r="H32" s="1">
        <f t="shared" si="0"/>
        <v>225000</v>
      </c>
    </row>
    <row r="33" spans="1:8" x14ac:dyDescent="0.3">
      <c r="A33" s="6">
        <v>45709</v>
      </c>
      <c r="B33" t="s">
        <v>81</v>
      </c>
      <c r="C33" t="s">
        <v>1</v>
      </c>
      <c r="D33">
        <v>40</v>
      </c>
      <c r="E33">
        <f>LOOKUP(1,1/('[1]PURCHASE PRICE'!$A:$A=A33)/('[1]PURCHASE PRICE'!$B:$B=B33)/('[1]PURCHASE PRICE'!$C:$C=C33),'[1]PURCHASE PRICE'!$D:$D)</f>
        <v>11000</v>
      </c>
      <c r="F33">
        <f>LOOKUP(1,1/('[1]PURCHASE PRICE'!$A:$A=A33)/('[1]PURCHASE PRICE'!$B:$B=B33),'[1]PURCHASE PRICE'!$D:$D)</f>
        <v>11000</v>
      </c>
      <c r="G33" s="1">
        <f t="shared" si="1"/>
        <v>11000</v>
      </c>
      <c r="H33" s="1">
        <f t="shared" si="0"/>
        <v>440000</v>
      </c>
    </row>
    <row r="34" spans="1:8" x14ac:dyDescent="0.3">
      <c r="A34" s="6">
        <v>45709</v>
      </c>
      <c r="B34" t="s">
        <v>41</v>
      </c>
      <c r="C34" t="s">
        <v>26</v>
      </c>
      <c r="D34">
        <v>100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10000</v>
      </c>
      <c r="G34" s="1">
        <f>11500*0.15</f>
        <v>1725</v>
      </c>
      <c r="H34" s="1">
        <f t="shared" si="0"/>
        <v>172500</v>
      </c>
    </row>
    <row r="35" spans="1:8" x14ac:dyDescent="0.3">
      <c r="A35" s="6">
        <v>45709</v>
      </c>
      <c r="B35" t="s">
        <v>94</v>
      </c>
      <c r="C35" t="s">
        <v>15</v>
      </c>
      <c r="D35">
        <v>5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200000</v>
      </c>
      <c r="G35" s="1">
        <f>+F35/2</f>
        <v>100000</v>
      </c>
      <c r="H35" s="1">
        <f t="shared" si="0"/>
        <v>500000</v>
      </c>
    </row>
    <row r="36" spans="1:8" x14ac:dyDescent="0.3">
      <c r="A36" s="6">
        <v>45709</v>
      </c>
      <c r="B36" t="s">
        <v>42</v>
      </c>
      <c r="C36" t="s">
        <v>1</v>
      </c>
      <c r="D36">
        <v>15</v>
      </c>
      <c r="E36">
        <f>LOOKUP(1,1/('[1]PURCHASE PRICE'!$A:$A=A36)/('[1]PURCHASE PRICE'!$B:$B=B36)/('[1]PURCHASE PRICE'!$C:$C=C36),'[1]PURCHASE PRICE'!$D:$D)</f>
        <v>29000</v>
      </c>
      <c r="F36">
        <f>LOOKUP(1,1/('[1]PURCHASE PRICE'!$A:$A=A36)/('[1]PURCHASE PRICE'!$B:$B=B36),'[1]PURCHASE PRICE'!$D:$D)</f>
        <v>29000</v>
      </c>
      <c r="G36" s="1">
        <f t="shared" si="1"/>
        <v>29000</v>
      </c>
      <c r="H36" s="1">
        <f t="shared" si="0"/>
        <v>435000</v>
      </c>
    </row>
    <row r="37" spans="1:8" x14ac:dyDescent="0.3">
      <c r="A37" s="6">
        <v>45709</v>
      </c>
      <c r="B37" t="s">
        <v>43</v>
      </c>
      <c r="C37" t="s">
        <v>1</v>
      </c>
      <c r="D37">
        <v>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0</v>
      </c>
      <c r="H37" s="1">
        <f t="shared" si="0"/>
        <v>0</v>
      </c>
    </row>
    <row r="38" spans="1:8" x14ac:dyDescent="0.3">
      <c r="A38" s="6">
        <v>45709</v>
      </c>
      <c r="B38" t="s">
        <v>44</v>
      </c>
      <c r="C38" t="s">
        <v>22</v>
      </c>
      <c r="D38">
        <v>700</v>
      </c>
      <c r="E38">
        <f>LOOKUP(1,1/('[1]PURCHASE PRICE'!$A:$A=A38)/('[1]PURCHASE PRICE'!$B:$B=B38)/('[1]PURCHASE PRICE'!$C:$C=C38),'[1]PURCHASE PRICE'!$D:$D)</f>
        <v>2400</v>
      </c>
      <c r="F38">
        <f>LOOKUP(1,1/('[1]PURCHASE PRICE'!$A:$A=A38)/('[1]PURCHASE PRICE'!$B:$B=B38),'[1]PURCHASE PRICE'!$D:$D)</f>
        <v>2400</v>
      </c>
      <c r="G38" s="1">
        <f>+F38</f>
        <v>2400</v>
      </c>
      <c r="H38" s="1">
        <f t="shared" si="0"/>
        <v>1680000</v>
      </c>
    </row>
    <row r="39" spans="1:8" x14ac:dyDescent="0.3">
      <c r="A39" s="6">
        <v>45709</v>
      </c>
      <c r="B39" t="s">
        <v>45</v>
      </c>
      <c r="C39" t="s">
        <v>1</v>
      </c>
      <c r="D39">
        <v>10</v>
      </c>
      <c r="E39">
        <f>LOOKUP(1,1/('[1]PURCHASE PRICE'!$A:$A=A39)/('[1]PURCHASE PRICE'!$B:$B=B39)/('[1]PURCHASE PRICE'!$C:$C=C39),'[1]PURCHASE PRICE'!$D:$D)</f>
        <v>45000</v>
      </c>
      <c r="F39">
        <f>LOOKUP(1,1/('[1]PURCHASE PRICE'!$A:$A=A39)/('[1]PURCHASE PRICE'!$B:$B=B39),'[1]PURCHASE PRICE'!$D:$D)</f>
        <v>45000</v>
      </c>
      <c r="G39" s="1">
        <f t="shared" si="1"/>
        <v>45000</v>
      </c>
      <c r="H39" s="1">
        <f t="shared" si="0"/>
        <v>450000</v>
      </c>
    </row>
    <row r="40" spans="1:8" x14ac:dyDescent="0.3">
      <c r="A40" s="6">
        <v>45709</v>
      </c>
      <c r="B40" t="s">
        <v>47</v>
      </c>
      <c r="C40" t="s">
        <v>1</v>
      </c>
      <c r="D40">
        <v>2</v>
      </c>
      <c r="E40">
        <f>LOOKUP(1,1/('[1]PURCHASE PRICE'!$A:$A=A40)/('[1]PURCHASE PRICE'!$B:$B=B40)/('[1]PURCHASE PRICE'!$C:$C=C40),'[1]PURCHASE PRICE'!$D:$D)</f>
        <v>28000</v>
      </c>
      <c r="F40">
        <f>LOOKUP(1,1/('[1]PURCHASE PRICE'!$A:$A=A40)/('[1]PURCHASE PRICE'!$B:$B=B40),'[1]PURCHASE PRICE'!$D:$D)</f>
        <v>28000</v>
      </c>
      <c r="G40" s="1">
        <f t="shared" si="1"/>
        <v>28000</v>
      </c>
      <c r="H40" s="1">
        <f t="shared" si="0"/>
        <v>56000</v>
      </c>
    </row>
    <row r="41" spans="1:8" x14ac:dyDescent="0.3">
      <c r="A41" s="6">
        <v>45709</v>
      </c>
      <c r="B41" t="s">
        <v>48</v>
      </c>
      <c r="C41" t="s">
        <v>77</v>
      </c>
      <c r="D41">
        <v>300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24000</v>
      </c>
      <c r="G41" s="1">
        <f>+F41*0.25</f>
        <v>6000</v>
      </c>
      <c r="H41" s="1">
        <f t="shared" si="0"/>
        <v>1800000</v>
      </c>
    </row>
    <row r="42" spans="1:8" x14ac:dyDescent="0.3">
      <c r="A42" s="6">
        <v>45709</v>
      </c>
      <c r="B42" t="s">
        <v>50</v>
      </c>
      <c r="C42" t="s">
        <v>77</v>
      </c>
      <c r="D42">
        <v>200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34000</v>
      </c>
      <c r="G42" s="1">
        <f t="shared" ref="G42:G43" si="2">+F42*0.25</f>
        <v>8500</v>
      </c>
      <c r="H42" s="1">
        <f t="shared" si="0"/>
        <v>1700000</v>
      </c>
    </row>
    <row r="43" spans="1:8" x14ac:dyDescent="0.3">
      <c r="A43" s="6">
        <v>45709</v>
      </c>
      <c r="B43" t="s">
        <v>52</v>
      </c>
      <c r="C43" t="s">
        <v>77</v>
      </c>
      <c r="D43">
        <v>80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27000</v>
      </c>
      <c r="G43" s="1">
        <f t="shared" si="2"/>
        <v>6750</v>
      </c>
      <c r="H43" s="1">
        <f t="shared" si="0"/>
        <v>540000</v>
      </c>
    </row>
    <row r="44" spans="1:8" x14ac:dyDescent="0.3">
      <c r="A44" s="6">
        <v>45709</v>
      </c>
      <c r="B44" t="s">
        <v>53</v>
      </c>
      <c r="C44" t="s">
        <v>115</v>
      </c>
      <c r="D44">
        <v>270</v>
      </c>
      <c r="E44">
        <f>LOOKUP(1,1/('[1]PURCHASE PRICE'!$A:$A=A44)/('[1]PURCHASE PRICE'!$B:$B=B44)/('[1]PURCHASE PRICE'!$C:$C=C44),'[1]PURCHASE PRICE'!$D:$D)</f>
        <v>16000</v>
      </c>
      <c r="F44">
        <f>LOOKUP(1,1/('[1]PURCHASE PRICE'!$A:$A=A44)/('[1]PURCHASE PRICE'!$B:$B=B44),'[1]PURCHASE PRICE'!$D:$D)</f>
        <v>16000</v>
      </c>
      <c r="G44" s="1">
        <f t="shared" si="1"/>
        <v>16000</v>
      </c>
      <c r="H44" s="1">
        <f t="shared" si="0"/>
        <v>4320000</v>
      </c>
    </row>
    <row r="45" spans="1:8" x14ac:dyDescent="0.3">
      <c r="A45" s="6">
        <v>45709</v>
      </c>
      <c r="B45" t="s">
        <v>83</v>
      </c>
      <c r="C45" t="s">
        <v>1</v>
      </c>
      <c r="D45">
        <v>10</v>
      </c>
      <c r="E45">
        <f>LOOKUP(1,1/('[1]PURCHASE PRICE'!$A:$A=A45)/('[1]PURCHASE PRICE'!$B:$B=B45)/('[1]PURCHASE PRICE'!$C:$C=C45),'[1]PURCHASE PRICE'!$D:$D)</f>
        <v>25000</v>
      </c>
      <c r="F45">
        <f>LOOKUP(1,1/('[1]PURCHASE PRICE'!$A:$A=A45)/('[1]PURCHASE PRICE'!$B:$B=B45),'[1]PURCHASE PRICE'!$D:$D)</f>
        <v>25000</v>
      </c>
      <c r="G45" s="1">
        <f t="shared" si="1"/>
        <v>25000</v>
      </c>
      <c r="H45" s="1">
        <f t="shared" si="0"/>
        <v>250000</v>
      </c>
    </row>
    <row r="46" spans="1:8" x14ac:dyDescent="0.3">
      <c r="A46" s="6">
        <v>45709</v>
      </c>
      <c r="B46" t="s">
        <v>55</v>
      </c>
      <c r="C46" t="s">
        <v>1</v>
      </c>
      <c r="D46">
        <v>140</v>
      </c>
      <c r="E46">
        <f>LOOKUP(1,1/('[1]PURCHASE PRICE'!$A:$A=A46)/('[1]PURCHASE PRICE'!$B:$B=B46)/('[1]PURCHASE PRICE'!$C:$C=C46),'[1]PURCHASE PRICE'!$D:$D)</f>
        <v>7000</v>
      </c>
      <c r="F46">
        <f>LOOKUP(1,1/('[1]PURCHASE PRICE'!$A:$A=A46)/('[1]PURCHASE PRICE'!$B:$B=B46),'[1]PURCHASE PRICE'!$D:$D)</f>
        <v>7000</v>
      </c>
      <c r="G46" s="1">
        <f t="shared" si="1"/>
        <v>7000</v>
      </c>
      <c r="H46" s="1">
        <f t="shared" si="0"/>
        <v>980000</v>
      </c>
    </row>
    <row r="47" spans="1:8" x14ac:dyDescent="0.3">
      <c r="A47" s="6">
        <v>45709</v>
      </c>
      <c r="B47" t="s">
        <v>56</v>
      </c>
      <c r="C47" t="s">
        <v>26</v>
      </c>
      <c r="D47">
        <v>200</v>
      </c>
      <c r="E47">
        <f>LOOKUP(1,1/('[1]PURCHASE PRICE'!$A:$A=A47)/('[1]PURCHASE PRICE'!$B:$B=B47)/('[1]PURCHASE PRICE'!$C:$C=C47),'[1]PURCHASE PRICE'!$D:$D)</f>
        <v>6800</v>
      </c>
      <c r="F47">
        <f>LOOKUP(1,1/('[1]PURCHASE PRICE'!$A:$A=A47)/('[1]PURCHASE PRICE'!$B:$B=B47),'[1]PURCHASE PRICE'!$D:$D)</f>
        <v>6800</v>
      </c>
      <c r="G47" s="1">
        <f t="shared" si="1"/>
        <v>6800</v>
      </c>
      <c r="H47" s="1">
        <f t="shared" si="0"/>
        <v>1360000</v>
      </c>
    </row>
    <row r="48" spans="1:8" x14ac:dyDescent="0.3">
      <c r="A48" s="6">
        <v>45709</v>
      </c>
      <c r="B48" t="s">
        <v>96</v>
      </c>
      <c r="C48" t="s">
        <v>1</v>
      </c>
      <c r="D48">
        <v>60</v>
      </c>
      <c r="E48">
        <f>LOOKUP(1,1/('[1]PURCHASE PRICE'!$A:$A=A48)/('[1]PURCHASE PRICE'!$B:$B=B48)/('[1]PURCHASE PRICE'!$C:$C=C48),'[1]PURCHASE PRICE'!$D:$D)</f>
        <v>26000</v>
      </c>
      <c r="F48">
        <f>LOOKUP(1,1/('[1]PURCHASE PRICE'!$A:$A=A48)/('[1]PURCHASE PRICE'!$B:$B=B48),'[1]PURCHASE PRICE'!$D:$D)</f>
        <v>26000</v>
      </c>
      <c r="G48" s="1">
        <v>21000</v>
      </c>
      <c r="H48" s="1">
        <f t="shared" si="0"/>
        <v>1260000</v>
      </c>
    </row>
    <row r="49" spans="1:8" x14ac:dyDescent="0.3">
      <c r="A49" s="6">
        <v>45709</v>
      </c>
      <c r="B49" t="s">
        <v>58</v>
      </c>
      <c r="C49" t="s">
        <v>1</v>
      </c>
      <c r="D49">
        <v>20</v>
      </c>
      <c r="E49">
        <f>LOOKUP(1,1/('[1]PURCHASE PRICE'!$A:$A=A49)/('[1]PURCHASE PRICE'!$B:$B=B49)/('[1]PURCHASE PRICE'!$C:$C=C49),'[1]PURCHASE PRICE'!$D:$D)</f>
        <v>12000</v>
      </c>
      <c r="F49">
        <f>LOOKUP(1,1/('[1]PURCHASE PRICE'!$A:$A=A49)/('[1]PURCHASE PRICE'!$B:$B=B49),'[1]PURCHASE PRICE'!$D:$D)</f>
        <v>12000</v>
      </c>
      <c r="G49" s="1">
        <f t="shared" si="1"/>
        <v>12000</v>
      </c>
      <c r="H49" s="1">
        <f t="shared" si="0"/>
        <v>240000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4EE3-A16A-4A94-96E3-12F80D7E41FB}">
  <dimension ref="A1:H41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36292000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45710</v>
      </c>
      <c r="B3" t="s">
        <v>0</v>
      </c>
      <c r="C3" t="s">
        <v>1</v>
      </c>
      <c r="D3">
        <v>60</v>
      </c>
      <c r="E3">
        <f>LOOKUP(1,1/('[1]PURCHASE PRICE'!$A:$A=A3)/('[1]PURCHASE PRICE'!$B:$B=B3)/('[1]PURCHASE PRICE'!$C:$C=C3),'[1]PURCHASE PRICE'!$D:$D)</f>
        <v>17000</v>
      </c>
      <c r="F3">
        <f>LOOKUP(1,1/('[1]PURCHASE PRICE'!$A:$A=A3)/('[1]PURCHASE PRICE'!$B:$B=B3),'[1]PURCHASE PRICE'!$D:$D)</f>
        <v>17000</v>
      </c>
      <c r="G3" s="1">
        <f>E3</f>
        <v>17000</v>
      </c>
      <c r="H3" s="1">
        <f>+G3*D3</f>
        <v>1020000</v>
      </c>
    </row>
    <row r="4" spans="1:8" x14ac:dyDescent="0.3">
      <c r="A4" s="6">
        <v>45710</v>
      </c>
      <c r="B4" t="s">
        <v>3</v>
      </c>
      <c r="C4" t="s">
        <v>77</v>
      </c>
      <c r="D4">
        <v>20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9000</v>
      </c>
      <c r="G4" s="1">
        <f>+F4*0.4</f>
        <v>3600</v>
      </c>
      <c r="H4" s="1">
        <f t="shared" ref="H4:H41" si="0">+G4*D4</f>
        <v>72000</v>
      </c>
    </row>
    <row r="5" spans="1:8" x14ac:dyDescent="0.3">
      <c r="A5" s="6">
        <v>45710</v>
      </c>
      <c r="B5" t="s">
        <v>4</v>
      </c>
      <c r="C5" t="s">
        <v>77</v>
      </c>
      <c r="D5">
        <v>200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15000</v>
      </c>
      <c r="G5" s="1">
        <f>+F5*0.3</f>
        <v>4500</v>
      </c>
      <c r="H5" s="1">
        <f t="shared" si="0"/>
        <v>900000</v>
      </c>
    </row>
    <row r="6" spans="1:8" x14ac:dyDescent="0.3">
      <c r="A6" s="6">
        <v>45710</v>
      </c>
      <c r="B6" t="s">
        <v>6</v>
      </c>
      <c r="C6" t="s">
        <v>77</v>
      </c>
      <c r="D6">
        <v>160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14000*0.3</f>
        <v>4200</v>
      </c>
      <c r="H6" s="1">
        <f t="shared" si="0"/>
        <v>672000</v>
      </c>
    </row>
    <row r="7" spans="1:8" x14ac:dyDescent="0.3">
      <c r="A7" s="6">
        <v>45710</v>
      </c>
      <c r="B7" t="s">
        <v>63</v>
      </c>
      <c r="C7" t="s">
        <v>1</v>
      </c>
      <c r="D7">
        <v>5</v>
      </c>
      <c r="E7">
        <f>LOOKUP(1,1/('[1]PURCHASE PRICE'!$A:$A=A7)/('[1]PURCHASE PRICE'!$B:$B=B7)/('[1]PURCHASE PRICE'!$C:$C=C7),'[1]PURCHASE PRICE'!$D:$D)</f>
        <v>23000</v>
      </c>
      <c r="F7">
        <f>LOOKUP(1,1/('[1]PURCHASE PRICE'!$A:$A=A7)/('[1]PURCHASE PRICE'!$B:$B=B7),'[1]PURCHASE PRICE'!$D:$D)</f>
        <v>23000</v>
      </c>
      <c r="G7" s="1">
        <f t="shared" ref="G7:G41" si="1">E7</f>
        <v>23000</v>
      </c>
      <c r="H7" s="1">
        <f t="shared" si="0"/>
        <v>115000</v>
      </c>
    </row>
    <row r="8" spans="1:8" x14ac:dyDescent="0.3">
      <c r="A8" s="6">
        <v>45710</v>
      </c>
      <c r="B8" t="s">
        <v>78</v>
      </c>
      <c r="C8" t="s">
        <v>1</v>
      </c>
      <c r="D8">
        <v>40</v>
      </c>
      <c r="E8">
        <f>LOOKUP(1,1/('[1]PURCHASE PRICE'!$A:$A=A8)/('[1]PURCHASE PRICE'!$B:$B=B8)/('[1]PURCHASE PRICE'!$C:$C=C8),'[1]PURCHASE PRICE'!$D:$D)</f>
        <v>14000</v>
      </c>
      <c r="F8">
        <f>LOOKUP(1,1/('[1]PURCHASE PRICE'!$A:$A=A8)/('[1]PURCHASE PRICE'!$B:$B=B8),'[1]PURCHASE PRICE'!$D:$D)</f>
        <v>11050</v>
      </c>
      <c r="G8" s="1">
        <f t="shared" si="1"/>
        <v>14000</v>
      </c>
      <c r="H8" s="1">
        <f t="shared" si="0"/>
        <v>560000</v>
      </c>
    </row>
    <row r="9" spans="1:8" x14ac:dyDescent="0.3">
      <c r="A9" s="6">
        <v>45710</v>
      </c>
      <c r="B9" t="s">
        <v>10</v>
      </c>
      <c r="C9" t="s">
        <v>79</v>
      </c>
      <c r="D9">
        <v>200</v>
      </c>
      <c r="E9">
        <f>LOOKUP(1,1/('[1]PURCHASE PRICE'!$A:$A=A9)/('[1]PURCHASE PRICE'!$B:$B=B9)/('[1]PURCHASE PRICE'!$C:$C=C9),'[1]PURCHASE PRICE'!$D:$D)</f>
        <v>7000</v>
      </c>
      <c r="F9">
        <f>LOOKUP(1,1/('[1]PURCHASE PRICE'!$A:$A=A9)/('[1]PURCHASE PRICE'!$B:$B=B9),'[1]PURCHASE PRICE'!$D:$D)</f>
        <v>12000</v>
      </c>
      <c r="G9" s="1">
        <f t="shared" si="1"/>
        <v>7000</v>
      </c>
      <c r="H9" s="1">
        <f t="shared" si="0"/>
        <v>1400000</v>
      </c>
    </row>
    <row r="10" spans="1:8" x14ac:dyDescent="0.3">
      <c r="A10" s="6">
        <v>45710</v>
      </c>
      <c r="B10" t="s">
        <v>12</v>
      </c>
      <c r="C10" t="s">
        <v>13</v>
      </c>
      <c r="D10">
        <v>80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1"/>
        <v>6000</v>
      </c>
      <c r="H10" s="1">
        <f t="shared" si="0"/>
        <v>480000</v>
      </c>
    </row>
    <row r="11" spans="1:8" x14ac:dyDescent="0.3">
      <c r="A11" s="6">
        <v>45710</v>
      </c>
      <c r="B11" t="s">
        <v>14</v>
      </c>
      <c r="C11" t="s">
        <v>15</v>
      </c>
      <c r="D11">
        <v>100</v>
      </c>
      <c r="E11">
        <f>LOOKUP(1,1/('[1]PURCHASE PRICE'!$A:$A=A11)/('[1]PURCHASE PRICE'!$B:$B=B11)/('[1]PURCHASE PRICE'!$C:$C=C11),'[1]PURCHASE PRICE'!$D:$D)</f>
        <v>11100</v>
      </c>
      <c r="F11">
        <f>LOOKUP(1,1/('[1]PURCHASE PRICE'!$A:$A=A11)/('[1]PURCHASE PRICE'!$B:$B=B11),'[1]PURCHASE PRICE'!$D:$D)</f>
        <v>11100</v>
      </c>
      <c r="G11" s="1">
        <f t="shared" si="1"/>
        <v>11100</v>
      </c>
      <c r="H11" s="1">
        <f t="shared" si="0"/>
        <v>1110000</v>
      </c>
    </row>
    <row r="12" spans="1:8" x14ac:dyDescent="0.3">
      <c r="A12" s="6">
        <v>45710</v>
      </c>
      <c r="B12" t="s">
        <v>16</v>
      </c>
      <c r="C12" t="s">
        <v>13</v>
      </c>
      <c r="D12">
        <v>80</v>
      </c>
      <c r="E12">
        <f>LOOKUP(1,1/('[1]PURCHASE PRICE'!$A:$A=A12)/('[1]PURCHASE PRICE'!$B:$B=B12)/('[1]PURCHASE PRICE'!$C:$C=C12),'[1]PURCHASE PRICE'!$D:$D)</f>
        <v>11000</v>
      </c>
      <c r="F12">
        <f>LOOKUP(1,1/('[1]PURCHASE PRICE'!$A:$A=A12)/('[1]PURCHASE PRICE'!$B:$B=B12),'[1]PURCHASE PRICE'!$D:$D)</f>
        <v>7500</v>
      </c>
      <c r="G12" s="1">
        <f t="shared" si="1"/>
        <v>11000</v>
      </c>
      <c r="H12" s="1">
        <f t="shared" si="0"/>
        <v>880000</v>
      </c>
    </row>
    <row r="13" spans="1:8" x14ac:dyDescent="0.3">
      <c r="A13" s="6">
        <v>45710</v>
      </c>
      <c r="B13" t="s">
        <v>17</v>
      </c>
      <c r="C13" t="s">
        <v>1</v>
      </c>
      <c r="D13">
        <v>60</v>
      </c>
      <c r="E13">
        <f>LOOKUP(1,1/('[1]PURCHASE PRICE'!$A:$A=A13)/('[1]PURCHASE PRICE'!$B:$B=B13)/('[1]PURCHASE PRICE'!$C:$C=C13),'[1]PURCHASE PRICE'!$D:$D)</f>
        <v>16000</v>
      </c>
      <c r="F13">
        <f>LOOKUP(1,1/('[1]PURCHASE PRICE'!$A:$A=A13)/('[1]PURCHASE PRICE'!$B:$B=B13),'[1]PURCHASE PRICE'!$D:$D)</f>
        <v>16000</v>
      </c>
      <c r="G13" s="1">
        <f t="shared" si="1"/>
        <v>16000</v>
      </c>
      <c r="H13" s="1">
        <f t="shared" si="0"/>
        <v>960000</v>
      </c>
    </row>
    <row r="14" spans="1:8" x14ac:dyDescent="0.3">
      <c r="A14" s="6">
        <v>45710</v>
      </c>
      <c r="B14" t="s">
        <v>18</v>
      </c>
      <c r="C14" t="s">
        <v>1</v>
      </c>
      <c r="D14">
        <v>40</v>
      </c>
      <c r="E14">
        <f>LOOKUP(1,1/('[1]PURCHASE PRICE'!$A:$A=A14)/('[1]PURCHASE PRICE'!$B:$B=B14)/('[1]PURCHASE PRICE'!$C:$C=C14),'[1]PURCHASE PRICE'!$D:$D)</f>
        <v>6500</v>
      </c>
      <c r="F14">
        <f>LOOKUP(1,1/('[1]PURCHASE PRICE'!$A:$A=A14)/('[1]PURCHASE PRICE'!$B:$B=B14),'[1]PURCHASE PRICE'!$D:$D)</f>
        <v>6500</v>
      </c>
      <c r="G14" s="1">
        <f t="shared" si="1"/>
        <v>6500</v>
      </c>
      <c r="H14" s="1">
        <f t="shared" si="0"/>
        <v>260000</v>
      </c>
    </row>
    <row r="15" spans="1:8" x14ac:dyDescent="0.3">
      <c r="A15" s="6">
        <v>45710</v>
      </c>
      <c r="B15" t="s">
        <v>20</v>
      </c>
      <c r="C15" t="s">
        <v>1</v>
      </c>
      <c r="D15">
        <v>20</v>
      </c>
      <c r="E15">
        <f>LOOKUP(1,1/('[1]PURCHASE PRICE'!$A:$A=A15)/('[1]PURCHASE PRICE'!$B:$B=B15)/('[1]PURCHASE PRICE'!$C:$C=C15),'[1]PURCHASE PRICE'!$D:$D)</f>
        <v>12000</v>
      </c>
      <c r="F15">
        <f>LOOKUP(1,1/('[1]PURCHASE PRICE'!$A:$A=A15)/('[1]PURCHASE PRICE'!$B:$B=B15),'[1]PURCHASE PRICE'!$D:$D)</f>
        <v>5700</v>
      </c>
      <c r="G15" s="1">
        <f t="shared" si="1"/>
        <v>12000</v>
      </c>
      <c r="H15" s="1">
        <f t="shared" si="0"/>
        <v>240000</v>
      </c>
    </row>
    <row r="16" spans="1:8" x14ac:dyDescent="0.3">
      <c r="A16" s="6">
        <v>45710</v>
      </c>
      <c r="B16" t="s">
        <v>27</v>
      </c>
      <c r="C16" t="s">
        <v>9</v>
      </c>
      <c r="D16">
        <v>40</v>
      </c>
      <c r="E16">
        <f>LOOKUP(1,1/('[1]PURCHASE PRICE'!$A:$A=A16)/('[1]PURCHASE PRICE'!$B:$B=B16)/('[1]PURCHASE PRICE'!$C:$C=C16),'[1]PURCHASE PRICE'!$D:$D)</f>
        <v>7500</v>
      </c>
      <c r="F16">
        <f>LOOKUP(1,1/('[1]PURCHASE PRICE'!$A:$A=A16)/('[1]PURCHASE PRICE'!$B:$B=B16),'[1]PURCHASE PRICE'!$D:$D)</f>
        <v>7500</v>
      </c>
      <c r="G16" s="1">
        <f t="shared" si="1"/>
        <v>7500</v>
      </c>
      <c r="H16" s="1">
        <f t="shared" si="0"/>
        <v>300000</v>
      </c>
    </row>
    <row r="17" spans="1:8" x14ac:dyDescent="0.3">
      <c r="A17" s="6">
        <v>45710</v>
      </c>
      <c r="B17" t="s">
        <v>28</v>
      </c>
      <c r="C17" t="s">
        <v>15</v>
      </c>
      <c r="D17">
        <v>20</v>
      </c>
      <c r="E17">
        <f>LOOKUP(1,1/('[1]PURCHASE PRICE'!$A:$A=A17)/('[1]PURCHASE PRICE'!$B:$B=B17)/('[1]PURCHASE PRICE'!$C:$C=C17),'[1]PURCHASE PRICE'!$D:$D)</f>
        <v>10000</v>
      </c>
      <c r="F17">
        <f>LOOKUP(1,1/('[1]PURCHASE PRICE'!$A:$A=A17)/('[1]PURCHASE PRICE'!$B:$B=B17),'[1]PURCHASE PRICE'!$D:$D)</f>
        <v>10000</v>
      </c>
      <c r="G17" s="1">
        <f t="shared" si="1"/>
        <v>10000</v>
      </c>
      <c r="H17" s="1">
        <f t="shared" si="0"/>
        <v>200000</v>
      </c>
    </row>
    <row r="18" spans="1:8" x14ac:dyDescent="0.3">
      <c r="A18" s="6">
        <v>45710</v>
      </c>
      <c r="B18" t="s">
        <v>34</v>
      </c>
      <c r="C18" t="s">
        <v>1</v>
      </c>
      <c r="D18">
        <v>80</v>
      </c>
      <c r="E18">
        <f>LOOKUP(1,1/('[1]PURCHASE PRICE'!$A:$A=A18)/('[1]PURCHASE PRICE'!$B:$B=B18)/('[1]PURCHASE PRICE'!$C:$C=C18),'[1]PURCHASE PRICE'!$D:$D)</f>
        <v>15000</v>
      </c>
      <c r="F18">
        <f>LOOKUP(1,1/('[1]PURCHASE PRICE'!$A:$A=A18)/('[1]PURCHASE PRICE'!$B:$B=B18),'[1]PURCHASE PRICE'!$D:$D)</f>
        <v>15000</v>
      </c>
      <c r="G18" s="1">
        <f t="shared" si="1"/>
        <v>15000</v>
      </c>
      <c r="H18" s="1">
        <f t="shared" si="0"/>
        <v>1200000</v>
      </c>
    </row>
    <row r="19" spans="1:8" x14ac:dyDescent="0.3">
      <c r="A19" s="6">
        <v>45710</v>
      </c>
      <c r="B19" t="s">
        <v>98</v>
      </c>
      <c r="C19" t="s">
        <v>1</v>
      </c>
      <c r="D19">
        <v>10</v>
      </c>
      <c r="E19">
        <f>LOOKUP(1,1/('[1]PURCHASE PRICE'!$A:$A=A19)/('[1]PURCHASE PRICE'!$B:$B=B19)/('[1]PURCHASE PRICE'!$C:$C=C19),'[1]PURCHASE PRICE'!$D:$D)</f>
        <v>25000</v>
      </c>
      <c r="F19">
        <f>LOOKUP(1,1/('[1]PURCHASE PRICE'!$A:$A=A19)/('[1]PURCHASE PRICE'!$B:$B=B19),'[1]PURCHASE PRICE'!$D:$D)</f>
        <v>25000</v>
      </c>
      <c r="G19" s="1">
        <f t="shared" si="1"/>
        <v>25000</v>
      </c>
      <c r="H19" s="1">
        <f t="shared" si="0"/>
        <v>250000</v>
      </c>
    </row>
    <row r="20" spans="1:8" x14ac:dyDescent="0.3">
      <c r="A20" s="6">
        <v>45710</v>
      </c>
      <c r="B20" t="s">
        <v>35</v>
      </c>
      <c r="C20" t="s">
        <v>1</v>
      </c>
      <c r="D20">
        <v>60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1"/>
        <v>12000</v>
      </c>
      <c r="H20" s="1">
        <f t="shared" si="0"/>
        <v>720000</v>
      </c>
    </row>
    <row r="21" spans="1:8" x14ac:dyDescent="0.3">
      <c r="A21" s="6">
        <v>45710</v>
      </c>
      <c r="B21" t="s">
        <v>36</v>
      </c>
      <c r="C21" t="s">
        <v>22</v>
      </c>
      <c r="D21">
        <v>10</v>
      </c>
      <c r="E21">
        <f>LOOKUP(1,1/('[1]PURCHASE PRICE'!$A:$A=A21)/('[1]PURCHASE PRICE'!$B:$B=B21)/('[1]PURCHASE PRICE'!$C:$C=C21),'[1]PURCHASE PRICE'!$D:$D)</f>
        <v>6000</v>
      </c>
      <c r="F21">
        <f>LOOKUP(1,1/('[1]PURCHASE PRICE'!$A:$A=A21)/('[1]PURCHASE PRICE'!$B:$B=B21),'[1]PURCHASE PRICE'!$D:$D)</f>
        <v>6000</v>
      </c>
      <c r="G21" s="1">
        <f t="shared" si="1"/>
        <v>6000</v>
      </c>
      <c r="H21" s="1">
        <f t="shared" si="0"/>
        <v>60000</v>
      </c>
    </row>
    <row r="22" spans="1:8" x14ac:dyDescent="0.3">
      <c r="A22" s="6">
        <v>45710</v>
      </c>
      <c r="B22" t="s">
        <v>37</v>
      </c>
      <c r="C22" t="s">
        <v>31</v>
      </c>
      <c r="D22">
        <v>30</v>
      </c>
      <c r="E22">
        <f>LOOKUP(1,1/('[1]PURCHASE PRICE'!$A:$A=A22)/('[1]PURCHASE PRICE'!$B:$B=B22)/('[1]PURCHASE PRICE'!$C:$C=C22),'[1]PURCHASE PRICE'!$D:$D)</f>
        <v>4000</v>
      </c>
      <c r="F22">
        <f>LOOKUP(1,1/('[1]PURCHASE PRICE'!$A:$A=A22)/('[1]PURCHASE PRICE'!$B:$B=B22),'[1]PURCHASE PRICE'!$D:$D)</f>
        <v>4000</v>
      </c>
      <c r="G22" s="1">
        <f t="shared" si="1"/>
        <v>4000</v>
      </c>
      <c r="H22" s="1">
        <f t="shared" si="0"/>
        <v>120000</v>
      </c>
    </row>
    <row r="23" spans="1:8" x14ac:dyDescent="0.3">
      <c r="A23" s="6">
        <v>45710</v>
      </c>
      <c r="B23" t="s">
        <v>38</v>
      </c>
      <c r="C23" t="s">
        <v>1</v>
      </c>
      <c r="D23">
        <v>5</v>
      </c>
      <c r="E23">
        <f>LOOKUP(1,1/('[1]PURCHASE PRICE'!$A:$A=A23)/('[1]PURCHASE PRICE'!$B:$B=B23)/('[1]PURCHASE PRICE'!$C:$C=C23),'[1]PURCHASE PRICE'!$D:$D)</f>
        <v>80000</v>
      </c>
      <c r="F23">
        <f>LOOKUP(1,1/('[1]PURCHASE PRICE'!$A:$A=A23)/('[1]PURCHASE PRICE'!$B:$B=B23),'[1]PURCHASE PRICE'!$D:$D)</f>
        <v>80000</v>
      </c>
      <c r="G23" s="1">
        <f t="shared" si="1"/>
        <v>80000</v>
      </c>
      <c r="H23" s="1">
        <f t="shared" si="0"/>
        <v>400000</v>
      </c>
    </row>
    <row r="24" spans="1:8" x14ac:dyDescent="0.3">
      <c r="A24" s="6">
        <v>45710</v>
      </c>
      <c r="B24" t="s">
        <v>39</v>
      </c>
      <c r="C24" t="s">
        <v>9</v>
      </c>
      <c r="D24">
        <v>800</v>
      </c>
      <c r="E24">
        <f>LOOKUP(1,1/('[1]PURCHASE PRICE'!$A:$A=A24)/('[1]PURCHASE PRICE'!$B:$B=B24)/('[1]PURCHASE PRICE'!$C:$C=C24),'[1]PURCHASE PRICE'!$D:$D)</f>
        <v>10500</v>
      </c>
      <c r="F24">
        <f>LOOKUP(1,1/('[1]PURCHASE PRICE'!$A:$A=A24)/('[1]PURCHASE PRICE'!$B:$B=B24),'[1]PURCHASE PRICE'!$D:$D)</f>
        <v>10500</v>
      </c>
      <c r="G24" s="1">
        <f t="shared" si="1"/>
        <v>10500</v>
      </c>
      <c r="H24" s="1">
        <f t="shared" si="0"/>
        <v>8400000</v>
      </c>
    </row>
    <row r="25" spans="1:8" x14ac:dyDescent="0.3">
      <c r="A25" s="6">
        <v>45710</v>
      </c>
      <c r="B25" t="s">
        <v>40</v>
      </c>
      <c r="C25" t="s">
        <v>22</v>
      </c>
      <c r="D25">
        <v>40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15000</v>
      </c>
      <c r="G25" s="1">
        <f>+F25*0.6</f>
        <v>9000</v>
      </c>
      <c r="H25" s="1">
        <f t="shared" si="0"/>
        <v>360000</v>
      </c>
    </row>
    <row r="26" spans="1:8" x14ac:dyDescent="0.3">
      <c r="A26" s="6">
        <v>45710</v>
      </c>
      <c r="B26" t="s">
        <v>81</v>
      </c>
      <c r="C26" t="s">
        <v>1</v>
      </c>
      <c r="D26">
        <v>40</v>
      </c>
      <c r="E26">
        <f>LOOKUP(1,1/('[1]PURCHASE PRICE'!$A:$A=A26)/('[1]PURCHASE PRICE'!$B:$B=B26)/('[1]PURCHASE PRICE'!$C:$C=C26),'[1]PURCHASE PRICE'!$D:$D)</f>
        <v>11000</v>
      </c>
      <c r="F26">
        <f>LOOKUP(1,1/('[1]PURCHASE PRICE'!$A:$A=A26)/('[1]PURCHASE PRICE'!$B:$B=B26),'[1]PURCHASE PRICE'!$D:$D)</f>
        <v>11000</v>
      </c>
      <c r="G26" s="1">
        <f t="shared" si="1"/>
        <v>11000</v>
      </c>
      <c r="H26" s="1">
        <f t="shared" si="0"/>
        <v>440000</v>
      </c>
    </row>
    <row r="27" spans="1:8" x14ac:dyDescent="0.3">
      <c r="A27" s="6">
        <v>45710</v>
      </c>
      <c r="B27" t="s">
        <v>41</v>
      </c>
      <c r="C27" t="s">
        <v>26</v>
      </c>
      <c r="D27">
        <v>80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10000</v>
      </c>
      <c r="G27" s="1">
        <f>11500*0.15</f>
        <v>1725</v>
      </c>
      <c r="H27" s="1">
        <f t="shared" si="0"/>
        <v>138000</v>
      </c>
    </row>
    <row r="28" spans="1:8" x14ac:dyDescent="0.3">
      <c r="A28" s="6">
        <v>45710</v>
      </c>
      <c r="B28" t="s">
        <v>42</v>
      </c>
      <c r="C28" t="s">
        <v>1</v>
      </c>
      <c r="D28">
        <v>15</v>
      </c>
      <c r="E28">
        <f>LOOKUP(1,1/('[1]PURCHASE PRICE'!$A:$A=A28)/('[1]PURCHASE PRICE'!$B:$B=B28)/('[1]PURCHASE PRICE'!$C:$C=C28),'[1]PURCHASE PRICE'!$D:$D)</f>
        <v>25000</v>
      </c>
      <c r="F28">
        <f>LOOKUP(1,1/('[1]PURCHASE PRICE'!$A:$A=A28)/('[1]PURCHASE PRICE'!$B:$B=B28),'[1]PURCHASE PRICE'!$D:$D)</f>
        <v>25000</v>
      </c>
      <c r="G28" s="1">
        <f t="shared" si="1"/>
        <v>25000</v>
      </c>
      <c r="H28" s="1">
        <f t="shared" si="0"/>
        <v>375000</v>
      </c>
    </row>
    <row r="29" spans="1:8" x14ac:dyDescent="0.3">
      <c r="A29" s="6">
        <v>45710</v>
      </c>
      <c r="B29" t="s">
        <v>44</v>
      </c>
      <c r="C29" t="s">
        <v>22</v>
      </c>
      <c r="D29">
        <v>400</v>
      </c>
      <c r="E29">
        <f>LOOKUP(1,1/('[1]PURCHASE PRICE'!$A:$A=A29)/('[1]PURCHASE PRICE'!$B:$B=B29)/('[1]PURCHASE PRICE'!$C:$C=C29),'[1]PURCHASE PRICE'!$D:$D)</f>
        <v>2500</v>
      </c>
      <c r="F29">
        <f>LOOKUP(1,1/('[1]PURCHASE PRICE'!$A:$A=A29)/('[1]PURCHASE PRICE'!$B:$B=B29),'[1]PURCHASE PRICE'!$D:$D)</f>
        <v>2500</v>
      </c>
      <c r="G29" s="1">
        <f t="shared" si="1"/>
        <v>2500</v>
      </c>
      <c r="H29" s="1">
        <f t="shared" si="0"/>
        <v>1000000</v>
      </c>
    </row>
    <row r="30" spans="1:8" x14ac:dyDescent="0.3">
      <c r="A30" s="6">
        <v>45710</v>
      </c>
      <c r="B30" t="s">
        <v>45</v>
      </c>
      <c r="C30" t="s">
        <v>1</v>
      </c>
      <c r="D30">
        <v>20</v>
      </c>
      <c r="E30">
        <f>LOOKUP(1,1/('[1]PURCHASE PRICE'!$A:$A=A30)/('[1]PURCHASE PRICE'!$B:$B=B30)/('[1]PURCHASE PRICE'!$C:$C=C30),'[1]PURCHASE PRICE'!$D:$D)</f>
        <v>48000</v>
      </c>
      <c r="F30">
        <f>LOOKUP(1,1/('[1]PURCHASE PRICE'!$A:$A=A30)/('[1]PURCHASE PRICE'!$B:$B=B30),'[1]PURCHASE PRICE'!$D:$D)</f>
        <v>48000</v>
      </c>
      <c r="G30" s="1">
        <f t="shared" si="1"/>
        <v>48000</v>
      </c>
      <c r="H30" s="1">
        <f t="shared" si="0"/>
        <v>960000</v>
      </c>
    </row>
    <row r="31" spans="1:8" x14ac:dyDescent="0.3">
      <c r="A31" s="6">
        <v>45710</v>
      </c>
      <c r="B31" t="s">
        <v>47</v>
      </c>
      <c r="C31" t="s">
        <v>1</v>
      </c>
      <c r="D31">
        <v>10</v>
      </c>
      <c r="E31">
        <f>LOOKUP(1,1/('[1]PURCHASE PRICE'!$A:$A=A31)/('[1]PURCHASE PRICE'!$B:$B=B31)/('[1]PURCHASE PRICE'!$C:$C=C31),'[1]PURCHASE PRICE'!$D:$D)</f>
        <v>28000</v>
      </c>
      <c r="F31">
        <f>LOOKUP(1,1/('[1]PURCHASE PRICE'!$A:$A=A31)/('[1]PURCHASE PRICE'!$B:$B=B31),'[1]PURCHASE PRICE'!$D:$D)</f>
        <v>28000</v>
      </c>
      <c r="G31" s="1">
        <f t="shared" si="1"/>
        <v>28000</v>
      </c>
      <c r="H31" s="1">
        <f t="shared" si="0"/>
        <v>280000</v>
      </c>
    </row>
    <row r="32" spans="1:8" x14ac:dyDescent="0.3">
      <c r="A32" s="6">
        <v>45710</v>
      </c>
      <c r="B32" t="s">
        <v>48</v>
      </c>
      <c r="C32" t="s">
        <v>77</v>
      </c>
      <c r="D32">
        <v>400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24000</v>
      </c>
      <c r="G32" s="1">
        <f>+F32*0.25</f>
        <v>6000</v>
      </c>
      <c r="H32" s="1">
        <f t="shared" si="0"/>
        <v>2400000</v>
      </c>
    </row>
    <row r="33" spans="1:8" x14ac:dyDescent="0.3">
      <c r="A33" s="6">
        <v>45710</v>
      </c>
      <c r="B33" t="s">
        <v>49</v>
      </c>
      <c r="C33" t="s">
        <v>1</v>
      </c>
      <c r="D33">
        <v>10</v>
      </c>
      <c r="E33">
        <f>LOOKUP(1,1/('[1]PURCHASE PRICE'!$A:$A=A33)/('[1]PURCHASE PRICE'!$B:$B=B33)/('[1]PURCHASE PRICE'!$C:$C=C33),'[1]PURCHASE PRICE'!$D:$D)</f>
        <v>55000</v>
      </c>
      <c r="F33">
        <f>LOOKUP(1,1/('[1]PURCHASE PRICE'!$A:$A=A33)/('[1]PURCHASE PRICE'!$B:$B=B33),'[1]PURCHASE PRICE'!$D:$D)</f>
        <v>55000</v>
      </c>
      <c r="G33" s="1">
        <f t="shared" si="1"/>
        <v>55000</v>
      </c>
      <c r="H33" s="1">
        <f t="shared" si="0"/>
        <v>550000</v>
      </c>
    </row>
    <row r="34" spans="1:8" x14ac:dyDescent="0.3">
      <c r="A34" s="6">
        <v>45710</v>
      </c>
      <c r="B34" t="s">
        <v>50</v>
      </c>
      <c r="C34" t="s">
        <v>77</v>
      </c>
      <c r="D34">
        <v>200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34000</v>
      </c>
      <c r="G34" s="1">
        <f>+F34*0.25</f>
        <v>8500</v>
      </c>
      <c r="H34" s="1">
        <f t="shared" si="0"/>
        <v>1700000</v>
      </c>
    </row>
    <row r="35" spans="1:8" x14ac:dyDescent="0.3">
      <c r="A35" s="6">
        <v>45710</v>
      </c>
      <c r="B35" t="s">
        <v>52</v>
      </c>
      <c r="C35" t="s">
        <v>77</v>
      </c>
      <c r="D35">
        <v>80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28000</v>
      </c>
      <c r="G35" s="1">
        <f>+F35*0.25</f>
        <v>7000</v>
      </c>
      <c r="H35" s="1">
        <f t="shared" si="0"/>
        <v>560000</v>
      </c>
    </row>
    <row r="36" spans="1:8" x14ac:dyDescent="0.3">
      <c r="A36" s="6">
        <v>45710</v>
      </c>
      <c r="B36" t="s">
        <v>53</v>
      </c>
      <c r="C36" t="s">
        <v>22</v>
      </c>
      <c r="D36">
        <v>200</v>
      </c>
      <c r="E36">
        <f>LOOKUP(1,1/('[1]PURCHASE PRICE'!$A:$A=A36)/('[1]PURCHASE PRICE'!$B:$B=B36)/('[1]PURCHASE PRICE'!$C:$C=C36),'[1]PURCHASE PRICE'!$D:$D)</f>
        <v>16000</v>
      </c>
      <c r="F36">
        <f>LOOKUP(1,1/('[1]PURCHASE PRICE'!$A:$A=A36)/('[1]PURCHASE PRICE'!$B:$B=B36),'[1]PURCHASE PRICE'!$D:$D)</f>
        <v>16000</v>
      </c>
      <c r="G36" s="1">
        <f t="shared" si="1"/>
        <v>16000</v>
      </c>
      <c r="H36" s="1">
        <f t="shared" si="0"/>
        <v>3200000</v>
      </c>
    </row>
    <row r="37" spans="1:8" x14ac:dyDescent="0.3">
      <c r="A37" s="6">
        <v>45710</v>
      </c>
      <c r="B37" t="s">
        <v>55</v>
      </c>
      <c r="C37" t="s">
        <v>1</v>
      </c>
      <c r="D37">
        <v>180</v>
      </c>
      <c r="E37">
        <f>LOOKUP(1,1/('[1]PURCHASE PRICE'!$A:$A=A37)/('[1]PURCHASE PRICE'!$B:$B=B37)/('[1]PURCHASE PRICE'!$C:$C=C37),'[1]PURCHASE PRICE'!$D:$D)</f>
        <v>7000</v>
      </c>
      <c r="F37">
        <f>LOOKUP(1,1/('[1]PURCHASE PRICE'!$A:$A=A37)/('[1]PURCHASE PRICE'!$B:$B=B37),'[1]PURCHASE PRICE'!$D:$D)</f>
        <v>7000</v>
      </c>
      <c r="G37" s="1">
        <f t="shared" si="1"/>
        <v>7000</v>
      </c>
      <c r="H37" s="1">
        <f t="shared" si="0"/>
        <v>1260000</v>
      </c>
    </row>
    <row r="38" spans="1:8" x14ac:dyDescent="0.3">
      <c r="A38" s="6">
        <v>45710</v>
      </c>
      <c r="B38" t="s">
        <v>56</v>
      </c>
      <c r="C38" t="s">
        <v>26</v>
      </c>
      <c r="D38">
        <v>100</v>
      </c>
      <c r="E38">
        <f>LOOKUP(1,1/('[1]PURCHASE PRICE'!$A:$A=A38)/('[1]PURCHASE PRICE'!$B:$B=B38)/('[1]PURCHASE PRICE'!$C:$C=C38),'[1]PURCHASE PRICE'!$D:$D)</f>
        <v>6800</v>
      </c>
      <c r="F38">
        <f>LOOKUP(1,1/('[1]PURCHASE PRICE'!$A:$A=A38)/('[1]PURCHASE PRICE'!$B:$B=B38),'[1]PURCHASE PRICE'!$D:$D)</f>
        <v>6800</v>
      </c>
      <c r="G38" s="1">
        <f t="shared" si="1"/>
        <v>6800</v>
      </c>
      <c r="H38" s="1">
        <f t="shared" si="0"/>
        <v>680000</v>
      </c>
    </row>
    <row r="39" spans="1:8" x14ac:dyDescent="0.3">
      <c r="A39" s="6">
        <v>45710</v>
      </c>
      <c r="B39" t="s">
        <v>96</v>
      </c>
      <c r="C39" t="s">
        <v>1</v>
      </c>
      <c r="D39">
        <v>80</v>
      </c>
      <c r="E39">
        <f>LOOKUP(1,1/('[1]PURCHASE PRICE'!$A:$A=A39)/('[1]PURCHASE PRICE'!$B:$B=B39)/('[1]PURCHASE PRICE'!$C:$C=C39),'[1]PURCHASE PRICE'!$D:$D)</f>
        <v>21000</v>
      </c>
      <c r="F39">
        <f>LOOKUP(1,1/('[1]PURCHASE PRICE'!$A:$A=A39)/('[1]PURCHASE PRICE'!$B:$B=B39),'[1]PURCHASE PRICE'!$D:$D)</f>
        <v>21000</v>
      </c>
      <c r="G39" s="1">
        <f t="shared" si="1"/>
        <v>21000</v>
      </c>
      <c r="H39" s="1">
        <f t="shared" si="0"/>
        <v>1680000</v>
      </c>
    </row>
    <row r="40" spans="1:8" x14ac:dyDescent="0.3">
      <c r="A40" s="6">
        <v>45710</v>
      </c>
      <c r="B40" t="s">
        <v>58</v>
      </c>
      <c r="C40" t="s">
        <v>1</v>
      </c>
      <c r="D40">
        <v>20</v>
      </c>
      <c r="E40">
        <f>LOOKUP(1,1/('[1]PURCHASE PRICE'!$A:$A=A40)/('[1]PURCHASE PRICE'!$B:$B=B40)/('[1]PURCHASE PRICE'!$C:$C=C40),'[1]PURCHASE PRICE'!$D:$D)</f>
        <v>12000</v>
      </c>
      <c r="F40">
        <f>LOOKUP(1,1/('[1]PURCHASE PRICE'!$A:$A=A40)/('[1]PURCHASE PRICE'!$B:$B=B40),'[1]PURCHASE PRICE'!$D:$D)</f>
        <v>12000</v>
      </c>
      <c r="G40" s="1">
        <f t="shared" si="1"/>
        <v>12000</v>
      </c>
      <c r="H40" s="1">
        <f t="shared" si="0"/>
        <v>240000</v>
      </c>
    </row>
    <row r="41" spans="1:8" x14ac:dyDescent="0.3">
      <c r="A41" s="6">
        <v>45710</v>
      </c>
      <c r="B41" t="s">
        <v>60</v>
      </c>
      <c r="C41" t="s">
        <v>1</v>
      </c>
      <c r="D41">
        <v>10</v>
      </c>
      <c r="E41">
        <f>LOOKUP(1,1/('[1]PURCHASE PRICE'!$A:$A=A41)/('[1]PURCHASE PRICE'!$B:$B=B41)/('[1]PURCHASE PRICE'!$C:$C=C41),'[1]PURCHASE PRICE'!$D:$D)</f>
        <v>15000</v>
      </c>
      <c r="F41">
        <f>LOOKUP(1,1/('[1]PURCHASE PRICE'!$A:$A=A41)/('[1]PURCHASE PRICE'!$B:$B=B41),'[1]PURCHASE PRICE'!$D:$D)</f>
        <v>15000</v>
      </c>
      <c r="G41" s="1">
        <f t="shared" si="1"/>
        <v>15000</v>
      </c>
      <c r="H41" s="1">
        <f t="shared" si="0"/>
        <v>150000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4DD4-3E21-4DDA-BBE4-30C6DE91F9DF}">
  <dimension ref="A1:H49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42188890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45711</v>
      </c>
      <c r="B3" t="s">
        <v>3</v>
      </c>
      <c r="C3" t="s">
        <v>77</v>
      </c>
      <c r="D3">
        <v>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9000</v>
      </c>
      <c r="G3" s="1">
        <v>0</v>
      </c>
      <c r="H3" s="1">
        <f>+G3*D3</f>
        <v>0</v>
      </c>
    </row>
    <row r="4" spans="1:8" x14ac:dyDescent="0.3">
      <c r="A4" s="6">
        <v>45711</v>
      </c>
      <c r="B4" t="s">
        <v>93</v>
      </c>
      <c r="C4" t="s">
        <v>1</v>
      </c>
      <c r="D4">
        <v>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0</v>
      </c>
      <c r="H4" s="1">
        <f t="shared" ref="H4:H49" si="0">+G4*D4</f>
        <v>0</v>
      </c>
    </row>
    <row r="5" spans="1:8" x14ac:dyDescent="0.3">
      <c r="A5" s="6">
        <v>45711</v>
      </c>
      <c r="B5" t="s">
        <v>4</v>
      </c>
      <c r="C5" t="s">
        <v>77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9000</v>
      </c>
      <c r="G5" s="1">
        <f>+F5*0.4</f>
        <v>3600</v>
      </c>
      <c r="H5" s="1">
        <f t="shared" si="0"/>
        <v>1080000</v>
      </c>
    </row>
    <row r="6" spans="1:8" x14ac:dyDescent="0.3">
      <c r="A6" s="6">
        <v>45711</v>
      </c>
      <c r="B6" t="s">
        <v>4</v>
      </c>
      <c r="C6" t="s">
        <v>1</v>
      </c>
      <c r="D6">
        <v>60</v>
      </c>
      <c r="E6">
        <f>LOOKUP(1,1/('[1]PURCHASE PRICE'!$A:$A=A6)/('[1]PURCHASE PRICE'!$B:$B=B6)/('[1]PURCHASE PRICE'!$C:$C=C6),'[1]PURCHASE PRICE'!$D:$D)</f>
        <v>9000</v>
      </c>
      <c r="F6">
        <f>LOOKUP(1,1/('[1]PURCHASE PRICE'!$A:$A=A6)/('[1]PURCHASE PRICE'!$B:$B=B6),'[1]PURCHASE PRICE'!$D:$D)</f>
        <v>9000</v>
      </c>
      <c r="G6" s="1">
        <f t="shared" ref="G6:G49" si="1">E6</f>
        <v>9000</v>
      </c>
      <c r="H6" s="1">
        <f t="shared" si="0"/>
        <v>540000</v>
      </c>
    </row>
    <row r="7" spans="1:8" x14ac:dyDescent="0.3">
      <c r="A7" s="6">
        <v>45711</v>
      </c>
      <c r="B7" t="s">
        <v>6</v>
      </c>
      <c r="C7" t="s">
        <v>77</v>
      </c>
      <c r="D7">
        <v>180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13000</v>
      </c>
      <c r="G7" s="1">
        <f>+F7*0.3</f>
        <v>3900</v>
      </c>
      <c r="H7" s="1">
        <f t="shared" si="0"/>
        <v>702000</v>
      </c>
    </row>
    <row r="8" spans="1:8" x14ac:dyDescent="0.3">
      <c r="A8" s="6">
        <v>45711</v>
      </c>
      <c r="B8" t="s">
        <v>8</v>
      </c>
      <c r="C8" t="s">
        <v>9</v>
      </c>
      <c r="D8">
        <v>50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si="1"/>
        <v>6000</v>
      </c>
      <c r="H8" s="1">
        <f t="shared" si="0"/>
        <v>300000</v>
      </c>
    </row>
    <row r="9" spans="1:8" x14ac:dyDescent="0.3">
      <c r="A9" s="6">
        <v>45711</v>
      </c>
      <c r="B9" t="s">
        <v>78</v>
      </c>
      <c r="C9" t="s">
        <v>1</v>
      </c>
      <c r="D9">
        <v>100</v>
      </c>
      <c r="E9">
        <f>LOOKUP(1,1/('[1]PURCHASE PRICE'!$A:$A=A9)/('[1]PURCHASE PRICE'!$B:$B=B9)/('[1]PURCHASE PRICE'!$C:$C=C9),'[1]PURCHASE PRICE'!$D:$D)</f>
        <v>15500</v>
      </c>
      <c r="F9">
        <f>LOOKUP(1,1/('[1]PURCHASE PRICE'!$A:$A=A9)/('[1]PURCHASE PRICE'!$B:$B=B9),'[1]PURCHASE PRICE'!$D:$D)</f>
        <v>15500</v>
      </c>
      <c r="G9" s="1">
        <f t="shared" si="1"/>
        <v>15500</v>
      </c>
      <c r="H9" s="1">
        <f t="shared" si="0"/>
        <v>1550000</v>
      </c>
    </row>
    <row r="10" spans="1:8" x14ac:dyDescent="0.3">
      <c r="A10" s="6">
        <v>45711</v>
      </c>
      <c r="B10" t="s">
        <v>10</v>
      </c>
      <c r="C10" t="s">
        <v>1</v>
      </c>
      <c r="D10">
        <v>0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8000</v>
      </c>
      <c r="G10" s="1">
        <v>0</v>
      </c>
      <c r="H10" s="1">
        <f t="shared" si="0"/>
        <v>0</v>
      </c>
    </row>
    <row r="11" spans="1:8" x14ac:dyDescent="0.3">
      <c r="A11" s="6">
        <v>45711</v>
      </c>
      <c r="B11" t="s">
        <v>10</v>
      </c>
      <c r="C11" t="s">
        <v>79</v>
      </c>
      <c r="D11">
        <v>205</v>
      </c>
      <c r="E11">
        <f>LOOKUP(1,1/('[1]PURCHASE PRICE'!$A:$A=A11)/('[1]PURCHASE PRICE'!$B:$B=B11)/('[1]PURCHASE PRICE'!$C:$C=C11),'[1]PURCHASE PRICE'!$D:$D)</f>
        <v>8000</v>
      </c>
      <c r="F11">
        <f>LOOKUP(1,1/('[1]PURCHASE PRICE'!$A:$A=A11)/('[1]PURCHASE PRICE'!$B:$B=B11),'[1]PURCHASE PRICE'!$D:$D)</f>
        <v>8000</v>
      </c>
      <c r="G11" s="1">
        <f t="shared" si="1"/>
        <v>8000</v>
      </c>
      <c r="H11" s="1">
        <f t="shared" si="0"/>
        <v>1640000</v>
      </c>
    </row>
    <row r="12" spans="1:8" x14ac:dyDescent="0.3">
      <c r="A12" s="6">
        <v>45711</v>
      </c>
      <c r="B12" t="s">
        <v>12</v>
      </c>
      <c r="C12" t="s">
        <v>13</v>
      </c>
      <c r="D12">
        <v>200</v>
      </c>
      <c r="E12">
        <f>LOOKUP(1,1/('[1]PURCHASE PRICE'!$A:$A=A12)/('[1]PURCHASE PRICE'!$B:$B=B12)/('[1]PURCHASE PRICE'!$C:$C=C12),'[1]PURCHASE PRICE'!$D:$D)</f>
        <v>6000</v>
      </c>
      <c r="F12">
        <f>LOOKUP(1,1/('[1]PURCHASE PRICE'!$A:$A=A12)/('[1]PURCHASE PRICE'!$B:$B=B12),'[1]PURCHASE PRICE'!$D:$D)</f>
        <v>6000</v>
      </c>
      <c r="G12" s="1">
        <f t="shared" si="1"/>
        <v>6000</v>
      </c>
      <c r="H12" s="1">
        <f t="shared" si="0"/>
        <v>1200000</v>
      </c>
    </row>
    <row r="13" spans="1:8" x14ac:dyDescent="0.3">
      <c r="A13" s="6">
        <v>45711</v>
      </c>
      <c r="B13" t="s">
        <v>14</v>
      </c>
      <c r="C13" t="s">
        <v>15</v>
      </c>
      <c r="D13">
        <v>50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1"/>
        <v>12000</v>
      </c>
      <c r="H13" s="1">
        <f t="shared" si="0"/>
        <v>600000</v>
      </c>
    </row>
    <row r="14" spans="1:8" x14ac:dyDescent="0.3">
      <c r="A14" s="6">
        <v>45711</v>
      </c>
      <c r="B14" t="s">
        <v>16</v>
      </c>
      <c r="C14" t="s">
        <v>13</v>
      </c>
      <c r="D14">
        <v>50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7500</v>
      </c>
      <c r="G14" s="1">
        <f>+F14</f>
        <v>7500</v>
      </c>
      <c r="H14" s="1">
        <f t="shared" si="0"/>
        <v>375000</v>
      </c>
    </row>
    <row r="15" spans="1:8" x14ac:dyDescent="0.3">
      <c r="A15" s="6">
        <v>45711</v>
      </c>
      <c r="B15" t="s">
        <v>16</v>
      </c>
      <c r="C15" t="s">
        <v>114</v>
      </c>
      <c r="D15">
        <v>70</v>
      </c>
      <c r="E15">
        <f>LOOKUP(1,1/('[1]PURCHASE PRICE'!$A:$A=A15)/('[1]PURCHASE PRICE'!$B:$B=B15)/('[1]PURCHASE PRICE'!$C:$C=C15),'[1]PURCHASE PRICE'!$D:$D)</f>
        <v>7500</v>
      </c>
      <c r="F15">
        <f>LOOKUP(1,1/('[1]PURCHASE PRICE'!$A:$A=A15)/('[1]PURCHASE PRICE'!$B:$B=B15),'[1]PURCHASE PRICE'!$D:$D)</f>
        <v>7500</v>
      </c>
      <c r="G15" s="1">
        <f t="shared" si="1"/>
        <v>7500</v>
      </c>
      <c r="H15" s="1">
        <f t="shared" si="0"/>
        <v>525000</v>
      </c>
    </row>
    <row r="16" spans="1:8" x14ac:dyDescent="0.3">
      <c r="A16" s="6">
        <v>45711</v>
      </c>
      <c r="B16" t="s">
        <v>17</v>
      </c>
      <c r="C16" t="s">
        <v>1</v>
      </c>
      <c r="D16">
        <v>0</v>
      </c>
      <c r="E16">
        <f>LOOKUP(1,1/('[1]PURCHASE PRICE'!$A:$A=A16)/('[1]PURCHASE PRICE'!$B:$B=B16)/('[1]PURCHASE PRICE'!$C:$C=C16),'[1]PURCHASE PRICE'!$D:$D)</f>
        <v>16000</v>
      </c>
      <c r="F16">
        <f>LOOKUP(1,1/('[1]PURCHASE PRICE'!$A:$A=A16)/('[1]PURCHASE PRICE'!$B:$B=B16),'[1]PURCHASE PRICE'!$D:$D)</f>
        <v>16000</v>
      </c>
      <c r="G16" s="1">
        <f t="shared" si="1"/>
        <v>16000</v>
      </c>
      <c r="H16" s="1">
        <f t="shared" si="0"/>
        <v>0</v>
      </c>
    </row>
    <row r="17" spans="1:8" x14ac:dyDescent="0.3">
      <c r="A17" s="6">
        <v>45711</v>
      </c>
      <c r="B17" t="s">
        <v>18</v>
      </c>
      <c r="C17" t="s">
        <v>1</v>
      </c>
      <c r="D17">
        <v>20</v>
      </c>
      <c r="E17">
        <f>LOOKUP(1,1/('[1]PURCHASE PRICE'!$A:$A=A17)/('[1]PURCHASE PRICE'!$B:$B=B17)/('[1]PURCHASE PRICE'!$C:$C=C17),'[1]PURCHASE PRICE'!$D:$D)</f>
        <v>6800</v>
      </c>
      <c r="F17">
        <f>LOOKUP(1,1/('[1]PURCHASE PRICE'!$A:$A=A17)/('[1]PURCHASE PRICE'!$B:$B=B17),'[1]PURCHASE PRICE'!$D:$D)</f>
        <v>6800</v>
      </c>
      <c r="G17" s="1">
        <f t="shared" si="1"/>
        <v>6800</v>
      </c>
      <c r="H17" s="1">
        <f t="shared" si="0"/>
        <v>136000</v>
      </c>
    </row>
    <row r="18" spans="1:8" x14ac:dyDescent="0.3">
      <c r="A18" s="6">
        <v>45711</v>
      </c>
      <c r="B18" t="s">
        <v>19</v>
      </c>
      <c r="C18" t="s">
        <v>9</v>
      </c>
      <c r="D18">
        <v>140</v>
      </c>
      <c r="E18">
        <f>LOOKUP(1,1/('[1]PURCHASE PRICE'!$A:$A=A18)/('[1]PURCHASE PRICE'!$B:$B=B18)/('[1]PURCHASE PRICE'!$C:$C=C18),'[1]PURCHASE PRICE'!$D:$D)</f>
        <v>6000</v>
      </c>
      <c r="F18">
        <f>LOOKUP(1,1/('[1]PURCHASE PRICE'!$A:$A=A18)/('[1]PURCHASE PRICE'!$B:$B=B18),'[1]PURCHASE PRICE'!$D:$D)</f>
        <v>6000</v>
      </c>
      <c r="G18" s="1">
        <f t="shared" si="1"/>
        <v>6000</v>
      </c>
      <c r="H18" s="1">
        <f t="shared" si="0"/>
        <v>840000</v>
      </c>
    </row>
    <row r="19" spans="1:8" x14ac:dyDescent="0.3">
      <c r="A19" s="6">
        <v>45711</v>
      </c>
      <c r="B19" t="s">
        <v>20</v>
      </c>
      <c r="C19" t="s">
        <v>1</v>
      </c>
      <c r="D19">
        <v>40</v>
      </c>
      <c r="E19">
        <f>LOOKUP(1,1/('[1]PURCHASE PRICE'!$A:$A=A19)/('[1]PURCHASE PRICE'!$B:$B=B19)/('[1]PURCHASE PRICE'!$C:$C=C19),'[1]PURCHASE PRICE'!$D:$D)</f>
        <v>13000</v>
      </c>
      <c r="F19">
        <f>LOOKUP(1,1/('[1]PURCHASE PRICE'!$A:$A=A19)/('[1]PURCHASE PRICE'!$B:$B=B19),'[1]PURCHASE PRICE'!$D:$D)</f>
        <v>13000</v>
      </c>
      <c r="G19" s="1">
        <f t="shared" si="1"/>
        <v>13000</v>
      </c>
      <c r="H19" s="1">
        <f t="shared" si="0"/>
        <v>520000</v>
      </c>
    </row>
    <row r="20" spans="1:8" x14ac:dyDescent="0.3">
      <c r="A20" s="6">
        <v>45711</v>
      </c>
      <c r="B20" t="s">
        <v>21</v>
      </c>
      <c r="C20" t="s">
        <v>22</v>
      </c>
      <c r="D20">
        <v>52</v>
      </c>
      <c r="E20">
        <f>LOOKUP(1,1/('[1]PURCHASE PRICE'!$A:$A=A20)/('[1]PURCHASE PRICE'!$B:$B=B20)/('[1]PURCHASE PRICE'!$C:$C=C20),'[1]PURCHASE PRICE'!$D:$D)</f>
        <v>4200</v>
      </c>
      <c r="F20">
        <f>LOOKUP(1,1/('[1]PURCHASE PRICE'!$A:$A=A20)/('[1]PURCHASE PRICE'!$B:$B=B20),'[1]PURCHASE PRICE'!$D:$D)</f>
        <v>4200</v>
      </c>
      <c r="G20" s="1">
        <f t="shared" si="1"/>
        <v>4200</v>
      </c>
      <c r="H20" s="1">
        <f t="shared" si="0"/>
        <v>218400</v>
      </c>
    </row>
    <row r="21" spans="1:8" x14ac:dyDescent="0.3">
      <c r="A21" s="6">
        <v>45711</v>
      </c>
      <c r="B21" t="s">
        <v>21</v>
      </c>
      <c r="C21" t="s">
        <v>97</v>
      </c>
      <c r="D21">
        <v>50</v>
      </c>
      <c r="E21">
        <f>LOOKUP(1,1/('[1]PURCHASE PRICE'!$A:$A=A21)/('[1]PURCHASE PRICE'!$B:$B=B21)/('[1]PURCHASE PRICE'!$C:$C=C21),'[1]PURCHASE PRICE'!$D:$D)</f>
        <v>1900</v>
      </c>
      <c r="F21">
        <f>LOOKUP(1,1/('[1]PURCHASE PRICE'!$A:$A=A21)/('[1]PURCHASE PRICE'!$B:$B=B21),'[1]PURCHASE PRICE'!$D:$D)</f>
        <v>4200</v>
      </c>
      <c r="G21" s="1">
        <f t="shared" si="1"/>
        <v>1900</v>
      </c>
      <c r="H21" s="1">
        <f t="shared" si="0"/>
        <v>95000</v>
      </c>
    </row>
    <row r="22" spans="1:8" x14ac:dyDescent="0.3">
      <c r="A22" s="6">
        <v>45711</v>
      </c>
      <c r="B22" t="s">
        <v>25</v>
      </c>
      <c r="C22" t="s">
        <v>26</v>
      </c>
      <c r="D22">
        <v>200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11000</v>
      </c>
      <c r="G22" s="1">
        <f>+F22/2</f>
        <v>5500</v>
      </c>
      <c r="H22" s="1">
        <f t="shared" si="0"/>
        <v>1100000</v>
      </c>
    </row>
    <row r="23" spans="1:8" x14ac:dyDescent="0.3">
      <c r="A23" s="6">
        <v>45711</v>
      </c>
      <c r="B23" t="s">
        <v>27</v>
      </c>
      <c r="C23" t="s">
        <v>9</v>
      </c>
      <c r="D23">
        <v>40</v>
      </c>
      <c r="E23">
        <f>LOOKUP(1,1/('[1]PURCHASE PRICE'!$A:$A=A23)/('[1]PURCHASE PRICE'!$B:$B=B23)/('[1]PURCHASE PRICE'!$C:$C=C23),'[1]PURCHASE PRICE'!$D:$D)</f>
        <v>7500</v>
      </c>
      <c r="F23">
        <f>LOOKUP(1,1/('[1]PURCHASE PRICE'!$A:$A=A23)/('[1]PURCHASE PRICE'!$B:$B=B23),'[1]PURCHASE PRICE'!$D:$D)</f>
        <v>7500</v>
      </c>
      <c r="G23" s="1">
        <f t="shared" si="1"/>
        <v>7500</v>
      </c>
      <c r="H23" s="1">
        <f t="shared" si="0"/>
        <v>300000</v>
      </c>
    </row>
    <row r="24" spans="1:8" x14ac:dyDescent="0.3">
      <c r="A24" s="6">
        <v>45711</v>
      </c>
      <c r="B24" t="s">
        <v>28</v>
      </c>
      <c r="C24" t="s">
        <v>15</v>
      </c>
      <c r="D24">
        <v>27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10000</v>
      </c>
      <c r="G24" s="1">
        <f t="shared" si="1"/>
        <v>10000</v>
      </c>
      <c r="H24" s="1">
        <f t="shared" si="0"/>
        <v>270000</v>
      </c>
    </row>
    <row r="25" spans="1:8" x14ac:dyDescent="0.3">
      <c r="A25" s="6">
        <v>45711</v>
      </c>
      <c r="B25" t="s">
        <v>80</v>
      </c>
      <c r="C25" t="s">
        <v>1</v>
      </c>
      <c r="D25">
        <v>40</v>
      </c>
      <c r="E25">
        <f>LOOKUP(1,1/('[1]PURCHASE PRICE'!$A:$A=A25)/('[1]PURCHASE PRICE'!$B:$B=B25)/('[1]PURCHASE PRICE'!$C:$C=C25),'[1]PURCHASE PRICE'!$D:$D)</f>
        <v>9000</v>
      </c>
      <c r="F25">
        <f>LOOKUP(1,1/('[1]PURCHASE PRICE'!$A:$A=A25)/('[1]PURCHASE PRICE'!$B:$B=B25),'[1]PURCHASE PRICE'!$D:$D)</f>
        <v>9000</v>
      </c>
      <c r="G25" s="1">
        <f t="shared" si="1"/>
        <v>9000</v>
      </c>
      <c r="H25" s="1">
        <f t="shared" si="0"/>
        <v>360000</v>
      </c>
    </row>
    <row r="26" spans="1:8" x14ac:dyDescent="0.3">
      <c r="A26" s="6">
        <v>45711</v>
      </c>
      <c r="B26" t="s">
        <v>30</v>
      </c>
      <c r="C26" t="s">
        <v>1</v>
      </c>
      <c r="D26">
        <v>40</v>
      </c>
      <c r="E26">
        <f>LOOKUP(1,1/('[1]PURCHASE PRICE'!$A:$A=A26)/('[1]PURCHASE PRICE'!$B:$B=B26)/('[1]PURCHASE PRICE'!$C:$C=C26),'[1]PURCHASE PRICE'!$D:$D)</f>
        <v>7000</v>
      </c>
      <c r="F26">
        <f>LOOKUP(1,1/('[1]PURCHASE PRICE'!$A:$A=A26)/('[1]PURCHASE PRICE'!$B:$B=B26),'[1]PURCHASE PRICE'!$D:$D)</f>
        <v>7000</v>
      </c>
      <c r="G26" s="1">
        <f t="shared" si="1"/>
        <v>7000</v>
      </c>
      <c r="H26" s="1">
        <f t="shared" si="0"/>
        <v>280000</v>
      </c>
    </row>
    <row r="27" spans="1:8" x14ac:dyDescent="0.3">
      <c r="A27" s="6">
        <v>45711</v>
      </c>
      <c r="B27" t="s">
        <v>33</v>
      </c>
      <c r="C27" t="s">
        <v>1</v>
      </c>
      <c r="D27">
        <v>100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27000</v>
      </c>
      <c r="H27" s="1">
        <f t="shared" si="0"/>
        <v>2700000</v>
      </c>
    </row>
    <row r="28" spans="1:8" x14ac:dyDescent="0.3">
      <c r="A28" s="6">
        <v>45711</v>
      </c>
      <c r="B28" t="s">
        <v>34</v>
      </c>
      <c r="C28" t="s">
        <v>1</v>
      </c>
      <c r="D28">
        <v>200</v>
      </c>
      <c r="E28">
        <f>LOOKUP(1,1/('[1]PURCHASE PRICE'!$A:$A=A28)/('[1]PURCHASE PRICE'!$B:$B=B28)/('[1]PURCHASE PRICE'!$C:$C=C28),'[1]PURCHASE PRICE'!$D:$D)</f>
        <v>14000</v>
      </c>
      <c r="F28">
        <f>LOOKUP(1,1/('[1]PURCHASE PRICE'!$A:$A=A28)/('[1]PURCHASE PRICE'!$B:$B=B28),'[1]PURCHASE PRICE'!$D:$D)</f>
        <v>14000</v>
      </c>
      <c r="G28" s="1">
        <f t="shared" si="1"/>
        <v>14000</v>
      </c>
      <c r="H28" s="1">
        <f t="shared" si="0"/>
        <v>2800000</v>
      </c>
    </row>
    <row r="29" spans="1:8" x14ac:dyDescent="0.3">
      <c r="A29" s="6">
        <v>45711</v>
      </c>
      <c r="B29" t="s">
        <v>98</v>
      </c>
      <c r="C29" t="s">
        <v>1</v>
      </c>
      <c r="D29">
        <v>20</v>
      </c>
      <c r="E29">
        <f>LOOKUP(1,1/('[1]PURCHASE PRICE'!$A:$A=A29)/('[1]PURCHASE PRICE'!$B:$B=B29)/('[1]PURCHASE PRICE'!$C:$C=C29),'[1]PURCHASE PRICE'!$D:$D)</f>
        <v>25000</v>
      </c>
      <c r="F29">
        <f>LOOKUP(1,1/('[1]PURCHASE PRICE'!$A:$A=A29)/('[1]PURCHASE PRICE'!$B:$B=B29),'[1]PURCHASE PRICE'!$D:$D)</f>
        <v>25000</v>
      </c>
      <c r="G29" s="1">
        <f t="shared" si="1"/>
        <v>25000</v>
      </c>
      <c r="H29" s="1">
        <f t="shared" si="0"/>
        <v>500000</v>
      </c>
    </row>
    <row r="30" spans="1:8" x14ac:dyDescent="0.3">
      <c r="A30" s="6">
        <v>45711</v>
      </c>
      <c r="B30" t="s">
        <v>36</v>
      </c>
      <c r="C30" t="s">
        <v>22</v>
      </c>
      <c r="D30">
        <v>30</v>
      </c>
      <c r="E30">
        <f>LOOKUP(1,1/('[1]PURCHASE PRICE'!$A:$A=A30)/('[1]PURCHASE PRICE'!$B:$B=B30)/('[1]PURCHASE PRICE'!$C:$C=C30),'[1]PURCHASE PRICE'!$D:$D)</f>
        <v>6000</v>
      </c>
      <c r="F30">
        <f>LOOKUP(1,1/('[1]PURCHASE PRICE'!$A:$A=A30)/('[1]PURCHASE PRICE'!$B:$B=B30),'[1]PURCHASE PRICE'!$D:$D)</f>
        <v>6000</v>
      </c>
      <c r="G30" s="1">
        <f t="shared" si="1"/>
        <v>6000</v>
      </c>
      <c r="H30" s="1">
        <f t="shared" si="0"/>
        <v>180000</v>
      </c>
    </row>
    <row r="31" spans="1:8" x14ac:dyDescent="0.3">
      <c r="A31" s="6">
        <v>45711</v>
      </c>
      <c r="B31" t="s">
        <v>37</v>
      </c>
      <c r="C31" t="s">
        <v>31</v>
      </c>
      <c r="D31">
        <v>50</v>
      </c>
      <c r="E31">
        <f>LOOKUP(1,1/('[1]PURCHASE PRICE'!$A:$A=A31)/('[1]PURCHASE PRICE'!$B:$B=B31)/('[1]PURCHASE PRICE'!$C:$C=C31),'[1]PURCHASE PRICE'!$D:$D)</f>
        <v>5000</v>
      </c>
      <c r="F31">
        <f>LOOKUP(1,1/('[1]PURCHASE PRICE'!$A:$A=A31)/('[1]PURCHASE PRICE'!$B:$B=B31),'[1]PURCHASE PRICE'!$D:$D)</f>
        <v>5000</v>
      </c>
      <c r="G31" s="1">
        <f t="shared" si="1"/>
        <v>5000</v>
      </c>
      <c r="H31" s="1">
        <f t="shared" si="0"/>
        <v>250000</v>
      </c>
    </row>
    <row r="32" spans="1:8" x14ac:dyDescent="0.3">
      <c r="A32" s="6">
        <v>45711</v>
      </c>
      <c r="B32" t="s">
        <v>39</v>
      </c>
      <c r="C32" t="s">
        <v>1</v>
      </c>
      <c r="D32">
        <v>0</v>
      </c>
      <c r="E32">
        <f>LOOKUP(1,1/('[1]PURCHASE PRICE'!$A:$A=A32)/('[1]PURCHASE PRICE'!$B:$B=B32)/('[1]PURCHASE PRICE'!$C:$C=C32),'[1]PURCHASE PRICE'!$D:$D)</f>
        <v>9500</v>
      </c>
      <c r="F32">
        <f>LOOKUP(1,1/('[1]PURCHASE PRICE'!$A:$A=A32)/('[1]PURCHASE PRICE'!$B:$B=B32),'[1]PURCHASE PRICE'!$D:$D)</f>
        <v>7500</v>
      </c>
      <c r="G32" s="1">
        <f t="shared" si="1"/>
        <v>9500</v>
      </c>
      <c r="H32" s="1">
        <f t="shared" si="0"/>
        <v>0</v>
      </c>
    </row>
    <row r="33" spans="1:8" x14ac:dyDescent="0.3">
      <c r="A33" s="6">
        <v>45711</v>
      </c>
      <c r="B33" t="s">
        <v>39</v>
      </c>
      <c r="C33" t="s">
        <v>9</v>
      </c>
      <c r="D33">
        <v>590</v>
      </c>
      <c r="E33">
        <f>LOOKUP(1,1/('[1]PURCHASE PRICE'!$A:$A=A33)/('[1]PURCHASE PRICE'!$B:$B=B33)/('[1]PURCHASE PRICE'!$C:$C=C33),'[1]PURCHASE PRICE'!$D:$D)</f>
        <v>7500</v>
      </c>
      <c r="F33">
        <f>LOOKUP(1,1/('[1]PURCHASE PRICE'!$A:$A=A33)/('[1]PURCHASE PRICE'!$B:$B=B33),'[1]PURCHASE PRICE'!$D:$D)</f>
        <v>7500</v>
      </c>
      <c r="G33" s="1">
        <f t="shared" si="1"/>
        <v>7500</v>
      </c>
      <c r="H33" s="1">
        <f t="shared" si="0"/>
        <v>4425000</v>
      </c>
    </row>
    <row r="34" spans="1:8" x14ac:dyDescent="0.3">
      <c r="A34" s="6">
        <v>45711</v>
      </c>
      <c r="B34" t="s">
        <v>40</v>
      </c>
      <c r="C34" t="s">
        <v>22</v>
      </c>
      <c r="D34">
        <v>85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15000</v>
      </c>
      <c r="G34" s="1">
        <f>+F34*0.6</f>
        <v>9000</v>
      </c>
      <c r="H34" s="1">
        <f t="shared" si="0"/>
        <v>765000</v>
      </c>
    </row>
    <row r="35" spans="1:8" x14ac:dyDescent="0.3">
      <c r="A35" s="6">
        <v>45711</v>
      </c>
      <c r="B35" t="s">
        <v>41</v>
      </c>
      <c r="C35" t="s">
        <v>26</v>
      </c>
      <c r="D35">
        <v>200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10000</v>
      </c>
      <c r="G35" s="1">
        <f>11500*0.15</f>
        <v>1725</v>
      </c>
      <c r="H35" s="1">
        <f t="shared" si="0"/>
        <v>345000</v>
      </c>
    </row>
    <row r="36" spans="1:8" x14ac:dyDescent="0.3">
      <c r="A36" s="6">
        <v>45711</v>
      </c>
      <c r="B36" t="s">
        <v>42</v>
      </c>
      <c r="C36" t="s">
        <v>1</v>
      </c>
      <c r="D36">
        <v>15</v>
      </c>
      <c r="E36">
        <f>LOOKUP(1,1/('[1]PURCHASE PRICE'!$A:$A=A36)/('[1]PURCHASE PRICE'!$B:$B=B36)/('[1]PURCHASE PRICE'!$C:$C=C36),'[1]PURCHASE PRICE'!$D:$D)</f>
        <v>25000</v>
      </c>
      <c r="F36">
        <f>LOOKUP(1,1/('[1]PURCHASE PRICE'!$A:$A=A36)/('[1]PURCHASE PRICE'!$B:$B=B36),'[1]PURCHASE PRICE'!$D:$D)</f>
        <v>25000</v>
      </c>
      <c r="G36" s="1">
        <f t="shared" si="1"/>
        <v>25000</v>
      </c>
      <c r="H36" s="1">
        <f t="shared" si="0"/>
        <v>375000</v>
      </c>
    </row>
    <row r="37" spans="1:8" x14ac:dyDescent="0.3">
      <c r="A37" s="6">
        <v>45711</v>
      </c>
      <c r="B37" t="s">
        <v>44</v>
      </c>
      <c r="C37" t="s">
        <v>22</v>
      </c>
      <c r="D37">
        <v>500</v>
      </c>
      <c r="E37">
        <f>LOOKUP(1,1/('[1]PURCHASE PRICE'!$A:$A=A37)/('[1]PURCHASE PRICE'!$B:$B=B37)/('[1]PURCHASE PRICE'!$C:$C=C37),'[1]PURCHASE PRICE'!$D:$D)</f>
        <v>2400</v>
      </c>
      <c r="F37">
        <f>LOOKUP(1,1/('[1]PURCHASE PRICE'!$A:$A=A37)/('[1]PURCHASE PRICE'!$B:$B=B37),'[1]PURCHASE PRICE'!$D:$D)</f>
        <v>2400</v>
      </c>
      <c r="G37" s="1">
        <f t="shared" si="1"/>
        <v>2400</v>
      </c>
      <c r="H37" s="1">
        <f t="shared" si="0"/>
        <v>1200000</v>
      </c>
    </row>
    <row r="38" spans="1:8" x14ac:dyDescent="0.3">
      <c r="A38" s="6">
        <v>45711</v>
      </c>
      <c r="B38" t="s">
        <v>45</v>
      </c>
      <c r="C38" t="s">
        <v>1</v>
      </c>
      <c r="D38">
        <v>30</v>
      </c>
      <c r="E38">
        <f>LOOKUP(1,1/('[1]PURCHASE PRICE'!$A:$A=A38)/('[1]PURCHASE PRICE'!$B:$B=B38)/('[1]PURCHASE PRICE'!$C:$C=C38),'[1]PURCHASE PRICE'!$D:$D)</f>
        <v>47333</v>
      </c>
      <c r="F38">
        <f>LOOKUP(1,1/('[1]PURCHASE PRICE'!$A:$A=A38)/('[1]PURCHASE PRICE'!$B:$B=B38),'[1]PURCHASE PRICE'!$D:$D)</f>
        <v>47333</v>
      </c>
      <c r="G38" s="1">
        <f t="shared" si="1"/>
        <v>47333</v>
      </c>
      <c r="H38" s="1">
        <f t="shared" si="0"/>
        <v>1419990</v>
      </c>
    </row>
    <row r="39" spans="1:8" x14ac:dyDescent="0.3">
      <c r="A39" s="6">
        <v>45711</v>
      </c>
      <c r="B39" t="s">
        <v>47</v>
      </c>
      <c r="C39" t="s">
        <v>1</v>
      </c>
      <c r="D39">
        <v>20</v>
      </c>
      <c r="E39">
        <f>LOOKUP(1,1/('[1]PURCHASE PRICE'!$A:$A=A39)/('[1]PURCHASE PRICE'!$B:$B=B39)/('[1]PURCHASE PRICE'!$C:$C=C39),'[1]PURCHASE PRICE'!$D:$D)</f>
        <v>48000</v>
      </c>
      <c r="F39">
        <f>LOOKUP(1,1/('[1]PURCHASE PRICE'!$A:$A=A39)/('[1]PURCHASE PRICE'!$B:$B=B39),'[1]PURCHASE PRICE'!$D:$D)</f>
        <v>48000</v>
      </c>
      <c r="G39" s="1">
        <f t="shared" si="1"/>
        <v>48000</v>
      </c>
      <c r="H39" s="1">
        <f t="shared" si="0"/>
        <v>960000</v>
      </c>
    </row>
    <row r="40" spans="1:8" x14ac:dyDescent="0.3">
      <c r="A40" s="6">
        <v>45711</v>
      </c>
      <c r="B40" t="s">
        <v>48</v>
      </c>
      <c r="C40" t="s">
        <v>77</v>
      </c>
      <c r="D40">
        <v>300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21000</v>
      </c>
      <c r="G40" s="1">
        <f>+F40*0.25</f>
        <v>5250</v>
      </c>
      <c r="H40" s="1">
        <f t="shared" si="0"/>
        <v>1575000</v>
      </c>
    </row>
    <row r="41" spans="1:8" x14ac:dyDescent="0.3">
      <c r="A41" s="6">
        <v>45711</v>
      </c>
      <c r="B41" t="s">
        <v>49</v>
      </c>
      <c r="C41" t="s">
        <v>1</v>
      </c>
      <c r="D41">
        <v>15</v>
      </c>
      <c r="E41">
        <f>LOOKUP(1,1/('[1]PURCHASE PRICE'!$A:$A=A41)/('[1]PURCHASE PRICE'!$B:$B=B41)/('[1]PURCHASE PRICE'!$C:$C=C41),'[1]PURCHASE PRICE'!$D:$D)</f>
        <v>50000</v>
      </c>
      <c r="F41">
        <f>LOOKUP(1,1/('[1]PURCHASE PRICE'!$A:$A=A41)/('[1]PURCHASE PRICE'!$B:$B=B41),'[1]PURCHASE PRICE'!$D:$D)</f>
        <v>50000</v>
      </c>
      <c r="G41" s="1">
        <f t="shared" si="1"/>
        <v>50000</v>
      </c>
      <c r="H41" s="1">
        <f t="shared" si="0"/>
        <v>750000</v>
      </c>
    </row>
    <row r="42" spans="1:8" x14ac:dyDescent="0.3">
      <c r="A42" s="6">
        <v>45711</v>
      </c>
      <c r="B42" t="s">
        <v>50</v>
      </c>
      <c r="C42" t="s">
        <v>77</v>
      </c>
      <c r="D42">
        <v>280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29000</v>
      </c>
      <c r="G42" s="1">
        <f>+F42*0.25</f>
        <v>7250</v>
      </c>
      <c r="H42" s="1">
        <f t="shared" si="0"/>
        <v>2030000</v>
      </c>
    </row>
    <row r="43" spans="1:8" x14ac:dyDescent="0.3">
      <c r="A43" s="6">
        <v>45711</v>
      </c>
      <c r="B43" t="s">
        <v>52</v>
      </c>
      <c r="C43" t="s">
        <v>77</v>
      </c>
      <c r="D43">
        <v>100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28000</v>
      </c>
      <c r="G43" s="1">
        <f>+F43*0.25</f>
        <v>7000</v>
      </c>
      <c r="H43" s="1">
        <f t="shared" si="0"/>
        <v>700000</v>
      </c>
    </row>
    <row r="44" spans="1:8" x14ac:dyDescent="0.3">
      <c r="A44" s="6">
        <v>45711</v>
      </c>
      <c r="B44" t="s">
        <v>53</v>
      </c>
      <c r="C44" t="s">
        <v>22</v>
      </c>
      <c r="D44">
        <v>305</v>
      </c>
      <c r="E44">
        <f>LOOKUP(1,1/('[1]PURCHASE PRICE'!$A:$A=A44)/('[1]PURCHASE PRICE'!$B:$B=B44)/('[1]PURCHASE PRICE'!$C:$C=C44),'[1]PURCHASE PRICE'!$D:$D)</f>
        <v>17000</v>
      </c>
      <c r="F44">
        <f>LOOKUP(1,1/('[1]PURCHASE PRICE'!$A:$A=A44)/('[1]PURCHASE PRICE'!$B:$B=B44),'[1]PURCHASE PRICE'!$D:$D)</f>
        <v>17000</v>
      </c>
      <c r="G44" s="1">
        <f t="shared" si="1"/>
        <v>17000</v>
      </c>
      <c r="H44" s="1">
        <f t="shared" si="0"/>
        <v>5185000</v>
      </c>
    </row>
    <row r="45" spans="1:8" x14ac:dyDescent="0.3">
      <c r="A45" s="6">
        <v>45711</v>
      </c>
      <c r="B45" t="s">
        <v>83</v>
      </c>
      <c r="C45" t="s">
        <v>1</v>
      </c>
      <c r="D45">
        <v>10</v>
      </c>
      <c r="E45">
        <f>LOOKUP(1,1/('[1]PURCHASE PRICE'!$A:$A=A45)/('[1]PURCHASE PRICE'!$B:$B=B45)/('[1]PURCHASE PRICE'!$C:$C=C45),'[1]PURCHASE PRICE'!$D:$D)</f>
        <v>20000</v>
      </c>
      <c r="F45">
        <f>LOOKUP(1,1/('[1]PURCHASE PRICE'!$A:$A=A45)/('[1]PURCHASE PRICE'!$B:$B=B45),'[1]PURCHASE PRICE'!$D:$D)</f>
        <v>20000</v>
      </c>
      <c r="G45" s="1">
        <f t="shared" si="1"/>
        <v>20000</v>
      </c>
      <c r="H45" s="1">
        <f t="shared" si="0"/>
        <v>200000</v>
      </c>
    </row>
    <row r="46" spans="1:8" x14ac:dyDescent="0.3">
      <c r="A46" s="6">
        <v>45711</v>
      </c>
      <c r="B46" t="s">
        <v>55</v>
      </c>
      <c r="C46" t="s">
        <v>1</v>
      </c>
      <c r="D46">
        <v>60</v>
      </c>
      <c r="E46">
        <f>LOOKUP(1,1/('[1]PURCHASE PRICE'!$A:$A=A46)/('[1]PURCHASE PRICE'!$B:$B=B46)/('[1]PURCHASE PRICE'!$C:$C=C46),'[1]PURCHASE PRICE'!$D:$D)</f>
        <v>7000</v>
      </c>
      <c r="F46">
        <f>LOOKUP(1,1/('[1]PURCHASE PRICE'!$A:$A=A46)/('[1]PURCHASE PRICE'!$B:$B=B46),'[1]PURCHASE PRICE'!$D:$D)</f>
        <v>7000</v>
      </c>
      <c r="G46" s="1">
        <f t="shared" si="1"/>
        <v>7000</v>
      </c>
      <c r="H46" s="1">
        <f t="shared" si="0"/>
        <v>420000</v>
      </c>
    </row>
    <row r="47" spans="1:8" x14ac:dyDescent="0.3">
      <c r="A47" s="6">
        <v>45711</v>
      </c>
      <c r="B47" t="s">
        <v>56</v>
      </c>
      <c r="C47" t="s">
        <v>26</v>
      </c>
      <c r="D47">
        <v>200</v>
      </c>
      <c r="E47">
        <f>LOOKUP(1,1/('[1]PURCHASE PRICE'!$A:$A=A47)/('[1]PURCHASE PRICE'!$B:$B=B47)/('[1]PURCHASE PRICE'!$C:$C=C47),'[1]PURCHASE PRICE'!$D:$D)</f>
        <v>6800</v>
      </c>
      <c r="F47">
        <f>LOOKUP(1,1/('[1]PURCHASE PRICE'!$A:$A=A47)/('[1]PURCHASE PRICE'!$B:$B=B47),'[1]PURCHASE PRICE'!$D:$D)</f>
        <v>6800</v>
      </c>
      <c r="G47" s="1">
        <f t="shared" si="1"/>
        <v>6800</v>
      </c>
      <c r="H47" s="1">
        <f t="shared" si="0"/>
        <v>1360000</v>
      </c>
    </row>
    <row r="48" spans="1:8" x14ac:dyDescent="0.3">
      <c r="A48" s="6">
        <v>45711</v>
      </c>
      <c r="B48" t="s">
        <v>96</v>
      </c>
      <c r="C48" t="s">
        <v>1</v>
      </c>
      <c r="D48">
        <v>60</v>
      </c>
      <c r="E48">
        <f>LOOKUP(1,1/('[1]PURCHASE PRICE'!$A:$A=A48)/('[1]PURCHASE PRICE'!$B:$B=B48)/('[1]PURCHASE PRICE'!$C:$C=C48),'[1]PURCHASE PRICE'!$D:$D)</f>
        <v>21000</v>
      </c>
      <c r="F48">
        <f>LOOKUP(1,1/('[1]PURCHASE PRICE'!$A:$A=A48)/('[1]PURCHASE PRICE'!$B:$B=B48),'[1]PURCHASE PRICE'!$D:$D)</f>
        <v>21000</v>
      </c>
      <c r="G48" s="1">
        <f t="shared" si="1"/>
        <v>21000</v>
      </c>
      <c r="H48" s="1">
        <f t="shared" si="0"/>
        <v>1260000</v>
      </c>
    </row>
    <row r="49" spans="1:8" x14ac:dyDescent="0.3">
      <c r="A49" s="6">
        <v>45711</v>
      </c>
      <c r="B49" t="s">
        <v>60</v>
      </c>
      <c r="C49" t="s">
        <v>1</v>
      </c>
      <c r="D49">
        <v>10.5</v>
      </c>
      <c r="E49">
        <f>LOOKUP(1,1/('[1]PURCHASE PRICE'!$A:$A=A49)/('[1]PURCHASE PRICE'!$B:$B=B49)/('[1]PURCHASE PRICE'!$C:$C=C49),'[1]PURCHASE PRICE'!$D:$D)</f>
        <v>15000</v>
      </c>
      <c r="F49">
        <f>LOOKUP(1,1/('[1]PURCHASE PRICE'!$A:$A=A49)/('[1]PURCHASE PRICE'!$B:$B=B49),'[1]PURCHASE PRICE'!$D:$D)</f>
        <v>15000</v>
      </c>
      <c r="G49" s="1">
        <f t="shared" si="1"/>
        <v>15000</v>
      </c>
      <c r="H49" s="1">
        <f t="shared" si="0"/>
        <v>157500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BE0C-CD57-49F1-B5AB-194F124DD5C7}">
  <dimension ref="A1:H54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45354000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45712</v>
      </c>
      <c r="B3" t="s">
        <v>0</v>
      </c>
      <c r="C3" t="s">
        <v>1</v>
      </c>
      <c r="D3">
        <v>40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640000</v>
      </c>
    </row>
    <row r="4" spans="1:8" x14ac:dyDescent="0.3">
      <c r="A4" s="6">
        <v>45712</v>
      </c>
      <c r="B4" t="s">
        <v>2</v>
      </c>
      <c r="C4" t="s">
        <v>1</v>
      </c>
      <c r="D4">
        <v>10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4" si="0">E4</f>
        <v>6000</v>
      </c>
      <c r="H4" s="1">
        <f t="shared" ref="H4:H54" si="1">+G4*D4</f>
        <v>60000</v>
      </c>
    </row>
    <row r="5" spans="1:8" x14ac:dyDescent="0.3">
      <c r="A5" s="6">
        <v>45712</v>
      </c>
      <c r="B5" t="s">
        <v>3</v>
      </c>
      <c r="C5" t="s">
        <v>77</v>
      </c>
      <c r="D5">
        <v>30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14000</v>
      </c>
      <c r="G5" s="1">
        <f>+F5*0.3</f>
        <v>4200</v>
      </c>
      <c r="H5" s="1">
        <f t="shared" si="1"/>
        <v>126000</v>
      </c>
    </row>
    <row r="6" spans="1:8" x14ac:dyDescent="0.3">
      <c r="A6" s="6">
        <v>45712</v>
      </c>
      <c r="B6" t="s">
        <v>4</v>
      </c>
      <c r="C6" t="s">
        <v>77</v>
      </c>
      <c r="D6">
        <v>400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15000</v>
      </c>
      <c r="G6" s="1">
        <f>+F6*0.3</f>
        <v>4500</v>
      </c>
      <c r="H6" s="1">
        <f t="shared" si="1"/>
        <v>1800000</v>
      </c>
    </row>
    <row r="7" spans="1:8" x14ac:dyDescent="0.3">
      <c r="A7" s="6">
        <v>45712</v>
      </c>
      <c r="B7" t="s">
        <v>4</v>
      </c>
      <c r="C7" t="s">
        <v>1</v>
      </c>
      <c r="D7">
        <v>50</v>
      </c>
      <c r="E7">
        <f>LOOKUP(1,1/('[1]PURCHASE PRICE'!$A:$A=A7)/('[1]PURCHASE PRICE'!$B:$B=B7)/('[1]PURCHASE PRICE'!$C:$C=C7),'[1]PURCHASE PRICE'!$D:$D)</f>
        <v>15000</v>
      </c>
      <c r="F7">
        <f>LOOKUP(1,1/('[1]PURCHASE PRICE'!$A:$A=A7)/('[1]PURCHASE PRICE'!$B:$B=B7),'[1]PURCHASE PRICE'!$D:$D)</f>
        <v>15000</v>
      </c>
      <c r="G7" s="1">
        <f t="shared" si="0"/>
        <v>15000</v>
      </c>
      <c r="H7" s="1">
        <f t="shared" si="1"/>
        <v>750000</v>
      </c>
    </row>
    <row r="8" spans="1:8" x14ac:dyDescent="0.3">
      <c r="A8" s="6">
        <v>45712</v>
      </c>
      <c r="B8" t="s">
        <v>6</v>
      </c>
      <c r="C8" t="s">
        <v>77</v>
      </c>
      <c r="D8">
        <v>240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13500</v>
      </c>
      <c r="G8" s="1">
        <f>+F8*0.3</f>
        <v>4050</v>
      </c>
      <c r="H8" s="1">
        <f t="shared" si="1"/>
        <v>972000</v>
      </c>
    </row>
    <row r="9" spans="1:8" x14ac:dyDescent="0.3">
      <c r="A9" s="6">
        <v>45712</v>
      </c>
      <c r="B9" t="s">
        <v>63</v>
      </c>
      <c r="C9" t="s">
        <v>1</v>
      </c>
      <c r="D9">
        <v>10</v>
      </c>
      <c r="E9">
        <f>LOOKUP(1,1/('[1]PURCHASE PRICE'!$A:$A=A9)/('[1]PURCHASE PRICE'!$B:$B=B9)/('[1]PURCHASE PRICE'!$C:$C=C9),'[1]PURCHASE PRICE'!$D:$D)</f>
        <v>23000</v>
      </c>
      <c r="F9">
        <f>LOOKUP(1,1/('[1]PURCHASE PRICE'!$A:$A=A9)/('[1]PURCHASE PRICE'!$B:$B=B9),'[1]PURCHASE PRICE'!$D:$D)</f>
        <v>23000</v>
      </c>
      <c r="G9" s="1">
        <f t="shared" si="0"/>
        <v>23000</v>
      </c>
      <c r="H9" s="1">
        <f t="shared" si="1"/>
        <v>230000</v>
      </c>
    </row>
    <row r="10" spans="1:8" x14ac:dyDescent="0.3">
      <c r="A10" s="6">
        <v>45712</v>
      </c>
      <c r="B10" t="s">
        <v>8</v>
      </c>
      <c r="C10" t="s">
        <v>9</v>
      </c>
      <c r="D10">
        <v>70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0"/>
        <v>6000</v>
      </c>
      <c r="H10" s="1">
        <f t="shared" si="1"/>
        <v>420000</v>
      </c>
    </row>
    <row r="11" spans="1:8" x14ac:dyDescent="0.3">
      <c r="A11" s="6">
        <v>45712</v>
      </c>
      <c r="B11" t="s">
        <v>78</v>
      </c>
      <c r="C11" t="s">
        <v>1</v>
      </c>
      <c r="D11">
        <v>100</v>
      </c>
      <c r="E11">
        <f>LOOKUP(1,1/('[1]PURCHASE PRICE'!$A:$A=A11)/('[1]PURCHASE PRICE'!$B:$B=B11)/('[1]PURCHASE PRICE'!$C:$C=C11),'[1]PURCHASE PRICE'!$D:$D)</f>
        <v>18900</v>
      </c>
      <c r="F11">
        <f>LOOKUP(1,1/('[1]PURCHASE PRICE'!$A:$A=A11)/('[1]PURCHASE PRICE'!$B:$B=B11),'[1]PURCHASE PRICE'!$D:$D)</f>
        <v>18900</v>
      </c>
      <c r="G11" s="1">
        <f t="shared" si="0"/>
        <v>18900</v>
      </c>
      <c r="H11" s="1">
        <f t="shared" si="1"/>
        <v>1890000</v>
      </c>
    </row>
    <row r="12" spans="1:8" x14ac:dyDescent="0.3">
      <c r="A12" s="6">
        <v>45712</v>
      </c>
      <c r="B12" t="s">
        <v>10</v>
      </c>
      <c r="C12" t="s">
        <v>79</v>
      </c>
      <c r="D12">
        <v>100</v>
      </c>
      <c r="E12">
        <f>LOOKUP(1,1/('[1]PURCHASE PRICE'!$A:$A=A12)/('[1]PURCHASE PRICE'!$B:$B=B12)/('[1]PURCHASE PRICE'!$C:$C=C12),'[1]PURCHASE PRICE'!$D:$D)</f>
        <v>8500</v>
      </c>
      <c r="F12">
        <f>LOOKUP(1,1/('[1]PURCHASE PRICE'!$A:$A=A12)/('[1]PURCHASE PRICE'!$B:$B=B12),'[1]PURCHASE PRICE'!$D:$D)</f>
        <v>14000</v>
      </c>
      <c r="G12" s="1">
        <f t="shared" si="0"/>
        <v>8500</v>
      </c>
      <c r="H12" s="1">
        <f t="shared" si="1"/>
        <v>850000</v>
      </c>
    </row>
    <row r="13" spans="1:8" x14ac:dyDescent="0.3">
      <c r="A13" s="6">
        <v>45712</v>
      </c>
      <c r="B13" t="s">
        <v>12</v>
      </c>
      <c r="C13" t="s">
        <v>13</v>
      </c>
      <c r="D13">
        <v>120</v>
      </c>
      <c r="E13">
        <f>LOOKUP(1,1/('[1]PURCHASE PRICE'!$A:$A=A13)/('[1]PURCHASE PRICE'!$B:$B=B13)/('[1]PURCHASE PRICE'!$C:$C=C13),'[1]PURCHASE PRICE'!$D:$D)</f>
        <v>6000</v>
      </c>
      <c r="F13">
        <f>LOOKUP(1,1/('[1]PURCHASE PRICE'!$A:$A=A13)/('[1]PURCHASE PRICE'!$B:$B=B13),'[1]PURCHASE PRICE'!$D:$D)</f>
        <v>6000</v>
      </c>
      <c r="G13" s="1">
        <f t="shared" si="0"/>
        <v>6000</v>
      </c>
      <c r="H13" s="1">
        <f t="shared" si="1"/>
        <v>720000</v>
      </c>
    </row>
    <row r="14" spans="1:8" x14ac:dyDescent="0.3">
      <c r="A14" s="6">
        <v>45712</v>
      </c>
      <c r="B14" t="s">
        <v>14</v>
      </c>
      <c r="C14" t="s">
        <v>15</v>
      </c>
      <c r="D14">
        <v>60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 s="1">
        <f t="shared" si="0"/>
        <v>12000</v>
      </c>
      <c r="H14" s="1">
        <f t="shared" si="1"/>
        <v>720000</v>
      </c>
    </row>
    <row r="15" spans="1:8" x14ac:dyDescent="0.3">
      <c r="A15" s="6">
        <v>45712</v>
      </c>
      <c r="B15" t="s">
        <v>16</v>
      </c>
      <c r="C15" t="s">
        <v>13</v>
      </c>
      <c r="D15">
        <v>100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22000</v>
      </c>
      <c r="G15" s="1">
        <f>+F15*0.3</f>
        <v>6600</v>
      </c>
      <c r="H15" s="1">
        <f t="shared" si="1"/>
        <v>660000</v>
      </c>
    </row>
    <row r="16" spans="1:8" x14ac:dyDescent="0.3">
      <c r="A16" s="6">
        <v>45712</v>
      </c>
      <c r="B16" t="s">
        <v>17</v>
      </c>
      <c r="C16" t="s">
        <v>1</v>
      </c>
      <c r="D16">
        <v>0</v>
      </c>
      <c r="E16">
        <f>LOOKUP(1,1/('[1]PURCHASE PRICE'!$A:$A=A16)/('[1]PURCHASE PRICE'!$B:$B=B16)/('[1]PURCHASE PRICE'!$C:$C=C16),'[1]PURCHASE PRICE'!$D:$D)</f>
        <v>16000</v>
      </c>
      <c r="F16">
        <f>LOOKUP(1,1/('[1]PURCHASE PRICE'!$A:$A=A16)/('[1]PURCHASE PRICE'!$B:$B=B16),'[1]PURCHASE PRICE'!$D:$D)</f>
        <v>16000</v>
      </c>
      <c r="G16" s="1">
        <f t="shared" si="0"/>
        <v>16000</v>
      </c>
      <c r="H16" s="1">
        <f t="shared" si="1"/>
        <v>0</v>
      </c>
    </row>
    <row r="17" spans="1:8" x14ac:dyDescent="0.3">
      <c r="A17" s="6">
        <v>45712</v>
      </c>
      <c r="B17" t="s">
        <v>18</v>
      </c>
      <c r="C17" t="s">
        <v>1</v>
      </c>
      <c r="D17">
        <v>0</v>
      </c>
      <c r="E17">
        <f>LOOKUP(1,1/('[1]PURCHASE PRICE'!$A:$A=A17)/('[1]PURCHASE PRICE'!$B:$B=B17)/('[1]PURCHASE PRICE'!$C:$C=C17),'[1]PURCHASE PRICE'!$D:$D)</f>
        <v>6000</v>
      </c>
      <c r="F17">
        <f>LOOKUP(1,1/('[1]PURCHASE PRICE'!$A:$A=A17)/('[1]PURCHASE PRICE'!$B:$B=B17),'[1]PURCHASE PRICE'!$D:$D)</f>
        <v>6000</v>
      </c>
      <c r="G17" s="1">
        <f t="shared" si="0"/>
        <v>6000</v>
      </c>
      <c r="H17" s="1">
        <f t="shared" si="1"/>
        <v>0</v>
      </c>
    </row>
    <row r="18" spans="1:8" x14ac:dyDescent="0.3">
      <c r="A18" s="6">
        <v>45712</v>
      </c>
      <c r="B18" t="s">
        <v>19</v>
      </c>
      <c r="C18" t="s">
        <v>9</v>
      </c>
      <c r="D18">
        <v>104</v>
      </c>
      <c r="E18">
        <f>LOOKUP(1,1/('[1]PURCHASE PRICE'!$A:$A=A18)/('[1]PURCHASE PRICE'!$B:$B=B18)/('[1]PURCHASE PRICE'!$C:$C=C18),'[1]PURCHASE PRICE'!$D:$D)</f>
        <v>6000</v>
      </c>
      <c r="F18">
        <f>LOOKUP(1,1/('[1]PURCHASE PRICE'!$A:$A=A18)/('[1]PURCHASE PRICE'!$B:$B=B18),'[1]PURCHASE PRICE'!$D:$D)</f>
        <v>6000</v>
      </c>
      <c r="G18" s="1">
        <f t="shared" si="0"/>
        <v>6000</v>
      </c>
      <c r="H18" s="1">
        <f t="shared" si="1"/>
        <v>624000</v>
      </c>
    </row>
    <row r="19" spans="1:8" x14ac:dyDescent="0.3">
      <c r="A19" s="6">
        <v>45712</v>
      </c>
      <c r="B19" t="s">
        <v>87</v>
      </c>
      <c r="C19" t="s">
        <v>1</v>
      </c>
      <c r="D19">
        <v>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0</v>
      </c>
      <c r="H19" s="1">
        <f t="shared" si="1"/>
        <v>0</v>
      </c>
    </row>
    <row r="20" spans="1:8" x14ac:dyDescent="0.3">
      <c r="A20" s="6">
        <v>45712</v>
      </c>
      <c r="B20" t="s">
        <v>95</v>
      </c>
      <c r="C20" t="s">
        <v>15</v>
      </c>
      <c r="D20">
        <v>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0</v>
      </c>
      <c r="H20" s="1">
        <f t="shared" si="1"/>
        <v>0</v>
      </c>
    </row>
    <row r="21" spans="1:8" x14ac:dyDescent="0.3">
      <c r="A21" s="6">
        <v>45712</v>
      </c>
      <c r="B21" t="s">
        <v>20</v>
      </c>
      <c r="C21" t="s">
        <v>1</v>
      </c>
      <c r="D21">
        <v>60</v>
      </c>
      <c r="E21">
        <f>LOOKUP(1,1/('[1]PURCHASE PRICE'!$A:$A=A21)/('[1]PURCHASE PRICE'!$B:$B=B21)/('[1]PURCHASE PRICE'!$C:$C=C21),'[1]PURCHASE PRICE'!$D:$D)</f>
        <v>22000</v>
      </c>
      <c r="F21">
        <f>LOOKUP(1,1/('[1]PURCHASE PRICE'!$A:$A=A21)/('[1]PURCHASE PRICE'!$B:$B=B21),'[1]PURCHASE PRICE'!$D:$D)</f>
        <v>7200</v>
      </c>
      <c r="G21" s="1">
        <f t="shared" si="0"/>
        <v>22000</v>
      </c>
      <c r="H21" s="1">
        <f t="shared" si="1"/>
        <v>1320000</v>
      </c>
    </row>
    <row r="22" spans="1:8" x14ac:dyDescent="0.3">
      <c r="A22" s="6">
        <v>45712</v>
      </c>
      <c r="B22" t="s">
        <v>21</v>
      </c>
      <c r="C22" t="s">
        <v>22</v>
      </c>
      <c r="D22">
        <v>120</v>
      </c>
      <c r="E22">
        <f>LOOKUP(1,1/('[1]PURCHASE PRICE'!$A:$A=A22)/('[1]PURCHASE PRICE'!$B:$B=B22)/('[1]PURCHASE PRICE'!$C:$C=C22),'[1]PURCHASE PRICE'!$D:$D)</f>
        <v>3300</v>
      </c>
      <c r="F22">
        <f>LOOKUP(1,1/('[1]PURCHASE PRICE'!$A:$A=A22)/('[1]PURCHASE PRICE'!$B:$B=B22),'[1]PURCHASE PRICE'!$D:$D)</f>
        <v>3300</v>
      </c>
      <c r="G22" s="1">
        <f t="shared" si="0"/>
        <v>3300</v>
      </c>
      <c r="H22" s="1">
        <f t="shared" si="1"/>
        <v>396000</v>
      </c>
    </row>
    <row r="23" spans="1:8" x14ac:dyDescent="0.3">
      <c r="A23" s="6">
        <v>45712</v>
      </c>
      <c r="B23" t="s">
        <v>21</v>
      </c>
      <c r="C23" t="s">
        <v>97</v>
      </c>
      <c r="D23">
        <v>40</v>
      </c>
      <c r="E23">
        <f>LOOKUP(1,1/('[1]PURCHASE PRICE'!$A:$A=A23)/('[1]PURCHASE PRICE'!$B:$B=B23)/('[1]PURCHASE PRICE'!$C:$C=C23),'[1]PURCHASE PRICE'!$D:$D)</f>
        <v>1900</v>
      </c>
      <c r="F23">
        <f>LOOKUP(1,1/('[1]PURCHASE PRICE'!$A:$A=A23)/('[1]PURCHASE PRICE'!$B:$B=B23),'[1]PURCHASE PRICE'!$D:$D)</f>
        <v>3300</v>
      </c>
      <c r="G23" s="1">
        <f t="shared" si="0"/>
        <v>1900</v>
      </c>
      <c r="H23" s="1">
        <f t="shared" si="1"/>
        <v>76000</v>
      </c>
    </row>
    <row r="24" spans="1:8" x14ac:dyDescent="0.3">
      <c r="A24" s="6">
        <v>45712</v>
      </c>
      <c r="B24" t="s">
        <v>24</v>
      </c>
      <c r="C24" t="s">
        <v>1</v>
      </c>
      <c r="D24">
        <v>10</v>
      </c>
      <c r="E24">
        <f>LOOKUP(1,1/('[1]PURCHASE PRICE'!$A:$A=A24)/('[1]PURCHASE PRICE'!$B:$B=B24)/('[1]PURCHASE PRICE'!$C:$C=C24),'[1]PURCHASE PRICE'!$D:$D)</f>
        <v>5000</v>
      </c>
      <c r="F24">
        <f>LOOKUP(1,1/('[1]PURCHASE PRICE'!$A:$A=A24)/('[1]PURCHASE PRICE'!$B:$B=B24),'[1]PURCHASE PRICE'!$D:$D)</f>
        <v>5000</v>
      </c>
      <c r="G24" s="1">
        <f t="shared" si="0"/>
        <v>5000</v>
      </c>
      <c r="H24" s="1">
        <f t="shared" si="1"/>
        <v>50000</v>
      </c>
    </row>
    <row r="25" spans="1:8" x14ac:dyDescent="0.3">
      <c r="A25" s="6">
        <v>45712</v>
      </c>
      <c r="B25" t="s">
        <v>25</v>
      </c>
      <c r="C25" t="s">
        <v>26</v>
      </c>
      <c r="D25">
        <v>150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11000</v>
      </c>
      <c r="G25" s="1">
        <f>+F25/2</f>
        <v>5500</v>
      </c>
      <c r="H25" s="1">
        <f t="shared" si="1"/>
        <v>825000</v>
      </c>
    </row>
    <row r="26" spans="1:8" x14ac:dyDescent="0.3">
      <c r="A26" s="6">
        <v>45712</v>
      </c>
      <c r="B26" t="s">
        <v>27</v>
      </c>
      <c r="C26" t="s">
        <v>9</v>
      </c>
      <c r="D26">
        <v>56</v>
      </c>
      <c r="E26">
        <f>LOOKUP(1,1/('[1]PURCHASE PRICE'!$A:$A=A26)/('[1]PURCHASE PRICE'!$B:$B=B26)/('[1]PURCHASE PRICE'!$C:$C=C26),'[1]PURCHASE PRICE'!$D:$D)</f>
        <v>7500</v>
      </c>
      <c r="F26">
        <f>LOOKUP(1,1/('[1]PURCHASE PRICE'!$A:$A=A26)/('[1]PURCHASE PRICE'!$B:$B=B26),'[1]PURCHASE PRICE'!$D:$D)</f>
        <v>7500</v>
      </c>
      <c r="G26" s="1">
        <f t="shared" si="0"/>
        <v>7500</v>
      </c>
      <c r="H26" s="1">
        <f t="shared" si="1"/>
        <v>420000</v>
      </c>
    </row>
    <row r="27" spans="1:8" x14ac:dyDescent="0.3">
      <c r="A27" s="6">
        <v>45712</v>
      </c>
      <c r="B27" t="s">
        <v>28</v>
      </c>
      <c r="C27" t="s">
        <v>15</v>
      </c>
      <c r="D27">
        <v>30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0"/>
        <v>10000</v>
      </c>
      <c r="H27" s="1">
        <f t="shared" si="1"/>
        <v>300000</v>
      </c>
    </row>
    <row r="28" spans="1:8" x14ac:dyDescent="0.3">
      <c r="A28" s="6">
        <v>45712</v>
      </c>
      <c r="B28" t="s">
        <v>29</v>
      </c>
      <c r="C28" t="s">
        <v>1</v>
      </c>
      <c r="D28">
        <v>0</v>
      </c>
      <c r="E28">
        <f>LOOKUP(1,1/('[1]PURCHASE PRICE'!$A:$A=A28)/('[1]PURCHASE PRICE'!$B:$B=B28)/('[1]PURCHASE PRICE'!$C:$C=C28),'[1]PURCHASE PRICE'!$D:$D)</f>
        <v>4000</v>
      </c>
      <c r="F28">
        <f>LOOKUP(1,1/('[1]PURCHASE PRICE'!$A:$A=A28)/('[1]PURCHASE PRICE'!$B:$B=B28),'[1]PURCHASE PRICE'!$D:$D)</f>
        <v>4000</v>
      </c>
      <c r="G28" s="1">
        <f t="shared" si="0"/>
        <v>4000</v>
      </c>
      <c r="H28" s="1">
        <f t="shared" si="1"/>
        <v>0</v>
      </c>
    </row>
    <row r="29" spans="1:8" x14ac:dyDescent="0.3">
      <c r="A29" s="6">
        <v>45712</v>
      </c>
      <c r="B29" t="s">
        <v>30</v>
      </c>
      <c r="C29" t="s">
        <v>1</v>
      </c>
      <c r="D29">
        <v>60</v>
      </c>
      <c r="E29">
        <f>LOOKUP(1,1/('[1]PURCHASE PRICE'!$A:$A=A29)/('[1]PURCHASE PRICE'!$B:$B=B29)/('[1]PURCHASE PRICE'!$C:$C=C29),'[1]PURCHASE PRICE'!$D:$D)</f>
        <v>7000</v>
      </c>
      <c r="F29">
        <f>LOOKUP(1,1/('[1]PURCHASE PRICE'!$A:$A=A29)/('[1]PURCHASE PRICE'!$B:$B=B29),'[1]PURCHASE PRICE'!$D:$D)</f>
        <v>7000</v>
      </c>
      <c r="G29" s="1">
        <f t="shared" si="0"/>
        <v>7000</v>
      </c>
      <c r="H29" s="1">
        <f t="shared" si="1"/>
        <v>420000</v>
      </c>
    </row>
    <row r="30" spans="1:8" x14ac:dyDescent="0.3">
      <c r="A30" s="6">
        <v>45712</v>
      </c>
      <c r="B30" t="s">
        <v>32</v>
      </c>
      <c r="C30" t="s">
        <v>1</v>
      </c>
      <c r="D30">
        <v>20</v>
      </c>
      <c r="E30">
        <f>LOOKUP(1,1/('[1]PURCHASE PRICE'!$A:$A=A30)/('[1]PURCHASE PRICE'!$B:$B=B30)/('[1]PURCHASE PRICE'!$C:$C=C30),'[1]PURCHASE PRICE'!$D:$D)</f>
        <v>20000</v>
      </c>
      <c r="F30">
        <f>LOOKUP(1,1/('[1]PURCHASE PRICE'!$A:$A=A30)/('[1]PURCHASE PRICE'!$B:$B=B30),'[1]PURCHASE PRICE'!$D:$D)</f>
        <v>20000</v>
      </c>
      <c r="G30" s="1">
        <f t="shared" si="0"/>
        <v>20000</v>
      </c>
      <c r="H30" s="1">
        <f t="shared" si="1"/>
        <v>400000</v>
      </c>
    </row>
    <row r="31" spans="1:8" x14ac:dyDescent="0.3">
      <c r="A31" s="6">
        <v>45712</v>
      </c>
      <c r="B31" t="s">
        <v>33</v>
      </c>
      <c r="C31" t="s">
        <v>22</v>
      </c>
      <c r="D31">
        <v>200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27000</v>
      </c>
      <c r="H31" s="1">
        <f t="shared" si="1"/>
        <v>5400000</v>
      </c>
    </row>
    <row r="32" spans="1:8" x14ac:dyDescent="0.3">
      <c r="A32" s="6">
        <v>45712</v>
      </c>
      <c r="B32" t="s">
        <v>35</v>
      </c>
      <c r="C32" t="s">
        <v>1</v>
      </c>
      <c r="D32">
        <v>20</v>
      </c>
      <c r="E32">
        <f>LOOKUP(1,1/('[1]PURCHASE PRICE'!$A:$A=A32)/('[1]PURCHASE PRICE'!$B:$B=B32)/('[1]PURCHASE PRICE'!$C:$C=C32),'[1]PURCHASE PRICE'!$D:$D)</f>
        <v>11000</v>
      </c>
      <c r="F32">
        <f>LOOKUP(1,1/('[1]PURCHASE PRICE'!$A:$A=A32)/('[1]PURCHASE PRICE'!$B:$B=B32),'[1]PURCHASE PRICE'!$D:$D)</f>
        <v>11000</v>
      </c>
      <c r="G32" s="1">
        <f t="shared" si="0"/>
        <v>11000</v>
      </c>
      <c r="H32" s="1">
        <f t="shared" si="1"/>
        <v>220000</v>
      </c>
    </row>
    <row r="33" spans="1:8" x14ac:dyDescent="0.3">
      <c r="A33" s="6">
        <v>45712</v>
      </c>
      <c r="B33" t="s">
        <v>36</v>
      </c>
      <c r="C33" t="s">
        <v>22</v>
      </c>
      <c r="D33">
        <v>60</v>
      </c>
      <c r="E33">
        <f>LOOKUP(1,1/('[1]PURCHASE PRICE'!$A:$A=A33)/('[1]PURCHASE PRICE'!$B:$B=B33)/('[1]PURCHASE PRICE'!$C:$C=C33),'[1]PURCHASE PRICE'!$D:$D)</f>
        <v>6000</v>
      </c>
      <c r="F33">
        <f>LOOKUP(1,1/('[1]PURCHASE PRICE'!$A:$A=A33)/('[1]PURCHASE PRICE'!$B:$B=B33),'[1]PURCHASE PRICE'!$D:$D)</f>
        <v>6000</v>
      </c>
      <c r="G33" s="1">
        <f t="shared" si="0"/>
        <v>6000</v>
      </c>
      <c r="H33" s="1">
        <f t="shared" si="1"/>
        <v>360000</v>
      </c>
    </row>
    <row r="34" spans="1:8" x14ac:dyDescent="0.3">
      <c r="A34" s="6">
        <v>45712</v>
      </c>
      <c r="B34" t="s">
        <v>37</v>
      </c>
      <c r="C34" t="s">
        <v>31</v>
      </c>
      <c r="D34">
        <v>20</v>
      </c>
      <c r="E34">
        <f>LOOKUP(1,1/('[1]PURCHASE PRICE'!$A:$A=A34)/('[1]PURCHASE PRICE'!$B:$B=B34)/('[1]PURCHASE PRICE'!$C:$C=C34),'[1]PURCHASE PRICE'!$D:$D)</f>
        <v>5000</v>
      </c>
      <c r="F34">
        <f>LOOKUP(1,1/('[1]PURCHASE PRICE'!$A:$A=A34)/('[1]PURCHASE PRICE'!$B:$B=B34),'[1]PURCHASE PRICE'!$D:$D)</f>
        <v>5000</v>
      </c>
      <c r="G34" s="1">
        <f t="shared" si="0"/>
        <v>5000</v>
      </c>
      <c r="H34" s="1">
        <f t="shared" si="1"/>
        <v>100000</v>
      </c>
    </row>
    <row r="35" spans="1:8" x14ac:dyDescent="0.3">
      <c r="A35" s="6">
        <v>45712</v>
      </c>
      <c r="B35" t="s">
        <v>39</v>
      </c>
      <c r="C35" t="s">
        <v>9</v>
      </c>
      <c r="D35">
        <v>840</v>
      </c>
      <c r="E35">
        <f>LOOKUP(1,1/('[1]PURCHASE PRICE'!$A:$A=A35)/('[1]PURCHASE PRICE'!$B:$B=B35)/('[1]PURCHASE PRICE'!$C:$C=C35),'[1]PURCHASE PRICE'!$D:$D)</f>
        <v>9000</v>
      </c>
      <c r="F35">
        <f>LOOKUP(1,1/('[1]PURCHASE PRICE'!$A:$A=A35)/('[1]PURCHASE PRICE'!$B:$B=B35),'[1]PURCHASE PRICE'!$D:$D)</f>
        <v>9000</v>
      </c>
      <c r="G35" s="1">
        <f t="shared" si="0"/>
        <v>9000</v>
      </c>
      <c r="H35" s="1">
        <f t="shared" si="1"/>
        <v>7560000</v>
      </c>
    </row>
    <row r="36" spans="1:8" x14ac:dyDescent="0.3">
      <c r="A36" s="6">
        <v>45712</v>
      </c>
      <c r="B36" t="s">
        <v>81</v>
      </c>
      <c r="C36" t="s">
        <v>1</v>
      </c>
      <c r="D36">
        <v>50</v>
      </c>
      <c r="E36">
        <f>LOOKUP(1,1/('[1]PURCHASE PRICE'!$A:$A=A36)/('[1]PURCHASE PRICE'!$B:$B=B36)/('[1]PURCHASE PRICE'!$C:$C=C36),'[1]PURCHASE PRICE'!$D:$D)</f>
        <v>10000</v>
      </c>
      <c r="F36">
        <f>LOOKUP(1,1/('[1]PURCHASE PRICE'!$A:$A=A36)/('[1]PURCHASE PRICE'!$B:$B=B36),'[1]PURCHASE PRICE'!$D:$D)</f>
        <v>10000</v>
      </c>
      <c r="G36" s="1">
        <f t="shared" si="0"/>
        <v>10000</v>
      </c>
      <c r="H36" s="1">
        <f t="shared" si="1"/>
        <v>500000</v>
      </c>
    </row>
    <row r="37" spans="1:8" x14ac:dyDescent="0.3">
      <c r="A37" s="6">
        <v>45712</v>
      </c>
      <c r="B37" t="s">
        <v>41</v>
      </c>
      <c r="C37" t="s">
        <v>26</v>
      </c>
      <c r="D37">
        <v>120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11500</v>
      </c>
      <c r="G37" s="1">
        <f>+F37*0.15</f>
        <v>1725</v>
      </c>
      <c r="H37" s="1">
        <f t="shared" si="1"/>
        <v>207000</v>
      </c>
    </row>
    <row r="38" spans="1:8" x14ac:dyDescent="0.3">
      <c r="A38" s="6">
        <v>45712</v>
      </c>
      <c r="B38" t="s">
        <v>42</v>
      </c>
      <c r="C38" t="s">
        <v>1</v>
      </c>
      <c r="D38">
        <v>15</v>
      </c>
      <c r="E38">
        <f>LOOKUP(1,1/('[1]PURCHASE PRICE'!$A:$A=A38)/('[1]PURCHASE PRICE'!$B:$B=B38)/('[1]PURCHASE PRICE'!$C:$C=C38),'[1]PURCHASE PRICE'!$D:$D)</f>
        <v>25000</v>
      </c>
      <c r="F38">
        <f>LOOKUP(1,1/('[1]PURCHASE PRICE'!$A:$A=A38)/('[1]PURCHASE PRICE'!$B:$B=B38),'[1]PURCHASE PRICE'!$D:$D)</f>
        <v>25000</v>
      </c>
      <c r="G38" s="1">
        <f t="shared" si="0"/>
        <v>25000</v>
      </c>
      <c r="H38" s="1">
        <f t="shared" si="1"/>
        <v>375000</v>
      </c>
    </row>
    <row r="39" spans="1:8" x14ac:dyDescent="0.3">
      <c r="A39" s="6">
        <v>45712</v>
      </c>
      <c r="B39" t="s">
        <v>44</v>
      </c>
      <c r="C39" t="s">
        <v>22</v>
      </c>
      <c r="D39">
        <v>500</v>
      </c>
      <c r="E39">
        <f>LOOKUP(1,1/('[1]PURCHASE PRICE'!$A:$A=A39)/('[1]PURCHASE PRICE'!$B:$B=B39)/('[1]PURCHASE PRICE'!$C:$C=C39),'[1]PURCHASE PRICE'!$D:$D)</f>
        <v>2400</v>
      </c>
      <c r="F39">
        <f>LOOKUP(1,1/('[1]PURCHASE PRICE'!$A:$A=A39)/('[1]PURCHASE PRICE'!$B:$B=B39),'[1]PURCHASE PRICE'!$D:$D)</f>
        <v>2400</v>
      </c>
      <c r="G39" s="1">
        <f t="shared" si="0"/>
        <v>2400</v>
      </c>
      <c r="H39" s="1">
        <f t="shared" si="1"/>
        <v>1200000</v>
      </c>
    </row>
    <row r="40" spans="1:8" x14ac:dyDescent="0.3">
      <c r="A40" s="6">
        <v>45712</v>
      </c>
      <c r="B40" t="s">
        <v>45</v>
      </c>
      <c r="C40" t="s">
        <v>1</v>
      </c>
      <c r="D40">
        <v>60</v>
      </c>
      <c r="E40">
        <f>LOOKUP(1,1/('[1]PURCHASE PRICE'!$A:$A=A40)/('[1]PURCHASE PRICE'!$B:$B=B40)/('[1]PURCHASE PRICE'!$C:$C=C40),'[1]PURCHASE PRICE'!$D:$D)</f>
        <v>35000</v>
      </c>
      <c r="F40">
        <f>LOOKUP(1,1/('[1]PURCHASE PRICE'!$A:$A=A40)/('[1]PURCHASE PRICE'!$B:$B=B40),'[1]PURCHASE PRICE'!$D:$D)</f>
        <v>35000</v>
      </c>
      <c r="G40" s="1">
        <f t="shared" si="0"/>
        <v>35000</v>
      </c>
      <c r="H40" s="1">
        <f t="shared" si="1"/>
        <v>2100000</v>
      </c>
    </row>
    <row r="41" spans="1:8" x14ac:dyDescent="0.3">
      <c r="A41" s="6">
        <v>45712</v>
      </c>
      <c r="B41" t="s">
        <v>47</v>
      </c>
      <c r="C41" t="s">
        <v>1</v>
      </c>
      <c r="D41">
        <v>20</v>
      </c>
      <c r="E41">
        <f>LOOKUP(1,1/('[1]PURCHASE PRICE'!$A:$A=A41)/('[1]PURCHASE PRICE'!$B:$B=B41)/('[1]PURCHASE PRICE'!$C:$C=C41),'[1]PURCHASE PRICE'!$D:$D)</f>
        <v>28000</v>
      </c>
      <c r="F41">
        <f>LOOKUP(1,1/('[1]PURCHASE PRICE'!$A:$A=A41)/('[1]PURCHASE PRICE'!$B:$B=B41),'[1]PURCHASE PRICE'!$D:$D)</f>
        <v>28000</v>
      </c>
      <c r="G41" s="1">
        <f t="shared" si="0"/>
        <v>28000</v>
      </c>
      <c r="H41" s="1">
        <f t="shared" si="1"/>
        <v>560000</v>
      </c>
    </row>
    <row r="42" spans="1:8" x14ac:dyDescent="0.3">
      <c r="A42" s="6">
        <v>45712</v>
      </c>
      <c r="B42" t="s">
        <v>48</v>
      </c>
      <c r="C42" t="s">
        <v>77</v>
      </c>
      <c r="D42">
        <v>362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21000</v>
      </c>
      <c r="G42" s="1">
        <f>+F42*0.25</f>
        <v>5250</v>
      </c>
      <c r="H42" s="1">
        <f t="shared" si="1"/>
        <v>1900500</v>
      </c>
    </row>
    <row r="43" spans="1:8" x14ac:dyDescent="0.3">
      <c r="A43" s="6">
        <v>45712</v>
      </c>
      <c r="B43" t="s">
        <v>49</v>
      </c>
      <c r="C43" t="s">
        <v>1</v>
      </c>
      <c r="D43">
        <v>15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0"/>
        <v>50000</v>
      </c>
      <c r="H43" s="1">
        <f t="shared" si="1"/>
        <v>750000</v>
      </c>
    </row>
    <row r="44" spans="1:8" x14ac:dyDescent="0.3">
      <c r="A44" s="6">
        <v>45712</v>
      </c>
      <c r="B44" t="s">
        <v>50</v>
      </c>
      <c r="C44" t="s">
        <v>77</v>
      </c>
      <c r="D44">
        <v>150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29000</v>
      </c>
      <c r="G44" s="1">
        <f>+F44*0.25</f>
        <v>7250</v>
      </c>
      <c r="H44" s="1">
        <f t="shared" si="1"/>
        <v>1087500</v>
      </c>
    </row>
    <row r="45" spans="1:8" x14ac:dyDescent="0.3">
      <c r="A45" s="6">
        <v>45712</v>
      </c>
      <c r="B45" t="s">
        <v>52</v>
      </c>
      <c r="C45" t="s">
        <v>77</v>
      </c>
      <c r="D45">
        <v>120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28000</v>
      </c>
      <c r="G45" s="1">
        <f>+F45*0.25</f>
        <v>7000</v>
      </c>
      <c r="H45" s="1">
        <f t="shared" si="1"/>
        <v>840000</v>
      </c>
    </row>
    <row r="46" spans="1:8" x14ac:dyDescent="0.3">
      <c r="A46" s="6">
        <v>45712</v>
      </c>
      <c r="B46" t="s">
        <v>53</v>
      </c>
      <c r="C46" t="s">
        <v>22</v>
      </c>
      <c r="D46">
        <v>150</v>
      </c>
      <c r="E46">
        <f>LOOKUP(1,1/('[1]PURCHASE PRICE'!$A:$A=A46)/('[1]PURCHASE PRICE'!$B:$B=B46)/('[1]PURCHASE PRICE'!$C:$C=C46),'[1]PURCHASE PRICE'!$D:$D)</f>
        <v>17000</v>
      </c>
      <c r="F46">
        <f>LOOKUP(1,1/('[1]PURCHASE PRICE'!$A:$A=A46)/('[1]PURCHASE PRICE'!$B:$B=B46),'[1]PURCHASE PRICE'!$D:$D)</f>
        <v>17000</v>
      </c>
      <c r="G46" s="1">
        <f t="shared" si="0"/>
        <v>17000</v>
      </c>
      <c r="H46" s="1">
        <f t="shared" si="1"/>
        <v>2550000</v>
      </c>
    </row>
    <row r="47" spans="1:8" x14ac:dyDescent="0.3">
      <c r="A47" s="6">
        <v>45712</v>
      </c>
      <c r="B47" t="s">
        <v>111</v>
      </c>
      <c r="C47" t="s">
        <v>1</v>
      </c>
      <c r="D47">
        <v>1</v>
      </c>
      <c r="E47">
        <f>LOOKUP(1,1/('[1]PURCHASE PRICE'!$A:$A=A47)/('[1]PURCHASE PRICE'!$B:$B=B47)/('[1]PURCHASE PRICE'!$C:$C=C47),'[1]PURCHASE PRICE'!$D:$D)</f>
        <v>60000</v>
      </c>
      <c r="F47">
        <f>LOOKUP(1,1/('[1]PURCHASE PRICE'!$A:$A=A47)/('[1]PURCHASE PRICE'!$B:$B=B47),'[1]PURCHASE PRICE'!$D:$D)</f>
        <v>60000</v>
      </c>
      <c r="G47" s="1">
        <f t="shared" si="0"/>
        <v>60000</v>
      </c>
      <c r="H47" s="1">
        <f t="shared" si="1"/>
        <v>60000</v>
      </c>
    </row>
    <row r="48" spans="1:8" x14ac:dyDescent="0.3">
      <c r="A48" s="6">
        <v>45712</v>
      </c>
      <c r="B48" t="s">
        <v>83</v>
      </c>
      <c r="C48" t="s">
        <v>1</v>
      </c>
      <c r="D48">
        <v>15</v>
      </c>
      <c r="E48">
        <f>LOOKUP(1,1/('[1]PURCHASE PRICE'!$A:$A=A48)/('[1]PURCHASE PRICE'!$B:$B=B48)/('[1]PURCHASE PRICE'!$C:$C=C48),'[1]PURCHASE PRICE'!$D:$D)</f>
        <v>20000</v>
      </c>
      <c r="F48">
        <f>LOOKUP(1,1/('[1]PURCHASE PRICE'!$A:$A=A48)/('[1]PURCHASE PRICE'!$B:$B=B48),'[1]PURCHASE PRICE'!$D:$D)</f>
        <v>20000</v>
      </c>
      <c r="G48" s="1">
        <f t="shared" si="0"/>
        <v>20000</v>
      </c>
      <c r="H48" s="1">
        <f t="shared" si="1"/>
        <v>300000</v>
      </c>
    </row>
    <row r="49" spans="1:8" x14ac:dyDescent="0.3">
      <c r="A49" s="6">
        <v>45712</v>
      </c>
      <c r="B49" t="s">
        <v>55</v>
      </c>
      <c r="C49" t="s">
        <v>1</v>
      </c>
      <c r="D49">
        <v>120</v>
      </c>
      <c r="E49">
        <f>LOOKUP(1,1/('[1]PURCHASE PRICE'!$A:$A=A49)/('[1]PURCHASE PRICE'!$B:$B=B49)/('[1]PURCHASE PRICE'!$C:$C=C49),'[1]PURCHASE PRICE'!$D:$D)</f>
        <v>12000</v>
      </c>
      <c r="F49">
        <f>LOOKUP(1,1/('[1]PURCHASE PRICE'!$A:$A=A49)/('[1]PURCHASE PRICE'!$B:$B=B49),'[1]PURCHASE PRICE'!$D:$D)</f>
        <v>12000</v>
      </c>
      <c r="G49" s="1">
        <f t="shared" si="0"/>
        <v>12000</v>
      </c>
      <c r="H49" s="1">
        <f t="shared" si="1"/>
        <v>1440000</v>
      </c>
    </row>
    <row r="50" spans="1:8" x14ac:dyDescent="0.3">
      <c r="A50" s="6">
        <v>45712</v>
      </c>
      <c r="B50" t="s">
        <v>56</v>
      </c>
      <c r="C50" t="s">
        <v>26</v>
      </c>
      <c r="D50">
        <v>100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0"/>
        <v>6800</v>
      </c>
      <c r="H50" s="1">
        <f t="shared" si="1"/>
        <v>680000</v>
      </c>
    </row>
    <row r="51" spans="1:8" x14ac:dyDescent="0.3">
      <c r="A51" s="6">
        <v>45712</v>
      </c>
      <c r="B51" t="s">
        <v>96</v>
      </c>
      <c r="C51" t="s">
        <v>1</v>
      </c>
      <c r="D51">
        <v>80</v>
      </c>
      <c r="E51">
        <f>LOOKUP(1,1/('[1]PURCHASE PRICE'!$A:$A=A51)/('[1]PURCHASE PRICE'!$B:$B=B51)/('[1]PURCHASE PRICE'!$C:$C=C51),'[1]PURCHASE PRICE'!$D:$D)</f>
        <v>26000</v>
      </c>
      <c r="F51">
        <f>LOOKUP(1,1/('[1]PURCHASE PRICE'!$A:$A=A51)/('[1]PURCHASE PRICE'!$B:$B=B51),'[1]PURCHASE PRICE'!$D:$D)</f>
        <v>26000</v>
      </c>
      <c r="G51" s="1">
        <v>21000</v>
      </c>
      <c r="H51" s="1">
        <f t="shared" si="1"/>
        <v>1680000</v>
      </c>
    </row>
    <row r="52" spans="1:8" x14ac:dyDescent="0.3">
      <c r="A52" s="6">
        <v>45712</v>
      </c>
      <c r="B52" t="s">
        <v>58</v>
      </c>
      <c r="C52" t="s">
        <v>1</v>
      </c>
      <c r="D52">
        <v>60</v>
      </c>
      <c r="E52">
        <f>LOOKUP(1,1/('[1]PURCHASE PRICE'!$A:$A=A52)/('[1]PURCHASE PRICE'!$B:$B=B52)/('[1]PURCHASE PRICE'!$C:$C=C52),'[1]PURCHASE PRICE'!$D:$D)</f>
        <v>10000</v>
      </c>
      <c r="F52">
        <f>LOOKUP(1,1/('[1]PURCHASE PRICE'!$A:$A=A52)/('[1]PURCHASE PRICE'!$B:$B=B52),'[1]PURCHASE PRICE'!$D:$D)</f>
        <v>10000</v>
      </c>
      <c r="G52" s="1">
        <f t="shared" si="0"/>
        <v>10000</v>
      </c>
      <c r="H52" s="1">
        <f t="shared" si="1"/>
        <v>600000</v>
      </c>
    </row>
    <row r="53" spans="1:8" x14ac:dyDescent="0.3">
      <c r="A53" s="6">
        <v>45712</v>
      </c>
      <c r="B53" t="s">
        <v>59</v>
      </c>
      <c r="C53" t="s">
        <v>11</v>
      </c>
      <c r="D53">
        <v>2</v>
      </c>
      <c r="E53">
        <f>LOOKUP(1,1/('[1]PURCHASE PRICE'!$A:$A=A53)/('[1]PURCHASE PRICE'!$B:$B=B53)/('[1]PURCHASE PRICE'!$C:$C=C53),'[1]PURCHASE PRICE'!$D:$D)</f>
        <v>70000</v>
      </c>
      <c r="F53">
        <f>LOOKUP(1,1/('[1]PURCHASE PRICE'!$A:$A=A53)/('[1]PURCHASE PRICE'!$B:$B=B53),'[1]PURCHASE PRICE'!$D:$D)</f>
        <v>70000</v>
      </c>
      <c r="G53" s="1">
        <f t="shared" si="0"/>
        <v>70000</v>
      </c>
      <c r="H53" s="1">
        <f t="shared" si="1"/>
        <v>140000</v>
      </c>
    </row>
    <row r="54" spans="1:8" x14ac:dyDescent="0.3">
      <c r="A54" s="6">
        <v>45712</v>
      </c>
      <c r="B54" t="s">
        <v>61</v>
      </c>
      <c r="C54" t="s">
        <v>26</v>
      </c>
      <c r="D54">
        <v>10</v>
      </c>
      <c r="E54">
        <f>LOOKUP(1,1/('[1]PURCHASE PRICE'!$A:$A=A54)/('[1]PURCHASE PRICE'!$B:$B=B54)/('[1]PURCHASE PRICE'!$C:$C=C54),'[1]PURCHASE PRICE'!$D:$D)</f>
        <v>7500</v>
      </c>
      <c r="F54">
        <f>LOOKUP(1,1/('[1]PURCHASE PRICE'!$A:$A=A54)/('[1]PURCHASE PRICE'!$B:$B=B54),'[1]PURCHASE PRICE'!$D:$D)</f>
        <v>7500</v>
      </c>
      <c r="G54" s="1">
        <f t="shared" si="0"/>
        <v>7500</v>
      </c>
      <c r="H54" s="1">
        <f t="shared" si="1"/>
        <v>75000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406F-D2D2-403A-860B-15E5A5B1F9BA}">
  <dimension ref="A1:H53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53327750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45713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320000</v>
      </c>
    </row>
    <row r="4" spans="1:8" x14ac:dyDescent="0.3">
      <c r="A4" s="6">
        <v>45713</v>
      </c>
      <c r="B4" t="s">
        <v>2</v>
      </c>
      <c r="C4" t="s">
        <v>1</v>
      </c>
      <c r="D4">
        <v>20</v>
      </c>
      <c r="E4">
        <f>LOOKUP(1,1/('[1]PURCHASE PRICE'!$A:$A=A4)/('[1]PURCHASE PRICE'!$B:$B=B4)/('[1]PURCHASE PRICE'!$C:$C=C4),'[1]PURCHASE PRICE'!$D:$D)</f>
        <v>5000</v>
      </c>
      <c r="F4">
        <f>LOOKUP(1,1/('[1]PURCHASE PRICE'!$A:$A=A4)/('[1]PURCHASE PRICE'!$B:$B=B4),'[1]PURCHASE PRICE'!$D:$D)</f>
        <v>5000</v>
      </c>
      <c r="G4" s="1">
        <f t="shared" ref="G4:G53" si="0">E4</f>
        <v>5000</v>
      </c>
      <c r="H4" s="1">
        <f t="shared" ref="H4:H53" si="1">+G4*D4</f>
        <v>100000</v>
      </c>
    </row>
    <row r="5" spans="1:8" x14ac:dyDescent="0.3">
      <c r="A5" s="6">
        <v>45713</v>
      </c>
      <c r="B5" t="s">
        <v>85</v>
      </c>
      <c r="C5" t="s">
        <v>1</v>
      </c>
      <c r="D5">
        <v>20</v>
      </c>
      <c r="E5">
        <f>LOOKUP(1,1/('[1]PURCHASE PRICE'!$A:$A=A5)/('[1]PURCHASE PRICE'!$B:$B=B5)/('[1]PURCHASE PRICE'!$C:$C=C5),'[1]PURCHASE PRICE'!$D:$D)</f>
        <v>3500</v>
      </c>
      <c r="F5">
        <f>LOOKUP(1,1/('[1]PURCHASE PRICE'!$A:$A=A5)/('[1]PURCHASE PRICE'!$B:$B=B5),'[1]PURCHASE PRICE'!$D:$D)</f>
        <v>3500</v>
      </c>
      <c r="G5" s="1">
        <f t="shared" si="0"/>
        <v>3500</v>
      </c>
      <c r="H5" s="1">
        <f t="shared" si="1"/>
        <v>70000</v>
      </c>
    </row>
    <row r="6" spans="1:8" x14ac:dyDescent="0.3">
      <c r="A6" s="6">
        <v>45713</v>
      </c>
      <c r="B6" t="s">
        <v>3</v>
      </c>
      <c r="C6" t="s">
        <v>77</v>
      </c>
      <c r="D6">
        <v>20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14000</v>
      </c>
      <c r="G6" s="1">
        <f>+F6*0.4</f>
        <v>5600</v>
      </c>
      <c r="H6" s="1">
        <f t="shared" si="1"/>
        <v>112000</v>
      </c>
    </row>
    <row r="7" spans="1:8" x14ac:dyDescent="0.3">
      <c r="A7" s="6">
        <v>45713</v>
      </c>
      <c r="B7" t="s">
        <v>108</v>
      </c>
      <c r="C7" t="s">
        <v>1</v>
      </c>
      <c r="D7">
        <v>30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11000</v>
      </c>
      <c r="H7" s="1">
        <f t="shared" si="1"/>
        <v>330000</v>
      </c>
    </row>
    <row r="8" spans="1:8" x14ac:dyDescent="0.3">
      <c r="A8" s="6">
        <v>45713</v>
      </c>
      <c r="B8" t="s">
        <v>93</v>
      </c>
      <c r="C8" t="s">
        <v>1</v>
      </c>
      <c r="D8">
        <v>5</v>
      </c>
      <c r="E8">
        <f>LOOKUP(1,1/('[1]PURCHASE PRICE'!$A:$A=A8)/('[1]PURCHASE PRICE'!$B:$B=B8)/('[1]PURCHASE PRICE'!$C:$C=C8),'[1]PURCHASE PRICE'!$D:$D)</f>
        <v>55000</v>
      </c>
      <c r="F8">
        <f>LOOKUP(1,1/('[1]PURCHASE PRICE'!$A:$A=A8)/('[1]PURCHASE PRICE'!$B:$B=B8),'[1]PURCHASE PRICE'!$D:$D)</f>
        <v>55000</v>
      </c>
      <c r="G8" s="1">
        <f t="shared" si="0"/>
        <v>55000</v>
      </c>
      <c r="H8" s="1">
        <f t="shared" si="1"/>
        <v>275000</v>
      </c>
    </row>
    <row r="9" spans="1:8" x14ac:dyDescent="0.3">
      <c r="A9" s="6">
        <v>45713</v>
      </c>
      <c r="B9" t="s">
        <v>4</v>
      </c>
      <c r="C9" t="s">
        <v>77</v>
      </c>
      <c r="D9">
        <v>300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15000</v>
      </c>
      <c r="G9" s="1">
        <f>+F9*0.3</f>
        <v>4500</v>
      </c>
      <c r="H9" s="1">
        <f t="shared" si="1"/>
        <v>1350000</v>
      </c>
    </row>
    <row r="10" spans="1:8" x14ac:dyDescent="0.3">
      <c r="A10" s="6">
        <v>45713</v>
      </c>
      <c r="B10" t="s">
        <v>4</v>
      </c>
      <c r="C10" t="s">
        <v>1</v>
      </c>
      <c r="D10">
        <v>100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 s="1">
        <f t="shared" si="0"/>
        <v>15000</v>
      </c>
      <c r="H10" s="1">
        <f t="shared" si="1"/>
        <v>1500000</v>
      </c>
    </row>
    <row r="11" spans="1:8" x14ac:dyDescent="0.3">
      <c r="A11" s="6">
        <v>45713</v>
      </c>
      <c r="B11" t="s">
        <v>6</v>
      </c>
      <c r="C11" t="s">
        <v>77</v>
      </c>
      <c r="D11">
        <v>100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13000</v>
      </c>
      <c r="G11" s="1">
        <f>+F11*0.3</f>
        <v>3900</v>
      </c>
      <c r="H11" s="1">
        <f t="shared" si="1"/>
        <v>390000</v>
      </c>
    </row>
    <row r="12" spans="1:8" x14ac:dyDescent="0.3">
      <c r="A12" s="6">
        <v>45713</v>
      </c>
      <c r="B12" t="s">
        <v>63</v>
      </c>
      <c r="C12" t="s">
        <v>1</v>
      </c>
      <c r="D12">
        <v>55</v>
      </c>
      <c r="E12">
        <f>LOOKUP(1,1/('[1]PURCHASE PRICE'!$A:$A=A12)/('[1]PURCHASE PRICE'!$B:$B=B12)/('[1]PURCHASE PRICE'!$C:$C=C12),'[1]PURCHASE PRICE'!$D:$D)</f>
        <v>20000</v>
      </c>
      <c r="F12">
        <f>LOOKUP(1,1/('[1]PURCHASE PRICE'!$A:$A=A12)/('[1]PURCHASE PRICE'!$B:$B=B12),'[1]PURCHASE PRICE'!$D:$D)</f>
        <v>20000</v>
      </c>
      <c r="G12" s="1">
        <f t="shared" si="0"/>
        <v>20000</v>
      </c>
      <c r="H12" s="1">
        <f t="shared" si="1"/>
        <v>1100000</v>
      </c>
    </row>
    <row r="13" spans="1:8" x14ac:dyDescent="0.3">
      <c r="A13" s="6">
        <v>45713</v>
      </c>
      <c r="B13" t="s">
        <v>8</v>
      </c>
      <c r="C13" t="s">
        <v>9</v>
      </c>
      <c r="D13">
        <v>29</v>
      </c>
      <c r="E13">
        <f>LOOKUP(1,1/('[1]PURCHASE PRICE'!$A:$A=A13)/('[1]PURCHASE PRICE'!$B:$B=B13)/('[1]PURCHASE PRICE'!$C:$C=C13),'[1]PURCHASE PRICE'!$D:$D)</f>
        <v>6000</v>
      </c>
      <c r="F13">
        <f>LOOKUP(1,1/('[1]PURCHASE PRICE'!$A:$A=A13)/('[1]PURCHASE PRICE'!$B:$B=B13),'[1]PURCHASE PRICE'!$D:$D)</f>
        <v>6000</v>
      </c>
      <c r="G13" s="1">
        <f t="shared" si="0"/>
        <v>6000</v>
      </c>
      <c r="H13" s="1">
        <f t="shared" si="1"/>
        <v>174000</v>
      </c>
    </row>
    <row r="14" spans="1:8" x14ac:dyDescent="0.3">
      <c r="A14" s="6">
        <v>45713</v>
      </c>
      <c r="B14" t="s">
        <v>78</v>
      </c>
      <c r="C14" t="s">
        <v>1</v>
      </c>
      <c r="D14">
        <v>100</v>
      </c>
      <c r="E14">
        <f>LOOKUP(1,1/('[1]PURCHASE PRICE'!$A:$A=A14)/('[1]PURCHASE PRICE'!$B:$B=B14)/('[1]PURCHASE PRICE'!$C:$C=C14),'[1]PURCHASE PRICE'!$D:$D)</f>
        <v>16000</v>
      </c>
      <c r="F14">
        <f>LOOKUP(1,1/('[1]PURCHASE PRICE'!$A:$A=A14)/('[1]PURCHASE PRICE'!$B:$B=B14),'[1]PURCHASE PRICE'!$D:$D)</f>
        <v>16000</v>
      </c>
      <c r="G14" s="1">
        <f t="shared" si="0"/>
        <v>16000</v>
      </c>
      <c r="H14" s="1">
        <f t="shared" si="1"/>
        <v>1600000</v>
      </c>
    </row>
    <row r="15" spans="1:8" x14ac:dyDescent="0.3">
      <c r="A15" s="6">
        <v>45713</v>
      </c>
      <c r="B15" t="s">
        <v>10</v>
      </c>
      <c r="C15" t="s">
        <v>79</v>
      </c>
      <c r="D15">
        <v>200</v>
      </c>
      <c r="E15">
        <f>LOOKUP(1,1/('[1]PURCHASE PRICE'!$A:$A=A15)/('[1]PURCHASE PRICE'!$B:$B=B15)/('[1]PURCHASE PRICE'!$C:$C=C15),'[1]PURCHASE PRICE'!$D:$D)</f>
        <v>8000</v>
      </c>
      <c r="F15">
        <f>LOOKUP(1,1/('[1]PURCHASE PRICE'!$A:$A=A15)/('[1]PURCHASE PRICE'!$B:$B=B15),'[1]PURCHASE PRICE'!$D:$D)</f>
        <v>14000</v>
      </c>
      <c r="G15" s="1">
        <f t="shared" si="0"/>
        <v>8000</v>
      </c>
      <c r="H15" s="1">
        <f t="shared" si="1"/>
        <v>1600000</v>
      </c>
    </row>
    <row r="16" spans="1:8" x14ac:dyDescent="0.3">
      <c r="A16" s="6">
        <v>45713</v>
      </c>
      <c r="B16" t="s">
        <v>12</v>
      </c>
      <c r="C16" t="s">
        <v>13</v>
      </c>
      <c r="D16">
        <v>200</v>
      </c>
      <c r="E16">
        <f>LOOKUP(1,1/('[1]PURCHASE PRICE'!$A:$A=A16)/('[1]PURCHASE PRICE'!$B:$B=B16)/('[1]PURCHASE PRICE'!$C:$C=C16),'[1]PURCHASE PRICE'!$D:$D)</f>
        <v>6000</v>
      </c>
      <c r="F16">
        <f>LOOKUP(1,1/('[1]PURCHASE PRICE'!$A:$A=A16)/('[1]PURCHASE PRICE'!$B:$B=B16),'[1]PURCHASE PRICE'!$D:$D)</f>
        <v>6000</v>
      </c>
      <c r="G16" s="1">
        <f t="shared" si="0"/>
        <v>6000</v>
      </c>
      <c r="H16" s="1">
        <f t="shared" si="1"/>
        <v>1200000</v>
      </c>
    </row>
    <row r="17" spans="1:8" x14ac:dyDescent="0.3">
      <c r="A17" s="6">
        <v>45713</v>
      </c>
      <c r="B17" t="s">
        <v>14</v>
      </c>
      <c r="C17" t="s">
        <v>15</v>
      </c>
      <c r="D17">
        <v>16</v>
      </c>
      <c r="E17">
        <f>LOOKUP(1,1/('[1]PURCHASE PRICE'!$A:$A=A17)/('[1]PURCHASE PRICE'!$B:$B=B17)/('[1]PURCHASE PRICE'!$C:$C=C17),'[1]PURCHASE PRICE'!$D:$D)</f>
        <v>12000</v>
      </c>
      <c r="F17">
        <f>LOOKUP(1,1/('[1]PURCHASE PRICE'!$A:$A=A17)/('[1]PURCHASE PRICE'!$B:$B=B17),'[1]PURCHASE PRICE'!$D:$D)</f>
        <v>12000</v>
      </c>
      <c r="G17" s="1">
        <f t="shared" si="0"/>
        <v>12000</v>
      </c>
      <c r="H17" s="1">
        <f t="shared" si="1"/>
        <v>192000</v>
      </c>
    </row>
    <row r="18" spans="1:8" x14ac:dyDescent="0.3">
      <c r="A18" s="6">
        <v>45713</v>
      </c>
      <c r="B18" t="s">
        <v>16</v>
      </c>
      <c r="C18" t="s">
        <v>13</v>
      </c>
      <c r="D18">
        <v>100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7500</v>
      </c>
      <c r="G18" s="1">
        <v>12000</v>
      </c>
      <c r="H18" s="1">
        <f t="shared" si="1"/>
        <v>1200000</v>
      </c>
    </row>
    <row r="19" spans="1:8" x14ac:dyDescent="0.3">
      <c r="A19" s="6">
        <v>45713</v>
      </c>
      <c r="B19" t="s">
        <v>17</v>
      </c>
      <c r="C19" t="s">
        <v>1</v>
      </c>
      <c r="D19">
        <v>80</v>
      </c>
      <c r="E19">
        <f>LOOKUP(1,1/('[1]PURCHASE PRICE'!$A:$A=A19)/('[1]PURCHASE PRICE'!$B:$B=B19)/('[1]PURCHASE PRICE'!$C:$C=C19),'[1]PURCHASE PRICE'!$D:$D)</f>
        <v>16000</v>
      </c>
      <c r="F19">
        <f>LOOKUP(1,1/('[1]PURCHASE PRICE'!$A:$A=A19)/('[1]PURCHASE PRICE'!$B:$B=B19),'[1]PURCHASE PRICE'!$D:$D)</f>
        <v>16000</v>
      </c>
      <c r="G19" s="1">
        <f t="shared" si="0"/>
        <v>16000</v>
      </c>
      <c r="H19" s="1">
        <f t="shared" si="1"/>
        <v>1280000</v>
      </c>
    </row>
    <row r="20" spans="1:8" x14ac:dyDescent="0.3">
      <c r="A20" s="6">
        <v>45713</v>
      </c>
      <c r="B20" t="s">
        <v>18</v>
      </c>
      <c r="C20" t="s">
        <v>1</v>
      </c>
      <c r="D20">
        <v>40</v>
      </c>
      <c r="E20">
        <f>LOOKUP(1,1/('[1]PURCHASE PRICE'!$A:$A=A20)/('[1]PURCHASE PRICE'!$B:$B=B20)/('[1]PURCHASE PRICE'!$C:$C=C20),'[1]PURCHASE PRICE'!$D:$D)</f>
        <v>6000</v>
      </c>
      <c r="F20">
        <f>LOOKUP(1,1/('[1]PURCHASE PRICE'!$A:$A=A20)/('[1]PURCHASE PRICE'!$B:$B=B20),'[1]PURCHASE PRICE'!$D:$D)</f>
        <v>6000</v>
      </c>
      <c r="G20" s="1">
        <f t="shared" si="0"/>
        <v>6000</v>
      </c>
      <c r="H20" s="1">
        <f t="shared" si="1"/>
        <v>240000</v>
      </c>
    </row>
    <row r="21" spans="1:8" x14ac:dyDescent="0.3">
      <c r="A21" s="6">
        <v>45713</v>
      </c>
      <c r="B21" t="s">
        <v>19</v>
      </c>
      <c r="C21" t="s">
        <v>9</v>
      </c>
      <c r="D21">
        <v>100</v>
      </c>
      <c r="E21">
        <f>LOOKUP(1,1/('[1]PURCHASE PRICE'!$A:$A=A21)/('[1]PURCHASE PRICE'!$B:$B=B21)/('[1]PURCHASE PRICE'!$C:$C=C21),'[1]PURCHASE PRICE'!$D:$D)</f>
        <v>6000</v>
      </c>
      <c r="F21">
        <f>LOOKUP(1,1/('[1]PURCHASE PRICE'!$A:$A=A21)/('[1]PURCHASE PRICE'!$B:$B=B21),'[1]PURCHASE PRICE'!$D:$D)</f>
        <v>6000</v>
      </c>
      <c r="G21" s="1">
        <f t="shared" si="0"/>
        <v>6000</v>
      </c>
      <c r="H21" s="1">
        <f t="shared" si="1"/>
        <v>600000</v>
      </c>
    </row>
    <row r="22" spans="1:8" x14ac:dyDescent="0.3">
      <c r="A22" s="6">
        <v>45713</v>
      </c>
      <c r="B22" t="s">
        <v>87</v>
      </c>
      <c r="C22" t="s">
        <v>1</v>
      </c>
      <c r="D22">
        <v>50</v>
      </c>
      <c r="E22">
        <f>LOOKUP(1,1/('[1]PURCHASE PRICE'!$A:$A=A22)/('[1]PURCHASE PRICE'!$B:$B=B22)/('[1]PURCHASE PRICE'!$C:$C=C22),'[1]PURCHASE PRICE'!$D:$D)</f>
        <v>4000</v>
      </c>
      <c r="F22">
        <f>LOOKUP(1,1/('[1]PURCHASE PRICE'!$A:$A=A22)/('[1]PURCHASE PRICE'!$B:$B=B22),'[1]PURCHASE PRICE'!$D:$D)</f>
        <v>4000</v>
      </c>
      <c r="G22" s="1">
        <f t="shared" si="0"/>
        <v>4000</v>
      </c>
      <c r="H22" s="1">
        <f t="shared" si="1"/>
        <v>200000</v>
      </c>
    </row>
    <row r="23" spans="1:8" x14ac:dyDescent="0.3">
      <c r="A23" s="6">
        <v>45713</v>
      </c>
      <c r="B23" t="s">
        <v>20</v>
      </c>
      <c r="C23" t="s">
        <v>1</v>
      </c>
      <c r="D23">
        <v>40</v>
      </c>
      <c r="E23">
        <f>LOOKUP(1,1/('[1]PURCHASE PRICE'!$A:$A=A23)/('[1]PURCHASE PRICE'!$B:$B=B23)/('[1]PURCHASE PRICE'!$C:$C=C23),'[1]PURCHASE PRICE'!$D:$D)</f>
        <v>18000</v>
      </c>
      <c r="F23">
        <f>LOOKUP(1,1/('[1]PURCHASE PRICE'!$A:$A=A23)/('[1]PURCHASE PRICE'!$B:$B=B23),'[1]PURCHASE PRICE'!$D:$D)</f>
        <v>18000</v>
      </c>
      <c r="G23" s="1">
        <f t="shared" si="0"/>
        <v>18000</v>
      </c>
      <c r="H23" s="1">
        <f t="shared" si="1"/>
        <v>720000</v>
      </c>
    </row>
    <row r="24" spans="1:8" x14ac:dyDescent="0.3">
      <c r="A24" s="6">
        <v>45713</v>
      </c>
      <c r="B24" t="s">
        <v>24</v>
      </c>
      <c r="C24" t="s">
        <v>1</v>
      </c>
      <c r="D24">
        <v>20</v>
      </c>
      <c r="E24">
        <f>LOOKUP(1,1/('[1]PURCHASE PRICE'!$A:$A=A24)/('[1]PURCHASE PRICE'!$B:$B=B24)/('[1]PURCHASE PRICE'!$C:$C=C24),'[1]PURCHASE PRICE'!$D:$D)</f>
        <v>5000</v>
      </c>
      <c r="F24">
        <f>LOOKUP(1,1/('[1]PURCHASE PRICE'!$A:$A=A24)/('[1]PURCHASE PRICE'!$B:$B=B24),'[1]PURCHASE PRICE'!$D:$D)</f>
        <v>5000</v>
      </c>
      <c r="G24" s="1">
        <f t="shared" si="0"/>
        <v>5000</v>
      </c>
      <c r="H24" s="1">
        <f t="shared" si="1"/>
        <v>100000</v>
      </c>
    </row>
    <row r="25" spans="1:8" x14ac:dyDescent="0.3">
      <c r="A25" s="6">
        <v>45713</v>
      </c>
      <c r="B25" t="s">
        <v>25</v>
      </c>
      <c r="C25" t="s">
        <v>26</v>
      </c>
      <c r="D25">
        <v>180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10000</v>
      </c>
      <c r="G25" s="1">
        <f>+F25/2</f>
        <v>5000</v>
      </c>
      <c r="H25" s="1">
        <f t="shared" si="1"/>
        <v>900000</v>
      </c>
    </row>
    <row r="26" spans="1:8" x14ac:dyDescent="0.3">
      <c r="A26" s="6">
        <v>45713</v>
      </c>
      <c r="B26" t="s">
        <v>27</v>
      </c>
      <c r="C26" t="s">
        <v>9</v>
      </c>
      <c r="D26">
        <v>57</v>
      </c>
      <c r="E26">
        <f>LOOKUP(1,1/('[1]PURCHASE PRICE'!$A:$A=A26)/('[1]PURCHASE PRICE'!$B:$B=B26)/('[1]PURCHASE PRICE'!$C:$C=C26),'[1]PURCHASE PRICE'!$D:$D)</f>
        <v>7500</v>
      </c>
      <c r="F26">
        <f>LOOKUP(1,1/('[1]PURCHASE PRICE'!$A:$A=A26)/('[1]PURCHASE PRICE'!$B:$B=B26),'[1]PURCHASE PRICE'!$D:$D)</f>
        <v>7500</v>
      </c>
      <c r="G26" s="1">
        <f t="shared" si="0"/>
        <v>7500</v>
      </c>
      <c r="H26" s="1">
        <f t="shared" si="1"/>
        <v>427500</v>
      </c>
    </row>
    <row r="27" spans="1:8" x14ac:dyDescent="0.3">
      <c r="A27" s="6">
        <v>45713</v>
      </c>
      <c r="B27" t="s">
        <v>29</v>
      </c>
      <c r="C27" t="s">
        <v>1</v>
      </c>
      <c r="D27">
        <v>5</v>
      </c>
      <c r="E27">
        <f>LOOKUP(1,1/('[1]PURCHASE PRICE'!$A:$A=A27)/('[1]PURCHASE PRICE'!$B:$B=B27)/('[1]PURCHASE PRICE'!$C:$C=C27),'[1]PURCHASE PRICE'!$D:$D)</f>
        <v>4000</v>
      </c>
      <c r="F27">
        <f>LOOKUP(1,1/('[1]PURCHASE PRICE'!$A:$A=A27)/('[1]PURCHASE PRICE'!$B:$B=B27),'[1]PURCHASE PRICE'!$D:$D)</f>
        <v>4000</v>
      </c>
      <c r="G27" s="1">
        <f t="shared" si="0"/>
        <v>4000</v>
      </c>
      <c r="H27" s="1">
        <f t="shared" si="1"/>
        <v>20000</v>
      </c>
    </row>
    <row r="28" spans="1:8" x14ac:dyDescent="0.3">
      <c r="A28" s="6">
        <v>45713</v>
      </c>
      <c r="B28" t="s">
        <v>80</v>
      </c>
      <c r="C28" t="s">
        <v>1</v>
      </c>
      <c r="D28">
        <v>40</v>
      </c>
      <c r="E28">
        <f>LOOKUP(1,1/('[1]PURCHASE PRICE'!$A:$A=A28)/('[1]PURCHASE PRICE'!$B:$B=B28)/('[1]PURCHASE PRICE'!$C:$C=C28),'[1]PURCHASE PRICE'!$D:$D)</f>
        <v>9000</v>
      </c>
      <c r="F28">
        <f>LOOKUP(1,1/('[1]PURCHASE PRICE'!$A:$A=A28)/('[1]PURCHASE PRICE'!$B:$B=B28),'[1]PURCHASE PRICE'!$D:$D)</f>
        <v>9000</v>
      </c>
      <c r="G28" s="1">
        <f t="shared" si="0"/>
        <v>9000</v>
      </c>
      <c r="H28" s="1">
        <f t="shared" si="1"/>
        <v>360000</v>
      </c>
    </row>
    <row r="29" spans="1:8" x14ac:dyDescent="0.3">
      <c r="A29" s="6">
        <v>45713</v>
      </c>
      <c r="B29" t="s">
        <v>30</v>
      </c>
      <c r="C29" t="s">
        <v>1</v>
      </c>
      <c r="D29">
        <v>80</v>
      </c>
      <c r="E29">
        <f>LOOKUP(1,1/('[1]PURCHASE PRICE'!$A:$A=A29)/('[1]PURCHASE PRICE'!$B:$B=B29)/('[1]PURCHASE PRICE'!$C:$C=C29),'[1]PURCHASE PRICE'!$D:$D)</f>
        <v>7000</v>
      </c>
      <c r="F29">
        <f>LOOKUP(1,1/('[1]PURCHASE PRICE'!$A:$A=A29)/('[1]PURCHASE PRICE'!$B:$B=B29),'[1]PURCHASE PRICE'!$D:$D)</f>
        <v>7000</v>
      </c>
      <c r="G29" s="1">
        <f t="shared" si="0"/>
        <v>7000</v>
      </c>
      <c r="H29" s="1">
        <f t="shared" si="1"/>
        <v>560000</v>
      </c>
    </row>
    <row r="30" spans="1:8" x14ac:dyDescent="0.3">
      <c r="A30" s="6">
        <v>45713</v>
      </c>
      <c r="B30" t="s">
        <v>33</v>
      </c>
      <c r="C30" t="s">
        <v>1</v>
      </c>
      <c r="D30">
        <v>100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27000</v>
      </c>
      <c r="H30" s="1">
        <f t="shared" si="1"/>
        <v>2700000</v>
      </c>
    </row>
    <row r="31" spans="1:8" x14ac:dyDescent="0.3">
      <c r="A31" s="6">
        <v>45713</v>
      </c>
      <c r="B31" t="s">
        <v>34</v>
      </c>
      <c r="C31" t="s">
        <v>1</v>
      </c>
      <c r="D31">
        <v>100</v>
      </c>
      <c r="E31">
        <f>LOOKUP(1,1/('[1]PURCHASE PRICE'!$A:$A=A31)/('[1]PURCHASE PRICE'!$B:$B=B31)/('[1]PURCHASE PRICE'!$C:$C=C31),'[1]PURCHASE PRICE'!$D:$D)</f>
        <v>16000</v>
      </c>
      <c r="F31">
        <f>LOOKUP(1,1/('[1]PURCHASE PRICE'!$A:$A=A31)/('[1]PURCHASE PRICE'!$B:$B=B31),'[1]PURCHASE PRICE'!$D:$D)</f>
        <v>16000</v>
      </c>
      <c r="G31" s="1">
        <f t="shared" si="0"/>
        <v>16000</v>
      </c>
      <c r="H31" s="1">
        <f t="shared" si="1"/>
        <v>1600000</v>
      </c>
    </row>
    <row r="32" spans="1:8" x14ac:dyDescent="0.3">
      <c r="A32" s="6">
        <v>45713</v>
      </c>
      <c r="B32" t="s">
        <v>98</v>
      </c>
      <c r="C32" t="s">
        <v>1</v>
      </c>
      <c r="D32">
        <v>30</v>
      </c>
      <c r="E32">
        <f>LOOKUP(1,1/('[1]PURCHASE PRICE'!$A:$A=A32)/('[1]PURCHASE PRICE'!$B:$B=B32)/('[1]PURCHASE PRICE'!$C:$C=C32),'[1]PURCHASE PRICE'!$D:$D)</f>
        <v>25000</v>
      </c>
      <c r="F32">
        <f>LOOKUP(1,1/('[1]PURCHASE PRICE'!$A:$A=A32)/('[1]PURCHASE PRICE'!$B:$B=B32),'[1]PURCHASE PRICE'!$D:$D)</f>
        <v>25000</v>
      </c>
      <c r="G32" s="1">
        <f t="shared" si="0"/>
        <v>25000</v>
      </c>
      <c r="H32" s="1">
        <f t="shared" si="1"/>
        <v>750000</v>
      </c>
    </row>
    <row r="33" spans="1:8" x14ac:dyDescent="0.3">
      <c r="A33" s="6">
        <v>45713</v>
      </c>
      <c r="B33" t="s">
        <v>35</v>
      </c>
      <c r="C33" t="s">
        <v>1</v>
      </c>
      <c r="D33">
        <v>100</v>
      </c>
      <c r="E33">
        <f>LOOKUP(1,1/('[1]PURCHASE PRICE'!$A:$A=A33)/('[1]PURCHASE PRICE'!$B:$B=B33)/('[1]PURCHASE PRICE'!$C:$C=C33),'[1]PURCHASE PRICE'!$D:$D)</f>
        <v>11000</v>
      </c>
      <c r="F33">
        <f>LOOKUP(1,1/('[1]PURCHASE PRICE'!$A:$A=A33)/('[1]PURCHASE PRICE'!$B:$B=B33),'[1]PURCHASE PRICE'!$D:$D)</f>
        <v>11000</v>
      </c>
      <c r="G33" s="1">
        <f t="shared" si="0"/>
        <v>11000</v>
      </c>
      <c r="H33" s="1">
        <f t="shared" si="1"/>
        <v>1100000</v>
      </c>
    </row>
    <row r="34" spans="1:8" x14ac:dyDescent="0.3">
      <c r="A34" s="6">
        <v>45713</v>
      </c>
      <c r="B34" t="s">
        <v>37</v>
      </c>
      <c r="C34" t="s">
        <v>31</v>
      </c>
      <c r="D34">
        <v>30</v>
      </c>
      <c r="E34">
        <f>LOOKUP(1,1/('[1]PURCHASE PRICE'!$A:$A=A34)/('[1]PURCHASE PRICE'!$B:$B=B34)/('[1]PURCHASE PRICE'!$C:$C=C34),'[1]PURCHASE PRICE'!$D:$D)</f>
        <v>6500</v>
      </c>
      <c r="F34">
        <f>LOOKUP(1,1/('[1]PURCHASE PRICE'!$A:$A=A34)/('[1]PURCHASE PRICE'!$B:$B=B34),'[1]PURCHASE PRICE'!$D:$D)</f>
        <v>6500</v>
      </c>
      <c r="G34" s="1">
        <f t="shared" si="0"/>
        <v>6500</v>
      </c>
      <c r="H34" s="1">
        <f t="shared" si="1"/>
        <v>195000</v>
      </c>
    </row>
    <row r="35" spans="1:8" x14ac:dyDescent="0.3">
      <c r="A35" s="6">
        <v>45713</v>
      </c>
      <c r="B35" t="s">
        <v>38</v>
      </c>
      <c r="C35" t="s">
        <v>1</v>
      </c>
      <c r="D35">
        <v>4</v>
      </c>
      <c r="E35">
        <f>LOOKUP(1,1/('[1]PURCHASE PRICE'!$A:$A=A35)/('[1]PURCHASE PRICE'!$B:$B=B35)/('[1]PURCHASE PRICE'!$C:$C=C35),'[1]PURCHASE PRICE'!$D:$D)</f>
        <v>80000</v>
      </c>
      <c r="F35">
        <f>LOOKUP(1,1/('[1]PURCHASE PRICE'!$A:$A=A35)/('[1]PURCHASE PRICE'!$B:$B=B35),'[1]PURCHASE PRICE'!$D:$D)</f>
        <v>80000</v>
      </c>
      <c r="G35" s="1">
        <f t="shared" si="0"/>
        <v>80000</v>
      </c>
      <c r="H35" s="1">
        <f t="shared" si="1"/>
        <v>320000</v>
      </c>
    </row>
    <row r="36" spans="1:8" x14ac:dyDescent="0.3">
      <c r="A36" s="6">
        <v>45713</v>
      </c>
      <c r="B36" t="s">
        <v>39</v>
      </c>
      <c r="C36" t="s">
        <v>9</v>
      </c>
      <c r="D36">
        <v>1050</v>
      </c>
      <c r="E36">
        <f>LOOKUP(1,1/('[1]PURCHASE PRICE'!$A:$A=A36)/('[1]PURCHASE PRICE'!$B:$B=B36)/('[1]PURCHASE PRICE'!$C:$C=C36),'[1]PURCHASE PRICE'!$D:$D)</f>
        <v>7500</v>
      </c>
      <c r="F36">
        <f>LOOKUP(1,1/('[1]PURCHASE PRICE'!$A:$A=A36)/('[1]PURCHASE PRICE'!$B:$B=B36),'[1]PURCHASE PRICE'!$D:$D)</f>
        <v>7500</v>
      </c>
      <c r="G36" s="1">
        <f t="shared" si="0"/>
        <v>7500</v>
      </c>
      <c r="H36" s="1">
        <f t="shared" si="1"/>
        <v>7875000</v>
      </c>
    </row>
    <row r="37" spans="1:8" x14ac:dyDescent="0.3">
      <c r="A37" s="6">
        <v>45713</v>
      </c>
      <c r="B37" t="s">
        <v>39</v>
      </c>
      <c r="C37" t="s">
        <v>11</v>
      </c>
      <c r="D37">
        <v>40</v>
      </c>
      <c r="E37">
        <f>LOOKUP(1,1/('[1]PURCHASE PRICE'!$A:$A=A37)/('[1]PURCHASE PRICE'!$B:$B=B37)/('[1]PURCHASE PRICE'!$C:$C=C37),'[1]PURCHASE PRICE'!$D:$D)</f>
        <v>14000</v>
      </c>
      <c r="F37">
        <f>LOOKUP(1,1/('[1]PURCHASE PRICE'!$A:$A=A37)/('[1]PURCHASE PRICE'!$B:$B=B37),'[1]PURCHASE PRICE'!$D:$D)</f>
        <v>7500</v>
      </c>
      <c r="G37" s="1">
        <f t="shared" si="0"/>
        <v>14000</v>
      </c>
      <c r="H37" s="1">
        <f t="shared" si="1"/>
        <v>560000</v>
      </c>
    </row>
    <row r="38" spans="1:8" x14ac:dyDescent="0.3">
      <c r="A38" s="6">
        <v>45713</v>
      </c>
      <c r="B38" t="s">
        <v>81</v>
      </c>
      <c r="C38" t="s">
        <v>1</v>
      </c>
      <c r="D38">
        <v>70</v>
      </c>
      <c r="E38">
        <f>LOOKUP(1,1/('[1]PURCHASE PRICE'!$A:$A=A38)/('[1]PURCHASE PRICE'!$B:$B=B38)/('[1]PURCHASE PRICE'!$C:$C=C38),'[1]PURCHASE PRICE'!$D:$D)</f>
        <v>10000</v>
      </c>
      <c r="F38">
        <f>LOOKUP(1,1/('[1]PURCHASE PRICE'!$A:$A=A38)/('[1]PURCHASE PRICE'!$B:$B=B38),'[1]PURCHASE PRICE'!$D:$D)</f>
        <v>10000</v>
      </c>
      <c r="G38" s="1">
        <f t="shared" si="0"/>
        <v>10000</v>
      </c>
      <c r="H38" s="1">
        <f t="shared" si="1"/>
        <v>700000</v>
      </c>
    </row>
    <row r="39" spans="1:8" x14ac:dyDescent="0.3">
      <c r="A39" s="6">
        <v>45713</v>
      </c>
      <c r="B39" t="s">
        <v>41</v>
      </c>
      <c r="C39" t="s">
        <v>26</v>
      </c>
      <c r="D39">
        <v>50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11500</v>
      </c>
      <c r="G39" s="1">
        <f>+F39*0.15</f>
        <v>1725</v>
      </c>
      <c r="H39" s="1">
        <f t="shared" si="1"/>
        <v>86250</v>
      </c>
    </row>
    <row r="40" spans="1:8" x14ac:dyDescent="0.3">
      <c r="A40" s="6">
        <v>45713</v>
      </c>
      <c r="B40" t="s">
        <v>42</v>
      </c>
      <c r="C40" t="s">
        <v>1</v>
      </c>
      <c r="D40">
        <v>15</v>
      </c>
      <c r="E40">
        <f>LOOKUP(1,1/('[1]PURCHASE PRICE'!$A:$A=A40)/('[1]PURCHASE PRICE'!$B:$B=B40)/('[1]PURCHASE PRICE'!$C:$C=C40),'[1]PURCHASE PRICE'!$D:$D)</f>
        <v>25000</v>
      </c>
      <c r="F40">
        <f>LOOKUP(1,1/('[1]PURCHASE PRICE'!$A:$A=A40)/('[1]PURCHASE PRICE'!$B:$B=B40),'[1]PURCHASE PRICE'!$D:$D)</f>
        <v>25000</v>
      </c>
      <c r="G40" s="1">
        <f t="shared" si="0"/>
        <v>25000</v>
      </c>
      <c r="H40" s="1">
        <f t="shared" si="1"/>
        <v>375000</v>
      </c>
    </row>
    <row r="41" spans="1:8" x14ac:dyDescent="0.3">
      <c r="A41" s="6">
        <v>45713</v>
      </c>
      <c r="B41" t="s">
        <v>44</v>
      </c>
      <c r="C41" t="s">
        <v>22</v>
      </c>
      <c r="D41">
        <v>500</v>
      </c>
      <c r="E41">
        <f>LOOKUP(1,1/('[1]PURCHASE PRICE'!$A:$A=A41)/('[1]PURCHASE PRICE'!$B:$B=B41)/('[1]PURCHASE PRICE'!$C:$C=C41),'[1]PURCHASE PRICE'!$D:$D)</f>
        <v>2400</v>
      </c>
      <c r="F41">
        <f>LOOKUP(1,1/('[1]PURCHASE PRICE'!$A:$A=A41)/('[1]PURCHASE PRICE'!$B:$B=B41),'[1]PURCHASE PRICE'!$D:$D)</f>
        <v>2400</v>
      </c>
      <c r="G41" s="1">
        <f t="shared" si="0"/>
        <v>2400</v>
      </c>
      <c r="H41" s="1">
        <f t="shared" si="1"/>
        <v>1200000</v>
      </c>
    </row>
    <row r="42" spans="1:8" x14ac:dyDescent="0.3">
      <c r="A42" s="6">
        <v>45713</v>
      </c>
      <c r="B42" t="s">
        <v>45</v>
      </c>
      <c r="C42" t="s">
        <v>1</v>
      </c>
      <c r="D42">
        <v>40</v>
      </c>
      <c r="E42">
        <f>LOOKUP(1,1/('[1]PURCHASE PRICE'!$A:$A=A42)/('[1]PURCHASE PRICE'!$B:$B=B42)/('[1]PURCHASE PRICE'!$C:$C=C42),'[1]PURCHASE PRICE'!$D:$D)</f>
        <v>47500</v>
      </c>
      <c r="F42">
        <f>LOOKUP(1,1/('[1]PURCHASE PRICE'!$A:$A=A42)/('[1]PURCHASE PRICE'!$B:$B=B42),'[1]PURCHASE PRICE'!$D:$D)</f>
        <v>47500</v>
      </c>
      <c r="G42" s="1">
        <f t="shared" si="0"/>
        <v>47500</v>
      </c>
      <c r="H42" s="1">
        <f t="shared" si="1"/>
        <v>1900000</v>
      </c>
    </row>
    <row r="43" spans="1:8" x14ac:dyDescent="0.3">
      <c r="A43" s="6">
        <v>45713</v>
      </c>
      <c r="B43" t="s">
        <v>47</v>
      </c>
      <c r="C43" t="s">
        <v>1</v>
      </c>
      <c r="D43">
        <v>20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 s="1">
        <f t="shared" si="0"/>
        <v>28000</v>
      </c>
      <c r="H43" s="1">
        <f t="shared" si="1"/>
        <v>560000</v>
      </c>
    </row>
    <row r="44" spans="1:8" x14ac:dyDescent="0.3">
      <c r="A44" s="6">
        <v>45713</v>
      </c>
      <c r="B44" t="s">
        <v>48</v>
      </c>
      <c r="C44" t="s">
        <v>77</v>
      </c>
      <c r="D44">
        <v>200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21000</v>
      </c>
      <c r="G44" s="1">
        <f>+F44*0.25</f>
        <v>5250</v>
      </c>
      <c r="H44" s="1">
        <f t="shared" si="1"/>
        <v>1050000</v>
      </c>
    </row>
    <row r="45" spans="1:8" x14ac:dyDescent="0.3">
      <c r="A45" s="6">
        <v>45713</v>
      </c>
      <c r="B45" t="s">
        <v>48</v>
      </c>
      <c r="C45" t="s">
        <v>11</v>
      </c>
      <c r="D45">
        <v>80</v>
      </c>
      <c r="E45">
        <f>LOOKUP(1,1/('[1]PURCHASE PRICE'!$A:$A=A45)/('[1]PURCHASE PRICE'!$B:$B=B45)/('[1]PURCHASE PRICE'!$C:$C=C45),'[1]PURCHASE PRICE'!$D:$D)</f>
        <v>21000</v>
      </c>
      <c r="F45">
        <f>LOOKUP(1,1/('[1]PURCHASE PRICE'!$A:$A=A45)/('[1]PURCHASE PRICE'!$B:$B=B45),'[1]PURCHASE PRICE'!$D:$D)</f>
        <v>21000</v>
      </c>
      <c r="G45" s="1">
        <f t="shared" si="0"/>
        <v>21000</v>
      </c>
      <c r="H45" s="1">
        <f t="shared" si="1"/>
        <v>1680000</v>
      </c>
    </row>
    <row r="46" spans="1:8" x14ac:dyDescent="0.3">
      <c r="A46" s="6">
        <v>45713</v>
      </c>
      <c r="B46" t="s">
        <v>49</v>
      </c>
      <c r="C46" t="s">
        <v>1</v>
      </c>
      <c r="D46">
        <v>20</v>
      </c>
      <c r="E46">
        <f>LOOKUP(1,1/('[1]PURCHASE PRICE'!$A:$A=A46)/('[1]PURCHASE PRICE'!$B:$B=B46)/('[1]PURCHASE PRICE'!$C:$C=C46),'[1]PURCHASE PRICE'!$D:$D)</f>
        <v>50000</v>
      </c>
      <c r="F46">
        <f>LOOKUP(1,1/('[1]PURCHASE PRICE'!$A:$A=A46)/('[1]PURCHASE PRICE'!$B:$B=B46),'[1]PURCHASE PRICE'!$D:$D)</f>
        <v>50000</v>
      </c>
      <c r="G46" s="1">
        <f t="shared" si="0"/>
        <v>50000</v>
      </c>
      <c r="H46" s="1">
        <f t="shared" si="1"/>
        <v>1000000</v>
      </c>
    </row>
    <row r="47" spans="1:8" x14ac:dyDescent="0.3">
      <c r="A47" s="6">
        <v>45713</v>
      </c>
      <c r="B47" t="s">
        <v>50</v>
      </c>
      <c r="C47" t="s">
        <v>11</v>
      </c>
      <c r="D47">
        <v>75</v>
      </c>
      <c r="E47">
        <f>LOOKUP(1,1/('[1]PURCHASE PRICE'!$A:$A=A47)/('[1]PURCHASE PRICE'!$B:$B=B47)/('[1]PURCHASE PRICE'!$C:$C=C47),'[1]PURCHASE PRICE'!$D:$D)</f>
        <v>29000</v>
      </c>
      <c r="F47">
        <f>LOOKUP(1,1/('[1]PURCHASE PRICE'!$A:$A=A47)/('[1]PURCHASE PRICE'!$B:$B=B47),'[1]PURCHASE PRICE'!$D:$D)</f>
        <v>29000</v>
      </c>
      <c r="G47" s="1">
        <f t="shared" si="0"/>
        <v>29000</v>
      </c>
      <c r="H47" s="1">
        <f t="shared" si="1"/>
        <v>2175000</v>
      </c>
    </row>
    <row r="48" spans="1:8" x14ac:dyDescent="0.3">
      <c r="A48" s="6">
        <v>45713</v>
      </c>
      <c r="B48" t="s">
        <v>52</v>
      </c>
      <c r="C48" t="s">
        <v>77</v>
      </c>
      <c r="D48">
        <v>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30000</v>
      </c>
      <c r="G48" s="1">
        <f>+F48*0.25</f>
        <v>7500</v>
      </c>
      <c r="H48" s="1">
        <f t="shared" si="1"/>
        <v>0</v>
      </c>
    </row>
    <row r="49" spans="1:8" x14ac:dyDescent="0.3">
      <c r="A49" s="6">
        <v>45713</v>
      </c>
      <c r="B49" t="s">
        <v>53</v>
      </c>
      <c r="C49" t="s">
        <v>22</v>
      </c>
      <c r="D49">
        <v>353</v>
      </c>
      <c r="E49">
        <f>LOOKUP(1,1/('[1]PURCHASE PRICE'!$A:$A=A49)/('[1]PURCHASE PRICE'!$B:$B=B49)/('[1]PURCHASE PRICE'!$C:$C=C49),'[1]PURCHASE PRICE'!$D:$D)</f>
        <v>17000</v>
      </c>
      <c r="F49">
        <f>LOOKUP(1,1/('[1]PURCHASE PRICE'!$A:$A=A49)/('[1]PURCHASE PRICE'!$B:$B=B49),'[1]PURCHASE PRICE'!$D:$D)</f>
        <v>17000</v>
      </c>
      <c r="G49" s="1">
        <f t="shared" si="0"/>
        <v>17000</v>
      </c>
      <c r="H49" s="1">
        <f t="shared" si="1"/>
        <v>6001000</v>
      </c>
    </row>
    <row r="50" spans="1:8" x14ac:dyDescent="0.3">
      <c r="A50" s="6">
        <v>45713</v>
      </c>
      <c r="B50" t="s">
        <v>83</v>
      </c>
      <c r="C50" t="s">
        <v>1</v>
      </c>
      <c r="D50">
        <v>5</v>
      </c>
      <c r="E50">
        <f>LOOKUP(1,1/('[1]PURCHASE PRICE'!$A:$A=A50)/('[1]PURCHASE PRICE'!$B:$B=B50)/('[1]PURCHASE PRICE'!$C:$C=C50),'[1]PURCHASE PRICE'!$D:$D)</f>
        <v>20000</v>
      </c>
      <c r="F50">
        <f>LOOKUP(1,1/('[1]PURCHASE PRICE'!$A:$A=A50)/('[1]PURCHASE PRICE'!$B:$B=B50),'[1]PURCHASE PRICE'!$D:$D)</f>
        <v>20000</v>
      </c>
      <c r="G50" s="1">
        <f t="shared" si="0"/>
        <v>20000</v>
      </c>
      <c r="H50" s="1">
        <f t="shared" si="1"/>
        <v>100000</v>
      </c>
    </row>
    <row r="51" spans="1:8" x14ac:dyDescent="0.3">
      <c r="A51" s="6">
        <v>45713</v>
      </c>
      <c r="B51" t="s">
        <v>55</v>
      </c>
      <c r="C51" t="s">
        <v>1</v>
      </c>
      <c r="D51">
        <v>200</v>
      </c>
      <c r="E51">
        <f>LOOKUP(1,1/('[1]PURCHASE PRICE'!$A:$A=A51)/('[1]PURCHASE PRICE'!$B:$B=B51)/('[1]PURCHASE PRICE'!$C:$C=C51),'[1]PURCHASE PRICE'!$D:$D)</f>
        <v>13000</v>
      </c>
      <c r="F51">
        <f>LOOKUP(1,1/('[1]PURCHASE PRICE'!$A:$A=A51)/('[1]PURCHASE PRICE'!$B:$B=B51),'[1]PURCHASE PRICE'!$D:$D)</f>
        <v>13000</v>
      </c>
      <c r="G51" s="1">
        <f t="shared" si="0"/>
        <v>13000</v>
      </c>
      <c r="H51" s="1">
        <f t="shared" si="1"/>
        <v>2600000</v>
      </c>
    </row>
    <row r="52" spans="1:8" x14ac:dyDescent="0.3">
      <c r="A52" s="6">
        <v>45713</v>
      </c>
      <c r="B52" t="s">
        <v>96</v>
      </c>
      <c r="C52" t="s">
        <v>1</v>
      </c>
      <c r="D52">
        <v>80</v>
      </c>
      <c r="E52">
        <f>LOOKUP(1,1/('[1]PURCHASE PRICE'!$A:$A=A52)/('[1]PURCHASE PRICE'!$B:$B=B52)/('[1]PURCHASE PRICE'!$C:$C=C52),'[1]PURCHASE PRICE'!$D:$D)</f>
        <v>21000</v>
      </c>
      <c r="F52">
        <f>LOOKUP(1,1/('[1]PURCHASE PRICE'!$A:$A=A52)/('[1]PURCHASE PRICE'!$B:$B=B52),'[1]PURCHASE PRICE'!$D:$D)</f>
        <v>21000</v>
      </c>
      <c r="G52" s="1">
        <f t="shared" si="0"/>
        <v>21000</v>
      </c>
      <c r="H52" s="1">
        <f t="shared" si="1"/>
        <v>1680000</v>
      </c>
    </row>
    <row r="53" spans="1:8" x14ac:dyDescent="0.3">
      <c r="A53" s="6">
        <v>45713</v>
      </c>
      <c r="B53" t="s">
        <v>58</v>
      </c>
      <c r="C53" t="s">
        <v>1</v>
      </c>
      <c r="D53">
        <v>20</v>
      </c>
      <c r="E53">
        <f>LOOKUP(1,1/('[1]PURCHASE PRICE'!$A:$A=A53)/('[1]PURCHASE PRICE'!$B:$B=B53)/('[1]PURCHASE PRICE'!$C:$C=C53),'[1]PURCHASE PRICE'!$D:$D)</f>
        <v>10000</v>
      </c>
      <c r="F53">
        <f>LOOKUP(1,1/('[1]PURCHASE PRICE'!$A:$A=A53)/('[1]PURCHASE PRICE'!$B:$B=B53),'[1]PURCHASE PRICE'!$D:$D)</f>
        <v>10000</v>
      </c>
      <c r="G53" s="1">
        <f t="shared" si="0"/>
        <v>10000</v>
      </c>
      <c r="H53" s="1">
        <f t="shared" si="1"/>
        <v>200000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0E7F-6C7B-43A9-9DE2-F0C05D1BD5EE}">
  <dimension ref="A1:H49"/>
  <sheetViews>
    <sheetView topLeftCell="A25" workbookViewId="0">
      <selection activeCell="F35" sqref="F35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42092500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45714</v>
      </c>
      <c r="B3" t="s">
        <v>2</v>
      </c>
      <c r="C3" t="s">
        <v>62</v>
      </c>
      <c r="D3">
        <v>20</v>
      </c>
      <c r="E3">
        <f>LOOKUP(1,1/('[1]PURCHASE PRICE'!$A:$A=A3)/('[1]PURCHASE PRICE'!$B:$B=B3)/('[1]PURCHASE PRICE'!$C:$C=C3),'[1]PURCHASE PRICE'!$D:$D)</f>
        <v>5000</v>
      </c>
      <c r="F3">
        <f>LOOKUP(1,1/('[1]PURCHASE PRICE'!$A:$A=A3)/('[1]PURCHASE PRICE'!$B:$B=B3),'[1]PURCHASE PRICE'!$D:$D)</f>
        <v>5000</v>
      </c>
      <c r="G3" s="1">
        <f>E3</f>
        <v>5000</v>
      </c>
      <c r="H3" s="1">
        <f>+G3*D3</f>
        <v>100000</v>
      </c>
    </row>
    <row r="4" spans="1:8" x14ac:dyDescent="0.3">
      <c r="A4" s="6">
        <v>45714</v>
      </c>
      <c r="B4" t="s">
        <v>3</v>
      </c>
      <c r="C4" t="s">
        <v>77</v>
      </c>
      <c r="D4">
        <v>60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14000</v>
      </c>
      <c r="G4" s="1">
        <f>+F4*0.4</f>
        <v>5600</v>
      </c>
      <c r="H4" s="1">
        <f t="shared" ref="H4:H49" si="0">+G4*D4</f>
        <v>336000</v>
      </c>
    </row>
    <row r="5" spans="1:8" x14ac:dyDescent="0.3">
      <c r="A5" s="6">
        <v>45714</v>
      </c>
      <c r="B5" t="s">
        <v>108</v>
      </c>
      <c r="C5" t="s">
        <v>62</v>
      </c>
      <c r="D5">
        <v>40</v>
      </c>
      <c r="E5">
        <f>LOOKUP(1,1/('[1]PURCHASE PRICE'!$A:$A=A5)/('[1]PURCHASE PRICE'!$B:$B=B5)/('[1]PURCHASE PRICE'!$C:$C=C5),'[1]PURCHASE PRICE'!$D:$D)</f>
        <v>11000</v>
      </c>
      <c r="F5">
        <f>LOOKUP(1,1/('[1]PURCHASE PRICE'!$A:$A=A5)/('[1]PURCHASE PRICE'!$B:$B=B5),'[1]PURCHASE PRICE'!$D:$D)</f>
        <v>11000</v>
      </c>
      <c r="G5" s="1">
        <f t="shared" ref="G4:G49" si="1">E5</f>
        <v>11000</v>
      </c>
      <c r="H5" s="1">
        <f t="shared" si="0"/>
        <v>440000</v>
      </c>
    </row>
    <row r="6" spans="1:8" x14ac:dyDescent="0.3">
      <c r="A6" s="6">
        <v>45714</v>
      </c>
      <c r="B6" t="s">
        <v>4</v>
      </c>
      <c r="C6" t="s">
        <v>77</v>
      </c>
      <c r="D6">
        <v>200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15000</v>
      </c>
      <c r="G6" s="1">
        <f>+F6*0.3</f>
        <v>4500</v>
      </c>
      <c r="H6" s="1">
        <f t="shared" si="0"/>
        <v>900000</v>
      </c>
    </row>
    <row r="7" spans="1:8" x14ac:dyDescent="0.3">
      <c r="A7" s="6">
        <v>45714</v>
      </c>
      <c r="B7" t="s">
        <v>6</v>
      </c>
      <c r="C7" t="s">
        <v>77</v>
      </c>
      <c r="D7">
        <v>90</v>
      </c>
      <c r="E7" t="e">
        <f>LOOKUP(1,1/('[1]PURCHASE PRICE'!$A:$A=A7)/('[1]PURCHASE PRICE'!$B:$B=B7)/('[1]PURCHASE PRICE'!$C:$C=C7),'[1]PURCHASE PRICE'!$D:$D)</f>
        <v>#N/A</v>
      </c>
      <c r="F7">
        <v>15000</v>
      </c>
      <c r="G7" s="1">
        <f>+F7*0.3</f>
        <v>4500</v>
      </c>
      <c r="H7" s="1">
        <f t="shared" si="0"/>
        <v>405000</v>
      </c>
    </row>
    <row r="8" spans="1:8" x14ac:dyDescent="0.3">
      <c r="A8" s="6">
        <v>45714</v>
      </c>
      <c r="B8" t="s">
        <v>63</v>
      </c>
      <c r="C8" t="s">
        <v>62</v>
      </c>
      <c r="D8">
        <v>10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23000</v>
      </c>
      <c r="H8" s="1">
        <f t="shared" si="0"/>
        <v>230000</v>
      </c>
    </row>
    <row r="9" spans="1:8" x14ac:dyDescent="0.3">
      <c r="A9" s="6">
        <v>45714</v>
      </c>
      <c r="B9" t="s">
        <v>8</v>
      </c>
      <c r="C9" t="s">
        <v>9</v>
      </c>
      <c r="D9">
        <v>52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1"/>
        <v>6000</v>
      </c>
      <c r="H9" s="1">
        <f t="shared" si="0"/>
        <v>312000</v>
      </c>
    </row>
    <row r="10" spans="1:8" x14ac:dyDescent="0.3">
      <c r="A10" s="6">
        <v>45714</v>
      </c>
      <c r="B10" t="s">
        <v>78</v>
      </c>
      <c r="C10" t="s">
        <v>62</v>
      </c>
      <c r="D10">
        <v>80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12300</v>
      </c>
      <c r="G10" s="1">
        <f t="shared" si="1"/>
        <v>14000</v>
      </c>
      <c r="H10" s="1">
        <f t="shared" si="0"/>
        <v>1120000</v>
      </c>
    </row>
    <row r="11" spans="1:8" x14ac:dyDescent="0.3">
      <c r="A11" s="6">
        <v>45714</v>
      </c>
      <c r="B11" t="s">
        <v>10</v>
      </c>
      <c r="C11" t="s">
        <v>79</v>
      </c>
      <c r="D11">
        <v>120</v>
      </c>
      <c r="E11">
        <f>LOOKUP(1,1/('[1]PURCHASE PRICE'!$A:$A=A11)/('[1]PURCHASE PRICE'!$B:$B=B11)/('[1]PURCHASE PRICE'!$C:$C=C11),'[1]PURCHASE PRICE'!$D:$D)</f>
        <v>8500</v>
      </c>
      <c r="F11">
        <f>LOOKUP(1,1/('[1]PURCHASE PRICE'!$A:$A=A11)/('[1]PURCHASE PRICE'!$B:$B=B11),'[1]PURCHASE PRICE'!$D:$D)</f>
        <v>8500</v>
      </c>
      <c r="G11" s="1">
        <f t="shared" si="1"/>
        <v>8500</v>
      </c>
      <c r="H11" s="1">
        <f t="shared" si="0"/>
        <v>1020000</v>
      </c>
    </row>
    <row r="12" spans="1:8" x14ac:dyDescent="0.3">
      <c r="A12" s="6">
        <v>45714</v>
      </c>
      <c r="B12" t="s">
        <v>12</v>
      </c>
      <c r="C12" t="s">
        <v>13</v>
      </c>
      <c r="D12">
        <v>100</v>
      </c>
      <c r="E12">
        <f>LOOKUP(1,1/('[1]PURCHASE PRICE'!$A:$A=A12)/('[1]PURCHASE PRICE'!$B:$B=B12)/('[1]PURCHASE PRICE'!$C:$C=C12),'[1]PURCHASE PRICE'!$D:$D)</f>
        <v>6000</v>
      </c>
      <c r="F12">
        <f>LOOKUP(1,1/('[1]PURCHASE PRICE'!$A:$A=A12)/('[1]PURCHASE PRICE'!$B:$B=B12),'[1]PURCHASE PRICE'!$D:$D)</f>
        <v>6000</v>
      </c>
      <c r="G12" s="1">
        <f t="shared" si="1"/>
        <v>6000</v>
      </c>
      <c r="H12" s="1">
        <f t="shared" si="0"/>
        <v>600000</v>
      </c>
    </row>
    <row r="13" spans="1:8" x14ac:dyDescent="0.3">
      <c r="A13" s="6">
        <v>45714</v>
      </c>
      <c r="B13" t="s">
        <v>14</v>
      </c>
      <c r="C13" t="s">
        <v>15</v>
      </c>
      <c r="D13">
        <v>25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1"/>
        <v>12000</v>
      </c>
      <c r="H13" s="1">
        <f t="shared" si="0"/>
        <v>300000</v>
      </c>
    </row>
    <row r="14" spans="1:8" x14ac:dyDescent="0.3">
      <c r="A14" s="6">
        <v>45714</v>
      </c>
      <c r="B14" t="s">
        <v>16</v>
      </c>
      <c r="C14" t="s">
        <v>13</v>
      </c>
      <c r="D14">
        <v>60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7500</v>
      </c>
      <c r="G14" s="1">
        <v>12000</v>
      </c>
      <c r="H14" s="1">
        <f t="shared" si="0"/>
        <v>720000</v>
      </c>
    </row>
    <row r="15" spans="1:8" x14ac:dyDescent="0.3">
      <c r="A15" s="6">
        <v>45714</v>
      </c>
      <c r="B15" t="s">
        <v>17</v>
      </c>
      <c r="C15" t="s">
        <v>62</v>
      </c>
      <c r="D15">
        <v>80</v>
      </c>
      <c r="E15">
        <f>LOOKUP(1,1/('[1]PURCHASE PRICE'!$A:$A=A15)/('[1]PURCHASE PRICE'!$B:$B=B15)/('[1]PURCHASE PRICE'!$C:$C=C15),'[1]PURCHASE PRICE'!$D:$D)</f>
        <v>16000</v>
      </c>
      <c r="F15">
        <f>LOOKUP(1,1/('[1]PURCHASE PRICE'!$A:$A=A15)/('[1]PURCHASE PRICE'!$B:$B=B15),'[1]PURCHASE PRICE'!$D:$D)</f>
        <v>16000</v>
      </c>
      <c r="G15" s="1">
        <f t="shared" si="1"/>
        <v>16000</v>
      </c>
      <c r="H15" s="1">
        <f t="shared" si="0"/>
        <v>1280000</v>
      </c>
    </row>
    <row r="16" spans="1:8" x14ac:dyDescent="0.3">
      <c r="A16" s="6">
        <v>45714</v>
      </c>
      <c r="B16" t="s">
        <v>18</v>
      </c>
      <c r="C16" t="s">
        <v>62</v>
      </c>
      <c r="D16">
        <v>40</v>
      </c>
      <c r="E16">
        <f>LOOKUP(1,1/('[1]PURCHASE PRICE'!$A:$A=A16)/('[1]PURCHASE PRICE'!$B:$B=B16)/('[1]PURCHASE PRICE'!$C:$C=C16),'[1]PURCHASE PRICE'!$D:$D)</f>
        <v>6500</v>
      </c>
      <c r="F16">
        <f>LOOKUP(1,1/('[1]PURCHASE PRICE'!$A:$A=A16)/('[1]PURCHASE PRICE'!$B:$B=B16),'[1]PURCHASE PRICE'!$D:$D)</f>
        <v>6500</v>
      </c>
      <c r="G16" s="1">
        <f t="shared" si="1"/>
        <v>6500</v>
      </c>
      <c r="H16" s="1">
        <f t="shared" si="0"/>
        <v>260000</v>
      </c>
    </row>
    <row r="17" spans="1:8" x14ac:dyDescent="0.3">
      <c r="A17" s="6">
        <v>45714</v>
      </c>
      <c r="B17" t="s">
        <v>19</v>
      </c>
      <c r="C17" t="s">
        <v>9</v>
      </c>
      <c r="D17">
        <v>40</v>
      </c>
      <c r="E17">
        <f>LOOKUP(1,1/('[1]PURCHASE PRICE'!$A:$A=A17)/('[1]PURCHASE PRICE'!$B:$B=B17)/('[1]PURCHASE PRICE'!$C:$C=C17),'[1]PURCHASE PRICE'!$D:$D)</f>
        <v>6000</v>
      </c>
      <c r="F17">
        <f>LOOKUP(1,1/('[1]PURCHASE PRICE'!$A:$A=A17)/('[1]PURCHASE PRICE'!$B:$B=B17),'[1]PURCHASE PRICE'!$D:$D)</f>
        <v>6000</v>
      </c>
      <c r="G17" s="1">
        <f t="shared" si="1"/>
        <v>6000</v>
      </c>
      <c r="H17" s="1">
        <f t="shared" si="0"/>
        <v>240000</v>
      </c>
    </row>
    <row r="18" spans="1:8" x14ac:dyDescent="0.3">
      <c r="A18" s="6">
        <v>45714</v>
      </c>
      <c r="B18" t="s">
        <v>20</v>
      </c>
      <c r="C18" t="s">
        <v>62</v>
      </c>
      <c r="D18">
        <v>40</v>
      </c>
      <c r="E18">
        <f>LOOKUP(1,1/('[1]PURCHASE PRICE'!$A:$A=A18)/('[1]PURCHASE PRICE'!$B:$B=B18)/('[1]PURCHASE PRICE'!$C:$C=C18),'[1]PURCHASE PRICE'!$D:$D)</f>
        <v>20000</v>
      </c>
      <c r="F18">
        <f>LOOKUP(1,1/('[1]PURCHASE PRICE'!$A:$A=A18)/('[1]PURCHASE PRICE'!$B:$B=B18),'[1]PURCHASE PRICE'!$D:$D)</f>
        <v>20000</v>
      </c>
      <c r="G18" s="1">
        <f t="shared" si="1"/>
        <v>20000</v>
      </c>
      <c r="H18" s="1">
        <f t="shared" si="0"/>
        <v>800000</v>
      </c>
    </row>
    <row r="19" spans="1:8" x14ac:dyDescent="0.3">
      <c r="A19" s="6">
        <v>45714</v>
      </c>
      <c r="B19" t="s">
        <v>21</v>
      </c>
      <c r="C19" t="s">
        <v>22</v>
      </c>
      <c r="D19">
        <v>20</v>
      </c>
      <c r="E19">
        <f>LOOKUP(1,1/('[1]PURCHASE PRICE'!$A:$A=A19)/('[1]PURCHASE PRICE'!$B:$B=B19)/('[1]PURCHASE PRICE'!$C:$C=C19),'[1]PURCHASE PRICE'!$D:$D)</f>
        <v>3300</v>
      </c>
      <c r="F19">
        <f>LOOKUP(1,1/('[1]PURCHASE PRICE'!$A:$A=A19)/('[1]PURCHASE PRICE'!$B:$B=B19),'[1]PURCHASE PRICE'!$D:$D)</f>
        <v>1900</v>
      </c>
      <c r="G19" s="1">
        <f t="shared" si="1"/>
        <v>3300</v>
      </c>
      <c r="H19" s="1">
        <f t="shared" si="0"/>
        <v>66000</v>
      </c>
    </row>
    <row r="20" spans="1:8" x14ac:dyDescent="0.3">
      <c r="A20" s="6">
        <v>45714</v>
      </c>
      <c r="B20" t="s">
        <v>21</v>
      </c>
      <c r="C20" t="s">
        <v>97</v>
      </c>
      <c r="D20">
        <v>0</v>
      </c>
      <c r="E20">
        <f>LOOKUP(1,1/('[1]PURCHASE PRICE'!$A:$A=A20)/('[1]PURCHASE PRICE'!$B:$B=B20)/('[1]PURCHASE PRICE'!$C:$C=C20),'[1]PURCHASE PRICE'!$D:$D)</f>
        <v>1900</v>
      </c>
      <c r="F20">
        <f>LOOKUP(1,1/('[1]PURCHASE PRICE'!$A:$A=A20)/('[1]PURCHASE PRICE'!$B:$B=B20),'[1]PURCHASE PRICE'!$D:$D)</f>
        <v>1900</v>
      </c>
      <c r="G20" s="1">
        <f t="shared" si="1"/>
        <v>1900</v>
      </c>
      <c r="H20" s="1">
        <f t="shared" si="0"/>
        <v>0</v>
      </c>
    </row>
    <row r="21" spans="1:8" x14ac:dyDescent="0.3">
      <c r="A21" s="6">
        <v>45714</v>
      </c>
      <c r="B21" t="s">
        <v>25</v>
      </c>
      <c r="C21" t="s">
        <v>26</v>
      </c>
      <c r="D21">
        <v>150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10000</v>
      </c>
      <c r="G21" s="1">
        <f>+F21/2</f>
        <v>5000</v>
      </c>
      <c r="H21" s="1">
        <f t="shared" si="0"/>
        <v>750000</v>
      </c>
    </row>
    <row r="22" spans="1:8" x14ac:dyDescent="0.3">
      <c r="A22" s="6">
        <v>45714</v>
      </c>
      <c r="B22" t="s">
        <v>27</v>
      </c>
      <c r="C22" t="s">
        <v>9</v>
      </c>
      <c r="D22">
        <v>40</v>
      </c>
      <c r="E22">
        <f>LOOKUP(1,1/('[1]PURCHASE PRICE'!$A:$A=A22)/('[1]PURCHASE PRICE'!$B:$B=B22)/('[1]PURCHASE PRICE'!$C:$C=C22),'[1]PURCHASE PRICE'!$D:$D)</f>
        <v>7500</v>
      </c>
      <c r="F22">
        <f>LOOKUP(1,1/('[1]PURCHASE PRICE'!$A:$A=A22)/('[1]PURCHASE PRICE'!$B:$B=B22),'[1]PURCHASE PRICE'!$D:$D)</f>
        <v>7500</v>
      </c>
      <c r="G22" s="1">
        <f t="shared" si="1"/>
        <v>7500</v>
      </c>
      <c r="H22" s="1">
        <f t="shared" si="0"/>
        <v>300000</v>
      </c>
    </row>
    <row r="23" spans="1:8" x14ac:dyDescent="0.3">
      <c r="A23" s="6">
        <v>45714</v>
      </c>
      <c r="B23" t="s">
        <v>28</v>
      </c>
      <c r="C23" t="s">
        <v>15</v>
      </c>
      <c r="D23">
        <v>40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18000</v>
      </c>
      <c r="G23" s="1">
        <f t="shared" si="1"/>
        <v>10000</v>
      </c>
      <c r="H23" s="1">
        <f t="shared" si="0"/>
        <v>400000</v>
      </c>
    </row>
    <row r="24" spans="1:8" x14ac:dyDescent="0.3">
      <c r="A24" s="6">
        <v>45714</v>
      </c>
      <c r="B24" t="s">
        <v>80</v>
      </c>
      <c r="C24" t="s">
        <v>62</v>
      </c>
      <c r="D24">
        <v>40</v>
      </c>
      <c r="E24">
        <f>LOOKUP(1,1/('[1]PURCHASE PRICE'!$A:$A=A24)/('[1]PURCHASE PRICE'!$B:$B=B24)/('[1]PURCHASE PRICE'!$C:$C=C24),'[1]PURCHASE PRICE'!$D:$D)</f>
        <v>9000</v>
      </c>
      <c r="F24">
        <f>LOOKUP(1,1/('[1]PURCHASE PRICE'!$A:$A=A24)/('[1]PURCHASE PRICE'!$B:$B=B24),'[1]PURCHASE PRICE'!$D:$D)</f>
        <v>9000</v>
      </c>
      <c r="G24" s="1">
        <f t="shared" si="1"/>
        <v>9000</v>
      </c>
      <c r="H24" s="1">
        <f t="shared" si="0"/>
        <v>360000</v>
      </c>
    </row>
    <row r="25" spans="1:8" x14ac:dyDescent="0.3">
      <c r="A25" s="6">
        <v>45714</v>
      </c>
      <c r="B25" t="s">
        <v>32</v>
      </c>
      <c r="C25" t="s">
        <v>62</v>
      </c>
      <c r="D25">
        <v>0</v>
      </c>
      <c r="E25">
        <f>LOOKUP(1,1/('[1]PURCHASE PRICE'!$A:$A=A25)/('[1]PURCHASE PRICE'!$B:$B=B25)/('[1]PURCHASE PRICE'!$C:$C=C25),'[1]PURCHASE PRICE'!$D:$D)</f>
        <v>20000</v>
      </c>
      <c r="F25">
        <f>LOOKUP(1,1/('[1]PURCHASE PRICE'!$A:$A=A25)/('[1]PURCHASE PRICE'!$B:$B=B25),'[1]PURCHASE PRICE'!$D:$D)</f>
        <v>20000</v>
      </c>
      <c r="G25" s="1">
        <f t="shared" si="1"/>
        <v>20000</v>
      </c>
      <c r="H25" s="1">
        <f t="shared" si="0"/>
        <v>0</v>
      </c>
    </row>
    <row r="26" spans="1:8" x14ac:dyDescent="0.3">
      <c r="A26" s="6">
        <v>45714</v>
      </c>
      <c r="B26" t="s">
        <v>33</v>
      </c>
      <c r="C26" t="s">
        <v>62</v>
      </c>
      <c r="D26">
        <v>100</v>
      </c>
      <c r="E26">
        <f>LOOKUP(1,1/('[1]PURCHASE PRICE'!$A:$A=A26)/('[1]PURCHASE PRICE'!$B:$B=B26)/('[1]PURCHASE PRICE'!$C:$C=C26),'[1]PURCHASE PRICE'!$D:$D)</f>
        <v>25000</v>
      </c>
      <c r="F26">
        <f>LOOKUP(1,1/('[1]PURCHASE PRICE'!$A:$A=A26)/('[1]PURCHASE PRICE'!$B:$B=B26),'[1]PURCHASE PRICE'!$D:$D)</f>
        <v>25000</v>
      </c>
      <c r="G26" s="1">
        <f t="shared" si="1"/>
        <v>25000</v>
      </c>
      <c r="H26" s="1">
        <f t="shared" si="0"/>
        <v>2500000</v>
      </c>
    </row>
    <row r="27" spans="1:8" x14ac:dyDescent="0.3">
      <c r="A27" s="6">
        <v>45714</v>
      </c>
      <c r="B27" t="s">
        <v>34</v>
      </c>
      <c r="C27" t="s">
        <v>62</v>
      </c>
      <c r="D27">
        <v>100</v>
      </c>
      <c r="E27">
        <f>LOOKUP(1,1/('[1]PURCHASE PRICE'!$A:$A=A27)/('[1]PURCHASE PRICE'!$B:$B=B27)/('[1]PURCHASE PRICE'!$C:$C=C27),'[1]PURCHASE PRICE'!$D:$D)</f>
        <v>16000</v>
      </c>
      <c r="F27">
        <f>LOOKUP(1,1/('[1]PURCHASE PRICE'!$A:$A=A27)/('[1]PURCHASE PRICE'!$B:$B=B27),'[1]PURCHASE PRICE'!$D:$D)</f>
        <v>16000</v>
      </c>
      <c r="G27" s="1">
        <f t="shared" si="1"/>
        <v>16000</v>
      </c>
      <c r="H27" s="1">
        <f t="shared" si="0"/>
        <v>1600000</v>
      </c>
    </row>
    <row r="28" spans="1:8" x14ac:dyDescent="0.3">
      <c r="A28" s="6">
        <v>45714</v>
      </c>
      <c r="B28" t="s">
        <v>98</v>
      </c>
      <c r="C28" t="s">
        <v>62</v>
      </c>
      <c r="D28">
        <v>20</v>
      </c>
      <c r="E28">
        <f>LOOKUP(1,1/('[1]PURCHASE PRICE'!$A:$A=A28)/('[1]PURCHASE PRICE'!$B:$B=B28)/('[1]PURCHASE PRICE'!$C:$C=C28),'[1]PURCHASE PRICE'!$D:$D)</f>
        <v>25000</v>
      </c>
      <c r="F28">
        <f>LOOKUP(1,1/('[1]PURCHASE PRICE'!$A:$A=A28)/('[1]PURCHASE PRICE'!$B:$B=B28),'[1]PURCHASE PRICE'!$D:$D)</f>
        <v>25000</v>
      </c>
      <c r="G28" s="1">
        <f t="shared" si="1"/>
        <v>25000</v>
      </c>
      <c r="H28" s="1">
        <f t="shared" si="0"/>
        <v>500000</v>
      </c>
    </row>
    <row r="29" spans="1:8" x14ac:dyDescent="0.3">
      <c r="A29" s="6">
        <v>45714</v>
      </c>
      <c r="B29" t="s">
        <v>64</v>
      </c>
      <c r="C29" t="s">
        <v>62</v>
      </c>
      <c r="D29">
        <v>0</v>
      </c>
      <c r="E29">
        <f>LOOKUP(1,1/('[1]PURCHASE PRICE'!$A:$A=A29)/('[1]PURCHASE PRICE'!$B:$B=B29)/('[1]PURCHASE PRICE'!$C:$C=C29),'[1]PURCHASE PRICE'!$D:$D)</f>
        <v>9000</v>
      </c>
      <c r="F29">
        <f>LOOKUP(1,1/('[1]PURCHASE PRICE'!$A:$A=A29)/('[1]PURCHASE PRICE'!$B:$B=B29),'[1]PURCHASE PRICE'!$D:$D)</f>
        <v>9000</v>
      </c>
      <c r="G29" s="1">
        <f t="shared" si="1"/>
        <v>9000</v>
      </c>
      <c r="H29" s="1">
        <f t="shared" si="0"/>
        <v>0</v>
      </c>
    </row>
    <row r="30" spans="1:8" x14ac:dyDescent="0.3">
      <c r="A30" s="6">
        <v>45714</v>
      </c>
      <c r="B30" t="s">
        <v>36</v>
      </c>
      <c r="C30" t="s">
        <v>22</v>
      </c>
      <c r="D30">
        <v>10</v>
      </c>
      <c r="E30">
        <f>LOOKUP(1,1/('[1]PURCHASE PRICE'!$A:$A=A30)/('[1]PURCHASE PRICE'!$B:$B=B30)/('[1]PURCHASE PRICE'!$C:$C=C30),'[1]PURCHASE PRICE'!$D:$D)</f>
        <v>6000</v>
      </c>
      <c r="F30">
        <f>LOOKUP(1,1/('[1]PURCHASE PRICE'!$A:$A=A30)/('[1]PURCHASE PRICE'!$B:$B=B30),'[1]PURCHASE PRICE'!$D:$D)</f>
        <v>6000</v>
      </c>
      <c r="G30" s="1">
        <f t="shared" si="1"/>
        <v>6000</v>
      </c>
      <c r="H30" s="1">
        <f t="shared" si="0"/>
        <v>60000</v>
      </c>
    </row>
    <row r="31" spans="1:8" x14ac:dyDescent="0.3">
      <c r="A31" s="6">
        <v>45714</v>
      </c>
      <c r="B31" t="s">
        <v>37</v>
      </c>
      <c r="C31" t="s">
        <v>31</v>
      </c>
      <c r="D31">
        <v>60</v>
      </c>
      <c r="E31">
        <f>LOOKUP(1,1/('[1]PURCHASE PRICE'!$A:$A=A31)/('[1]PURCHASE PRICE'!$B:$B=B31)/('[1]PURCHASE PRICE'!$C:$C=C31),'[1]PURCHASE PRICE'!$D:$D)</f>
        <v>5500</v>
      </c>
      <c r="F31">
        <f>LOOKUP(1,1/('[1]PURCHASE PRICE'!$A:$A=A31)/('[1]PURCHASE PRICE'!$B:$B=B31),'[1]PURCHASE PRICE'!$D:$D)</f>
        <v>5500</v>
      </c>
      <c r="G31" s="1">
        <f t="shared" si="1"/>
        <v>5500</v>
      </c>
      <c r="H31" s="1">
        <f t="shared" si="0"/>
        <v>330000</v>
      </c>
    </row>
    <row r="32" spans="1:8" x14ac:dyDescent="0.3">
      <c r="A32" s="6">
        <v>45714</v>
      </c>
      <c r="B32" t="s">
        <v>39</v>
      </c>
      <c r="C32" t="s">
        <v>9</v>
      </c>
      <c r="D32">
        <v>1200</v>
      </c>
      <c r="E32">
        <f>LOOKUP(1,1/('[1]PURCHASE PRICE'!$A:$A=A32)/('[1]PURCHASE PRICE'!$B:$B=B32)/('[1]PURCHASE PRICE'!$C:$C=C32),'[1]PURCHASE PRICE'!$D:$D)</f>
        <v>7500</v>
      </c>
      <c r="F32">
        <f>LOOKUP(1,1/('[1]PURCHASE PRICE'!$A:$A=A32)/('[1]PURCHASE PRICE'!$B:$B=B32),'[1]PURCHASE PRICE'!$D:$D)</f>
        <v>7500</v>
      </c>
      <c r="G32" s="1">
        <f t="shared" si="1"/>
        <v>7500</v>
      </c>
      <c r="H32" s="1">
        <f t="shared" si="0"/>
        <v>9000000</v>
      </c>
    </row>
    <row r="33" spans="1:8" x14ac:dyDescent="0.3">
      <c r="A33" s="6">
        <v>45714</v>
      </c>
      <c r="B33" t="s">
        <v>81</v>
      </c>
      <c r="C33" t="s">
        <v>62</v>
      </c>
      <c r="D33">
        <v>60</v>
      </c>
      <c r="E33">
        <f>LOOKUP(1,1/('[1]PURCHASE PRICE'!$A:$A=A33)/('[1]PURCHASE PRICE'!$B:$B=B33)/('[1]PURCHASE PRICE'!$C:$C=C33),'[1]PURCHASE PRICE'!$D:$D)</f>
        <v>10000</v>
      </c>
      <c r="F33">
        <f>LOOKUP(1,1/('[1]PURCHASE PRICE'!$A:$A=A33)/('[1]PURCHASE PRICE'!$B:$B=B33),'[1]PURCHASE PRICE'!$D:$D)</f>
        <v>10000</v>
      </c>
      <c r="G33" s="1">
        <f t="shared" si="1"/>
        <v>10000</v>
      </c>
      <c r="H33" s="1">
        <f t="shared" si="0"/>
        <v>600000</v>
      </c>
    </row>
    <row r="34" spans="1:8" x14ac:dyDescent="0.3">
      <c r="A34" s="6">
        <v>45714</v>
      </c>
      <c r="B34" t="s">
        <v>41</v>
      </c>
      <c r="C34" t="s">
        <v>26</v>
      </c>
      <c r="D34">
        <v>150</v>
      </c>
      <c r="E34" t="e">
        <f>LOOKUP(1,1/('[1]PURCHASE PRICE'!$A:$A=A34)/('[1]PURCHASE PRICE'!$B:$B=B34)/('[1]PURCHASE PRICE'!$C:$C=C34),'[1]PURCHASE PRICE'!$D:$D)</f>
        <v>#N/A</v>
      </c>
      <c r="F34">
        <v>11000</v>
      </c>
      <c r="G34" s="1">
        <f>+F34*0.15</f>
        <v>1650</v>
      </c>
      <c r="H34" s="1">
        <f t="shared" si="0"/>
        <v>247500</v>
      </c>
    </row>
    <row r="35" spans="1:8" x14ac:dyDescent="0.3">
      <c r="A35" s="6">
        <v>45714</v>
      </c>
      <c r="B35" t="s">
        <v>42</v>
      </c>
      <c r="C35" t="s">
        <v>62</v>
      </c>
      <c r="D35">
        <v>15</v>
      </c>
      <c r="E35">
        <f>LOOKUP(1,1/('[1]PURCHASE PRICE'!$A:$A=A35)/('[1]PURCHASE PRICE'!$B:$B=B35)/('[1]PURCHASE PRICE'!$C:$C=C35),'[1]PURCHASE PRICE'!$D:$D)</f>
        <v>25000</v>
      </c>
      <c r="F35">
        <f>LOOKUP(1,1/('[1]PURCHASE PRICE'!$A:$A=A35)/('[1]PURCHASE PRICE'!$B:$B=B35),'[1]PURCHASE PRICE'!$D:$D)</f>
        <v>25000</v>
      </c>
      <c r="G35" s="1">
        <f t="shared" si="1"/>
        <v>25000</v>
      </c>
      <c r="H35" s="1">
        <f t="shared" si="0"/>
        <v>375000</v>
      </c>
    </row>
    <row r="36" spans="1:8" x14ac:dyDescent="0.3">
      <c r="A36" s="6">
        <v>45714</v>
      </c>
      <c r="B36" t="s">
        <v>44</v>
      </c>
      <c r="C36" t="s">
        <v>22</v>
      </c>
      <c r="D36">
        <v>400</v>
      </c>
      <c r="E36">
        <f>LOOKUP(1,1/('[1]PURCHASE PRICE'!$A:$A=A36)/('[1]PURCHASE PRICE'!$B:$B=B36)/('[1]PURCHASE PRICE'!$C:$C=C36),'[1]PURCHASE PRICE'!$D:$D)</f>
        <v>2400</v>
      </c>
      <c r="F36">
        <f>LOOKUP(1,1/('[1]PURCHASE PRICE'!$A:$A=A36)/('[1]PURCHASE PRICE'!$B:$B=B36),'[1]PURCHASE PRICE'!$D:$D)</f>
        <v>2400</v>
      </c>
      <c r="G36" s="1">
        <f t="shared" si="1"/>
        <v>2400</v>
      </c>
      <c r="H36" s="1">
        <f t="shared" si="0"/>
        <v>960000</v>
      </c>
    </row>
    <row r="37" spans="1:8" x14ac:dyDescent="0.3">
      <c r="A37" s="6">
        <v>45714</v>
      </c>
      <c r="B37" t="s">
        <v>45</v>
      </c>
      <c r="C37" t="s">
        <v>62</v>
      </c>
      <c r="D37">
        <v>120</v>
      </c>
      <c r="E37">
        <f>LOOKUP(1,1/('[1]PURCHASE PRICE'!$A:$A=A37)/('[1]PURCHASE PRICE'!$B:$B=B37)/('[1]PURCHASE PRICE'!$C:$C=C37),'[1]PURCHASE PRICE'!$D:$D)</f>
        <v>35000</v>
      </c>
      <c r="F37">
        <f>LOOKUP(1,1/('[1]PURCHASE PRICE'!$A:$A=A37)/('[1]PURCHASE PRICE'!$B:$B=B37),'[1]PURCHASE PRICE'!$D:$D)</f>
        <v>35000</v>
      </c>
      <c r="G37" s="1">
        <f t="shared" si="1"/>
        <v>35000</v>
      </c>
      <c r="H37" s="1">
        <f t="shared" si="0"/>
        <v>4200000</v>
      </c>
    </row>
    <row r="38" spans="1:8" x14ac:dyDescent="0.3">
      <c r="A38" s="6">
        <v>45714</v>
      </c>
      <c r="B38" t="s">
        <v>47</v>
      </c>
      <c r="C38" t="s">
        <v>62</v>
      </c>
      <c r="D38">
        <v>10</v>
      </c>
      <c r="E38">
        <f>LOOKUP(1,1/('[1]PURCHASE PRICE'!$A:$A=A38)/('[1]PURCHASE PRICE'!$B:$B=B38)/('[1]PURCHASE PRICE'!$C:$C=C38),'[1]PURCHASE PRICE'!$D:$D)</f>
        <v>48000</v>
      </c>
      <c r="F38">
        <f>LOOKUP(1,1/('[1]PURCHASE PRICE'!$A:$A=A38)/('[1]PURCHASE PRICE'!$B:$B=B38),'[1]PURCHASE PRICE'!$D:$D)</f>
        <v>48000</v>
      </c>
      <c r="G38" s="1">
        <f t="shared" si="1"/>
        <v>48000</v>
      </c>
      <c r="H38" s="1">
        <f t="shared" si="0"/>
        <v>480000</v>
      </c>
    </row>
    <row r="39" spans="1:8" x14ac:dyDescent="0.3">
      <c r="A39" s="6">
        <v>45714</v>
      </c>
      <c r="B39" t="s">
        <v>48</v>
      </c>
      <c r="C39" t="s">
        <v>77</v>
      </c>
      <c r="D39">
        <v>160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26000</v>
      </c>
      <c r="G39" s="1">
        <f>+F39*0.25</f>
        <v>6500</v>
      </c>
      <c r="H39" s="1">
        <f t="shared" si="0"/>
        <v>1040000</v>
      </c>
    </row>
    <row r="40" spans="1:8" x14ac:dyDescent="0.3">
      <c r="A40" s="6">
        <v>45714</v>
      </c>
      <c r="B40" t="s">
        <v>49</v>
      </c>
      <c r="C40" t="s">
        <v>62</v>
      </c>
      <c r="D40">
        <v>10</v>
      </c>
      <c r="E40">
        <f>LOOKUP(1,1/('[1]PURCHASE PRICE'!$A:$A=A40)/('[1]PURCHASE PRICE'!$B:$B=B40)/('[1]PURCHASE PRICE'!$C:$C=C40),'[1]PURCHASE PRICE'!$D:$D)</f>
        <v>50000</v>
      </c>
      <c r="F40">
        <f>LOOKUP(1,1/('[1]PURCHASE PRICE'!$A:$A=A40)/('[1]PURCHASE PRICE'!$B:$B=B40),'[1]PURCHASE PRICE'!$D:$D)</f>
        <v>50000</v>
      </c>
      <c r="G40" s="1">
        <f t="shared" si="1"/>
        <v>50000</v>
      </c>
      <c r="H40" s="1">
        <f t="shared" si="0"/>
        <v>500000</v>
      </c>
    </row>
    <row r="41" spans="1:8" x14ac:dyDescent="0.3">
      <c r="A41" s="6">
        <v>45714</v>
      </c>
      <c r="B41" t="s">
        <v>50</v>
      </c>
      <c r="C41" t="s">
        <v>77</v>
      </c>
      <c r="D41">
        <v>100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26000</v>
      </c>
      <c r="G41" s="1">
        <f>+F41*0.25</f>
        <v>6500</v>
      </c>
      <c r="H41" s="1">
        <f t="shared" si="0"/>
        <v>650000</v>
      </c>
    </row>
    <row r="42" spans="1:8" x14ac:dyDescent="0.3">
      <c r="A42" s="6">
        <v>45714</v>
      </c>
      <c r="B42" t="s">
        <v>52</v>
      </c>
      <c r="C42" t="s">
        <v>77</v>
      </c>
      <c r="D42">
        <v>40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30000</v>
      </c>
      <c r="G42" s="1">
        <f>+F42*0.25</f>
        <v>7500</v>
      </c>
      <c r="H42" s="1">
        <f t="shared" si="0"/>
        <v>300000</v>
      </c>
    </row>
    <row r="43" spans="1:8" x14ac:dyDescent="0.3">
      <c r="A43" s="6">
        <v>45714</v>
      </c>
      <c r="B43" t="s">
        <v>53</v>
      </c>
      <c r="C43" t="s">
        <v>22</v>
      </c>
      <c r="D43">
        <v>200</v>
      </c>
      <c r="E43">
        <f>LOOKUP(1,1/('[1]PURCHASE PRICE'!$A:$A=A43)/('[1]PURCHASE PRICE'!$B:$B=B43)/('[1]PURCHASE PRICE'!$C:$C=C43),'[1]PURCHASE PRICE'!$D:$D)</f>
        <v>17000</v>
      </c>
      <c r="F43">
        <f>LOOKUP(1,1/('[1]PURCHASE PRICE'!$A:$A=A43)/('[1]PURCHASE PRICE'!$B:$B=B43),'[1]PURCHASE PRICE'!$D:$D)</f>
        <v>17000</v>
      </c>
      <c r="G43" s="1">
        <f t="shared" si="1"/>
        <v>17000</v>
      </c>
      <c r="H43" s="1">
        <f t="shared" si="0"/>
        <v>3400000</v>
      </c>
    </row>
    <row r="44" spans="1:8" x14ac:dyDescent="0.3">
      <c r="A44" s="6">
        <v>45714</v>
      </c>
      <c r="B44" t="s">
        <v>83</v>
      </c>
      <c r="C44" t="s">
        <v>62</v>
      </c>
      <c r="D44">
        <v>10</v>
      </c>
      <c r="E44">
        <f>LOOKUP(1,1/('[1]PURCHASE PRICE'!$A:$A=A44)/('[1]PURCHASE PRICE'!$B:$B=B44)/('[1]PURCHASE PRICE'!$C:$C=C44),'[1]PURCHASE PRICE'!$D:$D)</f>
        <v>20000</v>
      </c>
      <c r="F44">
        <f>LOOKUP(1,1/('[1]PURCHASE PRICE'!$A:$A=A44)/('[1]PURCHASE PRICE'!$B:$B=B44),'[1]PURCHASE PRICE'!$D:$D)</f>
        <v>20000</v>
      </c>
      <c r="G44" s="1">
        <f t="shared" si="1"/>
        <v>20000</v>
      </c>
      <c r="H44" s="1">
        <f t="shared" si="0"/>
        <v>200000</v>
      </c>
    </row>
    <row r="45" spans="1:8" x14ac:dyDescent="0.3">
      <c r="A45" s="6">
        <v>45714</v>
      </c>
      <c r="B45" t="s">
        <v>55</v>
      </c>
      <c r="C45" t="s">
        <v>62</v>
      </c>
      <c r="D45">
        <v>120</v>
      </c>
      <c r="E45">
        <f>LOOKUP(1,1/('[1]PURCHASE PRICE'!$A:$A=A45)/('[1]PURCHASE PRICE'!$B:$B=B45)/('[1]PURCHASE PRICE'!$C:$C=C45),'[1]PURCHASE PRICE'!$D:$D)</f>
        <v>12000</v>
      </c>
      <c r="F45">
        <f>LOOKUP(1,1/('[1]PURCHASE PRICE'!$A:$A=A45)/('[1]PURCHASE PRICE'!$B:$B=B45),'[1]PURCHASE PRICE'!$D:$D)</f>
        <v>12000</v>
      </c>
      <c r="G45" s="1">
        <f t="shared" si="1"/>
        <v>12000</v>
      </c>
      <c r="H45" s="1">
        <f t="shared" si="0"/>
        <v>1440000</v>
      </c>
    </row>
    <row r="46" spans="1:8" x14ac:dyDescent="0.3">
      <c r="A46" s="6">
        <v>45714</v>
      </c>
      <c r="B46" t="s">
        <v>56</v>
      </c>
      <c r="C46" t="s">
        <v>26</v>
      </c>
      <c r="D46">
        <v>70</v>
      </c>
      <c r="E46">
        <f>LOOKUP(1,1/('[1]PURCHASE PRICE'!$A:$A=A46)/('[1]PURCHASE PRICE'!$B:$B=B46)/('[1]PURCHASE PRICE'!$C:$C=C46),'[1]PURCHASE PRICE'!$D:$D)</f>
        <v>6800</v>
      </c>
      <c r="F46">
        <f>LOOKUP(1,1/('[1]PURCHASE PRICE'!$A:$A=A46)/('[1]PURCHASE PRICE'!$B:$B=B46),'[1]PURCHASE PRICE'!$D:$D)</f>
        <v>6800</v>
      </c>
      <c r="G46" s="1">
        <f t="shared" si="1"/>
        <v>6800</v>
      </c>
      <c r="H46" s="1">
        <f t="shared" si="0"/>
        <v>476000</v>
      </c>
    </row>
    <row r="47" spans="1:8" x14ac:dyDescent="0.3">
      <c r="A47" s="6">
        <v>45714</v>
      </c>
      <c r="B47" t="s">
        <v>96</v>
      </c>
      <c r="C47" t="s">
        <v>62</v>
      </c>
      <c r="D47">
        <v>80</v>
      </c>
      <c r="E47">
        <f>LOOKUP(1,1/('[1]PURCHASE PRICE'!$A:$A=A47)/('[1]PURCHASE PRICE'!$B:$B=B47)/('[1]PURCHASE PRICE'!$C:$C=C47),'[1]PURCHASE PRICE'!$D:$D)</f>
        <v>26000</v>
      </c>
      <c r="F47">
        <f>LOOKUP(1,1/('[1]PURCHASE PRICE'!$A:$A=A47)/('[1]PURCHASE PRICE'!$B:$B=B47),'[1]PURCHASE PRICE'!$D:$D)</f>
        <v>26000</v>
      </c>
      <c r="G47" s="1">
        <f t="shared" si="1"/>
        <v>26000</v>
      </c>
      <c r="H47" s="1">
        <f t="shared" si="0"/>
        <v>2080000</v>
      </c>
    </row>
    <row r="48" spans="1:8" x14ac:dyDescent="0.3">
      <c r="A48" s="6">
        <v>45714</v>
      </c>
      <c r="B48" t="s">
        <v>59</v>
      </c>
      <c r="C48" t="s">
        <v>62</v>
      </c>
      <c r="D48">
        <v>2</v>
      </c>
      <c r="E48">
        <f>LOOKUP(1,1/('[1]PURCHASE PRICE'!$A:$A=A48)/('[1]PURCHASE PRICE'!$B:$B=B48)/('[1]PURCHASE PRICE'!$C:$C=C48),'[1]PURCHASE PRICE'!$D:$D)</f>
        <v>70000</v>
      </c>
      <c r="F48">
        <f>LOOKUP(1,1/('[1]PURCHASE PRICE'!$A:$A=A48)/('[1]PURCHASE PRICE'!$B:$B=B48),'[1]PURCHASE PRICE'!$D:$D)</f>
        <v>70000</v>
      </c>
      <c r="G48" s="1">
        <f t="shared" si="1"/>
        <v>70000</v>
      </c>
      <c r="H48" s="1">
        <f t="shared" si="0"/>
        <v>140000</v>
      </c>
    </row>
    <row r="49" spans="1:8" x14ac:dyDescent="0.3">
      <c r="A49" s="6">
        <v>45714</v>
      </c>
      <c r="B49" t="s">
        <v>61</v>
      </c>
      <c r="C49" t="s">
        <v>26</v>
      </c>
      <c r="D49">
        <v>10</v>
      </c>
      <c r="E49">
        <f>LOOKUP(1,1/('[1]PURCHASE PRICE'!$A:$A=A49)/('[1]PURCHASE PRICE'!$B:$B=B49)/('[1]PURCHASE PRICE'!$C:$C=C49),'[1]PURCHASE PRICE'!$D:$D)</f>
        <v>7500</v>
      </c>
      <c r="F49">
        <f>LOOKUP(1,1/('[1]PURCHASE PRICE'!$A:$A=A49)/('[1]PURCHASE PRICE'!$B:$B=B49),'[1]PURCHASE PRICE'!$D:$D)</f>
        <v>7500</v>
      </c>
      <c r="G49" s="1">
        <f t="shared" si="1"/>
        <v>7500</v>
      </c>
      <c r="H49" s="1">
        <f t="shared" si="0"/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9CF-8BD5-4877-9E56-23A735288E66}">
  <dimension ref="A1:H45"/>
  <sheetViews>
    <sheetView workbookViewId="0">
      <selection activeCell="F6" sqref="F6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44751500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45715</v>
      </c>
      <c r="B3" t="s">
        <v>0</v>
      </c>
      <c r="C3" t="s">
        <v>1</v>
      </c>
      <c r="D3">
        <v>20</v>
      </c>
      <c r="E3">
        <f>LOOKUP(1,1/('[1]PURCHASE PRICE'!$A:$A=A3)/('[1]PURCHASE PRICE'!$B:$B=B3)/('[1]PURCHASE PRICE'!$C:$C=C3),'[1]PURCHASE PRICE'!$D:$D)</f>
        <v>17000</v>
      </c>
      <c r="F3">
        <f>LOOKUP(1,1/('[1]PURCHASE PRICE'!$A:$A=A3)/('[1]PURCHASE PRICE'!$B:$B=B3),'[1]PURCHASE PRICE'!$D:$D)</f>
        <v>17000</v>
      </c>
      <c r="G3" s="1">
        <f>E3</f>
        <v>17000</v>
      </c>
      <c r="H3" s="1">
        <f>+G3*D3</f>
        <v>340000</v>
      </c>
    </row>
    <row r="4" spans="1:8" x14ac:dyDescent="0.3">
      <c r="A4" s="6">
        <v>45715</v>
      </c>
      <c r="B4" t="s">
        <v>3</v>
      </c>
      <c r="C4" t="s">
        <v>77</v>
      </c>
      <c r="D4">
        <v>60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14000</v>
      </c>
      <c r="G4" s="1">
        <f>+F4*0.4</f>
        <v>5600</v>
      </c>
      <c r="H4" s="1">
        <f t="shared" ref="H4:H45" si="0">+G4*D4</f>
        <v>336000</v>
      </c>
    </row>
    <row r="5" spans="1:8" x14ac:dyDescent="0.3">
      <c r="A5" s="6">
        <v>45715</v>
      </c>
      <c r="B5" t="s">
        <v>4</v>
      </c>
      <c r="C5" t="s">
        <v>77</v>
      </c>
      <c r="D5">
        <v>400</v>
      </c>
      <c r="E5" t="e">
        <f>LOOKUP(1,1/('[1]PURCHASE PRICE'!$A:$A=A5)/('[1]PURCHASE PRICE'!$B:$B=B5)/('[1]PURCHASE PRICE'!$C:$C=C5),'[1]PURCHASE PRICE'!$D:$D)</f>
        <v>#N/A</v>
      </c>
      <c r="F5">
        <v>15000</v>
      </c>
      <c r="G5" s="1">
        <f>+F5*0.3</f>
        <v>4500</v>
      </c>
      <c r="H5" s="1">
        <f t="shared" si="0"/>
        <v>1800000</v>
      </c>
    </row>
    <row r="6" spans="1:8" x14ac:dyDescent="0.3">
      <c r="A6" s="6">
        <v>45715</v>
      </c>
      <c r="B6" t="s">
        <v>6</v>
      </c>
      <c r="C6" t="s">
        <v>77</v>
      </c>
      <c r="D6">
        <v>250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15000</v>
      </c>
      <c r="G6" s="1">
        <f>+F6*0.3</f>
        <v>4500</v>
      </c>
      <c r="H6" s="1">
        <f t="shared" si="0"/>
        <v>1125000</v>
      </c>
    </row>
    <row r="7" spans="1:8" x14ac:dyDescent="0.3">
      <c r="A7" s="6">
        <v>45715</v>
      </c>
      <c r="B7" t="s">
        <v>8</v>
      </c>
      <c r="C7" t="s">
        <v>9</v>
      </c>
      <c r="D7">
        <v>80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ref="G4:G45" si="1">E7</f>
        <v>6000</v>
      </c>
      <c r="H7" s="1">
        <f t="shared" si="0"/>
        <v>480000</v>
      </c>
    </row>
    <row r="8" spans="1:8" x14ac:dyDescent="0.3">
      <c r="A8" s="6">
        <v>45715</v>
      </c>
      <c r="B8" t="s">
        <v>78</v>
      </c>
      <c r="C8" t="s">
        <v>1</v>
      </c>
      <c r="D8">
        <v>125</v>
      </c>
      <c r="E8">
        <f>LOOKUP(1,1/('[1]PURCHASE PRICE'!$A:$A=A8)/('[1]PURCHASE PRICE'!$B:$B=B8)/('[1]PURCHASE PRICE'!$C:$C=C8),'[1]PURCHASE PRICE'!$D:$D)</f>
        <v>17000</v>
      </c>
      <c r="F8">
        <f>LOOKUP(1,1/('[1]PURCHASE PRICE'!$A:$A=A8)/('[1]PURCHASE PRICE'!$B:$B=B8),'[1]PURCHASE PRICE'!$D:$D)</f>
        <v>17000</v>
      </c>
      <c r="G8" s="1">
        <f t="shared" si="1"/>
        <v>17000</v>
      </c>
      <c r="H8" s="1">
        <f t="shared" si="0"/>
        <v>2125000</v>
      </c>
    </row>
    <row r="9" spans="1:8" x14ac:dyDescent="0.3">
      <c r="A9" s="6">
        <v>45715</v>
      </c>
      <c r="B9" t="s">
        <v>10</v>
      </c>
      <c r="C9" t="s">
        <v>79</v>
      </c>
      <c r="D9">
        <v>83</v>
      </c>
      <c r="E9">
        <f>LOOKUP(1,1/('[1]PURCHASE PRICE'!$A:$A=A9)/('[1]PURCHASE PRICE'!$B:$B=B9)/('[1]PURCHASE PRICE'!$C:$C=C9),'[1]PURCHASE PRICE'!$D:$D)</f>
        <v>8500</v>
      </c>
      <c r="F9">
        <f>LOOKUP(1,1/('[1]PURCHASE PRICE'!$A:$A=A9)/('[1]PURCHASE PRICE'!$B:$B=B9),'[1]PURCHASE PRICE'!$D:$D)</f>
        <v>8500</v>
      </c>
      <c r="G9" s="1">
        <f t="shared" si="1"/>
        <v>8500</v>
      </c>
      <c r="H9" s="1">
        <f t="shared" si="0"/>
        <v>705500</v>
      </c>
    </row>
    <row r="10" spans="1:8" x14ac:dyDescent="0.3">
      <c r="A10" s="6">
        <v>45715</v>
      </c>
      <c r="B10" t="s">
        <v>12</v>
      </c>
      <c r="C10" t="s">
        <v>13</v>
      </c>
      <c r="D10">
        <v>50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1"/>
        <v>6000</v>
      </c>
      <c r="H10" s="1">
        <f t="shared" si="0"/>
        <v>300000</v>
      </c>
    </row>
    <row r="11" spans="1:8" x14ac:dyDescent="0.3">
      <c r="A11" s="6">
        <v>45715</v>
      </c>
      <c r="B11" t="s">
        <v>14</v>
      </c>
      <c r="C11" t="s">
        <v>15</v>
      </c>
      <c r="D11">
        <v>80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1"/>
        <v>12000</v>
      </c>
      <c r="H11" s="1">
        <f t="shared" si="0"/>
        <v>960000</v>
      </c>
    </row>
    <row r="12" spans="1:8" x14ac:dyDescent="0.3">
      <c r="A12" s="6">
        <v>45715</v>
      </c>
      <c r="B12" t="s">
        <v>16</v>
      </c>
      <c r="C12" t="s">
        <v>114</v>
      </c>
      <c r="D12">
        <v>90</v>
      </c>
      <c r="E12">
        <f>LOOKUP(1,1/('[1]PURCHASE PRICE'!$A:$A=A12)/('[1]PURCHASE PRICE'!$B:$B=B12)/('[1]PURCHASE PRICE'!$C:$C=C12),'[1]PURCHASE PRICE'!$D:$D)</f>
        <v>7500</v>
      </c>
      <c r="F12">
        <f>LOOKUP(1,1/('[1]PURCHASE PRICE'!$A:$A=A12)/('[1]PURCHASE PRICE'!$B:$B=B12),'[1]PURCHASE PRICE'!$D:$D)</f>
        <v>7500</v>
      </c>
      <c r="G12" s="1">
        <f t="shared" si="1"/>
        <v>7500</v>
      </c>
      <c r="H12" s="1">
        <f t="shared" si="0"/>
        <v>675000</v>
      </c>
    </row>
    <row r="13" spans="1:8" x14ac:dyDescent="0.3">
      <c r="A13" s="6">
        <v>45715</v>
      </c>
      <c r="B13" t="s">
        <v>18</v>
      </c>
      <c r="C13" t="s">
        <v>1</v>
      </c>
      <c r="D13">
        <v>20</v>
      </c>
      <c r="E13">
        <f>LOOKUP(1,1/('[1]PURCHASE PRICE'!$A:$A=A13)/('[1]PURCHASE PRICE'!$B:$B=B13)/('[1]PURCHASE PRICE'!$C:$C=C13),'[1]PURCHASE PRICE'!$D:$D)</f>
        <v>6000</v>
      </c>
      <c r="F13">
        <f>LOOKUP(1,1/('[1]PURCHASE PRICE'!$A:$A=A13)/('[1]PURCHASE PRICE'!$B:$B=B13),'[1]PURCHASE PRICE'!$D:$D)</f>
        <v>6000</v>
      </c>
      <c r="G13" s="1">
        <f t="shared" si="1"/>
        <v>6000</v>
      </c>
      <c r="H13" s="1">
        <f t="shared" si="0"/>
        <v>120000</v>
      </c>
    </row>
    <row r="14" spans="1:8" x14ac:dyDescent="0.3">
      <c r="A14" s="6">
        <v>45715</v>
      </c>
      <c r="B14" t="s">
        <v>20</v>
      </c>
      <c r="C14" t="s">
        <v>1</v>
      </c>
      <c r="D14">
        <v>60</v>
      </c>
      <c r="E14">
        <f>LOOKUP(1,1/('[1]PURCHASE PRICE'!$A:$A=A14)/('[1]PURCHASE PRICE'!$B:$B=B14)/('[1]PURCHASE PRICE'!$C:$C=C14),'[1]PURCHASE PRICE'!$D:$D)</f>
        <v>22000</v>
      </c>
      <c r="F14">
        <f>LOOKUP(1,1/('[1]PURCHASE PRICE'!$A:$A=A14)/('[1]PURCHASE PRICE'!$B:$B=B14),'[1]PURCHASE PRICE'!$D:$D)</f>
        <v>22000</v>
      </c>
      <c r="G14" s="1">
        <f t="shared" si="1"/>
        <v>22000</v>
      </c>
      <c r="H14" s="1">
        <f t="shared" si="0"/>
        <v>1320000</v>
      </c>
    </row>
    <row r="15" spans="1:8" x14ac:dyDescent="0.3">
      <c r="A15" s="6">
        <v>45715</v>
      </c>
      <c r="B15" t="s">
        <v>21</v>
      </c>
      <c r="C15" t="s">
        <v>22</v>
      </c>
      <c r="D15">
        <v>60</v>
      </c>
      <c r="E15">
        <f>LOOKUP(1,1/('[1]PURCHASE PRICE'!$A:$A=A15)/('[1]PURCHASE PRICE'!$B:$B=B15)/('[1]PURCHASE PRICE'!$C:$C=C15),'[1]PURCHASE PRICE'!$D:$D)</f>
        <v>3300</v>
      </c>
      <c r="F15">
        <f>LOOKUP(1,1/('[1]PURCHASE PRICE'!$A:$A=A15)/('[1]PURCHASE PRICE'!$B:$B=B15),'[1]PURCHASE PRICE'!$D:$D)</f>
        <v>3300</v>
      </c>
      <c r="G15" s="1">
        <f t="shared" si="1"/>
        <v>3300</v>
      </c>
      <c r="H15" s="1">
        <f t="shared" si="0"/>
        <v>198000</v>
      </c>
    </row>
    <row r="16" spans="1:8" x14ac:dyDescent="0.3">
      <c r="A16" s="6">
        <v>45715</v>
      </c>
      <c r="B16" t="s">
        <v>21</v>
      </c>
      <c r="C16" t="s">
        <v>97</v>
      </c>
      <c r="D16">
        <v>60</v>
      </c>
      <c r="E16">
        <f>LOOKUP(1,1/('[1]PURCHASE PRICE'!$A:$A=A16)/('[1]PURCHASE PRICE'!$B:$B=B16)/('[1]PURCHASE PRICE'!$C:$C=C16),'[1]PURCHASE PRICE'!$D:$D)</f>
        <v>1900</v>
      </c>
      <c r="F16">
        <f>LOOKUP(1,1/('[1]PURCHASE PRICE'!$A:$A=A16)/('[1]PURCHASE PRICE'!$B:$B=B16),'[1]PURCHASE PRICE'!$D:$D)</f>
        <v>3300</v>
      </c>
      <c r="G16" s="1">
        <f t="shared" si="1"/>
        <v>1900</v>
      </c>
      <c r="H16" s="1">
        <f t="shared" si="0"/>
        <v>114000</v>
      </c>
    </row>
    <row r="17" spans="1:8" x14ac:dyDescent="0.3">
      <c r="A17" s="6">
        <v>45715</v>
      </c>
      <c r="B17" t="s">
        <v>25</v>
      </c>
      <c r="C17" t="s">
        <v>26</v>
      </c>
      <c r="D17">
        <v>200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10000</v>
      </c>
      <c r="G17" s="1">
        <f>+F17/2</f>
        <v>5000</v>
      </c>
      <c r="H17" s="1">
        <f t="shared" si="0"/>
        <v>1000000</v>
      </c>
    </row>
    <row r="18" spans="1:8" x14ac:dyDescent="0.3">
      <c r="A18" s="6">
        <v>45715</v>
      </c>
      <c r="B18" t="s">
        <v>27</v>
      </c>
      <c r="C18" t="s">
        <v>9</v>
      </c>
      <c r="D18">
        <v>40</v>
      </c>
      <c r="E18">
        <f>LOOKUP(1,1/('[1]PURCHASE PRICE'!$A:$A=A18)/('[1]PURCHASE PRICE'!$B:$B=B18)/('[1]PURCHASE PRICE'!$C:$C=C18),'[1]PURCHASE PRICE'!$D:$D)</f>
        <v>8000</v>
      </c>
      <c r="F18">
        <f>LOOKUP(1,1/('[1]PURCHASE PRICE'!$A:$A=A18)/('[1]PURCHASE PRICE'!$B:$B=B18),'[1]PURCHASE PRICE'!$D:$D)</f>
        <v>8000</v>
      </c>
      <c r="G18" s="1">
        <f t="shared" si="1"/>
        <v>8000</v>
      </c>
      <c r="H18" s="1">
        <f t="shared" si="0"/>
        <v>320000</v>
      </c>
    </row>
    <row r="19" spans="1:8" x14ac:dyDescent="0.3">
      <c r="A19" s="6">
        <v>45715</v>
      </c>
      <c r="B19" t="s">
        <v>28</v>
      </c>
      <c r="C19" t="s">
        <v>15</v>
      </c>
      <c r="D19">
        <v>20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0"/>
        <v>200000</v>
      </c>
    </row>
    <row r="20" spans="1:8" x14ac:dyDescent="0.3">
      <c r="A20" s="6">
        <v>45715</v>
      </c>
      <c r="B20" t="s">
        <v>33</v>
      </c>
      <c r="C20" t="s">
        <v>1</v>
      </c>
      <c r="D20">
        <v>100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27000</v>
      </c>
      <c r="H20" s="1">
        <f t="shared" si="0"/>
        <v>2700000</v>
      </c>
    </row>
    <row r="21" spans="1:8" x14ac:dyDescent="0.3">
      <c r="A21" s="6">
        <v>45715</v>
      </c>
      <c r="B21" t="s">
        <v>34</v>
      </c>
      <c r="C21" t="s">
        <v>1</v>
      </c>
      <c r="D21">
        <v>200</v>
      </c>
      <c r="E21">
        <f>LOOKUP(1,1/('[1]PURCHASE PRICE'!$A:$A=A21)/('[1]PURCHASE PRICE'!$B:$B=B21)/('[1]PURCHASE PRICE'!$C:$C=C21),'[1]PURCHASE PRICE'!$D:$D)</f>
        <v>16000</v>
      </c>
      <c r="F21">
        <f>LOOKUP(1,1/('[1]PURCHASE PRICE'!$A:$A=A21)/('[1]PURCHASE PRICE'!$B:$B=B21),'[1]PURCHASE PRICE'!$D:$D)</f>
        <v>16000</v>
      </c>
      <c r="G21" s="1">
        <f t="shared" si="1"/>
        <v>16000</v>
      </c>
      <c r="H21" s="1">
        <f t="shared" si="0"/>
        <v>3200000</v>
      </c>
    </row>
    <row r="22" spans="1:8" x14ac:dyDescent="0.3">
      <c r="A22" s="6">
        <v>45715</v>
      </c>
      <c r="B22" t="s">
        <v>98</v>
      </c>
      <c r="C22" t="s">
        <v>1</v>
      </c>
      <c r="D22">
        <v>20</v>
      </c>
      <c r="E22">
        <f>LOOKUP(1,1/('[1]PURCHASE PRICE'!$A:$A=A22)/('[1]PURCHASE PRICE'!$B:$B=B22)/('[1]PURCHASE PRICE'!$C:$C=C22),'[1]PURCHASE PRICE'!$D:$D)</f>
        <v>25000</v>
      </c>
      <c r="F22">
        <f>LOOKUP(1,1/('[1]PURCHASE PRICE'!$A:$A=A22)/('[1]PURCHASE PRICE'!$B:$B=B22),'[1]PURCHASE PRICE'!$D:$D)</f>
        <v>25000</v>
      </c>
      <c r="G22" s="1">
        <f t="shared" si="1"/>
        <v>25000</v>
      </c>
      <c r="H22" s="1">
        <f t="shared" si="0"/>
        <v>500000</v>
      </c>
    </row>
    <row r="23" spans="1:8" x14ac:dyDescent="0.3">
      <c r="A23" s="6">
        <v>45715</v>
      </c>
      <c r="B23" t="s">
        <v>35</v>
      </c>
      <c r="C23" t="s">
        <v>1</v>
      </c>
      <c r="D23">
        <v>40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10800</v>
      </c>
      <c r="H23" s="1">
        <f t="shared" si="0"/>
        <v>432000</v>
      </c>
    </row>
    <row r="24" spans="1:8" x14ac:dyDescent="0.3">
      <c r="A24" s="6">
        <v>45715</v>
      </c>
      <c r="B24" t="s">
        <v>37</v>
      </c>
      <c r="C24" t="s">
        <v>31</v>
      </c>
      <c r="D24">
        <v>50</v>
      </c>
      <c r="E24">
        <f>LOOKUP(1,1/('[1]PURCHASE PRICE'!$A:$A=A24)/('[1]PURCHASE PRICE'!$B:$B=B24)/('[1]PURCHASE PRICE'!$C:$C=C24),'[1]PURCHASE PRICE'!$D:$D)</f>
        <v>5500</v>
      </c>
      <c r="F24">
        <f>LOOKUP(1,1/('[1]PURCHASE PRICE'!$A:$A=A24)/('[1]PURCHASE PRICE'!$B:$B=B24),'[1]PURCHASE PRICE'!$D:$D)</f>
        <v>6500</v>
      </c>
      <c r="G24" s="1">
        <f t="shared" si="1"/>
        <v>5500</v>
      </c>
      <c r="H24" s="1">
        <f t="shared" si="0"/>
        <v>275000</v>
      </c>
    </row>
    <row r="25" spans="1:8" x14ac:dyDescent="0.3">
      <c r="A25" s="6">
        <v>45715</v>
      </c>
      <c r="B25" t="s">
        <v>39</v>
      </c>
      <c r="C25" t="s">
        <v>9</v>
      </c>
      <c r="D25">
        <v>490</v>
      </c>
      <c r="E25">
        <f>LOOKUP(1,1/('[1]PURCHASE PRICE'!$A:$A=A25)/('[1]PURCHASE PRICE'!$B:$B=B25)/('[1]PURCHASE PRICE'!$C:$C=C25),'[1]PURCHASE PRICE'!$D:$D)</f>
        <v>7500</v>
      </c>
      <c r="F25">
        <f>LOOKUP(1,1/('[1]PURCHASE PRICE'!$A:$A=A25)/('[1]PURCHASE PRICE'!$B:$B=B25),'[1]PURCHASE PRICE'!$D:$D)</f>
        <v>9500</v>
      </c>
      <c r="G25" s="1">
        <f t="shared" si="1"/>
        <v>7500</v>
      </c>
      <c r="H25" s="1">
        <f t="shared" si="0"/>
        <v>3675000</v>
      </c>
    </row>
    <row r="26" spans="1:8" x14ac:dyDescent="0.3">
      <c r="A26" s="6">
        <v>45715</v>
      </c>
      <c r="B26" t="s">
        <v>40</v>
      </c>
      <c r="C26" t="s">
        <v>22</v>
      </c>
      <c r="D26">
        <v>32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15000</v>
      </c>
      <c r="G26" s="1">
        <f>+F26*0.6</f>
        <v>9000</v>
      </c>
      <c r="H26" s="1">
        <f t="shared" si="0"/>
        <v>288000</v>
      </c>
    </row>
    <row r="27" spans="1:8" x14ac:dyDescent="0.3">
      <c r="A27" s="6">
        <v>45715</v>
      </c>
      <c r="B27" t="s">
        <v>41</v>
      </c>
      <c r="C27" t="s">
        <v>26</v>
      </c>
      <c r="D27">
        <v>120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11000</v>
      </c>
      <c r="G27" s="1">
        <f>+F27*0.15</f>
        <v>1650</v>
      </c>
      <c r="H27" s="1">
        <f t="shared" si="0"/>
        <v>198000</v>
      </c>
    </row>
    <row r="28" spans="1:8" x14ac:dyDescent="0.3">
      <c r="A28" s="6">
        <v>45715</v>
      </c>
      <c r="B28" t="s">
        <v>42</v>
      </c>
      <c r="C28" t="s">
        <v>1</v>
      </c>
      <c r="D28">
        <v>10</v>
      </c>
      <c r="E28">
        <f>LOOKUP(1,1/('[1]PURCHASE PRICE'!$A:$A=A28)/('[1]PURCHASE PRICE'!$B:$B=B28)/('[1]PURCHASE PRICE'!$C:$C=C28),'[1]PURCHASE PRICE'!$D:$D)</f>
        <v>25000</v>
      </c>
      <c r="F28">
        <f>LOOKUP(1,1/('[1]PURCHASE PRICE'!$A:$A=A28)/('[1]PURCHASE PRICE'!$B:$B=B28),'[1]PURCHASE PRICE'!$D:$D)</f>
        <v>25000</v>
      </c>
      <c r="G28" s="1">
        <f t="shared" si="1"/>
        <v>25000</v>
      </c>
      <c r="H28" s="1">
        <f t="shared" si="0"/>
        <v>250000</v>
      </c>
    </row>
    <row r="29" spans="1:8" x14ac:dyDescent="0.3">
      <c r="A29" s="6">
        <v>45715</v>
      </c>
      <c r="B29" t="s">
        <v>43</v>
      </c>
      <c r="C29" t="s">
        <v>22</v>
      </c>
      <c r="D29">
        <v>10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130000</v>
      </c>
      <c r="G29" s="1">
        <f>+F29/20</f>
        <v>6500</v>
      </c>
      <c r="H29" s="1">
        <f t="shared" si="0"/>
        <v>65000</v>
      </c>
    </row>
    <row r="30" spans="1:8" x14ac:dyDescent="0.3">
      <c r="A30" s="6">
        <v>45715</v>
      </c>
      <c r="B30" t="s">
        <v>44</v>
      </c>
      <c r="C30" t="s">
        <v>22</v>
      </c>
      <c r="D30">
        <v>200</v>
      </c>
      <c r="E30">
        <f>LOOKUP(1,1/('[1]PURCHASE PRICE'!$A:$A=A30)/('[1]PURCHASE PRICE'!$B:$B=B30)/('[1]PURCHASE PRICE'!$C:$C=C30),'[1]PURCHASE PRICE'!$D:$D)</f>
        <v>2400</v>
      </c>
      <c r="F30">
        <f>LOOKUP(1,1/('[1]PURCHASE PRICE'!$A:$A=A30)/('[1]PURCHASE PRICE'!$B:$B=B30),'[1]PURCHASE PRICE'!$D:$D)</f>
        <v>2400</v>
      </c>
      <c r="G30" s="1">
        <f t="shared" si="1"/>
        <v>2400</v>
      </c>
      <c r="H30" s="1">
        <f t="shared" si="0"/>
        <v>480000</v>
      </c>
    </row>
    <row r="31" spans="1:8" x14ac:dyDescent="0.3">
      <c r="A31" s="6">
        <v>45715</v>
      </c>
      <c r="B31" t="s">
        <v>109</v>
      </c>
      <c r="C31" t="s">
        <v>22</v>
      </c>
      <c r="D31">
        <v>5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80000</v>
      </c>
      <c r="G31" s="1">
        <f>+F31/20</f>
        <v>4000</v>
      </c>
      <c r="H31" s="1">
        <f t="shared" si="0"/>
        <v>20000</v>
      </c>
    </row>
    <row r="32" spans="1:8" x14ac:dyDescent="0.3">
      <c r="A32" s="6">
        <v>45715</v>
      </c>
      <c r="B32" t="s">
        <v>82</v>
      </c>
      <c r="C32" t="s">
        <v>22</v>
      </c>
      <c r="D32">
        <v>60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32000</v>
      </c>
      <c r="G32" s="1">
        <f>+F32/20</f>
        <v>1600</v>
      </c>
      <c r="H32" s="1">
        <f t="shared" si="0"/>
        <v>96000</v>
      </c>
    </row>
    <row r="33" spans="1:8" x14ac:dyDescent="0.3">
      <c r="A33" s="6">
        <v>45715</v>
      </c>
      <c r="B33" t="s">
        <v>45</v>
      </c>
      <c r="C33" t="s">
        <v>1</v>
      </c>
      <c r="D33">
        <v>100</v>
      </c>
      <c r="E33">
        <f>LOOKUP(1,1/('[1]PURCHASE PRICE'!$A:$A=A33)/('[1]PURCHASE PRICE'!$B:$B=B33)/('[1]PURCHASE PRICE'!$C:$C=C33),'[1]PURCHASE PRICE'!$D:$D)</f>
        <v>35000</v>
      </c>
      <c r="F33">
        <f>LOOKUP(1,1/('[1]PURCHASE PRICE'!$A:$A=A33)/('[1]PURCHASE PRICE'!$B:$B=B33),'[1]PURCHASE PRICE'!$D:$D)</f>
        <v>35000</v>
      </c>
      <c r="G33" s="1">
        <f t="shared" si="1"/>
        <v>35000</v>
      </c>
      <c r="H33" s="1">
        <f t="shared" si="0"/>
        <v>3500000</v>
      </c>
    </row>
    <row r="34" spans="1:8" x14ac:dyDescent="0.3">
      <c r="A34" s="6">
        <v>45715</v>
      </c>
      <c r="B34" t="s">
        <v>47</v>
      </c>
      <c r="C34" t="s">
        <v>1</v>
      </c>
      <c r="D34">
        <v>20</v>
      </c>
      <c r="E34">
        <f>LOOKUP(1,1/('[1]PURCHASE PRICE'!$A:$A=A34)/('[1]PURCHASE PRICE'!$B:$B=B34)/('[1]PURCHASE PRICE'!$C:$C=C34),'[1]PURCHASE PRICE'!$D:$D)</f>
        <v>28000</v>
      </c>
      <c r="F34">
        <f>LOOKUP(1,1/('[1]PURCHASE PRICE'!$A:$A=A34)/('[1]PURCHASE PRICE'!$B:$B=B34),'[1]PURCHASE PRICE'!$D:$D)</f>
        <v>28000</v>
      </c>
      <c r="G34" s="1">
        <f t="shared" si="1"/>
        <v>28000</v>
      </c>
      <c r="H34" s="1">
        <f t="shared" si="0"/>
        <v>560000</v>
      </c>
    </row>
    <row r="35" spans="1:8" x14ac:dyDescent="0.3">
      <c r="A35" s="6">
        <v>45715</v>
      </c>
      <c r="B35" t="s">
        <v>48</v>
      </c>
      <c r="C35" t="s">
        <v>11</v>
      </c>
      <c r="D35">
        <v>60</v>
      </c>
      <c r="E35">
        <f>LOOKUP(1,1/('[1]PURCHASE PRICE'!$A:$A=A35)/('[1]PURCHASE PRICE'!$B:$B=B35)/('[1]PURCHASE PRICE'!$C:$C=C35),'[1]PURCHASE PRICE'!$D:$D)</f>
        <v>20000</v>
      </c>
      <c r="F35">
        <f>LOOKUP(1,1/('[1]PURCHASE PRICE'!$A:$A=A35)/('[1]PURCHASE PRICE'!$B:$B=B35),'[1]PURCHASE PRICE'!$D:$D)</f>
        <v>20000</v>
      </c>
      <c r="G35" s="1">
        <f t="shared" si="1"/>
        <v>20000</v>
      </c>
      <c r="H35" s="1">
        <f t="shared" si="0"/>
        <v>1200000</v>
      </c>
    </row>
    <row r="36" spans="1:8" x14ac:dyDescent="0.3">
      <c r="A36" s="6">
        <v>45715</v>
      </c>
      <c r="B36" t="s">
        <v>48</v>
      </c>
      <c r="C36" t="s">
        <v>77</v>
      </c>
      <c r="D36">
        <v>300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20000</v>
      </c>
      <c r="G36" s="1">
        <f>+F36*0.25</f>
        <v>5000</v>
      </c>
      <c r="H36" s="1">
        <f t="shared" si="0"/>
        <v>1500000</v>
      </c>
    </row>
    <row r="37" spans="1:8" x14ac:dyDescent="0.3">
      <c r="A37" s="6">
        <v>45715</v>
      </c>
      <c r="B37" t="s">
        <v>49</v>
      </c>
      <c r="C37" t="s">
        <v>1</v>
      </c>
      <c r="D37">
        <v>12</v>
      </c>
      <c r="E37">
        <f>LOOKUP(1,1/('[1]PURCHASE PRICE'!$A:$A=A37)/('[1]PURCHASE PRICE'!$B:$B=B37)/('[1]PURCHASE PRICE'!$C:$C=C37),'[1]PURCHASE PRICE'!$D:$D)</f>
        <v>50000</v>
      </c>
      <c r="F37">
        <f>LOOKUP(1,1/('[1]PURCHASE PRICE'!$A:$A=A37)/('[1]PURCHASE PRICE'!$B:$B=B37),'[1]PURCHASE PRICE'!$D:$D)</f>
        <v>50000</v>
      </c>
      <c r="G37" s="1">
        <f t="shared" si="1"/>
        <v>50000</v>
      </c>
      <c r="H37" s="1">
        <f t="shared" si="0"/>
        <v>600000</v>
      </c>
    </row>
    <row r="38" spans="1:8" x14ac:dyDescent="0.3">
      <c r="A38" s="6">
        <v>45715</v>
      </c>
      <c r="B38" t="s">
        <v>50</v>
      </c>
      <c r="C38" t="s">
        <v>11</v>
      </c>
      <c r="D38">
        <v>75</v>
      </c>
      <c r="E38">
        <f>LOOKUP(1,1/('[1]PURCHASE PRICE'!$A:$A=A38)/('[1]PURCHASE PRICE'!$B:$B=B38)/('[1]PURCHASE PRICE'!$C:$C=C38),'[1]PURCHASE PRICE'!$D:$D)</f>
        <v>23000</v>
      </c>
      <c r="F38">
        <f>LOOKUP(1,1/('[1]PURCHASE PRICE'!$A:$A=A38)/('[1]PURCHASE PRICE'!$B:$B=B38),'[1]PURCHASE PRICE'!$D:$D)</f>
        <v>23000</v>
      </c>
      <c r="G38" s="1">
        <f t="shared" si="1"/>
        <v>23000</v>
      </c>
      <c r="H38" s="1">
        <f t="shared" si="0"/>
        <v>1725000</v>
      </c>
    </row>
    <row r="39" spans="1:8" x14ac:dyDescent="0.3">
      <c r="A39" s="6">
        <v>45715</v>
      </c>
      <c r="B39" t="s">
        <v>50</v>
      </c>
      <c r="C39" t="s">
        <v>77</v>
      </c>
      <c r="D39">
        <v>100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23000</v>
      </c>
      <c r="G39" s="1">
        <f>+F39*0.25</f>
        <v>5750</v>
      </c>
      <c r="H39" s="1">
        <f t="shared" si="0"/>
        <v>575000</v>
      </c>
    </row>
    <row r="40" spans="1:8" x14ac:dyDescent="0.3">
      <c r="A40" s="6">
        <v>45715</v>
      </c>
      <c r="B40" t="s">
        <v>52</v>
      </c>
      <c r="C40" t="s">
        <v>77</v>
      </c>
      <c r="D40">
        <v>200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27000</v>
      </c>
      <c r="G40" s="1">
        <f>+F40*0.25</f>
        <v>6750</v>
      </c>
      <c r="H40" s="1">
        <f t="shared" si="0"/>
        <v>1350000</v>
      </c>
    </row>
    <row r="41" spans="1:8" x14ac:dyDescent="0.3">
      <c r="A41" s="6">
        <v>45715</v>
      </c>
      <c r="B41" t="s">
        <v>53</v>
      </c>
      <c r="C41" t="s">
        <v>22</v>
      </c>
      <c r="D41">
        <v>300</v>
      </c>
      <c r="E41">
        <f>LOOKUP(1,1/('[1]PURCHASE PRICE'!$A:$A=A41)/('[1]PURCHASE PRICE'!$B:$B=B41)/('[1]PURCHASE PRICE'!$C:$C=C41),'[1]PURCHASE PRICE'!$D:$D)</f>
        <v>17000</v>
      </c>
      <c r="F41">
        <f>LOOKUP(1,1/('[1]PURCHASE PRICE'!$A:$A=A41)/('[1]PURCHASE PRICE'!$B:$B=B41),'[1]PURCHASE PRICE'!$D:$D)</f>
        <v>17000</v>
      </c>
      <c r="G41" s="1">
        <f t="shared" si="1"/>
        <v>17000</v>
      </c>
      <c r="H41" s="1">
        <f t="shared" si="0"/>
        <v>5100000</v>
      </c>
    </row>
    <row r="42" spans="1:8" x14ac:dyDescent="0.3">
      <c r="A42" s="6">
        <v>45715</v>
      </c>
      <c r="B42" t="s">
        <v>55</v>
      </c>
      <c r="C42" t="s">
        <v>1</v>
      </c>
      <c r="D42">
        <v>100</v>
      </c>
      <c r="E42">
        <f>LOOKUP(1,1/('[1]PURCHASE PRICE'!$A:$A=A42)/('[1]PURCHASE PRICE'!$B:$B=B42)/('[1]PURCHASE PRICE'!$C:$C=C42),'[1]PURCHASE PRICE'!$D:$D)</f>
        <v>13000</v>
      </c>
      <c r="F42">
        <f>LOOKUP(1,1/('[1]PURCHASE PRICE'!$A:$A=A42)/('[1]PURCHASE PRICE'!$B:$B=B42),'[1]PURCHASE PRICE'!$D:$D)</f>
        <v>13000</v>
      </c>
      <c r="G42" s="1">
        <f t="shared" si="1"/>
        <v>13000</v>
      </c>
      <c r="H42" s="1">
        <f t="shared" si="0"/>
        <v>1300000</v>
      </c>
    </row>
    <row r="43" spans="1:8" x14ac:dyDescent="0.3">
      <c r="A43" s="6">
        <v>45715</v>
      </c>
      <c r="B43" t="s">
        <v>56</v>
      </c>
      <c r="C43" t="s">
        <v>26</v>
      </c>
      <c r="D43">
        <v>80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 s="1">
        <f t="shared" si="1"/>
        <v>6800</v>
      </c>
      <c r="H43" s="1">
        <f t="shared" si="0"/>
        <v>544000</v>
      </c>
    </row>
    <row r="44" spans="1:8" x14ac:dyDescent="0.3">
      <c r="A44" s="6">
        <v>45715</v>
      </c>
      <c r="B44" t="s">
        <v>96</v>
      </c>
      <c r="C44" t="s">
        <v>1</v>
      </c>
      <c r="D44">
        <v>100</v>
      </c>
      <c r="E44">
        <f>LOOKUP(1,1/('[1]PURCHASE PRICE'!$A:$A=A44)/('[1]PURCHASE PRICE'!$B:$B=B44)/('[1]PURCHASE PRICE'!$C:$C=C44),'[1]PURCHASE PRICE'!$D:$D)</f>
        <v>21000</v>
      </c>
      <c r="F44">
        <f>LOOKUP(1,1/('[1]PURCHASE PRICE'!$A:$A=A44)/('[1]PURCHASE PRICE'!$B:$B=B44),'[1]PURCHASE PRICE'!$D:$D)</f>
        <v>21000</v>
      </c>
      <c r="G44" s="1">
        <f t="shared" si="1"/>
        <v>21000</v>
      </c>
      <c r="H44" s="1">
        <f t="shared" si="0"/>
        <v>2100000</v>
      </c>
    </row>
    <row r="45" spans="1:8" x14ac:dyDescent="0.3">
      <c r="A45" s="6">
        <v>45715</v>
      </c>
      <c r="B45" t="s">
        <v>58</v>
      </c>
      <c r="C45" t="s">
        <v>1</v>
      </c>
      <c r="D45">
        <v>40</v>
      </c>
      <c r="E45">
        <f>LOOKUP(1,1/('[1]PURCHASE PRICE'!$A:$A=A45)/('[1]PURCHASE PRICE'!$B:$B=B45)/('[1]PURCHASE PRICE'!$C:$C=C45),'[1]PURCHASE PRICE'!$D:$D)</f>
        <v>10000</v>
      </c>
      <c r="F45">
        <f>LOOKUP(1,1/('[1]PURCHASE PRICE'!$A:$A=A45)/('[1]PURCHASE PRICE'!$B:$B=B45),'[1]PURCHASE PRICE'!$D:$D)</f>
        <v>10000</v>
      </c>
      <c r="G45" s="1">
        <f t="shared" si="1"/>
        <v>10000</v>
      </c>
      <c r="H45" s="1">
        <f t="shared" si="0"/>
        <v>400000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E92E-4F2E-40B3-A6DC-4830B36AFCFF}">
  <dimension ref="A1:H45"/>
  <sheetViews>
    <sheetView tabSelected="1" topLeftCell="A25" workbookViewId="0">
      <selection activeCell="G37" sqref="G37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4.88671875" bestFit="1" customWidth="1"/>
  </cols>
  <sheetData>
    <row r="1" spans="1:8" x14ac:dyDescent="0.3">
      <c r="G1" s="1"/>
      <c r="H1" s="2">
        <f>SUM(H3:H64)</f>
        <v>57529000</v>
      </c>
    </row>
    <row r="2" spans="1:8" x14ac:dyDescent="0.3">
      <c r="A2" s="3" t="s">
        <v>67</v>
      </c>
      <c r="B2" s="3" t="s">
        <v>68</v>
      </c>
      <c r="C2" s="4" t="s">
        <v>69</v>
      </c>
      <c r="D2" s="3" t="s">
        <v>70</v>
      </c>
      <c r="E2" s="5" t="s">
        <v>71</v>
      </c>
      <c r="F2" s="5" t="s">
        <v>72</v>
      </c>
      <c r="G2" s="5" t="s">
        <v>73</v>
      </c>
      <c r="H2" s="5" t="s">
        <v>74</v>
      </c>
    </row>
    <row r="3" spans="1:8" x14ac:dyDescent="0.3">
      <c r="A3" s="6">
        <v>45716</v>
      </c>
      <c r="B3" t="s">
        <v>2</v>
      </c>
      <c r="C3" t="s">
        <v>62</v>
      </c>
      <c r="D3">
        <v>10</v>
      </c>
      <c r="E3">
        <f>LOOKUP(1,1/('[1]PURCHASE PRICE'!$A:$A=A3)/('[1]PURCHASE PRICE'!$B:$B=B3)/('[1]PURCHASE PRICE'!$C:$C=C3),'[1]PURCHASE PRICE'!$D:$D)</f>
        <v>5000</v>
      </c>
      <c r="F3">
        <f>LOOKUP(1,1/('[1]PURCHASE PRICE'!$A:$A=A3)/('[1]PURCHASE PRICE'!$B:$B=B3),'[1]PURCHASE PRICE'!$D:$D)</f>
        <v>5000</v>
      </c>
      <c r="G3" s="1">
        <f>E3</f>
        <v>5000</v>
      </c>
      <c r="H3" s="1">
        <f>+G3*D3</f>
        <v>50000</v>
      </c>
    </row>
    <row r="4" spans="1:8" x14ac:dyDescent="0.3">
      <c r="A4" s="6">
        <v>45716</v>
      </c>
      <c r="B4" t="s">
        <v>3</v>
      </c>
      <c r="C4" t="s">
        <v>77</v>
      </c>
      <c r="D4">
        <v>60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12000</v>
      </c>
      <c r="G4" s="1">
        <f>+F4*0.4</f>
        <v>4800</v>
      </c>
      <c r="H4" s="1">
        <f t="shared" ref="H4:H45" si="0">+G4*D4</f>
        <v>288000</v>
      </c>
    </row>
    <row r="5" spans="1:8" x14ac:dyDescent="0.3">
      <c r="A5" s="6">
        <v>45716</v>
      </c>
      <c r="B5" t="s">
        <v>108</v>
      </c>
      <c r="C5" t="s">
        <v>62</v>
      </c>
      <c r="D5">
        <v>40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11000</v>
      </c>
      <c r="H5" s="1">
        <f t="shared" si="0"/>
        <v>440000</v>
      </c>
    </row>
    <row r="6" spans="1:8" x14ac:dyDescent="0.3">
      <c r="A6" s="6">
        <v>45716</v>
      </c>
      <c r="B6" t="s">
        <v>4</v>
      </c>
      <c r="C6" t="s">
        <v>77</v>
      </c>
      <c r="D6">
        <v>240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14500</v>
      </c>
      <c r="G6" s="1">
        <f>+F6*0.3</f>
        <v>4350</v>
      </c>
      <c r="H6" s="1">
        <f t="shared" si="0"/>
        <v>1044000</v>
      </c>
    </row>
    <row r="7" spans="1:8" x14ac:dyDescent="0.3">
      <c r="A7" s="6">
        <v>45716</v>
      </c>
      <c r="B7" t="s">
        <v>6</v>
      </c>
      <c r="C7" t="s">
        <v>77</v>
      </c>
      <c r="D7">
        <v>300</v>
      </c>
      <c r="E7" t="e">
        <f>LOOKUP(1,1/('[1]PURCHASE PRICE'!$A:$A=A7)/('[1]PURCHASE PRICE'!$B:$B=B7)/('[1]PURCHASE PRICE'!$C:$C=C7),'[1]PURCHASE PRICE'!$D:$D)</f>
        <v>#N/A</v>
      </c>
      <c r="F7">
        <v>15000</v>
      </c>
      <c r="G7" s="1">
        <f>+F7*0.3</f>
        <v>4500</v>
      </c>
      <c r="H7" s="1">
        <f t="shared" si="0"/>
        <v>1350000</v>
      </c>
    </row>
    <row r="8" spans="1:8" x14ac:dyDescent="0.3">
      <c r="A8" s="6">
        <v>45716</v>
      </c>
      <c r="B8" t="s">
        <v>8</v>
      </c>
      <c r="C8" t="s">
        <v>9</v>
      </c>
      <c r="D8">
        <v>30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ref="G4:G45" si="1">E8</f>
        <v>6000</v>
      </c>
      <c r="H8" s="1">
        <f t="shared" si="0"/>
        <v>180000</v>
      </c>
    </row>
    <row r="9" spans="1:8" x14ac:dyDescent="0.3">
      <c r="A9" s="6">
        <v>45716</v>
      </c>
      <c r="B9" t="s">
        <v>78</v>
      </c>
      <c r="C9" t="s">
        <v>62</v>
      </c>
      <c r="D9">
        <v>120</v>
      </c>
      <c r="E9">
        <f>LOOKUP(1,1/('[1]PURCHASE PRICE'!$A:$A=A9)/('[1]PURCHASE PRICE'!$B:$B=B9)/('[1]PURCHASE PRICE'!$C:$C=C9),'[1]PURCHASE PRICE'!$D:$D)</f>
        <v>16000</v>
      </c>
      <c r="F9">
        <f>LOOKUP(1,1/('[1]PURCHASE PRICE'!$A:$A=A9)/('[1]PURCHASE PRICE'!$B:$B=B9),'[1]PURCHASE PRICE'!$D:$D)</f>
        <v>16000</v>
      </c>
      <c r="G9" s="1">
        <f t="shared" si="1"/>
        <v>16000</v>
      </c>
      <c r="H9" s="1">
        <f t="shared" si="0"/>
        <v>1920000</v>
      </c>
    </row>
    <row r="10" spans="1:8" x14ac:dyDescent="0.3">
      <c r="A10" s="6">
        <v>45716</v>
      </c>
      <c r="B10" t="s">
        <v>10</v>
      </c>
      <c r="C10" t="s">
        <v>79</v>
      </c>
      <c r="D10">
        <v>100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14000</v>
      </c>
      <c r="G10" s="1">
        <f t="shared" si="1"/>
        <v>8000</v>
      </c>
      <c r="H10" s="1">
        <f t="shared" si="0"/>
        <v>800000</v>
      </c>
    </row>
    <row r="11" spans="1:8" x14ac:dyDescent="0.3">
      <c r="A11" s="6">
        <v>45716</v>
      </c>
      <c r="B11" t="s">
        <v>12</v>
      </c>
      <c r="C11" t="s">
        <v>13</v>
      </c>
      <c r="D11">
        <v>150</v>
      </c>
      <c r="E11">
        <f>LOOKUP(1,1/('[1]PURCHASE PRICE'!$A:$A=A11)/('[1]PURCHASE PRICE'!$B:$B=B11)/('[1]PURCHASE PRICE'!$C:$C=C11),'[1]PURCHASE PRICE'!$D:$D)</f>
        <v>6000</v>
      </c>
      <c r="F11">
        <f>LOOKUP(1,1/('[1]PURCHASE PRICE'!$A:$A=A11)/('[1]PURCHASE PRICE'!$B:$B=B11),'[1]PURCHASE PRICE'!$D:$D)</f>
        <v>6000</v>
      </c>
      <c r="G11" s="1">
        <f t="shared" si="1"/>
        <v>6000</v>
      </c>
      <c r="H11" s="1">
        <f t="shared" si="0"/>
        <v>900000</v>
      </c>
    </row>
    <row r="12" spans="1:8" x14ac:dyDescent="0.3">
      <c r="A12" s="6">
        <v>45716</v>
      </c>
      <c r="B12" t="s">
        <v>14</v>
      </c>
      <c r="C12" t="s">
        <v>15</v>
      </c>
      <c r="D12">
        <v>60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">
        <f t="shared" si="1"/>
        <v>12000</v>
      </c>
      <c r="H12" s="1">
        <f t="shared" si="0"/>
        <v>720000</v>
      </c>
    </row>
    <row r="13" spans="1:8" x14ac:dyDescent="0.3">
      <c r="A13" s="6">
        <v>45716</v>
      </c>
      <c r="B13" t="s">
        <v>16</v>
      </c>
      <c r="C13" t="s">
        <v>13</v>
      </c>
      <c r="D13">
        <v>150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7500</v>
      </c>
      <c r="G13" s="1">
        <f t="shared" si="1"/>
        <v>12000</v>
      </c>
      <c r="H13" s="1">
        <f t="shared" si="0"/>
        <v>1800000</v>
      </c>
    </row>
    <row r="14" spans="1:8" x14ac:dyDescent="0.3">
      <c r="A14" s="6">
        <v>45716</v>
      </c>
      <c r="B14" t="s">
        <v>17</v>
      </c>
      <c r="C14" t="s">
        <v>62</v>
      </c>
      <c r="D14">
        <v>60</v>
      </c>
      <c r="E14">
        <f>LOOKUP(1,1/('[1]PURCHASE PRICE'!$A:$A=A14)/('[1]PURCHASE PRICE'!$B:$B=B14)/('[1]PURCHASE PRICE'!$C:$C=C14),'[1]PURCHASE PRICE'!$D:$D)</f>
        <v>14000</v>
      </c>
      <c r="F14">
        <f>LOOKUP(1,1/('[1]PURCHASE PRICE'!$A:$A=A14)/('[1]PURCHASE PRICE'!$B:$B=B14),'[1]PURCHASE PRICE'!$D:$D)</f>
        <v>14000</v>
      </c>
      <c r="G14" s="1">
        <f t="shared" si="1"/>
        <v>14000</v>
      </c>
      <c r="H14" s="1">
        <f t="shared" si="0"/>
        <v>840000</v>
      </c>
    </row>
    <row r="15" spans="1:8" x14ac:dyDescent="0.3">
      <c r="A15" s="6">
        <v>45716</v>
      </c>
      <c r="B15" t="s">
        <v>20</v>
      </c>
      <c r="C15" t="s">
        <v>62</v>
      </c>
      <c r="D15">
        <v>80</v>
      </c>
      <c r="E15">
        <f>LOOKUP(1,1/('[1]PURCHASE PRICE'!$A:$A=A15)/('[1]PURCHASE PRICE'!$B:$B=B15)/('[1]PURCHASE PRICE'!$C:$C=C15),'[1]PURCHASE PRICE'!$D:$D)</f>
        <v>24000</v>
      </c>
      <c r="F15">
        <f>LOOKUP(1,1/('[1]PURCHASE PRICE'!$A:$A=A15)/('[1]PURCHASE PRICE'!$B:$B=B15),'[1]PURCHASE PRICE'!$D:$D)</f>
        <v>24000</v>
      </c>
      <c r="G15" s="1">
        <f t="shared" si="1"/>
        <v>24000</v>
      </c>
      <c r="H15" s="1">
        <f t="shared" si="0"/>
        <v>1920000</v>
      </c>
    </row>
    <row r="16" spans="1:8" x14ac:dyDescent="0.3">
      <c r="A16" s="6">
        <v>45716</v>
      </c>
      <c r="B16" t="s">
        <v>21</v>
      </c>
      <c r="C16" t="s">
        <v>22</v>
      </c>
      <c r="D16">
        <v>80</v>
      </c>
      <c r="E16">
        <f>LOOKUP(1,1/('[1]PURCHASE PRICE'!$A:$A=A16)/('[1]PURCHASE PRICE'!$B:$B=B16)/('[1]PURCHASE PRICE'!$C:$C=C16),'[1]PURCHASE PRICE'!$D:$D)</f>
        <v>3500</v>
      </c>
      <c r="F16">
        <f>LOOKUP(1,1/('[1]PURCHASE PRICE'!$A:$A=A16)/('[1]PURCHASE PRICE'!$B:$B=B16),'[1]PURCHASE PRICE'!$D:$D)</f>
        <v>3500</v>
      </c>
      <c r="G16" s="1">
        <f t="shared" si="1"/>
        <v>3500</v>
      </c>
      <c r="H16" s="1">
        <f t="shared" si="0"/>
        <v>280000</v>
      </c>
    </row>
    <row r="17" spans="1:8" x14ac:dyDescent="0.3">
      <c r="A17" s="6">
        <v>45716</v>
      </c>
      <c r="B17" t="s">
        <v>21</v>
      </c>
      <c r="C17" t="s">
        <v>97</v>
      </c>
      <c r="D17">
        <v>50</v>
      </c>
      <c r="E17">
        <f>LOOKUP(1,1/('[1]PURCHASE PRICE'!$A:$A=A17)/('[1]PURCHASE PRICE'!$B:$B=B17)/('[1]PURCHASE PRICE'!$C:$C=C17),'[1]PURCHASE PRICE'!$D:$D)</f>
        <v>1900</v>
      </c>
      <c r="F17">
        <f>LOOKUP(1,1/('[1]PURCHASE PRICE'!$A:$A=A17)/('[1]PURCHASE PRICE'!$B:$B=B17),'[1]PURCHASE PRICE'!$D:$D)</f>
        <v>3500</v>
      </c>
      <c r="G17" s="1">
        <f t="shared" si="1"/>
        <v>1900</v>
      </c>
      <c r="H17" s="1">
        <f t="shared" si="0"/>
        <v>95000</v>
      </c>
    </row>
    <row r="18" spans="1:8" x14ac:dyDescent="0.3">
      <c r="A18" s="6">
        <v>45716</v>
      </c>
      <c r="B18" t="s">
        <v>25</v>
      </c>
      <c r="C18" t="s">
        <v>26</v>
      </c>
      <c r="D18">
        <v>200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10000</v>
      </c>
      <c r="G18" s="1">
        <f>+F18/2</f>
        <v>5000</v>
      </c>
      <c r="H18" s="1">
        <f t="shared" si="0"/>
        <v>1000000</v>
      </c>
    </row>
    <row r="19" spans="1:8" x14ac:dyDescent="0.3">
      <c r="A19" s="6">
        <v>45716</v>
      </c>
      <c r="B19" t="s">
        <v>27</v>
      </c>
      <c r="C19" t="s">
        <v>9</v>
      </c>
      <c r="D19">
        <v>40</v>
      </c>
      <c r="E19">
        <f>LOOKUP(1,1/('[1]PURCHASE PRICE'!$A:$A=A19)/('[1]PURCHASE PRICE'!$B:$B=B19)/('[1]PURCHASE PRICE'!$C:$C=C19),'[1]PURCHASE PRICE'!$D:$D)</f>
        <v>8000</v>
      </c>
      <c r="F19">
        <f>LOOKUP(1,1/('[1]PURCHASE PRICE'!$A:$A=A19)/('[1]PURCHASE PRICE'!$B:$B=B19),'[1]PURCHASE PRICE'!$D:$D)</f>
        <v>8000</v>
      </c>
      <c r="G19" s="1">
        <f t="shared" si="1"/>
        <v>8000</v>
      </c>
      <c r="H19" s="1">
        <f t="shared" si="0"/>
        <v>320000</v>
      </c>
    </row>
    <row r="20" spans="1:8" x14ac:dyDescent="0.3">
      <c r="A20" s="6">
        <v>45716</v>
      </c>
      <c r="B20" t="s">
        <v>28</v>
      </c>
      <c r="C20" t="s">
        <v>15</v>
      </c>
      <c r="D20">
        <v>40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 s="1">
        <f t="shared" si="1"/>
        <v>10000</v>
      </c>
      <c r="H20" s="1">
        <f t="shared" si="0"/>
        <v>400000</v>
      </c>
    </row>
    <row r="21" spans="1:8" x14ac:dyDescent="0.3">
      <c r="A21" s="6">
        <v>45716</v>
      </c>
      <c r="B21" t="s">
        <v>29</v>
      </c>
      <c r="C21" t="s">
        <v>62</v>
      </c>
      <c r="D21">
        <v>5</v>
      </c>
      <c r="E21">
        <f>LOOKUP(1,1/('[1]PURCHASE PRICE'!$A:$A=A21)/('[1]PURCHASE PRICE'!$B:$B=B21)/('[1]PURCHASE PRICE'!$C:$C=C21),'[1]PURCHASE PRICE'!$D:$D)</f>
        <v>4500</v>
      </c>
      <c r="F21">
        <f>LOOKUP(1,1/('[1]PURCHASE PRICE'!$A:$A=A21)/('[1]PURCHASE PRICE'!$B:$B=B21),'[1]PURCHASE PRICE'!$D:$D)</f>
        <v>4500</v>
      </c>
      <c r="G21" s="1">
        <f t="shared" si="1"/>
        <v>4500</v>
      </c>
      <c r="H21" s="1">
        <f t="shared" si="0"/>
        <v>22500</v>
      </c>
    </row>
    <row r="22" spans="1:8" x14ac:dyDescent="0.3">
      <c r="A22" s="6">
        <v>45716</v>
      </c>
      <c r="B22" t="s">
        <v>80</v>
      </c>
      <c r="C22" t="s">
        <v>62</v>
      </c>
      <c r="D22">
        <v>60</v>
      </c>
      <c r="E22">
        <f>LOOKUP(1,1/('[1]PURCHASE PRICE'!$A:$A=A22)/('[1]PURCHASE PRICE'!$B:$B=B22)/('[1]PURCHASE PRICE'!$C:$C=C22),'[1]PURCHASE PRICE'!$D:$D)</f>
        <v>9000</v>
      </c>
      <c r="F22">
        <f>LOOKUP(1,1/('[1]PURCHASE PRICE'!$A:$A=A22)/('[1]PURCHASE PRICE'!$B:$B=B22),'[1]PURCHASE PRICE'!$D:$D)</f>
        <v>9000</v>
      </c>
      <c r="G22" s="1">
        <f t="shared" si="1"/>
        <v>9000</v>
      </c>
      <c r="H22" s="1">
        <f t="shared" si="0"/>
        <v>540000</v>
      </c>
    </row>
    <row r="23" spans="1:8" x14ac:dyDescent="0.3">
      <c r="A23" s="6">
        <v>45716</v>
      </c>
      <c r="B23" t="s">
        <v>32</v>
      </c>
      <c r="C23" t="s">
        <v>62</v>
      </c>
      <c r="D23">
        <v>40</v>
      </c>
      <c r="E23">
        <f>LOOKUP(1,1/('[1]PURCHASE PRICE'!$A:$A=A23)/('[1]PURCHASE PRICE'!$B:$B=B23)/('[1]PURCHASE PRICE'!$C:$C=C23),'[1]PURCHASE PRICE'!$D:$D)</f>
        <v>20000</v>
      </c>
      <c r="F23">
        <f>LOOKUP(1,1/('[1]PURCHASE PRICE'!$A:$A=A23)/('[1]PURCHASE PRICE'!$B:$B=B23),'[1]PURCHASE PRICE'!$D:$D)</f>
        <v>20000</v>
      </c>
      <c r="G23" s="1">
        <f t="shared" si="1"/>
        <v>20000</v>
      </c>
      <c r="H23" s="1">
        <f t="shared" si="0"/>
        <v>800000</v>
      </c>
    </row>
    <row r="24" spans="1:8" x14ac:dyDescent="0.3">
      <c r="A24" s="6">
        <v>45716</v>
      </c>
      <c r="B24" t="s">
        <v>33</v>
      </c>
      <c r="C24" t="s">
        <v>62</v>
      </c>
      <c r="D24">
        <v>100</v>
      </c>
      <c r="E24">
        <f>LOOKUP(1,1/('[1]PURCHASE PRICE'!$A:$A=A24)/('[1]PURCHASE PRICE'!$B:$B=B24)/('[1]PURCHASE PRICE'!$C:$C=C24),'[1]PURCHASE PRICE'!$D:$D)</f>
        <v>25000</v>
      </c>
      <c r="F24">
        <f>LOOKUP(1,1/('[1]PURCHASE PRICE'!$A:$A=A24)/('[1]PURCHASE PRICE'!$B:$B=B24),'[1]PURCHASE PRICE'!$D:$D)</f>
        <v>25000</v>
      </c>
      <c r="G24" s="1">
        <f t="shared" si="1"/>
        <v>25000</v>
      </c>
      <c r="H24" s="1">
        <f t="shared" si="0"/>
        <v>2500000</v>
      </c>
    </row>
    <row r="25" spans="1:8" x14ac:dyDescent="0.3">
      <c r="A25" s="6">
        <v>45716</v>
      </c>
      <c r="B25" t="s">
        <v>34</v>
      </c>
      <c r="C25" t="s">
        <v>62</v>
      </c>
      <c r="D25">
        <v>120</v>
      </c>
      <c r="E25">
        <f>LOOKUP(1,1/('[1]PURCHASE PRICE'!$A:$A=A25)/('[1]PURCHASE PRICE'!$B:$B=B25)/('[1]PURCHASE PRICE'!$C:$C=C25),'[1]PURCHASE PRICE'!$D:$D)</f>
        <v>14800</v>
      </c>
      <c r="F25">
        <f>LOOKUP(1,1/('[1]PURCHASE PRICE'!$A:$A=A25)/('[1]PURCHASE PRICE'!$B:$B=B25),'[1]PURCHASE PRICE'!$D:$D)</f>
        <v>14800</v>
      </c>
      <c r="G25" s="1">
        <f t="shared" si="1"/>
        <v>14800</v>
      </c>
      <c r="H25" s="1">
        <f t="shared" si="0"/>
        <v>1776000</v>
      </c>
    </row>
    <row r="26" spans="1:8" x14ac:dyDescent="0.3">
      <c r="A26" s="6">
        <v>45716</v>
      </c>
      <c r="B26" t="s">
        <v>98</v>
      </c>
      <c r="C26" t="s">
        <v>62</v>
      </c>
      <c r="D26">
        <v>20</v>
      </c>
      <c r="E26">
        <f>LOOKUP(1,1/('[1]PURCHASE PRICE'!$A:$A=A26)/('[1]PURCHASE PRICE'!$B:$B=B26)/('[1]PURCHASE PRICE'!$C:$C=C26),'[1]PURCHASE PRICE'!$D:$D)</f>
        <v>25000</v>
      </c>
      <c r="F26">
        <f>LOOKUP(1,1/('[1]PURCHASE PRICE'!$A:$A=A26)/('[1]PURCHASE PRICE'!$B:$B=B26),'[1]PURCHASE PRICE'!$D:$D)</f>
        <v>25000</v>
      </c>
      <c r="G26" s="1">
        <f t="shared" si="1"/>
        <v>25000</v>
      </c>
      <c r="H26" s="1">
        <f t="shared" si="0"/>
        <v>500000</v>
      </c>
    </row>
    <row r="27" spans="1:8" x14ac:dyDescent="0.3">
      <c r="A27" s="6">
        <v>45716</v>
      </c>
      <c r="B27" t="s">
        <v>37</v>
      </c>
      <c r="C27" t="s">
        <v>31</v>
      </c>
      <c r="D27">
        <v>90</v>
      </c>
      <c r="E27">
        <f>LOOKUP(1,1/('[1]PURCHASE PRICE'!$A:$A=A27)/('[1]PURCHASE PRICE'!$B:$B=B27)/('[1]PURCHASE PRICE'!$C:$C=C27),'[1]PURCHASE PRICE'!$D:$D)</f>
        <v>5500</v>
      </c>
      <c r="F27">
        <f>LOOKUP(1,1/('[1]PURCHASE PRICE'!$A:$A=A27)/('[1]PURCHASE PRICE'!$B:$B=B27),'[1]PURCHASE PRICE'!$D:$D)</f>
        <v>8500</v>
      </c>
      <c r="G27" s="1">
        <f t="shared" si="1"/>
        <v>5500</v>
      </c>
      <c r="H27" s="1">
        <f t="shared" si="0"/>
        <v>495000</v>
      </c>
    </row>
    <row r="28" spans="1:8" x14ac:dyDescent="0.3">
      <c r="A28" s="6">
        <v>45716</v>
      </c>
      <c r="B28" t="s">
        <v>39</v>
      </c>
      <c r="C28" t="s">
        <v>9</v>
      </c>
      <c r="D28">
        <v>2000</v>
      </c>
      <c r="E28">
        <f>LOOKUP(1,1/('[1]PURCHASE PRICE'!$A:$A=A28)/('[1]PURCHASE PRICE'!$B:$B=B28)/('[1]PURCHASE PRICE'!$C:$C=C28),'[1]PURCHASE PRICE'!$D:$D)</f>
        <v>7500</v>
      </c>
      <c r="F28">
        <f>LOOKUP(1,1/('[1]PURCHASE PRICE'!$A:$A=A28)/('[1]PURCHASE PRICE'!$B:$B=B28),'[1]PURCHASE PRICE'!$D:$D)</f>
        <v>9500</v>
      </c>
      <c r="G28" s="1">
        <f t="shared" si="1"/>
        <v>7500</v>
      </c>
      <c r="H28" s="1">
        <f t="shared" si="0"/>
        <v>15000000</v>
      </c>
    </row>
    <row r="29" spans="1:8" x14ac:dyDescent="0.3">
      <c r="A29" s="6">
        <v>45716</v>
      </c>
      <c r="B29" t="s">
        <v>40</v>
      </c>
      <c r="C29" t="s">
        <v>22</v>
      </c>
      <c r="D29">
        <v>20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15000</v>
      </c>
      <c r="G29" s="1">
        <f>+F29*0.6</f>
        <v>9000</v>
      </c>
      <c r="H29" s="1">
        <f t="shared" si="0"/>
        <v>180000</v>
      </c>
    </row>
    <row r="30" spans="1:8" x14ac:dyDescent="0.3">
      <c r="A30" s="6">
        <v>45716</v>
      </c>
      <c r="B30" t="s">
        <v>41</v>
      </c>
      <c r="C30" t="s">
        <v>26</v>
      </c>
      <c r="D30">
        <v>150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11000</v>
      </c>
      <c r="G30" s="1">
        <f>+F30*0.15</f>
        <v>1650</v>
      </c>
      <c r="H30" s="1">
        <f t="shared" si="0"/>
        <v>247500</v>
      </c>
    </row>
    <row r="31" spans="1:8" x14ac:dyDescent="0.3">
      <c r="A31" s="6">
        <v>45716</v>
      </c>
      <c r="B31" t="s">
        <v>42</v>
      </c>
      <c r="C31" t="s">
        <v>62</v>
      </c>
      <c r="D31">
        <v>20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25000</v>
      </c>
      <c r="H31" s="1">
        <f t="shared" si="0"/>
        <v>500000</v>
      </c>
    </row>
    <row r="32" spans="1:8" x14ac:dyDescent="0.3">
      <c r="A32" s="6">
        <v>45716</v>
      </c>
      <c r="B32" t="s">
        <v>44</v>
      </c>
      <c r="C32" t="s">
        <v>22</v>
      </c>
      <c r="D32">
        <v>400</v>
      </c>
      <c r="E32">
        <f>LOOKUP(1,1/('[1]PURCHASE PRICE'!$A:$A=A32)/('[1]PURCHASE PRICE'!$B:$B=B32)/('[1]PURCHASE PRICE'!$C:$C=C32),'[1]PURCHASE PRICE'!$D:$D)</f>
        <v>2400</v>
      </c>
      <c r="F32">
        <f>LOOKUP(1,1/('[1]PURCHASE PRICE'!$A:$A=A32)/('[1]PURCHASE PRICE'!$B:$B=B32),'[1]PURCHASE PRICE'!$D:$D)</f>
        <v>2400</v>
      </c>
      <c r="G32" s="1">
        <f t="shared" si="1"/>
        <v>2400</v>
      </c>
      <c r="H32" s="1">
        <f t="shared" si="0"/>
        <v>960000</v>
      </c>
    </row>
    <row r="33" spans="1:8" x14ac:dyDescent="0.3">
      <c r="A33" s="6">
        <v>45716</v>
      </c>
      <c r="B33" t="s">
        <v>82</v>
      </c>
      <c r="C33" t="s">
        <v>22</v>
      </c>
      <c r="D33">
        <v>60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32000</v>
      </c>
      <c r="G33" s="1">
        <f>+F33/20</f>
        <v>1600</v>
      </c>
      <c r="H33" s="1">
        <f t="shared" si="0"/>
        <v>96000</v>
      </c>
    </row>
    <row r="34" spans="1:8" x14ac:dyDescent="0.3">
      <c r="A34" s="6">
        <v>45716</v>
      </c>
      <c r="B34" t="s">
        <v>45</v>
      </c>
      <c r="C34" t="s">
        <v>62</v>
      </c>
      <c r="D34">
        <v>20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f>+(48000+38000)/2</f>
        <v>43000</v>
      </c>
      <c r="H34" s="1">
        <f t="shared" si="0"/>
        <v>860000</v>
      </c>
    </row>
    <row r="35" spans="1:8" x14ac:dyDescent="0.3">
      <c r="A35" s="6">
        <v>45716</v>
      </c>
      <c r="B35" t="s">
        <v>47</v>
      </c>
      <c r="C35" t="s">
        <v>62</v>
      </c>
      <c r="D35">
        <v>25</v>
      </c>
      <c r="E35">
        <f>LOOKUP(1,1/('[1]PURCHASE PRICE'!$A:$A=A35)/('[1]PURCHASE PRICE'!$B:$B=B35)/('[1]PURCHASE PRICE'!$C:$C=C35),'[1]PURCHASE PRICE'!$D:$D)</f>
        <v>48000</v>
      </c>
      <c r="F35">
        <f>LOOKUP(1,1/('[1]PURCHASE PRICE'!$A:$A=A35)/('[1]PURCHASE PRICE'!$B:$B=B35),'[1]PURCHASE PRICE'!$D:$D)</f>
        <v>48000</v>
      </c>
      <c r="G35" s="1">
        <f t="shared" si="1"/>
        <v>48000</v>
      </c>
      <c r="H35" s="1">
        <f t="shared" si="0"/>
        <v>1200000</v>
      </c>
    </row>
    <row r="36" spans="1:8" x14ac:dyDescent="0.3">
      <c r="A36" s="6">
        <v>45716</v>
      </c>
      <c r="B36" t="s">
        <v>48</v>
      </c>
      <c r="C36" t="s">
        <v>77</v>
      </c>
      <c r="D36">
        <v>300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24000</v>
      </c>
      <c r="G36" s="1">
        <f>+F36*0.25</f>
        <v>6000</v>
      </c>
      <c r="H36" s="1">
        <f t="shared" si="0"/>
        <v>1800000</v>
      </c>
    </row>
    <row r="37" spans="1:8" x14ac:dyDescent="0.3">
      <c r="A37" s="6">
        <v>45716</v>
      </c>
      <c r="B37" t="s">
        <v>49</v>
      </c>
      <c r="C37" t="s">
        <v>62</v>
      </c>
      <c r="D37">
        <v>15</v>
      </c>
      <c r="E37">
        <f>LOOKUP(1,1/('[1]PURCHASE PRICE'!$A:$A=A37)/('[1]PURCHASE PRICE'!$B:$B=B37)/('[1]PURCHASE PRICE'!$C:$C=C37),'[1]PURCHASE PRICE'!$D:$D)</f>
        <v>50000</v>
      </c>
      <c r="F37">
        <f>LOOKUP(1,1/('[1]PURCHASE PRICE'!$A:$A=A37)/('[1]PURCHASE PRICE'!$B:$B=B37),'[1]PURCHASE PRICE'!$D:$D)</f>
        <v>50000</v>
      </c>
      <c r="G37" s="1">
        <f t="shared" si="1"/>
        <v>50000</v>
      </c>
      <c r="H37" s="1">
        <f t="shared" si="0"/>
        <v>750000</v>
      </c>
    </row>
    <row r="38" spans="1:8" x14ac:dyDescent="0.3">
      <c r="A38" s="6">
        <v>45716</v>
      </c>
      <c r="B38" t="s">
        <v>50</v>
      </c>
      <c r="C38" t="s">
        <v>77</v>
      </c>
      <c r="D38">
        <v>250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26000</v>
      </c>
      <c r="G38" s="1">
        <f>+F38*0.25</f>
        <v>6500</v>
      </c>
      <c r="H38" s="1">
        <f t="shared" si="0"/>
        <v>1625000</v>
      </c>
    </row>
    <row r="39" spans="1:8" x14ac:dyDescent="0.3">
      <c r="A39" s="6">
        <v>45716</v>
      </c>
      <c r="B39" t="s">
        <v>52</v>
      </c>
      <c r="C39" t="s">
        <v>77</v>
      </c>
      <c r="D39">
        <v>100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30000</v>
      </c>
      <c r="G39" s="1">
        <f>+F39*0.25</f>
        <v>7500</v>
      </c>
      <c r="H39" s="1">
        <f t="shared" si="0"/>
        <v>750000</v>
      </c>
    </row>
    <row r="40" spans="1:8" x14ac:dyDescent="0.3">
      <c r="A40" s="6">
        <v>45716</v>
      </c>
      <c r="B40" t="s">
        <v>53</v>
      </c>
      <c r="C40" t="s">
        <v>22</v>
      </c>
      <c r="D40">
        <v>400</v>
      </c>
      <c r="E40">
        <f>LOOKUP(1,1/('[1]PURCHASE PRICE'!$A:$A=A40)/('[1]PURCHASE PRICE'!$B:$B=B40)/('[1]PURCHASE PRICE'!$C:$C=C40),'[1]PURCHASE PRICE'!$D:$D)</f>
        <v>17000</v>
      </c>
      <c r="F40">
        <f>LOOKUP(1,1/('[1]PURCHASE PRICE'!$A:$A=A40)/('[1]PURCHASE PRICE'!$B:$B=B40),'[1]PURCHASE PRICE'!$D:$D)</f>
        <v>17000</v>
      </c>
      <c r="G40" s="1">
        <f t="shared" si="1"/>
        <v>17000</v>
      </c>
      <c r="H40" s="1">
        <f t="shared" si="0"/>
        <v>6800000</v>
      </c>
    </row>
    <row r="41" spans="1:8" x14ac:dyDescent="0.3">
      <c r="A41" s="6">
        <v>45716</v>
      </c>
      <c r="B41" t="s">
        <v>83</v>
      </c>
      <c r="C41" t="s">
        <v>62</v>
      </c>
      <c r="D41">
        <v>10</v>
      </c>
      <c r="E41">
        <f>LOOKUP(1,1/('[1]PURCHASE PRICE'!$A:$A=A41)/('[1]PURCHASE PRICE'!$B:$B=B41)/('[1]PURCHASE PRICE'!$C:$C=C41),'[1]PURCHASE PRICE'!$D:$D)</f>
        <v>20000</v>
      </c>
      <c r="F41">
        <f>LOOKUP(1,1/('[1]PURCHASE PRICE'!$A:$A=A41)/('[1]PURCHASE PRICE'!$B:$B=B41),'[1]PURCHASE PRICE'!$D:$D)</f>
        <v>20000</v>
      </c>
      <c r="G41" s="1">
        <f t="shared" si="1"/>
        <v>20000</v>
      </c>
      <c r="H41" s="1">
        <f t="shared" si="0"/>
        <v>200000</v>
      </c>
    </row>
    <row r="42" spans="1:8" x14ac:dyDescent="0.3">
      <c r="A42" s="6">
        <v>45716</v>
      </c>
      <c r="B42" t="s">
        <v>55</v>
      </c>
      <c r="C42" t="s">
        <v>62</v>
      </c>
      <c r="D42">
        <v>200</v>
      </c>
      <c r="E42">
        <f>LOOKUP(1,1/('[1]PURCHASE PRICE'!$A:$A=A42)/('[1]PURCHASE PRICE'!$B:$B=B42)/('[1]PURCHASE PRICE'!$C:$C=C42),'[1]PURCHASE PRICE'!$D:$D)</f>
        <v>13000</v>
      </c>
      <c r="F42">
        <f>LOOKUP(1,1/('[1]PURCHASE PRICE'!$A:$A=A42)/('[1]PURCHASE PRICE'!$B:$B=B42),'[1]PURCHASE PRICE'!$D:$D)</f>
        <v>13000</v>
      </c>
      <c r="G42" s="1">
        <f t="shared" si="1"/>
        <v>13000</v>
      </c>
      <c r="H42" s="1">
        <f t="shared" si="0"/>
        <v>2600000</v>
      </c>
    </row>
    <row r="43" spans="1:8" x14ac:dyDescent="0.3">
      <c r="A43" s="6">
        <v>45716</v>
      </c>
      <c r="B43" t="s">
        <v>56</v>
      </c>
      <c r="C43" t="s">
        <v>26</v>
      </c>
      <c r="D43">
        <v>100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 s="1">
        <f t="shared" si="1"/>
        <v>6800</v>
      </c>
      <c r="H43" s="1">
        <f t="shared" si="0"/>
        <v>680000</v>
      </c>
    </row>
    <row r="44" spans="1:8" x14ac:dyDescent="0.3">
      <c r="A44" s="6">
        <v>45716</v>
      </c>
      <c r="B44" t="s">
        <v>96</v>
      </c>
      <c r="C44" t="s">
        <v>62</v>
      </c>
      <c r="D44">
        <v>100</v>
      </c>
      <c r="E44">
        <f>LOOKUP(1,1/('[1]PURCHASE PRICE'!$A:$A=A44)/('[1]PURCHASE PRICE'!$B:$B=B44)/('[1]PURCHASE PRICE'!$C:$C=C44),'[1]PURCHASE PRICE'!$D:$D)</f>
        <v>21000</v>
      </c>
      <c r="F44">
        <f>LOOKUP(1,1/('[1]PURCHASE PRICE'!$A:$A=A44)/('[1]PURCHASE PRICE'!$B:$B=B44),'[1]PURCHASE PRICE'!$D:$D)</f>
        <v>21000</v>
      </c>
      <c r="G44" s="1">
        <f t="shared" si="1"/>
        <v>21000</v>
      </c>
      <c r="H44" s="1">
        <f t="shared" si="0"/>
        <v>2100000</v>
      </c>
    </row>
    <row r="45" spans="1:8" x14ac:dyDescent="0.3">
      <c r="A45" s="6">
        <v>45716</v>
      </c>
      <c r="B45" t="s">
        <v>58</v>
      </c>
      <c r="C45" t="s">
        <v>62</v>
      </c>
      <c r="D45">
        <v>20</v>
      </c>
      <c r="E45">
        <f>LOOKUP(1,1/('[1]PURCHASE PRICE'!$A:$A=A45)/('[1]PURCHASE PRICE'!$B:$B=B45)/('[1]PURCHASE PRICE'!$C:$C=C45),'[1]PURCHASE PRICE'!$D:$D)</f>
        <v>10000</v>
      </c>
      <c r="F45">
        <f>LOOKUP(1,1/('[1]PURCHASE PRICE'!$A:$A=A45)/('[1]PURCHASE PRICE'!$B:$B=B45),'[1]PURCHASE PRICE'!$D:$D)</f>
        <v>10000</v>
      </c>
      <c r="G45" s="1">
        <f t="shared" si="1"/>
        <v>10000</v>
      </c>
      <c r="H45" s="1">
        <f t="shared" si="0"/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01.02</vt:lpstr>
      <vt:lpstr>02.02</vt:lpstr>
      <vt:lpstr>03.02</vt:lpstr>
      <vt:lpstr>04.02</vt:lpstr>
      <vt:lpstr>05.02</vt:lpstr>
      <vt:lpstr>06.02</vt:lpstr>
      <vt:lpstr>07.02</vt:lpstr>
      <vt:lpstr>08.02</vt:lpstr>
      <vt:lpstr>09.02</vt:lpstr>
      <vt:lpstr>10.02</vt:lpstr>
      <vt:lpstr>11.02</vt:lpstr>
      <vt:lpstr>12.02</vt:lpstr>
      <vt:lpstr>13.02</vt:lpstr>
      <vt:lpstr>14.02</vt:lpstr>
      <vt:lpstr>15.02</vt:lpstr>
      <vt:lpstr>16.02</vt:lpstr>
      <vt:lpstr>17.02</vt:lpstr>
      <vt:lpstr>18.02</vt:lpstr>
      <vt:lpstr>19.02</vt:lpstr>
      <vt:lpstr>20.02</vt:lpstr>
      <vt:lpstr>21.02</vt:lpstr>
      <vt:lpstr>22.02</vt:lpstr>
      <vt:lpstr>23.02</vt:lpstr>
      <vt:lpstr>24.02</vt:lpstr>
      <vt:lpstr>25.02</vt:lpstr>
      <vt:lpstr>26.02</vt:lpstr>
      <vt:lpstr>27.02</vt:lpstr>
      <vt:lpstr>28.02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Tran Viet Ha</cp:lastModifiedBy>
  <dcterms:created xsi:type="dcterms:W3CDTF">2015-06-05T18:17:20Z</dcterms:created>
  <dcterms:modified xsi:type="dcterms:W3CDTF">2025-03-06T07:39:13Z</dcterms:modified>
</cp:coreProperties>
</file>