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03. GIÁ TRỊ HÀNG TỒN KHO\2024\"/>
    </mc:Choice>
  </mc:AlternateContent>
  <xr:revisionPtr revIDLastSave="0" documentId="13_ncr:1_{8D2A9500-45AD-44BD-A65C-CAAD1A772A42}" xr6:coauthVersionLast="47" xr6:coauthVersionMax="47" xr10:uidLastSave="{00000000-0000-0000-0000-000000000000}"/>
  <bookViews>
    <workbookView xWindow="-108" yWindow="-108" windowWidth="23256" windowHeight="12456" firstSheet="16" activeTab="29" xr2:uid="{00000000-000D-0000-FFFF-FFFF00000000}"/>
  </bookViews>
  <sheets>
    <sheet name="1.11" sheetId="1" r:id="rId1"/>
    <sheet name="2.11" sheetId="2" r:id="rId2"/>
    <sheet name="3.11" sheetId="3" r:id="rId3"/>
    <sheet name="4.11" sheetId="4" r:id="rId4"/>
    <sheet name="5.11" sheetId="5" r:id="rId5"/>
    <sheet name="6.11" sheetId="6" r:id="rId6"/>
    <sheet name="7.11" sheetId="7" r:id="rId7"/>
    <sheet name="8.11" sheetId="8" r:id="rId8"/>
    <sheet name="9.11" sheetId="9" r:id="rId9"/>
    <sheet name="10.11" sheetId="10" r:id="rId10"/>
    <sheet name="11.11" sheetId="11" r:id="rId11"/>
    <sheet name="12.11" sheetId="12" r:id="rId12"/>
    <sheet name="13.11" sheetId="13" r:id="rId13"/>
    <sheet name="14.11" sheetId="14" r:id="rId14"/>
    <sheet name="15.11" sheetId="15" r:id="rId15"/>
    <sheet name="16.11" sheetId="16" r:id="rId16"/>
    <sheet name="17.11" sheetId="17" r:id="rId17"/>
    <sheet name="18.11" sheetId="18" r:id="rId18"/>
    <sheet name="19.11" sheetId="19" r:id="rId19"/>
    <sheet name="20.11" sheetId="20" r:id="rId20"/>
    <sheet name="21.11" sheetId="21" r:id="rId21"/>
    <sheet name="22.11" sheetId="22" r:id="rId22"/>
    <sheet name="23.11" sheetId="23" r:id="rId23"/>
    <sheet name="24.11" sheetId="24" r:id="rId24"/>
    <sheet name="25.11" sheetId="25" r:id="rId25"/>
    <sheet name="26.11" sheetId="26" r:id="rId26"/>
    <sheet name="27.11" sheetId="27" r:id="rId27"/>
    <sheet name="28.11" sheetId="28" r:id="rId28"/>
    <sheet name="29.11" sheetId="29" r:id="rId29"/>
    <sheet name="30.11" sheetId="30" r:id="rId30"/>
  </sheets>
  <externalReferences>
    <externalReference r:id="rId31"/>
  </externalReferences>
  <definedNames>
    <definedName name="_xlnm._FilterDatabase" localSheetId="0" hidden="1">'1.11'!$A$3:$K$214</definedName>
    <definedName name="_xlnm._FilterDatabase" localSheetId="9" hidden="1">'10.11'!$A$1:$E$212</definedName>
    <definedName name="_xlnm._FilterDatabase" localSheetId="10" hidden="1">'11.11'!$A$1:$DA$202</definedName>
    <definedName name="_xlnm._FilterDatabase" localSheetId="11" hidden="1">'12.11'!$A$2:$E$189</definedName>
    <definedName name="_xlnm._FilterDatabase" localSheetId="12" hidden="1">'13.11'!$A$3:$E$211</definedName>
    <definedName name="_xlnm._FilterDatabase" localSheetId="13" hidden="1">'14.11'!$A$3:$E$173</definedName>
    <definedName name="_xlnm._FilterDatabase" localSheetId="14" hidden="1">'15.11'!$A$1:$E$208</definedName>
    <definedName name="_xlnm._FilterDatabase" localSheetId="15" hidden="1">'16.11'!$A$2:$E$165</definedName>
    <definedName name="_xlnm._FilterDatabase" localSheetId="16" hidden="1">'17.11'!$A$2:$I$198</definedName>
    <definedName name="_xlnm._FilterDatabase" localSheetId="17" hidden="1">'18.11'!$A$3:$E$146</definedName>
    <definedName name="_xlnm._FilterDatabase" localSheetId="18" hidden="1">'19.11'!$A$3:$E$164</definedName>
    <definedName name="_xlnm._FilterDatabase" localSheetId="1" hidden="1">'2.11'!$A$3:$E$165</definedName>
    <definedName name="_xlnm._FilterDatabase" localSheetId="19" hidden="1">'20.11'!$A$3:$E$153</definedName>
    <definedName name="_xlnm._FilterDatabase" localSheetId="20" hidden="1">'21.11'!$A$3:$E$93</definedName>
    <definedName name="_xlnm._FilterDatabase" localSheetId="21" hidden="1">'22.11'!$A$3:$E$159</definedName>
    <definedName name="_xlnm._FilterDatabase" localSheetId="22" hidden="1">'23.11'!$A$3:$F$154</definedName>
    <definedName name="_xlnm._FilterDatabase" localSheetId="23" hidden="1">'24.11'!$A$3:$E$168</definedName>
    <definedName name="_xlnm._FilterDatabase" localSheetId="24" hidden="1">'25.11'!$A$3:$E$156</definedName>
    <definedName name="_xlnm._FilterDatabase" localSheetId="25" hidden="1">'26.11'!$A$3:$E$154</definedName>
    <definedName name="_xlnm._FilterDatabase" localSheetId="26" hidden="1">'27.11'!$A$3:$E$156</definedName>
    <definedName name="_xlnm._FilterDatabase" localSheetId="27" hidden="1">'28.11'!$A$3:$E$169</definedName>
    <definedName name="_xlnm._FilterDatabase" localSheetId="28" hidden="1">'29.11'!$A$1:$E$148</definedName>
    <definedName name="_xlnm._FilterDatabase" localSheetId="2" hidden="1">'3.11'!$A$3:$K$220</definedName>
    <definedName name="_xlnm._FilterDatabase" localSheetId="29" hidden="1">'30.11'!$A$2:$F$156</definedName>
    <definedName name="_xlnm._FilterDatabase" localSheetId="3" hidden="1">'4.11'!$A$3:$E$229</definedName>
    <definedName name="_xlnm._FilterDatabase" localSheetId="4" hidden="1">'5.11'!$A$1:$C$215</definedName>
    <definedName name="_xlnm._FilterDatabase" localSheetId="5" hidden="1">'6.11'!$A$2:$E$213</definedName>
    <definedName name="_xlnm._FilterDatabase" localSheetId="6" hidden="1">'7.11'!$A$2:$E$179</definedName>
    <definedName name="_xlnm._FilterDatabase" localSheetId="7" hidden="1">'8.11'!$A$2:$E$210</definedName>
    <definedName name="_xlnm._FilterDatabase" localSheetId="8" hidden="1">'9.11'!$A$1:$E$207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30" l="1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32" i="30"/>
  <c r="E33" i="30"/>
  <c r="E34" i="30"/>
  <c r="E35" i="30"/>
  <c r="E36" i="30"/>
  <c r="E37" i="30"/>
  <c r="E38" i="30"/>
  <c r="E39" i="30"/>
  <c r="E40" i="30"/>
  <c r="E41" i="30"/>
  <c r="E42" i="30"/>
  <c r="E43" i="30"/>
  <c r="E44" i="30"/>
  <c r="E45" i="30"/>
  <c r="E46" i="30"/>
  <c r="E47" i="30"/>
  <c r="E48" i="30"/>
  <c r="E49" i="30"/>
  <c r="E50" i="30"/>
  <c r="E51" i="30"/>
  <c r="E52" i="30"/>
  <c r="E53" i="30"/>
  <c r="E54" i="30"/>
  <c r="E55" i="30"/>
  <c r="E56" i="30"/>
  <c r="E57" i="30"/>
  <c r="E58" i="30"/>
  <c r="E59" i="30"/>
  <c r="E60" i="30"/>
  <c r="E61" i="30"/>
  <c r="E62" i="30"/>
  <c r="E63" i="30"/>
  <c r="E64" i="30"/>
  <c r="E65" i="30"/>
  <c r="E66" i="30"/>
  <c r="E67" i="30"/>
  <c r="E68" i="30"/>
  <c r="E69" i="30"/>
  <c r="E70" i="30"/>
  <c r="E71" i="30"/>
  <c r="E72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85" i="30"/>
  <c r="E86" i="30"/>
  <c r="E87" i="30"/>
  <c r="E88" i="30"/>
  <c r="E89" i="30"/>
  <c r="E90" i="30"/>
  <c r="E91" i="30"/>
  <c r="E92" i="30"/>
  <c r="E93" i="30"/>
  <c r="E94" i="30"/>
  <c r="E95" i="30"/>
  <c r="E96" i="30"/>
  <c r="E97" i="30"/>
  <c r="E98" i="30"/>
  <c r="E99" i="30"/>
  <c r="E100" i="30"/>
  <c r="E101" i="30"/>
  <c r="E102" i="30"/>
  <c r="E103" i="30"/>
  <c r="E104" i="30"/>
  <c r="E105" i="30"/>
  <c r="E106" i="30"/>
  <c r="E107" i="30"/>
  <c r="E111" i="30"/>
  <c r="E112" i="30"/>
  <c r="E113" i="30"/>
  <c r="E114" i="30"/>
  <c r="E115" i="30"/>
  <c r="E116" i="30"/>
  <c r="E117" i="30"/>
  <c r="E118" i="30"/>
  <c r="E119" i="30"/>
  <c r="E120" i="30"/>
  <c r="E121" i="30"/>
  <c r="E122" i="30"/>
  <c r="E123" i="30"/>
  <c r="E124" i="30"/>
  <c r="E125" i="30"/>
  <c r="E126" i="30"/>
  <c r="E127" i="30"/>
  <c r="E128" i="30"/>
  <c r="E129" i="30"/>
  <c r="E130" i="30"/>
  <c r="E131" i="30"/>
  <c r="E132" i="30"/>
  <c r="E133" i="30"/>
  <c r="E134" i="30"/>
  <c r="E135" i="30"/>
  <c r="E136" i="30"/>
  <c r="E137" i="30"/>
  <c r="E138" i="30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53" i="30"/>
  <c r="E154" i="30"/>
  <c r="E3" i="30"/>
  <c r="E155" i="30" l="1"/>
  <c r="E108" i="30"/>
  <c r="D39" i="29"/>
  <c r="D38" i="29"/>
  <c r="E38" i="29" s="1"/>
  <c r="D33" i="29"/>
  <c r="E33" i="29" s="1"/>
  <c r="E97" i="29"/>
  <c r="E93" i="29"/>
  <c r="D86" i="29"/>
  <c r="E86" i="29" s="1"/>
  <c r="D84" i="29"/>
  <c r="D82" i="29"/>
  <c r="E82" i="29" s="1"/>
  <c r="D79" i="29"/>
  <c r="D76" i="29"/>
  <c r="E73" i="29"/>
  <c r="E72" i="29"/>
  <c r="D69" i="29"/>
  <c r="E69" i="29" s="1"/>
  <c r="D68" i="29"/>
  <c r="E68" i="29" s="1"/>
  <c r="D66" i="29"/>
  <c r="E66" i="29" s="1"/>
  <c r="D62" i="29"/>
  <c r="E62" i="29" s="1"/>
  <c r="D61" i="29"/>
  <c r="E61" i="29" s="1"/>
  <c r="D59" i="29"/>
  <c r="E59" i="29" s="1"/>
  <c r="D57" i="29"/>
  <c r="E57" i="29" s="1"/>
  <c r="D56" i="29"/>
  <c r="E56" i="29" s="1"/>
  <c r="D49" i="29"/>
  <c r="E49" i="29" s="1"/>
  <c r="E43" i="29"/>
  <c r="E39" i="29"/>
  <c r="D23" i="29"/>
  <c r="D22" i="29"/>
  <c r="D20" i="29"/>
  <c r="E20" i="29" s="1"/>
  <c r="D17" i="29"/>
  <c r="E17" i="29" s="1"/>
  <c r="D7" i="29"/>
  <c r="D6" i="29"/>
  <c r="E6" i="29" s="1"/>
  <c r="E5" i="29"/>
  <c r="D4" i="29"/>
  <c r="D3" i="29"/>
  <c r="E3" i="29" s="1"/>
  <c r="E2" i="29"/>
  <c r="E105" i="29"/>
  <c r="E106" i="29"/>
  <c r="E107" i="29"/>
  <c r="E108" i="29"/>
  <c r="E109" i="29"/>
  <c r="E110" i="29"/>
  <c r="E111" i="29"/>
  <c r="E112" i="29"/>
  <c r="E113" i="29"/>
  <c r="E114" i="29"/>
  <c r="E115" i="29"/>
  <c r="E116" i="29"/>
  <c r="E117" i="29"/>
  <c r="E118" i="29"/>
  <c r="E119" i="29"/>
  <c r="E120" i="29"/>
  <c r="E121" i="29"/>
  <c r="E122" i="29"/>
  <c r="E123" i="29"/>
  <c r="E124" i="29"/>
  <c r="E125" i="29"/>
  <c r="E126" i="29"/>
  <c r="E127" i="29"/>
  <c r="E128" i="29"/>
  <c r="E129" i="29"/>
  <c r="E130" i="29"/>
  <c r="E131" i="29"/>
  <c r="E132" i="29"/>
  <c r="E133" i="29"/>
  <c r="E134" i="29"/>
  <c r="E135" i="29"/>
  <c r="E136" i="29"/>
  <c r="E137" i="29"/>
  <c r="E138" i="29"/>
  <c r="E139" i="29"/>
  <c r="E140" i="29"/>
  <c r="E141" i="29"/>
  <c r="E142" i="29"/>
  <c r="E143" i="29"/>
  <c r="E144" i="29"/>
  <c r="E145" i="29"/>
  <c r="E146" i="29"/>
  <c r="E104" i="29"/>
  <c r="E4" i="29"/>
  <c r="E7" i="29"/>
  <c r="E8" i="29"/>
  <c r="E9" i="29"/>
  <c r="E10" i="29"/>
  <c r="E11" i="29"/>
  <c r="E12" i="29"/>
  <c r="E13" i="29"/>
  <c r="E14" i="29"/>
  <c r="E15" i="29"/>
  <c r="E16" i="29"/>
  <c r="E18" i="29"/>
  <c r="E19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4" i="29"/>
  <c r="E35" i="29"/>
  <c r="E36" i="29"/>
  <c r="E37" i="29"/>
  <c r="E40" i="29"/>
  <c r="E41" i="29"/>
  <c r="E42" i="29"/>
  <c r="E44" i="29"/>
  <c r="E45" i="29"/>
  <c r="E46" i="29"/>
  <c r="E47" i="29"/>
  <c r="E48" i="29"/>
  <c r="E50" i="29"/>
  <c r="E51" i="29"/>
  <c r="E52" i="29"/>
  <c r="E53" i="29"/>
  <c r="E54" i="29"/>
  <c r="E55" i="29"/>
  <c r="E58" i="29"/>
  <c r="E60" i="29"/>
  <c r="E63" i="29"/>
  <c r="E64" i="29"/>
  <c r="E65" i="29"/>
  <c r="E67" i="29"/>
  <c r="E70" i="29"/>
  <c r="E71" i="29"/>
  <c r="E74" i="29"/>
  <c r="E75" i="29"/>
  <c r="E76" i="29"/>
  <c r="E77" i="29"/>
  <c r="E78" i="29"/>
  <c r="E79" i="29"/>
  <c r="E80" i="29"/>
  <c r="E81" i="29"/>
  <c r="E83" i="29"/>
  <c r="E84" i="29"/>
  <c r="E85" i="29"/>
  <c r="E87" i="29"/>
  <c r="E88" i="29"/>
  <c r="E89" i="29"/>
  <c r="E90" i="29"/>
  <c r="E91" i="29"/>
  <c r="E92" i="29"/>
  <c r="E94" i="29"/>
  <c r="E95" i="29"/>
  <c r="E96" i="29"/>
  <c r="E98" i="29"/>
  <c r="E99" i="29"/>
  <c r="E100" i="29"/>
  <c r="E101" i="29"/>
  <c r="E156" i="30" l="1"/>
  <c r="E147" i="29"/>
  <c r="E102" i="29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120" i="28"/>
  <c r="E121" i="28"/>
  <c r="E125" i="28"/>
  <c r="E126" i="28"/>
  <c r="E127" i="28"/>
  <c r="E128" i="28"/>
  <c r="E129" i="28"/>
  <c r="E130" i="28"/>
  <c r="E131" i="28"/>
  <c r="E132" i="28"/>
  <c r="E133" i="28"/>
  <c r="E134" i="28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4" i="28"/>
  <c r="E122" i="28" l="1"/>
  <c r="E168" i="28"/>
  <c r="E149" i="29"/>
  <c r="E148" i="29"/>
  <c r="E108" i="27"/>
  <c r="E112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69" i="28" l="1"/>
  <c r="E155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4" i="27"/>
  <c r="E109" i="27" l="1"/>
  <c r="E156" i="27" s="1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 l="1"/>
  <c r="E4" i="26"/>
  <c r="E110" i="26" s="1"/>
  <c r="E150" i="23" l="1"/>
  <c r="C52" i="23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66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60" i="21"/>
  <c r="E61" i="21"/>
  <c r="E62" i="21"/>
  <c r="E4" i="21"/>
  <c r="C59" i="21"/>
  <c r="E59" i="21" s="1"/>
  <c r="E63" i="21" l="1"/>
  <c r="E92" i="21"/>
  <c r="E93" i="21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8" i="25"/>
  <c r="E29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7" i="25"/>
  <c r="E48" i="25"/>
  <c r="E49" i="25"/>
  <c r="E50" i="25"/>
  <c r="E51" i="25"/>
  <c r="E52" i="25"/>
  <c r="E53" i="25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7" i="25"/>
  <c r="E98" i="25"/>
  <c r="E99" i="25"/>
  <c r="E100" i="25"/>
  <c r="E101" i="25"/>
  <c r="E102" i="25"/>
  <c r="E103" i="25"/>
  <c r="E104" i="25"/>
  <c r="E105" i="25"/>
  <c r="E106" i="25"/>
  <c r="E110" i="25"/>
  <c r="E111" i="25"/>
  <c r="E112" i="25"/>
  <c r="E113" i="25"/>
  <c r="E114" i="25"/>
  <c r="E115" i="25"/>
  <c r="E116" i="25"/>
  <c r="E117" i="25"/>
  <c r="E118" i="25"/>
  <c r="E119" i="25"/>
  <c r="E120" i="25"/>
  <c r="E121" i="25"/>
  <c r="E122" i="25"/>
  <c r="E123" i="25"/>
  <c r="E124" i="25"/>
  <c r="E125" i="25"/>
  <c r="E126" i="25"/>
  <c r="E127" i="25"/>
  <c r="E128" i="25"/>
  <c r="E129" i="25"/>
  <c r="E130" i="25"/>
  <c r="E131" i="25"/>
  <c r="E132" i="25"/>
  <c r="E133" i="25"/>
  <c r="E134" i="25"/>
  <c r="E135" i="25"/>
  <c r="E136" i="25"/>
  <c r="E137" i="25"/>
  <c r="E138" i="25"/>
  <c r="E139" i="25"/>
  <c r="E140" i="25"/>
  <c r="E141" i="25"/>
  <c r="E142" i="25"/>
  <c r="E143" i="25"/>
  <c r="E144" i="25"/>
  <c r="E145" i="25"/>
  <c r="E146" i="25"/>
  <c r="E147" i="25"/>
  <c r="E148" i="25"/>
  <c r="E149" i="25"/>
  <c r="E150" i="25"/>
  <c r="E151" i="25"/>
  <c r="E152" i="25"/>
  <c r="E153" i="25"/>
  <c r="E154" i="25"/>
  <c r="E4" i="25"/>
  <c r="E107" i="25" l="1"/>
  <c r="E155" i="25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E103" i="24"/>
  <c r="E104" i="24"/>
  <c r="E105" i="24"/>
  <c r="E106" i="24"/>
  <c r="E107" i="24"/>
  <c r="E108" i="24"/>
  <c r="E109" i="24"/>
  <c r="E110" i="24"/>
  <c r="E111" i="24"/>
  <c r="E112" i="24"/>
  <c r="E113" i="24"/>
  <c r="E114" i="24"/>
  <c r="E115" i="24"/>
  <c r="E116" i="24"/>
  <c r="E117" i="24"/>
  <c r="E121" i="24"/>
  <c r="E122" i="24"/>
  <c r="E123" i="24"/>
  <c r="E124" i="24"/>
  <c r="E125" i="24"/>
  <c r="E126" i="24"/>
  <c r="E127" i="24"/>
  <c r="E128" i="24"/>
  <c r="E129" i="24"/>
  <c r="E130" i="24"/>
  <c r="E131" i="24"/>
  <c r="E132" i="24"/>
  <c r="E133" i="24"/>
  <c r="E134" i="24"/>
  <c r="E135" i="24"/>
  <c r="E136" i="24"/>
  <c r="E137" i="24"/>
  <c r="E138" i="24"/>
  <c r="E140" i="24"/>
  <c r="E142" i="24"/>
  <c r="E143" i="24"/>
  <c r="E144" i="24"/>
  <c r="E145" i="24"/>
  <c r="E146" i="24"/>
  <c r="E147" i="24"/>
  <c r="E148" i="24"/>
  <c r="E149" i="24"/>
  <c r="E150" i="24"/>
  <c r="E152" i="24"/>
  <c r="E153" i="24"/>
  <c r="E154" i="24"/>
  <c r="E155" i="24"/>
  <c r="E156" i="24"/>
  <c r="E157" i="24"/>
  <c r="E158" i="24"/>
  <c r="E160" i="24"/>
  <c r="E161" i="24"/>
  <c r="E162" i="24"/>
  <c r="E163" i="24"/>
  <c r="E164" i="24"/>
  <c r="E165" i="24"/>
  <c r="E166" i="24"/>
  <c r="E4" i="24"/>
  <c r="A121" i="24"/>
  <c r="B121" i="24"/>
  <c r="A122" i="24"/>
  <c r="B122" i="24"/>
  <c r="A123" i="24"/>
  <c r="B123" i="24"/>
  <c r="A124" i="24"/>
  <c r="B124" i="24"/>
  <c r="A125" i="24"/>
  <c r="B125" i="24"/>
  <c r="A126" i="24"/>
  <c r="B126" i="24"/>
  <c r="A127" i="24"/>
  <c r="B127" i="24"/>
  <c r="A128" i="24"/>
  <c r="B128" i="24"/>
  <c r="A129" i="24"/>
  <c r="B129" i="24"/>
  <c r="A130" i="24"/>
  <c r="B130" i="24"/>
  <c r="A131" i="24"/>
  <c r="B131" i="24"/>
  <c r="A132" i="24"/>
  <c r="B132" i="24"/>
  <c r="A133" i="24"/>
  <c r="B133" i="24"/>
  <c r="A134" i="24"/>
  <c r="B134" i="24"/>
  <c r="A135" i="24"/>
  <c r="B135" i="24"/>
  <c r="A136" i="24"/>
  <c r="B136" i="24"/>
  <c r="A137" i="24"/>
  <c r="B137" i="24"/>
  <c r="A138" i="24"/>
  <c r="B138" i="24"/>
  <c r="A139" i="24"/>
  <c r="B139" i="24"/>
  <c r="C139" i="24"/>
  <c r="E139" i="24" s="1"/>
  <c r="A140" i="24"/>
  <c r="B140" i="24"/>
  <c r="A141" i="24"/>
  <c r="B141" i="24"/>
  <c r="C141" i="24"/>
  <c r="E141" i="24" s="1"/>
  <c r="A142" i="24"/>
  <c r="B142" i="24"/>
  <c r="A143" i="24"/>
  <c r="B143" i="24"/>
  <c r="A144" i="24"/>
  <c r="B144" i="24"/>
  <c r="A145" i="24"/>
  <c r="B145" i="24"/>
  <c r="A146" i="24"/>
  <c r="B146" i="24"/>
  <c r="A147" i="24"/>
  <c r="B147" i="24"/>
  <c r="A148" i="24"/>
  <c r="B148" i="24"/>
  <c r="A149" i="24"/>
  <c r="B149" i="24"/>
  <c r="A150" i="24"/>
  <c r="B150" i="24"/>
  <c r="A151" i="24"/>
  <c r="B151" i="24"/>
  <c r="C151" i="24"/>
  <c r="E151" i="24" s="1"/>
  <c r="A152" i="24"/>
  <c r="B152" i="24"/>
  <c r="A153" i="24"/>
  <c r="B153" i="24"/>
  <c r="A154" i="24"/>
  <c r="B154" i="24"/>
  <c r="A155" i="24"/>
  <c r="B155" i="24"/>
  <c r="A156" i="24"/>
  <c r="B156" i="24"/>
  <c r="A157" i="24"/>
  <c r="B157" i="24"/>
  <c r="A158" i="24"/>
  <c r="B158" i="24"/>
  <c r="A159" i="24"/>
  <c r="B159" i="24"/>
  <c r="C159" i="24"/>
  <c r="E159" i="24" s="1"/>
  <c r="A160" i="24"/>
  <c r="B160" i="24"/>
  <c r="A161" i="24"/>
  <c r="B161" i="24"/>
  <c r="A162" i="24"/>
  <c r="B162" i="24"/>
  <c r="A163" i="24"/>
  <c r="B163" i="24"/>
  <c r="A164" i="24"/>
  <c r="B164" i="24"/>
  <c r="A165" i="24"/>
  <c r="B165" i="24"/>
  <c r="E156" i="25" l="1"/>
  <c r="E118" i="24"/>
  <c r="E167" i="24"/>
  <c r="E168" i="24" s="1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2" i="23"/>
  <c r="E103" i="23"/>
  <c r="E104" i="23"/>
  <c r="E105" i="23"/>
  <c r="E109" i="23"/>
  <c r="E110" i="23"/>
  <c r="E111" i="23"/>
  <c r="E112" i="23"/>
  <c r="E113" i="23"/>
  <c r="E114" i="23"/>
  <c r="E115" i="23"/>
  <c r="E116" i="23"/>
  <c r="E117" i="23"/>
  <c r="E118" i="23"/>
  <c r="E119" i="23"/>
  <c r="E120" i="23"/>
  <c r="E121" i="23"/>
  <c r="E122" i="23"/>
  <c r="E123" i="23"/>
  <c r="E124" i="23"/>
  <c r="E125" i="23"/>
  <c r="E126" i="23"/>
  <c r="E127" i="23"/>
  <c r="E128" i="23"/>
  <c r="E129" i="23"/>
  <c r="E130" i="23"/>
  <c r="E131" i="23"/>
  <c r="E132" i="23"/>
  <c r="E133" i="23"/>
  <c r="E134" i="23"/>
  <c r="E135" i="23"/>
  <c r="E136" i="23"/>
  <c r="E137" i="23"/>
  <c r="E138" i="23"/>
  <c r="E139" i="23"/>
  <c r="E140" i="23"/>
  <c r="E141" i="23"/>
  <c r="E142" i="23"/>
  <c r="E143" i="23"/>
  <c r="E144" i="23"/>
  <c r="E145" i="23"/>
  <c r="E146" i="23"/>
  <c r="E147" i="23"/>
  <c r="E148" i="23"/>
  <c r="E149" i="23"/>
  <c r="E151" i="23"/>
  <c r="E152" i="23"/>
  <c r="E4" i="23"/>
  <c r="E106" i="23" l="1"/>
  <c r="E153" i="23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4" i="22"/>
  <c r="E154" i="23" l="1"/>
  <c r="E109" i="22"/>
  <c r="E158" i="22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4" i="20"/>
  <c r="E110" i="20" l="1"/>
  <c r="E154" i="20"/>
  <c r="E155" i="20" s="1"/>
  <c r="E159" i="22"/>
  <c r="C100" i="15"/>
  <c r="C60" i="13"/>
  <c r="E5" i="19" l="1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4" i="19"/>
  <c r="E165" i="19" l="1"/>
  <c r="E122" i="19"/>
  <c r="E166" i="19" s="1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4" i="18"/>
  <c r="E147" i="18" l="1"/>
  <c r="E104" i="18"/>
  <c r="E148" i="18" s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E191" i="17"/>
  <c r="E192" i="17"/>
  <c r="E193" i="17"/>
  <c r="E194" i="17"/>
  <c r="E195" i="17"/>
  <c r="E196" i="17"/>
  <c r="E197" i="17"/>
  <c r="E198" i="17"/>
  <c r="E3" i="17"/>
  <c r="E156" i="17" l="1"/>
  <c r="E199" i="17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E162" i="16"/>
  <c r="E163" i="16"/>
  <c r="E3" i="16"/>
  <c r="E200" i="17" l="1"/>
  <c r="E164" i="16"/>
  <c r="E121" i="16"/>
  <c r="E165" i="16" s="1"/>
  <c r="D68" i="15"/>
  <c r="D44" i="15"/>
  <c r="E44" i="15" s="1"/>
  <c r="E188" i="15"/>
  <c r="D183" i="15"/>
  <c r="E183" i="15" s="1"/>
  <c r="D176" i="15"/>
  <c r="E176" i="15" s="1"/>
  <c r="D174" i="15"/>
  <c r="E174" i="15" s="1"/>
  <c r="D173" i="15"/>
  <c r="E170" i="15"/>
  <c r="D165" i="15"/>
  <c r="E165" i="15" s="1"/>
  <c r="D163" i="15"/>
  <c r="E163" i="15" s="1"/>
  <c r="D162" i="15"/>
  <c r="E162" i="15" s="1"/>
  <c r="E155" i="15"/>
  <c r="E202" i="15"/>
  <c r="E198" i="15"/>
  <c r="E190" i="15"/>
  <c r="E178" i="15"/>
  <c r="E173" i="15"/>
  <c r="D140" i="15"/>
  <c r="E140" i="15" s="1"/>
  <c r="E127" i="15"/>
  <c r="D124" i="15"/>
  <c r="E124" i="15" s="1"/>
  <c r="D120" i="15"/>
  <c r="E120" i="15" s="1"/>
  <c r="E110" i="15"/>
  <c r="D100" i="15"/>
  <c r="E100" i="15" s="1"/>
  <c r="E99" i="15"/>
  <c r="E93" i="15"/>
  <c r="E88" i="15"/>
  <c r="D82" i="15"/>
  <c r="E82" i="15" s="1"/>
  <c r="D78" i="15"/>
  <c r="E78" i="15" s="1"/>
  <c r="E75" i="15"/>
  <c r="D73" i="15"/>
  <c r="E73" i="15" s="1"/>
  <c r="E69" i="15"/>
  <c r="D65" i="15"/>
  <c r="E65" i="15" s="1"/>
  <c r="E62" i="15"/>
  <c r="D57" i="15"/>
  <c r="E57" i="15" s="1"/>
  <c r="D50" i="15"/>
  <c r="E50" i="15" s="1"/>
  <c r="D40" i="15"/>
  <c r="E40" i="15" s="1"/>
  <c r="E35" i="15"/>
  <c r="D33" i="15"/>
  <c r="E33" i="15" s="1"/>
  <c r="D30" i="15"/>
  <c r="E30" i="15" s="1"/>
  <c r="D28" i="15"/>
  <c r="E28" i="15" s="1"/>
  <c r="D27" i="15"/>
  <c r="E27" i="15" s="1"/>
  <c r="D26" i="15"/>
  <c r="E26" i="15" s="1"/>
  <c r="D23" i="15"/>
  <c r="E23" i="15" s="1"/>
  <c r="D21" i="15"/>
  <c r="E21" i="15" s="1"/>
  <c r="E16" i="15"/>
  <c r="D11" i="15"/>
  <c r="E11" i="15" s="1"/>
  <c r="D4" i="15"/>
  <c r="E4" i="15" s="1"/>
  <c r="D3" i="15"/>
  <c r="E3" i="15" s="1"/>
  <c r="D2" i="15"/>
  <c r="E2" i="15" s="1"/>
  <c r="E203" i="15"/>
  <c r="E201" i="15"/>
  <c r="E199" i="15"/>
  <c r="E197" i="15"/>
  <c r="E194" i="15"/>
  <c r="E185" i="15"/>
  <c r="E180" i="15"/>
  <c r="E179" i="15"/>
  <c r="E169" i="15"/>
  <c r="E102" i="15"/>
  <c r="E97" i="15"/>
  <c r="E95" i="15"/>
  <c r="E91" i="15"/>
  <c r="E90" i="15"/>
  <c r="E87" i="15"/>
  <c r="E84" i="15"/>
  <c r="E80" i="15"/>
  <c r="E70" i="15"/>
  <c r="E68" i="15"/>
  <c r="E60" i="15"/>
  <c r="E59" i="15"/>
  <c r="E54" i="15"/>
  <c r="E36" i="15"/>
  <c r="E207" i="15" l="1"/>
  <c r="E157" i="15"/>
  <c r="E208" i="15" s="1"/>
  <c r="E210" i="10" l="1"/>
  <c r="E209" i="10"/>
  <c r="E208" i="10"/>
  <c r="E207" i="10"/>
  <c r="E200" i="10"/>
  <c r="E198" i="10"/>
  <c r="E197" i="10"/>
  <c r="E195" i="10"/>
  <c r="E194" i="10"/>
  <c r="E169" i="10"/>
  <c r="E161" i="10"/>
  <c r="E152" i="10"/>
  <c r="E108" i="10"/>
  <c r="E103" i="10"/>
  <c r="E100" i="10"/>
  <c r="E90" i="10"/>
  <c r="E87" i="10"/>
  <c r="E74" i="10"/>
  <c r="E73" i="10"/>
  <c r="E56" i="10"/>
  <c r="E41" i="10"/>
  <c r="E36" i="10"/>
  <c r="E21" i="10"/>
  <c r="E16" i="10"/>
  <c r="E2" i="10"/>
  <c r="E3" i="11"/>
  <c r="E15" i="11"/>
  <c r="E18" i="11"/>
  <c r="E27" i="11"/>
  <c r="E26" i="11"/>
  <c r="E30" i="11"/>
  <c r="E55" i="11"/>
  <c r="E64" i="11"/>
  <c r="E67" i="11"/>
  <c r="E95" i="11"/>
  <c r="E94" i="11"/>
  <c r="E109" i="11"/>
  <c r="E132" i="11"/>
  <c r="E194" i="11"/>
  <c r="E183" i="11"/>
  <c r="E180" i="11"/>
  <c r="E178" i="11"/>
  <c r="E176" i="11"/>
  <c r="E175" i="11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4" i="14"/>
  <c r="E172" i="14" l="1"/>
  <c r="E131" i="14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4" i="13"/>
  <c r="E173" i="14" l="1"/>
  <c r="E210" i="13"/>
  <c r="E159" i="13"/>
  <c r="C106" i="10"/>
  <c r="C206" i="10"/>
  <c r="E206" i="10" s="1"/>
  <c r="C59" i="8"/>
  <c r="C61" i="9"/>
  <c r="C90" i="7"/>
  <c r="J165" i="7"/>
  <c r="J163" i="7"/>
  <c r="E211" i="13" l="1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3" i="12"/>
  <c r="E139" i="12" l="1"/>
  <c r="E190" i="12"/>
  <c r="D200" i="11"/>
  <c r="E200" i="11" s="1"/>
  <c r="D199" i="11"/>
  <c r="E199" i="11" s="1"/>
  <c r="D198" i="11"/>
  <c r="E198" i="11" s="1"/>
  <c r="D196" i="11"/>
  <c r="E196" i="11" s="1"/>
  <c r="D190" i="11"/>
  <c r="E190" i="11" s="1"/>
  <c r="D188" i="11"/>
  <c r="E188" i="11" s="1"/>
  <c r="D185" i="11"/>
  <c r="E185" i="11" s="1"/>
  <c r="D165" i="11"/>
  <c r="E165" i="11" s="1"/>
  <c r="D69" i="11"/>
  <c r="E69" i="11" s="1"/>
  <c r="D98" i="11"/>
  <c r="E98" i="11" s="1"/>
  <c r="D86" i="11"/>
  <c r="E86" i="11" s="1"/>
  <c r="D83" i="11"/>
  <c r="E83" i="11" s="1"/>
  <c r="D71" i="11"/>
  <c r="E71" i="11" s="1"/>
  <c r="D70" i="11"/>
  <c r="E70" i="11" s="1"/>
  <c r="D41" i="11"/>
  <c r="E41" i="11" s="1"/>
  <c r="D36" i="11"/>
  <c r="E36" i="11" s="1"/>
  <c r="D2" i="11"/>
  <c r="E2" i="11" s="1"/>
  <c r="E191" i="12" l="1"/>
  <c r="D139" i="10"/>
  <c r="D72" i="10"/>
  <c r="E72" i="10" s="1"/>
  <c r="D46" i="10"/>
  <c r="D186" i="10"/>
  <c r="E186" i="10" s="1"/>
  <c r="D183" i="10"/>
  <c r="E183" i="10" s="1"/>
  <c r="D182" i="10"/>
  <c r="E182" i="10" s="1"/>
  <c r="D178" i="10"/>
  <c r="D176" i="10"/>
  <c r="E176" i="10" s="1"/>
  <c r="D175" i="10"/>
  <c r="E175" i="10" s="1"/>
  <c r="D136" i="10"/>
  <c r="D134" i="10"/>
  <c r="D133" i="10"/>
  <c r="E133" i="10" s="1"/>
  <c r="D131" i="10"/>
  <c r="D128" i="10"/>
  <c r="D126" i="10"/>
  <c r="D86" i="10"/>
  <c r="E86" i="10" s="1"/>
  <c r="D84" i="10"/>
  <c r="D78" i="10"/>
  <c r="D76" i="10"/>
  <c r="D64" i="10"/>
  <c r="D54" i="10"/>
  <c r="E54" i="10" s="1"/>
  <c r="D52" i="10"/>
  <c r="D35" i="10"/>
  <c r="E35" i="10" s="1"/>
  <c r="D33" i="10"/>
  <c r="E33" i="10" s="1"/>
  <c r="D11" i="10"/>
  <c r="E174" i="10"/>
  <c r="D133" i="11" l="1"/>
  <c r="E133" i="11" s="1"/>
  <c r="E139" i="10"/>
  <c r="D80" i="11"/>
  <c r="E80" i="11" s="1"/>
  <c r="E84" i="10"/>
  <c r="D52" i="11"/>
  <c r="E52" i="11" s="1"/>
  <c r="E52" i="10"/>
  <c r="D73" i="11"/>
  <c r="E73" i="11" s="1"/>
  <c r="E76" i="10"/>
  <c r="D125" i="11"/>
  <c r="E125" i="11" s="1"/>
  <c r="E131" i="10"/>
  <c r="D129" i="11"/>
  <c r="E129" i="11" s="1"/>
  <c r="E136" i="10"/>
  <c r="D46" i="11"/>
  <c r="E46" i="11" s="1"/>
  <c r="E46" i="10"/>
  <c r="D62" i="11"/>
  <c r="E62" i="11" s="1"/>
  <c r="E64" i="10"/>
  <c r="D75" i="11"/>
  <c r="E75" i="11" s="1"/>
  <c r="E78" i="10"/>
  <c r="D120" i="11"/>
  <c r="E120" i="11" s="1"/>
  <c r="E126" i="10"/>
  <c r="D122" i="11"/>
  <c r="E122" i="11" s="1"/>
  <c r="E128" i="10"/>
  <c r="D127" i="11"/>
  <c r="E127" i="11" s="1"/>
  <c r="E134" i="10"/>
  <c r="D169" i="11"/>
  <c r="E169" i="11" s="1"/>
  <c r="E178" i="10"/>
  <c r="D11" i="11"/>
  <c r="E11" i="11" s="1"/>
  <c r="E11" i="10"/>
  <c r="D166" i="11"/>
  <c r="E166" i="11" s="1"/>
  <c r="D167" i="11"/>
  <c r="E167" i="11" s="1"/>
  <c r="D173" i="11"/>
  <c r="E173" i="11" s="1"/>
  <c r="D23" i="9"/>
  <c r="E23" i="9" s="1"/>
  <c r="D12" i="9"/>
  <c r="E12" i="9" s="1"/>
  <c r="D206" i="9"/>
  <c r="D188" i="10" s="1"/>
  <c r="E188" i="10" s="1"/>
  <c r="E213" i="10" s="1"/>
  <c r="D200" i="9"/>
  <c r="D106" i="10" s="1"/>
  <c r="E106" i="10" s="1"/>
  <c r="E183" i="9"/>
  <c r="D171" i="9"/>
  <c r="D67" i="10" s="1"/>
  <c r="E67" i="10" s="1"/>
  <c r="E166" i="9"/>
  <c r="E163" i="9"/>
  <c r="E134" i="9"/>
  <c r="E83" i="9"/>
  <c r="D68" i="9"/>
  <c r="D24" i="10" s="1"/>
  <c r="E24" i="10" s="1"/>
  <c r="D63" i="9"/>
  <c r="E63" i="9" s="1"/>
  <c r="D61" i="9"/>
  <c r="E61" i="9" s="1"/>
  <c r="D58" i="9"/>
  <c r="E58" i="9" s="1"/>
  <c r="D57" i="9"/>
  <c r="E57" i="9" s="1"/>
  <c r="D52" i="9"/>
  <c r="E52" i="9" s="1"/>
  <c r="D49" i="9"/>
  <c r="E49" i="9" s="1"/>
  <c r="D47" i="9"/>
  <c r="E47" i="9" s="1"/>
  <c r="E41" i="9"/>
  <c r="D38" i="9"/>
  <c r="E38" i="9" s="1"/>
  <c r="D36" i="9"/>
  <c r="D13" i="10" s="1"/>
  <c r="E13" i="10" s="1"/>
  <c r="E33" i="9"/>
  <c r="D32" i="9"/>
  <c r="D8" i="10" s="1"/>
  <c r="E8" i="10" s="1"/>
  <c r="D27" i="9"/>
  <c r="E27" i="9" s="1"/>
  <c r="D21" i="9"/>
  <c r="D4" i="10" s="1"/>
  <c r="E4" i="10" s="1"/>
  <c r="D17" i="9"/>
  <c r="E17" i="9" s="1"/>
  <c r="D15" i="9"/>
  <c r="E15" i="9" s="1"/>
  <c r="D13" i="9"/>
  <c r="E13" i="9" s="1"/>
  <c r="D9" i="9"/>
  <c r="E9" i="9" s="1"/>
  <c r="E7" i="9"/>
  <c r="E196" i="9"/>
  <c r="E194" i="9"/>
  <c r="E193" i="9"/>
  <c r="E192" i="9"/>
  <c r="E191" i="9"/>
  <c r="E190" i="9"/>
  <c r="E189" i="9"/>
  <c r="E188" i="9"/>
  <c r="E187" i="9"/>
  <c r="E186" i="9"/>
  <c r="E178" i="9"/>
  <c r="E175" i="9"/>
  <c r="E173" i="9"/>
  <c r="E170" i="9"/>
  <c r="E165" i="9"/>
  <c r="E164" i="9"/>
  <c r="E162" i="9"/>
  <c r="E147" i="9"/>
  <c r="E93" i="9"/>
  <c r="E92" i="9"/>
  <c r="E82" i="9"/>
  <c r="E45" i="9"/>
  <c r="E43" i="9"/>
  <c r="E29" i="9"/>
  <c r="E170" i="10" l="1"/>
  <c r="E202" i="11"/>
  <c r="E21" i="9"/>
  <c r="E200" i="9"/>
  <c r="E68" i="9"/>
  <c r="E171" i="9"/>
  <c r="E36" i="9"/>
  <c r="E32" i="9"/>
  <c r="D24" i="11"/>
  <c r="E24" i="11" s="1"/>
  <c r="E206" i="9"/>
  <c r="D65" i="11"/>
  <c r="E65" i="11" s="1"/>
  <c r="D4" i="11"/>
  <c r="E4" i="11" s="1"/>
  <c r="D101" i="11"/>
  <c r="E101" i="11" s="1"/>
  <c r="D8" i="11"/>
  <c r="E8" i="11" s="1"/>
  <c r="D13" i="11"/>
  <c r="E13" i="11" s="1"/>
  <c r="E211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3" i="8"/>
  <c r="E207" i="9" l="1"/>
  <c r="E167" i="9"/>
  <c r="E161" i="8"/>
  <c r="E212" i="8"/>
  <c r="E161" i="11"/>
  <c r="E203" i="11" s="1"/>
  <c r="E214" i="10"/>
  <c r="C122" i="4"/>
  <c r="E208" i="9" l="1"/>
  <c r="E213" i="8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3" i="7"/>
  <c r="F117" i="7" l="1"/>
  <c r="F171" i="7"/>
  <c r="E178" i="7"/>
  <c r="E134" i="7"/>
  <c r="F216" i="6"/>
  <c r="F220" i="5"/>
  <c r="G223" i="3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3" i="6"/>
  <c r="E180" i="7" l="1"/>
  <c r="F179" i="7"/>
  <c r="E213" i="6"/>
  <c r="E162" i="6"/>
  <c r="E214" i="6" s="1"/>
  <c r="C58" i="5"/>
  <c r="D98" i="5"/>
  <c r="E98" i="5" s="1"/>
  <c r="D212" i="5"/>
  <c r="E212" i="5" s="1"/>
  <c r="D206" i="5"/>
  <c r="E206" i="5" s="1"/>
  <c r="D201" i="5"/>
  <c r="E201" i="5" s="1"/>
  <c r="D199" i="5"/>
  <c r="E199" i="5" s="1"/>
  <c r="D198" i="5"/>
  <c r="E198" i="5" s="1"/>
  <c r="D197" i="5"/>
  <c r="E197" i="5" s="1"/>
  <c r="D195" i="5"/>
  <c r="E195" i="5" s="1"/>
  <c r="D194" i="5"/>
  <c r="E194" i="5" s="1"/>
  <c r="D193" i="5"/>
  <c r="E193" i="5" s="1"/>
  <c r="D192" i="5"/>
  <c r="E192" i="5" s="1"/>
  <c r="D191" i="5"/>
  <c r="E191" i="5" s="1"/>
  <c r="D187" i="5"/>
  <c r="E187" i="5" s="1"/>
  <c r="D181" i="5"/>
  <c r="E181" i="5" s="1"/>
  <c r="D179" i="5"/>
  <c r="E179" i="5" s="1"/>
  <c r="D177" i="5"/>
  <c r="E177" i="5" s="1"/>
  <c r="D176" i="5"/>
  <c r="E176" i="5" s="1"/>
  <c r="E170" i="5"/>
  <c r="E167" i="5"/>
  <c r="E154" i="5"/>
  <c r="E142" i="5"/>
  <c r="E107" i="5"/>
  <c r="E94" i="5"/>
  <c r="E74" i="5"/>
  <c r="D58" i="5"/>
  <c r="E58" i="5" s="1"/>
  <c r="D57" i="5"/>
  <c r="E57" i="5" s="1"/>
  <c r="E56" i="5"/>
  <c r="D54" i="5"/>
  <c r="E54" i="5" s="1"/>
  <c r="E52" i="5"/>
  <c r="D50" i="5"/>
  <c r="E50" i="5" s="1"/>
  <c r="D48" i="5"/>
  <c r="E48" i="5" s="1"/>
  <c r="D46" i="5"/>
  <c r="E46" i="5" s="1"/>
  <c r="D45" i="5"/>
  <c r="E45" i="5" s="1"/>
  <c r="D44" i="5"/>
  <c r="E44" i="5" s="1"/>
  <c r="D42" i="5"/>
  <c r="E42" i="5" s="1"/>
  <c r="D40" i="5"/>
  <c r="E40" i="5" s="1"/>
  <c r="D37" i="5"/>
  <c r="E37" i="5" s="1"/>
  <c r="E35" i="5"/>
  <c r="E29" i="5"/>
  <c r="D27" i="5"/>
  <c r="E27" i="5" s="1"/>
  <c r="D21" i="5"/>
  <c r="E21" i="5" s="1"/>
  <c r="D17" i="5"/>
  <c r="E17" i="5" s="1"/>
  <c r="D15" i="5"/>
  <c r="E15" i="5" s="1"/>
  <c r="D13" i="5"/>
  <c r="E13" i="5" s="1"/>
  <c r="E7" i="5"/>
  <c r="E213" i="5"/>
  <c r="E180" i="5"/>
  <c r="E171" i="5"/>
  <c r="E169" i="5"/>
  <c r="E168" i="5"/>
  <c r="E162" i="5"/>
  <c r="E155" i="5"/>
  <c r="E146" i="5"/>
  <c r="E143" i="5"/>
  <c r="E140" i="5"/>
  <c r="E138" i="5"/>
  <c r="E96" i="5"/>
  <c r="E90" i="5"/>
  <c r="E75" i="5"/>
  <c r="E55" i="5"/>
  <c r="E32" i="5"/>
  <c r="E31" i="5"/>
  <c r="E23" i="5"/>
  <c r="E10" i="5"/>
  <c r="E214" i="5" l="1"/>
  <c r="E172" i="5"/>
  <c r="E215" i="5" l="1"/>
  <c r="E170" i="4" l="1"/>
  <c r="E171" i="4"/>
  <c r="E172" i="4"/>
  <c r="E173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 l="1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4" i="4"/>
  <c r="E174" i="4" l="1"/>
  <c r="E229" i="4" s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80" i="3"/>
  <c r="E181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4" i="3"/>
  <c r="E219" i="3" l="1"/>
  <c r="E179" i="3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2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4" i="2"/>
  <c r="E220" i="3" l="1"/>
  <c r="E120" i="2"/>
  <c r="E164" i="2"/>
  <c r="E165" i="2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4" i="1"/>
  <c r="E213" i="1" l="1"/>
  <c r="E165" i="1"/>
  <c r="E214" i="1" l="1"/>
</calcChain>
</file>

<file path=xl/sharedStrings.xml><?xml version="1.0" encoding="utf-8"?>
<sst xmlns="http://schemas.openxmlformats.org/spreadsheetml/2006/main" count="10596" uniqueCount="238">
  <si>
    <t>Tên Sản phẩm</t>
  </si>
  <si>
    <t>ĐVT</t>
  </si>
  <si>
    <t>Tồn
ĐL</t>
  </si>
  <si>
    <t>Bắp Cải Tím</t>
  </si>
  <si>
    <t>Kg</t>
  </si>
  <si>
    <t>Bắp Cải Trái Tim</t>
  </si>
  <si>
    <t>Bắp Cải Trắng</t>
  </si>
  <si>
    <t>Bí Đao Xanh</t>
  </si>
  <si>
    <t>Bí Đỏ Tròn</t>
  </si>
  <si>
    <t>Bí Ngòi Vàng</t>
  </si>
  <si>
    <t>Bí Ngòi Xanh</t>
  </si>
  <si>
    <t>Bí Non Nhật</t>
  </si>
  <si>
    <t>Bơ Booth</t>
  </si>
  <si>
    <t>Bông Cải Trắng</t>
  </si>
  <si>
    <t>Bông Cải Xanh Cọng</t>
  </si>
  <si>
    <t>Cà Chua Beef</t>
  </si>
  <si>
    <t>Cà Chua Beef Trung</t>
  </si>
  <si>
    <t>Cà Chua Bi Đỏ</t>
  </si>
  <si>
    <t>Cà Chua Thường</t>
  </si>
  <si>
    <t>Cà Rốt Baby</t>
  </si>
  <si>
    <t>Cà Rốt Trung</t>
  </si>
  <si>
    <t>Cà Tím</t>
  </si>
  <si>
    <t>Cải Thảo</t>
  </si>
  <si>
    <t>Cải Thảo Hỏa Tiễn</t>
  </si>
  <si>
    <t>Cần Tây</t>
  </si>
  <si>
    <t>Chanh Dây Tím</t>
  </si>
  <si>
    <t>Chuối Laba</t>
  </si>
  <si>
    <t>Củ Cải Trắng</t>
  </si>
  <si>
    <t>Củ Dền</t>
  </si>
  <si>
    <t>Củ Hành Tây</t>
  </si>
  <si>
    <t>Củ Khoai Lang Mật</t>
  </si>
  <si>
    <t>Túi</t>
  </si>
  <si>
    <t>Củ Khoai Lang Nhật</t>
  </si>
  <si>
    <t>Củ Khoai Tây Bi Vàng</t>
  </si>
  <si>
    <t>Củ Khoai Tây Vàng</t>
  </si>
  <si>
    <t>Củ Su Hào</t>
  </si>
  <si>
    <t>Đậu Cove Nhật 300Gr</t>
  </si>
  <si>
    <t>Đậu Cove Trắng</t>
  </si>
  <si>
    <t>Đậu Cove Trắng 500Gr</t>
  </si>
  <si>
    <t>Dưa Leo Baby</t>
  </si>
  <si>
    <t>Hành Paro</t>
  </si>
  <si>
    <t>Hạt Dẻ Ngố</t>
  </si>
  <si>
    <t>Lá Mè</t>
  </si>
  <si>
    <t>Ớt Chuông Đỏ</t>
  </si>
  <si>
    <t>Ớt Chuông Vàng</t>
  </si>
  <si>
    <t>Ớt Chuông Xanh</t>
  </si>
  <si>
    <t>Ớt Sweet Palemo</t>
  </si>
  <si>
    <t>Trái Su Su</t>
  </si>
  <si>
    <t>Xà Lách Mỡ T.C</t>
  </si>
  <si>
    <t>Cà Rốt</t>
  </si>
  <si>
    <t>Vỉ</t>
  </si>
  <si>
    <t>Củ Cải Đỏ</t>
  </si>
  <si>
    <t>Củ Cải Đỏ 300Gr</t>
  </si>
  <si>
    <t>Hộp</t>
  </si>
  <si>
    <t>Củ Gừng</t>
  </si>
  <si>
    <t>Củ Hành Tây Tím</t>
  </si>
  <si>
    <t>Củ Hành Tây Trung</t>
  </si>
  <si>
    <t>Củ Khoai Lang Mật Size 46</t>
  </si>
  <si>
    <t>Củ Khoai Mỡ</t>
  </si>
  <si>
    <t>Bông Cải Xanh 7Cm</t>
  </si>
  <si>
    <t>Bông Cải Xanh Baby</t>
  </si>
  <si>
    <t>Hoa Atiso Đỏ</t>
  </si>
  <si>
    <t>Cải Bó Xôi</t>
  </si>
  <si>
    <t>Cải Cầu Vồng</t>
  </si>
  <si>
    <t>Cải Kale</t>
  </si>
  <si>
    <t>Túi 150gr</t>
  </si>
  <si>
    <t>Cây</t>
  </si>
  <si>
    <t>Lá Nha Đam</t>
  </si>
  <si>
    <t>Lá Tía Tô</t>
  </si>
  <si>
    <t>Lá Hương Thảo</t>
  </si>
  <si>
    <t>Măng Tây</t>
  </si>
  <si>
    <t>Bó</t>
  </si>
  <si>
    <t>Rau Ngò Rí</t>
  </si>
  <si>
    <t>Gói</t>
  </si>
  <si>
    <t>Xà Lách Lolo Xanh</t>
  </si>
  <si>
    <t>Xà Lách Lolo Xanh T.C</t>
  </si>
  <si>
    <t>Xà Lách Lolo Xanh T.C Cây</t>
  </si>
  <si>
    <t>Xà Lách Mỡ T.C Cây</t>
  </si>
  <si>
    <t>Xà Lách Mỹ</t>
  </si>
  <si>
    <t>Xà Lách Rocket</t>
  </si>
  <si>
    <t>Xà Lách Romaine</t>
  </si>
  <si>
    <t>Xà Lách Thủy Tinh T.C</t>
  </si>
  <si>
    <t>Xà Lách Thủy Tinh T.C Cây</t>
  </si>
  <si>
    <t>Xà Lách Mỡ</t>
  </si>
  <si>
    <t>Trái</t>
  </si>
  <si>
    <t>Bí Đỏ Hồ Lô</t>
  </si>
  <si>
    <t>Cà Chua Beef 500Gr</t>
  </si>
  <si>
    <t>Cà Chua Beef 650Gr</t>
  </si>
  <si>
    <t>Cà Chua Bi 300Gr</t>
  </si>
  <si>
    <t>Cà Chua Bi Mix</t>
  </si>
  <si>
    <t>Cà Chua Socola</t>
  </si>
  <si>
    <t>Cà Chua Socola 250Gr</t>
  </si>
  <si>
    <t>Cà Chua Thường Trung</t>
  </si>
  <si>
    <t>Cà Tím Cặp 400Gr</t>
  </si>
  <si>
    <t>Chanh Không Hạt</t>
  </si>
  <si>
    <t>Đậu Cove Trắng 300Gr</t>
  </si>
  <si>
    <t>Đậu Đỏ</t>
  </si>
  <si>
    <t>Đậu Ngự</t>
  </si>
  <si>
    <t>Dưa Leo Baby 500Gr</t>
  </si>
  <si>
    <t>Dưa Leo Nhật</t>
  </si>
  <si>
    <t>Dưa Leo Thường</t>
  </si>
  <si>
    <t>Ớt Chuông Baby</t>
  </si>
  <si>
    <t>Ớt Chuông Snack</t>
  </si>
  <si>
    <t>Ớt Sweet Palemo 300Gr</t>
  </si>
  <si>
    <t>Trái Chanh Vàng</t>
  </si>
  <si>
    <t>Đậu Trắng</t>
  </si>
  <si>
    <t>Bí Ngô Mini</t>
  </si>
  <si>
    <t>Trái Khổ Qua</t>
  </si>
  <si>
    <t>Cà Chua Socola 300gr</t>
  </si>
  <si>
    <t>Trái Mâm Xôi</t>
  </si>
  <si>
    <t>Trái Mít Thái</t>
  </si>
  <si>
    <t>Hạt Dẻ Tươi</t>
  </si>
  <si>
    <t>Ớt Chuông Ba Màu Vỉ 350gr</t>
  </si>
  <si>
    <t>Đậu Tươi Hỗn Hợp Túi 100gr</t>
  </si>
  <si>
    <t>Nguyên Liệu Cơm Chiên Dương Châu Túi 150gr</t>
  </si>
  <si>
    <t>Set Rau Salad</t>
  </si>
  <si>
    <t>Ớt Chuông Ba Màu</t>
  </si>
  <si>
    <t>Củ Khoai Lang Mật Size 23</t>
  </si>
  <si>
    <t>Củ Khoai Sâm</t>
  </si>
  <si>
    <t>Rau Ngót</t>
  </si>
  <si>
    <t>Cải Thìa</t>
  </si>
  <si>
    <t>Hồng Treo Gió</t>
  </si>
  <si>
    <t>Củ Sắn</t>
  </si>
  <si>
    <t>Đậu Cove Nhật</t>
  </si>
  <si>
    <t>Hồng Giòn Đà Lạt</t>
  </si>
  <si>
    <t>Ngọn Su Su</t>
  </si>
  <si>
    <t>Lá É</t>
  </si>
  <si>
    <t>Đậu Hà Lan Trái</t>
  </si>
  <si>
    <t>Trái Bầu</t>
  </si>
  <si>
    <t>Xà Lách Lolo Xanh Sushi</t>
  </si>
  <si>
    <t>Rau Cải Cúc</t>
  </si>
  <si>
    <t>Bông Cải Xanh 12Cm</t>
  </si>
  <si>
    <t>Cải Bẹ Dún T.C</t>
  </si>
  <si>
    <t>Rau Bầu Đất</t>
  </si>
  <si>
    <t>Cà Chua Beef Chùm</t>
  </si>
  <si>
    <t>Củ Khoai Lang Mật Size 78</t>
  </si>
  <si>
    <t>Ớt Chuông Đỏ Trung</t>
  </si>
  <si>
    <t>giá</t>
  </si>
  <si>
    <t>thành tiền</t>
  </si>
  <si>
    <t>kq</t>
  </si>
  <si>
    <t>hàng tồn cuối ngày 1/11 vr</t>
  </si>
  <si>
    <t>Lá Quế Tây</t>
  </si>
  <si>
    <t>Củ Khoai Tây Vàng Trung</t>
  </si>
  <si>
    <t>Ớt Chuông Vàng Trung</t>
  </si>
  <si>
    <t>Củ Cải Muối</t>
  </si>
  <si>
    <t>Cải Thảo Kim Chi</t>
  </si>
  <si>
    <t>hàng tồn cuối ngày 2/11 vr</t>
  </si>
  <si>
    <t>Hộp 300gr</t>
  </si>
  <si>
    <t>Hộp 250GR</t>
  </si>
  <si>
    <t>Cặp</t>
  </si>
  <si>
    <t>Túi 300gr</t>
  </si>
  <si>
    <t>Túi 500gr</t>
  </si>
  <si>
    <t>Xà Lách Romaine T.C</t>
  </si>
  <si>
    <t>Củ Khoai Lang Mật Size 710</t>
  </si>
  <si>
    <t>Ớt Sừng Vàng</t>
  </si>
  <si>
    <t>Củ Khoai Lang Mật Size 910</t>
  </si>
  <si>
    <t>Củ Khoai Tây Hồng</t>
  </si>
  <si>
    <t>Xà Lách Carol</t>
  </si>
  <si>
    <t>Xà Lách Lolo Tím</t>
  </si>
  <si>
    <t>Cà Chua Bi Cam Sữa</t>
  </si>
  <si>
    <t>Trái Cóc Non</t>
  </si>
  <si>
    <t>Ớt Chuông Xanh Trung</t>
  </si>
  <si>
    <t>hàng tồn cuối ngày 3/11 vr</t>
  </si>
  <si>
    <t>Bắp</t>
  </si>
  <si>
    <t>Vỉ 650gr</t>
  </si>
  <si>
    <t>Vỉ 500gr</t>
  </si>
  <si>
    <t>Củ Khoai Lang Mật Size Nhỏ</t>
  </si>
  <si>
    <t>Cà Tím Sọc Pha Lê</t>
  </si>
  <si>
    <t>ớt chuông đỏ trung</t>
  </si>
  <si>
    <t>ớt chuông xanh trung</t>
  </si>
  <si>
    <t>hàng tồn cuối ngày 4/11 vr</t>
  </si>
  <si>
    <t>Măng Cụt L2</t>
  </si>
  <si>
    <t>dung 22, giang 20</t>
  </si>
  <si>
    <t xml:space="preserve">túi </t>
  </si>
  <si>
    <t xml:space="preserve">Cây </t>
  </si>
  <si>
    <t>Bông Cải Xanh 10Cm</t>
  </si>
  <si>
    <t>Cải Ngọt</t>
  </si>
  <si>
    <t>Giá</t>
  </si>
  <si>
    <t>Thành tiền</t>
  </si>
  <si>
    <t>TỔNG VR</t>
  </si>
  <si>
    <t>TỔNG KQ</t>
  </si>
  <si>
    <t>TỔNG VR + KQ</t>
  </si>
  <si>
    <t>2 TẤN ĐI ĐƯỜNG</t>
  </si>
  <si>
    <t>Bông Bí Nụ</t>
  </si>
  <si>
    <t>hàng tồn cuối ngày 6/11 vr</t>
  </si>
  <si>
    <t>80kg giá 20. 170kg tồn giá 17</t>
  </si>
  <si>
    <t>19 vs 22,5</t>
  </si>
  <si>
    <t>hàng tồn cuối ngày 7/11 vr</t>
  </si>
  <si>
    <t>cải thảo kim chi</t>
  </si>
  <si>
    <t>CAM</t>
  </si>
  <si>
    <t>tồn</t>
  </si>
  <si>
    <t>trí 5,5. sơn 7,5</t>
  </si>
  <si>
    <t>Trái 250gr</t>
  </si>
  <si>
    <t>Trái 150gr</t>
  </si>
  <si>
    <t>Túi 1kg</t>
  </si>
  <si>
    <t>ĐANG ĐI ĐƯỜNG 500</t>
  </si>
  <si>
    <t>ĐANG ĐI ĐƯỜNG 1500</t>
  </si>
  <si>
    <t>hàng tồn cuối ngày 12/11 vr</t>
  </si>
  <si>
    <t>hàng tồn cuối ngày 13/11 vr</t>
  </si>
  <si>
    <t xml:space="preserve">giá </t>
  </si>
  <si>
    <t>hàng tồn cuối ngày 14/11 vr</t>
  </si>
  <si>
    <t>hàng tồn cuối ngày 16/11</t>
  </si>
  <si>
    <t>tiên 3. hồng 7</t>
  </si>
  <si>
    <t>Hộp 500gr</t>
  </si>
  <si>
    <t>Trái Đậu Bắp</t>
  </si>
  <si>
    <t>hàng tồn cuối ngày 17/11 vr</t>
  </si>
  <si>
    <t>Tồn</t>
  </si>
  <si>
    <t>hàng tồn cuối ngày 18/11 vr</t>
  </si>
  <si>
    <t>socola 300gr</t>
  </si>
  <si>
    <t>hôp</t>
  </si>
  <si>
    <t>hàng tồn cuối ngày 19/11 vr</t>
  </si>
  <si>
    <t>giá nhập</t>
  </si>
  <si>
    <t>1500 đi đường</t>
  </si>
  <si>
    <t>500 đi đường</t>
  </si>
  <si>
    <t>củ cải muối</t>
  </si>
  <si>
    <t>kg</t>
  </si>
  <si>
    <t>hàng tồn cuối ngày 20/11 vr</t>
  </si>
  <si>
    <t>Rau Mầm</t>
  </si>
  <si>
    <t>hàng tồn cuối ngày 21/11 vr</t>
  </si>
  <si>
    <t>Trái Cam Canh</t>
  </si>
  <si>
    <t>hàng tồn cuối ngày 22/11 vr</t>
  </si>
  <si>
    <t>CẢI THẢO KIM CHI</t>
  </si>
  <si>
    <t>hàng tồn cuối ngày 23/11 vr</t>
  </si>
  <si>
    <t>KG</t>
  </si>
  <si>
    <t>CỦ CẢI MUỐI</t>
  </si>
  <si>
    <t>hàng tồn cuối ngày 24/11 vr</t>
  </si>
  <si>
    <t>hàng tồn cuối ngày 25/11</t>
  </si>
  <si>
    <t xml:space="preserve">tồn </t>
  </si>
  <si>
    <t>đi đường</t>
  </si>
  <si>
    <t>2 tấn đi đường và 700 tồn ở a Hậu</t>
  </si>
  <si>
    <t>hàng tồn cuối ngày 26/11 vr</t>
  </si>
  <si>
    <t>Bơ 034 L1</t>
  </si>
  <si>
    <t>hàng tồn cuối ngày 27/11 vr</t>
  </si>
  <si>
    <t>Trái Bưởi Diễn</t>
  </si>
  <si>
    <t>hàng tồn cuối ngày 28/11 vr</t>
  </si>
  <si>
    <t>Tên Sản phẩm VR</t>
  </si>
  <si>
    <t>Tên Sản phẩm KQ</t>
  </si>
  <si>
    <t>hàng tồn cuối ngày 30/11 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</si>
</sst>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1"/>
      <name val="Times New Roman"/>
      <family val="2"/>
    </font>
    <font>
      <b/>
      <sz val="11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5">
    <xf numFmtId="0" fontId="0" fillId="0" borderId="0" xfId="0"/>
    <xf numFmtId="0" fontId="0" fillId="2" borderId="1" xfId="0" applyFill="1" applyBorder="1" applyAlignment="1">
      <alignment vertical="center"/>
    </xf>
    <xf numFmtId="165" fontId="0" fillId="2" borderId="1" xfId="1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165" fontId="3" fillId="4" borderId="1" xfId="1" applyNumberFormat="1" applyFont="1" applyFill="1" applyBorder="1" applyAlignment="1">
      <alignment vertical="center"/>
    </xf>
    <xf numFmtId="165" fontId="3" fillId="0" borderId="1" xfId="1" applyNumberFormat="1" applyFont="1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165" fontId="0" fillId="4" borderId="0" xfId="1" applyNumberFormat="1" applyFont="1" applyFill="1" applyAlignment="1">
      <alignment vertical="center"/>
    </xf>
    <xf numFmtId="165" fontId="0" fillId="0" borderId="0" xfId="1" applyNumberFormat="1" applyFont="1" applyAlignment="1">
      <alignment vertical="center"/>
    </xf>
    <xf numFmtId="165" fontId="0" fillId="0" borderId="0" xfId="0" applyNumberFormat="1"/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165" fontId="6" fillId="4" borderId="1" xfId="1" applyNumberFormat="1" applyFont="1" applyFill="1" applyBorder="1" applyAlignment="1">
      <alignment horizontal="center" vertical="center" wrapText="1"/>
    </xf>
    <xf numFmtId="165" fontId="6" fillId="0" borderId="1" xfId="1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165" fontId="6" fillId="4" borderId="1" xfId="1" applyNumberFormat="1" applyFont="1" applyFill="1" applyBorder="1" applyAlignment="1">
      <alignment vertical="center"/>
    </xf>
    <xf numFmtId="165" fontId="6" fillId="0" borderId="1" xfId="1" applyNumberFormat="1" applyFont="1" applyFill="1" applyBorder="1" applyAlignment="1">
      <alignment vertical="center"/>
    </xf>
    <xf numFmtId="0" fontId="4" fillId="0" borderId="0" xfId="0" applyFont="1"/>
    <xf numFmtId="165" fontId="0" fillId="0" borderId="0" xfId="1" applyNumberFormat="1" applyFont="1"/>
    <xf numFmtId="0" fontId="0" fillId="2" borderId="0" xfId="0" applyFill="1"/>
    <xf numFmtId="0" fontId="3" fillId="5" borderId="1" xfId="0" applyFont="1" applyFill="1" applyBorder="1" applyAlignment="1">
      <alignment vertical="center"/>
    </xf>
    <xf numFmtId="165" fontId="3" fillId="2" borderId="1" xfId="1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165" fontId="5" fillId="2" borderId="1" xfId="0" applyNumberFormat="1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165" fontId="8" fillId="2" borderId="1" xfId="0" applyNumberFormat="1" applyFont="1" applyFill="1" applyBorder="1" applyAlignment="1">
      <alignment vertical="center"/>
    </xf>
    <xf numFmtId="0" fontId="8" fillId="2" borderId="0" xfId="0" applyFont="1" applyFill="1"/>
    <xf numFmtId="0" fontId="7" fillId="8" borderId="1" xfId="0" applyFont="1" applyFill="1" applyBorder="1" applyAlignment="1">
      <alignment horizontal="center" vertical="center"/>
    </xf>
    <xf numFmtId="165" fontId="7" fillId="9" borderId="1" xfId="1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/>
    </xf>
    <xf numFmtId="165" fontId="8" fillId="7" borderId="1" xfId="0" applyNumberFormat="1" applyFont="1" applyFill="1" applyBorder="1" applyAlignment="1">
      <alignment vertical="center"/>
    </xf>
    <xf numFmtId="0" fontId="7" fillId="10" borderId="0" xfId="0" applyFont="1" applyFill="1"/>
    <xf numFmtId="0" fontId="8" fillId="10" borderId="0" xfId="0" applyFont="1" applyFill="1"/>
    <xf numFmtId="165" fontId="8" fillId="2" borderId="1" xfId="0" applyNumberFormat="1" applyFont="1" applyFill="1" applyBorder="1"/>
    <xf numFmtId="165" fontId="8" fillId="2" borderId="1" xfId="1" applyNumberFormat="1" applyFont="1" applyFill="1" applyBorder="1" applyAlignment="1">
      <alignment vertical="center"/>
    </xf>
    <xf numFmtId="165" fontId="8" fillId="7" borderId="1" xfId="1" applyNumberFormat="1" applyFont="1" applyFill="1" applyBorder="1" applyAlignment="1">
      <alignment vertical="center"/>
    </xf>
    <xf numFmtId="165" fontId="8" fillId="2" borderId="1" xfId="1" applyNumberFormat="1" applyFont="1" applyFill="1" applyBorder="1"/>
    <xf numFmtId="165" fontId="8" fillId="7" borderId="1" xfId="1" applyNumberFormat="1" applyFont="1" applyFill="1" applyBorder="1"/>
    <xf numFmtId="165" fontId="8" fillId="10" borderId="0" xfId="1" applyNumberFormat="1" applyFont="1" applyFill="1"/>
    <xf numFmtId="165" fontId="8" fillId="2" borderId="0" xfId="1" applyNumberFormat="1" applyFont="1" applyFill="1"/>
    <xf numFmtId="165" fontId="6" fillId="11" borderId="1" xfId="1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vertical="center"/>
    </xf>
    <xf numFmtId="165" fontId="4" fillId="0" borderId="0" xfId="1" applyNumberFormat="1" applyFont="1"/>
    <xf numFmtId="0" fontId="9" fillId="0" borderId="0" xfId="0" applyFont="1"/>
    <xf numFmtId="0" fontId="10" fillId="0" borderId="0" xfId="0" applyFont="1"/>
    <xf numFmtId="0" fontId="11" fillId="3" borderId="1" xfId="0" applyFont="1" applyFill="1" applyBorder="1" applyAlignment="1">
      <alignment horizontal="center" vertical="center" wrapText="1"/>
    </xf>
    <xf numFmtId="165" fontId="11" fillId="4" borderId="1" xfId="1" applyNumberFormat="1" applyFont="1" applyFill="1" applyBorder="1" applyAlignment="1">
      <alignment horizontal="center" vertical="center" wrapText="1"/>
    </xf>
    <xf numFmtId="165" fontId="11" fillId="0" borderId="1" xfId="1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/>
    </xf>
    <xf numFmtId="165" fontId="11" fillId="4" borderId="1" xfId="1" applyNumberFormat="1" applyFont="1" applyFill="1" applyBorder="1" applyAlignment="1">
      <alignment vertical="center"/>
    </xf>
    <xf numFmtId="165" fontId="11" fillId="0" borderId="1" xfId="1" applyNumberFormat="1" applyFont="1" applyFill="1" applyBorder="1" applyAlignment="1">
      <alignment vertical="center"/>
    </xf>
    <xf numFmtId="165" fontId="10" fillId="0" borderId="0" xfId="1" applyNumberFormat="1" applyFont="1"/>
    <xf numFmtId="165" fontId="0" fillId="7" borderId="0" xfId="1" applyNumberFormat="1" applyFont="1" applyFill="1"/>
    <xf numFmtId="165" fontId="3" fillId="0" borderId="1" xfId="1" applyNumberFormat="1" applyFont="1" applyBorder="1" applyAlignment="1">
      <alignment vertical="center" wrapText="1"/>
    </xf>
    <xf numFmtId="0" fontId="3" fillId="3" borderId="0" xfId="0" applyFont="1" applyFill="1" applyAlignment="1">
      <alignment vertical="center"/>
    </xf>
    <xf numFmtId="0" fontId="0" fillId="2" borderId="1" xfId="0" applyFill="1" applyBorder="1"/>
    <xf numFmtId="0" fontId="5" fillId="2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165" fontId="7" fillId="2" borderId="1" xfId="1" applyNumberFormat="1" applyFont="1" applyFill="1" applyBorder="1"/>
    <xf numFmtId="165" fontId="7" fillId="7" borderId="1" xfId="1" applyNumberFormat="1" applyFont="1" applyFill="1" applyBorder="1"/>
    <xf numFmtId="165" fontId="7" fillId="2" borderId="0" xfId="1" applyNumberFormat="1" applyFont="1" applyFill="1"/>
    <xf numFmtId="165" fontId="7" fillId="10" borderId="0" xfId="1" applyNumberFormat="1" applyFont="1" applyFill="1"/>
    <xf numFmtId="165" fontId="7" fillId="2" borderId="1" xfId="1" applyNumberFormat="1" applyFont="1" applyFill="1" applyBorder="1" applyAlignment="1">
      <alignment vertical="center"/>
    </xf>
    <xf numFmtId="165" fontId="7" fillId="7" borderId="1" xfId="1" applyNumberFormat="1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165" fontId="7" fillId="2" borderId="1" xfId="1" applyNumberFormat="1" applyFont="1" applyFill="1" applyBorder="1" applyAlignment="1">
      <alignment vertical="center" wrapText="1"/>
    </xf>
    <xf numFmtId="0" fontId="8" fillId="2" borderId="1" xfId="0" applyFont="1" applyFill="1" applyBorder="1"/>
    <xf numFmtId="0" fontId="8" fillId="7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12" fillId="2" borderId="0" xfId="0" applyFont="1" applyFill="1"/>
    <xf numFmtId="0" fontId="13" fillId="5" borderId="1" xfId="0" applyFont="1" applyFill="1" applyBorder="1" applyAlignment="1">
      <alignment vertical="center"/>
    </xf>
    <xf numFmtId="165" fontId="13" fillId="2" borderId="1" xfId="1" applyNumberFormat="1" applyFont="1" applyFill="1" applyBorder="1" applyAlignment="1">
      <alignment vertical="center"/>
    </xf>
    <xf numFmtId="0" fontId="12" fillId="2" borderId="1" xfId="0" applyFont="1" applyFill="1" applyBorder="1"/>
    <xf numFmtId="165" fontId="12" fillId="2" borderId="1" xfId="1" applyNumberFormat="1" applyFont="1" applyFill="1" applyBorder="1"/>
    <xf numFmtId="165" fontId="12" fillId="2" borderId="0" xfId="1" applyNumberFormat="1" applyFont="1" applyFill="1"/>
    <xf numFmtId="0" fontId="13" fillId="6" borderId="1" xfId="0" applyFont="1" applyFill="1" applyBorder="1" applyAlignment="1">
      <alignment vertical="center"/>
    </xf>
    <xf numFmtId="165" fontId="13" fillId="7" borderId="1" xfId="1" applyNumberFormat="1" applyFont="1" applyFill="1" applyBorder="1" applyAlignment="1">
      <alignment vertical="center"/>
    </xf>
    <xf numFmtId="165" fontId="13" fillId="7" borderId="1" xfId="1" applyNumberFormat="1" applyFont="1" applyFill="1" applyBorder="1"/>
    <xf numFmtId="0" fontId="7" fillId="7" borderId="1" xfId="0" applyFont="1" applyFill="1" applyBorder="1" applyAlignment="1">
      <alignment vertical="center"/>
    </xf>
    <xf numFmtId="165" fontId="12" fillId="10" borderId="0" xfId="1" applyNumberFormat="1" applyFont="1" applyFill="1"/>
    <xf numFmtId="0" fontId="0" fillId="0" borderId="0" xfId="0" applyAlignment="1">
      <alignment wrapText="1"/>
    </xf>
    <xf numFmtId="0" fontId="6" fillId="3" borderId="2" xfId="0" applyFont="1" applyFill="1" applyBorder="1" applyAlignment="1">
      <alignment vertical="center"/>
    </xf>
    <xf numFmtId="0" fontId="5" fillId="11" borderId="2" xfId="0" applyFont="1" applyFill="1" applyBorder="1" applyAlignment="1">
      <alignment vertical="center"/>
    </xf>
    <xf numFmtId="165" fontId="6" fillId="0" borderId="2" xfId="1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65" fontId="8" fillId="10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cuments\Zalo%20Received%20Files\&#272;&#416;N%20H&#192;NG%20T&#7892;NG%20KQ%2026.11.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ƯA QUY ĐỔI"/>
      <sheetName val="ĐƠN ĐẶT HÀNG"/>
      <sheetName val="gọi"/>
      <sheetName val="Sheet4"/>
      <sheetName val="Sheet2"/>
      <sheetName val="ĐƠN HÀNG TỔNG"/>
      <sheetName val="Sheet1"/>
      <sheetName val="DANH SÁCH HÀNG HÓA, DỊCH VỤ"/>
      <sheetName val="CHIA KÉT"/>
    </sheetNames>
    <sheetDataSet>
      <sheetData sheetId="0" refreshError="1"/>
      <sheetData sheetId="1">
        <row r="5">
          <cell r="Z5" t="str">
            <v>VR0010001</v>
          </cell>
          <cell r="AA5" t="str">
            <v>Kg</v>
          </cell>
        </row>
        <row r="6">
          <cell r="Z6" t="str">
            <v>VR0010007</v>
          </cell>
          <cell r="AA6" t="str">
            <v>Kg</v>
          </cell>
        </row>
        <row r="7">
          <cell r="Z7" t="str">
            <v>VR0010008</v>
          </cell>
          <cell r="AA7" t="str">
            <v>Kg</v>
          </cell>
        </row>
        <row r="8">
          <cell r="Z8" t="str">
            <v>VR0010011</v>
          </cell>
          <cell r="AA8" t="str">
            <v>Kg</v>
          </cell>
        </row>
        <row r="9">
          <cell r="Z9" t="str">
            <v>VR0010014</v>
          </cell>
          <cell r="AA9" t="str">
            <v>Túi</v>
          </cell>
        </row>
        <row r="10">
          <cell r="Z10" t="str">
            <v>VR0010016</v>
          </cell>
          <cell r="AA10" t="str">
            <v>Kg</v>
          </cell>
        </row>
        <row r="11">
          <cell r="Z11" t="str">
            <v>VR0010019</v>
          </cell>
          <cell r="AA11" t="str">
            <v>Túi</v>
          </cell>
        </row>
        <row r="12">
          <cell r="Z12" t="str">
            <v>VR0010021</v>
          </cell>
          <cell r="AA12" t="str">
            <v>Kg</v>
          </cell>
        </row>
        <row r="13">
          <cell r="Z13" t="str">
            <v>VR0010024</v>
          </cell>
          <cell r="AA13" t="str">
            <v>Kg</v>
          </cell>
        </row>
        <row r="14">
          <cell r="Z14" t="str">
            <v>VR0020003</v>
          </cell>
          <cell r="AA14" t="str">
            <v>Kg</v>
          </cell>
        </row>
        <row r="15">
          <cell r="Z15" t="str">
            <v>VR0020004</v>
          </cell>
          <cell r="AA15" t="str">
            <v>Kg</v>
          </cell>
        </row>
        <row r="16">
          <cell r="Z16" t="str">
            <v>VR0030001</v>
          </cell>
          <cell r="AA16" t="str">
            <v>Kg</v>
          </cell>
        </row>
        <row r="17">
          <cell r="Z17" t="str">
            <v>VR0030002</v>
          </cell>
          <cell r="AA17" t="str">
            <v>Kg</v>
          </cell>
        </row>
        <row r="18">
          <cell r="Z18" t="str">
            <v>VR0030003</v>
          </cell>
          <cell r="AA18" t="str">
            <v>Kg</v>
          </cell>
        </row>
        <row r="19">
          <cell r="Z19" t="str">
            <v>VR0030008</v>
          </cell>
          <cell r="AA19" t="str">
            <v>Kg</v>
          </cell>
        </row>
        <row r="20">
          <cell r="Z20" t="str">
            <v>VR0030011</v>
          </cell>
          <cell r="AA20" t="str">
            <v>Kg</v>
          </cell>
        </row>
        <row r="21">
          <cell r="Z21" t="str">
            <v>VR0030012</v>
          </cell>
          <cell r="AA21" t="str">
            <v>Kg</v>
          </cell>
        </row>
        <row r="22">
          <cell r="Z22" t="str">
            <v>VR0030035</v>
          </cell>
          <cell r="AA22" t="str">
            <v>Cây</v>
          </cell>
        </row>
        <row r="23">
          <cell r="Z23" t="str">
            <v>VR0030037</v>
          </cell>
          <cell r="AA23" t="str">
            <v>Cây</v>
          </cell>
        </row>
        <row r="24">
          <cell r="Z24" t="str">
            <v>VR0030043</v>
          </cell>
          <cell r="AA24" t="str">
            <v>Cây</v>
          </cell>
        </row>
        <row r="25">
          <cell r="Z25" t="str">
            <v>VR0040001</v>
          </cell>
          <cell r="AA25" t="str">
            <v>Kg</v>
          </cell>
        </row>
        <row r="26">
          <cell r="Z26" t="str">
            <v>VR0040003</v>
          </cell>
          <cell r="AA26" t="str">
            <v>Kg</v>
          </cell>
        </row>
        <row r="27">
          <cell r="Z27" t="str">
            <v>VR0040005</v>
          </cell>
          <cell r="AA27" t="str">
            <v>Kg</v>
          </cell>
        </row>
        <row r="28">
          <cell r="Z28" t="str">
            <v>VR0040008</v>
          </cell>
          <cell r="AA28" t="str">
            <v>Kg</v>
          </cell>
        </row>
        <row r="29">
          <cell r="Z29" t="str">
            <v>VR0040018</v>
          </cell>
          <cell r="AA29" t="str">
            <v>Kg</v>
          </cell>
        </row>
        <row r="30">
          <cell r="Z30" t="str">
            <v>VR0040021</v>
          </cell>
          <cell r="AA30" t="str">
            <v>Kg</v>
          </cell>
        </row>
        <row r="31">
          <cell r="Z31" t="str">
            <v>VR0040039</v>
          </cell>
          <cell r="AA31" t="str">
            <v>Kg</v>
          </cell>
        </row>
        <row r="32">
          <cell r="Z32" t="str">
            <v>VR0040041</v>
          </cell>
          <cell r="AA32" t="str">
            <v>Kg</v>
          </cell>
        </row>
        <row r="33">
          <cell r="Z33" t="str">
            <v>VR0040042</v>
          </cell>
          <cell r="AA33" t="str">
            <v>Kg</v>
          </cell>
        </row>
        <row r="34">
          <cell r="Z34" t="str">
            <v>VR0040048</v>
          </cell>
          <cell r="AA34" t="str">
            <v>Kg</v>
          </cell>
        </row>
        <row r="35">
          <cell r="Z35" t="str">
            <v>VR0050001</v>
          </cell>
          <cell r="AA35" t="str">
            <v>Kg</v>
          </cell>
        </row>
        <row r="36">
          <cell r="Z36" t="str">
            <v>VR0050008</v>
          </cell>
          <cell r="AA36" t="str">
            <v>Kg</v>
          </cell>
        </row>
        <row r="37">
          <cell r="Z37" t="str">
            <v>VR0030009</v>
          </cell>
          <cell r="AA37" t="str">
            <v>Kg</v>
          </cell>
        </row>
        <row r="38">
          <cell r="Z38" t="str">
            <v>VR0040004</v>
          </cell>
          <cell r="AA38" t="str">
            <v>Kg</v>
          </cell>
        </row>
        <row r="39">
          <cell r="Z39" t="str">
            <v>VR0010020</v>
          </cell>
          <cell r="AA39" t="str">
            <v>Kg</v>
          </cell>
        </row>
        <row r="40">
          <cell r="Z40" t="str">
            <v>VR0040033</v>
          </cell>
          <cell r="AA40" t="str">
            <v>Vỉ</v>
          </cell>
        </row>
        <row r="41">
          <cell r="Z41" t="str">
            <v>VR0050028</v>
          </cell>
          <cell r="AA41" t="str">
            <v>Kg</v>
          </cell>
        </row>
        <row r="42">
          <cell r="Z42" t="str">
            <v>VR0040053</v>
          </cell>
          <cell r="AA42" t="str">
            <v>Túi</v>
          </cell>
        </row>
        <row r="43">
          <cell r="Z43" t="str">
            <v>VR0040025</v>
          </cell>
          <cell r="AA43" t="str">
            <v>Túi</v>
          </cell>
        </row>
        <row r="44">
          <cell r="Z44" t="str">
            <v>VR0050010</v>
          </cell>
          <cell r="AA44" t="str">
            <v>Kg</v>
          </cell>
        </row>
        <row r="45">
          <cell r="Z45" t="str">
            <v>VR0050016</v>
          </cell>
          <cell r="AA45" t="str">
            <v>Kg</v>
          </cell>
        </row>
        <row r="46">
          <cell r="Z46" t="str">
            <v>VR0030010</v>
          </cell>
          <cell r="AA46" t="str">
            <v>Kg</v>
          </cell>
        </row>
        <row r="47">
          <cell r="Z47" t="str">
            <v>VR0030034</v>
          </cell>
          <cell r="AA47" t="str">
            <v>Cây</v>
          </cell>
        </row>
        <row r="48">
          <cell r="Z48" t="str">
            <v>VR0050026</v>
          </cell>
          <cell r="AA48" t="str">
            <v>Hộp</v>
          </cell>
        </row>
        <row r="49">
          <cell r="Z49" t="str">
            <v>Tổng Cuối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B1" t="str">
            <v>Mã</v>
          </cell>
          <cell r="C1" t="str">
            <v>Tên</v>
          </cell>
        </row>
        <row r="2">
          <cell r="B2" t="str">
            <v>VR0030001</v>
          </cell>
          <cell r="C2" t="str">
            <v>Bắp Cải Tím</v>
          </cell>
        </row>
        <row r="3">
          <cell r="B3" t="str">
            <v>VR0030002</v>
          </cell>
          <cell r="C3" t="str">
            <v>Bắp Cải Trái Tim</v>
          </cell>
        </row>
        <row r="4">
          <cell r="B4" t="str">
            <v>VR0030003</v>
          </cell>
          <cell r="C4" t="str">
            <v>Bắp Cải Trắng</v>
          </cell>
        </row>
        <row r="5">
          <cell r="B5" t="str">
            <v>VR0010028</v>
          </cell>
          <cell r="C5" t="str">
            <v>Bí Da Cóc</v>
          </cell>
        </row>
        <row r="6">
          <cell r="B6" t="str">
            <v>VR0040001</v>
          </cell>
          <cell r="C6" t="str">
            <v>Bí Đao Xanh</v>
          </cell>
        </row>
        <row r="7">
          <cell r="B7" t="str">
            <v>VR0040002</v>
          </cell>
          <cell r="C7" t="str">
            <v>Bí Đỏ Hồ Lô</v>
          </cell>
        </row>
        <row r="8">
          <cell r="B8" t="str">
            <v>VR0040003</v>
          </cell>
          <cell r="C8" t="str">
            <v>Bí Đỏ Tròn</v>
          </cell>
        </row>
        <row r="9">
          <cell r="B9" t="str">
            <v>VR0010030</v>
          </cell>
          <cell r="C9" t="str">
            <v>Bí Giống Đức</v>
          </cell>
        </row>
        <row r="10">
          <cell r="B10" t="str">
            <v>VR0010034</v>
          </cell>
          <cell r="C10" t="str">
            <v>Bí Giọt Nước</v>
          </cell>
        </row>
        <row r="11">
          <cell r="B11" t="str">
            <v>VR0010031</v>
          </cell>
          <cell r="C11" t="str">
            <v>Bí Khổng Lồ</v>
          </cell>
        </row>
        <row r="12">
          <cell r="B12" t="str">
            <v>VR0010029</v>
          </cell>
          <cell r="C12" t="str">
            <v>Bí Kiểng Không Cuống</v>
          </cell>
        </row>
        <row r="13">
          <cell r="B13" t="str">
            <v>VR0010027</v>
          </cell>
          <cell r="C13" t="str">
            <v>Bí Mật Ong</v>
          </cell>
        </row>
        <row r="14">
          <cell r="B14" t="str">
            <v>VR0040054</v>
          </cell>
          <cell r="C14" t="str">
            <v>Bí Ngô Mini</v>
          </cell>
        </row>
        <row r="15">
          <cell r="B15" t="str">
            <v>VR0040004</v>
          </cell>
          <cell r="C15" t="str">
            <v>Bí Ngòi Vàng</v>
          </cell>
        </row>
        <row r="16">
          <cell r="B16" t="str">
            <v>VR0040005</v>
          </cell>
          <cell r="C16" t="str">
            <v>Bí Ngòi Xanh</v>
          </cell>
        </row>
        <row r="17">
          <cell r="B17" t="str">
            <v>VR0040007</v>
          </cell>
          <cell r="C17" t="str">
            <v>Bí Non Nhật</v>
          </cell>
        </row>
        <row r="18">
          <cell r="B18" t="str">
            <v>VR0010032</v>
          </cell>
          <cell r="C18" t="str">
            <v>Bí Thiên Nga</v>
          </cell>
        </row>
        <row r="19">
          <cell r="B19" t="str">
            <v>VR0050005</v>
          </cell>
          <cell r="C19" t="str">
            <v>Bơ 034 L1</v>
          </cell>
        </row>
        <row r="20">
          <cell r="B20" t="str">
            <v>VR0050007</v>
          </cell>
          <cell r="C20" t="str">
            <v>Bơ 034 L2</v>
          </cell>
        </row>
        <row r="21">
          <cell r="B21" t="str">
            <v>VR0050010</v>
          </cell>
          <cell r="C21" t="str">
            <v>Bơ Booth</v>
          </cell>
        </row>
        <row r="22">
          <cell r="B22" t="str">
            <v>VR0050006</v>
          </cell>
          <cell r="C22" t="str">
            <v>Bơ Sáp</v>
          </cell>
        </row>
        <row r="23">
          <cell r="B23" t="str">
            <v>VR0020001</v>
          </cell>
          <cell r="C23" t="str">
            <v>Bông Atiso</v>
          </cell>
        </row>
        <row r="24">
          <cell r="B24" t="str">
            <v>VR0020002</v>
          </cell>
          <cell r="C24" t="str">
            <v>Bông Bí Nụ</v>
          </cell>
        </row>
        <row r="25">
          <cell r="B25" t="str">
            <v>VR0020003</v>
          </cell>
          <cell r="C25" t="str">
            <v>Bông Cải Trắng</v>
          </cell>
        </row>
        <row r="26">
          <cell r="B26" t="str">
            <v>VR0020005</v>
          </cell>
          <cell r="C26" t="str">
            <v>Bông Cải Xanh 10Cm</v>
          </cell>
        </row>
        <row r="27">
          <cell r="B27" t="str">
            <v>VR0020006</v>
          </cell>
          <cell r="C27" t="str">
            <v>Bông Cải Xanh 12Cm</v>
          </cell>
        </row>
        <row r="28">
          <cell r="B28" t="str">
            <v>VR0020008</v>
          </cell>
          <cell r="C28" t="str">
            <v>Bông Cải Xanh 7Cm</v>
          </cell>
        </row>
        <row r="29">
          <cell r="B29" t="str">
            <v>VR0020009</v>
          </cell>
          <cell r="C29" t="str">
            <v>Bông Cải Xanh Baby</v>
          </cell>
        </row>
        <row r="30">
          <cell r="B30" t="str">
            <v>VR0020004</v>
          </cell>
          <cell r="C30" t="str">
            <v>Bông Cải Xanh Cọng</v>
          </cell>
        </row>
        <row r="31">
          <cell r="B31" t="str">
            <v>VR0020007</v>
          </cell>
          <cell r="C31" t="str">
            <v>Bông Cải Xanh Gốc Dài</v>
          </cell>
        </row>
        <row r="32">
          <cell r="B32" t="str">
            <v>VR0040008</v>
          </cell>
          <cell r="C32" t="str">
            <v>Cà Chua Beef</v>
          </cell>
        </row>
        <row r="33">
          <cell r="B33" t="str">
            <v>VR0040009</v>
          </cell>
          <cell r="C33" t="str">
            <v>Cà Chua Beef 500Gr</v>
          </cell>
        </row>
        <row r="34">
          <cell r="B34" t="str">
            <v>VR0040010</v>
          </cell>
          <cell r="C34" t="str">
            <v>Cà Chua Beef 650Gr</v>
          </cell>
        </row>
        <row r="35">
          <cell r="B35" t="str">
            <v>VR0040011</v>
          </cell>
          <cell r="C35" t="str">
            <v>Cà Chua Beef Chùm</v>
          </cell>
        </row>
        <row r="36">
          <cell r="B36" t="str">
            <v>VR0040012</v>
          </cell>
          <cell r="C36" t="str">
            <v>Cà Chua Beef Trung</v>
          </cell>
        </row>
        <row r="37">
          <cell r="B37" t="str">
            <v>VR0040055</v>
          </cell>
          <cell r="C37" t="str">
            <v>Cà Chua Bi Cam Sữa</v>
          </cell>
        </row>
        <row r="38">
          <cell r="B38" t="str">
            <v>VR0040006</v>
          </cell>
          <cell r="C38" t="str">
            <v>Cà Chua Bi Đỏ</v>
          </cell>
        </row>
        <row r="39">
          <cell r="B39" t="str">
            <v>VR0040015</v>
          </cell>
          <cell r="C39" t="str">
            <v>Cà Chua Bi Mix</v>
          </cell>
        </row>
        <row r="40">
          <cell r="B40" t="str">
            <v>VR0040016</v>
          </cell>
          <cell r="C40" t="str">
            <v>Cà Chua Socola</v>
          </cell>
        </row>
        <row r="41">
          <cell r="B41" t="str">
            <v>VR0040018</v>
          </cell>
          <cell r="C41" t="str">
            <v>Cà Chua Thường</v>
          </cell>
        </row>
        <row r="42">
          <cell r="B42" t="str">
            <v>VR0040019</v>
          </cell>
          <cell r="C42" t="str">
            <v>Cà Chua Thường Trung</v>
          </cell>
        </row>
        <row r="43">
          <cell r="B43" t="str">
            <v>VR0010001</v>
          </cell>
          <cell r="C43" t="str">
            <v>Cà Rốt</v>
          </cell>
        </row>
        <row r="44">
          <cell r="B44" t="str">
            <v>VR0010002</v>
          </cell>
          <cell r="C44" t="str">
            <v>Cà Rốt Baby</v>
          </cell>
        </row>
        <row r="45">
          <cell r="B45" t="str">
            <v>VR0010003</v>
          </cell>
          <cell r="C45" t="str">
            <v>Cà Rốt Trung</v>
          </cell>
        </row>
        <row r="46">
          <cell r="B46" t="str">
            <v>VR0040021</v>
          </cell>
          <cell r="C46" t="str">
            <v>Cà Tím</v>
          </cell>
        </row>
        <row r="47">
          <cell r="B47" t="str">
            <v>VR0040060</v>
          </cell>
          <cell r="C47" t="str">
            <v>Cà Tím Sọc Pha Lê</v>
          </cell>
        </row>
        <row r="48">
          <cell r="B48" t="str">
            <v>VR0030052</v>
          </cell>
          <cell r="C48" t="str">
            <v>Cải Bẹ Dún T.C</v>
          </cell>
        </row>
        <row r="49">
          <cell r="B49" t="str">
            <v>VR0030004</v>
          </cell>
          <cell r="C49" t="str">
            <v>Cải Bó Xôi</v>
          </cell>
        </row>
        <row r="50">
          <cell r="B50" t="str">
            <v>VR0030006</v>
          </cell>
          <cell r="C50" t="str">
            <v>Cải Cầu Vồng</v>
          </cell>
        </row>
        <row r="51">
          <cell r="B51" t="str">
            <v>VR0030007</v>
          </cell>
          <cell r="C51" t="str">
            <v>Cải Kale</v>
          </cell>
        </row>
        <row r="52">
          <cell r="B52" t="str">
            <v>VR0030051</v>
          </cell>
          <cell r="C52" t="str">
            <v>Cải Ngọt</v>
          </cell>
        </row>
        <row r="53">
          <cell r="B53" t="str">
            <v>VR0030008</v>
          </cell>
          <cell r="C53" t="str">
            <v>Cải Thảo</v>
          </cell>
        </row>
        <row r="54">
          <cell r="B54" t="str">
            <v>VR0030009</v>
          </cell>
          <cell r="C54" t="str">
            <v>Cải Thảo Hỏa Tiễn</v>
          </cell>
        </row>
        <row r="55">
          <cell r="B55" t="str">
            <v>VR0030010</v>
          </cell>
          <cell r="C55" t="str">
            <v>Cải Thảo Kim Chi</v>
          </cell>
        </row>
        <row r="56">
          <cell r="B56" t="str">
            <v>VR0030050</v>
          </cell>
          <cell r="C56" t="str">
            <v>Cải Thìa</v>
          </cell>
        </row>
        <row r="57">
          <cell r="B57" t="str">
            <v>VR0030011</v>
          </cell>
          <cell r="C57" t="str">
            <v>Cần Tây</v>
          </cell>
        </row>
        <row r="58">
          <cell r="B58" t="str">
            <v>VR0050008</v>
          </cell>
          <cell r="C58" t="str">
            <v>Chanh Dây Tím</v>
          </cell>
        </row>
        <row r="59">
          <cell r="B59" t="str">
            <v>VR0040023</v>
          </cell>
          <cell r="C59" t="str">
            <v>Chanh Không Hạt</v>
          </cell>
        </row>
        <row r="60">
          <cell r="B60" t="str">
            <v>VR0070003</v>
          </cell>
          <cell r="C60" t="str">
            <v>Chậu Cây Bạc Hà</v>
          </cell>
        </row>
        <row r="61">
          <cell r="B61" t="str">
            <v>VR0070001</v>
          </cell>
          <cell r="C61" t="str">
            <v>Chậu Cây Cần Tây</v>
          </cell>
        </row>
        <row r="62">
          <cell r="B62" t="str">
            <v>VR0070002</v>
          </cell>
          <cell r="C62" t="str">
            <v>Chậu Cây Chocomin</v>
          </cell>
        </row>
        <row r="63">
          <cell r="B63" t="str">
            <v>VR0070004</v>
          </cell>
          <cell r="C63" t="str">
            <v>Chậu Cây Hương Thảo</v>
          </cell>
        </row>
        <row r="64">
          <cell r="B64" t="str">
            <v>VR0070006</v>
          </cell>
          <cell r="C64" t="str">
            <v>Chậu Cây Ớt Các Loại</v>
          </cell>
        </row>
        <row r="65">
          <cell r="B65" t="str">
            <v>VR0070005</v>
          </cell>
          <cell r="C65" t="str">
            <v>Chậu Cây Ớt Chuông</v>
          </cell>
        </row>
        <row r="66">
          <cell r="B66" t="str">
            <v>VR0050001</v>
          </cell>
          <cell r="C66" t="str">
            <v>Chuối Laba</v>
          </cell>
        </row>
        <row r="67">
          <cell r="B67" t="str">
            <v>VR0010004</v>
          </cell>
          <cell r="C67" t="str">
            <v>Củ Cải Đỏ</v>
          </cell>
        </row>
        <row r="68">
          <cell r="B68" t="str">
            <v>VR0010006</v>
          </cell>
          <cell r="C68" t="str">
            <v>Củ Cải Muối</v>
          </cell>
        </row>
        <row r="69">
          <cell r="B69" t="str">
            <v>VR0010007</v>
          </cell>
          <cell r="C69" t="str">
            <v>Củ Cải Trắng</v>
          </cell>
        </row>
        <row r="70">
          <cell r="B70" t="str">
            <v>VR0010008</v>
          </cell>
          <cell r="C70" t="str">
            <v>Củ Dền</v>
          </cell>
        </row>
        <row r="71">
          <cell r="B71" t="str">
            <v>VR0010009</v>
          </cell>
          <cell r="C71" t="str">
            <v>Củ Gừng</v>
          </cell>
        </row>
        <row r="72">
          <cell r="B72" t="str">
            <v>VR0010010</v>
          </cell>
          <cell r="C72" t="str">
            <v>Củ Hành Đỏ</v>
          </cell>
        </row>
        <row r="73">
          <cell r="B73" t="str">
            <v>VR0010011</v>
          </cell>
          <cell r="C73" t="str">
            <v>Củ Hành Tây</v>
          </cell>
        </row>
        <row r="74">
          <cell r="B74" t="str">
            <v>VR0010012</v>
          </cell>
          <cell r="C74" t="str">
            <v>Củ Hành Tây Tím</v>
          </cell>
        </row>
        <row r="75">
          <cell r="B75" t="str">
            <v>VR0010013</v>
          </cell>
          <cell r="C75" t="str">
            <v>Củ Hành Tây Trung</v>
          </cell>
        </row>
        <row r="76">
          <cell r="B76" t="str">
            <v>VR0010015</v>
          </cell>
          <cell r="C76" t="str">
            <v>Củ Khoai Lang Mật Size 23</v>
          </cell>
        </row>
        <row r="77">
          <cell r="B77" t="str">
            <v>VR0010014</v>
          </cell>
          <cell r="C77" t="str">
            <v>Củ Khoai Lang Mật Size 46</v>
          </cell>
        </row>
        <row r="78">
          <cell r="B78" t="str">
            <v>VR0010014A</v>
          </cell>
          <cell r="C78" t="str">
            <v>Củ Khoai Lang Mật Size 78</v>
          </cell>
        </row>
        <row r="79">
          <cell r="B79" t="str">
            <v>VR0010014C</v>
          </cell>
          <cell r="C79" t="str">
            <v>Củ Khoai Lang Mật Size 910</v>
          </cell>
        </row>
        <row r="80">
          <cell r="B80" t="str">
            <v>VR0010016</v>
          </cell>
          <cell r="C80" t="str">
            <v>Củ Khoai Lang Nhật</v>
          </cell>
        </row>
        <row r="81">
          <cell r="B81" t="str">
            <v>VR0010017</v>
          </cell>
          <cell r="C81" t="str">
            <v>Củ Khoai Mỡ</v>
          </cell>
        </row>
        <row r="82">
          <cell r="B82" t="str">
            <v>VR0010018</v>
          </cell>
          <cell r="C82" t="str">
            <v>Củ Khoai Môn Cao</v>
          </cell>
        </row>
        <row r="83">
          <cell r="B83" t="str">
            <v>VR0010033</v>
          </cell>
          <cell r="C83" t="str">
            <v>Củ Khoai Sâm</v>
          </cell>
        </row>
        <row r="84">
          <cell r="B84" t="str">
            <v>VR0010019</v>
          </cell>
          <cell r="C84" t="str">
            <v>Củ Khoai Tây Bi Vàng</v>
          </cell>
        </row>
        <row r="85">
          <cell r="B85" t="str">
            <v>VR0010020</v>
          </cell>
          <cell r="C85" t="str">
            <v>Củ Khoai Tây Hồng</v>
          </cell>
        </row>
        <row r="86">
          <cell r="B86" t="str">
            <v>VR0010021</v>
          </cell>
          <cell r="C86" t="str">
            <v>Củ Khoai Tây Vàng</v>
          </cell>
        </row>
        <row r="87">
          <cell r="B87" t="str">
            <v>VR0010022</v>
          </cell>
          <cell r="C87" t="str">
            <v>Củ Khoai Tây Vàng Trung</v>
          </cell>
        </row>
        <row r="88">
          <cell r="B88" t="str">
            <v>VR0010023</v>
          </cell>
          <cell r="C88" t="str">
            <v>Củ Sắn</v>
          </cell>
        </row>
        <row r="89">
          <cell r="B89" t="str">
            <v>VR0010024</v>
          </cell>
          <cell r="C89" t="str">
            <v>Củ Su Hào</v>
          </cell>
        </row>
        <row r="90">
          <cell r="B90" t="str">
            <v>VR0010025</v>
          </cell>
          <cell r="C90" t="str">
            <v>Củ Tỏi</v>
          </cell>
        </row>
        <row r="91">
          <cell r="B91" t="str">
            <v>VR0040024</v>
          </cell>
          <cell r="C91" t="str">
            <v>Đậu Bo</v>
          </cell>
        </row>
        <row r="92">
          <cell r="B92" t="str">
            <v>VR0040053</v>
          </cell>
          <cell r="C92" t="str">
            <v>Đậu Cove Nhật</v>
          </cell>
        </row>
        <row r="93">
          <cell r="B93" t="str">
            <v>VR0040025</v>
          </cell>
          <cell r="C93" t="str">
            <v>Đậu Cove Trắng</v>
          </cell>
        </row>
        <row r="94">
          <cell r="B94" t="str">
            <v>VR0040029</v>
          </cell>
          <cell r="C94" t="str">
            <v>Đậu Cúc</v>
          </cell>
        </row>
        <row r="95">
          <cell r="B95" t="str">
            <v>VR0040030</v>
          </cell>
          <cell r="C95" t="str">
            <v>Đậu Đỏ</v>
          </cell>
        </row>
        <row r="96">
          <cell r="B96" t="str">
            <v>VR0040031</v>
          </cell>
          <cell r="C96" t="str">
            <v>Đậu Hà Lan Trái</v>
          </cell>
        </row>
        <row r="97">
          <cell r="B97" t="str">
            <v>VR0040032</v>
          </cell>
          <cell r="C97" t="str">
            <v>Đậu Ngự</v>
          </cell>
        </row>
        <row r="98">
          <cell r="B98" t="str">
            <v>VR0050024</v>
          </cell>
          <cell r="C98" t="str">
            <v>Dâu Tây Đà Lạt</v>
          </cell>
        </row>
        <row r="99">
          <cell r="B99" t="str">
            <v>VR0040049</v>
          </cell>
          <cell r="C99" t="str">
            <v>Đậu Trắng</v>
          </cell>
        </row>
        <row r="100">
          <cell r="B100" t="str">
            <v>VR0040033</v>
          </cell>
          <cell r="C100" t="str">
            <v>Dưa Leo Baby</v>
          </cell>
        </row>
        <row r="101">
          <cell r="B101" t="str">
            <v>VR0040035</v>
          </cell>
          <cell r="C101" t="str">
            <v>Dưa Leo Nhật</v>
          </cell>
        </row>
        <row r="102">
          <cell r="B102" t="str">
            <v>VR0040036</v>
          </cell>
          <cell r="C102" t="str">
            <v>Dưa Leo Thường</v>
          </cell>
        </row>
        <row r="103">
          <cell r="B103" t="str">
            <v>VR0030046</v>
          </cell>
          <cell r="C103" t="str">
            <v>Hành Lá Thủy Canh</v>
          </cell>
        </row>
        <row r="104">
          <cell r="B104" t="str">
            <v>VR0030012</v>
          </cell>
          <cell r="C104" t="str">
            <v>Hành Paro</v>
          </cell>
        </row>
        <row r="105">
          <cell r="B105" t="str">
            <v>VR0050028</v>
          </cell>
          <cell r="C105" t="str">
            <v>Hạt Dẻ Ngố</v>
          </cell>
        </row>
        <row r="106">
          <cell r="B106" t="str">
            <v>VR0050013</v>
          </cell>
          <cell r="C106" t="str">
            <v>Hạt Dẻ Tươi</v>
          </cell>
        </row>
        <row r="107">
          <cell r="B107" t="str">
            <v>VR0020010</v>
          </cell>
          <cell r="C107" t="str">
            <v>Hoa Atiso Đỏ</v>
          </cell>
        </row>
        <row r="108">
          <cell r="B108" t="str">
            <v>VR0060001</v>
          </cell>
          <cell r="C108" t="str">
            <v>Hoa Chuông</v>
          </cell>
        </row>
        <row r="109">
          <cell r="B109" t="str">
            <v>VR0060002</v>
          </cell>
          <cell r="C109" t="str">
            <v>Hoa Cúc Bó 5 Cành</v>
          </cell>
        </row>
        <row r="110">
          <cell r="B110" t="str">
            <v>VR0060003</v>
          </cell>
          <cell r="C110" t="str">
            <v>Hoa Cúc Tana</v>
          </cell>
        </row>
        <row r="111">
          <cell r="B111" t="str">
            <v>VR0060004</v>
          </cell>
          <cell r="C111" t="str">
            <v>Hoa Đồng Tiền</v>
          </cell>
        </row>
        <row r="112">
          <cell r="B112" t="str">
            <v>VR0060005</v>
          </cell>
          <cell r="C112" t="str">
            <v>Hoa Hồng</v>
          </cell>
        </row>
        <row r="113">
          <cell r="B113" t="str">
            <v>VR0060006</v>
          </cell>
          <cell r="C113" t="str">
            <v>Hoa Lay Ơn</v>
          </cell>
        </row>
        <row r="114">
          <cell r="B114" t="str">
            <v>VR0060007</v>
          </cell>
          <cell r="C114" t="str">
            <v>Hoa Loa Kèn</v>
          </cell>
        </row>
        <row r="115">
          <cell r="B115" t="str">
            <v>VR0060008</v>
          </cell>
          <cell r="C115" t="str">
            <v>Hoa Ly Vàng/Đỏ</v>
          </cell>
        </row>
        <row r="116">
          <cell r="B116" t="str">
            <v>VR0060009</v>
          </cell>
          <cell r="C116" t="str">
            <v>Hoa Phăng</v>
          </cell>
        </row>
        <row r="117">
          <cell r="B117" t="str">
            <v>VR0060010</v>
          </cell>
          <cell r="C117" t="str">
            <v>Hoa Sen Quan Âm</v>
          </cell>
        </row>
        <row r="118">
          <cell r="B118" t="str">
            <v>VR0060011</v>
          </cell>
          <cell r="C118" t="str">
            <v>Hoa Sen Super</v>
          </cell>
        </row>
        <row r="119">
          <cell r="B119" t="str">
            <v>VR0050022</v>
          </cell>
          <cell r="C119" t="str">
            <v>Hồng Fuji</v>
          </cell>
        </row>
        <row r="120">
          <cell r="B120" t="str">
            <v>VR0050023</v>
          </cell>
          <cell r="C120" t="str">
            <v>Hồng Fuji L2</v>
          </cell>
        </row>
        <row r="121">
          <cell r="B121" t="str">
            <v>VR0050016</v>
          </cell>
          <cell r="C121" t="str">
            <v>Hồng Giòn Đà Lạt</v>
          </cell>
        </row>
        <row r="122">
          <cell r="B122" t="str">
            <v>VR0050026</v>
          </cell>
          <cell r="C122" t="str">
            <v>Hồng Treo Gió</v>
          </cell>
        </row>
        <row r="123">
          <cell r="B123" t="str">
            <v>VR0050019</v>
          </cell>
          <cell r="C123" t="str">
            <v>Hồng Trứng Đà Lạt</v>
          </cell>
        </row>
        <row r="124">
          <cell r="B124" t="str">
            <v>VR0050018</v>
          </cell>
          <cell r="C124" t="str">
            <v>Hồng Vuông Đà Lạt</v>
          </cell>
        </row>
        <row r="125">
          <cell r="B125" t="str">
            <v>VR0030013</v>
          </cell>
          <cell r="C125" t="str">
            <v>Lá É</v>
          </cell>
        </row>
        <row r="126">
          <cell r="B126" t="str">
            <v>VR0030014</v>
          </cell>
          <cell r="C126" t="str">
            <v>Lá Giang</v>
          </cell>
        </row>
        <row r="127">
          <cell r="B127" t="str">
            <v>VR0030019</v>
          </cell>
          <cell r="C127" t="str">
            <v>Lá Hương Thảo</v>
          </cell>
        </row>
        <row r="128">
          <cell r="B128" t="str">
            <v>VR0030015</v>
          </cell>
          <cell r="C128" t="str">
            <v>Lá Mè</v>
          </cell>
        </row>
        <row r="129">
          <cell r="B129" t="str">
            <v>VR0030016</v>
          </cell>
          <cell r="C129" t="str">
            <v>Lá Nha Đam</v>
          </cell>
        </row>
        <row r="130">
          <cell r="B130" t="str">
            <v>VR0030017</v>
          </cell>
          <cell r="C130" t="str">
            <v>Lá Quế Tây</v>
          </cell>
        </row>
        <row r="131">
          <cell r="B131" t="str">
            <v>VR0030018</v>
          </cell>
          <cell r="C131" t="str">
            <v>Lá Tía Tô</v>
          </cell>
        </row>
        <row r="132">
          <cell r="B132" t="str">
            <v>VR0050011</v>
          </cell>
          <cell r="C132" t="str">
            <v>Lê Tai Nung</v>
          </cell>
        </row>
        <row r="133">
          <cell r="B133" t="str">
            <v>VR0050012</v>
          </cell>
          <cell r="C133" t="str">
            <v>Mận Hậu</v>
          </cell>
        </row>
        <row r="134">
          <cell r="B134" t="str">
            <v>VR0050027</v>
          </cell>
          <cell r="C134" t="str">
            <v>Măng Cụt L1</v>
          </cell>
        </row>
        <row r="135">
          <cell r="B135" t="str">
            <v>VR0050025</v>
          </cell>
          <cell r="C135" t="str">
            <v>Măng Cụt L2</v>
          </cell>
        </row>
        <row r="136">
          <cell r="B136" t="str">
            <v>VR0030020</v>
          </cell>
          <cell r="C136" t="str">
            <v>Măng Tây</v>
          </cell>
        </row>
        <row r="137">
          <cell r="B137" t="str">
            <v>VR0030048</v>
          </cell>
          <cell r="C137" t="str">
            <v>Mít Thái Tách Múi</v>
          </cell>
        </row>
        <row r="138">
          <cell r="B138" t="str">
            <v>VR0030053</v>
          </cell>
          <cell r="C138" t="str">
            <v>Ngọn Su Su</v>
          </cell>
        </row>
        <row r="139">
          <cell r="B139" t="str">
            <v>VR0050015</v>
          </cell>
          <cell r="C139" t="str">
            <v>Ổi Găng</v>
          </cell>
        </row>
        <row r="140">
          <cell r="B140" t="str">
            <v>VRDG0063</v>
          </cell>
          <cell r="C140" t="str">
            <v>Ớt Chuông Ba Màu</v>
          </cell>
        </row>
        <row r="141">
          <cell r="B141" t="str">
            <v>VR0040038</v>
          </cell>
          <cell r="C141" t="str">
            <v>Ớt Chuông Baby</v>
          </cell>
        </row>
        <row r="142">
          <cell r="B142" t="str">
            <v>VR0040039</v>
          </cell>
          <cell r="C142" t="str">
            <v>Ớt Chuông Đỏ</v>
          </cell>
        </row>
        <row r="143">
          <cell r="B143" t="str">
            <v>VR0040050</v>
          </cell>
          <cell r="C143" t="str">
            <v>Ớt Chuông Đỏ Trung</v>
          </cell>
        </row>
        <row r="144">
          <cell r="B144" t="str">
            <v>VR0040040</v>
          </cell>
          <cell r="C144" t="str">
            <v>Ớt Chuông Snack</v>
          </cell>
        </row>
        <row r="145">
          <cell r="B145" t="str">
            <v>VR0040041</v>
          </cell>
          <cell r="C145" t="str">
            <v>Ớt Chuông Vàng</v>
          </cell>
        </row>
        <row r="146">
          <cell r="B146" t="str">
            <v>VR0040051</v>
          </cell>
          <cell r="C146" t="str">
            <v>Ớt Chuông Vàng Trung</v>
          </cell>
        </row>
        <row r="147">
          <cell r="B147" t="str">
            <v>VR0040042</v>
          </cell>
          <cell r="C147" t="str">
            <v>Ớt Chuông Xanh</v>
          </cell>
        </row>
        <row r="148">
          <cell r="B148" t="str">
            <v>VR0040052</v>
          </cell>
          <cell r="C148" t="str">
            <v>Ớt Chuông Xanh Trung</v>
          </cell>
        </row>
        <row r="149">
          <cell r="B149" t="str">
            <v>VR0040043</v>
          </cell>
          <cell r="C149" t="str">
            <v>Ớt Hiểm Đỏ</v>
          </cell>
        </row>
        <row r="150">
          <cell r="B150" t="str">
            <v>VR0040061</v>
          </cell>
          <cell r="C150" t="str">
            <v>Ớt Sừng Đỏ</v>
          </cell>
        </row>
        <row r="151">
          <cell r="B151" t="str">
            <v>VR0040020</v>
          </cell>
          <cell r="C151" t="str">
            <v>Ớt Sừng Vàng</v>
          </cell>
        </row>
        <row r="152">
          <cell r="B152" t="str">
            <v>VR0040044</v>
          </cell>
          <cell r="C152" t="str">
            <v>Ớt Sweet Palemo</v>
          </cell>
        </row>
        <row r="153">
          <cell r="B153" t="str">
            <v>VR0050017</v>
          </cell>
          <cell r="C153" t="str">
            <v>Quả Dứa</v>
          </cell>
        </row>
        <row r="154">
          <cell r="B154" t="str">
            <v>VR0040059</v>
          </cell>
          <cell r="C154" t="str">
            <v>Quả Mướp</v>
          </cell>
        </row>
        <row r="155">
          <cell r="B155" t="str">
            <v>VR0050009</v>
          </cell>
          <cell r="C155" t="str">
            <v>Quả Sấu</v>
          </cell>
        </row>
        <row r="156">
          <cell r="B156" t="str">
            <v>VR0030021</v>
          </cell>
          <cell r="C156" t="str">
            <v>Rau Bầu Đất</v>
          </cell>
        </row>
        <row r="157">
          <cell r="B157" t="str">
            <v>VR0030022</v>
          </cell>
          <cell r="C157" t="str">
            <v>Rau Cải Cúc</v>
          </cell>
        </row>
        <row r="158">
          <cell r="B158" t="str">
            <v>VR0030023</v>
          </cell>
          <cell r="C158" t="str">
            <v>Rau Diếp Cá</v>
          </cell>
        </row>
        <row r="159">
          <cell r="B159" t="str">
            <v>VR0030024</v>
          </cell>
          <cell r="C159" t="str">
            <v>Rau Húng Cay</v>
          </cell>
        </row>
        <row r="160">
          <cell r="B160" t="str">
            <v>VR0030025</v>
          </cell>
          <cell r="C160" t="str">
            <v>Rau Húng Lủi</v>
          </cell>
        </row>
        <row r="161">
          <cell r="B161" t="str">
            <v>VR0030026</v>
          </cell>
          <cell r="C161" t="str">
            <v>Rau Húng Quế</v>
          </cell>
        </row>
        <row r="162">
          <cell r="B162" t="str">
            <v>VR0030049</v>
          </cell>
          <cell r="C162" t="str">
            <v>Rau Mầm</v>
          </cell>
        </row>
        <row r="163">
          <cell r="B163" t="str">
            <v>VR0030054</v>
          </cell>
          <cell r="C163" t="str">
            <v>Rau Mồng Tơi</v>
          </cell>
        </row>
        <row r="164">
          <cell r="B164" t="str">
            <v>VR0030027</v>
          </cell>
          <cell r="C164" t="str">
            <v>Rau Ngò Gai</v>
          </cell>
        </row>
        <row r="165">
          <cell r="B165" t="str">
            <v>VR0030028</v>
          </cell>
          <cell r="C165" t="str">
            <v>Rau Ngò Rí</v>
          </cell>
        </row>
        <row r="166">
          <cell r="B166" t="str">
            <v>VR0030029</v>
          </cell>
          <cell r="C166" t="str">
            <v>Rau Ngò Tây</v>
          </cell>
        </row>
        <row r="167">
          <cell r="B167" t="str">
            <v>VR0030055</v>
          </cell>
          <cell r="C167" t="str">
            <v>Rau Ngót</v>
          </cell>
        </row>
        <row r="168">
          <cell r="B168" t="str">
            <v>VR0030030</v>
          </cell>
          <cell r="C168" t="str">
            <v>Rau Răm</v>
          </cell>
        </row>
        <row r="169">
          <cell r="B169" t="str">
            <v>VR0030047</v>
          </cell>
          <cell r="C169" t="str">
            <v>Rau Thì Là</v>
          </cell>
        </row>
        <row r="170">
          <cell r="B170" t="str">
            <v>VR0040046</v>
          </cell>
          <cell r="C170" t="str">
            <v>Trái Bắp Mỹ</v>
          </cell>
        </row>
        <row r="171">
          <cell r="B171" t="str">
            <v>VR0040065</v>
          </cell>
          <cell r="C171" t="str">
            <v>Trái Bắp Nếp</v>
          </cell>
        </row>
        <row r="172">
          <cell r="B172" t="str">
            <v>VR0040056</v>
          </cell>
          <cell r="C172" t="str">
            <v>Trái Bầu</v>
          </cell>
        </row>
        <row r="173">
          <cell r="B173" t="str">
            <v>VR0050020</v>
          </cell>
          <cell r="C173" t="str">
            <v>Trái Cam Vinh</v>
          </cell>
        </row>
        <row r="174">
          <cell r="B174" t="str">
            <v>VR0040064</v>
          </cell>
          <cell r="C174" t="str">
            <v>Trái Chanh Đào</v>
          </cell>
        </row>
        <row r="175">
          <cell r="B175" t="str">
            <v>VR0040047</v>
          </cell>
          <cell r="C175" t="str">
            <v>Trái Chanh Vàng</v>
          </cell>
        </row>
        <row r="176">
          <cell r="B176" t="str">
            <v>VR0050002</v>
          </cell>
          <cell r="C176" t="str">
            <v>Trái Cóc Non</v>
          </cell>
        </row>
        <row r="177">
          <cell r="B177" t="str">
            <v>VR0040062</v>
          </cell>
          <cell r="C177" t="str">
            <v>Trái Đậu Bắp</v>
          </cell>
        </row>
        <row r="178">
          <cell r="B178" t="str">
            <v>VR0040057</v>
          </cell>
          <cell r="C178" t="str">
            <v>Trái Khổ Qua</v>
          </cell>
        </row>
        <row r="179">
          <cell r="B179" t="str">
            <v>VR0050003</v>
          </cell>
          <cell r="C179" t="str">
            <v>Trái Mâm Xôi</v>
          </cell>
        </row>
        <row r="180">
          <cell r="B180" t="str">
            <v>VR0050004</v>
          </cell>
          <cell r="C180" t="str">
            <v>Trái Mít Thái</v>
          </cell>
        </row>
        <row r="181">
          <cell r="B181" t="str">
            <v>VR0050021</v>
          </cell>
          <cell r="C181" t="str">
            <v>Trái Sake</v>
          </cell>
        </row>
        <row r="182">
          <cell r="B182" t="str">
            <v>VR0040048</v>
          </cell>
          <cell r="C182" t="str">
            <v>Trái Su Su</v>
          </cell>
        </row>
        <row r="183">
          <cell r="B183" t="str">
            <v>VR0040063</v>
          </cell>
          <cell r="C183" t="str">
            <v>Trái Tầm Bóp</v>
          </cell>
        </row>
        <row r="184">
          <cell r="B184" t="str">
            <v>VR0030031</v>
          </cell>
          <cell r="C184" t="str">
            <v>Xà Lách Carol</v>
          </cell>
        </row>
        <row r="185">
          <cell r="B185" t="str">
            <v>VR0030032</v>
          </cell>
          <cell r="C185" t="str">
            <v>Xà Lách Lolo Tím</v>
          </cell>
        </row>
        <row r="186">
          <cell r="B186" t="str">
            <v>VR0030033</v>
          </cell>
          <cell r="C186" t="str">
            <v>Xà Lách Lolo Xanh</v>
          </cell>
        </row>
        <row r="187">
          <cell r="B187" t="str">
            <v>VR0030056</v>
          </cell>
          <cell r="C187" t="str">
            <v>Xà Lách Lolo Xanh Sushi</v>
          </cell>
        </row>
        <row r="188">
          <cell r="B188" t="str">
            <v>VR0030034</v>
          </cell>
          <cell r="C188" t="str">
            <v>Xà Lách Lolo Xanh T.C</v>
          </cell>
        </row>
        <row r="189">
          <cell r="B189" t="str">
            <v>VR0030035</v>
          </cell>
          <cell r="C189" t="str">
            <v>Xà Lách Lolo Xanh T.C Cây</v>
          </cell>
        </row>
        <row r="190">
          <cell r="B190" t="str">
            <v>VR0030044</v>
          </cell>
          <cell r="C190" t="str">
            <v>Xà Lách Mỡ</v>
          </cell>
        </row>
        <row r="191">
          <cell r="B191" t="str">
            <v>VR0030036</v>
          </cell>
          <cell r="C191" t="str">
            <v>Xà Lách Mỡ T.C</v>
          </cell>
        </row>
        <row r="192">
          <cell r="B192" t="str">
            <v>VR0030037</v>
          </cell>
          <cell r="C192" t="str">
            <v>Xà Lách Mỡ T.C Cây</v>
          </cell>
        </row>
        <row r="193">
          <cell r="B193" t="str">
            <v>VR0030038</v>
          </cell>
          <cell r="C193" t="str">
            <v>Xà Lách Mỹ</v>
          </cell>
        </row>
        <row r="194">
          <cell r="B194" t="str">
            <v>VR0030039</v>
          </cell>
          <cell r="C194" t="str">
            <v>Xà Lách Rocket</v>
          </cell>
        </row>
        <row r="195">
          <cell r="B195" t="str">
            <v>VR0030040</v>
          </cell>
          <cell r="C195" t="str">
            <v>Xà Lách Romaine</v>
          </cell>
        </row>
        <row r="196">
          <cell r="B196" t="str">
            <v>VR0030041</v>
          </cell>
          <cell r="C196" t="str">
            <v>Xà Lách Romaine T.C</v>
          </cell>
        </row>
        <row r="197">
          <cell r="B197" t="str">
            <v>VR0030042</v>
          </cell>
          <cell r="C197" t="str">
            <v>Xà Lách Thủy Tinh T.C</v>
          </cell>
        </row>
        <row r="198">
          <cell r="B198" t="str">
            <v>VR0030043</v>
          </cell>
          <cell r="C198" t="str">
            <v>Xà Lách Thủy Tinh T.C Cây</v>
          </cell>
        </row>
        <row r="199">
          <cell r="B199" t="str">
            <v>VR0010035</v>
          </cell>
          <cell r="C199" t="str">
            <v>Củ Khoai Lang Mật Size Nhỏ</v>
          </cell>
        </row>
        <row r="200">
          <cell r="B200" t="str">
            <v>Grand Total</v>
          </cell>
          <cell r="C200" t="str">
            <v>Grand Total</v>
          </cell>
        </row>
      </sheetData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F214"/>
  <sheetViews>
    <sheetView topLeftCell="A182" workbookViewId="0">
      <selection activeCell="E214" sqref="E214"/>
    </sheetView>
  </sheetViews>
  <sheetFormatPr defaultRowHeight="14.4" x14ac:dyDescent="0.3"/>
  <cols>
    <col min="1" max="1" width="40.109375" customWidth="1"/>
    <col min="3" max="3" width="11.109375" customWidth="1"/>
    <col min="4" max="4" width="16.77734375" customWidth="1"/>
    <col min="5" max="5" width="21.5546875" customWidth="1"/>
    <col min="6" max="6" width="11.5546875" customWidth="1"/>
  </cols>
  <sheetData>
    <row r="2" spans="1:5" x14ac:dyDescent="0.3">
      <c r="A2" s="1" t="s">
        <v>140</v>
      </c>
      <c r="B2" s="1"/>
      <c r="C2" s="2"/>
      <c r="D2" s="2"/>
      <c r="E2" s="2"/>
    </row>
    <row r="3" spans="1:5" ht="37.200000000000003" x14ac:dyDescent="0.3">
      <c r="A3" s="3" t="s">
        <v>0</v>
      </c>
      <c r="B3" s="3" t="s">
        <v>1</v>
      </c>
      <c r="C3" s="4" t="s">
        <v>2</v>
      </c>
      <c r="D3" s="5" t="s">
        <v>137</v>
      </c>
      <c r="E3" s="6" t="s">
        <v>138</v>
      </c>
    </row>
    <row r="4" spans="1:5" x14ac:dyDescent="0.3">
      <c r="A4" s="7" t="s">
        <v>49</v>
      </c>
      <c r="B4" s="7" t="s">
        <v>4</v>
      </c>
      <c r="C4" s="8">
        <v>60</v>
      </c>
      <c r="D4" s="9">
        <v>19000</v>
      </c>
      <c r="E4" s="9">
        <f>C4*D4</f>
        <v>1140000</v>
      </c>
    </row>
    <row r="5" spans="1:5" hidden="1" x14ac:dyDescent="0.3">
      <c r="A5" s="7" t="s">
        <v>49</v>
      </c>
      <c r="B5" s="7" t="s">
        <v>31</v>
      </c>
      <c r="C5" s="8">
        <v>0</v>
      </c>
      <c r="D5" s="9"/>
      <c r="E5" s="9">
        <f t="shared" ref="E5:E68" si="0">C5*D5</f>
        <v>0</v>
      </c>
    </row>
    <row r="6" spans="1:5" hidden="1" x14ac:dyDescent="0.3">
      <c r="A6" s="7" t="s">
        <v>19</v>
      </c>
      <c r="B6" s="7" t="s">
        <v>4</v>
      </c>
      <c r="C6" s="8">
        <v>0</v>
      </c>
      <c r="D6" s="9"/>
      <c r="E6" s="9">
        <f t="shared" si="0"/>
        <v>0</v>
      </c>
    </row>
    <row r="7" spans="1:5" hidden="1" x14ac:dyDescent="0.3">
      <c r="A7" s="7" t="s">
        <v>19</v>
      </c>
      <c r="B7" s="7" t="s">
        <v>50</v>
      </c>
      <c r="C7" s="8">
        <v>0</v>
      </c>
      <c r="D7" s="9"/>
      <c r="E7" s="9">
        <f t="shared" si="0"/>
        <v>0</v>
      </c>
    </row>
    <row r="8" spans="1:5" hidden="1" x14ac:dyDescent="0.3">
      <c r="A8" s="7" t="s">
        <v>51</v>
      </c>
      <c r="B8" s="7" t="s">
        <v>4</v>
      </c>
      <c r="C8" s="8">
        <v>0</v>
      </c>
      <c r="D8" s="9"/>
      <c r="E8" s="9">
        <f t="shared" si="0"/>
        <v>0</v>
      </c>
    </row>
    <row r="9" spans="1:5" hidden="1" x14ac:dyDescent="0.3">
      <c r="A9" s="7" t="s">
        <v>52</v>
      </c>
      <c r="B9" s="7" t="s">
        <v>53</v>
      </c>
      <c r="C9" s="8">
        <v>0</v>
      </c>
      <c r="D9" s="9"/>
      <c r="E9" s="9">
        <f t="shared" si="0"/>
        <v>0</v>
      </c>
    </row>
    <row r="10" spans="1:5" x14ac:dyDescent="0.3">
      <c r="A10" s="7" t="s">
        <v>27</v>
      </c>
      <c r="B10" s="7" t="s">
        <v>4</v>
      </c>
      <c r="C10" s="8">
        <v>7</v>
      </c>
      <c r="D10" s="9">
        <v>6500</v>
      </c>
      <c r="E10" s="9">
        <f t="shared" si="0"/>
        <v>45500</v>
      </c>
    </row>
    <row r="11" spans="1:5" hidden="1" x14ac:dyDescent="0.3">
      <c r="A11" s="7" t="s">
        <v>28</v>
      </c>
      <c r="B11" s="7" t="s">
        <v>4</v>
      </c>
      <c r="C11" s="8">
        <v>0</v>
      </c>
      <c r="D11" s="9"/>
      <c r="E11" s="9">
        <f t="shared" si="0"/>
        <v>0</v>
      </c>
    </row>
    <row r="12" spans="1:5" hidden="1" x14ac:dyDescent="0.3">
      <c r="A12" s="7" t="s">
        <v>28</v>
      </c>
      <c r="B12" s="7" t="s">
        <v>31</v>
      </c>
      <c r="C12" s="8">
        <v>0</v>
      </c>
      <c r="D12" s="9"/>
      <c r="E12" s="9">
        <f t="shared" si="0"/>
        <v>0</v>
      </c>
    </row>
    <row r="13" spans="1:5" hidden="1" x14ac:dyDescent="0.3">
      <c r="A13" s="7" t="s">
        <v>54</v>
      </c>
      <c r="B13" s="7" t="s">
        <v>4</v>
      </c>
      <c r="C13" s="8">
        <v>0</v>
      </c>
      <c r="D13" s="9"/>
      <c r="E13" s="9">
        <f t="shared" si="0"/>
        <v>0</v>
      </c>
    </row>
    <row r="14" spans="1:5" x14ac:dyDescent="0.3">
      <c r="A14" s="7" t="s">
        <v>29</v>
      </c>
      <c r="B14" s="7" t="s">
        <v>4</v>
      </c>
      <c r="C14" s="8">
        <v>178</v>
      </c>
      <c r="D14" s="9">
        <v>30000</v>
      </c>
      <c r="E14" s="9">
        <f t="shared" si="0"/>
        <v>5340000</v>
      </c>
    </row>
    <row r="15" spans="1:5" x14ac:dyDescent="0.3">
      <c r="A15" s="7" t="s">
        <v>55</v>
      </c>
      <c r="B15" s="7" t="s">
        <v>4</v>
      </c>
      <c r="C15" s="8">
        <v>9</v>
      </c>
      <c r="D15" s="9">
        <v>20000</v>
      </c>
      <c r="E15" s="9">
        <f t="shared" si="0"/>
        <v>180000</v>
      </c>
    </row>
    <row r="16" spans="1:5" hidden="1" x14ac:dyDescent="0.3">
      <c r="A16" s="7" t="s">
        <v>55</v>
      </c>
      <c r="B16" s="7" t="s">
        <v>31</v>
      </c>
      <c r="C16" s="8">
        <v>0</v>
      </c>
      <c r="D16" s="9"/>
      <c r="E16" s="9">
        <f t="shared" si="0"/>
        <v>0</v>
      </c>
    </row>
    <row r="17" spans="1:6" hidden="1" x14ac:dyDescent="0.3">
      <c r="A17" s="7" t="s">
        <v>56</v>
      </c>
      <c r="B17" s="7" t="s">
        <v>4</v>
      </c>
      <c r="C17" s="8">
        <v>0</v>
      </c>
      <c r="D17" s="9"/>
      <c r="E17" s="9">
        <f t="shared" si="0"/>
        <v>0</v>
      </c>
    </row>
    <row r="18" spans="1:6" x14ac:dyDescent="0.3">
      <c r="A18" s="7" t="s">
        <v>56</v>
      </c>
      <c r="B18" s="7" t="s">
        <v>31</v>
      </c>
      <c r="C18" s="8">
        <v>567</v>
      </c>
      <c r="D18" s="9">
        <v>7200</v>
      </c>
      <c r="E18" s="9">
        <f t="shared" si="0"/>
        <v>4082400</v>
      </c>
    </row>
    <row r="19" spans="1:6" hidden="1" x14ac:dyDescent="0.3">
      <c r="A19" s="7" t="s">
        <v>57</v>
      </c>
      <c r="B19" s="7" t="s">
        <v>4</v>
      </c>
      <c r="C19" s="8">
        <v>0</v>
      </c>
      <c r="D19" s="9">
        <v>23000</v>
      </c>
      <c r="E19" s="9">
        <f t="shared" si="0"/>
        <v>0</v>
      </c>
      <c r="F19">
        <v>0</v>
      </c>
    </row>
    <row r="20" spans="1:6" hidden="1" x14ac:dyDescent="0.3">
      <c r="A20" s="7" t="s">
        <v>57</v>
      </c>
      <c r="B20" s="7" t="s">
        <v>31</v>
      </c>
      <c r="C20" s="8">
        <v>0</v>
      </c>
      <c r="D20" s="9"/>
      <c r="E20" s="9">
        <f t="shared" si="0"/>
        <v>0</v>
      </c>
    </row>
    <row r="21" spans="1:6" x14ac:dyDescent="0.3">
      <c r="A21" s="7" t="s">
        <v>32</v>
      </c>
      <c r="B21" s="7" t="s">
        <v>4</v>
      </c>
      <c r="C21" s="8">
        <v>230</v>
      </c>
      <c r="D21" s="9">
        <v>22000</v>
      </c>
      <c r="E21" s="9">
        <f t="shared" si="0"/>
        <v>5060000</v>
      </c>
    </row>
    <row r="22" spans="1:6" hidden="1" x14ac:dyDescent="0.3">
      <c r="A22" s="7" t="s">
        <v>32</v>
      </c>
      <c r="B22" s="7" t="s">
        <v>31</v>
      </c>
      <c r="C22" s="8">
        <v>0</v>
      </c>
      <c r="D22" s="9"/>
      <c r="E22" s="9">
        <f t="shared" si="0"/>
        <v>0</v>
      </c>
    </row>
    <row r="23" spans="1:6" hidden="1" x14ac:dyDescent="0.3">
      <c r="A23" s="7" t="s">
        <v>58</v>
      </c>
      <c r="B23" s="7" t="s">
        <v>4</v>
      </c>
      <c r="C23" s="8">
        <v>0</v>
      </c>
      <c r="D23" s="9"/>
      <c r="E23" s="9">
        <f t="shared" si="0"/>
        <v>0</v>
      </c>
    </row>
    <row r="24" spans="1:6" x14ac:dyDescent="0.3">
      <c r="A24" s="7" t="s">
        <v>33</v>
      </c>
      <c r="B24" s="7" t="s">
        <v>4</v>
      </c>
      <c r="C24" s="8">
        <v>10</v>
      </c>
      <c r="D24" s="9">
        <v>12000</v>
      </c>
      <c r="E24" s="9">
        <f t="shared" si="0"/>
        <v>120000</v>
      </c>
    </row>
    <row r="25" spans="1:6" hidden="1" x14ac:dyDescent="0.3">
      <c r="A25" s="7" t="s">
        <v>33</v>
      </c>
      <c r="B25" s="7" t="s">
        <v>31</v>
      </c>
      <c r="C25" s="8">
        <v>0</v>
      </c>
      <c r="D25" s="9"/>
      <c r="E25" s="9">
        <f t="shared" si="0"/>
        <v>0</v>
      </c>
    </row>
    <row r="26" spans="1:6" x14ac:dyDescent="0.3">
      <c r="A26" s="7" t="s">
        <v>34</v>
      </c>
      <c r="B26" s="7" t="s">
        <v>4</v>
      </c>
      <c r="C26" s="8">
        <v>310</v>
      </c>
      <c r="D26" s="9">
        <v>15000</v>
      </c>
      <c r="E26" s="9">
        <f t="shared" si="0"/>
        <v>4650000</v>
      </c>
    </row>
    <row r="27" spans="1:6" x14ac:dyDescent="0.3">
      <c r="A27" s="7" t="s">
        <v>34</v>
      </c>
      <c r="B27" s="7" t="s">
        <v>31</v>
      </c>
      <c r="C27" s="8">
        <v>44</v>
      </c>
      <c r="D27" s="9">
        <v>6000</v>
      </c>
      <c r="E27" s="9">
        <f t="shared" si="0"/>
        <v>264000</v>
      </c>
    </row>
    <row r="28" spans="1:6" hidden="1" x14ac:dyDescent="0.3">
      <c r="A28" s="7" t="s">
        <v>35</v>
      </c>
      <c r="B28" s="7" t="s">
        <v>4</v>
      </c>
      <c r="C28" s="8">
        <v>0</v>
      </c>
      <c r="D28" s="9"/>
      <c r="E28" s="9">
        <f t="shared" si="0"/>
        <v>0</v>
      </c>
    </row>
    <row r="29" spans="1:6" hidden="1" x14ac:dyDescent="0.3">
      <c r="A29" s="7" t="s">
        <v>59</v>
      </c>
      <c r="B29" s="7" t="s">
        <v>4</v>
      </c>
      <c r="C29" s="8">
        <v>0</v>
      </c>
      <c r="D29" s="9"/>
      <c r="E29" s="9">
        <f t="shared" si="0"/>
        <v>0</v>
      </c>
    </row>
    <row r="30" spans="1:6" hidden="1" x14ac:dyDescent="0.3">
      <c r="A30" s="7" t="s">
        <v>60</v>
      </c>
      <c r="B30" s="7" t="s">
        <v>4</v>
      </c>
      <c r="C30" s="8">
        <v>0</v>
      </c>
      <c r="D30" s="9"/>
      <c r="E30" s="9">
        <f t="shared" si="0"/>
        <v>0</v>
      </c>
    </row>
    <row r="31" spans="1:6" hidden="1" x14ac:dyDescent="0.3">
      <c r="A31" s="7" t="s">
        <v>60</v>
      </c>
      <c r="B31" s="7" t="s">
        <v>50</v>
      </c>
      <c r="C31" s="8">
        <v>0</v>
      </c>
      <c r="D31" s="9"/>
      <c r="E31" s="9">
        <f t="shared" si="0"/>
        <v>0</v>
      </c>
    </row>
    <row r="32" spans="1:6" hidden="1" x14ac:dyDescent="0.3">
      <c r="A32" s="7" t="s">
        <v>61</v>
      </c>
      <c r="B32" s="7" t="s">
        <v>50</v>
      </c>
      <c r="C32" s="8">
        <v>0</v>
      </c>
      <c r="D32" s="9"/>
      <c r="E32" s="9">
        <f t="shared" si="0"/>
        <v>0</v>
      </c>
    </row>
    <row r="33" spans="1:5" hidden="1" x14ac:dyDescent="0.3">
      <c r="A33" s="7" t="s">
        <v>3</v>
      </c>
      <c r="B33" s="7" t="s">
        <v>4</v>
      </c>
      <c r="C33" s="8">
        <v>0</v>
      </c>
      <c r="D33" s="9"/>
      <c r="E33" s="9">
        <f t="shared" si="0"/>
        <v>0</v>
      </c>
    </row>
    <row r="34" spans="1:5" hidden="1" x14ac:dyDescent="0.3">
      <c r="A34" s="7" t="s">
        <v>5</v>
      </c>
      <c r="B34" s="7" t="s">
        <v>4</v>
      </c>
      <c r="C34" s="8">
        <v>0</v>
      </c>
      <c r="D34" s="9"/>
      <c r="E34" s="9">
        <f t="shared" si="0"/>
        <v>0</v>
      </c>
    </row>
    <row r="35" spans="1:5" x14ac:dyDescent="0.3">
      <c r="A35" s="7" t="s">
        <v>6</v>
      </c>
      <c r="B35" s="7" t="s">
        <v>4</v>
      </c>
      <c r="C35" s="8">
        <v>1340</v>
      </c>
      <c r="D35" s="9">
        <v>13748.5</v>
      </c>
      <c r="E35" s="9">
        <f t="shared" si="0"/>
        <v>18422990</v>
      </c>
    </row>
    <row r="36" spans="1:5" hidden="1" x14ac:dyDescent="0.3">
      <c r="A36" s="7" t="s">
        <v>62</v>
      </c>
      <c r="B36" s="7" t="s">
        <v>4</v>
      </c>
      <c r="C36" s="8">
        <v>0</v>
      </c>
      <c r="D36" s="9"/>
      <c r="E36" s="9">
        <f t="shared" si="0"/>
        <v>0</v>
      </c>
    </row>
    <row r="37" spans="1:5" hidden="1" x14ac:dyDescent="0.3">
      <c r="A37" s="7" t="s">
        <v>62</v>
      </c>
      <c r="B37" s="7" t="s">
        <v>31</v>
      </c>
      <c r="C37" s="8">
        <v>0</v>
      </c>
      <c r="D37" s="9"/>
      <c r="E37" s="9">
        <f t="shared" si="0"/>
        <v>0</v>
      </c>
    </row>
    <row r="38" spans="1:5" hidden="1" x14ac:dyDescent="0.3">
      <c r="A38" s="7" t="s">
        <v>63</v>
      </c>
      <c r="B38" s="7" t="s">
        <v>4</v>
      </c>
      <c r="C38" s="8">
        <v>0</v>
      </c>
      <c r="D38" s="9"/>
      <c r="E38" s="9">
        <f t="shared" si="0"/>
        <v>0</v>
      </c>
    </row>
    <row r="39" spans="1:5" hidden="1" x14ac:dyDescent="0.3">
      <c r="A39" s="7" t="s">
        <v>63</v>
      </c>
      <c r="B39" s="7" t="s">
        <v>31</v>
      </c>
      <c r="C39" s="8">
        <v>0</v>
      </c>
      <c r="D39" s="9"/>
      <c r="E39" s="9">
        <f t="shared" si="0"/>
        <v>0</v>
      </c>
    </row>
    <row r="40" spans="1:5" hidden="1" x14ac:dyDescent="0.3">
      <c r="A40" s="7" t="s">
        <v>64</v>
      </c>
      <c r="B40" s="7" t="s">
        <v>4</v>
      </c>
      <c r="C40" s="8">
        <v>0</v>
      </c>
      <c r="D40" s="9"/>
      <c r="E40" s="9">
        <f t="shared" si="0"/>
        <v>0</v>
      </c>
    </row>
    <row r="41" spans="1:5" hidden="1" x14ac:dyDescent="0.3">
      <c r="A41" s="7" t="s">
        <v>64</v>
      </c>
      <c r="B41" s="7" t="s">
        <v>31</v>
      </c>
      <c r="C41" s="8">
        <v>0</v>
      </c>
      <c r="D41" s="9"/>
      <c r="E41" s="9">
        <f t="shared" si="0"/>
        <v>0</v>
      </c>
    </row>
    <row r="42" spans="1:5" hidden="1" x14ac:dyDescent="0.3">
      <c r="A42" s="7" t="s">
        <v>64</v>
      </c>
      <c r="B42" s="7" t="s">
        <v>65</v>
      </c>
      <c r="C42" s="8">
        <v>0</v>
      </c>
      <c r="D42" s="10"/>
      <c r="E42" s="9">
        <f t="shared" si="0"/>
        <v>0</v>
      </c>
    </row>
    <row r="43" spans="1:5" x14ac:dyDescent="0.3">
      <c r="A43" s="7" t="s">
        <v>22</v>
      </c>
      <c r="B43" s="7" t="s">
        <v>4</v>
      </c>
      <c r="C43" s="8">
        <v>200</v>
      </c>
      <c r="D43" s="10">
        <v>7500</v>
      </c>
      <c r="E43" s="9">
        <f t="shared" si="0"/>
        <v>1500000</v>
      </c>
    </row>
    <row r="44" spans="1:5" hidden="1" x14ac:dyDescent="0.3">
      <c r="A44" s="7" t="s">
        <v>24</v>
      </c>
      <c r="B44" s="7" t="s">
        <v>66</v>
      </c>
      <c r="C44" s="8">
        <v>0</v>
      </c>
      <c r="D44" s="10"/>
      <c r="E44" s="9">
        <f t="shared" si="0"/>
        <v>0</v>
      </c>
    </row>
    <row r="45" spans="1:5" hidden="1" x14ac:dyDescent="0.3">
      <c r="A45" s="7" t="s">
        <v>24</v>
      </c>
      <c r="B45" s="7" t="s">
        <v>4</v>
      </c>
      <c r="C45" s="8">
        <v>0</v>
      </c>
      <c r="D45" s="10"/>
      <c r="E45" s="9">
        <f t="shared" si="0"/>
        <v>0</v>
      </c>
    </row>
    <row r="46" spans="1:5" hidden="1" x14ac:dyDescent="0.3">
      <c r="A46" s="7" t="s">
        <v>24</v>
      </c>
      <c r="B46" s="7" t="s">
        <v>31</v>
      </c>
      <c r="C46" s="8">
        <v>0</v>
      </c>
      <c r="D46" s="10"/>
      <c r="E46" s="9">
        <f t="shared" si="0"/>
        <v>0</v>
      </c>
    </row>
    <row r="47" spans="1:5" hidden="1" x14ac:dyDescent="0.3">
      <c r="A47" s="7" t="s">
        <v>40</v>
      </c>
      <c r="B47" s="7" t="s">
        <v>66</v>
      </c>
      <c r="C47" s="8">
        <v>0</v>
      </c>
      <c r="D47" s="10"/>
      <c r="E47" s="9">
        <f t="shared" si="0"/>
        <v>0</v>
      </c>
    </row>
    <row r="48" spans="1:5" x14ac:dyDescent="0.3">
      <c r="A48" s="7" t="s">
        <v>40</v>
      </c>
      <c r="B48" s="7" t="s">
        <v>4</v>
      </c>
      <c r="C48" s="8">
        <v>3</v>
      </c>
      <c r="D48" s="10">
        <v>48000</v>
      </c>
      <c r="E48" s="9">
        <f t="shared" si="0"/>
        <v>144000</v>
      </c>
    </row>
    <row r="49" spans="1:5" hidden="1" x14ac:dyDescent="0.3">
      <c r="A49" s="7" t="s">
        <v>42</v>
      </c>
      <c r="B49" s="7" t="s">
        <v>4</v>
      </c>
      <c r="C49" s="8">
        <v>0</v>
      </c>
      <c r="D49" s="10"/>
      <c r="E49" s="9">
        <f t="shared" si="0"/>
        <v>0</v>
      </c>
    </row>
    <row r="50" spans="1:5" hidden="1" x14ac:dyDescent="0.3">
      <c r="A50" s="7" t="s">
        <v>42</v>
      </c>
      <c r="B50" s="7" t="s">
        <v>31</v>
      </c>
      <c r="C50" s="8">
        <v>0</v>
      </c>
      <c r="D50" s="10"/>
      <c r="E50" s="9">
        <f t="shared" si="0"/>
        <v>0</v>
      </c>
    </row>
    <row r="51" spans="1:5" hidden="1" x14ac:dyDescent="0.3">
      <c r="A51" s="7" t="s">
        <v>67</v>
      </c>
      <c r="B51" s="7" t="s">
        <v>4</v>
      </c>
      <c r="C51" s="8">
        <v>0</v>
      </c>
      <c r="D51" s="10"/>
      <c r="E51" s="9">
        <f t="shared" si="0"/>
        <v>0</v>
      </c>
    </row>
    <row r="52" spans="1:5" hidden="1" x14ac:dyDescent="0.3">
      <c r="A52" s="7" t="s">
        <v>68</v>
      </c>
      <c r="B52" s="7" t="s">
        <v>4</v>
      </c>
      <c r="C52" s="8">
        <v>0</v>
      </c>
      <c r="D52" s="10"/>
      <c r="E52" s="9">
        <f t="shared" si="0"/>
        <v>0</v>
      </c>
    </row>
    <row r="53" spans="1:5" hidden="1" x14ac:dyDescent="0.3">
      <c r="A53" s="7" t="s">
        <v>68</v>
      </c>
      <c r="B53" s="7" t="s">
        <v>31</v>
      </c>
      <c r="C53" s="8">
        <v>0</v>
      </c>
      <c r="D53" s="10"/>
      <c r="E53" s="9">
        <f t="shared" si="0"/>
        <v>0</v>
      </c>
    </row>
    <row r="54" spans="1:5" hidden="1" x14ac:dyDescent="0.3">
      <c r="A54" s="7" t="s">
        <v>69</v>
      </c>
      <c r="B54" s="7" t="s">
        <v>31</v>
      </c>
      <c r="C54" s="8">
        <v>0</v>
      </c>
      <c r="D54" s="10"/>
      <c r="E54" s="9">
        <f t="shared" si="0"/>
        <v>0</v>
      </c>
    </row>
    <row r="55" spans="1:5" hidden="1" x14ac:dyDescent="0.3">
      <c r="A55" s="7" t="s">
        <v>70</v>
      </c>
      <c r="B55" s="7" t="s">
        <v>4</v>
      </c>
      <c r="C55" s="8">
        <v>0</v>
      </c>
      <c r="D55" s="10"/>
      <c r="E55" s="9">
        <f t="shared" si="0"/>
        <v>0</v>
      </c>
    </row>
    <row r="56" spans="1:5" hidden="1" x14ac:dyDescent="0.3">
      <c r="A56" s="7" t="s">
        <v>70</v>
      </c>
      <c r="B56" s="7" t="s">
        <v>71</v>
      </c>
      <c r="C56" s="8">
        <v>0</v>
      </c>
      <c r="D56" s="10"/>
      <c r="E56" s="9">
        <f t="shared" si="0"/>
        <v>0</v>
      </c>
    </row>
    <row r="57" spans="1:5" hidden="1" x14ac:dyDescent="0.3">
      <c r="A57" s="7" t="s">
        <v>72</v>
      </c>
      <c r="B57" s="7" t="s">
        <v>4</v>
      </c>
      <c r="C57" s="8">
        <v>0</v>
      </c>
      <c r="D57" s="10"/>
      <c r="E57" s="9">
        <f t="shared" si="0"/>
        <v>0</v>
      </c>
    </row>
    <row r="58" spans="1:5" hidden="1" x14ac:dyDescent="0.3">
      <c r="A58" s="7" t="s">
        <v>72</v>
      </c>
      <c r="B58" s="7" t="s">
        <v>73</v>
      </c>
      <c r="C58" s="8">
        <v>0</v>
      </c>
      <c r="D58" s="10"/>
      <c r="E58" s="9">
        <f t="shared" si="0"/>
        <v>0</v>
      </c>
    </row>
    <row r="59" spans="1:5" x14ac:dyDescent="0.3">
      <c r="A59" s="7" t="s">
        <v>74</v>
      </c>
      <c r="B59" s="7" t="s">
        <v>4</v>
      </c>
      <c r="C59" s="8">
        <v>12</v>
      </c>
      <c r="D59" s="10">
        <v>30000</v>
      </c>
      <c r="E59" s="9">
        <f t="shared" si="0"/>
        <v>360000</v>
      </c>
    </row>
    <row r="60" spans="1:5" hidden="1" x14ac:dyDescent="0.3">
      <c r="A60" s="7" t="s">
        <v>74</v>
      </c>
      <c r="B60" s="7" t="s">
        <v>31</v>
      </c>
      <c r="C60" s="8">
        <v>0</v>
      </c>
      <c r="D60" s="10"/>
      <c r="E60" s="9">
        <f t="shared" si="0"/>
        <v>0</v>
      </c>
    </row>
    <row r="61" spans="1:5" x14ac:dyDescent="0.3">
      <c r="A61" s="7" t="s">
        <v>75</v>
      </c>
      <c r="B61" s="7" t="s">
        <v>4</v>
      </c>
      <c r="C61" s="8">
        <v>5</v>
      </c>
      <c r="D61" s="10">
        <v>28000</v>
      </c>
      <c r="E61" s="9">
        <f t="shared" si="0"/>
        <v>140000</v>
      </c>
    </row>
    <row r="62" spans="1:5" hidden="1" x14ac:dyDescent="0.3">
      <c r="A62" s="7" t="s">
        <v>76</v>
      </c>
      <c r="B62" s="7" t="s">
        <v>66</v>
      </c>
      <c r="C62" s="8">
        <v>0</v>
      </c>
      <c r="D62" s="10"/>
      <c r="E62" s="9">
        <f t="shared" si="0"/>
        <v>0</v>
      </c>
    </row>
    <row r="63" spans="1:5" x14ac:dyDescent="0.3">
      <c r="A63" s="7" t="s">
        <v>48</v>
      </c>
      <c r="B63" s="7" t="s">
        <v>4</v>
      </c>
      <c r="C63" s="8">
        <v>3</v>
      </c>
      <c r="D63" s="10">
        <v>28000</v>
      </c>
      <c r="E63" s="9">
        <f t="shared" si="0"/>
        <v>84000</v>
      </c>
    </row>
    <row r="64" spans="1:5" hidden="1" x14ac:dyDescent="0.3">
      <c r="A64" s="7" t="s">
        <v>77</v>
      </c>
      <c r="B64" s="7" t="s">
        <v>66</v>
      </c>
      <c r="C64" s="8">
        <v>0</v>
      </c>
      <c r="D64" s="10"/>
      <c r="E64" s="9">
        <f t="shared" si="0"/>
        <v>0</v>
      </c>
    </row>
    <row r="65" spans="1:5" hidden="1" x14ac:dyDescent="0.3">
      <c r="A65" s="7" t="s">
        <v>78</v>
      </c>
      <c r="B65" s="7" t="s">
        <v>4</v>
      </c>
      <c r="C65" s="8">
        <v>0</v>
      </c>
      <c r="D65" s="10"/>
      <c r="E65" s="9">
        <f t="shared" si="0"/>
        <v>0</v>
      </c>
    </row>
    <row r="66" spans="1:5" hidden="1" x14ac:dyDescent="0.3">
      <c r="A66" s="7" t="s">
        <v>79</v>
      </c>
      <c r="B66" s="7" t="s">
        <v>4</v>
      </c>
      <c r="C66" s="8">
        <v>0</v>
      </c>
      <c r="D66" s="10"/>
      <c r="E66" s="9">
        <f t="shared" si="0"/>
        <v>0</v>
      </c>
    </row>
    <row r="67" spans="1:5" hidden="1" x14ac:dyDescent="0.3">
      <c r="A67" s="7" t="s">
        <v>79</v>
      </c>
      <c r="B67" s="7" t="s">
        <v>31</v>
      </c>
      <c r="C67" s="8">
        <v>0</v>
      </c>
      <c r="D67" s="10"/>
      <c r="E67" s="9">
        <f t="shared" si="0"/>
        <v>0</v>
      </c>
    </row>
    <row r="68" spans="1:5" hidden="1" x14ac:dyDescent="0.3">
      <c r="A68" s="7" t="s">
        <v>80</v>
      </c>
      <c r="B68" s="7" t="s">
        <v>4</v>
      </c>
      <c r="C68" s="8">
        <v>0</v>
      </c>
      <c r="D68" s="10"/>
      <c r="E68" s="9">
        <f t="shared" si="0"/>
        <v>0</v>
      </c>
    </row>
    <row r="69" spans="1:5" hidden="1" x14ac:dyDescent="0.3">
      <c r="A69" s="7" t="s">
        <v>80</v>
      </c>
      <c r="B69" s="7" t="s">
        <v>31</v>
      </c>
      <c r="C69" s="8">
        <v>0</v>
      </c>
      <c r="D69" s="10"/>
      <c r="E69" s="9">
        <f t="shared" ref="E69:E132" si="1">C69*D69</f>
        <v>0</v>
      </c>
    </row>
    <row r="70" spans="1:5" hidden="1" x14ac:dyDescent="0.3">
      <c r="A70" s="7" t="s">
        <v>81</v>
      </c>
      <c r="B70" s="7" t="s">
        <v>4</v>
      </c>
      <c r="C70" s="8">
        <v>0</v>
      </c>
      <c r="D70" s="10"/>
      <c r="E70" s="9">
        <f t="shared" si="1"/>
        <v>0</v>
      </c>
    </row>
    <row r="71" spans="1:5" hidden="1" x14ac:dyDescent="0.3">
      <c r="A71" s="7" t="s">
        <v>82</v>
      </c>
      <c r="B71" s="7" t="s">
        <v>66</v>
      </c>
      <c r="C71" s="8">
        <v>0</v>
      </c>
      <c r="D71" s="10"/>
      <c r="E71" s="9">
        <f t="shared" si="1"/>
        <v>0</v>
      </c>
    </row>
    <row r="72" spans="1:5" hidden="1" x14ac:dyDescent="0.3">
      <c r="A72" s="7" t="s">
        <v>83</v>
      </c>
      <c r="B72" s="7" t="s">
        <v>4</v>
      </c>
      <c r="C72" s="8">
        <v>0</v>
      </c>
      <c r="D72" s="10"/>
      <c r="E72" s="9">
        <f t="shared" si="1"/>
        <v>0</v>
      </c>
    </row>
    <row r="73" spans="1:5" hidden="1" x14ac:dyDescent="0.3">
      <c r="A73" s="7" t="s">
        <v>7</v>
      </c>
      <c r="B73" s="7" t="s">
        <v>4</v>
      </c>
      <c r="C73" s="8">
        <v>0</v>
      </c>
      <c r="D73" s="10"/>
      <c r="E73" s="9">
        <f t="shared" si="1"/>
        <v>0</v>
      </c>
    </row>
    <row r="74" spans="1:5" hidden="1" x14ac:dyDescent="0.3">
      <c r="A74" s="7" t="s">
        <v>7</v>
      </c>
      <c r="B74" s="7" t="s">
        <v>84</v>
      </c>
      <c r="C74" s="8">
        <v>0</v>
      </c>
      <c r="D74" s="10"/>
      <c r="E74" s="9">
        <f t="shared" si="1"/>
        <v>0</v>
      </c>
    </row>
    <row r="75" spans="1:5" x14ac:dyDescent="0.3">
      <c r="A75" s="7" t="s">
        <v>85</v>
      </c>
      <c r="B75" s="7" t="s">
        <v>4</v>
      </c>
      <c r="C75" s="8">
        <v>24</v>
      </c>
      <c r="D75" s="10">
        <v>10000</v>
      </c>
      <c r="E75" s="9">
        <f t="shared" si="1"/>
        <v>240000</v>
      </c>
    </row>
    <row r="76" spans="1:5" x14ac:dyDescent="0.3">
      <c r="A76" s="7" t="s">
        <v>8</v>
      </c>
      <c r="B76" s="7" t="s">
        <v>4</v>
      </c>
      <c r="C76" s="8">
        <v>610</v>
      </c>
      <c r="D76" s="10">
        <v>5000</v>
      </c>
      <c r="E76" s="9">
        <f t="shared" si="1"/>
        <v>3050000</v>
      </c>
    </row>
    <row r="77" spans="1:5" x14ac:dyDescent="0.3">
      <c r="A77" s="7" t="s">
        <v>10</v>
      </c>
      <c r="B77" s="7" t="s">
        <v>4</v>
      </c>
      <c r="C77" s="8">
        <v>86</v>
      </c>
      <c r="D77" s="10">
        <v>19000</v>
      </c>
      <c r="E77" s="9">
        <f t="shared" si="1"/>
        <v>1634000</v>
      </c>
    </row>
    <row r="78" spans="1:5" hidden="1" x14ac:dyDescent="0.3">
      <c r="A78" s="7" t="s">
        <v>10</v>
      </c>
      <c r="B78" s="7" t="s">
        <v>84</v>
      </c>
      <c r="C78" s="8">
        <v>0</v>
      </c>
      <c r="D78" s="10"/>
      <c r="E78" s="9">
        <f t="shared" si="1"/>
        <v>0</v>
      </c>
    </row>
    <row r="79" spans="1:5" x14ac:dyDescent="0.3">
      <c r="A79" s="7" t="s">
        <v>11</v>
      </c>
      <c r="B79" s="7" t="s">
        <v>4</v>
      </c>
      <c r="C79" s="8">
        <v>34</v>
      </c>
      <c r="D79" s="10">
        <v>9500</v>
      </c>
      <c r="E79" s="9">
        <f t="shared" si="1"/>
        <v>323000</v>
      </c>
    </row>
    <row r="80" spans="1:5" hidden="1" x14ac:dyDescent="0.3">
      <c r="A80" s="7" t="s">
        <v>11</v>
      </c>
      <c r="B80" s="7" t="s">
        <v>84</v>
      </c>
      <c r="C80" s="8">
        <v>0</v>
      </c>
      <c r="D80" s="10"/>
      <c r="E80" s="9">
        <f t="shared" si="1"/>
        <v>0</v>
      </c>
    </row>
    <row r="81" spans="1:5" x14ac:dyDescent="0.3">
      <c r="A81" s="7" t="s">
        <v>15</v>
      </c>
      <c r="B81" s="7" t="s">
        <v>4</v>
      </c>
      <c r="C81" s="8">
        <v>225</v>
      </c>
      <c r="D81" s="10">
        <v>25000</v>
      </c>
      <c r="E81" s="9">
        <f t="shared" si="1"/>
        <v>5625000</v>
      </c>
    </row>
    <row r="82" spans="1:5" hidden="1" x14ac:dyDescent="0.3">
      <c r="A82" s="7" t="s">
        <v>15</v>
      </c>
      <c r="B82" s="7" t="s">
        <v>50</v>
      </c>
      <c r="C82" s="8">
        <v>0</v>
      </c>
      <c r="D82" s="10"/>
      <c r="E82" s="9">
        <f t="shared" si="1"/>
        <v>0</v>
      </c>
    </row>
    <row r="83" spans="1:5" hidden="1" x14ac:dyDescent="0.3">
      <c r="A83" s="7" t="s">
        <v>86</v>
      </c>
      <c r="B83" s="7" t="s">
        <v>50</v>
      </c>
      <c r="C83" s="8">
        <v>0</v>
      </c>
      <c r="D83" s="10"/>
      <c r="E83" s="9">
        <f t="shared" si="1"/>
        <v>0</v>
      </c>
    </row>
    <row r="84" spans="1:5" hidden="1" x14ac:dyDescent="0.3">
      <c r="A84" s="7" t="s">
        <v>87</v>
      </c>
      <c r="B84" s="7" t="s">
        <v>50</v>
      </c>
      <c r="C84" s="8">
        <v>0</v>
      </c>
      <c r="D84" s="10"/>
      <c r="E84" s="9">
        <f t="shared" si="1"/>
        <v>0</v>
      </c>
    </row>
    <row r="85" spans="1:5" x14ac:dyDescent="0.3">
      <c r="A85" s="7" t="s">
        <v>88</v>
      </c>
      <c r="B85" s="7" t="s">
        <v>53</v>
      </c>
      <c r="C85" s="8">
        <v>64</v>
      </c>
      <c r="D85" s="10">
        <v>11400</v>
      </c>
      <c r="E85" s="9">
        <f t="shared" si="1"/>
        <v>729600</v>
      </c>
    </row>
    <row r="86" spans="1:5" hidden="1" x14ac:dyDescent="0.3">
      <c r="A86" s="7" t="s">
        <v>89</v>
      </c>
      <c r="B86" s="7" t="s">
        <v>53</v>
      </c>
      <c r="C86" s="8">
        <v>0</v>
      </c>
      <c r="D86" s="10"/>
      <c r="E86" s="9">
        <f t="shared" si="1"/>
        <v>0</v>
      </c>
    </row>
    <row r="87" spans="1:5" hidden="1" x14ac:dyDescent="0.3">
      <c r="A87" s="7" t="s">
        <v>89</v>
      </c>
      <c r="B87" s="7" t="s">
        <v>4</v>
      </c>
      <c r="C87" s="8">
        <v>0</v>
      </c>
      <c r="D87" s="10"/>
      <c r="E87" s="9">
        <f t="shared" si="1"/>
        <v>0</v>
      </c>
    </row>
    <row r="88" spans="1:5" hidden="1" x14ac:dyDescent="0.3">
      <c r="A88" s="7" t="s">
        <v>90</v>
      </c>
      <c r="B88" s="7" t="s">
        <v>4</v>
      </c>
      <c r="C88" s="8">
        <v>0</v>
      </c>
      <c r="D88" s="10"/>
      <c r="E88" s="9">
        <f t="shared" si="1"/>
        <v>0</v>
      </c>
    </row>
    <row r="89" spans="1:5" hidden="1" x14ac:dyDescent="0.3">
      <c r="A89" s="7" t="s">
        <v>91</v>
      </c>
      <c r="B89" s="7" t="s">
        <v>53</v>
      </c>
      <c r="C89" s="8">
        <v>0</v>
      </c>
      <c r="D89" s="10"/>
      <c r="E89" s="9">
        <f t="shared" si="1"/>
        <v>0</v>
      </c>
    </row>
    <row r="90" spans="1:5" x14ac:dyDescent="0.3">
      <c r="A90" s="7" t="s">
        <v>18</v>
      </c>
      <c r="B90" s="7" t="s">
        <v>4</v>
      </c>
      <c r="C90" s="8">
        <v>350</v>
      </c>
      <c r="D90" s="10">
        <v>21000</v>
      </c>
      <c r="E90" s="9">
        <f t="shared" si="1"/>
        <v>7350000</v>
      </c>
    </row>
    <row r="91" spans="1:5" hidden="1" x14ac:dyDescent="0.3">
      <c r="A91" s="7" t="s">
        <v>18</v>
      </c>
      <c r="B91" s="7" t="s">
        <v>50</v>
      </c>
      <c r="C91" s="8">
        <v>0</v>
      </c>
      <c r="D91" s="10"/>
      <c r="E91" s="9">
        <f t="shared" si="1"/>
        <v>0</v>
      </c>
    </row>
    <row r="92" spans="1:5" x14ac:dyDescent="0.3">
      <c r="A92" s="7" t="s">
        <v>92</v>
      </c>
      <c r="B92" s="7" t="s">
        <v>31</v>
      </c>
      <c r="C92" s="8">
        <v>5</v>
      </c>
      <c r="D92" s="10">
        <v>19000</v>
      </c>
      <c r="E92" s="9">
        <f t="shared" si="1"/>
        <v>95000</v>
      </c>
    </row>
    <row r="93" spans="1:5" hidden="1" x14ac:dyDescent="0.3">
      <c r="A93" s="7" t="s">
        <v>21</v>
      </c>
      <c r="B93" s="7" t="s">
        <v>4</v>
      </c>
      <c r="C93" s="8">
        <v>0</v>
      </c>
      <c r="D93" s="10"/>
      <c r="E93" s="9">
        <f t="shared" si="1"/>
        <v>0</v>
      </c>
    </row>
    <row r="94" spans="1:5" hidden="1" x14ac:dyDescent="0.3">
      <c r="A94" s="7" t="s">
        <v>93</v>
      </c>
      <c r="B94" s="7" t="s">
        <v>50</v>
      </c>
      <c r="C94" s="8">
        <v>0</v>
      </c>
      <c r="D94" s="10"/>
      <c r="E94" s="9">
        <f t="shared" si="1"/>
        <v>0</v>
      </c>
    </row>
    <row r="95" spans="1:5" hidden="1" x14ac:dyDescent="0.3">
      <c r="A95" s="7" t="s">
        <v>94</v>
      </c>
      <c r="B95" s="7" t="s">
        <v>4</v>
      </c>
      <c r="C95" s="8">
        <v>0</v>
      </c>
      <c r="D95" s="10"/>
      <c r="E95" s="9">
        <f t="shared" si="1"/>
        <v>0</v>
      </c>
    </row>
    <row r="96" spans="1:5" hidden="1" x14ac:dyDescent="0.3">
      <c r="A96" s="7" t="s">
        <v>94</v>
      </c>
      <c r="B96" s="7" t="s">
        <v>50</v>
      </c>
      <c r="C96" s="8">
        <v>0</v>
      </c>
      <c r="D96" s="10"/>
      <c r="E96" s="9">
        <f t="shared" si="1"/>
        <v>0</v>
      </c>
    </row>
    <row r="97" spans="1:5" hidden="1" x14ac:dyDescent="0.3">
      <c r="A97" s="7" t="s">
        <v>37</v>
      </c>
      <c r="B97" s="7" t="s">
        <v>4</v>
      </c>
      <c r="C97" s="8">
        <v>0</v>
      </c>
      <c r="D97" s="10"/>
      <c r="E97" s="9">
        <f t="shared" si="1"/>
        <v>0</v>
      </c>
    </row>
    <row r="98" spans="1:5" hidden="1" x14ac:dyDescent="0.3">
      <c r="A98" s="7" t="s">
        <v>95</v>
      </c>
      <c r="B98" s="7" t="s">
        <v>31</v>
      </c>
      <c r="C98" s="8">
        <v>0</v>
      </c>
      <c r="D98" s="10"/>
      <c r="E98" s="9">
        <f t="shared" si="1"/>
        <v>0</v>
      </c>
    </row>
    <row r="99" spans="1:5" hidden="1" x14ac:dyDescent="0.3">
      <c r="A99" s="7" t="s">
        <v>38</v>
      </c>
      <c r="B99" s="7" t="s">
        <v>31</v>
      </c>
      <c r="C99" s="8">
        <v>0</v>
      </c>
      <c r="D99" s="10"/>
      <c r="E99" s="9">
        <f t="shared" si="1"/>
        <v>0</v>
      </c>
    </row>
    <row r="100" spans="1:5" hidden="1" x14ac:dyDescent="0.3">
      <c r="A100" s="7" t="s">
        <v>36</v>
      </c>
      <c r="B100" s="7" t="s">
        <v>31</v>
      </c>
      <c r="C100" s="8">
        <v>0</v>
      </c>
      <c r="D100" s="10"/>
      <c r="E100" s="9">
        <f t="shared" si="1"/>
        <v>0</v>
      </c>
    </row>
    <row r="101" spans="1:5" hidden="1" x14ac:dyDescent="0.3">
      <c r="A101" s="7" t="s">
        <v>96</v>
      </c>
      <c r="B101" s="7" t="s">
        <v>4</v>
      </c>
      <c r="C101" s="8">
        <v>0</v>
      </c>
      <c r="D101" s="10"/>
      <c r="E101" s="9">
        <f t="shared" si="1"/>
        <v>0</v>
      </c>
    </row>
    <row r="102" spans="1:5" hidden="1" x14ac:dyDescent="0.3">
      <c r="A102" s="7" t="s">
        <v>96</v>
      </c>
      <c r="B102" s="7" t="s">
        <v>50</v>
      </c>
      <c r="C102" s="8">
        <v>0</v>
      </c>
      <c r="D102" s="10"/>
      <c r="E102" s="9">
        <f t="shared" si="1"/>
        <v>0</v>
      </c>
    </row>
    <row r="103" spans="1:5" hidden="1" x14ac:dyDescent="0.3">
      <c r="A103" s="7" t="s">
        <v>97</v>
      </c>
      <c r="B103" s="7" t="s">
        <v>4</v>
      </c>
      <c r="C103" s="8">
        <v>0</v>
      </c>
      <c r="D103" s="10"/>
      <c r="E103" s="9">
        <f t="shared" si="1"/>
        <v>0</v>
      </c>
    </row>
    <row r="104" spans="1:5" hidden="1" x14ac:dyDescent="0.3">
      <c r="A104" s="7" t="s">
        <v>39</v>
      </c>
      <c r="B104" s="7" t="s">
        <v>4</v>
      </c>
      <c r="C104" s="8">
        <v>0</v>
      </c>
      <c r="D104" s="10"/>
      <c r="E104" s="9">
        <f t="shared" si="1"/>
        <v>0</v>
      </c>
    </row>
    <row r="105" spans="1:5" x14ac:dyDescent="0.3">
      <c r="A105" s="7" t="s">
        <v>98</v>
      </c>
      <c r="B105" s="7" t="s">
        <v>50</v>
      </c>
      <c r="C105" s="8">
        <v>65</v>
      </c>
      <c r="D105" s="10">
        <v>7500</v>
      </c>
      <c r="E105" s="9">
        <f t="shared" si="1"/>
        <v>487500</v>
      </c>
    </row>
    <row r="106" spans="1:5" hidden="1" x14ac:dyDescent="0.3">
      <c r="A106" s="7" t="s">
        <v>99</v>
      </c>
      <c r="B106" s="7" t="s">
        <v>4</v>
      </c>
      <c r="C106" s="8">
        <v>0</v>
      </c>
      <c r="D106" s="10"/>
      <c r="E106" s="9">
        <f t="shared" si="1"/>
        <v>0</v>
      </c>
    </row>
    <row r="107" spans="1:5" hidden="1" x14ac:dyDescent="0.3">
      <c r="A107" s="7" t="s">
        <v>99</v>
      </c>
      <c r="B107" s="7" t="s">
        <v>31</v>
      </c>
      <c r="C107" s="8">
        <v>0</v>
      </c>
      <c r="D107" s="10"/>
      <c r="E107" s="9">
        <f t="shared" si="1"/>
        <v>0</v>
      </c>
    </row>
    <row r="108" spans="1:5" x14ac:dyDescent="0.3">
      <c r="A108" s="7" t="s">
        <v>100</v>
      </c>
      <c r="B108" s="7" t="s">
        <v>4</v>
      </c>
      <c r="C108" s="8">
        <v>35</v>
      </c>
      <c r="D108" s="10">
        <v>8000</v>
      </c>
      <c r="E108" s="9">
        <f t="shared" si="1"/>
        <v>280000</v>
      </c>
    </row>
    <row r="109" spans="1:5" hidden="1" x14ac:dyDescent="0.3">
      <c r="A109" s="7" t="s">
        <v>101</v>
      </c>
      <c r="B109" s="7" t="s">
        <v>53</v>
      </c>
      <c r="C109" s="8">
        <v>0</v>
      </c>
      <c r="D109" s="10"/>
      <c r="E109" s="9">
        <f t="shared" si="1"/>
        <v>0</v>
      </c>
    </row>
    <row r="110" spans="1:5" hidden="1" x14ac:dyDescent="0.3">
      <c r="A110" s="7" t="s">
        <v>101</v>
      </c>
      <c r="B110" s="7" t="s">
        <v>4</v>
      </c>
      <c r="C110" s="8">
        <v>0</v>
      </c>
      <c r="D110" s="10"/>
      <c r="E110" s="9">
        <f t="shared" si="1"/>
        <v>0</v>
      </c>
    </row>
    <row r="111" spans="1:5" x14ac:dyDescent="0.3">
      <c r="A111" s="7" t="s">
        <v>43</v>
      </c>
      <c r="B111" s="7" t="s">
        <v>4</v>
      </c>
      <c r="C111" s="8">
        <v>123</v>
      </c>
      <c r="D111" s="10">
        <v>48000</v>
      </c>
      <c r="E111" s="9">
        <f t="shared" si="1"/>
        <v>5904000</v>
      </c>
    </row>
    <row r="112" spans="1:5" hidden="1" x14ac:dyDescent="0.3">
      <c r="A112" s="7" t="s">
        <v>43</v>
      </c>
      <c r="B112" s="7" t="s">
        <v>84</v>
      </c>
      <c r="C112" s="8">
        <v>0</v>
      </c>
      <c r="D112" s="10"/>
      <c r="E112" s="9">
        <f t="shared" si="1"/>
        <v>0</v>
      </c>
    </row>
    <row r="113" spans="1:5" hidden="1" x14ac:dyDescent="0.3">
      <c r="A113" s="7" t="s">
        <v>102</v>
      </c>
      <c r="B113" s="7" t="s">
        <v>53</v>
      </c>
      <c r="C113" s="8">
        <v>0</v>
      </c>
      <c r="D113" s="10"/>
      <c r="E113" s="9">
        <f t="shared" si="1"/>
        <v>0</v>
      </c>
    </row>
    <row r="114" spans="1:5" hidden="1" x14ac:dyDescent="0.3">
      <c r="A114" s="7" t="s">
        <v>102</v>
      </c>
      <c r="B114" s="7" t="s">
        <v>4</v>
      </c>
      <c r="C114" s="8">
        <v>0</v>
      </c>
      <c r="D114" s="10"/>
      <c r="E114" s="9">
        <f t="shared" si="1"/>
        <v>0</v>
      </c>
    </row>
    <row r="115" spans="1:5" x14ac:dyDescent="0.3">
      <c r="A115" s="7" t="s">
        <v>44</v>
      </c>
      <c r="B115" s="7" t="s">
        <v>4</v>
      </c>
      <c r="C115" s="8">
        <v>137</v>
      </c>
      <c r="D115" s="10">
        <v>36000</v>
      </c>
      <c r="E115" s="9">
        <f t="shared" si="1"/>
        <v>4932000</v>
      </c>
    </row>
    <row r="116" spans="1:5" hidden="1" x14ac:dyDescent="0.3">
      <c r="A116" s="7" t="s">
        <v>44</v>
      </c>
      <c r="B116" s="7" t="s">
        <v>84</v>
      </c>
      <c r="C116" s="8">
        <v>0</v>
      </c>
      <c r="D116" s="10"/>
      <c r="E116" s="9">
        <f t="shared" si="1"/>
        <v>0</v>
      </c>
    </row>
    <row r="117" spans="1:5" x14ac:dyDescent="0.3">
      <c r="A117" s="7" t="s">
        <v>45</v>
      </c>
      <c r="B117" s="7" t="s">
        <v>4</v>
      </c>
      <c r="C117" s="8">
        <v>138</v>
      </c>
      <c r="D117" s="10">
        <v>38000</v>
      </c>
      <c r="E117" s="9">
        <f t="shared" si="1"/>
        <v>5244000</v>
      </c>
    </row>
    <row r="118" spans="1:5" hidden="1" x14ac:dyDescent="0.3">
      <c r="A118" s="7" t="s">
        <v>45</v>
      </c>
      <c r="B118" s="7" t="s">
        <v>84</v>
      </c>
      <c r="C118" s="8">
        <v>0</v>
      </c>
      <c r="D118" s="10"/>
      <c r="E118" s="9">
        <f t="shared" si="1"/>
        <v>0</v>
      </c>
    </row>
    <row r="119" spans="1:5" x14ac:dyDescent="0.3">
      <c r="A119" s="7" t="s">
        <v>103</v>
      </c>
      <c r="B119" s="7" t="s">
        <v>31</v>
      </c>
      <c r="C119" s="8">
        <v>4</v>
      </c>
      <c r="D119" s="10">
        <v>20000</v>
      </c>
      <c r="E119" s="9">
        <f t="shared" si="1"/>
        <v>80000</v>
      </c>
    </row>
    <row r="120" spans="1:5" hidden="1" x14ac:dyDescent="0.3">
      <c r="A120" s="7" t="s">
        <v>104</v>
      </c>
      <c r="B120" s="7" t="s">
        <v>4</v>
      </c>
      <c r="C120" s="8">
        <v>0</v>
      </c>
      <c r="D120" s="10"/>
      <c r="E120" s="9">
        <f t="shared" si="1"/>
        <v>0</v>
      </c>
    </row>
    <row r="121" spans="1:5" hidden="1" x14ac:dyDescent="0.3">
      <c r="A121" s="7" t="s">
        <v>104</v>
      </c>
      <c r="B121" s="7" t="s">
        <v>84</v>
      </c>
      <c r="C121" s="8">
        <v>0</v>
      </c>
      <c r="D121" s="10"/>
      <c r="E121" s="9">
        <f t="shared" si="1"/>
        <v>0</v>
      </c>
    </row>
    <row r="122" spans="1:5" hidden="1" x14ac:dyDescent="0.3">
      <c r="A122" s="7" t="s">
        <v>47</v>
      </c>
      <c r="B122" s="7" t="s">
        <v>4</v>
      </c>
      <c r="C122" s="8">
        <v>0</v>
      </c>
      <c r="D122" s="10"/>
      <c r="E122" s="9">
        <f t="shared" si="1"/>
        <v>0</v>
      </c>
    </row>
    <row r="123" spans="1:5" hidden="1" x14ac:dyDescent="0.3">
      <c r="A123" s="7" t="s">
        <v>105</v>
      </c>
      <c r="B123" s="7" t="s">
        <v>4</v>
      </c>
      <c r="C123" s="8">
        <v>0</v>
      </c>
      <c r="D123" s="10"/>
      <c r="E123" s="9">
        <f t="shared" si="1"/>
        <v>0</v>
      </c>
    </row>
    <row r="124" spans="1:5" hidden="1" x14ac:dyDescent="0.3">
      <c r="A124" s="7" t="s">
        <v>106</v>
      </c>
      <c r="B124" s="7" t="s">
        <v>4</v>
      </c>
      <c r="C124" s="8">
        <v>0</v>
      </c>
      <c r="D124" s="10"/>
      <c r="E124" s="9">
        <f t="shared" si="1"/>
        <v>0</v>
      </c>
    </row>
    <row r="125" spans="1:5" hidden="1" x14ac:dyDescent="0.3">
      <c r="A125" s="7" t="s">
        <v>107</v>
      </c>
      <c r="B125" s="7" t="s">
        <v>4</v>
      </c>
      <c r="C125" s="8">
        <v>0</v>
      </c>
      <c r="D125" s="10"/>
      <c r="E125" s="9">
        <f t="shared" si="1"/>
        <v>0</v>
      </c>
    </row>
    <row r="126" spans="1:5" x14ac:dyDescent="0.3">
      <c r="A126" s="7" t="s">
        <v>108</v>
      </c>
      <c r="B126" s="7" t="s">
        <v>53</v>
      </c>
      <c r="C126" s="8">
        <v>4</v>
      </c>
      <c r="D126" s="10">
        <v>10800</v>
      </c>
      <c r="E126" s="9">
        <f t="shared" si="1"/>
        <v>43200</v>
      </c>
    </row>
    <row r="127" spans="1:5" hidden="1" x14ac:dyDescent="0.3">
      <c r="A127" s="7" t="s">
        <v>26</v>
      </c>
      <c r="B127" s="7" t="s">
        <v>4</v>
      </c>
      <c r="C127" s="8">
        <v>0</v>
      </c>
      <c r="D127" s="10"/>
      <c r="E127" s="9">
        <f t="shared" si="1"/>
        <v>0</v>
      </c>
    </row>
    <row r="128" spans="1:5" hidden="1" x14ac:dyDescent="0.3">
      <c r="A128" s="7" t="s">
        <v>109</v>
      </c>
      <c r="B128" s="7" t="s">
        <v>53</v>
      </c>
      <c r="C128" s="8">
        <v>0</v>
      </c>
      <c r="D128" s="10"/>
      <c r="E128" s="9">
        <f t="shared" si="1"/>
        <v>0</v>
      </c>
    </row>
    <row r="129" spans="1:6" hidden="1" x14ac:dyDescent="0.3">
      <c r="A129" s="7" t="s">
        <v>110</v>
      </c>
      <c r="B129" s="7" t="s">
        <v>4</v>
      </c>
      <c r="C129" s="8">
        <v>0</v>
      </c>
      <c r="D129" s="10"/>
      <c r="E129" s="9">
        <f t="shared" si="1"/>
        <v>0</v>
      </c>
    </row>
    <row r="130" spans="1:6" x14ac:dyDescent="0.3">
      <c r="A130" s="7" t="s">
        <v>12</v>
      </c>
      <c r="B130" s="7" t="s">
        <v>4</v>
      </c>
      <c r="C130" s="8">
        <v>74</v>
      </c>
      <c r="D130" s="10">
        <v>26000</v>
      </c>
      <c r="E130" s="9">
        <f t="shared" si="1"/>
        <v>1924000</v>
      </c>
    </row>
    <row r="131" spans="1:6" hidden="1" x14ac:dyDescent="0.3">
      <c r="A131" s="7" t="s">
        <v>111</v>
      </c>
      <c r="B131" s="7" t="s">
        <v>4</v>
      </c>
      <c r="C131" s="8">
        <v>0</v>
      </c>
      <c r="D131" s="10"/>
      <c r="E131" s="9">
        <f t="shared" si="1"/>
        <v>0</v>
      </c>
    </row>
    <row r="132" spans="1:6" hidden="1" x14ac:dyDescent="0.3">
      <c r="A132" s="7" t="s">
        <v>112</v>
      </c>
      <c r="B132" s="7" t="s">
        <v>50</v>
      </c>
      <c r="C132" s="8">
        <v>0</v>
      </c>
      <c r="D132" s="10"/>
      <c r="E132" s="9">
        <f t="shared" si="1"/>
        <v>0</v>
      </c>
    </row>
    <row r="133" spans="1:6" hidden="1" x14ac:dyDescent="0.3">
      <c r="A133" s="7" t="s">
        <v>113</v>
      </c>
      <c r="B133" s="7" t="s">
        <v>31</v>
      </c>
      <c r="C133" s="8">
        <v>0</v>
      </c>
      <c r="D133" s="10"/>
      <c r="E133" s="9">
        <f t="shared" ref="E133:E194" si="2">C133*D133</f>
        <v>0</v>
      </c>
    </row>
    <row r="134" spans="1:6" hidden="1" x14ac:dyDescent="0.3">
      <c r="A134" s="7" t="s">
        <v>114</v>
      </c>
      <c r="B134" s="7" t="s">
        <v>31</v>
      </c>
      <c r="C134" s="8">
        <v>0</v>
      </c>
      <c r="D134" s="10"/>
      <c r="E134" s="9">
        <f t="shared" si="2"/>
        <v>0</v>
      </c>
    </row>
    <row r="135" spans="1:6" hidden="1" x14ac:dyDescent="0.3">
      <c r="A135" s="7" t="s">
        <v>115</v>
      </c>
      <c r="B135" s="7" t="s">
        <v>50</v>
      </c>
      <c r="C135" s="8">
        <v>0</v>
      </c>
      <c r="D135" s="10"/>
      <c r="E135" s="9">
        <f t="shared" si="2"/>
        <v>0</v>
      </c>
    </row>
    <row r="136" spans="1:6" hidden="1" x14ac:dyDescent="0.3">
      <c r="A136" s="7" t="s">
        <v>9</v>
      </c>
      <c r="B136" s="7" t="s">
        <v>4</v>
      </c>
      <c r="C136" s="8">
        <v>0</v>
      </c>
      <c r="D136" s="10"/>
      <c r="E136" s="9">
        <f t="shared" si="2"/>
        <v>0</v>
      </c>
    </row>
    <row r="137" spans="1:6" hidden="1" x14ac:dyDescent="0.3">
      <c r="A137" s="7" t="s">
        <v>116</v>
      </c>
      <c r="B137" s="7" t="s">
        <v>4</v>
      </c>
      <c r="C137" s="8">
        <v>0</v>
      </c>
      <c r="D137" s="10"/>
      <c r="E137" s="9">
        <f t="shared" si="2"/>
        <v>0</v>
      </c>
    </row>
    <row r="138" spans="1:6" x14ac:dyDescent="0.3">
      <c r="A138" s="7" t="s">
        <v>117</v>
      </c>
      <c r="B138" s="7" t="s">
        <v>4</v>
      </c>
      <c r="C138" s="8">
        <v>350</v>
      </c>
      <c r="D138" s="10">
        <v>22000</v>
      </c>
      <c r="E138" s="9">
        <f t="shared" si="2"/>
        <v>7700000</v>
      </c>
      <c r="F138">
        <v>350</v>
      </c>
    </row>
    <row r="139" spans="1:6" x14ac:dyDescent="0.3">
      <c r="A139" s="7" t="s">
        <v>17</v>
      </c>
      <c r="B139" s="7" t="s">
        <v>4</v>
      </c>
      <c r="C139" s="8">
        <v>18</v>
      </c>
      <c r="D139" s="10">
        <v>38000</v>
      </c>
      <c r="E139" s="9">
        <f t="shared" si="2"/>
        <v>684000</v>
      </c>
    </row>
    <row r="140" spans="1:6" x14ac:dyDescent="0.3">
      <c r="A140" s="7" t="s">
        <v>118</v>
      </c>
      <c r="B140" s="7" t="s">
        <v>4</v>
      </c>
      <c r="C140" s="8">
        <v>96</v>
      </c>
      <c r="D140" s="10">
        <v>19319</v>
      </c>
      <c r="E140" s="9">
        <f t="shared" si="2"/>
        <v>1854624</v>
      </c>
    </row>
    <row r="141" spans="1:6" hidden="1" x14ac:dyDescent="0.3">
      <c r="A141" s="7" t="s">
        <v>119</v>
      </c>
      <c r="B141" s="7" t="s">
        <v>4</v>
      </c>
      <c r="C141" s="8">
        <v>0</v>
      </c>
      <c r="D141" s="10"/>
      <c r="E141" s="9">
        <f t="shared" si="2"/>
        <v>0</v>
      </c>
    </row>
    <row r="142" spans="1:6" hidden="1" x14ac:dyDescent="0.3">
      <c r="A142" s="7" t="s">
        <v>119</v>
      </c>
      <c r="B142" s="7" t="s">
        <v>31</v>
      </c>
      <c r="C142" s="8">
        <v>0</v>
      </c>
      <c r="D142" s="10"/>
      <c r="E142" s="9">
        <f t="shared" si="2"/>
        <v>0</v>
      </c>
    </row>
    <row r="143" spans="1:6" hidden="1" x14ac:dyDescent="0.3">
      <c r="A143" s="7" t="s">
        <v>120</v>
      </c>
      <c r="B143" s="7" t="s">
        <v>4</v>
      </c>
      <c r="C143" s="8">
        <v>0</v>
      </c>
      <c r="D143" s="10"/>
      <c r="E143" s="9">
        <f t="shared" si="2"/>
        <v>0</v>
      </c>
    </row>
    <row r="144" spans="1:6" hidden="1" x14ac:dyDescent="0.3">
      <c r="A144" s="7" t="s">
        <v>121</v>
      </c>
      <c r="B144" s="7" t="s">
        <v>53</v>
      </c>
      <c r="C144" s="8">
        <v>0</v>
      </c>
      <c r="D144" s="10"/>
      <c r="E144" s="9">
        <f t="shared" si="2"/>
        <v>0</v>
      </c>
    </row>
    <row r="145" spans="1:5" x14ac:dyDescent="0.3">
      <c r="A145" s="7" t="s">
        <v>16</v>
      </c>
      <c r="B145" s="7" t="s">
        <v>4</v>
      </c>
      <c r="C145" s="8">
        <v>36</v>
      </c>
      <c r="D145" s="10">
        <v>17000</v>
      </c>
      <c r="E145" s="9">
        <f t="shared" si="2"/>
        <v>612000</v>
      </c>
    </row>
    <row r="146" spans="1:5" hidden="1" x14ac:dyDescent="0.3">
      <c r="A146" s="7" t="s">
        <v>122</v>
      </c>
      <c r="B146" s="7" t="s">
        <v>50</v>
      </c>
      <c r="C146" s="8">
        <v>0</v>
      </c>
      <c r="D146" s="10"/>
      <c r="E146" s="9">
        <f t="shared" si="2"/>
        <v>0</v>
      </c>
    </row>
    <row r="147" spans="1:5" hidden="1" x14ac:dyDescent="0.3">
      <c r="A147" s="7" t="s">
        <v>123</v>
      </c>
      <c r="B147" s="7" t="s">
        <v>4</v>
      </c>
      <c r="C147" s="8">
        <v>0</v>
      </c>
      <c r="D147" s="10"/>
      <c r="E147" s="9">
        <f t="shared" si="2"/>
        <v>0</v>
      </c>
    </row>
    <row r="148" spans="1:5" hidden="1" x14ac:dyDescent="0.3">
      <c r="A148" s="7" t="s">
        <v>124</v>
      </c>
      <c r="B148" s="7" t="s">
        <v>4</v>
      </c>
      <c r="C148" s="8">
        <v>0</v>
      </c>
      <c r="D148" s="10"/>
      <c r="E148" s="9">
        <f t="shared" si="2"/>
        <v>0</v>
      </c>
    </row>
    <row r="149" spans="1:5" hidden="1" x14ac:dyDescent="0.3">
      <c r="A149" s="7" t="s">
        <v>125</v>
      </c>
      <c r="B149" s="7" t="s">
        <v>4</v>
      </c>
      <c r="C149" s="8">
        <v>0</v>
      </c>
      <c r="D149" s="10"/>
      <c r="E149" s="9">
        <f t="shared" si="2"/>
        <v>0</v>
      </c>
    </row>
    <row r="150" spans="1:5" hidden="1" x14ac:dyDescent="0.3">
      <c r="A150" s="7" t="s">
        <v>46</v>
      </c>
      <c r="B150" s="7" t="s">
        <v>4</v>
      </c>
      <c r="C150" s="8">
        <v>0</v>
      </c>
      <c r="D150" s="10"/>
      <c r="E150" s="9">
        <f t="shared" si="2"/>
        <v>0</v>
      </c>
    </row>
    <row r="151" spans="1:5" hidden="1" x14ac:dyDescent="0.3">
      <c r="A151" s="7" t="s">
        <v>126</v>
      </c>
      <c r="B151" s="7" t="s">
        <v>73</v>
      </c>
      <c r="C151" s="8">
        <v>0</v>
      </c>
      <c r="D151" s="10"/>
      <c r="E151" s="9">
        <f t="shared" si="2"/>
        <v>0</v>
      </c>
    </row>
    <row r="152" spans="1:5" hidden="1" x14ac:dyDescent="0.3">
      <c r="A152" s="7" t="s">
        <v>13</v>
      </c>
      <c r="B152" s="7" t="s">
        <v>4</v>
      </c>
      <c r="C152" s="8">
        <v>0</v>
      </c>
      <c r="D152" s="10"/>
      <c r="E152" s="9">
        <f t="shared" si="2"/>
        <v>0</v>
      </c>
    </row>
    <row r="153" spans="1:5" x14ac:dyDescent="0.3">
      <c r="A153" s="7" t="s">
        <v>127</v>
      </c>
      <c r="B153" s="7" t="s">
        <v>4</v>
      </c>
      <c r="C153" s="8">
        <v>0.8</v>
      </c>
      <c r="D153" s="10">
        <v>80000</v>
      </c>
      <c r="E153" s="9">
        <f t="shared" si="2"/>
        <v>64000</v>
      </c>
    </row>
    <row r="154" spans="1:5" hidden="1" x14ac:dyDescent="0.3">
      <c r="A154" s="7" t="s">
        <v>128</v>
      </c>
      <c r="B154" s="7" t="s">
        <v>4</v>
      </c>
      <c r="C154" s="8">
        <v>0</v>
      </c>
      <c r="D154" s="10"/>
      <c r="E154" s="9">
        <f t="shared" si="2"/>
        <v>0</v>
      </c>
    </row>
    <row r="155" spans="1:5" hidden="1" x14ac:dyDescent="0.3">
      <c r="A155" s="7" t="s">
        <v>129</v>
      </c>
      <c r="B155" s="7" t="s">
        <v>4</v>
      </c>
      <c r="C155" s="8">
        <v>0</v>
      </c>
      <c r="D155" s="10"/>
      <c r="E155" s="9">
        <f t="shared" si="2"/>
        <v>0</v>
      </c>
    </row>
    <row r="156" spans="1:5" hidden="1" x14ac:dyDescent="0.3">
      <c r="A156" s="7" t="s">
        <v>130</v>
      </c>
      <c r="B156" s="7" t="s">
        <v>4</v>
      </c>
      <c r="C156" s="8">
        <v>0</v>
      </c>
      <c r="D156" s="10"/>
      <c r="E156" s="9">
        <f t="shared" si="2"/>
        <v>0</v>
      </c>
    </row>
    <row r="157" spans="1:5" hidden="1" x14ac:dyDescent="0.3">
      <c r="A157" s="7" t="s">
        <v>131</v>
      </c>
      <c r="B157" s="7" t="s">
        <v>4</v>
      </c>
      <c r="C157" s="8">
        <v>0</v>
      </c>
      <c r="D157" s="10"/>
      <c r="E157" s="9">
        <f t="shared" si="2"/>
        <v>0</v>
      </c>
    </row>
    <row r="158" spans="1:5" x14ac:dyDescent="0.3">
      <c r="A158" s="7" t="s">
        <v>41</v>
      </c>
      <c r="B158" s="7" t="s">
        <v>4</v>
      </c>
      <c r="C158" s="8">
        <v>2000</v>
      </c>
      <c r="D158" s="10">
        <v>28600</v>
      </c>
      <c r="E158" s="9">
        <f t="shared" si="2"/>
        <v>57200000</v>
      </c>
    </row>
    <row r="159" spans="1:5" hidden="1" x14ac:dyDescent="0.3">
      <c r="A159" s="7" t="s">
        <v>132</v>
      </c>
      <c r="B159" s="7" t="s">
        <v>31</v>
      </c>
      <c r="C159" s="8">
        <v>0</v>
      </c>
      <c r="D159" s="10"/>
      <c r="E159" s="9">
        <f t="shared" si="2"/>
        <v>0</v>
      </c>
    </row>
    <row r="160" spans="1:5" x14ac:dyDescent="0.3">
      <c r="A160" s="7" t="s">
        <v>133</v>
      </c>
      <c r="B160" s="7" t="s">
        <v>31</v>
      </c>
      <c r="C160" s="8">
        <v>8</v>
      </c>
      <c r="D160" s="10">
        <v>7000</v>
      </c>
      <c r="E160" s="9">
        <f t="shared" si="2"/>
        <v>56000</v>
      </c>
    </row>
    <row r="161" spans="1:5" hidden="1" x14ac:dyDescent="0.3">
      <c r="A161" s="7" t="s">
        <v>23</v>
      </c>
      <c r="B161" s="7" t="s">
        <v>4</v>
      </c>
      <c r="C161" s="8">
        <v>0</v>
      </c>
      <c r="D161" s="10"/>
      <c r="E161" s="9">
        <f t="shared" si="2"/>
        <v>0</v>
      </c>
    </row>
    <row r="162" spans="1:5" x14ac:dyDescent="0.3">
      <c r="A162" s="7" t="s">
        <v>134</v>
      </c>
      <c r="B162" s="7" t="s">
        <v>4</v>
      </c>
      <c r="C162" s="8">
        <v>140</v>
      </c>
      <c r="D162" s="10">
        <v>26000</v>
      </c>
      <c r="E162" s="9">
        <f t="shared" si="2"/>
        <v>3640000</v>
      </c>
    </row>
    <row r="163" spans="1:5" x14ac:dyDescent="0.3">
      <c r="A163" s="7" t="s">
        <v>135</v>
      </c>
      <c r="B163" s="7" t="s">
        <v>4</v>
      </c>
      <c r="C163" s="8">
        <v>610</v>
      </c>
      <c r="D163" s="10">
        <v>20000</v>
      </c>
      <c r="E163" s="9">
        <f t="shared" si="2"/>
        <v>12200000</v>
      </c>
    </row>
    <row r="164" spans="1:5" x14ac:dyDescent="0.3">
      <c r="A164" s="7" t="s">
        <v>136</v>
      </c>
      <c r="B164" s="7" t="s">
        <v>4</v>
      </c>
      <c r="C164" s="8">
        <v>18</v>
      </c>
      <c r="D164" s="10">
        <v>37000</v>
      </c>
      <c r="E164" s="9">
        <f t="shared" si="2"/>
        <v>666000</v>
      </c>
    </row>
    <row r="165" spans="1:5" x14ac:dyDescent="0.3">
      <c r="A165" s="11"/>
      <c r="B165" s="11"/>
      <c r="C165" s="12"/>
      <c r="D165" s="13"/>
      <c r="E165" s="9">
        <f>SUM(E4:E164)</f>
        <v>164150814</v>
      </c>
    </row>
    <row r="166" spans="1:5" hidden="1" x14ac:dyDescent="0.3">
      <c r="A166" t="s">
        <v>139</v>
      </c>
      <c r="E166" s="9"/>
    </row>
    <row r="167" spans="1:5" x14ac:dyDescent="0.3">
      <c r="A167" t="s">
        <v>0</v>
      </c>
      <c r="B167" t="s">
        <v>1</v>
      </c>
      <c r="C167" t="s">
        <v>2</v>
      </c>
      <c r="D167" t="s">
        <v>137</v>
      </c>
      <c r="E167" s="9" t="s">
        <v>138</v>
      </c>
    </row>
    <row r="168" spans="1:5" hidden="1" x14ac:dyDescent="0.3">
      <c r="A168" t="s">
        <v>3</v>
      </c>
      <c r="B168" t="s">
        <v>4</v>
      </c>
      <c r="C168">
        <v>0</v>
      </c>
      <c r="E168" s="9">
        <f t="shared" si="2"/>
        <v>0</v>
      </c>
    </row>
    <row r="169" spans="1:5" hidden="1" x14ac:dyDescent="0.3">
      <c r="A169" t="s">
        <v>5</v>
      </c>
      <c r="B169" t="s">
        <v>4</v>
      </c>
      <c r="C169">
        <v>0</v>
      </c>
      <c r="E169" s="9">
        <f t="shared" si="2"/>
        <v>0</v>
      </c>
    </row>
    <row r="170" spans="1:5" x14ac:dyDescent="0.3">
      <c r="A170" t="s">
        <v>6</v>
      </c>
      <c r="B170" t="s">
        <v>4</v>
      </c>
      <c r="C170">
        <v>2000</v>
      </c>
      <c r="D170">
        <v>13748.5</v>
      </c>
      <c r="E170" s="9">
        <f t="shared" si="2"/>
        <v>27497000</v>
      </c>
    </row>
    <row r="171" spans="1:5" x14ac:dyDescent="0.3">
      <c r="A171" t="s">
        <v>7</v>
      </c>
      <c r="B171" t="s">
        <v>4</v>
      </c>
      <c r="C171">
        <v>20</v>
      </c>
      <c r="D171">
        <v>6000</v>
      </c>
      <c r="E171" s="9">
        <f t="shared" si="2"/>
        <v>120000</v>
      </c>
    </row>
    <row r="172" spans="1:5" x14ac:dyDescent="0.3">
      <c r="A172" t="s">
        <v>8</v>
      </c>
      <c r="B172" t="s">
        <v>4</v>
      </c>
      <c r="C172">
        <v>2000</v>
      </c>
      <c r="D172">
        <v>5000</v>
      </c>
      <c r="E172" s="9">
        <f t="shared" si="2"/>
        <v>10000000</v>
      </c>
    </row>
    <row r="173" spans="1:5" hidden="1" x14ac:dyDescent="0.3">
      <c r="A173" t="s">
        <v>9</v>
      </c>
      <c r="B173" t="s">
        <v>4</v>
      </c>
      <c r="C173">
        <v>0</v>
      </c>
      <c r="E173" s="9">
        <f t="shared" si="2"/>
        <v>0</v>
      </c>
    </row>
    <row r="174" spans="1:5" x14ac:dyDescent="0.3">
      <c r="A174" t="s">
        <v>10</v>
      </c>
      <c r="B174" t="s">
        <v>4</v>
      </c>
      <c r="C174">
        <v>50</v>
      </c>
      <c r="D174">
        <v>19000</v>
      </c>
      <c r="E174" s="9">
        <f t="shared" si="2"/>
        <v>950000</v>
      </c>
    </row>
    <row r="175" spans="1:5" hidden="1" x14ac:dyDescent="0.3">
      <c r="A175" t="s">
        <v>11</v>
      </c>
      <c r="B175" t="s">
        <v>4</v>
      </c>
      <c r="C175">
        <v>0</v>
      </c>
      <c r="E175" s="9">
        <f t="shared" si="2"/>
        <v>0</v>
      </c>
    </row>
    <row r="176" spans="1:5" x14ac:dyDescent="0.3">
      <c r="A176" t="s">
        <v>12</v>
      </c>
      <c r="B176" t="s">
        <v>4</v>
      </c>
      <c r="C176">
        <v>108</v>
      </c>
      <c r="D176">
        <v>26000</v>
      </c>
      <c r="E176" s="9">
        <f t="shared" si="2"/>
        <v>2808000</v>
      </c>
    </row>
    <row r="177" spans="1:5" hidden="1" x14ac:dyDescent="0.3">
      <c r="A177" t="s">
        <v>13</v>
      </c>
      <c r="B177" t="s">
        <v>4</v>
      </c>
      <c r="C177">
        <v>0</v>
      </c>
      <c r="E177" s="9">
        <f t="shared" si="2"/>
        <v>0</v>
      </c>
    </row>
    <row r="178" spans="1:5" hidden="1" x14ac:dyDescent="0.3">
      <c r="A178" t="s">
        <v>14</v>
      </c>
      <c r="B178" t="s">
        <v>4</v>
      </c>
      <c r="C178">
        <v>0</v>
      </c>
      <c r="E178" s="9">
        <f t="shared" si="2"/>
        <v>0</v>
      </c>
    </row>
    <row r="179" spans="1:5" x14ac:dyDescent="0.3">
      <c r="A179" t="s">
        <v>15</v>
      </c>
      <c r="B179" t="s">
        <v>4</v>
      </c>
      <c r="C179">
        <v>200</v>
      </c>
      <c r="D179">
        <v>25000</v>
      </c>
      <c r="E179" s="9">
        <f t="shared" si="2"/>
        <v>5000000</v>
      </c>
    </row>
    <row r="180" spans="1:5" hidden="1" x14ac:dyDescent="0.3">
      <c r="A180" t="s">
        <v>16</v>
      </c>
      <c r="B180" t="s">
        <v>4</v>
      </c>
      <c r="C180">
        <v>0</v>
      </c>
      <c r="E180" s="9">
        <f t="shared" si="2"/>
        <v>0</v>
      </c>
    </row>
    <row r="181" spans="1:5" hidden="1" x14ac:dyDescent="0.3">
      <c r="A181" t="s">
        <v>17</v>
      </c>
      <c r="B181" t="s">
        <v>4</v>
      </c>
      <c r="C181">
        <v>0</v>
      </c>
      <c r="E181" s="9">
        <f t="shared" si="2"/>
        <v>0</v>
      </c>
    </row>
    <row r="182" spans="1:5" x14ac:dyDescent="0.3">
      <c r="A182" t="s">
        <v>18</v>
      </c>
      <c r="B182" t="s">
        <v>4</v>
      </c>
      <c r="C182">
        <v>300</v>
      </c>
      <c r="D182">
        <v>21000</v>
      </c>
      <c r="E182" s="9">
        <f t="shared" si="2"/>
        <v>6300000</v>
      </c>
    </row>
    <row r="183" spans="1:5" hidden="1" x14ac:dyDescent="0.3">
      <c r="A183" t="s">
        <v>19</v>
      </c>
      <c r="B183" t="s">
        <v>4</v>
      </c>
      <c r="C183">
        <v>0</v>
      </c>
      <c r="E183" s="9">
        <f t="shared" si="2"/>
        <v>0</v>
      </c>
    </row>
    <row r="184" spans="1:5" hidden="1" x14ac:dyDescent="0.3">
      <c r="A184" t="s">
        <v>20</v>
      </c>
      <c r="B184" t="s">
        <v>4</v>
      </c>
      <c r="C184">
        <v>0</v>
      </c>
      <c r="E184" s="9">
        <f t="shared" si="2"/>
        <v>0</v>
      </c>
    </row>
    <row r="185" spans="1:5" x14ac:dyDescent="0.3">
      <c r="A185" t="s">
        <v>21</v>
      </c>
      <c r="B185" t="s">
        <v>4</v>
      </c>
      <c r="C185">
        <v>3</v>
      </c>
      <c r="D185">
        <v>11000</v>
      </c>
      <c r="E185" s="9">
        <f t="shared" si="2"/>
        <v>33000</v>
      </c>
    </row>
    <row r="186" spans="1:5" hidden="1" x14ac:dyDescent="0.3">
      <c r="A186" t="s">
        <v>22</v>
      </c>
      <c r="B186" t="s">
        <v>4</v>
      </c>
      <c r="C186">
        <v>0</v>
      </c>
      <c r="E186" s="9">
        <f t="shared" si="2"/>
        <v>0</v>
      </c>
    </row>
    <row r="187" spans="1:5" hidden="1" x14ac:dyDescent="0.3">
      <c r="A187" t="s">
        <v>23</v>
      </c>
      <c r="B187" t="s">
        <v>4</v>
      </c>
      <c r="C187">
        <v>0</v>
      </c>
      <c r="E187" s="9">
        <f t="shared" si="2"/>
        <v>0</v>
      </c>
    </row>
    <row r="188" spans="1:5" hidden="1" x14ac:dyDescent="0.3">
      <c r="A188" t="s">
        <v>24</v>
      </c>
      <c r="B188" t="s">
        <v>4</v>
      </c>
      <c r="C188">
        <v>0</v>
      </c>
      <c r="E188" s="9">
        <f t="shared" si="2"/>
        <v>0</v>
      </c>
    </row>
    <row r="189" spans="1:5" hidden="1" x14ac:dyDescent="0.3">
      <c r="A189" t="s">
        <v>25</v>
      </c>
      <c r="B189" t="s">
        <v>4</v>
      </c>
      <c r="C189">
        <v>0</v>
      </c>
      <c r="E189" s="9">
        <f t="shared" si="2"/>
        <v>0</v>
      </c>
    </row>
    <row r="190" spans="1:5" x14ac:dyDescent="0.3">
      <c r="A190" t="s">
        <v>26</v>
      </c>
      <c r="B190" t="s">
        <v>4</v>
      </c>
      <c r="C190">
        <v>84</v>
      </c>
      <c r="D190">
        <v>12000</v>
      </c>
      <c r="E190" s="9">
        <f t="shared" si="2"/>
        <v>1008000</v>
      </c>
    </row>
    <row r="191" spans="1:5" hidden="1" x14ac:dyDescent="0.3">
      <c r="A191" t="s">
        <v>27</v>
      </c>
      <c r="B191" t="s">
        <v>4</v>
      </c>
      <c r="C191">
        <v>0</v>
      </c>
      <c r="E191" s="9">
        <f t="shared" si="2"/>
        <v>0</v>
      </c>
    </row>
    <row r="192" spans="1:5" x14ac:dyDescent="0.3">
      <c r="A192" t="s">
        <v>28</v>
      </c>
      <c r="B192" t="s">
        <v>4</v>
      </c>
      <c r="C192">
        <v>10</v>
      </c>
      <c r="D192">
        <v>15000</v>
      </c>
      <c r="E192" s="9">
        <f t="shared" si="2"/>
        <v>150000</v>
      </c>
    </row>
    <row r="193" spans="1:5" x14ac:dyDescent="0.3">
      <c r="A193" t="s">
        <v>29</v>
      </c>
      <c r="B193" t="s">
        <v>4</v>
      </c>
      <c r="C193">
        <v>80</v>
      </c>
      <c r="D193">
        <v>15000</v>
      </c>
      <c r="E193" s="9">
        <f t="shared" si="2"/>
        <v>1200000</v>
      </c>
    </row>
    <row r="194" spans="1:5" hidden="1" x14ac:dyDescent="0.3">
      <c r="A194" t="s">
        <v>30</v>
      </c>
      <c r="B194" t="s">
        <v>31</v>
      </c>
      <c r="C194">
        <v>0</v>
      </c>
      <c r="E194" s="9">
        <f t="shared" si="2"/>
        <v>0</v>
      </c>
    </row>
    <row r="195" spans="1:5" x14ac:dyDescent="0.3">
      <c r="A195" t="s">
        <v>32</v>
      </c>
      <c r="B195" t="s">
        <v>4</v>
      </c>
      <c r="C195">
        <v>200</v>
      </c>
      <c r="D195">
        <v>21000</v>
      </c>
      <c r="E195" s="9">
        <f t="shared" ref="E195:E212" si="3">C195*D195</f>
        <v>4200000</v>
      </c>
    </row>
    <row r="196" spans="1:5" x14ac:dyDescent="0.3">
      <c r="A196" t="s">
        <v>33</v>
      </c>
      <c r="B196" t="s">
        <v>31</v>
      </c>
      <c r="C196">
        <v>10</v>
      </c>
      <c r="D196">
        <v>6000</v>
      </c>
      <c r="E196" s="9">
        <f t="shared" si="3"/>
        <v>60000</v>
      </c>
    </row>
    <row r="197" spans="1:5" x14ac:dyDescent="0.3">
      <c r="A197" t="s">
        <v>34</v>
      </c>
      <c r="B197" t="s">
        <v>4</v>
      </c>
      <c r="C197">
        <v>100</v>
      </c>
      <c r="D197">
        <v>15000</v>
      </c>
      <c r="E197" s="9">
        <f t="shared" si="3"/>
        <v>1500000</v>
      </c>
    </row>
    <row r="198" spans="1:5" hidden="1" x14ac:dyDescent="0.3">
      <c r="A198" t="s">
        <v>34</v>
      </c>
      <c r="B198" t="s">
        <v>31</v>
      </c>
      <c r="C198">
        <v>0</v>
      </c>
      <c r="E198" s="9">
        <f t="shared" si="3"/>
        <v>0</v>
      </c>
    </row>
    <row r="199" spans="1:5" hidden="1" x14ac:dyDescent="0.3">
      <c r="A199" t="s">
        <v>35</v>
      </c>
      <c r="B199" t="s">
        <v>4</v>
      </c>
      <c r="C199">
        <v>0</v>
      </c>
      <c r="E199" s="9">
        <f t="shared" si="3"/>
        <v>0</v>
      </c>
    </row>
    <row r="200" spans="1:5" x14ac:dyDescent="0.3">
      <c r="A200" t="s">
        <v>36</v>
      </c>
      <c r="B200" t="s">
        <v>31</v>
      </c>
      <c r="C200">
        <v>6</v>
      </c>
      <c r="D200">
        <v>9000</v>
      </c>
      <c r="E200" s="9">
        <f t="shared" si="3"/>
        <v>54000</v>
      </c>
    </row>
    <row r="201" spans="1:5" hidden="1" x14ac:dyDescent="0.3">
      <c r="A201" t="s">
        <v>37</v>
      </c>
      <c r="B201" t="s">
        <v>4</v>
      </c>
      <c r="C201">
        <v>0</v>
      </c>
      <c r="E201" s="9">
        <f t="shared" si="3"/>
        <v>0</v>
      </c>
    </row>
    <row r="202" spans="1:5" x14ac:dyDescent="0.3">
      <c r="A202" t="s">
        <v>38</v>
      </c>
      <c r="B202" t="s">
        <v>31</v>
      </c>
      <c r="C202">
        <v>19</v>
      </c>
      <c r="D202">
        <v>12000</v>
      </c>
      <c r="E202" s="9">
        <f t="shared" si="3"/>
        <v>228000</v>
      </c>
    </row>
    <row r="203" spans="1:5" hidden="1" x14ac:dyDescent="0.3">
      <c r="A203" t="s">
        <v>39</v>
      </c>
      <c r="B203" t="s">
        <v>4</v>
      </c>
      <c r="C203">
        <v>0</v>
      </c>
      <c r="E203" s="9">
        <f t="shared" si="3"/>
        <v>0</v>
      </c>
    </row>
    <row r="204" spans="1:5" hidden="1" x14ac:dyDescent="0.3">
      <c r="A204" t="s">
        <v>40</v>
      </c>
      <c r="B204" t="s">
        <v>4</v>
      </c>
      <c r="C204">
        <v>0</v>
      </c>
      <c r="E204" s="9">
        <f t="shared" si="3"/>
        <v>0</v>
      </c>
    </row>
    <row r="205" spans="1:5" hidden="1" x14ac:dyDescent="0.3">
      <c r="A205" t="s">
        <v>41</v>
      </c>
      <c r="B205" t="s">
        <v>4</v>
      </c>
      <c r="C205">
        <v>0</v>
      </c>
      <c r="E205" s="9">
        <f t="shared" si="3"/>
        <v>0</v>
      </c>
    </row>
    <row r="206" spans="1:5" hidden="1" x14ac:dyDescent="0.3">
      <c r="A206" t="s">
        <v>42</v>
      </c>
      <c r="B206" t="s">
        <v>4</v>
      </c>
      <c r="C206">
        <v>0</v>
      </c>
      <c r="E206" s="9">
        <f t="shared" si="3"/>
        <v>0</v>
      </c>
    </row>
    <row r="207" spans="1:5" x14ac:dyDescent="0.3">
      <c r="A207" t="s">
        <v>43</v>
      </c>
      <c r="B207" t="s">
        <v>4</v>
      </c>
      <c r="C207">
        <v>40</v>
      </c>
      <c r="D207">
        <v>48000</v>
      </c>
      <c r="E207" s="9">
        <f t="shared" si="3"/>
        <v>1920000</v>
      </c>
    </row>
    <row r="208" spans="1:5" x14ac:dyDescent="0.3">
      <c r="A208" t="s">
        <v>44</v>
      </c>
      <c r="B208" t="s">
        <v>4</v>
      </c>
      <c r="C208">
        <v>20</v>
      </c>
      <c r="D208">
        <v>36000</v>
      </c>
      <c r="E208" s="9">
        <f t="shared" si="3"/>
        <v>720000</v>
      </c>
    </row>
    <row r="209" spans="1:5" x14ac:dyDescent="0.3">
      <c r="A209" t="s">
        <v>45</v>
      </c>
      <c r="B209" t="s">
        <v>4</v>
      </c>
      <c r="C209">
        <v>20</v>
      </c>
      <c r="D209">
        <v>38000</v>
      </c>
      <c r="E209" s="9">
        <f t="shared" si="3"/>
        <v>760000</v>
      </c>
    </row>
    <row r="210" spans="1:5" hidden="1" x14ac:dyDescent="0.3">
      <c r="A210" t="s">
        <v>46</v>
      </c>
      <c r="B210" t="s">
        <v>4</v>
      </c>
      <c r="C210">
        <v>0</v>
      </c>
      <c r="E210" s="9">
        <f t="shared" si="3"/>
        <v>0</v>
      </c>
    </row>
    <row r="211" spans="1:5" hidden="1" x14ac:dyDescent="0.3">
      <c r="A211" t="s">
        <v>47</v>
      </c>
      <c r="B211" t="s">
        <v>4</v>
      </c>
      <c r="C211">
        <v>0</v>
      </c>
      <c r="E211" s="9">
        <f t="shared" si="3"/>
        <v>0</v>
      </c>
    </row>
    <row r="212" spans="1:5" hidden="1" x14ac:dyDescent="0.3">
      <c r="A212" t="s">
        <v>48</v>
      </c>
      <c r="B212" t="s">
        <v>4</v>
      </c>
      <c r="C212">
        <v>0</v>
      </c>
      <c r="E212" s="9">
        <f t="shared" si="3"/>
        <v>0</v>
      </c>
    </row>
    <row r="213" spans="1:5" x14ac:dyDescent="0.3">
      <c r="E213" s="14">
        <f>SUM(E170:E209)</f>
        <v>64508000</v>
      </c>
    </row>
    <row r="214" spans="1:5" x14ac:dyDescent="0.3">
      <c r="E214" s="14">
        <f>SUM(E165,E213)</f>
        <v>228658814</v>
      </c>
    </row>
  </sheetData>
  <autoFilter ref="A3:K214" xr:uid="{00000000-0009-0000-0000-000000000000}">
    <filterColumn colId="4">
      <filters>
        <filter val="1,008,000"/>
        <filter val="1,140,000"/>
        <filter val="1,200,000"/>
        <filter val="1,500,000"/>
        <filter val="1,634,000"/>
        <filter val="1,854,624"/>
        <filter val="1,920,000"/>
        <filter val="1,924,000"/>
        <filter val="10,000,000"/>
        <filter val="12,200,000"/>
        <filter val="120,000"/>
        <filter val="140,000"/>
        <filter val="144,000"/>
        <filter val="150,000"/>
        <filter val="164,150,814"/>
        <filter val="18,422,990"/>
        <filter val="180,000"/>
        <filter val="2,808,000"/>
        <filter val="228,000"/>
        <filter val="228,658,814"/>
        <filter val="240,000"/>
        <filter val="264,000"/>
        <filter val="27,497,000"/>
        <filter val="280,000"/>
        <filter val="3,050,000"/>
        <filter val="3,640,000"/>
        <filter val="323,000"/>
        <filter val="33,000"/>
        <filter val="360,000"/>
        <filter val="4,082,400"/>
        <filter val="4,200,000"/>
        <filter val="4,650,000"/>
        <filter val="4,932,000"/>
        <filter val="43,200"/>
        <filter val="45,500"/>
        <filter val="487,500"/>
        <filter val="5,000,000"/>
        <filter val="5,060,000"/>
        <filter val="5,244,000"/>
        <filter val="5,340,000"/>
        <filter val="5,625,000"/>
        <filter val="5,904,000"/>
        <filter val="54,000"/>
        <filter val="56,000"/>
        <filter val="57,200,000"/>
        <filter val="6,300,000"/>
        <filter val="60,000"/>
        <filter val="612,000"/>
        <filter val="64,000"/>
        <filter val="64,508,000"/>
        <filter val="666,000"/>
        <filter val="684,000"/>
        <filter val="7,350,000"/>
        <filter val="7,700,000"/>
        <filter val="720,000"/>
        <filter val="729,600"/>
        <filter val="760,000"/>
        <filter val="80,000"/>
        <filter val="84,000"/>
        <filter val="95,000"/>
        <filter val="950,000"/>
        <filter val="thành tiề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2:F165"/>
  <sheetViews>
    <sheetView topLeftCell="A146" workbookViewId="0">
      <selection activeCell="E165" sqref="E165"/>
    </sheetView>
  </sheetViews>
  <sheetFormatPr defaultRowHeight="14.4" x14ac:dyDescent="0.3"/>
  <cols>
    <col min="1" max="1" width="28.33203125" customWidth="1"/>
    <col min="4" max="4" width="13.77734375" customWidth="1"/>
    <col min="5" max="5" width="20" style="23" customWidth="1"/>
  </cols>
  <sheetData>
    <row r="2" spans="1:6" x14ac:dyDescent="0.3">
      <c r="A2" s="22" t="s">
        <v>146</v>
      </c>
    </row>
    <row r="3" spans="1:6" x14ac:dyDescent="0.3">
      <c r="A3" t="s">
        <v>0</v>
      </c>
      <c r="B3" t="s">
        <v>1</v>
      </c>
      <c r="C3" s="22" t="s">
        <v>2</v>
      </c>
      <c r="D3" s="22" t="s">
        <v>137</v>
      </c>
      <c r="E3" s="47" t="s">
        <v>138</v>
      </c>
    </row>
    <row r="4" spans="1:6" hidden="1" x14ac:dyDescent="0.3">
      <c r="A4" t="s">
        <v>49</v>
      </c>
      <c r="B4" t="s">
        <v>4</v>
      </c>
      <c r="C4">
        <v>0</v>
      </c>
      <c r="E4">
        <f>C4*D4</f>
        <v>0</v>
      </c>
    </row>
    <row r="5" spans="1:6" hidden="1" x14ac:dyDescent="0.3">
      <c r="A5" t="s">
        <v>49</v>
      </c>
      <c r="B5" t="s">
        <v>31</v>
      </c>
      <c r="C5">
        <v>0</v>
      </c>
      <c r="E5">
        <f t="shared" ref="E5:E68" si="0">C5*D5</f>
        <v>0</v>
      </c>
    </row>
    <row r="6" spans="1:6" hidden="1" x14ac:dyDescent="0.3">
      <c r="A6" t="s">
        <v>19</v>
      </c>
      <c r="B6" t="s">
        <v>50</v>
      </c>
      <c r="C6">
        <v>0</v>
      </c>
      <c r="E6">
        <f t="shared" si="0"/>
        <v>0</v>
      </c>
    </row>
    <row r="7" spans="1:6" hidden="1" x14ac:dyDescent="0.3">
      <c r="A7" t="s">
        <v>52</v>
      </c>
      <c r="B7" t="s">
        <v>53</v>
      </c>
      <c r="C7">
        <v>0</v>
      </c>
      <c r="E7">
        <f t="shared" si="0"/>
        <v>0</v>
      </c>
    </row>
    <row r="8" spans="1:6" hidden="1" x14ac:dyDescent="0.3">
      <c r="A8" t="s">
        <v>27</v>
      </c>
      <c r="B8" t="s">
        <v>4</v>
      </c>
      <c r="C8">
        <v>0</v>
      </c>
      <c r="E8">
        <f t="shared" si="0"/>
        <v>0</v>
      </c>
    </row>
    <row r="9" spans="1:6" hidden="1" x14ac:dyDescent="0.3">
      <c r="A9" t="s">
        <v>28</v>
      </c>
      <c r="B9" t="s">
        <v>4</v>
      </c>
      <c r="C9">
        <v>0</v>
      </c>
      <c r="E9">
        <f t="shared" si="0"/>
        <v>0</v>
      </c>
    </row>
    <row r="10" spans="1:6" hidden="1" x14ac:dyDescent="0.3">
      <c r="A10" t="s">
        <v>28</v>
      </c>
      <c r="B10" t="s">
        <v>31</v>
      </c>
      <c r="C10">
        <v>0</v>
      </c>
      <c r="E10">
        <f t="shared" si="0"/>
        <v>0</v>
      </c>
    </row>
    <row r="11" spans="1:6" hidden="1" x14ac:dyDescent="0.3">
      <c r="A11" t="s">
        <v>54</v>
      </c>
      <c r="B11" t="s">
        <v>4</v>
      </c>
      <c r="C11">
        <v>0</v>
      </c>
      <c r="E11">
        <f t="shared" si="0"/>
        <v>0</v>
      </c>
    </row>
    <row r="12" spans="1:6" x14ac:dyDescent="0.3">
      <c r="A12" t="s">
        <v>29</v>
      </c>
      <c r="B12" t="s">
        <v>4</v>
      </c>
      <c r="C12">
        <v>2125</v>
      </c>
      <c r="D12">
        <v>28000</v>
      </c>
      <c r="E12" s="23">
        <f t="shared" si="0"/>
        <v>59500000</v>
      </c>
    </row>
    <row r="13" spans="1:6" x14ac:dyDescent="0.3">
      <c r="A13" t="s">
        <v>55</v>
      </c>
      <c r="B13" t="s">
        <v>4</v>
      </c>
      <c r="C13">
        <v>9</v>
      </c>
      <c r="D13">
        <v>20000</v>
      </c>
      <c r="E13" s="23">
        <f t="shared" si="0"/>
        <v>180000</v>
      </c>
    </row>
    <row r="14" spans="1:6" x14ac:dyDescent="0.3">
      <c r="A14" t="s">
        <v>56</v>
      </c>
      <c r="B14" t="s">
        <v>31</v>
      </c>
      <c r="C14">
        <v>426</v>
      </c>
      <c r="D14">
        <v>5400</v>
      </c>
      <c r="E14" s="23">
        <f t="shared" si="0"/>
        <v>2300400</v>
      </c>
    </row>
    <row r="15" spans="1:6" x14ac:dyDescent="0.3">
      <c r="A15" t="s">
        <v>57</v>
      </c>
      <c r="B15" t="s">
        <v>4</v>
      </c>
      <c r="C15">
        <v>285</v>
      </c>
      <c r="D15">
        <v>22000</v>
      </c>
      <c r="E15" s="23">
        <f t="shared" si="0"/>
        <v>6270000</v>
      </c>
      <c r="F15">
        <v>200</v>
      </c>
    </row>
    <row r="16" spans="1:6" x14ac:dyDescent="0.3">
      <c r="A16" t="s">
        <v>32</v>
      </c>
      <c r="B16" t="s">
        <v>4</v>
      </c>
      <c r="C16">
        <v>160</v>
      </c>
      <c r="D16">
        <v>20000</v>
      </c>
      <c r="E16" s="23">
        <f t="shared" si="0"/>
        <v>3200000</v>
      </c>
    </row>
    <row r="17" spans="1:5" hidden="1" x14ac:dyDescent="0.3">
      <c r="A17" t="s">
        <v>58</v>
      </c>
      <c r="B17" t="s">
        <v>4</v>
      </c>
      <c r="C17">
        <v>0</v>
      </c>
      <c r="E17">
        <f t="shared" si="0"/>
        <v>0</v>
      </c>
    </row>
    <row r="18" spans="1:5" hidden="1" x14ac:dyDescent="0.3">
      <c r="A18" t="s">
        <v>33</v>
      </c>
      <c r="B18" t="s">
        <v>31</v>
      </c>
      <c r="C18">
        <v>0</v>
      </c>
      <c r="E18">
        <f t="shared" si="0"/>
        <v>0</v>
      </c>
    </row>
    <row r="19" spans="1:5" x14ac:dyDescent="0.3">
      <c r="A19" t="s">
        <v>34</v>
      </c>
      <c r="B19" t="s">
        <v>4</v>
      </c>
      <c r="C19">
        <v>187</v>
      </c>
      <c r="D19">
        <v>15000</v>
      </c>
      <c r="E19" s="23">
        <f t="shared" si="0"/>
        <v>2805000</v>
      </c>
    </row>
    <row r="20" spans="1:5" hidden="1" x14ac:dyDescent="0.3">
      <c r="A20" t="s">
        <v>34</v>
      </c>
      <c r="B20" t="s">
        <v>31</v>
      </c>
      <c r="C20">
        <v>0</v>
      </c>
      <c r="E20">
        <f t="shared" si="0"/>
        <v>0</v>
      </c>
    </row>
    <row r="21" spans="1:5" x14ac:dyDescent="0.3">
      <c r="A21" t="s">
        <v>35</v>
      </c>
      <c r="B21" t="s">
        <v>4</v>
      </c>
      <c r="C21">
        <v>5</v>
      </c>
      <c r="D21">
        <v>18000</v>
      </c>
      <c r="E21" s="23">
        <f t="shared" si="0"/>
        <v>90000</v>
      </c>
    </row>
    <row r="22" spans="1:5" x14ac:dyDescent="0.3">
      <c r="A22" t="s">
        <v>59</v>
      </c>
      <c r="B22" t="s">
        <v>4</v>
      </c>
      <c r="C22">
        <v>9</v>
      </c>
      <c r="D22">
        <v>40000</v>
      </c>
      <c r="E22" s="23">
        <f t="shared" si="0"/>
        <v>360000</v>
      </c>
    </row>
    <row r="23" spans="1:5" hidden="1" x14ac:dyDescent="0.3">
      <c r="A23" t="s">
        <v>60</v>
      </c>
      <c r="B23" t="s">
        <v>50</v>
      </c>
      <c r="C23">
        <v>0</v>
      </c>
      <c r="E23">
        <f t="shared" si="0"/>
        <v>0</v>
      </c>
    </row>
    <row r="24" spans="1:5" hidden="1" x14ac:dyDescent="0.3">
      <c r="A24" t="s">
        <v>3</v>
      </c>
      <c r="B24" t="s">
        <v>4</v>
      </c>
      <c r="C24">
        <v>0</v>
      </c>
      <c r="E24">
        <f t="shared" si="0"/>
        <v>0</v>
      </c>
    </row>
    <row r="25" spans="1:5" x14ac:dyDescent="0.3">
      <c r="A25" t="s">
        <v>5</v>
      </c>
      <c r="B25" t="s">
        <v>4</v>
      </c>
      <c r="C25">
        <v>35</v>
      </c>
      <c r="D25">
        <v>15000</v>
      </c>
      <c r="E25" s="23">
        <f t="shared" si="0"/>
        <v>525000</v>
      </c>
    </row>
    <row r="26" spans="1:5" x14ac:dyDescent="0.3">
      <c r="A26" t="s">
        <v>6</v>
      </c>
      <c r="B26" t="s">
        <v>4</v>
      </c>
      <c r="C26">
        <v>1920</v>
      </c>
      <c r="D26">
        <v>13748.5</v>
      </c>
      <c r="E26" s="23">
        <f t="shared" si="0"/>
        <v>26397120</v>
      </c>
    </row>
    <row r="27" spans="1:5" hidden="1" x14ac:dyDescent="0.3">
      <c r="A27" t="s">
        <v>62</v>
      </c>
      <c r="B27" t="s">
        <v>4</v>
      </c>
      <c r="C27">
        <v>0</v>
      </c>
      <c r="E27">
        <f t="shared" si="0"/>
        <v>0</v>
      </c>
    </row>
    <row r="28" spans="1:5" x14ac:dyDescent="0.3">
      <c r="A28" t="s">
        <v>62</v>
      </c>
      <c r="B28" t="s">
        <v>31</v>
      </c>
      <c r="C28">
        <v>14</v>
      </c>
      <c r="D28">
        <v>10000</v>
      </c>
      <c r="E28" s="23">
        <f t="shared" si="0"/>
        <v>140000</v>
      </c>
    </row>
    <row r="29" spans="1:5" hidden="1" x14ac:dyDescent="0.3">
      <c r="A29" t="s">
        <v>63</v>
      </c>
      <c r="B29" t="s">
        <v>31</v>
      </c>
      <c r="C29">
        <v>0</v>
      </c>
      <c r="E29">
        <f t="shared" si="0"/>
        <v>0</v>
      </c>
    </row>
    <row r="30" spans="1:5" hidden="1" x14ac:dyDescent="0.3">
      <c r="A30" t="s">
        <v>64</v>
      </c>
      <c r="B30" t="s">
        <v>31</v>
      </c>
      <c r="C30">
        <v>0</v>
      </c>
      <c r="E30">
        <f t="shared" si="0"/>
        <v>0</v>
      </c>
    </row>
    <row r="31" spans="1:5" hidden="1" x14ac:dyDescent="0.3">
      <c r="A31" t="s">
        <v>64</v>
      </c>
      <c r="B31" t="s">
        <v>65</v>
      </c>
      <c r="C31">
        <v>0</v>
      </c>
      <c r="E31">
        <f t="shared" si="0"/>
        <v>0</v>
      </c>
    </row>
    <row r="32" spans="1:5" x14ac:dyDescent="0.3">
      <c r="A32" t="s">
        <v>22</v>
      </c>
      <c r="B32" t="s">
        <v>4</v>
      </c>
      <c r="C32">
        <v>250</v>
      </c>
      <c r="D32">
        <v>7500</v>
      </c>
      <c r="E32" s="23">
        <f t="shared" si="0"/>
        <v>1875000</v>
      </c>
    </row>
    <row r="33" spans="1:5" hidden="1" x14ac:dyDescent="0.3">
      <c r="A33" t="s">
        <v>24</v>
      </c>
      <c r="B33" t="s">
        <v>66</v>
      </c>
      <c r="C33">
        <v>0</v>
      </c>
      <c r="E33">
        <f t="shared" si="0"/>
        <v>0</v>
      </c>
    </row>
    <row r="34" spans="1:5" x14ac:dyDescent="0.3">
      <c r="A34" t="s">
        <v>24</v>
      </c>
      <c r="B34" t="s">
        <v>4</v>
      </c>
      <c r="C34">
        <v>20</v>
      </c>
      <c r="D34">
        <v>14000</v>
      </c>
      <c r="E34" s="23">
        <f t="shared" si="0"/>
        <v>280000</v>
      </c>
    </row>
    <row r="35" spans="1:5" hidden="1" x14ac:dyDescent="0.3">
      <c r="A35" t="s">
        <v>40</v>
      </c>
      <c r="B35" t="s">
        <v>66</v>
      </c>
      <c r="C35">
        <v>0</v>
      </c>
      <c r="E35">
        <f t="shared" si="0"/>
        <v>0</v>
      </c>
    </row>
    <row r="36" spans="1:5" x14ac:dyDescent="0.3">
      <c r="A36" t="s">
        <v>40</v>
      </c>
      <c r="B36" t="s">
        <v>4</v>
      </c>
      <c r="C36">
        <v>6</v>
      </c>
      <c r="D36">
        <v>48000</v>
      </c>
      <c r="E36" s="23">
        <f t="shared" si="0"/>
        <v>288000</v>
      </c>
    </row>
    <row r="37" spans="1:5" hidden="1" x14ac:dyDescent="0.3">
      <c r="A37" t="s">
        <v>42</v>
      </c>
      <c r="B37" t="s">
        <v>31</v>
      </c>
      <c r="C37">
        <v>0</v>
      </c>
      <c r="E37">
        <f t="shared" si="0"/>
        <v>0</v>
      </c>
    </row>
    <row r="38" spans="1:5" x14ac:dyDescent="0.3">
      <c r="A38" t="s">
        <v>67</v>
      </c>
      <c r="B38" t="s">
        <v>4</v>
      </c>
      <c r="C38">
        <v>6</v>
      </c>
      <c r="D38">
        <v>14000</v>
      </c>
      <c r="E38" s="23">
        <f t="shared" si="0"/>
        <v>84000</v>
      </c>
    </row>
    <row r="39" spans="1:5" hidden="1" x14ac:dyDescent="0.3">
      <c r="A39" t="s">
        <v>141</v>
      </c>
      <c r="B39" t="s">
        <v>31</v>
      </c>
      <c r="C39">
        <v>0</v>
      </c>
      <c r="E39">
        <f t="shared" si="0"/>
        <v>0</v>
      </c>
    </row>
    <row r="40" spans="1:5" hidden="1" x14ac:dyDescent="0.3">
      <c r="A40" t="s">
        <v>68</v>
      </c>
      <c r="B40" t="s">
        <v>4</v>
      </c>
      <c r="C40">
        <v>0</v>
      </c>
      <c r="E40">
        <f t="shared" si="0"/>
        <v>0</v>
      </c>
    </row>
    <row r="41" spans="1:5" hidden="1" x14ac:dyDescent="0.3">
      <c r="A41" t="s">
        <v>69</v>
      </c>
      <c r="B41" t="s">
        <v>31</v>
      </c>
      <c r="C41">
        <v>0</v>
      </c>
      <c r="E41">
        <f t="shared" si="0"/>
        <v>0</v>
      </c>
    </row>
    <row r="42" spans="1:5" hidden="1" x14ac:dyDescent="0.3">
      <c r="A42" t="s">
        <v>70</v>
      </c>
      <c r="B42" t="s">
        <v>71</v>
      </c>
      <c r="C42">
        <v>0</v>
      </c>
      <c r="E42">
        <f t="shared" si="0"/>
        <v>0</v>
      </c>
    </row>
    <row r="43" spans="1:5" hidden="1" x14ac:dyDescent="0.3">
      <c r="A43" t="s">
        <v>72</v>
      </c>
      <c r="B43" t="s">
        <v>73</v>
      </c>
      <c r="C43">
        <v>0</v>
      </c>
      <c r="E43">
        <f t="shared" si="0"/>
        <v>0</v>
      </c>
    </row>
    <row r="44" spans="1:5" x14ac:dyDescent="0.3">
      <c r="A44" t="s">
        <v>74</v>
      </c>
      <c r="B44" t="s">
        <v>4</v>
      </c>
      <c r="C44">
        <v>10</v>
      </c>
      <c r="D44">
        <v>29000</v>
      </c>
      <c r="E44" s="23">
        <f t="shared" si="0"/>
        <v>290000</v>
      </c>
    </row>
    <row r="45" spans="1:5" x14ac:dyDescent="0.3">
      <c r="A45" t="s">
        <v>75</v>
      </c>
      <c r="B45" t="s">
        <v>4</v>
      </c>
      <c r="C45">
        <v>2</v>
      </c>
      <c r="D45">
        <v>28000</v>
      </c>
      <c r="E45" s="23">
        <f t="shared" si="0"/>
        <v>56000</v>
      </c>
    </row>
    <row r="46" spans="1:5" hidden="1" x14ac:dyDescent="0.3">
      <c r="A46" t="s">
        <v>76</v>
      </c>
      <c r="B46" t="s">
        <v>66</v>
      </c>
      <c r="C46">
        <v>0</v>
      </c>
      <c r="E46">
        <f t="shared" si="0"/>
        <v>0</v>
      </c>
    </row>
    <row r="47" spans="1:5" hidden="1" x14ac:dyDescent="0.3">
      <c r="A47" t="s">
        <v>48</v>
      </c>
      <c r="B47" t="s">
        <v>4</v>
      </c>
      <c r="C47">
        <v>0</v>
      </c>
      <c r="E47">
        <f t="shared" si="0"/>
        <v>0</v>
      </c>
    </row>
    <row r="48" spans="1:5" hidden="1" x14ac:dyDescent="0.3">
      <c r="A48" t="s">
        <v>77</v>
      </c>
      <c r="B48" t="s">
        <v>66</v>
      </c>
      <c r="C48">
        <v>0</v>
      </c>
      <c r="E48">
        <f t="shared" si="0"/>
        <v>0</v>
      </c>
    </row>
    <row r="49" spans="1:5" hidden="1" x14ac:dyDescent="0.3">
      <c r="A49" t="s">
        <v>78</v>
      </c>
      <c r="B49" t="s">
        <v>4</v>
      </c>
      <c r="C49">
        <v>0</v>
      </c>
      <c r="E49">
        <f t="shared" si="0"/>
        <v>0</v>
      </c>
    </row>
    <row r="50" spans="1:5" hidden="1" x14ac:dyDescent="0.3">
      <c r="A50" t="s">
        <v>79</v>
      </c>
      <c r="B50" t="s">
        <v>4</v>
      </c>
      <c r="C50">
        <v>0</v>
      </c>
      <c r="E50">
        <f t="shared" si="0"/>
        <v>0</v>
      </c>
    </row>
    <row r="51" spans="1:5" x14ac:dyDescent="0.3">
      <c r="A51" t="s">
        <v>81</v>
      </c>
      <c r="B51" t="s">
        <v>4</v>
      </c>
      <c r="C51">
        <v>9</v>
      </c>
      <c r="D51">
        <v>30000</v>
      </c>
      <c r="E51" s="23">
        <f t="shared" si="0"/>
        <v>270000</v>
      </c>
    </row>
    <row r="52" spans="1:5" x14ac:dyDescent="0.3">
      <c r="A52" t="s">
        <v>82</v>
      </c>
      <c r="B52" t="s">
        <v>66</v>
      </c>
      <c r="C52">
        <v>35</v>
      </c>
      <c r="D52">
        <v>7000</v>
      </c>
      <c r="E52" s="23">
        <f t="shared" si="0"/>
        <v>245000</v>
      </c>
    </row>
    <row r="53" spans="1:5" hidden="1" x14ac:dyDescent="0.3">
      <c r="A53" t="s">
        <v>83</v>
      </c>
      <c r="B53" t="s">
        <v>4</v>
      </c>
      <c r="C53">
        <v>0</v>
      </c>
      <c r="E53">
        <f t="shared" si="0"/>
        <v>0</v>
      </c>
    </row>
    <row r="54" spans="1:5" hidden="1" x14ac:dyDescent="0.3">
      <c r="A54" t="s">
        <v>7</v>
      </c>
      <c r="B54" t="s">
        <v>84</v>
      </c>
      <c r="C54">
        <v>0</v>
      </c>
      <c r="E54">
        <f t="shared" si="0"/>
        <v>0</v>
      </c>
    </row>
    <row r="55" spans="1:5" hidden="1" x14ac:dyDescent="0.3">
      <c r="A55" t="s">
        <v>85</v>
      </c>
      <c r="B55" t="s">
        <v>4</v>
      </c>
      <c r="C55">
        <v>0</v>
      </c>
      <c r="E55">
        <f t="shared" si="0"/>
        <v>0</v>
      </c>
    </row>
    <row r="56" spans="1:5" x14ac:dyDescent="0.3">
      <c r="A56" t="s">
        <v>8</v>
      </c>
      <c r="B56" t="s">
        <v>4</v>
      </c>
      <c r="C56">
        <v>260</v>
      </c>
      <c r="D56">
        <v>5000</v>
      </c>
      <c r="E56" s="23">
        <f t="shared" si="0"/>
        <v>1300000</v>
      </c>
    </row>
    <row r="57" spans="1:5" x14ac:dyDescent="0.3">
      <c r="A57" t="s">
        <v>10</v>
      </c>
      <c r="B57" t="s">
        <v>4</v>
      </c>
      <c r="C57">
        <v>144</v>
      </c>
      <c r="D57">
        <v>19000</v>
      </c>
      <c r="E57" s="23">
        <f t="shared" si="0"/>
        <v>2736000</v>
      </c>
    </row>
    <row r="58" spans="1:5" hidden="1" x14ac:dyDescent="0.3">
      <c r="A58" t="s">
        <v>10</v>
      </c>
      <c r="B58" t="s">
        <v>84</v>
      </c>
      <c r="C58">
        <v>0</v>
      </c>
      <c r="E58">
        <f t="shared" si="0"/>
        <v>0</v>
      </c>
    </row>
    <row r="59" spans="1:5" x14ac:dyDescent="0.3">
      <c r="A59" t="s">
        <v>11</v>
      </c>
      <c r="B59" t="s">
        <v>4</v>
      </c>
      <c r="C59">
        <v>45</v>
      </c>
      <c r="D59">
        <v>13000</v>
      </c>
      <c r="E59" s="23">
        <f t="shared" si="0"/>
        <v>585000</v>
      </c>
    </row>
    <row r="60" spans="1:5" hidden="1" x14ac:dyDescent="0.3">
      <c r="A60" t="s">
        <v>11</v>
      </c>
      <c r="B60" t="s">
        <v>84</v>
      </c>
      <c r="C60">
        <v>0</v>
      </c>
      <c r="E60">
        <f t="shared" si="0"/>
        <v>0</v>
      </c>
    </row>
    <row r="61" spans="1:5" x14ac:dyDescent="0.3">
      <c r="A61" t="s">
        <v>15</v>
      </c>
      <c r="B61" t="s">
        <v>4</v>
      </c>
      <c r="C61">
        <v>210</v>
      </c>
      <c r="D61">
        <v>25000</v>
      </c>
      <c r="E61" s="23">
        <f t="shared" si="0"/>
        <v>5250000</v>
      </c>
    </row>
    <row r="62" spans="1:5" hidden="1" x14ac:dyDescent="0.3">
      <c r="A62" t="s">
        <v>15</v>
      </c>
      <c r="B62" t="s">
        <v>50</v>
      </c>
      <c r="C62">
        <v>0</v>
      </c>
      <c r="E62">
        <f t="shared" si="0"/>
        <v>0</v>
      </c>
    </row>
    <row r="63" spans="1:5" hidden="1" x14ac:dyDescent="0.3">
      <c r="A63" t="s">
        <v>86</v>
      </c>
      <c r="B63" t="s">
        <v>50</v>
      </c>
      <c r="C63">
        <v>0</v>
      </c>
      <c r="E63">
        <f t="shared" si="0"/>
        <v>0</v>
      </c>
    </row>
    <row r="64" spans="1:5" hidden="1" x14ac:dyDescent="0.3">
      <c r="A64" t="s">
        <v>87</v>
      </c>
      <c r="B64" t="s">
        <v>50</v>
      </c>
      <c r="C64">
        <v>0</v>
      </c>
      <c r="E64">
        <f t="shared" si="0"/>
        <v>0</v>
      </c>
    </row>
    <row r="65" spans="1:5" x14ac:dyDescent="0.3">
      <c r="A65" t="s">
        <v>88</v>
      </c>
      <c r="B65" t="s">
        <v>53</v>
      </c>
      <c r="C65">
        <v>67</v>
      </c>
      <c r="D65">
        <v>11400</v>
      </c>
      <c r="E65" s="23">
        <f t="shared" si="0"/>
        <v>763800</v>
      </c>
    </row>
    <row r="66" spans="1:5" hidden="1" x14ac:dyDescent="0.3">
      <c r="A66" t="s">
        <v>89</v>
      </c>
      <c r="B66" t="s">
        <v>53</v>
      </c>
      <c r="C66">
        <v>0</v>
      </c>
      <c r="E66">
        <f t="shared" si="0"/>
        <v>0</v>
      </c>
    </row>
    <row r="67" spans="1:5" hidden="1" x14ac:dyDescent="0.3">
      <c r="A67" t="s">
        <v>90</v>
      </c>
      <c r="B67" t="s">
        <v>4</v>
      </c>
      <c r="C67">
        <v>0</v>
      </c>
      <c r="E67">
        <f t="shared" si="0"/>
        <v>0</v>
      </c>
    </row>
    <row r="68" spans="1:5" x14ac:dyDescent="0.3">
      <c r="A68" t="s">
        <v>91</v>
      </c>
      <c r="B68" t="s">
        <v>53</v>
      </c>
      <c r="C68">
        <v>37</v>
      </c>
      <c r="D68">
        <v>9000</v>
      </c>
      <c r="E68" s="23">
        <f t="shared" si="0"/>
        <v>333000</v>
      </c>
    </row>
    <row r="69" spans="1:5" x14ac:dyDescent="0.3">
      <c r="A69" t="s">
        <v>18</v>
      </c>
      <c r="B69" t="s">
        <v>4</v>
      </c>
      <c r="C69">
        <v>150</v>
      </c>
      <c r="D69">
        <v>23000</v>
      </c>
      <c r="E69" s="23">
        <f t="shared" ref="E69:E133" si="1">C69*D69</f>
        <v>3450000</v>
      </c>
    </row>
    <row r="70" spans="1:5" hidden="1" x14ac:dyDescent="0.3">
      <c r="A70" t="s">
        <v>18</v>
      </c>
      <c r="B70" t="s">
        <v>50</v>
      </c>
      <c r="C70">
        <v>0</v>
      </c>
      <c r="E70">
        <f t="shared" si="1"/>
        <v>0</v>
      </c>
    </row>
    <row r="71" spans="1:5" x14ac:dyDescent="0.3">
      <c r="A71" t="s">
        <v>92</v>
      </c>
      <c r="B71" t="s">
        <v>31</v>
      </c>
      <c r="C71">
        <v>67</v>
      </c>
      <c r="D71">
        <v>20000</v>
      </c>
      <c r="E71" s="23">
        <f t="shared" si="1"/>
        <v>1340000</v>
      </c>
    </row>
    <row r="72" spans="1:5" hidden="1" x14ac:dyDescent="0.3">
      <c r="A72" t="s">
        <v>21</v>
      </c>
      <c r="B72" t="s">
        <v>4</v>
      </c>
      <c r="C72">
        <v>0</v>
      </c>
      <c r="E72">
        <f t="shared" si="1"/>
        <v>0</v>
      </c>
    </row>
    <row r="73" spans="1:5" hidden="1" x14ac:dyDescent="0.3">
      <c r="A73" t="s">
        <v>93</v>
      </c>
      <c r="B73" t="s">
        <v>50</v>
      </c>
      <c r="C73">
        <v>0</v>
      </c>
      <c r="E73">
        <f t="shared" si="1"/>
        <v>0</v>
      </c>
    </row>
    <row r="74" spans="1:5" hidden="1" x14ac:dyDescent="0.3">
      <c r="A74" t="s">
        <v>94</v>
      </c>
      <c r="B74" t="s">
        <v>50</v>
      </c>
      <c r="C74">
        <v>0</v>
      </c>
      <c r="E74">
        <f t="shared" si="1"/>
        <v>0</v>
      </c>
    </row>
    <row r="75" spans="1:5" hidden="1" x14ac:dyDescent="0.3">
      <c r="A75" t="s">
        <v>37</v>
      </c>
      <c r="B75" t="s">
        <v>4</v>
      </c>
      <c r="C75">
        <v>0</v>
      </c>
      <c r="E75">
        <f t="shared" si="1"/>
        <v>0</v>
      </c>
    </row>
    <row r="76" spans="1:5" hidden="1" x14ac:dyDescent="0.3">
      <c r="A76" t="s">
        <v>95</v>
      </c>
      <c r="B76" t="s">
        <v>31</v>
      </c>
      <c r="C76">
        <v>0</v>
      </c>
      <c r="E76">
        <f t="shared" si="1"/>
        <v>0</v>
      </c>
    </row>
    <row r="77" spans="1:5" hidden="1" x14ac:dyDescent="0.3">
      <c r="A77" t="s">
        <v>38</v>
      </c>
      <c r="B77" t="s">
        <v>31</v>
      </c>
      <c r="C77">
        <v>0</v>
      </c>
      <c r="E77">
        <f t="shared" si="1"/>
        <v>0</v>
      </c>
    </row>
    <row r="78" spans="1:5" x14ac:dyDescent="0.3">
      <c r="A78" t="s">
        <v>36</v>
      </c>
      <c r="B78" t="s">
        <v>31</v>
      </c>
      <c r="C78">
        <v>2</v>
      </c>
      <c r="D78">
        <v>8000</v>
      </c>
      <c r="E78" s="23">
        <f t="shared" si="1"/>
        <v>16000</v>
      </c>
    </row>
    <row r="79" spans="1:5" x14ac:dyDescent="0.3">
      <c r="A79" t="s">
        <v>96</v>
      </c>
      <c r="B79" t="s">
        <v>4</v>
      </c>
      <c r="C79">
        <v>2</v>
      </c>
      <c r="D79">
        <v>80000</v>
      </c>
      <c r="E79" s="23">
        <f t="shared" si="1"/>
        <v>160000</v>
      </c>
    </row>
    <row r="80" spans="1:5" x14ac:dyDescent="0.3">
      <c r="A80" t="s">
        <v>97</v>
      </c>
      <c r="B80" t="s">
        <v>4</v>
      </c>
      <c r="C80">
        <v>2</v>
      </c>
      <c r="D80">
        <v>70000</v>
      </c>
      <c r="E80" s="23">
        <f t="shared" si="1"/>
        <v>140000</v>
      </c>
    </row>
    <row r="81" spans="1:5" hidden="1" x14ac:dyDescent="0.3">
      <c r="A81" t="s">
        <v>39</v>
      </c>
      <c r="B81" t="s">
        <v>4</v>
      </c>
      <c r="C81">
        <v>0</v>
      </c>
      <c r="E81">
        <f t="shared" si="1"/>
        <v>0</v>
      </c>
    </row>
    <row r="82" spans="1:5" x14ac:dyDescent="0.3">
      <c r="A82" t="s">
        <v>98</v>
      </c>
      <c r="B82" t="s">
        <v>50</v>
      </c>
      <c r="C82">
        <v>304</v>
      </c>
      <c r="D82">
        <v>7500</v>
      </c>
      <c r="E82" s="23">
        <f t="shared" si="1"/>
        <v>2280000</v>
      </c>
    </row>
    <row r="83" spans="1:5" x14ac:dyDescent="0.3">
      <c r="A83" t="s">
        <v>100</v>
      </c>
      <c r="B83" t="s">
        <v>4</v>
      </c>
      <c r="C83">
        <v>56</v>
      </c>
      <c r="D83">
        <v>7000</v>
      </c>
      <c r="E83" s="23">
        <f t="shared" si="1"/>
        <v>392000</v>
      </c>
    </row>
    <row r="84" spans="1:5" hidden="1" x14ac:dyDescent="0.3">
      <c r="A84" t="s">
        <v>101</v>
      </c>
      <c r="B84" t="s">
        <v>53</v>
      </c>
      <c r="C84">
        <v>0</v>
      </c>
      <c r="E84">
        <f t="shared" si="1"/>
        <v>0</v>
      </c>
    </row>
    <row r="85" spans="1:5" x14ac:dyDescent="0.3">
      <c r="A85" t="s">
        <v>101</v>
      </c>
      <c r="B85" t="s">
        <v>4</v>
      </c>
      <c r="C85">
        <v>2</v>
      </c>
      <c r="D85">
        <v>50000</v>
      </c>
      <c r="E85" s="23">
        <f t="shared" si="1"/>
        <v>100000</v>
      </c>
    </row>
    <row r="86" spans="1:5" x14ac:dyDescent="0.3">
      <c r="A86" t="s">
        <v>43</v>
      </c>
      <c r="B86" t="s">
        <v>4</v>
      </c>
      <c r="C86">
        <v>35</v>
      </c>
      <c r="D86">
        <v>46000</v>
      </c>
      <c r="E86" s="23">
        <f t="shared" si="1"/>
        <v>1610000</v>
      </c>
    </row>
    <row r="87" spans="1:5" hidden="1" x14ac:dyDescent="0.3">
      <c r="A87" t="s">
        <v>43</v>
      </c>
      <c r="B87" t="s">
        <v>84</v>
      </c>
      <c r="C87">
        <v>0</v>
      </c>
      <c r="E87">
        <f t="shared" si="1"/>
        <v>0</v>
      </c>
    </row>
    <row r="88" spans="1:5" hidden="1" x14ac:dyDescent="0.3">
      <c r="A88" t="s">
        <v>102</v>
      </c>
      <c r="B88" t="s">
        <v>4</v>
      </c>
      <c r="C88">
        <v>0</v>
      </c>
      <c r="E88">
        <f t="shared" si="1"/>
        <v>0</v>
      </c>
    </row>
    <row r="89" spans="1:5" x14ac:dyDescent="0.3">
      <c r="A89" t="s">
        <v>44</v>
      </c>
      <c r="B89" t="s">
        <v>4</v>
      </c>
      <c r="C89">
        <v>93</v>
      </c>
      <c r="D89">
        <v>40000</v>
      </c>
      <c r="E89" s="23">
        <f t="shared" si="1"/>
        <v>3720000</v>
      </c>
    </row>
    <row r="90" spans="1:5" hidden="1" x14ac:dyDescent="0.3">
      <c r="A90" t="s">
        <v>44</v>
      </c>
      <c r="B90" t="s">
        <v>84</v>
      </c>
      <c r="C90">
        <v>0</v>
      </c>
      <c r="E90">
        <f t="shared" si="1"/>
        <v>0</v>
      </c>
    </row>
    <row r="91" spans="1:5" hidden="1" x14ac:dyDescent="0.3">
      <c r="A91" t="s">
        <v>45</v>
      </c>
      <c r="B91" t="s">
        <v>4</v>
      </c>
      <c r="C91">
        <v>0</v>
      </c>
      <c r="E91">
        <f t="shared" si="1"/>
        <v>0</v>
      </c>
    </row>
    <row r="92" spans="1:5" hidden="1" x14ac:dyDescent="0.3">
      <c r="A92" t="s">
        <v>45</v>
      </c>
      <c r="B92" t="s">
        <v>84</v>
      </c>
      <c r="C92">
        <v>0</v>
      </c>
      <c r="E92">
        <f t="shared" si="1"/>
        <v>0</v>
      </c>
    </row>
    <row r="93" spans="1:5" x14ac:dyDescent="0.3">
      <c r="A93" t="s">
        <v>103</v>
      </c>
      <c r="B93" t="s">
        <v>31</v>
      </c>
      <c r="C93">
        <v>64</v>
      </c>
      <c r="D93">
        <v>20000</v>
      </c>
      <c r="E93" s="23">
        <f t="shared" si="1"/>
        <v>1280000</v>
      </c>
    </row>
    <row r="94" spans="1:5" hidden="1" x14ac:dyDescent="0.3">
      <c r="A94" t="s">
        <v>104</v>
      </c>
      <c r="B94" t="s">
        <v>4</v>
      </c>
      <c r="C94">
        <v>0</v>
      </c>
      <c r="E94">
        <f t="shared" si="1"/>
        <v>0</v>
      </c>
    </row>
    <row r="95" spans="1:5" hidden="1" x14ac:dyDescent="0.3">
      <c r="A95" t="s">
        <v>47</v>
      </c>
      <c r="B95" t="s">
        <v>4</v>
      </c>
      <c r="C95">
        <v>0</v>
      </c>
      <c r="E95">
        <f t="shared" si="1"/>
        <v>0</v>
      </c>
    </row>
    <row r="96" spans="1:5" x14ac:dyDescent="0.3">
      <c r="A96" t="s">
        <v>105</v>
      </c>
      <c r="B96" t="s">
        <v>4</v>
      </c>
      <c r="C96">
        <v>2</v>
      </c>
      <c r="D96">
        <v>70000</v>
      </c>
      <c r="E96" s="23">
        <f t="shared" si="1"/>
        <v>140000</v>
      </c>
    </row>
    <row r="97" spans="1:6" x14ac:dyDescent="0.3">
      <c r="A97" t="s">
        <v>107</v>
      </c>
      <c r="B97" t="s">
        <v>4</v>
      </c>
      <c r="C97">
        <v>6</v>
      </c>
      <c r="D97">
        <v>12000</v>
      </c>
      <c r="E97" s="23">
        <f t="shared" si="1"/>
        <v>72000</v>
      </c>
    </row>
    <row r="98" spans="1:6" hidden="1" x14ac:dyDescent="0.3">
      <c r="A98" t="s">
        <v>26</v>
      </c>
      <c r="B98" t="s">
        <v>4</v>
      </c>
      <c r="C98">
        <v>0</v>
      </c>
      <c r="E98">
        <f t="shared" si="1"/>
        <v>0</v>
      </c>
    </row>
    <row r="99" spans="1:6" x14ac:dyDescent="0.3">
      <c r="A99" t="s">
        <v>12</v>
      </c>
      <c r="B99" t="s">
        <v>4</v>
      </c>
      <c r="C99">
        <v>80</v>
      </c>
      <c r="D99">
        <v>26000</v>
      </c>
      <c r="E99" s="23">
        <f t="shared" si="1"/>
        <v>2080000</v>
      </c>
    </row>
    <row r="100" spans="1:6" hidden="1" x14ac:dyDescent="0.3">
      <c r="A100" t="s">
        <v>112</v>
      </c>
      <c r="B100" t="s">
        <v>50</v>
      </c>
      <c r="C100">
        <v>0</v>
      </c>
      <c r="E100">
        <f t="shared" si="1"/>
        <v>0</v>
      </c>
    </row>
    <row r="101" spans="1:6" x14ac:dyDescent="0.3">
      <c r="A101" t="s">
        <v>117</v>
      </c>
      <c r="B101" t="s">
        <v>4</v>
      </c>
      <c r="C101">
        <v>120</v>
      </c>
      <c r="D101">
        <v>22000</v>
      </c>
      <c r="E101" s="23">
        <f t="shared" si="1"/>
        <v>2640000</v>
      </c>
      <c r="F101">
        <v>120</v>
      </c>
    </row>
    <row r="102" spans="1:6" x14ac:dyDescent="0.3">
      <c r="A102" t="s">
        <v>17</v>
      </c>
      <c r="B102" t="s">
        <v>4</v>
      </c>
      <c r="C102">
        <v>6</v>
      </c>
      <c r="D102">
        <v>38000</v>
      </c>
      <c r="E102" s="23">
        <f t="shared" si="1"/>
        <v>228000</v>
      </c>
    </row>
    <row r="103" spans="1:6" x14ac:dyDescent="0.3">
      <c r="A103" t="s">
        <v>118</v>
      </c>
      <c r="B103" t="s">
        <v>4</v>
      </c>
      <c r="C103">
        <v>78</v>
      </c>
      <c r="D103">
        <v>19319</v>
      </c>
      <c r="E103" s="23">
        <f t="shared" si="1"/>
        <v>1506882</v>
      </c>
    </row>
    <row r="104" spans="1:6" hidden="1" x14ac:dyDescent="0.3">
      <c r="A104" t="s">
        <v>121</v>
      </c>
      <c r="B104" t="s">
        <v>53</v>
      </c>
      <c r="C104">
        <v>0</v>
      </c>
      <c r="E104">
        <f t="shared" si="1"/>
        <v>0</v>
      </c>
    </row>
    <row r="105" spans="1:6" x14ac:dyDescent="0.3">
      <c r="A105" t="s">
        <v>16</v>
      </c>
      <c r="B105" t="s">
        <v>4</v>
      </c>
      <c r="C105">
        <v>45</v>
      </c>
      <c r="D105">
        <v>17000</v>
      </c>
      <c r="E105" s="23">
        <f t="shared" si="1"/>
        <v>765000</v>
      </c>
    </row>
    <row r="106" spans="1:6" hidden="1" x14ac:dyDescent="0.3">
      <c r="A106" t="s">
        <v>124</v>
      </c>
      <c r="B106" t="s">
        <v>4</v>
      </c>
      <c r="C106">
        <v>0</v>
      </c>
      <c r="E106">
        <f t="shared" si="1"/>
        <v>0</v>
      </c>
    </row>
    <row r="107" spans="1:6" hidden="1" x14ac:dyDescent="0.3">
      <c r="A107" t="s">
        <v>126</v>
      </c>
      <c r="B107" t="s">
        <v>4</v>
      </c>
      <c r="C107">
        <v>0</v>
      </c>
      <c r="E107">
        <f t="shared" si="1"/>
        <v>0</v>
      </c>
    </row>
    <row r="108" spans="1:6" x14ac:dyDescent="0.3">
      <c r="A108" t="s">
        <v>13</v>
      </c>
      <c r="B108" t="s">
        <v>4</v>
      </c>
      <c r="C108">
        <v>17</v>
      </c>
      <c r="D108">
        <v>28000</v>
      </c>
      <c r="E108" s="23">
        <f t="shared" si="1"/>
        <v>476000</v>
      </c>
    </row>
    <row r="109" spans="1:6" x14ac:dyDescent="0.3">
      <c r="A109" t="s">
        <v>127</v>
      </c>
      <c r="B109" t="s">
        <v>4</v>
      </c>
      <c r="C109">
        <v>0.8</v>
      </c>
      <c r="D109">
        <v>80000</v>
      </c>
      <c r="E109" s="23">
        <f t="shared" si="1"/>
        <v>64000</v>
      </c>
    </row>
    <row r="110" spans="1:6" hidden="1" x14ac:dyDescent="0.3">
      <c r="A110" t="s">
        <v>128</v>
      </c>
      <c r="B110" t="s">
        <v>4</v>
      </c>
      <c r="C110">
        <v>0</v>
      </c>
      <c r="E110">
        <f t="shared" si="1"/>
        <v>0</v>
      </c>
    </row>
    <row r="111" spans="1:6" x14ac:dyDescent="0.3">
      <c r="A111" t="s">
        <v>131</v>
      </c>
      <c r="B111" t="s">
        <v>4</v>
      </c>
      <c r="C111">
        <v>24</v>
      </c>
      <c r="D111">
        <v>30000</v>
      </c>
      <c r="E111" s="23">
        <f t="shared" si="1"/>
        <v>720000</v>
      </c>
    </row>
    <row r="112" spans="1:6" x14ac:dyDescent="0.3">
      <c r="A112" t="s">
        <v>20</v>
      </c>
      <c r="B112" t="s">
        <v>4</v>
      </c>
      <c r="C112">
        <v>33</v>
      </c>
      <c r="D112">
        <v>16000</v>
      </c>
      <c r="E112" s="23">
        <f t="shared" si="1"/>
        <v>528000</v>
      </c>
    </row>
    <row r="113" spans="1:5" x14ac:dyDescent="0.3">
      <c r="A113" t="s">
        <v>41</v>
      </c>
      <c r="B113" t="s">
        <v>4</v>
      </c>
      <c r="C113">
        <v>460</v>
      </c>
      <c r="D113">
        <v>28600</v>
      </c>
      <c r="E113" s="23">
        <f t="shared" si="1"/>
        <v>13156000</v>
      </c>
    </row>
    <row r="114" spans="1:5" hidden="1" x14ac:dyDescent="0.3">
      <c r="A114" t="s">
        <v>133</v>
      </c>
      <c r="B114" t="s">
        <v>31</v>
      </c>
      <c r="C114">
        <v>0</v>
      </c>
      <c r="E114">
        <f t="shared" si="1"/>
        <v>0</v>
      </c>
    </row>
    <row r="115" spans="1:5" x14ac:dyDescent="0.3">
      <c r="A115" t="s">
        <v>142</v>
      </c>
      <c r="B115" t="s">
        <v>31</v>
      </c>
      <c r="C115">
        <v>110</v>
      </c>
      <c r="D115">
        <v>6000</v>
      </c>
      <c r="E115" s="23">
        <f t="shared" si="1"/>
        <v>660000</v>
      </c>
    </row>
    <row r="116" spans="1:5" x14ac:dyDescent="0.3">
      <c r="A116" t="s">
        <v>134</v>
      </c>
      <c r="B116" t="s">
        <v>4</v>
      </c>
      <c r="C116">
        <v>80</v>
      </c>
      <c r="D116">
        <v>26000</v>
      </c>
      <c r="E116" s="23">
        <f t="shared" si="1"/>
        <v>2080000</v>
      </c>
    </row>
    <row r="117" spans="1:5" x14ac:dyDescent="0.3">
      <c r="A117" t="s">
        <v>135</v>
      </c>
      <c r="B117" t="s">
        <v>4</v>
      </c>
      <c r="C117">
        <v>510</v>
      </c>
      <c r="D117">
        <v>20000</v>
      </c>
      <c r="E117" s="23">
        <f t="shared" si="1"/>
        <v>10200000</v>
      </c>
    </row>
    <row r="118" spans="1:5" x14ac:dyDescent="0.3">
      <c r="A118" t="s">
        <v>136</v>
      </c>
      <c r="B118" t="s">
        <v>4</v>
      </c>
      <c r="C118">
        <v>12</v>
      </c>
      <c r="D118">
        <v>38000</v>
      </c>
      <c r="E118" s="23">
        <f t="shared" si="1"/>
        <v>456000</v>
      </c>
    </row>
    <row r="119" spans="1:5" x14ac:dyDescent="0.3">
      <c r="A119" t="s">
        <v>143</v>
      </c>
      <c r="B119" t="s">
        <v>4</v>
      </c>
      <c r="C119">
        <v>25</v>
      </c>
      <c r="D119">
        <v>27000</v>
      </c>
      <c r="E119" s="23">
        <f t="shared" si="1"/>
        <v>675000</v>
      </c>
    </row>
    <row r="120" spans="1:5" x14ac:dyDescent="0.3">
      <c r="E120" s="23">
        <f>SUM(E12:E119)</f>
        <v>167058202</v>
      </c>
    </row>
    <row r="121" spans="1:5" x14ac:dyDescent="0.3">
      <c r="A121" t="s">
        <v>139</v>
      </c>
      <c r="E121"/>
    </row>
    <row r="122" spans="1:5" ht="15.6" x14ac:dyDescent="0.3">
      <c r="A122" s="15"/>
      <c r="B122" s="15"/>
      <c r="C122" s="15"/>
      <c r="D122" s="15"/>
      <c r="E122">
        <f t="shared" si="1"/>
        <v>0</v>
      </c>
    </row>
    <row r="123" spans="1:5" ht="31.2" x14ac:dyDescent="0.3">
      <c r="A123" s="16" t="s">
        <v>0</v>
      </c>
      <c r="B123" s="16" t="s">
        <v>1</v>
      </c>
      <c r="C123" s="17" t="s">
        <v>2</v>
      </c>
      <c r="D123" s="18" t="s">
        <v>137</v>
      </c>
      <c r="E123" s="18" t="s">
        <v>138</v>
      </c>
    </row>
    <row r="124" spans="1:5" ht="15.6" hidden="1" x14ac:dyDescent="0.3">
      <c r="A124" s="19" t="s">
        <v>144</v>
      </c>
      <c r="B124" s="19" t="s">
        <v>50</v>
      </c>
      <c r="C124" s="20">
        <v>0</v>
      </c>
      <c r="D124" s="21"/>
      <c r="E124">
        <f t="shared" si="1"/>
        <v>0</v>
      </c>
    </row>
    <row r="125" spans="1:5" ht="15.6" hidden="1" x14ac:dyDescent="0.3">
      <c r="A125" s="19" t="s">
        <v>27</v>
      </c>
      <c r="B125" s="19" t="s">
        <v>4</v>
      </c>
      <c r="C125" s="20">
        <v>0</v>
      </c>
      <c r="D125" s="21"/>
      <c r="E125">
        <f t="shared" si="1"/>
        <v>0</v>
      </c>
    </row>
    <row r="126" spans="1:5" ht="15.6" hidden="1" x14ac:dyDescent="0.3">
      <c r="A126" s="19" t="s">
        <v>28</v>
      </c>
      <c r="B126" s="19" t="s">
        <v>4</v>
      </c>
      <c r="C126" s="20">
        <v>0</v>
      </c>
      <c r="D126" s="21"/>
      <c r="E126">
        <f t="shared" si="1"/>
        <v>0</v>
      </c>
    </row>
    <row r="127" spans="1:5" ht="15.6" x14ac:dyDescent="0.3">
      <c r="A127" s="19" t="s">
        <v>29</v>
      </c>
      <c r="B127" s="19" t="s">
        <v>4</v>
      </c>
      <c r="C127" s="20">
        <v>80</v>
      </c>
      <c r="D127" s="21">
        <v>28000</v>
      </c>
      <c r="E127" s="23">
        <f t="shared" si="1"/>
        <v>2240000</v>
      </c>
    </row>
    <row r="128" spans="1:5" ht="15.6" hidden="1" x14ac:dyDescent="0.3">
      <c r="A128" s="19" t="s">
        <v>30</v>
      </c>
      <c r="B128" s="19" t="s">
        <v>31</v>
      </c>
      <c r="C128" s="20">
        <v>0</v>
      </c>
      <c r="D128" s="21"/>
      <c r="E128">
        <f t="shared" si="1"/>
        <v>0</v>
      </c>
    </row>
    <row r="129" spans="1:5" ht="15.6" x14ac:dyDescent="0.3">
      <c r="A129" s="19" t="s">
        <v>32</v>
      </c>
      <c r="B129" s="19" t="s">
        <v>4</v>
      </c>
      <c r="C129" s="20">
        <v>200</v>
      </c>
      <c r="D129" s="21">
        <v>20000</v>
      </c>
      <c r="E129" s="23">
        <f t="shared" si="1"/>
        <v>4000000</v>
      </c>
    </row>
    <row r="130" spans="1:5" ht="15.6" x14ac:dyDescent="0.3">
      <c r="A130" s="19" t="s">
        <v>33</v>
      </c>
      <c r="B130" s="19" t="s">
        <v>31</v>
      </c>
      <c r="C130" s="20">
        <v>10</v>
      </c>
      <c r="D130" s="21">
        <v>6000</v>
      </c>
      <c r="E130" s="23">
        <f t="shared" si="1"/>
        <v>60000</v>
      </c>
    </row>
    <row r="131" spans="1:5" ht="15.6" x14ac:dyDescent="0.3">
      <c r="A131" s="19" t="s">
        <v>34</v>
      </c>
      <c r="B131" s="19" t="s">
        <v>4</v>
      </c>
      <c r="C131" s="20">
        <v>100</v>
      </c>
      <c r="D131" s="21">
        <v>15000</v>
      </c>
      <c r="E131" s="23">
        <f t="shared" si="1"/>
        <v>1500000</v>
      </c>
    </row>
    <row r="132" spans="1:5" ht="15.6" hidden="1" x14ac:dyDescent="0.3">
      <c r="A132" s="19" t="s">
        <v>34</v>
      </c>
      <c r="B132" s="19" t="s">
        <v>31</v>
      </c>
      <c r="C132" s="20">
        <v>0</v>
      </c>
      <c r="D132" s="21"/>
      <c r="E132">
        <f t="shared" si="1"/>
        <v>0</v>
      </c>
    </row>
    <row r="133" spans="1:5" ht="15.6" hidden="1" x14ac:dyDescent="0.3">
      <c r="A133" s="19" t="s">
        <v>35</v>
      </c>
      <c r="B133" s="19" t="s">
        <v>4</v>
      </c>
      <c r="C133" s="20">
        <v>0</v>
      </c>
      <c r="D133" s="21"/>
      <c r="E133">
        <f t="shared" si="1"/>
        <v>0</v>
      </c>
    </row>
    <row r="134" spans="1:5" ht="15.6" hidden="1" x14ac:dyDescent="0.3">
      <c r="A134" s="19" t="s">
        <v>13</v>
      </c>
      <c r="B134" s="19" t="s">
        <v>4</v>
      </c>
      <c r="C134" s="20">
        <v>0</v>
      </c>
      <c r="D134" s="21"/>
      <c r="E134">
        <f t="shared" ref="E134:E163" si="2">C134*D134</f>
        <v>0</v>
      </c>
    </row>
    <row r="135" spans="1:5" ht="15.6" hidden="1" x14ac:dyDescent="0.3">
      <c r="A135" s="19" t="s">
        <v>14</v>
      </c>
      <c r="B135" s="19" t="s">
        <v>4</v>
      </c>
      <c r="C135" s="20">
        <v>0</v>
      </c>
      <c r="D135" s="21"/>
      <c r="E135">
        <f t="shared" si="2"/>
        <v>0</v>
      </c>
    </row>
    <row r="136" spans="1:5" ht="15.6" hidden="1" x14ac:dyDescent="0.3">
      <c r="A136" s="19" t="s">
        <v>3</v>
      </c>
      <c r="B136" s="19" t="s">
        <v>4</v>
      </c>
      <c r="C136" s="20">
        <v>0</v>
      </c>
      <c r="D136" s="21"/>
      <c r="E136">
        <f t="shared" si="2"/>
        <v>0</v>
      </c>
    </row>
    <row r="137" spans="1:5" ht="15.6" hidden="1" x14ac:dyDescent="0.3">
      <c r="A137" s="19" t="s">
        <v>5</v>
      </c>
      <c r="B137" s="19" t="s">
        <v>4</v>
      </c>
      <c r="C137" s="20">
        <v>0</v>
      </c>
      <c r="D137" s="21"/>
      <c r="E137">
        <f t="shared" si="2"/>
        <v>0</v>
      </c>
    </row>
    <row r="138" spans="1:5" ht="15.6" x14ac:dyDescent="0.3">
      <c r="A138" s="19" t="s">
        <v>6</v>
      </c>
      <c r="B138" s="19" t="s">
        <v>4</v>
      </c>
      <c r="C138" s="20">
        <v>2100</v>
      </c>
      <c r="D138" s="21">
        <v>13748.5</v>
      </c>
      <c r="E138" s="23">
        <f t="shared" si="2"/>
        <v>28871850</v>
      </c>
    </row>
    <row r="139" spans="1:5" ht="15.6" hidden="1" x14ac:dyDescent="0.3">
      <c r="A139" s="19" t="s">
        <v>22</v>
      </c>
      <c r="B139" s="19" t="s">
        <v>4</v>
      </c>
      <c r="C139" s="20">
        <v>0</v>
      </c>
      <c r="D139" s="21"/>
      <c r="E139">
        <f t="shared" si="2"/>
        <v>0</v>
      </c>
    </row>
    <row r="140" spans="1:5" ht="15.6" hidden="1" x14ac:dyDescent="0.3">
      <c r="A140" s="19" t="s">
        <v>24</v>
      </c>
      <c r="B140" s="19" t="s">
        <v>4</v>
      </c>
      <c r="C140" s="20">
        <v>0</v>
      </c>
      <c r="D140" s="21"/>
      <c r="E140">
        <f t="shared" si="2"/>
        <v>0</v>
      </c>
    </row>
    <row r="141" spans="1:5" ht="15.6" hidden="1" x14ac:dyDescent="0.3">
      <c r="A141" s="19" t="s">
        <v>40</v>
      </c>
      <c r="B141" s="19" t="s">
        <v>4</v>
      </c>
      <c r="C141" s="20">
        <v>0</v>
      </c>
      <c r="D141" s="21"/>
      <c r="E141">
        <f t="shared" si="2"/>
        <v>0</v>
      </c>
    </row>
    <row r="142" spans="1:5" ht="15.6" x14ac:dyDescent="0.3">
      <c r="A142" s="19" t="s">
        <v>7</v>
      </c>
      <c r="B142" s="19" t="s">
        <v>4</v>
      </c>
      <c r="C142" s="20">
        <v>50</v>
      </c>
      <c r="D142" s="21">
        <v>7000</v>
      </c>
      <c r="E142" s="23">
        <f t="shared" si="2"/>
        <v>350000</v>
      </c>
    </row>
    <row r="143" spans="1:5" ht="15.6" x14ac:dyDescent="0.3">
      <c r="A143" s="19" t="s">
        <v>8</v>
      </c>
      <c r="B143" s="19" t="s">
        <v>4</v>
      </c>
      <c r="C143" s="20">
        <v>1500</v>
      </c>
      <c r="D143" s="21">
        <v>5000</v>
      </c>
      <c r="E143" s="23">
        <f t="shared" si="2"/>
        <v>7500000</v>
      </c>
    </row>
    <row r="144" spans="1:5" ht="15.6" x14ac:dyDescent="0.3">
      <c r="A144" s="19" t="s">
        <v>10</v>
      </c>
      <c r="B144" s="19" t="s">
        <v>4</v>
      </c>
      <c r="C144" s="20">
        <v>50</v>
      </c>
      <c r="D144" s="21">
        <v>19000</v>
      </c>
      <c r="E144" s="23">
        <f t="shared" si="2"/>
        <v>950000</v>
      </c>
    </row>
    <row r="145" spans="1:5" ht="15.6" x14ac:dyDescent="0.3">
      <c r="A145" s="19" t="s">
        <v>15</v>
      </c>
      <c r="B145" s="19" t="s">
        <v>4</v>
      </c>
      <c r="C145" s="20">
        <v>200</v>
      </c>
      <c r="D145" s="21">
        <v>25000</v>
      </c>
      <c r="E145" s="23">
        <f t="shared" si="2"/>
        <v>5000000</v>
      </c>
    </row>
    <row r="146" spans="1:5" ht="15.6" x14ac:dyDescent="0.3">
      <c r="A146" s="19" t="s">
        <v>18</v>
      </c>
      <c r="B146" s="19" t="s">
        <v>4</v>
      </c>
      <c r="C146" s="20">
        <v>300</v>
      </c>
      <c r="D146" s="21">
        <v>22000</v>
      </c>
      <c r="E146" s="23">
        <f t="shared" si="2"/>
        <v>6600000</v>
      </c>
    </row>
    <row r="147" spans="1:5" ht="15.6" x14ac:dyDescent="0.3">
      <c r="A147" s="19" t="s">
        <v>21</v>
      </c>
      <c r="B147" s="19" t="s">
        <v>4</v>
      </c>
      <c r="C147" s="20">
        <v>10</v>
      </c>
      <c r="D147" s="21">
        <v>12000</v>
      </c>
      <c r="E147" s="23">
        <f t="shared" si="2"/>
        <v>120000</v>
      </c>
    </row>
    <row r="148" spans="1:5" ht="15.6" hidden="1" x14ac:dyDescent="0.3">
      <c r="A148" s="19" t="s">
        <v>38</v>
      </c>
      <c r="B148" s="19" t="s">
        <v>31</v>
      </c>
      <c r="C148" s="20">
        <v>0</v>
      </c>
      <c r="D148" s="21"/>
      <c r="E148">
        <f t="shared" si="2"/>
        <v>0</v>
      </c>
    </row>
    <row r="149" spans="1:5" ht="15.6" x14ac:dyDescent="0.3">
      <c r="A149" s="19" t="s">
        <v>36</v>
      </c>
      <c r="B149" s="19" t="s">
        <v>31</v>
      </c>
      <c r="C149" s="20">
        <v>8</v>
      </c>
      <c r="D149" s="21">
        <v>9000</v>
      </c>
      <c r="E149" s="23">
        <f t="shared" si="2"/>
        <v>72000</v>
      </c>
    </row>
    <row r="150" spans="1:5" ht="15.6" x14ac:dyDescent="0.3">
      <c r="A150" s="19" t="s">
        <v>43</v>
      </c>
      <c r="B150" s="19" t="s">
        <v>4</v>
      </c>
      <c r="C150" s="20">
        <v>40</v>
      </c>
      <c r="D150" s="21">
        <v>46000</v>
      </c>
      <c r="E150" s="23">
        <f t="shared" si="2"/>
        <v>1840000</v>
      </c>
    </row>
    <row r="151" spans="1:5" ht="15.6" x14ac:dyDescent="0.3">
      <c r="A151" s="19" t="s">
        <v>44</v>
      </c>
      <c r="B151" s="19" t="s">
        <v>4</v>
      </c>
      <c r="C151" s="20">
        <v>20</v>
      </c>
      <c r="D151" s="21">
        <v>40000</v>
      </c>
      <c r="E151" s="23">
        <f t="shared" si="2"/>
        <v>800000</v>
      </c>
    </row>
    <row r="152" spans="1:5" ht="15.6" x14ac:dyDescent="0.3">
      <c r="A152" s="19" t="s">
        <v>45</v>
      </c>
      <c r="B152" s="19" t="s">
        <v>4</v>
      </c>
      <c r="C152" s="20">
        <v>17</v>
      </c>
      <c r="D152" s="21">
        <v>34000</v>
      </c>
      <c r="E152" s="23">
        <f t="shared" si="2"/>
        <v>578000</v>
      </c>
    </row>
    <row r="153" spans="1:5" ht="15.6" hidden="1" x14ac:dyDescent="0.3">
      <c r="A153" s="19" t="s">
        <v>47</v>
      </c>
      <c r="B153" s="19" t="s">
        <v>4</v>
      </c>
      <c r="C153" s="20">
        <v>0</v>
      </c>
      <c r="D153" s="21"/>
      <c r="E153">
        <f t="shared" si="2"/>
        <v>0</v>
      </c>
    </row>
    <row r="154" spans="1:5" ht="15.6" x14ac:dyDescent="0.3">
      <c r="A154" s="19" t="s">
        <v>26</v>
      </c>
      <c r="B154" s="19" t="s">
        <v>4</v>
      </c>
      <c r="C154" s="20">
        <v>63</v>
      </c>
      <c r="D154" s="21">
        <v>12000</v>
      </c>
      <c r="E154" s="23">
        <f t="shared" si="2"/>
        <v>756000</v>
      </c>
    </row>
    <row r="155" spans="1:5" ht="15.6" hidden="1" x14ac:dyDescent="0.3">
      <c r="A155" s="19" t="s">
        <v>25</v>
      </c>
      <c r="B155" s="19" t="s">
        <v>4</v>
      </c>
      <c r="C155" s="20">
        <v>0</v>
      </c>
      <c r="D155" s="21"/>
      <c r="E155">
        <f t="shared" si="2"/>
        <v>0</v>
      </c>
    </row>
    <row r="156" spans="1:5" ht="15.6" x14ac:dyDescent="0.3">
      <c r="A156" s="19" t="s">
        <v>23</v>
      </c>
      <c r="B156" s="19" t="s">
        <v>4</v>
      </c>
      <c r="C156" s="20">
        <v>2</v>
      </c>
      <c r="D156" s="21">
        <v>16000</v>
      </c>
      <c r="E156" s="23">
        <f t="shared" si="2"/>
        <v>32000</v>
      </c>
    </row>
    <row r="157" spans="1:5" ht="15.6" hidden="1" x14ac:dyDescent="0.3">
      <c r="A157" s="19" t="s">
        <v>9</v>
      </c>
      <c r="B157" s="19" t="s">
        <v>4</v>
      </c>
      <c r="C157" s="20">
        <v>0</v>
      </c>
      <c r="D157" s="21"/>
      <c r="E157">
        <f t="shared" si="2"/>
        <v>0</v>
      </c>
    </row>
    <row r="158" spans="1:5" ht="15.6" x14ac:dyDescent="0.3">
      <c r="A158" s="19" t="s">
        <v>41</v>
      </c>
      <c r="B158" s="19" t="s">
        <v>4</v>
      </c>
      <c r="C158" s="20">
        <v>50</v>
      </c>
      <c r="D158" s="21">
        <v>28600</v>
      </c>
      <c r="E158" s="23">
        <f t="shared" si="2"/>
        <v>1430000</v>
      </c>
    </row>
    <row r="159" spans="1:5" ht="15.6" hidden="1" x14ac:dyDescent="0.3">
      <c r="A159" s="19" t="s">
        <v>20</v>
      </c>
      <c r="B159" s="19" t="s">
        <v>4</v>
      </c>
      <c r="C159" s="20">
        <v>0</v>
      </c>
      <c r="D159" s="21"/>
      <c r="E159">
        <f t="shared" si="2"/>
        <v>0</v>
      </c>
    </row>
    <row r="160" spans="1:5" ht="15.6" hidden="1" x14ac:dyDescent="0.3">
      <c r="A160" s="19" t="s">
        <v>124</v>
      </c>
      <c r="B160" s="19" t="s">
        <v>4</v>
      </c>
      <c r="C160" s="20">
        <v>0</v>
      </c>
      <c r="D160" s="21"/>
      <c r="E160">
        <f t="shared" si="2"/>
        <v>0</v>
      </c>
    </row>
    <row r="161" spans="1:5" ht="15.6" hidden="1" x14ac:dyDescent="0.3">
      <c r="A161" s="19" t="s">
        <v>12</v>
      </c>
      <c r="B161" s="19" t="s">
        <v>4</v>
      </c>
      <c r="C161" s="20">
        <v>0</v>
      </c>
      <c r="D161" s="21"/>
      <c r="E161">
        <f t="shared" si="2"/>
        <v>0</v>
      </c>
    </row>
    <row r="162" spans="1:5" ht="15.6" hidden="1" x14ac:dyDescent="0.3">
      <c r="A162" s="19" t="s">
        <v>121</v>
      </c>
      <c r="B162" s="19" t="s">
        <v>53</v>
      </c>
      <c r="C162" s="20">
        <v>0</v>
      </c>
      <c r="D162" s="21"/>
      <c r="E162">
        <f t="shared" si="2"/>
        <v>0</v>
      </c>
    </row>
    <row r="163" spans="1:5" ht="15.6" hidden="1" x14ac:dyDescent="0.3">
      <c r="A163" s="19" t="s">
        <v>145</v>
      </c>
      <c r="B163" s="19" t="s">
        <v>4</v>
      </c>
      <c r="C163" s="20">
        <v>0</v>
      </c>
      <c r="D163" s="21"/>
      <c r="E163">
        <f t="shared" si="2"/>
        <v>0</v>
      </c>
    </row>
    <row r="164" spans="1:5" x14ac:dyDescent="0.3">
      <c r="E164" s="23">
        <f>SUM(E127:E158)</f>
        <v>62699850</v>
      </c>
    </row>
    <row r="165" spans="1:5" x14ac:dyDescent="0.3">
      <c r="E165" s="23">
        <f>E164+E120</f>
        <v>229758052</v>
      </c>
    </row>
  </sheetData>
  <autoFilter ref="A3:E165" xr:uid="{00000000-0009-0000-0000-000001000000}">
    <filterColumn colId="2">
      <filters blank="1">
        <filter val="0.8"/>
        <filter val="1,500"/>
        <filter val="10"/>
        <filter val="100"/>
        <filter val="110"/>
        <filter val="12"/>
        <filter val="120"/>
        <filter val="14"/>
        <filter val="144"/>
        <filter val="150"/>
        <filter val="160"/>
        <filter val="17"/>
        <filter val="187"/>
        <filter val="1920"/>
        <filter val="2"/>
        <filter val="2,100"/>
        <filter val="20"/>
        <filter val="200"/>
        <filter val="210"/>
        <filter val="2125"/>
        <filter val="24"/>
        <filter val="25"/>
        <filter val="250"/>
        <filter val="260"/>
        <filter val="285"/>
        <filter val="300"/>
        <filter val="304"/>
        <filter val="33"/>
        <filter val="35"/>
        <filter val="37"/>
        <filter val="40"/>
        <filter val="426"/>
        <filter val="45"/>
        <filter val="460"/>
        <filter val="5"/>
        <filter val="50"/>
        <filter val="510"/>
        <filter val="56"/>
        <filter val="6"/>
        <filter val="63"/>
        <filter val="64"/>
        <filter val="67"/>
        <filter val="78"/>
        <filter val="8"/>
        <filter val="80"/>
        <filter val="9"/>
        <filter val="93"/>
        <filter val="Tồn_x000a_ĐL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2:G223"/>
  <sheetViews>
    <sheetView topLeftCell="A185" zoomScale="80" zoomScaleNormal="80" workbookViewId="0">
      <selection activeCell="E220" sqref="E220"/>
    </sheetView>
  </sheetViews>
  <sheetFormatPr defaultRowHeight="18" x14ac:dyDescent="0.35"/>
  <cols>
    <col min="1" max="1" width="41.33203125" style="49" customWidth="1"/>
    <col min="2" max="2" width="8.88671875" style="49"/>
    <col min="3" max="3" width="12.109375" style="49" customWidth="1"/>
    <col min="4" max="4" width="13.6640625" style="49" customWidth="1"/>
    <col min="5" max="5" width="16.33203125" style="49" customWidth="1"/>
    <col min="6" max="16384" width="8.88671875" style="49"/>
  </cols>
  <sheetData>
    <row r="2" spans="1:5" x14ac:dyDescent="0.35">
      <c r="A2" s="49" t="s">
        <v>162</v>
      </c>
    </row>
    <row r="3" spans="1:5" x14ac:dyDescent="0.35">
      <c r="A3" s="49" t="s">
        <v>0</v>
      </c>
      <c r="B3" s="49" t="s">
        <v>1</v>
      </c>
      <c r="C3" s="49" t="s">
        <v>2</v>
      </c>
      <c r="D3" s="49" t="s">
        <v>137</v>
      </c>
      <c r="E3" s="49" t="s">
        <v>138</v>
      </c>
    </row>
    <row r="4" spans="1:5" customFormat="1" ht="14.4" hidden="1" x14ac:dyDescent="0.3">
      <c r="A4" t="s">
        <v>49</v>
      </c>
      <c r="B4" t="s">
        <v>4</v>
      </c>
      <c r="C4">
        <v>0</v>
      </c>
      <c r="E4">
        <f>C4*D4</f>
        <v>0</v>
      </c>
    </row>
    <row r="5" spans="1:5" customFormat="1" ht="14.4" hidden="1" x14ac:dyDescent="0.3">
      <c r="A5" t="s">
        <v>49</v>
      </c>
      <c r="B5" t="s">
        <v>31</v>
      </c>
      <c r="C5">
        <v>0</v>
      </c>
      <c r="E5">
        <f t="shared" ref="E5:E68" si="0">C5*D5</f>
        <v>0</v>
      </c>
    </row>
    <row r="6" spans="1:5" customFormat="1" ht="14.4" hidden="1" x14ac:dyDescent="0.3">
      <c r="A6" t="s">
        <v>19</v>
      </c>
      <c r="B6" t="s">
        <v>4</v>
      </c>
      <c r="C6">
        <v>0</v>
      </c>
      <c r="E6">
        <f t="shared" si="0"/>
        <v>0</v>
      </c>
    </row>
    <row r="7" spans="1:5" customFormat="1" ht="14.4" hidden="1" x14ac:dyDescent="0.3">
      <c r="A7" t="s">
        <v>19</v>
      </c>
      <c r="B7" t="s">
        <v>50</v>
      </c>
      <c r="C7">
        <v>0</v>
      </c>
      <c r="E7">
        <f t="shared" si="0"/>
        <v>0</v>
      </c>
    </row>
    <row r="8" spans="1:5" customFormat="1" ht="14.4" hidden="1" x14ac:dyDescent="0.3">
      <c r="A8" t="s">
        <v>51</v>
      </c>
      <c r="B8" t="s">
        <v>53</v>
      </c>
      <c r="C8">
        <v>0</v>
      </c>
      <c r="E8">
        <f t="shared" si="0"/>
        <v>0</v>
      </c>
    </row>
    <row r="9" spans="1:5" customFormat="1" ht="14.4" hidden="1" x14ac:dyDescent="0.3">
      <c r="A9" t="s">
        <v>51</v>
      </c>
      <c r="B9" t="s">
        <v>4</v>
      </c>
      <c r="C9">
        <v>0</v>
      </c>
      <c r="E9">
        <f t="shared" si="0"/>
        <v>0</v>
      </c>
    </row>
    <row r="10" spans="1:5" customFormat="1" ht="14.4" hidden="1" x14ac:dyDescent="0.3">
      <c r="A10" t="s">
        <v>52</v>
      </c>
      <c r="B10" t="s">
        <v>53</v>
      </c>
      <c r="C10">
        <v>0</v>
      </c>
      <c r="E10">
        <f t="shared" si="0"/>
        <v>0</v>
      </c>
    </row>
    <row r="11" spans="1:5" customFormat="1" ht="14.4" hidden="1" x14ac:dyDescent="0.3">
      <c r="A11" t="s">
        <v>27</v>
      </c>
      <c r="B11" t="s">
        <v>4</v>
      </c>
      <c r="C11">
        <v>0</v>
      </c>
      <c r="E11">
        <f t="shared" si="0"/>
        <v>0</v>
      </c>
    </row>
    <row r="12" spans="1:5" customFormat="1" ht="14.4" hidden="1" x14ac:dyDescent="0.3">
      <c r="A12" t="s">
        <v>28</v>
      </c>
      <c r="B12" t="s">
        <v>4</v>
      </c>
      <c r="C12">
        <v>0</v>
      </c>
      <c r="E12">
        <f t="shared" si="0"/>
        <v>0</v>
      </c>
    </row>
    <row r="13" spans="1:5" customFormat="1" ht="14.4" hidden="1" x14ac:dyDescent="0.3">
      <c r="A13" t="s">
        <v>28</v>
      </c>
      <c r="B13" t="s">
        <v>31</v>
      </c>
      <c r="C13">
        <v>0</v>
      </c>
      <c r="E13">
        <f t="shared" si="0"/>
        <v>0</v>
      </c>
    </row>
    <row r="14" spans="1:5" x14ac:dyDescent="0.35">
      <c r="A14" s="49" t="s">
        <v>54</v>
      </c>
      <c r="B14" s="49" t="s">
        <v>4</v>
      </c>
      <c r="C14" s="49">
        <v>3</v>
      </c>
      <c r="D14" s="49">
        <v>45000</v>
      </c>
      <c r="E14" s="49">
        <f t="shared" si="0"/>
        <v>135000</v>
      </c>
    </row>
    <row r="15" spans="1:5" x14ac:dyDescent="0.35">
      <c r="A15" s="49" t="s">
        <v>29</v>
      </c>
      <c r="B15" s="49" t="s">
        <v>4</v>
      </c>
      <c r="C15" s="49">
        <v>2178</v>
      </c>
      <c r="D15" s="49">
        <v>28000</v>
      </c>
      <c r="E15" s="49">
        <f t="shared" si="0"/>
        <v>60984000</v>
      </c>
    </row>
    <row r="16" spans="1:5" customFormat="1" ht="14.4" hidden="1" x14ac:dyDescent="0.3">
      <c r="A16" t="s">
        <v>55</v>
      </c>
      <c r="B16" t="s">
        <v>4</v>
      </c>
      <c r="C16">
        <v>0</v>
      </c>
      <c r="E16">
        <f t="shared" si="0"/>
        <v>0</v>
      </c>
    </row>
    <row r="17" spans="1:6" customFormat="1" ht="14.4" hidden="1" x14ac:dyDescent="0.3">
      <c r="A17" t="s">
        <v>55</v>
      </c>
      <c r="B17" t="s">
        <v>31</v>
      </c>
      <c r="C17">
        <v>0</v>
      </c>
      <c r="E17">
        <f t="shared" si="0"/>
        <v>0</v>
      </c>
    </row>
    <row r="18" spans="1:6" customFormat="1" ht="14.4" hidden="1" x14ac:dyDescent="0.3">
      <c r="A18" t="s">
        <v>56</v>
      </c>
      <c r="B18" t="s">
        <v>4</v>
      </c>
      <c r="C18">
        <v>0</v>
      </c>
      <c r="E18">
        <f t="shared" si="0"/>
        <v>0</v>
      </c>
    </row>
    <row r="19" spans="1:6" x14ac:dyDescent="0.35">
      <c r="A19" s="49" t="s">
        <v>56</v>
      </c>
      <c r="B19" s="49" t="s">
        <v>31</v>
      </c>
      <c r="C19" s="49">
        <v>283</v>
      </c>
      <c r="D19" s="49">
        <v>5400</v>
      </c>
      <c r="E19" s="49">
        <f t="shared" si="0"/>
        <v>1528200</v>
      </c>
    </row>
    <row r="20" spans="1:6" x14ac:dyDescent="0.35">
      <c r="A20" s="49" t="s">
        <v>57</v>
      </c>
      <c r="B20" s="49" t="s">
        <v>4</v>
      </c>
      <c r="C20" s="49">
        <v>705</v>
      </c>
      <c r="D20" s="49">
        <v>22000</v>
      </c>
      <c r="E20" s="49">
        <f t="shared" si="0"/>
        <v>15510000</v>
      </c>
      <c r="F20" s="49">
        <v>700</v>
      </c>
    </row>
    <row r="21" spans="1:6" customFormat="1" ht="14.4" hidden="1" x14ac:dyDescent="0.3">
      <c r="A21" t="s">
        <v>57</v>
      </c>
      <c r="B21" t="s">
        <v>31</v>
      </c>
      <c r="C21">
        <v>0</v>
      </c>
      <c r="E21">
        <f t="shared" si="0"/>
        <v>0</v>
      </c>
    </row>
    <row r="22" spans="1:6" x14ac:dyDescent="0.35">
      <c r="A22" s="49" t="s">
        <v>32</v>
      </c>
      <c r="B22" s="49" t="s">
        <v>4</v>
      </c>
      <c r="C22" s="49">
        <v>140</v>
      </c>
      <c r="D22" s="49">
        <v>19500</v>
      </c>
      <c r="E22" s="49">
        <f t="shared" si="0"/>
        <v>2730000</v>
      </c>
    </row>
    <row r="23" spans="1:6" customFormat="1" ht="14.4" hidden="1" x14ac:dyDescent="0.3">
      <c r="A23" t="s">
        <v>32</v>
      </c>
      <c r="B23" t="s">
        <v>31</v>
      </c>
      <c r="C23">
        <v>0</v>
      </c>
      <c r="E23">
        <f t="shared" si="0"/>
        <v>0</v>
      </c>
    </row>
    <row r="24" spans="1:6" customFormat="1" ht="14.4" hidden="1" x14ac:dyDescent="0.3">
      <c r="A24" t="s">
        <v>58</v>
      </c>
      <c r="B24" t="s">
        <v>4</v>
      </c>
      <c r="C24">
        <v>0</v>
      </c>
      <c r="E24">
        <f t="shared" si="0"/>
        <v>0</v>
      </c>
    </row>
    <row r="25" spans="1:6" customFormat="1" ht="14.4" hidden="1" x14ac:dyDescent="0.3">
      <c r="A25" t="s">
        <v>33</v>
      </c>
      <c r="B25" t="s">
        <v>31</v>
      </c>
      <c r="C25">
        <v>0</v>
      </c>
      <c r="E25">
        <f t="shared" si="0"/>
        <v>0</v>
      </c>
    </row>
    <row r="26" spans="1:6" x14ac:dyDescent="0.35">
      <c r="A26" s="49" t="s">
        <v>34</v>
      </c>
      <c r="B26" s="49" t="s">
        <v>4</v>
      </c>
      <c r="C26" s="49">
        <v>168</v>
      </c>
      <c r="D26" s="49">
        <v>15000</v>
      </c>
      <c r="E26" s="49">
        <f t="shared" si="0"/>
        <v>2520000</v>
      </c>
    </row>
    <row r="27" spans="1:6" customFormat="1" ht="14.4" hidden="1" x14ac:dyDescent="0.3">
      <c r="A27" t="s">
        <v>34</v>
      </c>
      <c r="B27" t="s">
        <v>31</v>
      </c>
      <c r="C27">
        <v>0</v>
      </c>
      <c r="E27">
        <f t="shared" si="0"/>
        <v>0</v>
      </c>
    </row>
    <row r="28" spans="1:6" customFormat="1" ht="14.4" hidden="1" x14ac:dyDescent="0.3">
      <c r="A28" t="s">
        <v>35</v>
      </c>
      <c r="B28" t="s">
        <v>4</v>
      </c>
      <c r="C28">
        <v>0</v>
      </c>
      <c r="E28">
        <f t="shared" si="0"/>
        <v>0</v>
      </c>
    </row>
    <row r="29" spans="1:6" customFormat="1" ht="14.4" hidden="1" x14ac:dyDescent="0.3">
      <c r="A29" t="s">
        <v>59</v>
      </c>
      <c r="B29" t="s">
        <v>4</v>
      </c>
      <c r="C29">
        <v>0</v>
      </c>
      <c r="E29">
        <f t="shared" si="0"/>
        <v>0</v>
      </c>
    </row>
    <row r="30" spans="1:6" customFormat="1" ht="14.4" hidden="1" x14ac:dyDescent="0.3">
      <c r="A30" t="s">
        <v>60</v>
      </c>
      <c r="B30" t="s">
        <v>4</v>
      </c>
      <c r="C30">
        <v>0</v>
      </c>
      <c r="E30">
        <f t="shared" si="0"/>
        <v>0</v>
      </c>
    </row>
    <row r="31" spans="1:6" customFormat="1" ht="14.4" hidden="1" x14ac:dyDescent="0.3">
      <c r="A31" t="s">
        <v>60</v>
      </c>
      <c r="B31" t="s">
        <v>50</v>
      </c>
      <c r="C31">
        <v>0</v>
      </c>
      <c r="E31">
        <f t="shared" si="0"/>
        <v>0</v>
      </c>
    </row>
    <row r="32" spans="1:6" customFormat="1" ht="14.4" hidden="1" x14ac:dyDescent="0.3">
      <c r="A32" t="s">
        <v>3</v>
      </c>
      <c r="B32" t="s">
        <v>4</v>
      </c>
      <c r="C32">
        <v>0</v>
      </c>
      <c r="E32">
        <f t="shared" si="0"/>
        <v>0</v>
      </c>
    </row>
    <row r="33" spans="1:5" x14ac:dyDescent="0.35">
      <c r="A33" s="49" t="s">
        <v>5</v>
      </c>
      <c r="B33" s="49" t="s">
        <v>4</v>
      </c>
      <c r="C33" s="49">
        <v>180</v>
      </c>
      <c r="D33" s="49">
        <v>15000</v>
      </c>
      <c r="E33" s="49">
        <f t="shared" si="0"/>
        <v>2700000</v>
      </c>
    </row>
    <row r="34" spans="1:5" x14ac:dyDescent="0.35">
      <c r="A34" s="49" t="s">
        <v>6</v>
      </c>
      <c r="B34" s="49" t="s">
        <v>4</v>
      </c>
      <c r="C34" s="49">
        <v>1840</v>
      </c>
      <c r="D34" s="49">
        <v>13748.5</v>
      </c>
      <c r="E34" s="49">
        <f t="shared" si="0"/>
        <v>25297240</v>
      </c>
    </row>
    <row r="35" spans="1:5" customFormat="1" ht="14.4" hidden="1" x14ac:dyDescent="0.3">
      <c r="A35" t="s">
        <v>62</v>
      </c>
      <c r="B35" t="s">
        <v>4</v>
      </c>
      <c r="C35">
        <v>0</v>
      </c>
      <c r="E35">
        <f t="shared" si="0"/>
        <v>0</v>
      </c>
    </row>
    <row r="36" spans="1:5" customFormat="1" ht="14.4" hidden="1" x14ac:dyDescent="0.3">
      <c r="A36" t="s">
        <v>62</v>
      </c>
      <c r="B36" t="s">
        <v>31</v>
      </c>
      <c r="C36">
        <v>0</v>
      </c>
      <c r="E36">
        <f t="shared" si="0"/>
        <v>0</v>
      </c>
    </row>
    <row r="37" spans="1:5" customFormat="1" ht="14.4" hidden="1" x14ac:dyDescent="0.3">
      <c r="A37" t="s">
        <v>63</v>
      </c>
      <c r="B37" t="s">
        <v>4</v>
      </c>
      <c r="C37">
        <v>0</v>
      </c>
      <c r="E37">
        <f t="shared" si="0"/>
        <v>0</v>
      </c>
    </row>
    <row r="38" spans="1:5" customFormat="1" ht="14.4" hidden="1" x14ac:dyDescent="0.3">
      <c r="A38" t="s">
        <v>63</v>
      </c>
      <c r="B38" t="s">
        <v>31</v>
      </c>
      <c r="C38">
        <v>0</v>
      </c>
      <c r="E38">
        <f t="shared" si="0"/>
        <v>0</v>
      </c>
    </row>
    <row r="39" spans="1:5" customFormat="1" ht="14.4" hidden="1" x14ac:dyDescent="0.3">
      <c r="A39" t="s">
        <v>64</v>
      </c>
      <c r="B39" t="s">
        <v>4</v>
      </c>
      <c r="C39">
        <v>0</v>
      </c>
      <c r="E39">
        <f t="shared" si="0"/>
        <v>0</v>
      </c>
    </row>
    <row r="40" spans="1:5" customFormat="1" ht="14.4" hidden="1" x14ac:dyDescent="0.3">
      <c r="A40" t="s">
        <v>64</v>
      </c>
      <c r="B40" t="s">
        <v>31</v>
      </c>
      <c r="C40">
        <v>0</v>
      </c>
      <c r="E40">
        <f t="shared" si="0"/>
        <v>0</v>
      </c>
    </row>
    <row r="41" spans="1:5" customFormat="1" ht="14.4" hidden="1" x14ac:dyDescent="0.3">
      <c r="A41" t="s">
        <v>64</v>
      </c>
      <c r="B41" t="s">
        <v>65</v>
      </c>
      <c r="C41">
        <v>0</v>
      </c>
      <c r="E41">
        <f t="shared" si="0"/>
        <v>0</v>
      </c>
    </row>
    <row r="42" spans="1:5" x14ac:dyDescent="0.35">
      <c r="A42" s="49" t="s">
        <v>22</v>
      </c>
      <c r="B42" s="49" t="s">
        <v>4</v>
      </c>
      <c r="C42" s="49">
        <v>250</v>
      </c>
      <c r="D42" s="49">
        <v>7500</v>
      </c>
      <c r="E42" s="49">
        <f t="shared" si="0"/>
        <v>1875000</v>
      </c>
    </row>
    <row r="43" spans="1:5" customFormat="1" ht="14.4" hidden="1" x14ac:dyDescent="0.3">
      <c r="A43" t="s">
        <v>24</v>
      </c>
      <c r="B43" t="s">
        <v>66</v>
      </c>
      <c r="C43">
        <v>0</v>
      </c>
      <c r="E43">
        <f t="shared" si="0"/>
        <v>0</v>
      </c>
    </row>
    <row r="44" spans="1:5" customFormat="1" ht="14.4" hidden="1" x14ac:dyDescent="0.3">
      <c r="A44" t="s">
        <v>24</v>
      </c>
      <c r="B44" t="s">
        <v>4</v>
      </c>
      <c r="C44">
        <v>0</v>
      </c>
      <c r="E44">
        <f t="shared" si="0"/>
        <v>0</v>
      </c>
    </row>
    <row r="45" spans="1:5" customFormat="1" ht="14.4" hidden="1" x14ac:dyDescent="0.3">
      <c r="A45" t="s">
        <v>40</v>
      </c>
      <c r="B45" t="s">
        <v>66</v>
      </c>
      <c r="C45">
        <v>0</v>
      </c>
      <c r="E45">
        <f t="shared" si="0"/>
        <v>0</v>
      </c>
    </row>
    <row r="46" spans="1:5" customFormat="1" ht="14.4" hidden="1" x14ac:dyDescent="0.3">
      <c r="A46" t="s">
        <v>40</v>
      </c>
      <c r="B46" t="s">
        <v>4</v>
      </c>
      <c r="C46">
        <v>0</v>
      </c>
      <c r="E46">
        <f t="shared" si="0"/>
        <v>0</v>
      </c>
    </row>
    <row r="47" spans="1:5" customFormat="1" ht="14.4" hidden="1" x14ac:dyDescent="0.3">
      <c r="A47" t="s">
        <v>42</v>
      </c>
      <c r="B47" t="s">
        <v>4</v>
      </c>
      <c r="C47">
        <v>0</v>
      </c>
      <c r="E47">
        <f t="shared" si="0"/>
        <v>0</v>
      </c>
    </row>
    <row r="48" spans="1:5" customFormat="1" ht="14.4" hidden="1" x14ac:dyDescent="0.3">
      <c r="A48" t="s">
        <v>42</v>
      </c>
      <c r="B48" t="s">
        <v>31</v>
      </c>
      <c r="C48">
        <v>0</v>
      </c>
      <c r="E48">
        <f t="shared" si="0"/>
        <v>0</v>
      </c>
    </row>
    <row r="49" spans="1:5" customFormat="1" ht="14.4" hidden="1" x14ac:dyDescent="0.3">
      <c r="A49" t="s">
        <v>67</v>
      </c>
      <c r="B49" t="s">
        <v>4</v>
      </c>
      <c r="C49">
        <v>0</v>
      </c>
      <c r="E49">
        <f t="shared" si="0"/>
        <v>0</v>
      </c>
    </row>
    <row r="50" spans="1:5" customFormat="1" ht="14.4" hidden="1" x14ac:dyDescent="0.3">
      <c r="A50" t="s">
        <v>141</v>
      </c>
      <c r="B50" t="s">
        <v>31</v>
      </c>
      <c r="C50">
        <v>0</v>
      </c>
      <c r="E50">
        <f t="shared" si="0"/>
        <v>0</v>
      </c>
    </row>
    <row r="51" spans="1:5" customFormat="1" ht="14.4" hidden="1" x14ac:dyDescent="0.3">
      <c r="A51" t="s">
        <v>68</v>
      </c>
      <c r="B51" t="s">
        <v>4</v>
      </c>
      <c r="C51">
        <v>0</v>
      </c>
      <c r="E51">
        <f t="shared" si="0"/>
        <v>0</v>
      </c>
    </row>
    <row r="52" spans="1:5" customFormat="1" ht="14.4" hidden="1" x14ac:dyDescent="0.3">
      <c r="A52" t="s">
        <v>68</v>
      </c>
      <c r="B52" t="s">
        <v>31</v>
      </c>
      <c r="C52">
        <v>0</v>
      </c>
      <c r="E52">
        <f t="shared" si="0"/>
        <v>0</v>
      </c>
    </row>
    <row r="53" spans="1:5" customFormat="1" ht="14.4" hidden="1" x14ac:dyDescent="0.3">
      <c r="A53" t="s">
        <v>69</v>
      </c>
      <c r="B53" t="s">
        <v>31</v>
      </c>
      <c r="C53">
        <v>0</v>
      </c>
      <c r="E53">
        <f t="shared" si="0"/>
        <v>0</v>
      </c>
    </row>
    <row r="54" spans="1:5" customFormat="1" ht="14.4" hidden="1" x14ac:dyDescent="0.3">
      <c r="A54" t="s">
        <v>70</v>
      </c>
      <c r="B54" t="s">
        <v>4</v>
      </c>
      <c r="C54">
        <v>0</v>
      </c>
      <c r="E54">
        <f t="shared" si="0"/>
        <v>0</v>
      </c>
    </row>
    <row r="55" spans="1:5" customFormat="1" ht="14.4" hidden="1" x14ac:dyDescent="0.3">
      <c r="A55" t="s">
        <v>70</v>
      </c>
      <c r="B55" t="s">
        <v>71</v>
      </c>
      <c r="C55">
        <v>0</v>
      </c>
      <c r="E55">
        <f t="shared" si="0"/>
        <v>0</v>
      </c>
    </row>
    <row r="56" spans="1:5" customFormat="1" ht="14.4" hidden="1" x14ac:dyDescent="0.3">
      <c r="A56" t="s">
        <v>72</v>
      </c>
      <c r="B56" t="s">
        <v>4</v>
      </c>
      <c r="C56">
        <v>0</v>
      </c>
      <c r="E56">
        <f t="shared" si="0"/>
        <v>0</v>
      </c>
    </row>
    <row r="57" spans="1:5" customFormat="1" ht="14.4" hidden="1" x14ac:dyDescent="0.3">
      <c r="A57" t="s">
        <v>72</v>
      </c>
      <c r="B57" t="s">
        <v>73</v>
      </c>
      <c r="C57">
        <v>0</v>
      </c>
      <c r="E57">
        <f t="shared" si="0"/>
        <v>0</v>
      </c>
    </row>
    <row r="58" spans="1:5" x14ac:dyDescent="0.35">
      <c r="A58" s="49" t="s">
        <v>74</v>
      </c>
      <c r="B58" s="49" t="s">
        <v>4</v>
      </c>
      <c r="C58" s="49">
        <v>11</v>
      </c>
      <c r="D58" s="49">
        <v>32000</v>
      </c>
      <c r="E58" s="49">
        <f t="shared" si="0"/>
        <v>352000</v>
      </c>
    </row>
    <row r="59" spans="1:5" customFormat="1" ht="14.4" hidden="1" x14ac:dyDescent="0.3">
      <c r="A59" t="s">
        <v>74</v>
      </c>
      <c r="B59" t="s">
        <v>31</v>
      </c>
      <c r="C59">
        <v>0</v>
      </c>
      <c r="E59">
        <f t="shared" si="0"/>
        <v>0</v>
      </c>
    </row>
    <row r="60" spans="1:5" customFormat="1" ht="14.4" hidden="1" x14ac:dyDescent="0.3">
      <c r="A60" t="s">
        <v>75</v>
      </c>
      <c r="B60" t="s">
        <v>4</v>
      </c>
      <c r="C60">
        <v>0</v>
      </c>
      <c r="E60">
        <f t="shared" si="0"/>
        <v>0</v>
      </c>
    </row>
    <row r="61" spans="1:5" customFormat="1" ht="14.4" hidden="1" x14ac:dyDescent="0.3">
      <c r="A61" t="s">
        <v>76</v>
      </c>
      <c r="B61" t="s">
        <v>66</v>
      </c>
      <c r="C61">
        <v>0</v>
      </c>
      <c r="E61">
        <f t="shared" si="0"/>
        <v>0</v>
      </c>
    </row>
    <row r="62" spans="1:5" customFormat="1" ht="14.4" hidden="1" x14ac:dyDescent="0.3">
      <c r="A62" t="s">
        <v>48</v>
      </c>
      <c r="B62" t="s">
        <v>4</v>
      </c>
      <c r="C62">
        <v>0</v>
      </c>
      <c r="E62">
        <f t="shared" si="0"/>
        <v>0</v>
      </c>
    </row>
    <row r="63" spans="1:5" customFormat="1" ht="14.4" hidden="1" x14ac:dyDescent="0.3">
      <c r="A63" t="s">
        <v>77</v>
      </c>
      <c r="B63" t="s">
        <v>66</v>
      </c>
      <c r="C63">
        <v>0</v>
      </c>
      <c r="E63">
        <f t="shared" si="0"/>
        <v>0</v>
      </c>
    </row>
    <row r="64" spans="1:5" customFormat="1" ht="14.4" hidden="1" x14ac:dyDescent="0.3">
      <c r="A64" t="s">
        <v>78</v>
      </c>
      <c r="B64" t="s">
        <v>4</v>
      </c>
      <c r="C64">
        <v>0</v>
      </c>
      <c r="E64">
        <f t="shared" si="0"/>
        <v>0</v>
      </c>
    </row>
    <row r="65" spans="1:5" customFormat="1" ht="14.4" hidden="1" x14ac:dyDescent="0.3">
      <c r="A65" t="s">
        <v>79</v>
      </c>
      <c r="B65" t="s">
        <v>4</v>
      </c>
      <c r="C65">
        <v>0</v>
      </c>
      <c r="E65">
        <f t="shared" si="0"/>
        <v>0</v>
      </c>
    </row>
    <row r="66" spans="1:5" customFormat="1" ht="14.4" hidden="1" x14ac:dyDescent="0.3">
      <c r="A66" t="s">
        <v>79</v>
      </c>
      <c r="B66" t="s">
        <v>31</v>
      </c>
      <c r="C66">
        <v>0</v>
      </c>
      <c r="E66">
        <f t="shared" si="0"/>
        <v>0</v>
      </c>
    </row>
    <row r="67" spans="1:5" customFormat="1" ht="14.4" hidden="1" x14ac:dyDescent="0.3">
      <c r="A67" t="s">
        <v>80</v>
      </c>
      <c r="B67" t="s">
        <v>4</v>
      </c>
      <c r="C67">
        <v>0</v>
      </c>
      <c r="E67">
        <f t="shared" si="0"/>
        <v>0</v>
      </c>
    </row>
    <row r="68" spans="1:5" customFormat="1" ht="14.4" hidden="1" x14ac:dyDescent="0.3">
      <c r="A68" t="s">
        <v>80</v>
      </c>
      <c r="B68" t="s">
        <v>31</v>
      </c>
      <c r="C68">
        <v>0</v>
      </c>
      <c r="E68">
        <f t="shared" si="0"/>
        <v>0</v>
      </c>
    </row>
    <row r="69" spans="1:5" x14ac:dyDescent="0.35">
      <c r="A69" s="49" t="s">
        <v>81</v>
      </c>
      <c r="B69" s="49" t="s">
        <v>4</v>
      </c>
      <c r="C69" s="49">
        <v>2</v>
      </c>
      <c r="D69" s="49">
        <v>30000</v>
      </c>
      <c r="E69" s="49">
        <f t="shared" ref="E69:E132" si="1">C69*D69</f>
        <v>60000</v>
      </c>
    </row>
    <row r="70" spans="1:5" customFormat="1" ht="14.4" hidden="1" x14ac:dyDescent="0.3">
      <c r="A70" t="s">
        <v>82</v>
      </c>
      <c r="B70" t="s">
        <v>66</v>
      </c>
      <c r="C70">
        <v>0</v>
      </c>
      <c r="E70">
        <f t="shared" si="1"/>
        <v>0</v>
      </c>
    </row>
    <row r="71" spans="1:5" customFormat="1" ht="14.4" hidden="1" x14ac:dyDescent="0.3">
      <c r="A71" t="s">
        <v>83</v>
      </c>
      <c r="B71" t="s">
        <v>4</v>
      </c>
      <c r="C71">
        <v>0</v>
      </c>
      <c r="E71">
        <f t="shared" si="1"/>
        <v>0</v>
      </c>
    </row>
    <row r="72" spans="1:5" customFormat="1" ht="14.4" hidden="1" x14ac:dyDescent="0.3">
      <c r="A72" t="s">
        <v>7</v>
      </c>
      <c r="B72" t="s">
        <v>4</v>
      </c>
      <c r="C72">
        <v>0</v>
      </c>
      <c r="E72">
        <f t="shared" si="1"/>
        <v>0</v>
      </c>
    </row>
    <row r="73" spans="1:5" customFormat="1" ht="14.4" hidden="1" x14ac:dyDescent="0.3">
      <c r="A73" t="s">
        <v>7</v>
      </c>
      <c r="B73" t="s">
        <v>84</v>
      </c>
      <c r="C73">
        <v>0</v>
      </c>
      <c r="E73">
        <f t="shared" si="1"/>
        <v>0</v>
      </c>
    </row>
    <row r="74" spans="1:5" x14ac:dyDescent="0.35">
      <c r="A74" s="49" t="s">
        <v>85</v>
      </c>
      <c r="B74" s="49" t="s">
        <v>4</v>
      </c>
      <c r="C74" s="49">
        <v>18</v>
      </c>
      <c r="D74" s="49">
        <v>11000</v>
      </c>
      <c r="E74" s="49">
        <f t="shared" si="1"/>
        <v>198000</v>
      </c>
    </row>
    <row r="75" spans="1:5" x14ac:dyDescent="0.35">
      <c r="A75" s="49" t="s">
        <v>8</v>
      </c>
      <c r="B75" s="49" t="s">
        <v>4</v>
      </c>
      <c r="C75" s="49">
        <v>220</v>
      </c>
      <c r="D75" s="49">
        <v>5000</v>
      </c>
      <c r="E75" s="49">
        <f t="shared" si="1"/>
        <v>1100000</v>
      </c>
    </row>
    <row r="76" spans="1:5" customFormat="1" ht="14.4" hidden="1" x14ac:dyDescent="0.3">
      <c r="A76" t="s">
        <v>10</v>
      </c>
      <c r="B76" t="s">
        <v>4</v>
      </c>
      <c r="C76">
        <v>0</v>
      </c>
      <c r="E76">
        <f t="shared" si="1"/>
        <v>0</v>
      </c>
    </row>
    <row r="77" spans="1:5" customFormat="1" ht="14.4" hidden="1" x14ac:dyDescent="0.3">
      <c r="A77" t="s">
        <v>10</v>
      </c>
      <c r="B77" t="s">
        <v>84</v>
      </c>
      <c r="C77">
        <v>0</v>
      </c>
      <c r="E77">
        <f t="shared" si="1"/>
        <v>0</v>
      </c>
    </row>
    <row r="78" spans="1:5" x14ac:dyDescent="0.35">
      <c r="A78" s="49" t="s">
        <v>11</v>
      </c>
      <c r="B78" s="49" t="s">
        <v>4</v>
      </c>
      <c r="C78" s="49">
        <v>78</v>
      </c>
      <c r="D78" s="49">
        <v>9500</v>
      </c>
      <c r="E78" s="49">
        <f t="shared" si="1"/>
        <v>741000</v>
      </c>
    </row>
    <row r="79" spans="1:5" customFormat="1" ht="14.4" hidden="1" x14ac:dyDescent="0.3">
      <c r="A79" t="s">
        <v>11</v>
      </c>
      <c r="B79" t="s">
        <v>84</v>
      </c>
      <c r="C79">
        <v>0</v>
      </c>
      <c r="E79">
        <f t="shared" si="1"/>
        <v>0</v>
      </c>
    </row>
    <row r="80" spans="1:5" x14ac:dyDescent="0.35">
      <c r="A80" s="49" t="s">
        <v>15</v>
      </c>
      <c r="B80" s="49" t="s">
        <v>4</v>
      </c>
      <c r="C80" s="49">
        <v>100</v>
      </c>
      <c r="D80" s="49">
        <v>25000</v>
      </c>
      <c r="E80" s="49">
        <f t="shared" si="1"/>
        <v>2500000</v>
      </c>
    </row>
    <row r="81" spans="1:5" customFormat="1" ht="14.4" hidden="1" x14ac:dyDescent="0.3">
      <c r="A81" t="s">
        <v>15</v>
      </c>
      <c r="B81" t="s">
        <v>50</v>
      </c>
      <c r="C81">
        <v>0</v>
      </c>
      <c r="E81">
        <f t="shared" si="1"/>
        <v>0</v>
      </c>
    </row>
    <row r="82" spans="1:5" customFormat="1" ht="14.4" hidden="1" x14ac:dyDescent="0.3">
      <c r="A82" t="s">
        <v>86</v>
      </c>
      <c r="B82" t="s">
        <v>50</v>
      </c>
      <c r="C82">
        <v>0</v>
      </c>
      <c r="E82">
        <f t="shared" si="1"/>
        <v>0</v>
      </c>
    </row>
    <row r="83" spans="1:5" customFormat="1" ht="14.4" hidden="1" x14ac:dyDescent="0.3">
      <c r="A83" t="s">
        <v>87</v>
      </c>
      <c r="B83" t="s">
        <v>50</v>
      </c>
      <c r="C83">
        <v>0</v>
      </c>
      <c r="E83">
        <f t="shared" si="1"/>
        <v>0</v>
      </c>
    </row>
    <row r="84" spans="1:5" x14ac:dyDescent="0.35">
      <c r="A84" s="49" t="s">
        <v>88</v>
      </c>
      <c r="B84" s="49" t="s">
        <v>53</v>
      </c>
      <c r="C84" s="49">
        <v>80</v>
      </c>
      <c r="D84" s="49">
        <v>11400</v>
      </c>
      <c r="E84" s="49">
        <f t="shared" si="1"/>
        <v>912000</v>
      </c>
    </row>
    <row r="85" spans="1:5" customFormat="1" ht="14.4" hidden="1" x14ac:dyDescent="0.3">
      <c r="A85" t="s">
        <v>89</v>
      </c>
      <c r="B85" t="s">
        <v>53</v>
      </c>
      <c r="C85">
        <v>0</v>
      </c>
      <c r="E85">
        <f t="shared" si="1"/>
        <v>0</v>
      </c>
    </row>
    <row r="86" spans="1:5" customFormat="1" ht="14.4" hidden="1" x14ac:dyDescent="0.3">
      <c r="A86" t="s">
        <v>89</v>
      </c>
      <c r="B86" t="s">
        <v>4</v>
      </c>
      <c r="C86">
        <v>0</v>
      </c>
      <c r="E86">
        <f t="shared" si="1"/>
        <v>0</v>
      </c>
    </row>
    <row r="87" spans="1:5" customFormat="1" ht="14.4" hidden="1" x14ac:dyDescent="0.3">
      <c r="A87" t="s">
        <v>90</v>
      </c>
      <c r="B87" t="s">
        <v>4</v>
      </c>
      <c r="C87">
        <v>0</v>
      </c>
      <c r="E87">
        <f t="shared" si="1"/>
        <v>0</v>
      </c>
    </row>
    <row r="88" spans="1:5" customFormat="1" ht="14.4" hidden="1" x14ac:dyDescent="0.3">
      <c r="A88" t="s">
        <v>90</v>
      </c>
      <c r="B88" t="s">
        <v>147</v>
      </c>
      <c r="C88">
        <v>0</v>
      </c>
      <c r="E88">
        <f t="shared" si="1"/>
        <v>0</v>
      </c>
    </row>
    <row r="89" spans="1:5" customFormat="1" ht="14.4" hidden="1" x14ac:dyDescent="0.3">
      <c r="A89" t="s">
        <v>90</v>
      </c>
      <c r="B89" t="s">
        <v>148</v>
      </c>
      <c r="C89">
        <v>0</v>
      </c>
      <c r="E89">
        <f t="shared" si="1"/>
        <v>0</v>
      </c>
    </row>
    <row r="90" spans="1:5" x14ac:dyDescent="0.35">
      <c r="A90" s="49" t="s">
        <v>18</v>
      </c>
      <c r="B90" s="49" t="s">
        <v>4</v>
      </c>
      <c r="C90" s="49">
        <v>130</v>
      </c>
      <c r="D90" s="49">
        <v>23000</v>
      </c>
      <c r="E90" s="49">
        <f t="shared" si="1"/>
        <v>2990000</v>
      </c>
    </row>
    <row r="91" spans="1:5" customFormat="1" ht="14.4" hidden="1" x14ac:dyDescent="0.3">
      <c r="A91" t="s">
        <v>18</v>
      </c>
      <c r="B91" t="s">
        <v>50</v>
      </c>
      <c r="C91">
        <v>0</v>
      </c>
      <c r="E91">
        <f t="shared" si="1"/>
        <v>0</v>
      </c>
    </row>
    <row r="92" spans="1:5" x14ac:dyDescent="0.35">
      <c r="A92" s="49" t="s">
        <v>92</v>
      </c>
      <c r="B92" s="49" t="s">
        <v>31</v>
      </c>
      <c r="C92" s="49">
        <v>190</v>
      </c>
      <c r="D92" s="49">
        <v>20000</v>
      </c>
      <c r="E92" s="49">
        <f t="shared" si="1"/>
        <v>3800000</v>
      </c>
    </row>
    <row r="93" spans="1:5" customFormat="1" ht="14.4" hidden="1" x14ac:dyDescent="0.3">
      <c r="A93" t="s">
        <v>21</v>
      </c>
      <c r="B93" t="s">
        <v>4</v>
      </c>
      <c r="C93">
        <v>0</v>
      </c>
      <c r="E93">
        <f t="shared" si="1"/>
        <v>0</v>
      </c>
    </row>
    <row r="94" spans="1:5" customFormat="1" ht="14.4" hidden="1" x14ac:dyDescent="0.3">
      <c r="A94" t="s">
        <v>21</v>
      </c>
      <c r="B94" t="s">
        <v>149</v>
      </c>
      <c r="C94">
        <v>0</v>
      </c>
      <c r="E94">
        <f t="shared" si="1"/>
        <v>0</v>
      </c>
    </row>
    <row r="95" spans="1:5" customFormat="1" ht="14.4" hidden="1" x14ac:dyDescent="0.3">
      <c r="A95" t="s">
        <v>94</v>
      </c>
      <c r="B95" t="s">
        <v>4</v>
      </c>
      <c r="C95">
        <v>0</v>
      </c>
      <c r="E95">
        <f t="shared" si="1"/>
        <v>0</v>
      </c>
    </row>
    <row r="96" spans="1:5" customFormat="1" ht="14.4" hidden="1" x14ac:dyDescent="0.3">
      <c r="A96" t="s">
        <v>94</v>
      </c>
      <c r="B96" t="s">
        <v>50</v>
      </c>
      <c r="C96">
        <v>0</v>
      </c>
      <c r="E96">
        <f t="shared" si="1"/>
        <v>0</v>
      </c>
    </row>
    <row r="97" spans="1:5" customFormat="1" ht="14.4" hidden="1" x14ac:dyDescent="0.3">
      <c r="A97" t="s">
        <v>37</v>
      </c>
      <c r="B97" t="s">
        <v>4</v>
      </c>
      <c r="C97">
        <v>0</v>
      </c>
      <c r="E97">
        <f t="shared" si="1"/>
        <v>0</v>
      </c>
    </row>
    <row r="98" spans="1:5" customFormat="1" ht="14.4" hidden="1" x14ac:dyDescent="0.3">
      <c r="A98" t="s">
        <v>37</v>
      </c>
      <c r="B98" t="s">
        <v>150</v>
      </c>
      <c r="C98">
        <v>0</v>
      </c>
      <c r="E98">
        <f t="shared" si="1"/>
        <v>0</v>
      </c>
    </row>
    <row r="99" spans="1:5" customFormat="1" ht="14.4" hidden="1" x14ac:dyDescent="0.3">
      <c r="A99" t="s">
        <v>37</v>
      </c>
      <c r="B99" t="s">
        <v>151</v>
      </c>
      <c r="C99">
        <v>0</v>
      </c>
      <c r="E99">
        <f t="shared" si="1"/>
        <v>0</v>
      </c>
    </row>
    <row r="100" spans="1:5" customFormat="1" ht="14.4" hidden="1" x14ac:dyDescent="0.3">
      <c r="A100" t="s">
        <v>95</v>
      </c>
      <c r="B100" t="s">
        <v>31</v>
      </c>
      <c r="C100">
        <v>0</v>
      </c>
      <c r="E100">
        <f t="shared" si="1"/>
        <v>0</v>
      </c>
    </row>
    <row r="101" spans="1:5" customFormat="1" ht="14.4" hidden="1" x14ac:dyDescent="0.3">
      <c r="A101" t="s">
        <v>36</v>
      </c>
      <c r="B101" t="s">
        <v>31</v>
      </c>
      <c r="C101">
        <v>0</v>
      </c>
      <c r="E101">
        <f t="shared" si="1"/>
        <v>0</v>
      </c>
    </row>
    <row r="102" spans="1:5" x14ac:dyDescent="0.35">
      <c r="A102" s="49" t="s">
        <v>96</v>
      </c>
      <c r="B102" s="49" t="s">
        <v>4</v>
      </c>
      <c r="C102" s="49">
        <v>1.5</v>
      </c>
      <c r="D102" s="49">
        <v>80000</v>
      </c>
      <c r="E102" s="49">
        <f t="shared" si="1"/>
        <v>120000</v>
      </c>
    </row>
    <row r="103" spans="1:5" customFormat="1" ht="14.4" hidden="1" x14ac:dyDescent="0.3">
      <c r="A103" t="s">
        <v>96</v>
      </c>
      <c r="B103" t="s">
        <v>50</v>
      </c>
      <c r="C103">
        <v>0</v>
      </c>
      <c r="E103">
        <f t="shared" si="1"/>
        <v>0</v>
      </c>
    </row>
    <row r="104" spans="1:5" x14ac:dyDescent="0.35">
      <c r="A104" s="49" t="s">
        <v>97</v>
      </c>
      <c r="B104" s="49" t="s">
        <v>4</v>
      </c>
      <c r="C104" s="49">
        <v>1.5</v>
      </c>
      <c r="D104" s="49">
        <v>70000</v>
      </c>
      <c r="E104" s="49">
        <f t="shared" si="1"/>
        <v>105000</v>
      </c>
    </row>
    <row r="105" spans="1:5" x14ac:dyDescent="0.35">
      <c r="A105" s="49" t="s">
        <v>39</v>
      </c>
      <c r="B105" s="49" t="s">
        <v>4</v>
      </c>
      <c r="C105" s="49">
        <v>110</v>
      </c>
      <c r="D105" s="49">
        <v>12000</v>
      </c>
      <c r="E105" s="49">
        <f t="shared" si="1"/>
        <v>1320000</v>
      </c>
    </row>
    <row r="106" spans="1:5" customFormat="1" ht="14.4" hidden="1" x14ac:dyDescent="0.3">
      <c r="A106" t="s">
        <v>39</v>
      </c>
      <c r="B106" t="s">
        <v>50</v>
      </c>
      <c r="C106">
        <v>0</v>
      </c>
      <c r="E106">
        <f t="shared" si="1"/>
        <v>0</v>
      </c>
    </row>
    <row r="107" spans="1:5" x14ac:dyDescent="0.35">
      <c r="A107" s="49" t="s">
        <v>98</v>
      </c>
      <c r="B107" s="49" t="s">
        <v>50</v>
      </c>
      <c r="C107" s="49">
        <v>24</v>
      </c>
      <c r="D107" s="49">
        <v>7500</v>
      </c>
      <c r="E107" s="49">
        <f t="shared" si="1"/>
        <v>180000</v>
      </c>
    </row>
    <row r="108" spans="1:5" customFormat="1" ht="14.4" hidden="1" x14ac:dyDescent="0.3">
      <c r="A108" t="s">
        <v>99</v>
      </c>
      <c r="B108" t="s">
        <v>4</v>
      </c>
      <c r="C108">
        <v>0</v>
      </c>
      <c r="E108">
        <f t="shared" si="1"/>
        <v>0</v>
      </c>
    </row>
    <row r="109" spans="1:5" customFormat="1" ht="14.4" hidden="1" x14ac:dyDescent="0.3">
      <c r="A109" t="s">
        <v>99</v>
      </c>
      <c r="B109" t="s">
        <v>31</v>
      </c>
      <c r="C109">
        <v>0</v>
      </c>
      <c r="E109">
        <f t="shared" si="1"/>
        <v>0</v>
      </c>
    </row>
    <row r="110" spans="1:5" x14ac:dyDescent="0.35">
      <c r="A110" s="49" t="s">
        <v>100</v>
      </c>
      <c r="B110" s="49" t="s">
        <v>4</v>
      </c>
      <c r="C110" s="49">
        <v>28</v>
      </c>
      <c r="D110" s="49">
        <v>7000</v>
      </c>
      <c r="E110" s="49">
        <f t="shared" si="1"/>
        <v>196000</v>
      </c>
    </row>
    <row r="111" spans="1:5" customFormat="1" ht="14.4" hidden="1" x14ac:dyDescent="0.3">
      <c r="A111" t="s">
        <v>101</v>
      </c>
      <c r="B111" t="s">
        <v>53</v>
      </c>
      <c r="C111">
        <v>0</v>
      </c>
      <c r="E111">
        <f t="shared" si="1"/>
        <v>0</v>
      </c>
    </row>
    <row r="112" spans="1:5" customFormat="1" ht="14.4" hidden="1" x14ac:dyDescent="0.3">
      <c r="A112" t="s">
        <v>101</v>
      </c>
      <c r="B112" t="s">
        <v>4</v>
      </c>
      <c r="C112">
        <v>0</v>
      </c>
      <c r="E112">
        <f t="shared" si="1"/>
        <v>0</v>
      </c>
    </row>
    <row r="113" spans="1:5" x14ac:dyDescent="0.35">
      <c r="A113" s="49" t="s">
        <v>43</v>
      </c>
      <c r="B113" s="49" t="s">
        <v>4</v>
      </c>
      <c r="C113" s="49">
        <v>36</v>
      </c>
      <c r="D113" s="49">
        <v>46000</v>
      </c>
      <c r="E113" s="49">
        <f t="shared" si="1"/>
        <v>1656000</v>
      </c>
    </row>
    <row r="114" spans="1:5" customFormat="1" ht="14.4" hidden="1" x14ac:dyDescent="0.3">
      <c r="A114" t="s">
        <v>43</v>
      </c>
      <c r="B114" t="s">
        <v>84</v>
      </c>
      <c r="C114">
        <v>0</v>
      </c>
      <c r="E114">
        <f t="shared" si="1"/>
        <v>0</v>
      </c>
    </row>
    <row r="115" spans="1:5" customFormat="1" ht="14.4" hidden="1" x14ac:dyDescent="0.3">
      <c r="A115" t="s">
        <v>102</v>
      </c>
      <c r="B115" t="s">
        <v>53</v>
      </c>
      <c r="C115">
        <v>0</v>
      </c>
      <c r="E115">
        <f t="shared" si="1"/>
        <v>0</v>
      </c>
    </row>
    <row r="116" spans="1:5" customFormat="1" ht="14.4" hidden="1" x14ac:dyDescent="0.3">
      <c r="A116" t="s">
        <v>102</v>
      </c>
      <c r="B116" t="s">
        <v>4</v>
      </c>
      <c r="C116">
        <v>0</v>
      </c>
      <c r="E116">
        <f t="shared" si="1"/>
        <v>0</v>
      </c>
    </row>
    <row r="117" spans="1:5" x14ac:dyDescent="0.35">
      <c r="A117" s="49" t="s">
        <v>44</v>
      </c>
      <c r="B117" s="49" t="s">
        <v>4</v>
      </c>
      <c r="C117" s="49">
        <v>140</v>
      </c>
      <c r="D117" s="49">
        <v>36000</v>
      </c>
      <c r="E117" s="49">
        <f t="shared" si="1"/>
        <v>5040000</v>
      </c>
    </row>
    <row r="118" spans="1:5" customFormat="1" ht="14.4" hidden="1" x14ac:dyDescent="0.3">
      <c r="A118" t="s">
        <v>44</v>
      </c>
      <c r="B118" t="s">
        <v>84</v>
      </c>
      <c r="C118">
        <v>0</v>
      </c>
      <c r="E118">
        <f t="shared" si="1"/>
        <v>0</v>
      </c>
    </row>
    <row r="119" spans="1:5" customFormat="1" ht="14.4" hidden="1" x14ac:dyDescent="0.3">
      <c r="A119" t="s">
        <v>45</v>
      </c>
      <c r="B119" t="s">
        <v>4</v>
      </c>
      <c r="C119">
        <v>0</v>
      </c>
      <c r="E119">
        <f t="shared" si="1"/>
        <v>0</v>
      </c>
    </row>
    <row r="120" spans="1:5" customFormat="1" ht="14.4" hidden="1" x14ac:dyDescent="0.3">
      <c r="A120" t="s">
        <v>45</v>
      </c>
      <c r="B120" t="s">
        <v>84</v>
      </c>
      <c r="C120">
        <v>0</v>
      </c>
      <c r="E120">
        <f t="shared" si="1"/>
        <v>0</v>
      </c>
    </row>
    <row r="121" spans="1:5" customFormat="1" ht="14.4" hidden="1" x14ac:dyDescent="0.3">
      <c r="A121" t="s">
        <v>103</v>
      </c>
      <c r="B121" t="s">
        <v>31</v>
      </c>
      <c r="C121">
        <v>0</v>
      </c>
      <c r="E121">
        <f t="shared" si="1"/>
        <v>0</v>
      </c>
    </row>
    <row r="122" spans="1:5" customFormat="1" ht="14.4" hidden="1" x14ac:dyDescent="0.3">
      <c r="A122" t="s">
        <v>104</v>
      </c>
      <c r="B122" t="s">
        <v>4</v>
      </c>
      <c r="C122">
        <v>0</v>
      </c>
      <c r="E122">
        <f t="shared" si="1"/>
        <v>0</v>
      </c>
    </row>
    <row r="123" spans="1:5" customFormat="1" ht="14.4" hidden="1" x14ac:dyDescent="0.3">
      <c r="A123" t="s">
        <v>104</v>
      </c>
      <c r="B123" t="s">
        <v>84</v>
      </c>
      <c r="C123">
        <v>0</v>
      </c>
      <c r="E123">
        <f t="shared" si="1"/>
        <v>0</v>
      </c>
    </row>
    <row r="124" spans="1:5" customFormat="1" ht="14.4" hidden="1" x14ac:dyDescent="0.3">
      <c r="A124" t="s">
        <v>47</v>
      </c>
      <c r="B124" t="s">
        <v>4</v>
      </c>
      <c r="C124">
        <v>0</v>
      </c>
      <c r="E124">
        <f t="shared" si="1"/>
        <v>0</v>
      </c>
    </row>
    <row r="125" spans="1:5" x14ac:dyDescent="0.35">
      <c r="A125" s="49" t="s">
        <v>105</v>
      </c>
      <c r="B125" s="49" t="s">
        <v>4</v>
      </c>
      <c r="C125" s="49">
        <v>1.5</v>
      </c>
      <c r="D125" s="49">
        <v>70000</v>
      </c>
      <c r="E125" s="49">
        <f t="shared" si="1"/>
        <v>105000</v>
      </c>
    </row>
    <row r="126" spans="1:5" customFormat="1" ht="14.4" hidden="1" x14ac:dyDescent="0.3">
      <c r="A126" t="s">
        <v>106</v>
      </c>
      <c r="B126" t="s">
        <v>4</v>
      </c>
      <c r="C126">
        <v>0</v>
      </c>
      <c r="E126">
        <f t="shared" si="1"/>
        <v>0</v>
      </c>
    </row>
    <row r="127" spans="1:5" x14ac:dyDescent="0.35">
      <c r="A127" s="49" t="s">
        <v>107</v>
      </c>
      <c r="B127" s="49" t="s">
        <v>4</v>
      </c>
      <c r="C127" s="49">
        <v>3</v>
      </c>
      <c r="D127" s="49">
        <v>12000</v>
      </c>
      <c r="E127" s="49">
        <f t="shared" si="1"/>
        <v>36000</v>
      </c>
    </row>
    <row r="128" spans="1:5" customFormat="1" ht="14.4" hidden="1" x14ac:dyDescent="0.3">
      <c r="A128" t="s">
        <v>108</v>
      </c>
      <c r="B128" t="s">
        <v>53</v>
      </c>
      <c r="C128">
        <v>0</v>
      </c>
      <c r="E128">
        <f t="shared" si="1"/>
        <v>0</v>
      </c>
    </row>
    <row r="129" spans="1:6" customFormat="1" ht="14.4" hidden="1" x14ac:dyDescent="0.3">
      <c r="A129" t="s">
        <v>26</v>
      </c>
      <c r="B129" t="s">
        <v>4</v>
      </c>
      <c r="C129">
        <v>0</v>
      </c>
      <c r="E129">
        <f t="shared" si="1"/>
        <v>0</v>
      </c>
    </row>
    <row r="130" spans="1:6" customFormat="1" ht="14.4" hidden="1" x14ac:dyDescent="0.3">
      <c r="A130" t="s">
        <v>109</v>
      </c>
      <c r="B130" t="s">
        <v>53</v>
      </c>
      <c r="C130">
        <v>0</v>
      </c>
      <c r="E130">
        <f t="shared" si="1"/>
        <v>0</v>
      </c>
    </row>
    <row r="131" spans="1:6" customFormat="1" ht="14.4" hidden="1" x14ac:dyDescent="0.3">
      <c r="A131" t="s">
        <v>110</v>
      </c>
      <c r="B131" t="s">
        <v>4</v>
      </c>
      <c r="C131">
        <v>0</v>
      </c>
      <c r="E131">
        <f t="shared" si="1"/>
        <v>0</v>
      </c>
    </row>
    <row r="132" spans="1:6" x14ac:dyDescent="0.35">
      <c r="A132" s="49" t="s">
        <v>12</v>
      </c>
      <c r="B132" s="49" t="s">
        <v>4</v>
      </c>
      <c r="C132" s="49">
        <v>45</v>
      </c>
      <c r="D132" s="49">
        <v>26000</v>
      </c>
      <c r="E132" s="49">
        <f t="shared" si="1"/>
        <v>1170000</v>
      </c>
    </row>
    <row r="133" spans="1:6" customFormat="1" ht="14.4" hidden="1" x14ac:dyDescent="0.3">
      <c r="A133" t="s">
        <v>112</v>
      </c>
      <c r="B133" t="s">
        <v>50</v>
      </c>
      <c r="C133">
        <v>0</v>
      </c>
      <c r="E133">
        <f t="shared" ref="E133:E197" si="2">C133*D133</f>
        <v>0</v>
      </c>
    </row>
    <row r="134" spans="1:6" customFormat="1" ht="14.4" hidden="1" x14ac:dyDescent="0.3">
      <c r="A134" t="s">
        <v>113</v>
      </c>
      <c r="B134" t="s">
        <v>31</v>
      </c>
      <c r="C134">
        <v>0</v>
      </c>
      <c r="E134">
        <f t="shared" si="2"/>
        <v>0</v>
      </c>
    </row>
    <row r="135" spans="1:6" customFormat="1" ht="14.4" hidden="1" x14ac:dyDescent="0.3">
      <c r="A135" t="s">
        <v>114</v>
      </c>
      <c r="B135" t="s">
        <v>31</v>
      </c>
      <c r="C135">
        <v>0</v>
      </c>
      <c r="E135">
        <f t="shared" si="2"/>
        <v>0</v>
      </c>
    </row>
    <row r="136" spans="1:6" customFormat="1" ht="14.4" hidden="1" x14ac:dyDescent="0.3">
      <c r="A136" t="s">
        <v>115</v>
      </c>
      <c r="B136" t="s">
        <v>50</v>
      </c>
      <c r="C136">
        <v>0</v>
      </c>
      <c r="E136">
        <f t="shared" si="2"/>
        <v>0</v>
      </c>
    </row>
    <row r="137" spans="1:6" customFormat="1" ht="14.4" hidden="1" x14ac:dyDescent="0.3">
      <c r="A137" t="s">
        <v>9</v>
      </c>
      <c r="B137" t="s">
        <v>4</v>
      </c>
      <c r="C137">
        <v>0</v>
      </c>
      <c r="E137">
        <f t="shared" si="2"/>
        <v>0</v>
      </c>
    </row>
    <row r="138" spans="1:6" customFormat="1" ht="14.4" hidden="1" x14ac:dyDescent="0.3">
      <c r="A138" t="s">
        <v>116</v>
      </c>
      <c r="B138" t="s">
        <v>4</v>
      </c>
      <c r="C138">
        <v>0</v>
      </c>
      <c r="E138">
        <f t="shared" si="2"/>
        <v>0</v>
      </c>
    </row>
    <row r="139" spans="1:6" customFormat="1" ht="14.4" hidden="1" x14ac:dyDescent="0.3">
      <c r="A139" t="s">
        <v>116</v>
      </c>
      <c r="B139" t="s">
        <v>50</v>
      </c>
      <c r="C139">
        <v>0</v>
      </c>
      <c r="E139">
        <f t="shared" si="2"/>
        <v>0</v>
      </c>
    </row>
    <row r="140" spans="1:6" x14ac:dyDescent="0.35">
      <c r="A140" s="49" t="s">
        <v>117</v>
      </c>
      <c r="B140" s="49" t="s">
        <v>4</v>
      </c>
      <c r="C140" s="49">
        <v>250</v>
      </c>
      <c r="D140" s="49">
        <v>22000</v>
      </c>
      <c r="E140" s="49">
        <f t="shared" si="2"/>
        <v>5500000</v>
      </c>
      <c r="F140" s="49">
        <v>400</v>
      </c>
    </row>
    <row r="141" spans="1:6" x14ac:dyDescent="0.35">
      <c r="A141" s="49" t="s">
        <v>17</v>
      </c>
      <c r="B141" s="49" t="s">
        <v>4</v>
      </c>
      <c r="C141" s="49">
        <v>21</v>
      </c>
      <c r="D141" s="49">
        <v>38000</v>
      </c>
      <c r="E141" s="49">
        <f t="shared" si="2"/>
        <v>798000</v>
      </c>
    </row>
    <row r="142" spans="1:6" customFormat="1" ht="14.4" hidden="1" x14ac:dyDescent="0.3">
      <c r="A142" t="s">
        <v>17</v>
      </c>
      <c r="B142" t="s">
        <v>147</v>
      </c>
      <c r="C142">
        <v>0</v>
      </c>
      <c r="E142">
        <f t="shared" si="2"/>
        <v>0</v>
      </c>
    </row>
    <row r="143" spans="1:6" x14ac:dyDescent="0.35">
      <c r="A143" s="49" t="s">
        <v>118</v>
      </c>
      <c r="B143" s="49" t="s">
        <v>4</v>
      </c>
      <c r="C143" s="49">
        <v>66</v>
      </c>
      <c r="D143" s="49">
        <v>19319</v>
      </c>
      <c r="E143" s="49">
        <f t="shared" si="2"/>
        <v>1275054</v>
      </c>
    </row>
    <row r="144" spans="1:6" customFormat="1" ht="14.4" hidden="1" x14ac:dyDescent="0.3">
      <c r="A144" t="s">
        <v>119</v>
      </c>
      <c r="B144" t="s">
        <v>31</v>
      </c>
      <c r="C144">
        <v>0</v>
      </c>
      <c r="E144">
        <f t="shared" si="2"/>
        <v>0</v>
      </c>
    </row>
    <row r="145" spans="1:5" x14ac:dyDescent="0.35">
      <c r="A145" s="49" t="s">
        <v>121</v>
      </c>
      <c r="B145" s="49" t="s">
        <v>53</v>
      </c>
      <c r="C145" s="49">
        <v>50</v>
      </c>
      <c r="D145" s="49">
        <v>100000</v>
      </c>
      <c r="E145" s="49">
        <f t="shared" si="2"/>
        <v>5000000</v>
      </c>
    </row>
    <row r="146" spans="1:5" x14ac:dyDescent="0.35">
      <c r="A146" s="49" t="s">
        <v>16</v>
      </c>
      <c r="B146" s="49" t="s">
        <v>4</v>
      </c>
      <c r="C146" s="49">
        <v>13</v>
      </c>
      <c r="D146" s="49">
        <v>17000</v>
      </c>
      <c r="E146" s="49">
        <f t="shared" si="2"/>
        <v>221000</v>
      </c>
    </row>
    <row r="147" spans="1:5" customFormat="1" ht="14.4" hidden="1" x14ac:dyDescent="0.3">
      <c r="A147" t="s">
        <v>122</v>
      </c>
      <c r="B147" t="s">
        <v>50</v>
      </c>
      <c r="C147">
        <v>0</v>
      </c>
      <c r="E147">
        <f t="shared" si="2"/>
        <v>0</v>
      </c>
    </row>
    <row r="148" spans="1:5" customFormat="1" ht="14.4" hidden="1" x14ac:dyDescent="0.3">
      <c r="A148" t="s">
        <v>123</v>
      </c>
      <c r="B148" t="s">
        <v>4</v>
      </c>
      <c r="C148">
        <v>0</v>
      </c>
      <c r="E148">
        <f t="shared" si="2"/>
        <v>0</v>
      </c>
    </row>
    <row r="149" spans="1:5" customFormat="1" ht="14.4" hidden="1" x14ac:dyDescent="0.3">
      <c r="A149" t="s">
        <v>123</v>
      </c>
      <c r="B149" t="s">
        <v>31</v>
      </c>
      <c r="C149">
        <v>0</v>
      </c>
      <c r="E149">
        <f t="shared" si="2"/>
        <v>0</v>
      </c>
    </row>
    <row r="150" spans="1:5" customFormat="1" ht="14.4" hidden="1" x14ac:dyDescent="0.3">
      <c r="A150" t="s">
        <v>124</v>
      </c>
      <c r="B150" t="s">
        <v>4</v>
      </c>
      <c r="C150">
        <v>0</v>
      </c>
      <c r="E150">
        <f t="shared" si="2"/>
        <v>0</v>
      </c>
    </row>
    <row r="151" spans="1:5" customFormat="1" ht="14.4" hidden="1" x14ac:dyDescent="0.3">
      <c r="A151" t="s">
        <v>125</v>
      </c>
      <c r="B151" t="s">
        <v>4</v>
      </c>
      <c r="C151">
        <v>0</v>
      </c>
      <c r="E151">
        <f t="shared" si="2"/>
        <v>0</v>
      </c>
    </row>
    <row r="152" spans="1:5" customFormat="1" ht="14.4" hidden="1" x14ac:dyDescent="0.3">
      <c r="A152" t="s">
        <v>46</v>
      </c>
      <c r="B152" t="s">
        <v>4</v>
      </c>
      <c r="C152">
        <v>0</v>
      </c>
      <c r="E152">
        <f t="shared" si="2"/>
        <v>0</v>
      </c>
    </row>
    <row r="153" spans="1:5" customFormat="1" ht="14.4" hidden="1" x14ac:dyDescent="0.3">
      <c r="A153" t="s">
        <v>46</v>
      </c>
      <c r="B153" t="s">
        <v>31</v>
      </c>
      <c r="C153">
        <v>0</v>
      </c>
      <c r="E153">
        <f t="shared" si="2"/>
        <v>0</v>
      </c>
    </row>
    <row r="154" spans="1:5" customFormat="1" ht="14.4" hidden="1" x14ac:dyDescent="0.3">
      <c r="A154" t="s">
        <v>126</v>
      </c>
      <c r="B154" t="s">
        <v>4</v>
      </c>
      <c r="C154">
        <v>0</v>
      </c>
      <c r="E154">
        <f t="shared" si="2"/>
        <v>0</v>
      </c>
    </row>
    <row r="155" spans="1:5" customFormat="1" ht="14.4" hidden="1" x14ac:dyDescent="0.3">
      <c r="A155" t="s">
        <v>126</v>
      </c>
      <c r="B155" t="s">
        <v>73</v>
      </c>
      <c r="C155">
        <v>0</v>
      </c>
      <c r="E155">
        <f t="shared" si="2"/>
        <v>0</v>
      </c>
    </row>
    <row r="156" spans="1:5" x14ac:dyDescent="0.35">
      <c r="A156" s="49" t="s">
        <v>13</v>
      </c>
      <c r="B156" s="49" t="s">
        <v>4</v>
      </c>
      <c r="C156" s="49">
        <v>3</v>
      </c>
      <c r="D156" s="49">
        <v>28000</v>
      </c>
      <c r="E156" s="49">
        <f t="shared" si="2"/>
        <v>84000</v>
      </c>
    </row>
    <row r="157" spans="1:5" x14ac:dyDescent="0.35">
      <c r="A157" s="49" t="s">
        <v>127</v>
      </c>
      <c r="B157" s="49" t="s">
        <v>4</v>
      </c>
      <c r="C157" s="49">
        <v>0.8</v>
      </c>
      <c r="D157" s="49">
        <v>80000</v>
      </c>
      <c r="E157" s="49">
        <f t="shared" si="2"/>
        <v>64000</v>
      </c>
    </row>
    <row r="158" spans="1:5" customFormat="1" ht="14.4" hidden="1" x14ac:dyDescent="0.3">
      <c r="A158" t="s">
        <v>128</v>
      </c>
      <c r="B158" t="s">
        <v>4</v>
      </c>
      <c r="C158">
        <v>0</v>
      </c>
      <c r="E158">
        <f t="shared" si="2"/>
        <v>0</v>
      </c>
    </row>
    <row r="159" spans="1:5" customFormat="1" ht="14.4" hidden="1" x14ac:dyDescent="0.3">
      <c r="A159" t="s">
        <v>129</v>
      </c>
      <c r="B159" t="s">
        <v>4</v>
      </c>
      <c r="C159">
        <v>0</v>
      </c>
      <c r="E159">
        <f t="shared" si="2"/>
        <v>0</v>
      </c>
    </row>
    <row r="160" spans="1:5" customFormat="1" ht="14.4" hidden="1" x14ac:dyDescent="0.3">
      <c r="A160" t="s">
        <v>130</v>
      </c>
      <c r="B160" t="s">
        <v>4</v>
      </c>
      <c r="C160">
        <v>0</v>
      </c>
      <c r="E160">
        <f t="shared" si="2"/>
        <v>0</v>
      </c>
    </row>
    <row r="161" spans="1:5" customFormat="1" ht="14.4" hidden="1" x14ac:dyDescent="0.3">
      <c r="A161" t="s">
        <v>131</v>
      </c>
      <c r="B161" t="s">
        <v>4</v>
      </c>
      <c r="C161">
        <v>0</v>
      </c>
      <c r="E161">
        <f t="shared" si="2"/>
        <v>0</v>
      </c>
    </row>
    <row r="162" spans="1:5" customFormat="1" ht="14.4" hidden="1" x14ac:dyDescent="0.3">
      <c r="A162" t="s">
        <v>20</v>
      </c>
      <c r="B162" t="s">
        <v>4</v>
      </c>
      <c r="C162">
        <v>0</v>
      </c>
      <c r="E162">
        <f t="shared" si="2"/>
        <v>0</v>
      </c>
    </row>
    <row r="163" spans="1:5" customFormat="1" ht="14.4" hidden="1" x14ac:dyDescent="0.3">
      <c r="A163" t="s">
        <v>152</v>
      </c>
      <c r="B163" t="s">
        <v>4</v>
      </c>
      <c r="C163">
        <v>0</v>
      </c>
      <c r="E163">
        <f t="shared" si="2"/>
        <v>0</v>
      </c>
    </row>
    <row r="164" spans="1:5" x14ac:dyDescent="0.35">
      <c r="A164" s="49" t="s">
        <v>41</v>
      </c>
      <c r="B164" s="49" t="s">
        <v>4</v>
      </c>
      <c r="C164" s="49">
        <v>1105</v>
      </c>
      <c r="D164" s="49">
        <v>28600</v>
      </c>
      <c r="E164" s="49">
        <f t="shared" si="2"/>
        <v>31603000</v>
      </c>
    </row>
    <row r="165" spans="1:5" customFormat="1" ht="14.4" hidden="1" x14ac:dyDescent="0.3">
      <c r="A165" t="s">
        <v>153</v>
      </c>
      <c r="B165" t="s">
        <v>4</v>
      </c>
      <c r="C165">
        <v>0</v>
      </c>
      <c r="E165">
        <f t="shared" si="2"/>
        <v>0</v>
      </c>
    </row>
    <row r="166" spans="1:5" customFormat="1" ht="14.4" hidden="1" x14ac:dyDescent="0.3">
      <c r="A166" t="s">
        <v>154</v>
      </c>
      <c r="B166" t="s">
        <v>4</v>
      </c>
      <c r="C166">
        <v>0</v>
      </c>
      <c r="E166">
        <f t="shared" si="2"/>
        <v>0</v>
      </c>
    </row>
    <row r="167" spans="1:5" customFormat="1" ht="14.4" hidden="1" x14ac:dyDescent="0.3">
      <c r="A167" t="s">
        <v>155</v>
      </c>
      <c r="B167" t="s">
        <v>4</v>
      </c>
      <c r="C167">
        <v>0</v>
      </c>
      <c r="E167">
        <f t="shared" si="2"/>
        <v>0</v>
      </c>
    </row>
    <row r="168" spans="1:5" customFormat="1" ht="14.4" hidden="1" x14ac:dyDescent="0.3">
      <c r="A168" t="s">
        <v>156</v>
      </c>
      <c r="B168" t="s">
        <v>4</v>
      </c>
      <c r="C168">
        <v>0</v>
      </c>
      <c r="E168">
        <f t="shared" si="2"/>
        <v>0</v>
      </c>
    </row>
    <row r="169" spans="1:5" customFormat="1" ht="14.4" hidden="1" x14ac:dyDescent="0.3">
      <c r="A169" t="s">
        <v>157</v>
      </c>
      <c r="B169" t="s">
        <v>4</v>
      </c>
      <c r="C169">
        <v>0</v>
      </c>
      <c r="E169">
        <f t="shared" si="2"/>
        <v>0</v>
      </c>
    </row>
    <row r="170" spans="1:5" customFormat="1" ht="14.4" hidden="1" x14ac:dyDescent="0.3">
      <c r="A170" t="s">
        <v>23</v>
      </c>
      <c r="B170" t="s">
        <v>4</v>
      </c>
      <c r="C170">
        <v>0</v>
      </c>
      <c r="E170">
        <f t="shared" si="2"/>
        <v>0</v>
      </c>
    </row>
    <row r="171" spans="1:5" customFormat="1" ht="14.4" hidden="1" x14ac:dyDescent="0.3">
      <c r="A171" t="s">
        <v>133</v>
      </c>
      <c r="B171" t="s">
        <v>31</v>
      </c>
      <c r="C171">
        <v>0</v>
      </c>
      <c r="E171">
        <f t="shared" si="2"/>
        <v>0</v>
      </c>
    </row>
    <row r="172" spans="1:5" x14ac:dyDescent="0.35">
      <c r="A172" s="49" t="s">
        <v>142</v>
      </c>
      <c r="B172" s="49" t="s">
        <v>31</v>
      </c>
      <c r="C172" s="49">
        <v>152</v>
      </c>
      <c r="D172" s="49">
        <v>6000</v>
      </c>
      <c r="E172" s="49">
        <f t="shared" si="2"/>
        <v>912000</v>
      </c>
    </row>
    <row r="173" spans="1:5" customFormat="1" ht="14.4" hidden="1" x14ac:dyDescent="0.3">
      <c r="A173" t="s">
        <v>158</v>
      </c>
      <c r="B173" t="s">
        <v>31</v>
      </c>
      <c r="C173">
        <v>0</v>
      </c>
      <c r="E173">
        <f t="shared" si="2"/>
        <v>0</v>
      </c>
    </row>
    <row r="174" spans="1:5" customFormat="1" ht="14.4" hidden="1" x14ac:dyDescent="0.3">
      <c r="A174" t="s">
        <v>159</v>
      </c>
      <c r="B174" t="s">
        <v>4</v>
      </c>
      <c r="C174">
        <v>0</v>
      </c>
      <c r="E174">
        <f t="shared" si="2"/>
        <v>0</v>
      </c>
    </row>
    <row r="175" spans="1:5" customFormat="1" ht="14.4" hidden="1" x14ac:dyDescent="0.3">
      <c r="A175" t="s">
        <v>160</v>
      </c>
      <c r="B175" t="s">
        <v>50</v>
      </c>
      <c r="C175">
        <v>0</v>
      </c>
      <c r="E175">
        <f t="shared" si="2"/>
        <v>0</v>
      </c>
    </row>
    <row r="176" spans="1:5" x14ac:dyDescent="0.35">
      <c r="A176" s="49" t="s">
        <v>134</v>
      </c>
      <c r="B176" s="49" t="s">
        <v>4</v>
      </c>
      <c r="C176" s="49">
        <v>20</v>
      </c>
      <c r="D176" s="49">
        <v>26000</v>
      </c>
      <c r="E176" s="49">
        <f t="shared" si="2"/>
        <v>520000</v>
      </c>
    </row>
    <row r="177" spans="1:5" x14ac:dyDescent="0.35">
      <c r="A177" s="49" t="s">
        <v>135</v>
      </c>
      <c r="B177" s="49" t="s">
        <v>4</v>
      </c>
      <c r="C177" s="49">
        <v>515</v>
      </c>
      <c r="D177" s="49">
        <v>20000</v>
      </c>
      <c r="E177" s="49">
        <f t="shared" si="2"/>
        <v>10300000</v>
      </c>
    </row>
    <row r="178" spans="1:5" x14ac:dyDescent="0.35">
      <c r="A178" s="49" t="s">
        <v>161</v>
      </c>
      <c r="B178" s="49" t="s">
        <v>4</v>
      </c>
      <c r="C178" s="49">
        <v>20</v>
      </c>
      <c r="D178" s="49">
        <v>30000</v>
      </c>
      <c r="E178" s="49">
        <f t="shared" si="2"/>
        <v>600000</v>
      </c>
    </row>
    <row r="179" spans="1:5" x14ac:dyDescent="0.35">
      <c r="E179" s="49">
        <f>SUM(E14:E178)</f>
        <v>192737494</v>
      </c>
    </row>
    <row r="180" spans="1:5" customFormat="1" ht="14.4" hidden="1" x14ac:dyDescent="0.3">
      <c r="A180" t="e">
        <v>#N/A</v>
      </c>
      <c r="B180">
        <v>0</v>
      </c>
      <c r="C180">
        <v>0</v>
      </c>
      <c r="E180">
        <f t="shared" si="2"/>
        <v>0</v>
      </c>
    </row>
    <row r="181" spans="1:5" x14ac:dyDescent="0.35">
      <c r="E181" s="49">
        <f t="shared" si="2"/>
        <v>0</v>
      </c>
    </row>
    <row r="183" spans="1:5" ht="34.799999999999997" x14ac:dyDescent="0.35">
      <c r="A183" s="50" t="s">
        <v>0</v>
      </c>
      <c r="B183" s="50" t="s">
        <v>1</v>
      </c>
      <c r="C183" s="51" t="s">
        <v>2</v>
      </c>
      <c r="D183" s="52" t="s">
        <v>137</v>
      </c>
      <c r="E183" s="49" t="s">
        <v>138</v>
      </c>
    </row>
    <row r="184" spans="1:5" customFormat="1" ht="15.6" hidden="1" x14ac:dyDescent="0.3">
      <c r="A184" s="19" t="s">
        <v>27</v>
      </c>
      <c r="B184" s="19" t="s">
        <v>4</v>
      </c>
      <c r="C184" s="20">
        <v>0</v>
      </c>
      <c r="D184" s="21"/>
      <c r="E184">
        <f t="shared" si="2"/>
        <v>0</v>
      </c>
    </row>
    <row r="185" spans="1:5" x14ac:dyDescent="0.35">
      <c r="A185" s="53" t="s">
        <v>28</v>
      </c>
      <c r="B185" s="53" t="s">
        <v>4</v>
      </c>
      <c r="C185" s="54">
        <v>40</v>
      </c>
      <c r="D185" s="55">
        <v>15000</v>
      </c>
      <c r="E185" s="49">
        <f t="shared" si="2"/>
        <v>600000</v>
      </c>
    </row>
    <row r="186" spans="1:5" x14ac:dyDescent="0.35">
      <c r="A186" s="53" t="s">
        <v>29</v>
      </c>
      <c r="B186" s="53" t="s">
        <v>4</v>
      </c>
      <c r="C186" s="54">
        <v>80</v>
      </c>
      <c r="D186" s="55">
        <v>15000</v>
      </c>
      <c r="E186" s="49">
        <f t="shared" si="2"/>
        <v>1200000</v>
      </c>
    </row>
    <row r="187" spans="1:5" x14ac:dyDescent="0.35">
      <c r="A187" s="53" t="s">
        <v>32</v>
      </c>
      <c r="B187" s="53" t="s">
        <v>4</v>
      </c>
      <c r="C187" s="54">
        <v>200</v>
      </c>
      <c r="D187" s="55">
        <v>19500</v>
      </c>
      <c r="E187" s="49">
        <f t="shared" si="2"/>
        <v>3900000</v>
      </c>
    </row>
    <row r="188" spans="1:5" x14ac:dyDescent="0.35">
      <c r="A188" s="53" t="s">
        <v>33</v>
      </c>
      <c r="B188" s="53" t="s">
        <v>31</v>
      </c>
      <c r="C188" s="54">
        <v>10</v>
      </c>
      <c r="D188" s="55">
        <v>6000</v>
      </c>
      <c r="E188" s="49">
        <f t="shared" si="2"/>
        <v>60000</v>
      </c>
    </row>
    <row r="189" spans="1:5" x14ac:dyDescent="0.35">
      <c r="A189" s="53" t="s">
        <v>34</v>
      </c>
      <c r="B189" s="53" t="s">
        <v>4</v>
      </c>
      <c r="C189" s="54">
        <v>100</v>
      </c>
      <c r="D189" s="55">
        <v>15000</v>
      </c>
      <c r="E189" s="49">
        <f t="shared" si="2"/>
        <v>1500000</v>
      </c>
    </row>
    <row r="190" spans="1:5" customFormat="1" ht="15.6" hidden="1" x14ac:dyDescent="0.3">
      <c r="A190" s="19" t="s">
        <v>35</v>
      </c>
      <c r="B190" s="19" t="s">
        <v>4</v>
      </c>
      <c r="C190" s="20">
        <v>0</v>
      </c>
      <c r="D190" s="21"/>
      <c r="E190">
        <f t="shared" si="2"/>
        <v>0</v>
      </c>
    </row>
    <row r="191" spans="1:5" customFormat="1" ht="15.6" hidden="1" x14ac:dyDescent="0.3">
      <c r="A191" s="19" t="s">
        <v>13</v>
      </c>
      <c r="B191" s="19" t="s">
        <v>4</v>
      </c>
      <c r="C191" s="20">
        <v>0</v>
      </c>
      <c r="D191" s="21"/>
      <c r="E191">
        <f t="shared" si="2"/>
        <v>0</v>
      </c>
    </row>
    <row r="192" spans="1:5" customFormat="1" ht="15.6" hidden="1" x14ac:dyDescent="0.3">
      <c r="A192" s="19" t="s">
        <v>14</v>
      </c>
      <c r="B192" s="19" t="s">
        <v>4</v>
      </c>
      <c r="C192" s="20">
        <v>0</v>
      </c>
      <c r="D192" s="21"/>
      <c r="E192">
        <f t="shared" si="2"/>
        <v>0</v>
      </c>
    </row>
    <row r="193" spans="1:5" customFormat="1" ht="15.6" hidden="1" x14ac:dyDescent="0.3">
      <c r="A193" s="19" t="s">
        <v>3</v>
      </c>
      <c r="B193" s="19" t="s">
        <v>4</v>
      </c>
      <c r="C193" s="20">
        <v>0</v>
      </c>
      <c r="D193" s="21"/>
      <c r="E193">
        <f t="shared" si="2"/>
        <v>0</v>
      </c>
    </row>
    <row r="194" spans="1:5" customFormat="1" ht="15.6" hidden="1" x14ac:dyDescent="0.3">
      <c r="A194" s="19" t="s">
        <v>5</v>
      </c>
      <c r="B194" s="19" t="s">
        <v>4</v>
      </c>
      <c r="C194" s="20">
        <v>0</v>
      </c>
      <c r="D194" s="21"/>
      <c r="E194">
        <f t="shared" si="2"/>
        <v>0</v>
      </c>
    </row>
    <row r="195" spans="1:5" x14ac:dyDescent="0.35">
      <c r="A195" s="53" t="s">
        <v>6</v>
      </c>
      <c r="B195" s="53" t="s">
        <v>4</v>
      </c>
      <c r="C195" s="54">
        <v>2160</v>
      </c>
      <c r="D195" s="55">
        <v>13748.5</v>
      </c>
      <c r="E195" s="49">
        <f t="shared" si="2"/>
        <v>29696760</v>
      </c>
    </row>
    <row r="196" spans="1:5" customFormat="1" ht="15.6" hidden="1" x14ac:dyDescent="0.3">
      <c r="A196" s="19" t="s">
        <v>22</v>
      </c>
      <c r="B196" s="19" t="s">
        <v>4</v>
      </c>
      <c r="C196" s="20">
        <v>0</v>
      </c>
      <c r="D196" s="21"/>
      <c r="E196">
        <f t="shared" si="2"/>
        <v>0</v>
      </c>
    </row>
    <row r="197" spans="1:5" x14ac:dyDescent="0.35">
      <c r="A197" s="53" t="s">
        <v>24</v>
      </c>
      <c r="B197" s="53" t="s">
        <v>4</v>
      </c>
      <c r="C197" s="54">
        <v>6</v>
      </c>
      <c r="D197" s="55">
        <v>11000</v>
      </c>
      <c r="E197" s="49">
        <f t="shared" si="2"/>
        <v>66000</v>
      </c>
    </row>
    <row r="198" spans="1:5" customFormat="1" ht="15.6" hidden="1" x14ac:dyDescent="0.3">
      <c r="A198" s="19" t="s">
        <v>40</v>
      </c>
      <c r="B198" s="19" t="s">
        <v>4</v>
      </c>
      <c r="C198" s="20">
        <v>0</v>
      </c>
      <c r="D198" s="21"/>
      <c r="E198">
        <f t="shared" ref="E198:E218" si="3">C198*D198</f>
        <v>0</v>
      </c>
    </row>
    <row r="199" spans="1:5" x14ac:dyDescent="0.35">
      <c r="A199" s="53" t="s">
        <v>7</v>
      </c>
      <c r="B199" s="53" t="s">
        <v>4</v>
      </c>
      <c r="C199" s="54">
        <v>38</v>
      </c>
      <c r="D199" s="55">
        <v>6000</v>
      </c>
      <c r="E199" s="49">
        <f t="shared" si="3"/>
        <v>228000</v>
      </c>
    </row>
    <row r="200" spans="1:5" x14ac:dyDescent="0.35">
      <c r="A200" s="53" t="s">
        <v>8</v>
      </c>
      <c r="B200" s="53" t="s">
        <v>4</v>
      </c>
      <c r="C200" s="54">
        <v>1000</v>
      </c>
      <c r="D200" s="55">
        <v>5000</v>
      </c>
      <c r="E200" s="49">
        <f t="shared" si="3"/>
        <v>5000000</v>
      </c>
    </row>
    <row r="201" spans="1:5" x14ac:dyDescent="0.35">
      <c r="A201" s="53" t="s">
        <v>10</v>
      </c>
      <c r="B201" s="53" t="s">
        <v>4</v>
      </c>
      <c r="C201" s="54">
        <v>50</v>
      </c>
      <c r="D201" s="55">
        <v>22000</v>
      </c>
      <c r="E201" s="49">
        <f t="shared" si="3"/>
        <v>1100000</v>
      </c>
    </row>
    <row r="202" spans="1:5" x14ac:dyDescent="0.35">
      <c r="A202" s="53" t="s">
        <v>15</v>
      </c>
      <c r="B202" s="53" t="s">
        <v>4</v>
      </c>
      <c r="C202" s="54">
        <v>200</v>
      </c>
      <c r="D202" s="55">
        <v>25000</v>
      </c>
      <c r="E202" s="49">
        <f t="shared" si="3"/>
        <v>5000000</v>
      </c>
    </row>
    <row r="203" spans="1:5" x14ac:dyDescent="0.35">
      <c r="A203" s="53" t="s">
        <v>18</v>
      </c>
      <c r="B203" s="53" t="s">
        <v>4</v>
      </c>
      <c r="C203" s="54">
        <v>300</v>
      </c>
      <c r="D203" s="55">
        <v>23000</v>
      </c>
      <c r="E203" s="49">
        <f t="shared" si="3"/>
        <v>6900000</v>
      </c>
    </row>
    <row r="204" spans="1:5" x14ac:dyDescent="0.35">
      <c r="A204" s="53" t="s">
        <v>21</v>
      </c>
      <c r="B204" s="53" t="s">
        <v>4</v>
      </c>
      <c r="C204" s="54">
        <v>10</v>
      </c>
      <c r="D204" s="55">
        <v>12000</v>
      </c>
      <c r="E204" s="49">
        <f t="shared" si="3"/>
        <v>120000</v>
      </c>
    </row>
    <row r="205" spans="1:5" x14ac:dyDescent="0.35">
      <c r="A205" s="53" t="s">
        <v>38</v>
      </c>
      <c r="B205" s="53" t="s">
        <v>31</v>
      </c>
      <c r="C205" s="54">
        <v>3</v>
      </c>
      <c r="D205" s="55">
        <v>13000</v>
      </c>
      <c r="E205" s="49">
        <f t="shared" si="3"/>
        <v>39000</v>
      </c>
    </row>
    <row r="206" spans="1:5" x14ac:dyDescent="0.35">
      <c r="A206" s="53" t="s">
        <v>36</v>
      </c>
      <c r="B206" s="53" t="s">
        <v>31</v>
      </c>
      <c r="C206" s="54">
        <v>6</v>
      </c>
      <c r="D206" s="55">
        <v>9000</v>
      </c>
      <c r="E206" s="49">
        <f t="shared" si="3"/>
        <v>54000</v>
      </c>
    </row>
    <row r="207" spans="1:5" x14ac:dyDescent="0.35">
      <c r="A207" s="53" t="s">
        <v>43</v>
      </c>
      <c r="B207" s="53" t="s">
        <v>4</v>
      </c>
      <c r="C207" s="54">
        <v>40</v>
      </c>
      <c r="D207" s="55">
        <v>46000</v>
      </c>
      <c r="E207" s="49">
        <f t="shared" si="3"/>
        <v>1840000</v>
      </c>
    </row>
    <row r="208" spans="1:5" x14ac:dyDescent="0.35">
      <c r="A208" s="53" t="s">
        <v>44</v>
      </c>
      <c r="B208" s="53" t="s">
        <v>4</v>
      </c>
      <c r="C208" s="54">
        <v>20</v>
      </c>
      <c r="D208" s="55">
        <v>36000</v>
      </c>
      <c r="E208" s="49">
        <f t="shared" si="3"/>
        <v>720000</v>
      </c>
    </row>
    <row r="209" spans="1:7" x14ac:dyDescent="0.35">
      <c r="A209" s="53" t="s">
        <v>45</v>
      </c>
      <c r="B209" s="53" t="s">
        <v>4</v>
      </c>
      <c r="C209" s="54">
        <v>28</v>
      </c>
      <c r="D209" s="55">
        <v>35000</v>
      </c>
      <c r="E209" s="49">
        <f t="shared" si="3"/>
        <v>980000</v>
      </c>
    </row>
    <row r="210" spans="1:7" customFormat="1" ht="15.6" hidden="1" x14ac:dyDescent="0.3">
      <c r="A210" s="19" t="s">
        <v>47</v>
      </c>
      <c r="B210" s="19" t="s">
        <v>4</v>
      </c>
      <c r="C210" s="20">
        <v>0</v>
      </c>
      <c r="D210" s="21"/>
      <c r="E210">
        <f t="shared" si="3"/>
        <v>0</v>
      </c>
    </row>
    <row r="211" spans="1:7" x14ac:dyDescent="0.35">
      <c r="A211" s="53" t="s">
        <v>26</v>
      </c>
      <c r="B211" s="53" t="s">
        <v>4</v>
      </c>
      <c r="C211" s="54">
        <v>85</v>
      </c>
      <c r="D211" s="55">
        <v>12000</v>
      </c>
      <c r="E211" s="49">
        <f t="shared" si="3"/>
        <v>1020000</v>
      </c>
    </row>
    <row r="212" spans="1:7" customFormat="1" ht="15.6" hidden="1" x14ac:dyDescent="0.3">
      <c r="A212" s="19" t="s">
        <v>25</v>
      </c>
      <c r="B212" s="19" t="s">
        <v>4</v>
      </c>
      <c r="C212" s="20">
        <v>0</v>
      </c>
      <c r="D212" s="21"/>
      <c r="E212">
        <f t="shared" si="3"/>
        <v>0</v>
      </c>
    </row>
    <row r="213" spans="1:7" customFormat="1" ht="15.6" hidden="1" x14ac:dyDescent="0.3">
      <c r="A213" s="19" t="s">
        <v>23</v>
      </c>
      <c r="B213" s="19" t="s">
        <v>4</v>
      </c>
      <c r="C213" s="20">
        <v>0</v>
      </c>
      <c r="D213" s="21"/>
      <c r="E213">
        <f t="shared" si="3"/>
        <v>0</v>
      </c>
    </row>
    <row r="214" spans="1:7" customFormat="1" ht="15.6" hidden="1" x14ac:dyDescent="0.3">
      <c r="A214" s="19" t="s">
        <v>9</v>
      </c>
      <c r="B214" s="19" t="s">
        <v>4</v>
      </c>
      <c r="C214" s="20">
        <v>0</v>
      </c>
      <c r="D214" s="21"/>
      <c r="E214">
        <f t="shared" si="3"/>
        <v>0</v>
      </c>
    </row>
    <row r="215" spans="1:7" x14ac:dyDescent="0.35">
      <c r="A215" s="53" t="s">
        <v>41</v>
      </c>
      <c r="B215" s="53" t="s">
        <v>4</v>
      </c>
      <c r="C215" s="54">
        <v>60</v>
      </c>
      <c r="D215" s="55">
        <v>28600</v>
      </c>
      <c r="E215" s="49">
        <f t="shared" si="3"/>
        <v>1716000</v>
      </c>
    </row>
    <row r="216" spans="1:7" x14ac:dyDescent="0.35">
      <c r="A216" s="53" t="s">
        <v>20</v>
      </c>
      <c r="B216" s="53" t="s">
        <v>4</v>
      </c>
      <c r="C216" s="54">
        <v>25</v>
      </c>
      <c r="D216" s="55">
        <v>15000</v>
      </c>
      <c r="E216" s="49">
        <f t="shared" si="3"/>
        <v>375000</v>
      </c>
    </row>
    <row r="217" spans="1:7" x14ac:dyDescent="0.35">
      <c r="A217" s="53" t="s">
        <v>12</v>
      </c>
      <c r="B217" s="53" t="s">
        <v>4</v>
      </c>
      <c r="C217" s="54">
        <v>42</v>
      </c>
      <c r="D217" s="55">
        <v>26000</v>
      </c>
      <c r="E217" s="49">
        <f t="shared" si="3"/>
        <v>1092000</v>
      </c>
    </row>
    <row r="218" spans="1:7" x14ac:dyDescent="0.35">
      <c r="A218" s="53" t="s">
        <v>145</v>
      </c>
      <c r="B218" s="53" t="s">
        <v>4</v>
      </c>
      <c r="C218" s="54">
        <v>450</v>
      </c>
      <c r="D218" s="55">
        <v>7500</v>
      </c>
      <c r="E218" s="49">
        <f t="shared" si="3"/>
        <v>3375000</v>
      </c>
    </row>
    <row r="219" spans="1:7" x14ac:dyDescent="0.35">
      <c r="E219" s="49">
        <f>SUM(E185:E218)</f>
        <v>66581760</v>
      </c>
    </row>
    <row r="220" spans="1:7" x14ac:dyDescent="0.35">
      <c r="E220" s="56">
        <f>E179+E219</f>
        <v>259319254</v>
      </c>
    </row>
    <row r="223" spans="1:7" x14ac:dyDescent="0.35">
      <c r="G223" s="49">
        <f>1100-964</f>
        <v>136</v>
      </c>
    </row>
  </sheetData>
  <autoFilter ref="A3:K220" xr:uid="{00000000-0009-0000-0000-000002000000}">
    <filterColumn colId="2">
      <filters blank="1">
        <filter val="0.8"/>
        <filter val="1,000"/>
        <filter val="1.5"/>
        <filter val="10"/>
        <filter val="100"/>
        <filter val="11"/>
        <filter val="110"/>
        <filter val="1105"/>
        <filter val="13"/>
        <filter val="130"/>
        <filter val="140"/>
        <filter val="152"/>
        <filter val="168"/>
        <filter val="18"/>
        <filter val="180"/>
        <filter val="1840"/>
        <filter val="190"/>
        <filter val="2"/>
        <filter val="2,160"/>
        <filter val="20"/>
        <filter val="200"/>
        <filter val="21"/>
        <filter val="2178"/>
        <filter val="220"/>
        <filter val="24"/>
        <filter val="25"/>
        <filter val="250"/>
        <filter val="28"/>
        <filter val="283"/>
        <filter val="3"/>
        <filter val="300"/>
        <filter val="36"/>
        <filter val="38"/>
        <filter val="40"/>
        <filter val="400"/>
        <filter val="42"/>
        <filter val="45"/>
        <filter val="450"/>
        <filter val="50"/>
        <filter val="515"/>
        <filter val="6"/>
        <filter val="60"/>
        <filter val="66"/>
        <filter val="705"/>
        <filter val="78"/>
        <filter val="80"/>
        <filter val="85"/>
        <filter val="Tồn_x000a_Đ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2:H229"/>
  <sheetViews>
    <sheetView topLeftCell="A191" workbookViewId="0">
      <selection activeCell="E229" sqref="E229"/>
    </sheetView>
  </sheetViews>
  <sheetFormatPr defaultRowHeight="18" x14ac:dyDescent="0.35"/>
  <cols>
    <col min="1" max="1" width="33.6640625" style="49" customWidth="1"/>
    <col min="2" max="4" width="8.88671875" style="49"/>
    <col min="5" max="5" width="18.109375" style="49" customWidth="1"/>
    <col min="6" max="7" width="0" style="48" hidden="1" customWidth="1"/>
    <col min="8" max="16384" width="8.88671875" style="49"/>
  </cols>
  <sheetData>
    <row r="2" spans="1:7" x14ac:dyDescent="0.35">
      <c r="A2" s="49" t="s">
        <v>170</v>
      </c>
    </row>
    <row r="3" spans="1:7" x14ac:dyDescent="0.35">
      <c r="A3" s="49" t="s">
        <v>0</v>
      </c>
      <c r="B3" s="49" t="s">
        <v>1</v>
      </c>
      <c r="C3" s="49" t="s">
        <v>2</v>
      </c>
      <c r="D3" s="49" t="s">
        <v>137</v>
      </c>
      <c r="E3" s="49" t="s">
        <v>138</v>
      </c>
    </row>
    <row r="4" spans="1:7" customFormat="1" ht="14.4" hidden="1" x14ac:dyDescent="0.3">
      <c r="A4" t="s">
        <v>49</v>
      </c>
      <c r="B4" t="s">
        <v>4</v>
      </c>
      <c r="E4">
        <f>C4*D4</f>
        <v>0</v>
      </c>
    </row>
    <row r="5" spans="1:7" customFormat="1" ht="14.4" hidden="1" x14ac:dyDescent="0.3">
      <c r="A5" t="s">
        <v>49</v>
      </c>
      <c r="B5" t="s">
        <v>31</v>
      </c>
      <c r="E5">
        <f t="shared" ref="E5:E68" si="0">C5*D5</f>
        <v>0</v>
      </c>
    </row>
    <row r="6" spans="1:7" customFormat="1" ht="14.4" hidden="1" x14ac:dyDescent="0.3">
      <c r="A6" t="s">
        <v>19</v>
      </c>
      <c r="B6" t="s">
        <v>4</v>
      </c>
      <c r="E6">
        <f t="shared" si="0"/>
        <v>0</v>
      </c>
    </row>
    <row r="7" spans="1:7" customFormat="1" ht="14.4" hidden="1" x14ac:dyDescent="0.3">
      <c r="A7" t="s">
        <v>19</v>
      </c>
      <c r="B7" t="s">
        <v>50</v>
      </c>
      <c r="E7">
        <f t="shared" si="0"/>
        <v>0</v>
      </c>
    </row>
    <row r="8" spans="1:7" customFormat="1" ht="14.4" hidden="1" x14ac:dyDescent="0.3">
      <c r="A8" t="s">
        <v>51</v>
      </c>
      <c r="B8" t="s">
        <v>53</v>
      </c>
      <c r="E8">
        <f t="shared" si="0"/>
        <v>0</v>
      </c>
    </row>
    <row r="9" spans="1:7" customFormat="1" ht="14.4" hidden="1" x14ac:dyDescent="0.3">
      <c r="A9" t="s">
        <v>51</v>
      </c>
      <c r="B9" t="s">
        <v>4</v>
      </c>
      <c r="E9">
        <f t="shared" si="0"/>
        <v>0</v>
      </c>
    </row>
    <row r="10" spans="1:7" customFormat="1" ht="14.4" hidden="1" x14ac:dyDescent="0.3">
      <c r="A10" t="s">
        <v>27</v>
      </c>
      <c r="B10" t="s">
        <v>4</v>
      </c>
      <c r="E10">
        <f t="shared" si="0"/>
        <v>0</v>
      </c>
    </row>
    <row r="11" spans="1:7" x14ac:dyDescent="0.35">
      <c r="A11" s="49" t="s">
        <v>28</v>
      </c>
      <c r="B11" s="49" t="s">
        <v>4</v>
      </c>
      <c r="C11" s="49">
        <v>10</v>
      </c>
      <c r="D11" s="49">
        <v>15000</v>
      </c>
      <c r="E11" s="49">
        <f t="shared" si="0"/>
        <v>150000</v>
      </c>
      <c r="F11"/>
      <c r="G11"/>
    </row>
    <row r="12" spans="1:7" customFormat="1" ht="14.4" hidden="1" x14ac:dyDescent="0.3">
      <c r="A12" t="s">
        <v>28</v>
      </c>
      <c r="B12" t="s">
        <v>31</v>
      </c>
      <c r="E12">
        <f t="shared" si="0"/>
        <v>0</v>
      </c>
    </row>
    <row r="13" spans="1:7" x14ac:dyDescent="0.35">
      <c r="A13" s="49" t="s">
        <v>29</v>
      </c>
      <c r="B13" s="49" t="s">
        <v>4</v>
      </c>
      <c r="C13" s="49">
        <v>2100</v>
      </c>
      <c r="D13" s="49">
        <v>28000</v>
      </c>
      <c r="E13" s="49">
        <f t="shared" si="0"/>
        <v>58800000</v>
      </c>
      <c r="F13"/>
      <c r="G13"/>
    </row>
    <row r="14" spans="1:7" customFormat="1" ht="14.4" hidden="1" x14ac:dyDescent="0.3">
      <c r="A14" t="s">
        <v>29</v>
      </c>
      <c r="B14" t="s">
        <v>150</v>
      </c>
      <c r="E14">
        <f t="shared" si="0"/>
        <v>0</v>
      </c>
    </row>
    <row r="15" spans="1:7" customFormat="1" ht="14.4" hidden="1" x14ac:dyDescent="0.3">
      <c r="A15" t="s">
        <v>55</v>
      </c>
      <c r="B15" t="s">
        <v>4</v>
      </c>
      <c r="E15">
        <f t="shared" si="0"/>
        <v>0</v>
      </c>
    </row>
    <row r="16" spans="1:7" customFormat="1" ht="14.4" hidden="1" x14ac:dyDescent="0.3">
      <c r="A16" t="s">
        <v>55</v>
      </c>
      <c r="B16" t="s">
        <v>31</v>
      </c>
      <c r="E16">
        <f t="shared" si="0"/>
        <v>0</v>
      </c>
    </row>
    <row r="17" spans="1:8" customFormat="1" ht="14.4" hidden="1" x14ac:dyDescent="0.3">
      <c r="A17" t="s">
        <v>56</v>
      </c>
      <c r="B17" t="s">
        <v>4</v>
      </c>
      <c r="E17">
        <f t="shared" si="0"/>
        <v>0</v>
      </c>
    </row>
    <row r="18" spans="1:8" x14ac:dyDescent="0.35">
      <c r="A18" s="49" t="s">
        <v>56</v>
      </c>
      <c r="B18" s="49" t="s">
        <v>31</v>
      </c>
      <c r="C18" s="49">
        <v>156</v>
      </c>
      <c r="D18" s="49">
        <v>5400</v>
      </c>
      <c r="E18" s="49">
        <f t="shared" si="0"/>
        <v>842400</v>
      </c>
      <c r="F18"/>
      <c r="G18"/>
    </row>
    <row r="19" spans="1:8" x14ac:dyDescent="0.35">
      <c r="A19" s="49" t="s">
        <v>57</v>
      </c>
      <c r="B19" s="49" t="s">
        <v>4</v>
      </c>
      <c r="C19" s="49">
        <v>1175</v>
      </c>
      <c r="D19" s="49">
        <v>21000</v>
      </c>
      <c r="E19" s="49">
        <f t="shared" si="0"/>
        <v>24675000</v>
      </c>
      <c r="F19" s="48" t="s">
        <v>172</v>
      </c>
      <c r="H19" s="49">
        <v>1170</v>
      </c>
    </row>
    <row r="20" spans="1:8" customFormat="1" ht="14.4" hidden="1" x14ac:dyDescent="0.3">
      <c r="A20" t="s">
        <v>57</v>
      </c>
      <c r="B20" t="s">
        <v>31</v>
      </c>
      <c r="E20">
        <f t="shared" si="0"/>
        <v>0</v>
      </c>
    </row>
    <row r="21" spans="1:8" x14ac:dyDescent="0.35">
      <c r="A21" s="49" t="s">
        <v>32</v>
      </c>
      <c r="B21" s="49" t="s">
        <v>4</v>
      </c>
      <c r="C21" s="49">
        <v>140</v>
      </c>
      <c r="D21" s="49">
        <v>19500</v>
      </c>
      <c r="E21" s="49">
        <f t="shared" si="0"/>
        <v>2730000</v>
      </c>
      <c r="F21"/>
      <c r="G21"/>
    </row>
    <row r="22" spans="1:8" customFormat="1" ht="14.4" hidden="1" x14ac:dyDescent="0.3">
      <c r="A22" t="s">
        <v>32</v>
      </c>
      <c r="B22" t="s">
        <v>31</v>
      </c>
      <c r="E22">
        <f t="shared" si="0"/>
        <v>0</v>
      </c>
    </row>
    <row r="23" spans="1:8" customFormat="1" ht="14.4" hidden="1" x14ac:dyDescent="0.3">
      <c r="A23" t="s">
        <v>58</v>
      </c>
      <c r="B23" t="s">
        <v>4</v>
      </c>
      <c r="E23">
        <f t="shared" si="0"/>
        <v>0</v>
      </c>
    </row>
    <row r="24" spans="1:8" x14ac:dyDescent="0.35">
      <c r="A24" s="49" t="s">
        <v>34</v>
      </c>
      <c r="B24" s="49" t="s">
        <v>4</v>
      </c>
      <c r="C24" s="49">
        <v>130</v>
      </c>
      <c r="D24" s="49">
        <v>15000</v>
      </c>
      <c r="E24" s="49">
        <f t="shared" si="0"/>
        <v>1950000</v>
      </c>
      <c r="F24"/>
      <c r="G24"/>
    </row>
    <row r="25" spans="1:8" customFormat="1" ht="14.4" hidden="1" x14ac:dyDescent="0.3">
      <c r="A25" t="s">
        <v>34</v>
      </c>
      <c r="B25" t="s">
        <v>31</v>
      </c>
      <c r="E25">
        <f t="shared" si="0"/>
        <v>0</v>
      </c>
    </row>
    <row r="26" spans="1:8" customFormat="1" ht="14.4" hidden="1" x14ac:dyDescent="0.3">
      <c r="A26" t="s">
        <v>35</v>
      </c>
      <c r="B26" t="s">
        <v>4</v>
      </c>
      <c r="E26">
        <f t="shared" si="0"/>
        <v>0</v>
      </c>
    </row>
    <row r="27" spans="1:8" x14ac:dyDescent="0.35">
      <c r="A27" s="49" t="s">
        <v>59</v>
      </c>
      <c r="B27" s="49" t="s">
        <v>4</v>
      </c>
      <c r="C27" s="49">
        <v>8</v>
      </c>
      <c r="D27" s="49">
        <v>40000</v>
      </c>
      <c r="E27" s="49">
        <f t="shared" si="0"/>
        <v>320000</v>
      </c>
      <c r="F27"/>
      <c r="G27"/>
    </row>
    <row r="28" spans="1:8" customFormat="1" ht="14.4" hidden="1" x14ac:dyDescent="0.3">
      <c r="A28" t="s">
        <v>60</v>
      </c>
      <c r="B28" t="s">
        <v>4</v>
      </c>
      <c r="E28">
        <f t="shared" si="0"/>
        <v>0</v>
      </c>
    </row>
    <row r="29" spans="1:8" customFormat="1" ht="14.4" hidden="1" x14ac:dyDescent="0.3">
      <c r="A29" t="s">
        <v>60</v>
      </c>
      <c r="B29" t="s">
        <v>50</v>
      </c>
      <c r="E29">
        <f t="shared" si="0"/>
        <v>0</v>
      </c>
    </row>
    <row r="30" spans="1:8" customFormat="1" ht="14.4" hidden="1" x14ac:dyDescent="0.3">
      <c r="A30" t="s">
        <v>3</v>
      </c>
      <c r="B30" t="s">
        <v>4</v>
      </c>
      <c r="E30">
        <f t="shared" si="0"/>
        <v>0</v>
      </c>
    </row>
    <row r="31" spans="1:8" x14ac:dyDescent="0.35">
      <c r="A31" s="49" t="s">
        <v>5</v>
      </c>
      <c r="B31" s="49" t="s">
        <v>4</v>
      </c>
      <c r="C31" s="49">
        <v>280</v>
      </c>
      <c r="D31" s="49">
        <v>15000</v>
      </c>
      <c r="E31" s="49">
        <f t="shared" si="0"/>
        <v>4200000</v>
      </c>
      <c r="F31"/>
      <c r="G31"/>
    </row>
    <row r="32" spans="1:8" x14ac:dyDescent="0.35">
      <c r="A32" s="49" t="s">
        <v>6</v>
      </c>
      <c r="B32" s="49" t="s">
        <v>4</v>
      </c>
      <c r="C32" s="49">
        <v>2820</v>
      </c>
      <c r="D32" s="49">
        <v>11000</v>
      </c>
      <c r="E32" s="49">
        <f t="shared" si="0"/>
        <v>31020000</v>
      </c>
      <c r="F32"/>
      <c r="G32"/>
    </row>
    <row r="33" spans="1:7" customFormat="1" ht="14.4" hidden="1" x14ac:dyDescent="0.3">
      <c r="A33" t="s">
        <v>6</v>
      </c>
      <c r="B33" t="s">
        <v>163</v>
      </c>
      <c r="E33">
        <f t="shared" si="0"/>
        <v>0</v>
      </c>
    </row>
    <row r="34" spans="1:7" customFormat="1" ht="14.4" hidden="1" x14ac:dyDescent="0.3">
      <c r="A34" t="s">
        <v>62</v>
      </c>
      <c r="B34" t="s">
        <v>4</v>
      </c>
      <c r="E34">
        <f t="shared" si="0"/>
        <v>0</v>
      </c>
    </row>
    <row r="35" spans="1:7" customFormat="1" ht="14.4" hidden="1" x14ac:dyDescent="0.3">
      <c r="A35" t="s">
        <v>62</v>
      </c>
      <c r="B35" t="s">
        <v>31</v>
      </c>
      <c r="E35">
        <f t="shared" si="0"/>
        <v>0</v>
      </c>
    </row>
    <row r="36" spans="1:7" customFormat="1" ht="14.4" hidden="1" x14ac:dyDescent="0.3">
      <c r="A36" t="s">
        <v>63</v>
      </c>
      <c r="B36" t="s">
        <v>4</v>
      </c>
      <c r="E36">
        <f t="shared" si="0"/>
        <v>0</v>
      </c>
    </row>
    <row r="37" spans="1:7" customFormat="1" ht="14.4" hidden="1" x14ac:dyDescent="0.3">
      <c r="A37" t="s">
        <v>63</v>
      </c>
      <c r="B37" t="s">
        <v>31</v>
      </c>
      <c r="E37">
        <f t="shared" si="0"/>
        <v>0</v>
      </c>
    </row>
    <row r="38" spans="1:7" customFormat="1" ht="14.4" hidden="1" x14ac:dyDescent="0.3">
      <c r="A38" t="s">
        <v>64</v>
      </c>
      <c r="B38" t="s">
        <v>4</v>
      </c>
      <c r="E38">
        <f t="shared" si="0"/>
        <v>0</v>
      </c>
    </row>
    <row r="39" spans="1:7" customFormat="1" ht="14.4" hidden="1" x14ac:dyDescent="0.3">
      <c r="A39" t="s">
        <v>64</v>
      </c>
      <c r="B39" t="s">
        <v>31</v>
      </c>
      <c r="E39">
        <f t="shared" si="0"/>
        <v>0</v>
      </c>
    </row>
    <row r="40" spans="1:7" customFormat="1" ht="14.4" hidden="1" x14ac:dyDescent="0.3">
      <c r="A40" t="s">
        <v>64</v>
      </c>
      <c r="B40" t="s">
        <v>65</v>
      </c>
      <c r="E40">
        <f t="shared" si="0"/>
        <v>0</v>
      </c>
    </row>
    <row r="41" spans="1:7" x14ac:dyDescent="0.35">
      <c r="A41" s="49" t="s">
        <v>22</v>
      </c>
      <c r="B41" s="49" t="s">
        <v>4</v>
      </c>
      <c r="C41" s="49">
        <v>620</v>
      </c>
      <c r="D41" s="49">
        <v>7500</v>
      </c>
      <c r="E41" s="49">
        <f t="shared" si="0"/>
        <v>4650000</v>
      </c>
      <c r="F41"/>
      <c r="G41"/>
    </row>
    <row r="42" spans="1:7" customFormat="1" ht="14.4" hidden="1" x14ac:dyDescent="0.3">
      <c r="A42" t="s">
        <v>24</v>
      </c>
      <c r="B42" t="s">
        <v>66</v>
      </c>
      <c r="E42">
        <f t="shared" si="0"/>
        <v>0</v>
      </c>
    </row>
    <row r="43" spans="1:7" x14ac:dyDescent="0.35">
      <c r="A43" s="49" t="s">
        <v>24</v>
      </c>
      <c r="B43" s="49" t="s">
        <v>4</v>
      </c>
      <c r="C43" s="49">
        <v>55</v>
      </c>
      <c r="D43" s="49">
        <v>11000</v>
      </c>
      <c r="E43" s="49">
        <f t="shared" si="0"/>
        <v>605000</v>
      </c>
      <c r="F43"/>
      <c r="G43"/>
    </row>
    <row r="44" spans="1:7" customFormat="1" ht="14.4" hidden="1" x14ac:dyDescent="0.3">
      <c r="A44" t="s">
        <v>24</v>
      </c>
      <c r="B44" t="s">
        <v>31</v>
      </c>
      <c r="E44">
        <f t="shared" si="0"/>
        <v>0</v>
      </c>
    </row>
    <row r="45" spans="1:7" customFormat="1" ht="14.4" hidden="1" x14ac:dyDescent="0.3">
      <c r="A45" t="s">
        <v>40</v>
      </c>
      <c r="B45" t="s">
        <v>66</v>
      </c>
      <c r="E45">
        <f t="shared" si="0"/>
        <v>0</v>
      </c>
    </row>
    <row r="46" spans="1:7" customFormat="1" ht="14.4" hidden="1" x14ac:dyDescent="0.3">
      <c r="A46" t="s">
        <v>40</v>
      </c>
      <c r="B46" t="s">
        <v>4</v>
      </c>
      <c r="E46">
        <f t="shared" si="0"/>
        <v>0</v>
      </c>
    </row>
    <row r="47" spans="1:7" customFormat="1" ht="14.4" hidden="1" x14ac:dyDescent="0.3">
      <c r="A47" t="s">
        <v>42</v>
      </c>
      <c r="B47" t="s">
        <v>4</v>
      </c>
      <c r="E47">
        <f t="shared" si="0"/>
        <v>0</v>
      </c>
    </row>
    <row r="48" spans="1:7" customFormat="1" ht="14.4" hidden="1" x14ac:dyDescent="0.3">
      <c r="A48" t="s">
        <v>42</v>
      </c>
      <c r="B48" t="s">
        <v>31</v>
      </c>
      <c r="E48">
        <f t="shared" si="0"/>
        <v>0</v>
      </c>
    </row>
    <row r="49" spans="1:5" customFormat="1" ht="14.4" hidden="1" x14ac:dyDescent="0.3">
      <c r="A49" t="s">
        <v>67</v>
      </c>
      <c r="B49" t="s">
        <v>4</v>
      </c>
      <c r="E49">
        <f t="shared" si="0"/>
        <v>0</v>
      </c>
    </row>
    <row r="50" spans="1:5" customFormat="1" ht="14.4" hidden="1" x14ac:dyDescent="0.3">
      <c r="A50" t="s">
        <v>141</v>
      </c>
      <c r="B50" t="s">
        <v>4</v>
      </c>
      <c r="E50">
        <f t="shared" si="0"/>
        <v>0</v>
      </c>
    </row>
    <row r="51" spans="1:5" customFormat="1" ht="14.4" hidden="1" x14ac:dyDescent="0.3">
      <c r="A51" t="s">
        <v>141</v>
      </c>
      <c r="B51" t="s">
        <v>31</v>
      </c>
      <c r="E51">
        <f t="shared" si="0"/>
        <v>0</v>
      </c>
    </row>
    <row r="52" spans="1:5" customFormat="1" ht="14.4" hidden="1" x14ac:dyDescent="0.3">
      <c r="A52" t="s">
        <v>68</v>
      </c>
      <c r="B52" t="s">
        <v>4</v>
      </c>
      <c r="E52">
        <f t="shared" si="0"/>
        <v>0</v>
      </c>
    </row>
    <row r="53" spans="1:5" customFormat="1" ht="14.4" hidden="1" x14ac:dyDescent="0.3">
      <c r="A53" t="s">
        <v>68</v>
      </c>
      <c r="B53" t="s">
        <v>31</v>
      </c>
      <c r="E53">
        <f t="shared" si="0"/>
        <v>0</v>
      </c>
    </row>
    <row r="54" spans="1:5" customFormat="1" ht="14.4" hidden="1" x14ac:dyDescent="0.3">
      <c r="A54" t="s">
        <v>69</v>
      </c>
      <c r="B54" t="s">
        <v>4</v>
      </c>
      <c r="E54">
        <f t="shared" si="0"/>
        <v>0</v>
      </c>
    </row>
    <row r="55" spans="1:5" customFormat="1" ht="14.4" hidden="1" x14ac:dyDescent="0.3">
      <c r="A55" t="s">
        <v>69</v>
      </c>
      <c r="B55" t="s">
        <v>31</v>
      </c>
      <c r="E55">
        <f t="shared" si="0"/>
        <v>0</v>
      </c>
    </row>
    <row r="56" spans="1:5" customFormat="1" ht="14.4" hidden="1" x14ac:dyDescent="0.3">
      <c r="A56" t="s">
        <v>70</v>
      </c>
      <c r="B56" t="s">
        <v>4</v>
      </c>
      <c r="E56">
        <f t="shared" si="0"/>
        <v>0</v>
      </c>
    </row>
    <row r="57" spans="1:5" customFormat="1" ht="14.4" hidden="1" x14ac:dyDescent="0.3">
      <c r="A57" t="s">
        <v>70</v>
      </c>
      <c r="B57" t="s">
        <v>71</v>
      </c>
      <c r="E57">
        <f t="shared" si="0"/>
        <v>0</v>
      </c>
    </row>
    <row r="58" spans="1:5" customFormat="1" ht="14.4" hidden="1" x14ac:dyDescent="0.3">
      <c r="A58" t="s">
        <v>72</v>
      </c>
      <c r="B58" t="s">
        <v>4</v>
      </c>
      <c r="E58">
        <f t="shared" si="0"/>
        <v>0</v>
      </c>
    </row>
    <row r="59" spans="1:5" customFormat="1" ht="14.4" hidden="1" x14ac:dyDescent="0.3">
      <c r="A59" t="s">
        <v>72</v>
      </c>
      <c r="B59" t="s">
        <v>73</v>
      </c>
      <c r="E59">
        <f t="shared" si="0"/>
        <v>0</v>
      </c>
    </row>
    <row r="60" spans="1:5" customFormat="1" ht="14.4" hidden="1" x14ac:dyDescent="0.3">
      <c r="A60" t="s">
        <v>74</v>
      </c>
      <c r="B60" t="s">
        <v>4</v>
      </c>
      <c r="E60">
        <f t="shared" si="0"/>
        <v>0</v>
      </c>
    </row>
    <row r="61" spans="1:5" customFormat="1" ht="14.4" hidden="1" x14ac:dyDescent="0.3">
      <c r="A61" t="s">
        <v>74</v>
      </c>
      <c r="B61" t="s">
        <v>31</v>
      </c>
      <c r="E61">
        <f t="shared" si="0"/>
        <v>0</v>
      </c>
    </row>
    <row r="62" spans="1:5" customFormat="1" ht="14.4" hidden="1" x14ac:dyDescent="0.3">
      <c r="A62" t="s">
        <v>75</v>
      </c>
      <c r="B62" t="s">
        <v>4</v>
      </c>
      <c r="E62">
        <f t="shared" si="0"/>
        <v>0</v>
      </c>
    </row>
    <row r="63" spans="1:5" customFormat="1" ht="14.4" hidden="1" x14ac:dyDescent="0.3">
      <c r="A63" t="s">
        <v>76</v>
      </c>
      <c r="B63" t="s">
        <v>66</v>
      </c>
      <c r="E63">
        <f t="shared" si="0"/>
        <v>0</v>
      </c>
    </row>
    <row r="64" spans="1:5" customFormat="1" ht="14.4" hidden="1" x14ac:dyDescent="0.3">
      <c r="A64" t="s">
        <v>48</v>
      </c>
      <c r="B64" t="s">
        <v>4</v>
      </c>
      <c r="E64">
        <f t="shared" si="0"/>
        <v>0</v>
      </c>
    </row>
    <row r="65" spans="1:7" customFormat="1" ht="14.4" hidden="1" x14ac:dyDescent="0.3">
      <c r="A65" t="s">
        <v>77</v>
      </c>
      <c r="B65" t="s">
        <v>66</v>
      </c>
      <c r="E65">
        <f t="shared" si="0"/>
        <v>0</v>
      </c>
    </row>
    <row r="66" spans="1:7" customFormat="1" ht="14.4" hidden="1" x14ac:dyDescent="0.3">
      <c r="A66" t="s">
        <v>78</v>
      </c>
      <c r="B66" t="s">
        <v>4</v>
      </c>
      <c r="E66">
        <f t="shared" si="0"/>
        <v>0</v>
      </c>
    </row>
    <row r="67" spans="1:7" customFormat="1" ht="14.4" hidden="1" x14ac:dyDescent="0.3">
      <c r="A67" t="s">
        <v>79</v>
      </c>
      <c r="B67" t="s">
        <v>4</v>
      </c>
      <c r="E67">
        <f t="shared" si="0"/>
        <v>0</v>
      </c>
    </row>
    <row r="68" spans="1:7" customFormat="1" ht="14.4" hidden="1" x14ac:dyDescent="0.3">
      <c r="A68" t="s">
        <v>79</v>
      </c>
      <c r="B68" t="s">
        <v>31</v>
      </c>
      <c r="E68">
        <f t="shared" si="0"/>
        <v>0</v>
      </c>
    </row>
    <row r="69" spans="1:7" customFormat="1" ht="14.4" hidden="1" x14ac:dyDescent="0.3">
      <c r="A69" t="s">
        <v>80</v>
      </c>
      <c r="B69" t="s">
        <v>4</v>
      </c>
      <c r="E69">
        <f t="shared" ref="E69:E132" si="1">C69*D69</f>
        <v>0</v>
      </c>
    </row>
    <row r="70" spans="1:7" customFormat="1" ht="14.4" hidden="1" x14ac:dyDescent="0.3">
      <c r="A70" t="s">
        <v>80</v>
      </c>
      <c r="B70" t="s">
        <v>31</v>
      </c>
      <c r="E70">
        <f t="shared" si="1"/>
        <v>0</v>
      </c>
    </row>
    <row r="71" spans="1:7" x14ac:dyDescent="0.35">
      <c r="A71" s="49" t="s">
        <v>81</v>
      </c>
      <c r="B71" s="49" t="s">
        <v>4</v>
      </c>
      <c r="C71" s="49">
        <v>4</v>
      </c>
      <c r="D71" s="49">
        <v>30000</v>
      </c>
      <c r="E71" s="49">
        <f t="shared" si="1"/>
        <v>120000</v>
      </c>
      <c r="F71"/>
      <c r="G71"/>
    </row>
    <row r="72" spans="1:7" customFormat="1" ht="14.4" hidden="1" x14ac:dyDescent="0.3">
      <c r="A72" t="s">
        <v>82</v>
      </c>
      <c r="B72" t="s">
        <v>66</v>
      </c>
      <c r="E72">
        <f t="shared" si="1"/>
        <v>0</v>
      </c>
    </row>
    <row r="73" spans="1:7" customFormat="1" ht="14.4" hidden="1" x14ac:dyDescent="0.3">
      <c r="A73" t="s">
        <v>83</v>
      </c>
      <c r="B73" t="s">
        <v>4</v>
      </c>
      <c r="E73">
        <f t="shared" si="1"/>
        <v>0</v>
      </c>
    </row>
    <row r="74" spans="1:7" customFormat="1" ht="14.4" hidden="1" x14ac:dyDescent="0.3">
      <c r="A74" t="s">
        <v>7</v>
      </c>
      <c r="B74" t="s">
        <v>4</v>
      </c>
      <c r="E74">
        <f t="shared" si="1"/>
        <v>0</v>
      </c>
    </row>
    <row r="75" spans="1:7" customFormat="1" ht="14.4" hidden="1" x14ac:dyDescent="0.3">
      <c r="A75" t="s">
        <v>7</v>
      </c>
      <c r="B75" t="s">
        <v>84</v>
      </c>
      <c r="E75">
        <f t="shared" si="1"/>
        <v>0</v>
      </c>
    </row>
    <row r="76" spans="1:7" customFormat="1" ht="14.4" hidden="1" x14ac:dyDescent="0.3">
      <c r="A76" t="s">
        <v>8</v>
      </c>
      <c r="B76" t="s">
        <v>4</v>
      </c>
      <c r="E76">
        <f t="shared" si="1"/>
        <v>0</v>
      </c>
    </row>
    <row r="77" spans="1:7" customFormat="1" ht="14.4" hidden="1" x14ac:dyDescent="0.3">
      <c r="A77" t="s">
        <v>10</v>
      </c>
      <c r="B77" t="s">
        <v>4</v>
      </c>
      <c r="E77">
        <f t="shared" si="1"/>
        <v>0</v>
      </c>
    </row>
    <row r="78" spans="1:7" customFormat="1" ht="14.4" hidden="1" x14ac:dyDescent="0.3">
      <c r="A78" t="s">
        <v>10</v>
      </c>
      <c r="B78" t="s">
        <v>84</v>
      </c>
      <c r="E78">
        <f t="shared" si="1"/>
        <v>0</v>
      </c>
    </row>
    <row r="79" spans="1:7" customFormat="1" ht="14.4" hidden="1" x14ac:dyDescent="0.3">
      <c r="A79" t="s">
        <v>11</v>
      </c>
      <c r="B79" t="s">
        <v>4</v>
      </c>
      <c r="E79">
        <f t="shared" si="1"/>
        <v>0</v>
      </c>
    </row>
    <row r="80" spans="1:7" customFormat="1" ht="14.4" hidden="1" x14ac:dyDescent="0.3">
      <c r="A80" t="s">
        <v>11</v>
      </c>
      <c r="B80" t="s">
        <v>84</v>
      </c>
      <c r="E80">
        <f t="shared" si="1"/>
        <v>0</v>
      </c>
    </row>
    <row r="81" spans="1:7" x14ac:dyDescent="0.35">
      <c r="A81" s="49" t="s">
        <v>15</v>
      </c>
      <c r="B81" s="49" t="s">
        <v>4</v>
      </c>
      <c r="C81" s="49">
        <v>23</v>
      </c>
      <c r="D81" s="49">
        <v>25000</v>
      </c>
      <c r="E81" s="49">
        <f t="shared" si="1"/>
        <v>575000</v>
      </c>
      <c r="F81"/>
      <c r="G81"/>
    </row>
    <row r="82" spans="1:7" customFormat="1" ht="14.4" hidden="1" x14ac:dyDescent="0.3">
      <c r="A82" t="s">
        <v>15</v>
      </c>
      <c r="B82" t="s">
        <v>50</v>
      </c>
      <c r="E82">
        <f t="shared" si="1"/>
        <v>0</v>
      </c>
    </row>
    <row r="83" spans="1:7" customFormat="1" ht="14.4" hidden="1" x14ac:dyDescent="0.3">
      <c r="A83" t="s">
        <v>15</v>
      </c>
      <c r="B83" t="s">
        <v>164</v>
      </c>
      <c r="E83">
        <f t="shared" si="1"/>
        <v>0</v>
      </c>
    </row>
    <row r="84" spans="1:7" customFormat="1" ht="14.4" hidden="1" x14ac:dyDescent="0.3">
      <c r="A84" t="s">
        <v>86</v>
      </c>
      <c r="B84" t="s">
        <v>50</v>
      </c>
      <c r="E84">
        <f t="shared" si="1"/>
        <v>0</v>
      </c>
    </row>
    <row r="85" spans="1:7" customFormat="1" ht="14.4" hidden="1" x14ac:dyDescent="0.3">
      <c r="A85" t="s">
        <v>89</v>
      </c>
      <c r="B85" t="s">
        <v>53</v>
      </c>
      <c r="E85">
        <f t="shared" si="1"/>
        <v>0</v>
      </c>
    </row>
    <row r="86" spans="1:7" customFormat="1" ht="14.4" hidden="1" x14ac:dyDescent="0.3">
      <c r="A86" t="s">
        <v>89</v>
      </c>
      <c r="B86" t="s">
        <v>4</v>
      </c>
      <c r="E86">
        <f t="shared" si="1"/>
        <v>0</v>
      </c>
    </row>
    <row r="87" spans="1:7" customFormat="1" ht="14.4" hidden="1" x14ac:dyDescent="0.3">
      <c r="A87" t="s">
        <v>90</v>
      </c>
      <c r="B87" t="s">
        <v>4</v>
      </c>
      <c r="E87">
        <f t="shared" si="1"/>
        <v>0</v>
      </c>
    </row>
    <row r="88" spans="1:7" customFormat="1" ht="14.4" hidden="1" x14ac:dyDescent="0.3">
      <c r="A88" t="s">
        <v>90</v>
      </c>
      <c r="B88" t="s">
        <v>147</v>
      </c>
      <c r="E88">
        <f t="shared" si="1"/>
        <v>0</v>
      </c>
    </row>
    <row r="89" spans="1:7" customFormat="1" ht="14.4" hidden="1" x14ac:dyDescent="0.3">
      <c r="A89" t="s">
        <v>90</v>
      </c>
      <c r="B89" t="s">
        <v>148</v>
      </c>
      <c r="E89">
        <f t="shared" si="1"/>
        <v>0</v>
      </c>
    </row>
    <row r="90" spans="1:7" x14ac:dyDescent="0.35">
      <c r="A90" s="49" t="s">
        <v>18</v>
      </c>
      <c r="B90" s="49" t="s">
        <v>4</v>
      </c>
      <c r="C90" s="49">
        <v>310</v>
      </c>
      <c r="D90" s="49">
        <v>23000</v>
      </c>
      <c r="E90" s="49">
        <f t="shared" si="1"/>
        <v>7130000</v>
      </c>
      <c r="F90"/>
      <c r="G90"/>
    </row>
    <row r="91" spans="1:7" customFormat="1" ht="14.4" hidden="1" x14ac:dyDescent="0.3">
      <c r="A91" t="s">
        <v>18</v>
      </c>
      <c r="B91" t="s">
        <v>50</v>
      </c>
      <c r="E91">
        <f t="shared" si="1"/>
        <v>0</v>
      </c>
    </row>
    <row r="92" spans="1:7" x14ac:dyDescent="0.35">
      <c r="A92" s="49" t="s">
        <v>92</v>
      </c>
      <c r="B92" s="49" t="s">
        <v>31</v>
      </c>
      <c r="C92" s="49">
        <v>120</v>
      </c>
      <c r="D92" s="49">
        <v>20000</v>
      </c>
      <c r="E92" s="49">
        <f t="shared" si="1"/>
        <v>2400000</v>
      </c>
      <c r="F92"/>
      <c r="G92"/>
    </row>
    <row r="93" spans="1:7" customFormat="1" ht="14.4" hidden="1" x14ac:dyDescent="0.3">
      <c r="A93" t="s">
        <v>94</v>
      </c>
      <c r="B93" t="s">
        <v>50</v>
      </c>
      <c r="E93">
        <f t="shared" si="1"/>
        <v>0</v>
      </c>
    </row>
    <row r="94" spans="1:7" customFormat="1" ht="14.4" hidden="1" x14ac:dyDescent="0.3">
      <c r="A94" t="s">
        <v>37</v>
      </c>
      <c r="B94" t="s">
        <v>4</v>
      </c>
      <c r="E94">
        <f t="shared" si="1"/>
        <v>0</v>
      </c>
    </row>
    <row r="95" spans="1:7" x14ac:dyDescent="0.35">
      <c r="A95" s="49" t="s">
        <v>37</v>
      </c>
      <c r="B95" s="49" t="s">
        <v>150</v>
      </c>
      <c r="C95" s="49">
        <v>6</v>
      </c>
      <c r="D95" s="49">
        <v>13000</v>
      </c>
      <c r="E95" s="49">
        <f t="shared" si="1"/>
        <v>78000</v>
      </c>
      <c r="F95"/>
      <c r="G95"/>
    </row>
    <row r="96" spans="1:7" x14ac:dyDescent="0.35">
      <c r="A96" s="49" t="s">
        <v>37</v>
      </c>
      <c r="B96" s="49" t="s">
        <v>151</v>
      </c>
      <c r="C96" s="49">
        <v>6</v>
      </c>
      <c r="D96" s="49">
        <v>9000</v>
      </c>
      <c r="E96" s="49">
        <f t="shared" si="1"/>
        <v>54000</v>
      </c>
      <c r="F96"/>
      <c r="G96"/>
    </row>
    <row r="97" spans="1:7" x14ac:dyDescent="0.35">
      <c r="A97" s="49" t="s">
        <v>96</v>
      </c>
      <c r="B97" s="49" t="s">
        <v>4</v>
      </c>
      <c r="C97" s="49">
        <v>2</v>
      </c>
      <c r="D97" s="49">
        <v>80000</v>
      </c>
      <c r="E97" s="49">
        <f t="shared" si="1"/>
        <v>160000</v>
      </c>
      <c r="F97"/>
      <c r="G97"/>
    </row>
    <row r="98" spans="1:7" customFormat="1" ht="14.4" hidden="1" x14ac:dyDescent="0.3">
      <c r="A98" t="s">
        <v>96</v>
      </c>
      <c r="B98" t="s">
        <v>50</v>
      </c>
      <c r="E98">
        <f t="shared" si="1"/>
        <v>0</v>
      </c>
    </row>
    <row r="99" spans="1:7" x14ac:dyDescent="0.35">
      <c r="A99" s="49" t="s">
        <v>39</v>
      </c>
      <c r="B99" s="49" t="s">
        <v>4</v>
      </c>
      <c r="C99" s="49">
        <v>30</v>
      </c>
      <c r="D99" s="49">
        <v>12000</v>
      </c>
      <c r="E99" s="49">
        <f t="shared" si="1"/>
        <v>360000</v>
      </c>
      <c r="F99"/>
      <c r="G99"/>
    </row>
    <row r="100" spans="1:7" customFormat="1" ht="14.4" hidden="1" x14ac:dyDescent="0.3">
      <c r="A100" t="s">
        <v>39</v>
      </c>
      <c r="B100" t="s">
        <v>50</v>
      </c>
      <c r="E100">
        <f t="shared" si="1"/>
        <v>0</v>
      </c>
    </row>
    <row r="101" spans="1:7" customFormat="1" ht="14.4" hidden="1" x14ac:dyDescent="0.3">
      <c r="A101" t="s">
        <v>99</v>
      </c>
      <c r="B101" t="s">
        <v>4</v>
      </c>
      <c r="E101">
        <f t="shared" si="1"/>
        <v>0</v>
      </c>
    </row>
    <row r="102" spans="1:7" customFormat="1" ht="14.4" hidden="1" x14ac:dyDescent="0.3">
      <c r="A102" t="s">
        <v>99</v>
      </c>
      <c r="B102" t="s">
        <v>31</v>
      </c>
      <c r="E102">
        <f t="shared" si="1"/>
        <v>0</v>
      </c>
    </row>
    <row r="103" spans="1:7" x14ac:dyDescent="0.35">
      <c r="A103" s="49" t="s">
        <v>100</v>
      </c>
      <c r="B103" s="49" t="s">
        <v>4</v>
      </c>
      <c r="C103" s="49">
        <v>20</v>
      </c>
      <c r="D103" s="49">
        <v>6000</v>
      </c>
      <c r="E103" s="49">
        <f t="shared" si="1"/>
        <v>120000</v>
      </c>
      <c r="F103"/>
      <c r="G103"/>
    </row>
    <row r="104" spans="1:7" customFormat="1" ht="14.4" hidden="1" x14ac:dyDescent="0.3">
      <c r="A104" t="s">
        <v>101</v>
      </c>
      <c r="B104" t="s">
        <v>53</v>
      </c>
      <c r="E104">
        <f t="shared" si="1"/>
        <v>0</v>
      </c>
    </row>
    <row r="105" spans="1:7" customFormat="1" ht="14.4" hidden="1" x14ac:dyDescent="0.3">
      <c r="A105" t="s">
        <v>101</v>
      </c>
      <c r="B105" t="s">
        <v>4</v>
      </c>
      <c r="E105">
        <f t="shared" si="1"/>
        <v>0</v>
      </c>
    </row>
    <row r="106" spans="1:7" x14ac:dyDescent="0.35">
      <c r="A106" s="49" t="s">
        <v>43</v>
      </c>
      <c r="B106" s="49" t="s">
        <v>4</v>
      </c>
      <c r="C106" s="49">
        <v>64</v>
      </c>
      <c r="D106" s="49">
        <v>46000</v>
      </c>
      <c r="E106" s="49">
        <f t="shared" si="1"/>
        <v>2944000</v>
      </c>
      <c r="F106"/>
      <c r="G106"/>
    </row>
    <row r="107" spans="1:7" customFormat="1" ht="14.4" hidden="1" x14ac:dyDescent="0.3">
      <c r="A107" t="s">
        <v>43</v>
      </c>
      <c r="B107" t="s">
        <v>84</v>
      </c>
      <c r="E107">
        <f t="shared" si="1"/>
        <v>0</v>
      </c>
    </row>
    <row r="108" spans="1:7" customFormat="1" ht="14.4" hidden="1" x14ac:dyDescent="0.3">
      <c r="A108" t="s">
        <v>102</v>
      </c>
      <c r="B108" t="s">
        <v>53</v>
      </c>
      <c r="E108">
        <f t="shared" si="1"/>
        <v>0</v>
      </c>
    </row>
    <row r="109" spans="1:7" customFormat="1" ht="14.4" hidden="1" x14ac:dyDescent="0.3">
      <c r="A109" t="s">
        <v>102</v>
      </c>
      <c r="B109" t="s">
        <v>4</v>
      </c>
      <c r="E109">
        <f t="shared" si="1"/>
        <v>0</v>
      </c>
    </row>
    <row r="110" spans="1:7" x14ac:dyDescent="0.35">
      <c r="A110" s="49" t="s">
        <v>44</v>
      </c>
      <c r="B110" s="49" t="s">
        <v>4</v>
      </c>
      <c r="C110" s="49">
        <v>122</v>
      </c>
      <c r="D110" s="49">
        <v>32000</v>
      </c>
      <c r="E110" s="49">
        <f t="shared" si="1"/>
        <v>3904000</v>
      </c>
      <c r="F110"/>
      <c r="G110"/>
    </row>
    <row r="111" spans="1:7" customFormat="1" ht="14.4" hidden="1" x14ac:dyDescent="0.3">
      <c r="A111" t="s">
        <v>44</v>
      </c>
      <c r="B111" t="s">
        <v>84</v>
      </c>
      <c r="E111">
        <f t="shared" si="1"/>
        <v>0</v>
      </c>
    </row>
    <row r="112" spans="1:7" x14ac:dyDescent="0.35">
      <c r="A112" s="49" t="s">
        <v>45</v>
      </c>
      <c r="B112" s="49" t="s">
        <v>4</v>
      </c>
      <c r="C112" s="49">
        <v>25</v>
      </c>
      <c r="D112" s="49">
        <v>35000</v>
      </c>
      <c r="E112" s="49">
        <f t="shared" si="1"/>
        <v>875000</v>
      </c>
      <c r="F112"/>
      <c r="G112"/>
    </row>
    <row r="113" spans="1:8" customFormat="1" ht="14.4" hidden="1" x14ac:dyDescent="0.3">
      <c r="A113" t="s">
        <v>45</v>
      </c>
      <c r="B113" t="s">
        <v>84</v>
      </c>
      <c r="E113">
        <f t="shared" si="1"/>
        <v>0</v>
      </c>
    </row>
    <row r="114" spans="1:8" customFormat="1" ht="14.4" hidden="1" x14ac:dyDescent="0.3">
      <c r="A114" t="s">
        <v>104</v>
      </c>
      <c r="B114" t="s">
        <v>4</v>
      </c>
      <c r="E114">
        <f t="shared" si="1"/>
        <v>0</v>
      </c>
    </row>
    <row r="115" spans="1:8" customFormat="1" ht="14.4" hidden="1" x14ac:dyDescent="0.3">
      <c r="A115" t="s">
        <v>104</v>
      </c>
      <c r="B115" t="s">
        <v>84</v>
      </c>
      <c r="E115">
        <f t="shared" si="1"/>
        <v>0</v>
      </c>
    </row>
    <row r="116" spans="1:8" customFormat="1" ht="14.4" hidden="1" x14ac:dyDescent="0.3">
      <c r="A116" t="s">
        <v>106</v>
      </c>
      <c r="B116" t="s">
        <v>4</v>
      </c>
      <c r="E116">
        <f t="shared" si="1"/>
        <v>0</v>
      </c>
    </row>
    <row r="117" spans="1:8" customFormat="1" ht="14.4" hidden="1" x14ac:dyDescent="0.3">
      <c r="A117" t="s">
        <v>110</v>
      </c>
      <c r="B117" t="s">
        <v>4</v>
      </c>
      <c r="E117">
        <f t="shared" si="1"/>
        <v>0</v>
      </c>
    </row>
    <row r="118" spans="1:8" customFormat="1" ht="14.4" hidden="1" x14ac:dyDescent="0.3">
      <c r="A118" t="s">
        <v>12</v>
      </c>
      <c r="B118" t="s">
        <v>4</v>
      </c>
      <c r="E118">
        <f t="shared" si="1"/>
        <v>0</v>
      </c>
    </row>
    <row r="119" spans="1:8" customFormat="1" ht="14.4" hidden="1" x14ac:dyDescent="0.3">
      <c r="A119" t="s">
        <v>9</v>
      </c>
      <c r="B119" t="s">
        <v>4</v>
      </c>
      <c r="E119">
        <f t="shared" si="1"/>
        <v>0</v>
      </c>
    </row>
    <row r="120" spans="1:8" customFormat="1" ht="14.4" hidden="1" x14ac:dyDescent="0.3">
      <c r="A120" t="s">
        <v>116</v>
      </c>
      <c r="B120" t="s">
        <v>4</v>
      </c>
      <c r="E120">
        <f t="shared" si="1"/>
        <v>0</v>
      </c>
    </row>
    <row r="121" spans="1:8" customFormat="1" ht="14.4" hidden="1" x14ac:dyDescent="0.3">
      <c r="A121" t="s">
        <v>116</v>
      </c>
      <c r="B121" t="s">
        <v>50</v>
      </c>
      <c r="E121">
        <f t="shared" si="1"/>
        <v>0</v>
      </c>
    </row>
    <row r="122" spans="1:8" x14ac:dyDescent="0.35">
      <c r="A122" s="49" t="s">
        <v>117</v>
      </c>
      <c r="B122" s="49" t="s">
        <v>4</v>
      </c>
      <c r="C122" s="49">
        <f>890+50</f>
        <v>940</v>
      </c>
      <c r="D122" s="49">
        <v>21000</v>
      </c>
      <c r="E122" s="49">
        <f t="shared" si="1"/>
        <v>19740000</v>
      </c>
      <c r="F122" s="48" t="s">
        <v>172</v>
      </c>
      <c r="H122" s="49">
        <v>790</v>
      </c>
    </row>
    <row r="123" spans="1:8" customFormat="1" ht="14.4" hidden="1" x14ac:dyDescent="0.3">
      <c r="A123" t="s">
        <v>17</v>
      </c>
      <c r="B123" t="s">
        <v>53</v>
      </c>
      <c r="E123">
        <f t="shared" si="1"/>
        <v>0</v>
      </c>
    </row>
    <row r="124" spans="1:8" x14ac:dyDescent="0.35">
      <c r="A124" s="49" t="s">
        <v>17</v>
      </c>
      <c r="B124" s="49" t="s">
        <v>4</v>
      </c>
      <c r="C124" s="49">
        <v>2</v>
      </c>
      <c r="D124" s="49">
        <v>38000</v>
      </c>
      <c r="E124" s="49">
        <f t="shared" si="1"/>
        <v>76000</v>
      </c>
      <c r="F124"/>
      <c r="G124"/>
    </row>
    <row r="125" spans="1:8" x14ac:dyDescent="0.35">
      <c r="A125" s="49" t="s">
        <v>17</v>
      </c>
      <c r="B125" s="49" t="s">
        <v>147</v>
      </c>
      <c r="C125" s="49">
        <v>85</v>
      </c>
      <c r="D125" s="49">
        <v>11400</v>
      </c>
      <c r="E125" s="49">
        <f t="shared" si="1"/>
        <v>969000</v>
      </c>
      <c r="F125"/>
      <c r="G125"/>
    </row>
    <row r="126" spans="1:8" x14ac:dyDescent="0.35">
      <c r="A126" s="49" t="s">
        <v>118</v>
      </c>
      <c r="B126" s="49" t="s">
        <v>4</v>
      </c>
      <c r="C126" s="49">
        <v>65</v>
      </c>
      <c r="D126" s="49">
        <v>19319</v>
      </c>
      <c r="E126" s="49">
        <f t="shared" si="1"/>
        <v>1255735</v>
      </c>
      <c r="F126"/>
      <c r="G126"/>
    </row>
    <row r="127" spans="1:8" customFormat="1" ht="14.4" hidden="1" x14ac:dyDescent="0.3">
      <c r="A127" t="s">
        <v>119</v>
      </c>
      <c r="B127" t="s">
        <v>4</v>
      </c>
      <c r="E127">
        <f t="shared" si="1"/>
        <v>0</v>
      </c>
    </row>
    <row r="128" spans="1:8" customFormat="1" ht="14.4" hidden="1" x14ac:dyDescent="0.3">
      <c r="A128" t="s">
        <v>119</v>
      </c>
      <c r="B128" t="s">
        <v>31</v>
      </c>
      <c r="E128">
        <f t="shared" si="1"/>
        <v>0</v>
      </c>
    </row>
    <row r="129" spans="1:7" customFormat="1" ht="14.4" hidden="1" x14ac:dyDescent="0.3">
      <c r="A129" t="s">
        <v>121</v>
      </c>
      <c r="B129" t="s">
        <v>53</v>
      </c>
      <c r="E129">
        <f t="shared" si="1"/>
        <v>0</v>
      </c>
    </row>
    <row r="130" spans="1:7" customFormat="1" ht="14.4" hidden="1" x14ac:dyDescent="0.3">
      <c r="A130" t="s">
        <v>121</v>
      </c>
      <c r="B130" t="s">
        <v>4</v>
      </c>
      <c r="E130">
        <f t="shared" si="1"/>
        <v>0</v>
      </c>
    </row>
    <row r="131" spans="1:7" customFormat="1" ht="14.4" hidden="1" x14ac:dyDescent="0.3">
      <c r="A131" t="s">
        <v>16</v>
      </c>
      <c r="B131" t="s">
        <v>4</v>
      </c>
      <c r="E131">
        <f t="shared" si="1"/>
        <v>0</v>
      </c>
    </row>
    <row r="132" spans="1:7" x14ac:dyDescent="0.35">
      <c r="A132" s="49" t="s">
        <v>16</v>
      </c>
      <c r="B132" s="49" t="s">
        <v>165</v>
      </c>
      <c r="C132" s="49">
        <v>80</v>
      </c>
      <c r="D132" s="49">
        <v>10000</v>
      </c>
      <c r="E132" s="49">
        <f t="shared" si="1"/>
        <v>800000</v>
      </c>
      <c r="F132"/>
      <c r="G132"/>
    </row>
    <row r="133" spans="1:7" customFormat="1" ht="14.4" hidden="1" x14ac:dyDescent="0.3">
      <c r="A133" t="s">
        <v>123</v>
      </c>
      <c r="B133" t="s">
        <v>4</v>
      </c>
      <c r="E133">
        <f t="shared" ref="E133:E198" si="2">C133*D133</f>
        <v>0</v>
      </c>
    </row>
    <row r="134" spans="1:7" customFormat="1" ht="14.4" hidden="1" x14ac:dyDescent="0.3">
      <c r="A134" t="s">
        <v>123</v>
      </c>
      <c r="B134" t="s">
        <v>31</v>
      </c>
      <c r="E134">
        <f t="shared" si="2"/>
        <v>0</v>
      </c>
    </row>
    <row r="135" spans="1:7" customFormat="1" ht="14.4" hidden="1" x14ac:dyDescent="0.3">
      <c r="A135" t="s">
        <v>46</v>
      </c>
      <c r="B135" t="s">
        <v>4</v>
      </c>
      <c r="E135">
        <f t="shared" si="2"/>
        <v>0</v>
      </c>
    </row>
    <row r="136" spans="1:7" customFormat="1" ht="14.4" hidden="1" x14ac:dyDescent="0.3">
      <c r="A136" t="s">
        <v>46</v>
      </c>
      <c r="B136" t="s">
        <v>31</v>
      </c>
      <c r="E136">
        <f t="shared" si="2"/>
        <v>0</v>
      </c>
    </row>
    <row r="137" spans="1:7" customFormat="1" ht="14.4" hidden="1" x14ac:dyDescent="0.3">
      <c r="A137" t="s">
        <v>126</v>
      </c>
      <c r="B137" t="s">
        <v>4</v>
      </c>
      <c r="E137">
        <f t="shared" si="2"/>
        <v>0</v>
      </c>
    </row>
    <row r="138" spans="1:7" customFormat="1" ht="14.4" hidden="1" x14ac:dyDescent="0.3">
      <c r="A138" t="s">
        <v>126</v>
      </c>
      <c r="B138" t="s">
        <v>73</v>
      </c>
      <c r="E138">
        <f t="shared" si="2"/>
        <v>0</v>
      </c>
    </row>
    <row r="139" spans="1:7" x14ac:dyDescent="0.35">
      <c r="A139" s="49" t="s">
        <v>41</v>
      </c>
      <c r="B139" s="49" t="s">
        <v>4</v>
      </c>
      <c r="C139" s="49">
        <v>500</v>
      </c>
      <c r="D139" s="49">
        <v>28600</v>
      </c>
      <c r="E139" s="49">
        <f t="shared" si="2"/>
        <v>14300000</v>
      </c>
      <c r="F139"/>
      <c r="G139"/>
    </row>
    <row r="140" spans="1:7" customFormat="1" ht="14.4" hidden="1" x14ac:dyDescent="0.3">
      <c r="A140" t="s">
        <v>158</v>
      </c>
      <c r="B140" t="s">
        <v>31</v>
      </c>
      <c r="E140">
        <f t="shared" si="2"/>
        <v>0</v>
      </c>
    </row>
    <row r="141" spans="1:7" customFormat="1" ht="14.4" hidden="1" x14ac:dyDescent="0.3">
      <c r="A141" t="s">
        <v>166</v>
      </c>
      <c r="B141" t="s">
        <v>4</v>
      </c>
      <c r="E141">
        <f t="shared" si="2"/>
        <v>0</v>
      </c>
    </row>
    <row r="142" spans="1:7" x14ac:dyDescent="0.35">
      <c r="A142" s="49" t="s">
        <v>135</v>
      </c>
      <c r="B142" s="49" t="s">
        <v>4</v>
      </c>
      <c r="C142" s="49">
        <v>515</v>
      </c>
      <c r="D142" s="49">
        <v>20000</v>
      </c>
      <c r="E142" s="49">
        <f t="shared" si="2"/>
        <v>10300000</v>
      </c>
    </row>
    <row r="143" spans="1:7" customFormat="1" ht="14.4" hidden="1" x14ac:dyDescent="0.3">
      <c r="A143" t="s">
        <v>155</v>
      </c>
      <c r="B143" t="s">
        <v>4</v>
      </c>
      <c r="E143">
        <f t="shared" si="2"/>
        <v>0</v>
      </c>
    </row>
    <row r="144" spans="1:7" customFormat="1" ht="14.4" hidden="1" x14ac:dyDescent="0.3">
      <c r="A144" t="s">
        <v>47</v>
      </c>
      <c r="B144" t="s">
        <v>4</v>
      </c>
      <c r="E144">
        <f t="shared" si="2"/>
        <v>0</v>
      </c>
    </row>
    <row r="145" spans="1:7" customFormat="1" ht="14.4" hidden="1" x14ac:dyDescent="0.3">
      <c r="A145" t="s">
        <v>133</v>
      </c>
      <c r="B145" t="s">
        <v>31</v>
      </c>
      <c r="E145">
        <f t="shared" si="2"/>
        <v>0</v>
      </c>
    </row>
    <row r="146" spans="1:7" x14ac:dyDescent="0.35">
      <c r="A146" s="49" t="s">
        <v>142</v>
      </c>
      <c r="B146" s="49" t="s">
        <v>4</v>
      </c>
      <c r="C146" s="49">
        <v>65</v>
      </c>
      <c r="D146" s="49">
        <v>12000</v>
      </c>
      <c r="E146" s="49">
        <f t="shared" si="2"/>
        <v>780000</v>
      </c>
      <c r="F146"/>
      <c r="G146"/>
    </row>
    <row r="147" spans="1:7" customFormat="1" ht="14.4" hidden="1" x14ac:dyDescent="0.3">
      <c r="A147" t="s">
        <v>167</v>
      </c>
      <c r="B147" t="s">
        <v>53</v>
      </c>
      <c r="E147">
        <f t="shared" si="2"/>
        <v>0</v>
      </c>
    </row>
    <row r="148" spans="1:7" customFormat="1" ht="14.4" hidden="1" x14ac:dyDescent="0.3">
      <c r="A148" t="s">
        <v>85</v>
      </c>
      <c r="B148" t="s">
        <v>4</v>
      </c>
      <c r="E148">
        <f t="shared" si="2"/>
        <v>0</v>
      </c>
    </row>
    <row r="149" spans="1:7" customFormat="1" ht="14.4" hidden="1" x14ac:dyDescent="0.3">
      <c r="A149" t="s">
        <v>130</v>
      </c>
      <c r="B149" t="s">
        <v>4</v>
      </c>
      <c r="E149">
        <f t="shared" si="2"/>
        <v>0</v>
      </c>
    </row>
    <row r="150" spans="1:7" customFormat="1" ht="14.4" hidden="1" x14ac:dyDescent="0.3">
      <c r="A150" t="s">
        <v>120</v>
      </c>
      <c r="B150" t="s">
        <v>4</v>
      </c>
      <c r="E150">
        <f t="shared" si="2"/>
        <v>0</v>
      </c>
    </row>
    <row r="151" spans="1:7" customFormat="1" ht="14.4" hidden="1" x14ac:dyDescent="0.3">
      <c r="A151" t="s">
        <v>109</v>
      </c>
      <c r="B151" t="s">
        <v>53</v>
      </c>
      <c r="E151">
        <f t="shared" si="2"/>
        <v>0</v>
      </c>
    </row>
    <row r="152" spans="1:7" customFormat="1" ht="14.4" hidden="1" x14ac:dyDescent="0.3">
      <c r="A152" t="s">
        <v>113</v>
      </c>
      <c r="B152" t="s">
        <v>31</v>
      </c>
      <c r="E152">
        <f t="shared" si="2"/>
        <v>0</v>
      </c>
    </row>
    <row r="153" spans="1:7" customFormat="1" ht="14.4" hidden="1" x14ac:dyDescent="0.3">
      <c r="A153" t="s">
        <v>114</v>
      </c>
      <c r="B153" t="s">
        <v>31</v>
      </c>
      <c r="E153">
        <f t="shared" si="2"/>
        <v>0</v>
      </c>
    </row>
    <row r="154" spans="1:7" customFormat="1" ht="14.4" hidden="1" x14ac:dyDescent="0.3">
      <c r="A154" t="s">
        <v>125</v>
      </c>
      <c r="B154" t="s">
        <v>4</v>
      </c>
      <c r="E154">
        <f t="shared" si="2"/>
        <v>0</v>
      </c>
    </row>
    <row r="155" spans="1:7" customFormat="1" ht="14.4" hidden="1" x14ac:dyDescent="0.3">
      <c r="A155" t="s">
        <v>21</v>
      </c>
      <c r="B155" t="s">
        <v>4</v>
      </c>
      <c r="E155">
        <f t="shared" si="2"/>
        <v>0</v>
      </c>
    </row>
    <row r="156" spans="1:7" customFormat="1" ht="14.4" hidden="1" x14ac:dyDescent="0.3">
      <c r="A156" t="s">
        <v>21</v>
      </c>
      <c r="B156" t="s">
        <v>149</v>
      </c>
      <c r="E156">
        <f t="shared" si="2"/>
        <v>0</v>
      </c>
    </row>
    <row r="157" spans="1:7" customFormat="1" ht="14.4" hidden="1" x14ac:dyDescent="0.3">
      <c r="A157" t="s">
        <v>33</v>
      </c>
      <c r="B157" t="s">
        <v>31</v>
      </c>
      <c r="E157">
        <f t="shared" si="2"/>
        <v>0</v>
      </c>
    </row>
    <row r="158" spans="1:7" customFormat="1" ht="14.4" hidden="1" x14ac:dyDescent="0.3">
      <c r="A158" t="s">
        <v>13</v>
      </c>
      <c r="B158" t="s">
        <v>4</v>
      </c>
      <c r="E158">
        <f t="shared" si="2"/>
        <v>0</v>
      </c>
    </row>
    <row r="159" spans="1:7" customFormat="1" ht="14.4" hidden="1" x14ac:dyDescent="0.3">
      <c r="A159" t="s">
        <v>107</v>
      </c>
      <c r="B159" t="s">
        <v>4</v>
      </c>
      <c r="E159">
        <f t="shared" si="2"/>
        <v>0</v>
      </c>
    </row>
    <row r="160" spans="1:7" customFormat="1" ht="14.4" hidden="1" x14ac:dyDescent="0.3">
      <c r="A160" t="s">
        <v>129</v>
      </c>
      <c r="B160" t="s">
        <v>4</v>
      </c>
      <c r="E160">
        <f t="shared" si="2"/>
        <v>0</v>
      </c>
    </row>
    <row r="161" spans="1:7" customFormat="1" ht="14.4" hidden="1" x14ac:dyDescent="0.3">
      <c r="A161" t="s">
        <v>131</v>
      </c>
      <c r="B161" t="s">
        <v>4</v>
      </c>
      <c r="E161">
        <f t="shared" si="2"/>
        <v>0</v>
      </c>
    </row>
    <row r="162" spans="1:7" customFormat="1" ht="14.4" hidden="1" x14ac:dyDescent="0.3">
      <c r="A162" t="s">
        <v>54</v>
      </c>
      <c r="B162" t="s">
        <v>4</v>
      </c>
      <c r="E162">
        <f t="shared" si="2"/>
        <v>0</v>
      </c>
    </row>
    <row r="163" spans="1:7" customFormat="1" ht="14.4" hidden="1" x14ac:dyDescent="0.3">
      <c r="A163" t="s">
        <v>128</v>
      </c>
      <c r="B163" t="s">
        <v>4</v>
      </c>
      <c r="E163">
        <f t="shared" si="2"/>
        <v>0</v>
      </c>
    </row>
    <row r="164" spans="1:7" customFormat="1" ht="14.4" hidden="1" x14ac:dyDescent="0.3">
      <c r="A164" t="s">
        <v>97</v>
      </c>
      <c r="B164" t="s">
        <v>4</v>
      </c>
      <c r="E164">
        <f t="shared" si="2"/>
        <v>0</v>
      </c>
    </row>
    <row r="165" spans="1:7" x14ac:dyDescent="0.35">
      <c r="A165" s="49" t="s">
        <v>105</v>
      </c>
      <c r="B165" s="49" t="s">
        <v>4</v>
      </c>
      <c r="C165" s="49">
        <v>1</v>
      </c>
      <c r="D165" s="49">
        <v>70000</v>
      </c>
      <c r="E165" s="49">
        <f t="shared" si="2"/>
        <v>70000</v>
      </c>
      <c r="F165"/>
      <c r="G165"/>
    </row>
    <row r="166" spans="1:7" customFormat="1" ht="14.4" hidden="1" x14ac:dyDescent="0.3">
      <c r="A166" t="s">
        <v>124</v>
      </c>
      <c r="B166" t="s">
        <v>4</v>
      </c>
      <c r="E166">
        <f t="shared" si="2"/>
        <v>0</v>
      </c>
    </row>
    <row r="167" spans="1:7" customFormat="1" ht="14.4" hidden="1" x14ac:dyDescent="0.3">
      <c r="A167" t="s">
        <v>26</v>
      </c>
      <c r="B167" t="s">
        <v>4</v>
      </c>
      <c r="E167">
        <f t="shared" si="2"/>
        <v>0</v>
      </c>
    </row>
    <row r="168" spans="1:7" customFormat="1" ht="14.4" hidden="1" x14ac:dyDescent="0.3">
      <c r="A168" t="s">
        <v>115</v>
      </c>
      <c r="B168" t="s">
        <v>50</v>
      </c>
      <c r="E168">
        <f t="shared" si="2"/>
        <v>0</v>
      </c>
    </row>
    <row r="169" spans="1:7" customFormat="1" ht="14.4" hidden="1" x14ac:dyDescent="0.3">
      <c r="A169" t="e">
        <v>#N/A</v>
      </c>
      <c r="B169">
        <v>0</v>
      </c>
      <c r="E169">
        <f t="shared" si="2"/>
        <v>0</v>
      </c>
    </row>
    <row r="170" spans="1:7" x14ac:dyDescent="0.35">
      <c r="A170" s="49" t="s">
        <v>168</v>
      </c>
      <c r="B170" s="49" t="s">
        <v>4</v>
      </c>
      <c r="C170" s="49">
        <v>8</v>
      </c>
      <c r="D170" s="49">
        <v>41000</v>
      </c>
      <c r="E170" s="49">
        <f t="shared" si="2"/>
        <v>328000</v>
      </c>
      <c r="F170"/>
      <c r="G170"/>
    </row>
    <row r="171" spans="1:7" x14ac:dyDescent="0.35">
      <c r="A171" s="49" t="s">
        <v>169</v>
      </c>
      <c r="B171" s="49" t="s">
        <v>4</v>
      </c>
      <c r="C171" s="49">
        <v>8</v>
      </c>
      <c r="D171" s="49">
        <v>30000</v>
      </c>
      <c r="E171" s="49">
        <f t="shared" si="2"/>
        <v>240000</v>
      </c>
      <c r="F171"/>
      <c r="G171"/>
    </row>
    <row r="172" spans="1:7" customFormat="1" ht="14.4" hidden="1" x14ac:dyDescent="0.3">
      <c r="E172">
        <f t="shared" si="2"/>
        <v>0</v>
      </c>
    </row>
    <row r="173" spans="1:7" customFormat="1" ht="14.4" hidden="1" x14ac:dyDescent="0.3">
      <c r="E173">
        <f t="shared" si="2"/>
        <v>0</v>
      </c>
    </row>
    <row r="174" spans="1:7" customFormat="1" ht="14.4" x14ac:dyDescent="0.3">
      <c r="E174">
        <f>SUM(E11:E171)</f>
        <v>197521135</v>
      </c>
    </row>
    <row r="175" spans="1:7" customFormat="1" ht="14.4" hidden="1" x14ac:dyDescent="0.3">
      <c r="A175" t="s">
        <v>139</v>
      </c>
    </row>
    <row r="176" spans="1:7" x14ac:dyDescent="0.35">
      <c r="A176" s="49" t="s">
        <v>0</v>
      </c>
      <c r="B176" s="49" t="s">
        <v>1</v>
      </c>
      <c r="C176" s="49" t="s">
        <v>2</v>
      </c>
      <c r="D176" s="49" t="s">
        <v>137</v>
      </c>
      <c r="E176" s="49" t="s">
        <v>138</v>
      </c>
      <c r="F176"/>
      <c r="G176"/>
    </row>
    <row r="177" spans="1:7" customFormat="1" ht="14.4" hidden="1" x14ac:dyDescent="0.3">
      <c r="A177" t="s">
        <v>144</v>
      </c>
      <c r="B177" t="s">
        <v>50</v>
      </c>
      <c r="C177">
        <v>0</v>
      </c>
      <c r="E177">
        <f t="shared" si="2"/>
        <v>0</v>
      </c>
    </row>
    <row r="178" spans="1:7" customFormat="1" ht="14.4" hidden="1" x14ac:dyDescent="0.3">
      <c r="A178" t="s">
        <v>27</v>
      </c>
      <c r="B178" t="s">
        <v>4</v>
      </c>
      <c r="C178">
        <v>0</v>
      </c>
      <c r="E178">
        <f t="shared" si="2"/>
        <v>0</v>
      </c>
    </row>
    <row r="179" spans="1:7" x14ac:dyDescent="0.35">
      <c r="A179" s="49" t="s">
        <v>28</v>
      </c>
      <c r="B179" s="49" t="s">
        <v>4</v>
      </c>
      <c r="C179" s="49">
        <v>60</v>
      </c>
      <c r="D179" s="49">
        <v>15000</v>
      </c>
      <c r="E179" s="49">
        <f t="shared" si="2"/>
        <v>900000</v>
      </c>
      <c r="F179"/>
      <c r="G179"/>
    </row>
    <row r="180" spans="1:7" x14ac:dyDescent="0.35">
      <c r="A180" s="49" t="s">
        <v>29</v>
      </c>
      <c r="B180" s="49" t="s">
        <v>4</v>
      </c>
      <c r="C180" s="49">
        <v>50</v>
      </c>
      <c r="D180" s="49">
        <v>15000</v>
      </c>
      <c r="E180" s="49">
        <f t="shared" si="2"/>
        <v>750000</v>
      </c>
      <c r="F180"/>
      <c r="G180"/>
    </row>
    <row r="181" spans="1:7" customFormat="1" ht="14.4" hidden="1" x14ac:dyDescent="0.3">
      <c r="A181" t="s">
        <v>57</v>
      </c>
      <c r="B181" t="s">
        <v>31</v>
      </c>
      <c r="C181">
        <v>0</v>
      </c>
      <c r="E181">
        <f t="shared" si="2"/>
        <v>0</v>
      </c>
    </row>
    <row r="182" spans="1:7" x14ac:dyDescent="0.35">
      <c r="A182" s="49" t="s">
        <v>32</v>
      </c>
      <c r="B182" s="49" t="s">
        <v>4</v>
      </c>
      <c r="C182" s="49">
        <v>200</v>
      </c>
      <c r="D182" s="49">
        <v>19000</v>
      </c>
      <c r="E182" s="49">
        <f t="shared" si="2"/>
        <v>3800000</v>
      </c>
      <c r="F182"/>
      <c r="G182"/>
    </row>
    <row r="183" spans="1:7" customFormat="1" ht="14.4" hidden="1" x14ac:dyDescent="0.3">
      <c r="A183" t="s">
        <v>33</v>
      </c>
      <c r="B183" t="s">
        <v>31</v>
      </c>
      <c r="E183">
        <f t="shared" si="2"/>
        <v>0</v>
      </c>
    </row>
    <row r="184" spans="1:7" x14ac:dyDescent="0.35">
      <c r="A184" s="49" t="s">
        <v>34</v>
      </c>
      <c r="B184" s="49" t="s">
        <v>4</v>
      </c>
      <c r="C184" s="49">
        <v>100</v>
      </c>
      <c r="D184" s="49">
        <v>15000</v>
      </c>
      <c r="E184" s="49">
        <f t="shared" si="2"/>
        <v>1500000</v>
      </c>
      <c r="F184"/>
      <c r="G184"/>
    </row>
    <row r="185" spans="1:7" customFormat="1" ht="14.4" hidden="1" x14ac:dyDescent="0.3">
      <c r="A185" t="s">
        <v>34</v>
      </c>
      <c r="B185" t="s">
        <v>31</v>
      </c>
      <c r="C185">
        <v>0</v>
      </c>
      <c r="E185">
        <f t="shared" si="2"/>
        <v>0</v>
      </c>
    </row>
    <row r="186" spans="1:7" customFormat="1" ht="14.4" hidden="1" x14ac:dyDescent="0.3">
      <c r="A186" t="s">
        <v>35</v>
      </c>
      <c r="B186" t="s">
        <v>4</v>
      </c>
      <c r="C186">
        <v>0</v>
      </c>
      <c r="E186">
        <f t="shared" si="2"/>
        <v>0</v>
      </c>
    </row>
    <row r="187" spans="1:7" customFormat="1" ht="14.4" hidden="1" x14ac:dyDescent="0.3">
      <c r="A187" t="s">
        <v>13</v>
      </c>
      <c r="B187" t="s">
        <v>4</v>
      </c>
      <c r="C187">
        <v>0</v>
      </c>
      <c r="E187">
        <f t="shared" si="2"/>
        <v>0</v>
      </c>
    </row>
    <row r="188" spans="1:7" customFormat="1" ht="14.4" hidden="1" x14ac:dyDescent="0.3">
      <c r="A188" t="s">
        <v>14</v>
      </c>
      <c r="B188" t="s">
        <v>4</v>
      </c>
      <c r="C188">
        <v>0</v>
      </c>
      <c r="E188">
        <f t="shared" si="2"/>
        <v>0</v>
      </c>
    </row>
    <row r="189" spans="1:7" customFormat="1" ht="14.4" hidden="1" x14ac:dyDescent="0.3">
      <c r="A189" t="s">
        <v>3</v>
      </c>
      <c r="B189" t="s">
        <v>4</v>
      </c>
      <c r="C189">
        <v>0</v>
      </c>
      <c r="E189">
        <f t="shared" si="2"/>
        <v>0</v>
      </c>
    </row>
    <row r="190" spans="1:7" customFormat="1" ht="14.4" hidden="1" x14ac:dyDescent="0.3">
      <c r="A190" t="s">
        <v>5</v>
      </c>
      <c r="B190" t="s">
        <v>4</v>
      </c>
      <c r="C190">
        <v>0</v>
      </c>
      <c r="E190">
        <f t="shared" si="2"/>
        <v>0</v>
      </c>
    </row>
    <row r="191" spans="1:7" x14ac:dyDescent="0.35">
      <c r="A191" s="49" t="s">
        <v>6</v>
      </c>
      <c r="B191" s="49" t="s">
        <v>4</v>
      </c>
      <c r="C191" s="49">
        <v>60</v>
      </c>
      <c r="D191" s="49">
        <v>11000</v>
      </c>
      <c r="E191" s="49">
        <f t="shared" si="2"/>
        <v>660000</v>
      </c>
      <c r="F191"/>
      <c r="G191"/>
    </row>
    <row r="192" spans="1:7" customFormat="1" ht="14.4" hidden="1" x14ac:dyDescent="0.3">
      <c r="A192" t="s">
        <v>22</v>
      </c>
      <c r="B192" t="s">
        <v>4</v>
      </c>
      <c r="C192">
        <v>0</v>
      </c>
      <c r="E192">
        <f t="shared" si="2"/>
        <v>0</v>
      </c>
    </row>
    <row r="193" spans="1:7" customFormat="1" ht="14.4" hidden="1" x14ac:dyDescent="0.3">
      <c r="A193" t="s">
        <v>24</v>
      </c>
      <c r="B193" t="s">
        <v>4</v>
      </c>
      <c r="C193">
        <v>0</v>
      </c>
      <c r="E193">
        <f t="shared" si="2"/>
        <v>0</v>
      </c>
    </row>
    <row r="194" spans="1:7" customFormat="1" ht="14.4" hidden="1" x14ac:dyDescent="0.3">
      <c r="A194" t="s">
        <v>40</v>
      </c>
      <c r="B194" t="s">
        <v>4</v>
      </c>
      <c r="C194">
        <v>0</v>
      </c>
      <c r="E194">
        <f t="shared" si="2"/>
        <v>0</v>
      </c>
    </row>
    <row r="195" spans="1:7" x14ac:dyDescent="0.35">
      <c r="A195" s="49" t="s">
        <v>7</v>
      </c>
      <c r="B195" s="49" t="s">
        <v>4</v>
      </c>
      <c r="C195" s="49">
        <v>18</v>
      </c>
      <c r="D195" s="49">
        <v>7000</v>
      </c>
      <c r="E195" s="49">
        <f t="shared" si="2"/>
        <v>126000</v>
      </c>
      <c r="F195"/>
      <c r="G195"/>
    </row>
    <row r="196" spans="1:7" x14ac:dyDescent="0.35">
      <c r="A196" s="49" t="s">
        <v>8</v>
      </c>
      <c r="B196" s="49" t="s">
        <v>4</v>
      </c>
      <c r="C196" s="49">
        <v>1000</v>
      </c>
      <c r="D196" s="49">
        <v>5000</v>
      </c>
      <c r="E196" s="49">
        <f t="shared" si="2"/>
        <v>5000000</v>
      </c>
      <c r="F196"/>
      <c r="G196"/>
    </row>
    <row r="197" spans="1:7" x14ac:dyDescent="0.35">
      <c r="A197" s="49" t="s">
        <v>10</v>
      </c>
      <c r="B197" s="49" t="s">
        <v>4</v>
      </c>
      <c r="C197" s="49">
        <v>12</v>
      </c>
      <c r="D197" s="49">
        <v>21000</v>
      </c>
      <c r="E197" s="49">
        <f t="shared" si="2"/>
        <v>252000</v>
      </c>
      <c r="F197"/>
      <c r="G197"/>
    </row>
    <row r="198" spans="1:7" x14ac:dyDescent="0.35">
      <c r="A198" s="49" t="s">
        <v>15</v>
      </c>
      <c r="B198" s="49" t="s">
        <v>4</v>
      </c>
      <c r="C198" s="49">
        <v>200</v>
      </c>
      <c r="D198" s="49">
        <v>25000</v>
      </c>
      <c r="E198" s="49">
        <f t="shared" si="2"/>
        <v>5000000</v>
      </c>
      <c r="F198"/>
      <c r="G198"/>
    </row>
    <row r="199" spans="1:7" x14ac:dyDescent="0.35">
      <c r="A199" s="49" t="s">
        <v>18</v>
      </c>
      <c r="B199" s="49" t="s">
        <v>4</v>
      </c>
      <c r="C199" s="49">
        <v>300</v>
      </c>
      <c r="D199" s="49">
        <v>23000</v>
      </c>
      <c r="E199" s="49">
        <f t="shared" ref="E199:E227" si="3">C199*D199</f>
        <v>6900000</v>
      </c>
      <c r="F199"/>
      <c r="G199"/>
    </row>
    <row r="200" spans="1:7" customFormat="1" ht="14.4" hidden="1" x14ac:dyDescent="0.3">
      <c r="A200" t="s">
        <v>21</v>
      </c>
      <c r="B200" t="s">
        <v>4</v>
      </c>
      <c r="C200">
        <v>0</v>
      </c>
      <c r="E200">
        <f t="shared" si="3"/>
        <v>0</v>
      </c>
    </row>
    <row r="201" spans="1:7" x14ac:dyDescent="0.35">
      <c r="A201" s="49" t="s">
        <v>43</v>
      </c>
      <c r="B201" s="49" t="s">
        <v>4</v>
      </c>
      <c r="C201" s="49">
        <v>40</v>
      </c>
      <c r="D201" s="49">
        <v>46000</v>
      </c>
      <c r="E201" s="49">
        <f t="shared" si="3"/>
        <v>1840000</v>
      </c>
      <c r="F201"/>
      <c r="G201"/>
    </row>
    <row r="202" spans="1:7" x14ac:dyDescent="0.35">
      <c r="A202" s="49" t="s">
        <v>44</v>
      </c>
      <c r="B202" s="49" t="s">
        <v>4</v>
      </c>
      <c r="C202" s="49">
        <v>20</v>
      </c>
      <c r="D202" s="49">
        <v>32000</v>
      </c>
      <c r="E202" s="49">
        <f t="shared" si="3"/>
        <v>640000</v>
      </c>
      <c r="F202"/>
      <c r="G202"/>
    </row>
    <row r="203" spans="1:7" x14ac:dyDescent="0.35">
      <c r="A203" s="49" t="s">
        <v>45</v>
      </c>
      <c r="B203" s="49" t="s">
        <v>4</v>
      </c>
      <c r="C203" s="49">
        <v>20</v>
      </c>
      <c r="D203" s="49">
        <v>35000</v>
      </c>
      <c r="E203" s="49">
        <f t="shared" si="3"/>
        <v>700000</v>
      </c>
      <c r="F203"/>
      <c r="G203"/>
    </row>
    <row r="204" spans="1:7" customFormat="1" ht="14.4" hidden="1" x14ac:dyDescent="0.3">
      <c r="A204" t="s">
        <v>47</v>
      </c>
      <c r="B204" t="s">
        <v>4</v>
      </c>
      <c r="C204">
        <v>0</v>
      </c>
      <c r="E204">
        <f t="shared" si="3"/>
        <v>0</v>
      </c>
    </row>
    <row r="205" spans="1:7" x14ac:dyDescent="0.35">
      <c r="A205" s="49" t="s">
        <v>26</v>
      </c>
      <c r="B205" s="49" t="s">
        <v>4</v>
      </c>
      <c r="C205" s="49">
        <v>96</v>
      </c>
      <c r="D205" s="49">
        <v>12000</v>
      </c>
      <c r="E205" s="49">
        <f t="shared" si="3"/>
        <v>1152000</v>
      </c>
      <c r="F205"/>
      <c r="G205"/>
    </row>
    <row r="206" spans="1:7" customFormat="1" ht="14.4" hidden="1" x14ac:dyDescent="0.3">
      <c r="A206" t="s">
        <v>25</v>
      </c>
      <c r="B206" t="s">
        <v>4</v>
      </c>
      <c r="C206">
        <v>0</v>
      </c>
      <c r="E206">
        <f t="shared" si="3"/>
        <v>0</v>
      </c>
    </row>
    <row r="207" spans="1:7" customFormat="1" ht="14.4" hidden="1" x14ac:dyDescent="0.3">
      <c r="A207" t="s">
        <v>23</v>
      </c>
      <c r="B207" t="s">
        <v>4</v>
      </c>
      <c r="C207">
        <v>0</v>
      </c>
      <c r="E207">
        <f t="shared" si="3"/>
        <v>0</v>
      </c>
    </row>
    <row r="208" spans="1:7" customFormat="1" ht="14.4" hidden="1" x14ac:dyDescent="0.3">
      <c r="A208" t="s">
        <v>9</v>
      </c>
      <c r="B208" t="s">
        <v>4</v>
      </c>
      <c r="C208">
        <v>0</v>
      </c>
      <c r="E208">
        <f t="shared" si="3"/>
        <v>0</v>
      </c>
    </row>
    <row r="209" spans="1:7" customFormat="1" ht="14.4" hidden="1" x14ac:dyDescent="0.3">
      <c r="A209" t="s">
        <v>156</v>
      </c>
      <c r="B209" t="s">
        <v>4</v>
      </c>
      <c r="C209">
        <v>0</v>
      </c>
      <c r="E209">
        <f t="shared" si="3"/>
        <v>0</v>
      </c>
    </row>
    <row r="210" spans="1:7" customFormat="1" ht="14.4" hidden="1" x14ac:dyDescent="0.3">
      <c r="A210" t="s">
        <v>171</v>
      </c>
      <c r="B210" t="s">
        <v>4</v>
      </c>
      <c r="C210">
        <v>0</v>
      </c>
      <c r="E210">
        <f t="shared" si="3"/>
        <v>0</v>
      </c>
    </row>
    <row r="211" spans="1:7" customFormat="1" ht="14.4" hidden="1" x14ac:dyDescent="0.3">
      <c r="A211" t="s">
        <v>39</v>
      </c>
      <c r="B211" t="s">
        <v>4</v>
      </c>
      <c r="C211">
        <v>0</v>
      </c>
      <c r="E211">
        <f t="shared" si="3"/>
        <v>0</v>
      </c>
    </row>
    <row r="212" spans="1:7" customFormat="1" ht="14.4" hidden="1" x14ac:dyDescent="0.3">
      <c r="A212" t="s">
        <v>39</v>
      </c>
      <c r="B212" t="s">
        <v>50</v>
      </c>
      <c r="C212">
        <v>0</v>
      </c>
      <c r="E212">
        <f t="shared" si="3"/>
        <v>0</v>
      </c>
    </row>
    <row r="213" spans="1:7" x14ac:dyDescent="0.35">
      <c r="A213" s="49" t="s">
        <v>41</v>
      </c>
      <c r="B213" s="49" t="s">
        <v>4</v>
      </c>
      <c r="C213" s="49">
        <v>500</v>
      </c>
      <c r="D213" s="49">
        <v>28600</v>
      </c>
      <c r="E213" s="49">
        <f t="shared" si="3"/>
        <v>14300000</v>
      </c>
      <c r="F213"/>
      <c r="G213"/>
    </row>
    <row r="214" spans="1:7" customFormat="1" ht="14.4" hidden="1" x14ac:dyDescent="0.3">
      <c r="A214" t="s">
        <v>20</v>
      </c>
      <c r="B214" t="s">
        <v>4</v>
      </c>
      <c r="C214">
        <v>0</v>
      </c>
      <c r="E214">
        <f t="shared" si="3"/>
        <v>0</v>
      </c>
    </row>
    <row r="215" spans="1:7" x14ac:dyDescent="0.35">
      <c r="A215" s="49" t="s">
        <v>123</v>
      </c>
      <c r="B215" s="49" t="s">
        <v>31</v>
      </c>
      <c r="C215" s="49">
        <v>12</v>
      </c>
      <c r="D215" s="49">
        <v>9000</v>
      </c>
      <c r="E215" s="49">
        <f t="shared" si="3"/>
        <v>108000</v>
      </c>
      <c r="F215"/>
      <c r="G215"/>
    </row>
    <row r="216" spans="1:7" customFormat="1" ht="14.4" hidden="1" x14ac:dyDescent="0.3">
      <c r="A216" t="s">
        <v>37</v>
      </c>
      <c r="B216" t="s">
        <v>4</v>
      </c>
      <c r="C216">
        <v>0</v>
      </c>
      <c r="E216">
        <f t="shared" si="3"/>
        <v>0</v>
      </c>
    </row>
    <row r="217" spans="1:7" x14ac:dyDescent="0.35">
      <c r="A217" s="49" t="s">
        <v>37</v>
      </c>
      <c r="B217" s="49" t="s">
        <v>151</v>
      </c>
      <c r="C217" s="49">
        <v>13</v>
      </c>
      <c r="D217" s="49">
        <v>13000</v>
      </c>
      <c r="E217" s="49">
        <f t="shared" si="3"/>
        <v>169000</v>
      </c>
      <c r="F217"/>
      <c r="G217"/>
    </row>
    <row r="218" spans="1:7" customFormat="1" ht="14.4" hidden="1" x14ac:dyDescent="0.3">
      <c r="A218" t="s">
        <v>12</v>
      </c>
      <c r="B218" t="s">
        <v>4</v>
      </c>
      <c r="C218">
        <v>0</v>
      </c>
      <c r="E218">
        <f t="shared" si="3"/>
        <v>0</v>
      </c>
    </row>
    <row r="219" spans="1:7" x14ac:dyDescent="0.35">
      <c r="A219" s="49" t="s">
        <v>124</v>
      </c>
      <c r="B219" s="49" t="s">
        <v>4</v>
      </c>
      <c r="C219" s="49">
        <v>8</v>
      </c>
      <c r="D219" s="49">
        <v>27000</v>
      </c>
      <c r="E219" s="49">
        <f t="shared" si="3"/>
        <v>216000</v>
      </c>
      <c r="F219"/>
      <c r="G219"/>
    </row>
    <row r="220" spans="1:7" x14ac:dyDescent="0.35">
      <c r="A220" s="49" t="s">
        <v>145</v>
      </c>
      <c r="B220" s="49" t="s">
        <v>4</v>
      </c>
      <c r="C220" s="49">
        <v>600</v>
      </c>
      <c r="D220" s="49">
        <v>7500</v>
      </c>
      <c r="E220" s="49">
        <f t="shared" si="3"/>
        <v>4500000</v>
      </c>
      <c r="F220"/>
      <c r="G220"/>
    </row>
    <row r="221" spans="1:7" customFormat="1" ht="14.4" hidden="1" x14ac:dyDescent="0.3">
      <c r="A221" t="s">
        <v>16</v>
      </c>
      <c r="B221" t="s">
        <v>4</v>
      </c>
      <c r="C221">
        <v>0</v>
      </c>
      <c r="E221">
        <f t="shared" si="3"/>
        <v>0</v>
      </c>
    </row>
    <row r="222" spans="1:7" customFormat="1" ht="14.4" hidden="1" x14ac:dyDescent="0.3">
      <c r="A222" t="s">
        <v>17</v>
      </c>
      <c r="B222" t="s">
        <v>4</v>
      </c>
      <c r="C222">
        <v>0</v>
      </c>
      <c r="E222">
        <f t="shared" si="3"/>
        <v>0</v>
      </c>
    </row>
    <row r="223" spans="1:7" customFormat="1" ht="14.4" hidden="1" x14ac:dyDescent="0.3">
      <c r="A223" t="s">
        <v>46</v>
      </c>
      <c r="B223" t="s">
        <v>4</v>
      </c>
      <c r="C223">
        <v>0</v>
      </c>
      <c r="E223">
        <f t="shared" si="3"/>
        <v>0</v>
      </c>
    </row>
    <row r="224" spans="1:7" customFormat="1" ht="14.4" hidden="1" x14ac:dyDescent="0.3">
      <c r="A224" t="s">
        <v>11</v>
      </c>
      <c r="B224" t="s">
        <v>4</v>
      </c>
      <c r="C224">
        <v>0</v>
      </c>
      <c r="E224">
        <f t="shared" si="3"/>
        <v>0</v>
      </c>
    </row>
    <row r="225" spans="1:5" customFormat="1" ht="14.4" hidden="1" x14ac:dyDescent="0.3">
      <c r="A225" t="s">
        <v>42</v>
      </c>
      <c r="B225" t="s">
        <v>4</v>
      </c>
      <c r="C225">
        <v>0</v>
      </c>
      <c r="E225">
        <f t="shared" si="3"/>
        <v>0</v>
      </c>
    </row>
    <row r="226" spans="1:5" customFormat="1" ht="14.4" hidden="1" x14ac:dyDescent="0.3">
      <c r="A226" t="s">
        <v>19</v>
      </c>
      <c r="B226" t="s">
        <v>4</v>
      </c>
      <c r="C226">
        <v>0</v>
      </c>
      <c r="E226">
        <f t="shared" si="3"/>
        <v>0</v>
      </c>
    </row>
    <row r="227" spans="1:5" customFormat="1" ht="14.4" hidden="1" x14ac:dyDescent="0.3">
      <c r="A227" t="s">
        <v>48</v>
      </c>
      <c r="B227" t="s">
        <v>4</v>
      </c>
      <c r="C227">
        <v>0</v>
      </c>
      <c r="E227">
        <f t="shared" si="3"/>
        <v>0</v>
      </c>
    </row>
    <row r="228" spans="1:5" customFormat="1" ht="14.4" x14ac:dyDescent="0.3">
      <c r="E228">
        <f>SUM(E179:E220)</f>
        <v>48513000</v>
      </c>
    </row>
    <row r="229" spans="1:5" customFormat="1" ht="14.4" x14ac:dyDescent="0.3">
      <c r="E229">
        <f>SUM(E174,E228)</f>
        <v>246034135</v>
      </c>
    </row>
  </sheetData>
  <autoFilter ref="A3:E229" xr:uid="{00000000-0009-0000-0000-000003000000}">
    <filterColumn colId="4">
      <filters>
        <filter val="10300000"/>
        <filter val="108000"/>
        <filter val="1152000"/>
        <filter val="120000"/>
        <filter val="1255735"/>
        <filter val="126000"/>
        <filter val="14300000"/>
        <filter val="150000"/>
        <filter val="1500000"/>
        <filter val="160000"/>
        <filter val="169000"/>
        <filter val="1840000"/>
        <filter val="1950000"/>
        <filter val="19740000"/>
        <filter val="197521135"/>
        <filter val="216000"/>
        <filter val="240000"/>
        <filter val="2400000"/>
        <filter val="246034135"/>
        <filter val="24675000"/>
        <filter val="252000"/>
        <filter val="2730000"/>
        <filter val="2944000"/>
        <filter val="31020000"/>
        <filter val="320000"/>
        <filter val="328000"/>
        <filter val="360000"/>
        <filter val="3800000"/>
        <filter val="3904000"/>
        <filter val="4200000"/>
        <filter val="4500000"/>
        <filter val="4650000"/>
        <filter val="48513000"/>
        <filter val="5000000"/>
        <filter val="54000"/>
        <filter val="575000"/>
        <filter val="58800000"/>
        <filter val="605000"/>
        <filter val="640000"/>
        <filter val="660000"/>
        <filter val="6900000"/>
        <filter val="70000"/>
        <filter val="700000"/>
        <filter val="7130000"/>
        <filter val="750000"/>
        <filter val="76000"/>
        <filter val="78000"/>
        <filter val="780000"/>
        <filter val="800000"/>
        <filter val="842400"/>
        <filter val="875000"/>
        <filter val="900000"/>
        <filter val="969000"/>
        <filter val="thành tiền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F220"/>
  <sheetViews>
    <sheetView workbookViewId="0">
      <pane xSplit="1" ySplit="1" topLeftCell="B172" activePane="bottomRight" state="frozen"/>
      <selection pane="topRight" activeCell="B1" sqref="B1"/>
      <selection pane="bottomLeft" activeCell="A2" sqref="A2"/>
      <selection pane="bottomRight" activeCell="A173" sqref="A173:E173"/>
    </sheetView>
  </sheetViews>
  <sheetFormatPr defaultRowHeight="15.6" x14ac:dyDescent="0.3"/>
  <cols>
    <col min="1" max="1" width="43.77734375" style="31" bestFit="1" customWidth="1"/>
    <col min="2" max="2" width="11.33203125" style="31" bestFit="1" customWidth="1"/>
    <col min="3" max="3" width="9.77734375" style="31" customWidth="1"/>
    <col min="4" max="4" width="13.77734375" style="44" customWidth="1"/>
    <col min="5" max="5" width="20.77734375" style="31" customWidth="1"/>
    <col min="6" max="16384" width="8.88671875" style="31"/>
  </cols>
  <sheetData>
    <row r="1" spans="1:6" ht="31.2" x14ac:dyDescent="0.3">
      <c r="A1" s="32" t="s">
        <v>0</v>
      </c>
      <c r="B1" s="32" t="s">
        <v>1</v>
      </c>
      <c r="C1" s="33" t="s">
        <v>2</v>
      </c>
      <c r="D1" s="33" t="s">
        <v>177</v>
      </c>
      <c r="E1" s="33" t="s">
        <v>178</v>
      </c>
    </row>
    <row r="2" spans="1:6" s="24" customFormat="1" ht="14.4" hidden="1" x14ac:dyDescent="0.3">
      <c r="A2" s="25" t="s">
        <v>49</v>
      </c>
      <c r="B2" s="25" t="s">
        <v>4</v>
      </c>
      <c r="C2" s="26">
        <v>0</v>
      </c>
    </row>
    <row r="3" spans="1:6" s="24" customFormat="1" ht="14.4" hidden="1" x14ac:dyDescent="0.3">
      <c r="A3" s="25" t="s">
        <v>49</v>
      </c>
      <c r="B3" s="25" t="s">
        <v>31</v>
      </c>
      <c r="C3" s="26">
        <v>0</v>
      </c>
    </row>
    <row r="4" spans="1:6" s="24" customFormat="1" ht="14.4" hidden="1" x14ac:dyDescent="0.3">
      <c r="A4" s="25" t="s">
        <v>19</v>
      </c>
      <c r="B4" s="25" t="s">
        <v>4</v>
      </c>
      <c r="C4" s="26">
        <v>0</v>
      </c>
    </row>
    <row r="5" spans="1:6" s="24" customFormat="1" ht="14.4" hidden="1" x14ac:dyDescent="0.3">
      <c r="A5" s="25" t="s">
        <v>19</v>
      </c>
      <c r="B5" s="25" t="s">
        <v>50</v>
      </c>
      <c r="C5" s="26">
        <v>0</v>
      </c>
    </row>
    <row r="6" spans="1:6" s="24" customFormat="1" ht="14.4" hidden="1" x14ac:dyDescent="0.3">
      <c r="A6" s="25" t="s">
        <v>51</v>
      </c>
      <c r="B6" s="25" t="s">
        <v>53</v>
      </c>
      <c r="C6" s="26">
        <v>0</v>
      </c>
    </row>
    <row r="7" spans="1:6" x14ac:dyDescent="0.3">
      <c r="A7" s="29" t="s">
        <v>51</v>
      </c>
      <c r="B7" s="29" t="s">
        <v>4</v>
      </c>
      <c r="C7" s="39">
        <v>2</v>
      </c>
      <c r="D7" s="41">
        <v>40000</v>
      </c>
      <c r="E7" s="38">
        <f>+D7*C7</f>
        <v>80000</v>
      </c>
    </row>
    <row r="8" spans="1:6" s="24" customFormat="1" ht="14.4" hidden="1" x14ac:dyDescent="0.3">
      <c r="A8" s="25" t="s">
        <v>28</v>
      </c>
      <c r="B8" s="25" t="s">
        <v>4</v>
      </c>
      <c r="C8" s="26">
        <v>0</v>
      </c>
    </row>
    <row r="9" spans="1:6" s="24" customFormat="1" ht="14.4" hidden="1" x14ac:dyDescent="0.3">
      <c r="A9" s="25" t="s">
        <v>28</v>
      </c>
      <c r="B9" s="25" t="s">
        <v>31</v>
      </c>
      <c r="C9" s="26">
        <v>0</v>
      </c>
    </row>
    <row r="10" spans="1:6" x14ac:dyDescent="0.3">
      <c r="A10" s="29" t="s">
        <v>29</v>
      </c>
      <c r="B10" s="29" t="s">
        <v>4</v>
      </c>
      <c r="C10" s="39">
        <v>1895</v>
      </c>
      <c r="D10" s="41">
        <v>28000</v>
      </c>
      <c r="E10" s="38">
        <f>+D10*C10</f>
        <v>53060000</v>
      </c>
    </row>
    <row r="11" spans="1:6" s="24" customFormat="1" ht="14.4" hidden="1" x14ac:dyDescent="0.3">
      <c r="A11" s="25" t="s">
        <v>29</v>
      </c>
      <c r="B11" s="25" t="s">
        <v>150</v>
      </c>
      <c r="C11" s="26">
        <v>0</v>
      </c>
    </row>
    <row r="12" spans="1:6" s="24" customFormat="1" ht="14.4" hidden="1" x14ac:dyDescent="0.3">
      <c r="A12" s="25" t="s">
        <v>56</v>
      </c>
      <c r="B12" s="25" t="s">
        <v>31</v>
      </c>
      <c r="C12" s="26">
        <v>0</v>
      </c>
    </row>
    <row r="13" spans="1:6" x14ac:dyDescent="0.3">
      <c r="A13" s="29" t="s">
        <v>57</v>
      </c>
      <c r="B13" s="29" t="s">
        <v>4</v>
      </c>
      <c r="C13" s="39">
        <v>1015</v>
      </c>
      <c r="D13" s="41">
        <f>VLOOKUP(A13,'4.11'!A17:D226,4,)</f>
        <v>21000</v>
      </c>
      <c r="E13" s="38">
        <f>+D13*C13</f>
        <v>21315000</v>
      </c>
      <c r="F13" s="31">
        <v>1010</v>
      </c>
    </row>
    <row r="14" spans="1:6" s="24" customFormat="1" ht="14.4" hidden="1" x14ac:dyDescent="0.3">
      <c r="A14" s="25" t="s">
        <v>57</v>
      </c>
      <c r="B14" s="25" t="s">
        <v>31</v>
      </c>
      <c r="C14" s="26">
        <v>0</v>
      </c>
    </row>
    <row r="15" spans="1:6" x14ac:dyDescent="0.3">
      <c r="A15" s="29" t="s">
        <v>32</v>
      </c>
      <c r="B15" s="29" t="s">
        <v>4</v>
      </c>
      <c r="C15" s="39">
        <v>120</v>
      </c>
      <c r="D15" s="41">
        <f>VLOOKUP(A15,'4.11'!A19:D228,4,)</f>
        <v>19500</v>
      </c>
      <c r="E15" s="38">
        <f>+D15*C15</f>
        <v>2340000</v>
      </c>
    </row>
    <row r="16" spans="1:6" s="24" customFormat="1" ht="14.4" hidden="1" x14ac:dyDescent="0.3">
      <c r="A16" s="25" t="s">
        <v>32</v>
      </c>
      <c r="B16" s="25" t="s">
        <v>31</v>
      </c>
      <c r="C16" s="26">
        <v>0</v>
      </c>
    </row>
    <row r="17" spans="1:5" x14ac:dyDescent="0.3">
      <c r="A17" s="29" t="s">
        <v>34</v>
      </c>
      <c r="B17" s="29" t="s">
        <v>4</v>
      </c>
      <c r="C17" s="39">
        <v>115</v>
      </c>
      <c r="D17" s="41">
        <f>VLOOKUP(A17,'4.11'!A21:D230,4,)</f>
        <v>15000</v>
      </c>
      <c r="E17" s="38">
        <f>+D17*C17</f>
        <v>1725000</v>
      </c>
    </row>
    <row r="18" spans="1:5" s="24" customFormat="1" ht="14.4" hidden="1" x14ac:dyDescent="0.3">
      <c r="A18" s="25" t="s">
        <v>34</v>
      </c>
      <c r="B18" s="25" t="s">
        <v>31</v>
      </c>
      <c r="C18" s="26">
        <v>0</v>
      </c>
    </row>
    <row r="19" spans="1:5" s="24" customFormat="1" ht="14.4" hidden="1" x14ac:dyDescent="0.3">
      <c r="A19" s="25" t="s">
        <v>60</v>
      </c>
      <c r="B19" s="25" t="s">
        <v>4</v>
      </c>
      <c r="C19" s="26">
        <v>0</v>
      </c>
    </row>
    <row r="20" spans="1:5" s="24" customFormat="1" ht="14.4" hidden="1" x14ac:dyDescent="0.3">
      <c r="A20" s="25" t="s">
        <v>60</v>
      </c>
      <c r="B20" s="25" t="s">
        <v>50</v>
      </c>
      <c r="C20" s="26">
        <v>0</v>
      </c>
    </row>
    <row r="21" spans="1:5" x14ac:dyDescent="0.3">
      <c r="A21" s="29" t="s">
        <v>6</v>
      </c>
      <c r="B21" s="29" t="s">
        <v>4</v>
      </c>
      <c r="C21" s="39">
        <v>650</v>
      </c>
      <c r="D21" s="41">
        <f>VLOOKUP(A21,'4.11'!A25:D234,4,)</f>
        <v>11000</v>
      </c>
      <c r="E21" s="38">
        <f>+D21*C21</f>
        <v>7150000</v>
      </c>
    </row>
    <row r="22" spans="1:5" s="24" customFormat="1" ht="14.4" hidden="1" x14ac:dyDescent="0.3">
      <c r="A22" s="25" t="s">
        <v>62</v>
      </c>
      <c r="B22" s="25" t="s">
        <v>4</v>
      </c>
      <c r="C22" s="26">
        <v>0</v>
      </c>
    </row>
    <row r="23" spans="1:5" x14ac:dyDescent="0.3">
      <c r="A23" s="29" t="s">
        <v>62</v>
      </c>
      <c r="B23" s="29" t="s">
        <v>31</v>
      </c>
      <c r="C23" s="39">
        <v>55</v>
      </c>
      <c r="D23" s="41">
        <v>13500</v>
      </c>
      <c r="E23" s="38">
        <f>+D23*C23</f>
        <v>742500</v>
      </c>
    </row>
    <row r="24" spans="1:5" s="24" customFormat="1" ht="14.4" hidden="1" x14ac:dyDescent="0.3">
      <c r="A24" s="25" t="s">
        <v>64</v>
      </c>
      <c r="B24" s="25" t="s">
        <v>4</v>
      </c>
      <c r="C24" s="26">
        <v>0</v>
      </c>
    </row>
    <row r="25" spans="1:5" s="24" customFormat="1" ht="14.4" hidden="1" x14ac:dyDescent="0.3">
      <c r="A25" s="25" t="s">
        <v>64</v>
      </c>
      <c r="B25" s="25" t="s">
        <v>31</v>
      </c>
      <c r="C25" s="26">
        <v>0</v>
      </c>
    </row>
    <row r="26" spans="1:5" s="24" customFormat="1" ht="14.4" hidden="1" x14ac:dyDescent="0.3">
      <c r="A26" s="25" t="s">
        <v>64</v>
      </c>
      <c r="B26" s="25" t="s">
        <v>65</v>
      </c>
      <c r="C26" s="26">
        <v>0</v>
      </c>
    </row>
    <row r="27" spans="1:5" x14ac:dyDescent="0.3">
      <c r="A27" s="29" t="s">
        <v>22</v>
      </c>
      <c r="B27" s="29" t="s">
        <v>4</v>
      </c>
      <c r="C27" s="39">
        <v>1440</v>
      </c>
      <c r="D27" s="41">
        <f>VLOOKUP(A27,'4.11'!A31:D240,4,)</f>
        <v>7500</v>
      </c>
      <c r="E27" s="38">
        <f>+D27*C27</f>
        <v>10800000</v>
      </c>
    </row>
    <row r="28" spans="1:5" s="24" customFormat="1" ht="14.4" hidden="1" x14ac:dyDescent="0.3">
      <c r="A28" s="25" t="s">
        <v>24</v>
      </c>
      <c r="B28" s="25" t="s">
        <v>66</v>
      </c>
      <c r="C28" s="26">
        <v>0</v>
      </c>
    </row>
    <row r="29" spans="1:5" x14ac:dyDescent="0.3">
      <c r="A29" s="29" t="s">
        <v>24</v>
      </c>
      <c r="B29" s="29" t="s">
        <v>4</v>
      </c>
      <c r="C29" s="39">
        <v>5</v>
      </c>
      <c r="D29" s="41">
        <v>11000</v>
      </c>
      <c r="E29" s="38">
        <f>+D29*C29</f>
        <v>55000</v>
      </c>
    </row>
    <row r="30" spans="1:5" s="24" customFormat="1" ht="14.4" hidden="1" x14ac:dyDescent="0.3">
      <c r="A30" s="25" t="s">
        <v>24</v>
      </c>
      <c r="B30" s="25" t="s">
        <v>31</v>
      </c>
      <c r="C30" s="26">
        <v>0</v>
      </c>
    </row>
    <row r="31" spans="1:5" x14ac:dyDescent="0.3">
      <c r="A31" s="29" t="s">
        <v>75</v>
      </c>
      <c r="B31" s="29" t="s">
        <v>4</v>
      </c>
      <c r="C31" s="39">
        <v>3</v>
      </c>
      <c r="D31" s="41">
        <v>28000</v>
      </c>
      <c r="E31" s="38">
        <f t="shared" ref="E31:E32" si="0">+D31*C31</f>
        <v>84000</v>
      </c>
    </row>
    <row r="32" spans="1:5" x14ac:dyDescent="0.3">
      <c r="A32" s="29" t="s">
        <v>8</v>
      </c>
      <c r="B32" s="29" t="s">
        <v>4</v>
      </c>
      <c r="C32" s="39">
        <v>135</v>
      </c>
      <c r="D32" s="41">
        <v>5200</v>
      </c>
      <c r="E32" s="38">
        <f t="shared" si="0"/>
        <v>702000</v>
      </c>
    </row>
    <row r="33" spans="1:5" s="24" customFormat="1" ht="14.4" hidden="1" x14ac:dyDescent="0.3">
      <c r="A33" s="25" t="s">
        <v>10</v>
      </c>
      <c r="B33" s="25" t="s">
        <v>4</v>
      </c>
      <c r="C33" s="26">
        <v>0</v>
      </c>
    </row>
    <row r="34" spans="1:5" s="24" customFormat="1" ht="14.4" hidden="1" x14ac:dyDescent="0.3">
      <c r="A34" s="25" t="s">
        <v>10</v>
      </c>
      <c r="B34" s="25" t="s">
        <v>84</v>
      </c>
      <c r="C34" s="26">
        <v>0</v>
      </c>
    </row>
    <row r="35" spans="1:5" x14ac:dyDescent="0.3">
      <c r="A35" s="29" t="s">
        <v>11</v>
      </c>
      <c r="B35" s="29" t="s">
        <v>4</v>
      </c>
      <c r="C35" s="39">
        <v>60</v>
      </c>
      <c r="D35" s="41">
        <v>18000</v>
      </c>
      <c r="E35" s="38">
        <f>+D35*C35</f>
        <v>1080000</v>
      </c>
    </row>
    <row r="36" spans="1:5" s="24" customFormat="1" ht="14.4" hidden="1" x14ac:dyDescent="0.3">
      <c r="A36" s="25" t="s">
        <v>11</v>
      </c>
      <c r="B36" s="25" t="s">
        <v>84</v>
      </c>
      <c r="C36" s="26">
        <v>0</v>
      </c>
    </row>
    <row r="37" spans="1:5" x14ac:dyDescent="0.3">
      <c r="A37" s="29" t="s">
        <v>15</v>
      </c>
      <c r="B37" s="29" t="s">
        <v>4</v>
      </c>
      <c r="C37" s="39">
        <v>495</v>
      </c>
      <c r="D37" s="41">
        <f>VLOOKUP(A37,'4.11'!A41:D250,4,)</f>
        <v>25000</v>
      </c>
      <c r="E37" s="38">
        <f>+D37*C37</f>
        <v>12375000</v>
      </c>
    </row>
    <row r="38" spans="1:5" s="24" customFormat="1" ht="14.4" hidden="1" x14ac:dyDescent="0.3">
      <c r="A38" s="25" t="s">
        <v>15</v>
      </c>
      <c r="B38" s="25" t="s">
        <v>50</v>
      </c>
      <c r="C38" s="26">
        <v>0</v>
      </c>
    </row>
    <row r="39" spans="1:5" s="24" customFormat="1" ht="14.4" hidden="1" x14ac:dyDescent="0.3">
      <c r="A39" s="25" t="s">
        <v>15</v>
      </c>
      <c r="B39" s="25" t="s">
        <v>164</v>
      </c>
      <c r="C39" s="26">
        <v>0</v>
      </c>
    </row>
    <row r="40" spans="1:5" x14ac:dyDescent="0.3">
      <c r="A40" s="29" t="s">
        <v>18</v>
      </c>
      <c r="B40" s="29" t="s">
        <v>4</v>
      </c>
      <c r="C40" s="39">
        <v>660</v>
      </c>
      <c r="D40" s="41">
        <f>VLOOKUP(A40,'4.11'!A44:D253,4,)</f>
        <v>23000</v>
      </c>
      <c r="E40" s="38">
        <f>+D40*C40</f>
        <v>15180000</v>
      </c>
    </row>
    <row r="41" spans="1:5" s="24" customFormat="1" ht="14.4" hidden="1" x14ac:dyDescent="0.3">
      <c r="A41" s="25" t="s">
        <v>18</v>
      </c>
      <c r="B41" s="25" t="s">
        <v>50</v>
      </c>
      <c r="C41" s="26">
        <v>0</v>
      </c>
    </row>
    <row r="42" spans="1:5" x14ac:dyDescent="0.3">
      <c r="A42" s="29" t="s">
        <v>92</v>
      </c>
      <c r="B42" s="29" t="s">
        <v>31</v>
      </c>
      <c r="C42" s="39">
        <v>75</v>
      </c>
      <c r="D42" s="41">
        <f>VLOOKUP(A42,'4.11'!A46:D255,4,)</f>
        <v>20000</v>
      </c>
      <c r="E42" s="38">
        <f>+D42*C42</f>
        <v>1500000</v>
      </c>
    </row>
    <row r="43" spans="1:5" s="24" customFormat="1" ht="14.4" hidden="1" x14ac:dyDescent="0.3">
      <c r="A43" s="25" t="s">
        <v>39</v>
      </c>
      <c r="B43" s="25" t="s">
        <v>4</v>
      </c>
      <c r="C43" s="26">
        <v>0</v>
      </c>
    </row>
    <row r="44" spans="1:5" x14ac:dyDescent="0.3">
      <c r="A44" s="29" t="s">
        <v>39</v>
      </c>
      <c r="B44" s="29" t="s">
        <v>50</v>
      </c>
      <c r="C44" s="39">
        <v>389</v>
      </c>
      <c r="D44" s="41">
        <f>VLOOKUP(A44,'4.11'!A48:D257,4,)</f>
        <v>12000</v>
      </c>
      <c r="E44" s="38">
        <f t="shared" ref="E44:E46" si="1">+D44*C44</f>
        <v>4668000</v>
      </c>
    </row>
    <row r="45" spans="1:5" x14ac:dyDescent="0.3">
      <c r="A45" s="29" t="s">
        <v>100</v>
      </c>
      <c r="B45" s="29" t="s">
        <v>4</v>
      </c>
      <c r="C45" s="39">
        <v>49</v>
      </c>
      <c r="D45" s="41">
        <f>VLOOKUP(A45,'4.11'!A49:D258,4,)</f>
        <v>6000</v>
      </c>
      <c r="E45" s="38">
        <f t="shared" si="1"/>
        <v>294000</v>
      </c>
    </row>
    <row r="46" spans="1:5" x14ac:dyDescent="0.3">
      <c r="A46" s="29" t="s">
        <v>43</v>
      </c>
      <c r="B46" s="29" t="s">
        <v>4</v>
      </c>
      <c r="C46" s="39">
        <v>110</v>
      </c>
      <c r="D46" s="41">
        <f>VLOOKUP(A46,'4.11'!A50:D259,4,)</f>
        <v>46000</v>
      </c>
      <c r="E46" s="38">
        <f t="shared" si="1"/>
        <v>5060000</v>
      </c>
    </row>
    <row r="47" spans="1:5" s="24" customFormat="1" ht="14.4" hidden="1" x14ac:dyDescent="0.3">
      <c r="A47" s="25" t="s">
        <v>43</v>
      </c>
      <c r="B47" s="25" t="s">
        <v>84</v>
      </c>
      <c r="C47" s="26">
        <v>0</v>
      </c>
    </row>
    <row r="48" spans="1:5" x14ac:dyDescent="0.3">
      <c r="A48" s="29" t="s">
        <v>44</v>
      </c>
      <c r="B48" s="29" t="s">
        <v>4</v>
      </c>
      <c r="C48" s="39">
        <v>86</v>
      </c>
      <c r="D48" s="41">
        <f>VLOOKUP(A48,'4.11'!A52:D261,4,)</f>
        <v>32000</v>
      </c>
      <c r="E48" s="38">
        <f>+D48*C48</f>
        <v>2752000</v>
      </c>
    </row>
    <row r="49" spans="1:6" s="24" customFormat="1" ht="14.4" hidden="1" x14ac:dyDescent="0.3">
      <c r="A49" s="25" t="s">
        <v>44</v>
      </c>
      <c r="B49" s="25" t="s">
        <v>84</v>
      </c>
      <c r="C49" s="26">
        <v>0</v>
      </c>
    </row>
    <row r="50" spans="1:6" x14ac:dyDescent="0.3">
      <c r="A50" s="29" t="s">
        <v>45</v>
      </c>
      <c r="B50" s="29" t="s">
        <v>4</v>
      </c>
      <c r="C50" s="39">
        <v>110</v>
      </c>
      <c r="D50" s="41">
        <f>VLOOKUP(A50,'4.11'!A54:D263,4,)</f>
        <v>35000</v>
      </c>
      <c r="E50" s="38">
        <f>+D50*C50</f>
        <v>3850000</v>
      </c>
    </row>
    <row r="51" spans="1:6" s="24" customFormat="1" ht="14.4" hidden="1" x14ac:dyDescent="0.3">
      <c r="A51" s="25" t="s">
        <v>45</v>
      </c>
      <c r="B51" s="25" t="s">
        <v>84</v>
      </c>
      <c r="C51" s="26">
        <v>0</v>
      </c>
    </row>
    <row r="52" spans="1:6" x14ac:dyDescent="0.3">
      <c r="A52" s="29" t="s">
        <v>12</v>
      </c>
      <c r="B52" s="29" t="s">
        <v>4</v>
      </c>
      <c r="C52" s="39">
        <v>89</v>
      </c>
      <c r="D52" s="41">
        <v>26000</v>
      </c>
      <c r="E52" s="38">
        <f>+D52*C52</f>
        <v>2314000</v>
      </c>
    </row>
    <row r="53" spans="1:6" s="24" customFormat="1" ht="14.4" hidden="1" x14ac:dyDescent="0.3">
      <c r="A53" s="25" t="s">
        <v>116</v>
      </c>
      <c r="B53" s="25" t="s">
        <v>50</v>
      </c>
      <c r="C53" s="26">
        <v>0</v>
      </c>
    </row>
    <row r="54" spans="1:6" x14ac:dyDescent="0.3">
      <c r="A54" s="29" t="s">
        <v>117</v>
      </c>
      <c r="B54" s="29" t="s">
        <v>4</v>
      </c>
      <c r="C54" s="39">
        <v>620</v>
      </c>
      <c r="D54" s="41">
        <f>VLOOKUP(A54,'4.11'!A58:D267,4,)</f>
        <v>21000</v>
      </c>
      <c r="E54" s="38">
        <f t="shared" ref="E54:E58" si="2">+D54*C54</f>
        <v>13020000</v>
      </c>
      <c r="F54" s="31">
        <v>620</v>
      </c>
    </row>
    <row r="55" spans="1:6" x14ac:dyDescent="0.3">
      <c r="A55" s="29" t="s">
        <v>17</v>
      </c>
      <c r="B55" s="29" t="s">
        <v>4</v>
      </c>
      <c r="C55" s="39">
        <v>9</v>
      </c>
      <c r="D55" s="41">
        <v>38000</v>
      </c>
      <c r="E55" s="38">
        <f t="shared" si="2"/>
        <v>342000</v>
      </c>
    </row>
    <row r="56" spans="1:6" x14ac:dyDescent="0.3">
      <c r="A56" s="29" t="s">
        <v>17</v>
      </c>
      <c r="B56" s="29" t="s">
        <v>147</v>
      </c>
      <c r="C56" s="39">
        <v>18</v>
      </c>
      <c r="D56" s="41">
        <v>11400</v>
      </c>
      <c r="E56" s="38">
        <f t="shared" si="2"/>
        <v>205200</v>
      </c>
    </row>
    <row r="57" spans="1:6" x14ac:dyDescent="0.3">
      <c r="A57" s="29" t="s">
        <v>118</v>
      </c>
      <c r="B57" s="29" t="s">
        <v>4</v>
      </c>
      <c r="C57" s="39">
        <v>60</v>
      </c>
      <c r="D57" s="41">
        <f>VLOOKUP(A57,'4.11'!A61:D270,4,)</f>
        <v>19319</v>
      </c>
      <c r="E57" s="38">
        <f t="shared" si="2"/>
        <v>1159140</v>
      </c>
    </row>
    <row r="58" spans="1:6" x14ac:dyDescent="0.3">
      <c r="A58" s="29" t="s">
        <v>41</v>
      </c>
      <c r="B58" s="29" t="s">
        <v>4</v>
      </c>
      <c r="C58" s="39">
        <f>350+2000</f>
        <v>2350</v>
      </c>
      <c r="D58" s="41">
        <f>VLOOKUP(A58,'4.11'!A62:D271,4,)</f>
        <v>28600</v>
      </c>
      <c r="E58" s="38">
        <f t="shared" si="2"/>
        <v>67210000</v>
      </c>
      <c r="F58" s="31" t="s">
        <v>182</v>
      </c>
    </row>
    <row r="59" spans="1:6" s="24" customFormat="1" ht="14.4" hidden="1" x14ac:dyDescent="0.3">
      <c r="A59" s="25" t="s">
        <v>59</v>
      </c>
      <c r="B59" s="25" t="s">
        <v>4</v>
      </c>
      <c r="C59" s="26">
        <v>0</v>
      </c>
    </row>
    <row r="60" spans="1:6" s="24" customFormat="1" ht="14.4" hidden="1" x14ac:dyDescent="0.3">
      <c r="A60" s="25" t="s">
        <v>74</v>
      </c>
      <c r="B60" s="25" t="s">
        <v>4</v>
      </c>
      <c r="C60" s="26">
        <v>0</v>
      </c>
    </row>
    <row r="61" spans="1:6" s="24" customFormat="1" ht="14.4" hidden="1" x14ac:dyDescent="0.3">
      <c r="A61" s="25" t="s">
        <v>74</v>
      </c>
      <c r="B61" s="25" t="s">
        <v>31</v>
      </c>
      <c r="C61" s="26">
        <v>0</v>
      </c>
    </row>
    <row r="62" spans="1:6" s="24" customFormat="1" ht="14.4" hidden="1" x14ac:dyDescent="0.3">
      <c r="A62" s="25" t="s">
        <v>83</v>
      </c>
      <c r="B62" s="25" t="s">
        <v>4</v>
      </c>
      <c r="C62" s="26">
        <v>0</v>
      </c>
    </row>
    <row r="63" spans="1:6" s="24" customFormat="1" ht="14.4" hidden="1" x14ac:dyDescent="0.3">
      <c r="A63" s="25" t="s">
        <v>78</v>
      </c>
      <c r="B63" s="25" t="s">
        <v>4</v>
      </c>
      <c r="C63" s="26">
        <v>0</v>
      </c>
    </row>
    <row r="64" spans="1:6" s="24" customFormat="1" ht="14.4" hidden="1" x14ac:dyDescent="0.3">
      <c r="A64" s="25" t="s">
        <v>58</v>
      </c>
      <c r="B64" s="25" t="s">
        <v>4</v>
      </c>
      <c r="C64" s="26">
        <v>0</v>
      </c>
    </row>
    <row r="65" spans="1:5" s="24" customFormat="1" ht="14.4" hidden="1" x14ac:dyDescent="0.3">
      <c r="A65" s="25" t="s">
        <v>167</v>
      </c>
      <c r="B65" s="25" t="s">
        <v>53</v>
      </c>
      <c r="C65" s="26">
        <v>0</v>
      </c>
    </row>
    <row r="66" spans="1:5" s="24" customFormat="1" ht="14.4" hidden="1" x14ac:dyDescent="0.3">
      <c r="A66" s="25" t="s">
        <v>37</v>
      </c>
      <c r="B66" s="25" t="s">
        <v>4</v>
      </c>
      <c r="C66" s="26">
        <v>0</v>
      </c>
    </row>
    <row r="67" spans="1:5" s="24" customFormat="1" ht="14.4" hidden="1" x14ac:dyDescent="0.3">
      <c r="A67" s="25" t="s">
        <v>37</v>
      </c>
      <c r="B67" s="25" t="s">
        <v>150</v>
      </c>
      <c r="C67" s="26">
        <v>0</v>
      </c>
    </row>
    <row r="68" spans="1:5" s="24" customFormat="1" ht="14.4" hidden="1" x14ac:dyDescent="0.3">
      <c r="A68" s="25" t="s">
        <v>37</v>
      </c>
      <c r="B68" s="25" t="s">
        <v>151</v>
      </c>
      <c r="C68" s="26">
        <v>0</v>
      </c>
    </row>
    <row r="69" spans="1:5" s="24" customFormat="1" ht="14.4" hidden="1" x14ac:dyDescent="0.3">
      <c r="A69" s="25" t="s">
        <v>101</v>
      </c>
      <c r="B69" s="25" t="s">
        <v>53</v>
      </c>
      <c r="C69" s="26">
        <v>0</v>
      </c>
    </row>
    <row r="70" spans="1:5" s="24" customFormat="1" ht="14.4" hidden="1" x14ac:dyDescent="0.3">
      <c r="A70" s="25" t="s">
        <v>101</v>
      </c>
      <c r="B70" s="25" t="s">
        <v>4</v>
      </c>
      <c r="C70" s="26">
        <v>0</v>
      </c>
    </row>
    <row r="71" spans="1:5" s="24" customFormat="1" ht="14.4" hidden="1" x14ac:dyDescent="0.3">
      <c r="A71" s="25" t="s">
        <v>42</v>
      </c>
      <c r="B71" s="25" t="s">
        <v>4</v>
      </c>
      <c r="C71" s="26">
        <v>0</v>
      </c>
    </row>
    <row r="72" spans="1:5" s="24" customFormat="1" ht="14.4" hidden="1" x14ac:dyDescent="0.3">
      <c r="A72" s="25" t="s">
        <v>42</v>
      </c>
      <c r="B72" s="25" t="s">
        <v>31</v>
      </c>
      <c r="C72" s="26">
        <v>0</v>
      </c>
    </row>
    <row r="73" spans="1:5" s="24" customFormat="1" ht="14.4" hidden="1" x14ac:dyDescent="0.3">
      <c r="A73" s="25" t="s">
        <v>46</v>
      </c>
      <c r="B73" s="25" t="s">
        <v>31</v>
      </c>
      <c r="C73" s="26">
        <v>0</v>
      </c>
    </row>
    <row r="74" spans="1:5" x14ac:dyDescent="0.3">
      <c r="A74" s="29" t="s">
        <v>46</v>
      </c>
      <c r="B74" s="29" t="s">
        <v>173</v>
      </c>
      <c r="C74" s="39">
        <v>3</v>
      </c>
      <c r="D74" s="41">
        <v>20000</v>
      </c>
      <c r="E74" s="38">
        <f t="shared" ref="E74:E75" si="3">+D74*C74</f>
        <v>60000</v>
      </c>
    </row>
    <row r="75" spans="1:5" x14ac:dyDescent="0.3">
      <c r="A75" s="29" t="s">
        <v>3</v>
      </c>
      <c r="B75" s="29" t="s">
        <v>4</v>
      </c>
      <c r="C75" s="39">
        <v>55</v>
      </c>
      <c r="D75" s="41">
        <v>30000</v>
      </c>
      <c r="E75" s="38">
        <f t="shared" si="3"/>
        <v>1650000</v>
      </c>
    </row>
    <row r="76" spans="1:5" s="24" customFormat="1" ht="14.4" hidden="1" x14ac:dyDescent="0.3">
      <c r="A76" s="25" t="s">
        <v>70</v>
      </c>
      <c r="B76" s="25" t="s">
        <v>4</v>
      </c>
      <c r="C76" s="26">
        <v>0</v>
      </c>
    </row>
    <row r="77" spans="1:5" s="24" customFormat="1" ht="14.4" hidden="1" x14ac:dyDescent="0.3">
      <c r="A77" s="25" t="s">
        <v>70</v>
      </c>
      <c r="B77" s="25" t="s">
        <v>71</v>
      </c>
      <c r="C77" s="26">
        <v>0</v>
      </c>
    </row>
    <row r="78" spans="1:5" s="24" customFormat="1" ht="14.4" hidden="1" x14ac:dyDescent="0.3">
      <c r="A78" s="25" t="s">
        <v>72</v>
      </c>
      <c r="B78" s="25" t="s">
        <v>4</v>
      </c>
      <c r="C78" s="26">
        <v>0</v>
      </c>
    </row>
    <row r="79" spans="1:5" s="24" customFormat="1" ht="14.4" hidden="1" x14ac:dyDescent="0.3">
      <c r="A79" s="25" t="s">
        <v>72</v>
      </c>
      <c r="B79" s="25" t="s">
        <v>73</v>
      </c>
      <c r="C79" s="26">
        <v>0</v>
      </c>
    </row>
    <row r="80" spans="1:5" s="24" customFormat="1" ht="14.4" hidden="1" x14ac:dyDescent="0.3">
      <c r="A80" s="25" t="s">
        <v>40</v>
      </c>
      <c r="B80" s="25" t="s">
        <v>66</v>
      </c>
      <c r="C80" s="26">
        <v>0</v>
      </c>
    </row>
    <row r="81" spans="1:5" s="24" customFormat="1" ht="14.4" hidden="1" x14ac:dyDescent="0.3">
      <c r="A81" s="25" t="s">
        <v>40</v>
      </c>
      <c r="B81" s="25" t="s">
        <v>4</v>
      </c>
      <c r="C81" s="26">
        <v>0</v>
      </c>
    </row>
    <row r="82" spans="1:5" s="24" customFormat="1" ht="14.4" hidden="1" x14ac:dyDescent="0.3">
      <c r="A82" s="25" t="s">
        <v>40</v>
      </c>
      <c r="B82" s="25" t="s">
        <v>174</v>
      </c>
      <c r="C82" s="26">
        <v>0</v>
      </c>
    </row>
    <row r="83" spans="1:5" s="24" customFormat="1" ht="14.4" hidden="1" x14ac:dyDescent="0.3">
      <c r="A83" s="25" t="s">
        <v>68</v>
      </c>
      <c r="B83" s="25" t="s">
        <v>4</v>
      </c>
      <c r="C83" s="26">
        <v>0</v>
      </c>
    </row>
    <row r="84" spans="1:5" s="24" customFormat="1" ht="14.4" hidden="1" x14ac:dyDescent="0.3">
      <c r="A84" s="25" t="s">
        <v>68</v>
      </c>
      <c r="B84" s="25" t="s">
        <v>31</v>
      </c>
      <c r="C84" s="26">
        <v>0</v>
      </c>
    </row>
    <row r="85" spans="1:5" s="24" customFormat="1" ht="14.4" hidden="1" x14ac:dyDescent="0.3">
      <c r="A85" s="25" t="s">
        <v>89</v>
      </c>
      <c r="B85" s="25" t="s">
        <v>53</v>
      </c>
      <c r="C85" s="26">
        <v>0</v>
      </c>
    </row>
    <row r="86" spans="1:5" s="24" customFormat="1" ht="14.4" hidden="1" x14ac:dyDescent="0.3">
      <c r="A86" s="25" t="s">
        <v>7</v>
      </c>
      <c r="B86" s="25" t="s">
        <v>4</v>
      </c>
      <c r="C86" s="26">
        <v>0</v>
      </c>
    </row>
    <row r="87" spans="1:5" s="24" customFormat="1" ht="14.4" hidden="1" x14ac:dyDescent="0.3">
      <c r="A87" s="25" t="s">
        <v>7</v>
      </c>
      <c r="B87" s="25" t="s">
        <v>84</v>
      </c>
      <c r="C87" s="26">
        <v>0</v>
      </c>
    </row>
    <row r="88" spans="1:5" s="24" customFormat="1" ht="14.4" hidden="1" x14ac:dyDescent="0.3">
      <c r="A88" s="25" t="s">
        <v>158</v>
      </c>
      <c r="B88" s="25" t="s">
        <v>31</v>
      </c>
      <c r="C88" s="26">
        <v>0</v>
      </c>
    </row>
    <row r="89" spans="1:5" s="24" customFormat="1" ht="14.4" hidden="1" x14ac:dyDescent="0.3">
      <c r="A89" s="25" t="s">
        <v>27</v>
      </c>
      <c r="B89" s="25" t="s">
        <v>4</v>
      </c>
      <c r="C89" s="26">
        <v>0</v>
      </c>
    </row>
    <row r="90" spans="1:5" x14ac:dyDescent="0.3">
      <c r="A90" s="29" t="s">
        <v>35</v>
      </c>
      <c r="B90" s="29" t="s">
        <v>4</v>
      </c>
      <c r="C90" s="39">
        <v>4</v>
      </c>
      <c r="D90" s="41">
        <v>18000</v>
      </c>
      <c r="E90" s="38">
        <f>+D90*C90</f>
        <v>72000</v>
      </c>
    </row>
    <row r="91" spans="1:5" s="24" customFormat="1" ht="14.4" hidden="1" x14ac:dyDescent="0.3">
      <c r="A91" s="25" t="s">
        <v>77</v>
      </c>
      <c r="B91" s="25" t="s">
        <v>66</v>
      </c>
      <c r="C91" s="26">
        <v>0</v>
      </c>
    </row>
    <row r="92" spans="1:5" s="24" customFormat="1" ht="14.4" hidden="1" x14ac:dyDescent="0.3">
      <c r="A92" s="25" t="s">
        <v>126</v>
      </c>
      <c r="B92" s="25" t="s">
        <v>4</v>
      </c>
      <c r="C92" s="26">
        <v>0</v>
      </c>
    </row>
    <row r="93" spans="1:5" s="24" customFormat="1" ht="14.4" hidden="1" x14ac:dyDescent="0.3">
      <c r="A93" s="25" t="s">
        <v>126</v>
      </c>
      <c r="B93" s="25" t="s">
        <v>73</v>
      </c>
      <c r="C93" s="26">
        <v>0</v>
      </c>
    </row>
    <row r="94" spans="1:5" x14ac:dyDescent="0.3">
      <c r="A94" s="29" t="s">
        <v>5</v>
      </c>
      <c r="B94" s="29" t="s">
        <v>4</v>
      </c>
      <c r="C94" s="39">
        <v>505</v>
      </c>
      <c r="D94" s="41">
        <v>15000</v>
      </c>
      <c r="E94" s="38">
        <f>+D94*C94</f>
        <v>7575000</v>
      </c>
    </row>
    <row r="95" spans="1:5" s="24" customFormat="1" ht="14.4" hidden="1" x14ac:dyDescent="0.3">
      <c r="A95" s="25" t="s">
        <v>106</v>
      </c>
      <c r="B95" s="25" t="s">
        <v>4</v>
      </c>
      <c r="C95" s="26">
        <v>0</v>
      </c>
    </row>
    <row r="96" spans="1:5" x14ac:dyDescent="0.3">
      <c r="A96" s="29" t="s">
        <v>16</v>
      </c>
      <c r="B96" s="29" t="s">
        <v>4</v>
      </c>
      <c r="C96" s="39">
        <v>62</v>
      </c>
      <c r="D96" s="41">
        <v>15000</v>
      </c>
      <c r="E96" s="38">
        <f>+D96*C96</f>
        <v>930000</v>
      </c>
    </row>
    <row r="97" spans="1:5" s="24" customFormat="1" ht="14.4" hidden="1" x14ac:dyDescent="0.3">
      <c r="A97" s="25" t="s">
        <v>16</v>
      </c>
      <c r="B97" s="25" t="s">
        <v>165</v>
      </c>
      <c r="C97" s="26">
        <v>0</v>
      </c>
    </row>
    <row r="98" spans="1:5" x14ac:dyDescent="0.3">
      <c r="A98" s="29" t="s">
        <v>90</v>
      </c>
      <c r="B98" s="29" t="s">
        <v>4</v>
      </c>
      <c r="C98" s="39">
        <v>26.5</v>
      </c>
      <c r="D98" s="41">
        <f>10000*4</f>
        <v>40000</v>
      </c>
      <c r="E98" s="38">
        <f>+D98*C98</f>
        <v>1060000</v>
      </c>
    </row>
    <row r="99" spans="1:5" s="24" customFormat="1" ht="14.4" hidden="1" x14ac:dyDescent="0.3">
      <c r="A99" s="25" t="s">
        <v>90</v>
      </c>
      <c r="B99" s="25" t="s">
        <v>147</v>
      </c>
      <c r="C99" s="26">
        <v>0</v>
      </c>
    </row>
    <row r="100" spans="1:5" s="24" customFormat="1" ht="14.4" hidden="1" x14ac:dyDescent="0.3">
      <c r="A100" s="25" t="s">
        <v>90</v>
      </c>
      <c r="B100" s="25" t="s">
        <v>148</v>
      </c>
      <c r="C100" s="26">
        <v>0</v>
      </c>
    </row>
    <row r="101" spans="1:5" s="24" customFormat="1" ht="14.4" hidden="1" x14ac:dyDescent="0.3">
      <c r="A101" s="25" t="s">
        <v>120</v>
      </c>
      <c r="B101" s="25" t="s">
        <v>4</v>
      </c>
      <c r="C101" s="26">
        <v>0</v>
      </c>
    </row>
    <row r="102" spans="1:5" s="24" customFormat="1" ht="14.4" hidden="1" x14ac:dyDescent="0.3">
      <c r="A102" s="25" t="s">
        <v>120</v>
      </c>
      <c r="B102" s="25" t="s">
        <v>31</v>
      </c>
      <c r="C102" s="26">
        <v>0</v>
      </c>
    </row>
    <row r="103" spans="1:5" s="24" customFormat="1" ht="14.4" hidden="1" x14ac:dyDescent="0.3">
      <c r="A103" s="25" t="s">
        <v>94</v>
      </c>
      <c r="B103" s="25" t="s">
        <v>50</v>
      </c>
      <c r="C103" s="26">
        <v>0</v>
      </c>
    </row>
    <row r="104" spans="1:5" s="24" customFormat="1" ht="14.4" hidden="1" x14ac:dyDescent="0.3">
      <c r="A104" s="25" t="s">
        <v>55</v>
      </c>
      <c r="B104" s="25" t="s">
        <v>4</v>
      </c>
      <c r="C104" s="26">
        <v>0</v>
      </c>
    </row>
    <row r="105" spans="1:5" s="24" customFormat="1" ht="14.4" hidden="1" x14ac:dyDescent="0.3">
      <c r="A105" s="25" t="s">
        <v>55</v>
      </c>
      <c r="B105" s="25" t="s">
        <v>31</v>
      </c>
      <c r="C105" s="26">
        <v>0</v>
      </c>
    </row>
    <row r="106" spans="1:5" s="24" customFormat="1" ht="14.4" hidden="1" x14ac:dyDescent="0.3">
      <c r="A106" s="25" t="s">
        <v>123</v>
      </c>
      <c r="B106" s="25" t="s">
        <v>31</v>
      </c>
      <c r="C106" s="26">
        <v>0</v>
      </c>
    </row>
    <row r="107" spans="1:5" x14ac:dyDescent="0.3">
      <c r="A107" s="29" t="s">
        <v>96</v>
      </c>
      <c r="B107" s="29" t="s">
        <v>4</v>
      </c>
      <c r="C107" s="39">
        <v>1</v>
      </c>
      <c r="D107" s="41">
        <v>80000</v>
      </c>
      <c r="E107" s="38">
        <f>+D107*C107</f>
        <v>80000</v>
      </c>
    </row>
    <row r="108" spans="1:5" s="24" customFormat="1" ht="14.4" hidden="1" x14ac:dyDescent="0.3">
      <c r="A108" s="25" t="s">
        <v>96</v>
      </c>
      <c r="B108" s="25" t="s">
        <v>50</v>
      </c>
      <c r="C108" s="26">
        <v>0</v>
      </c>
    </row>
    <row r="109" spans="1:5" s="24" customFormat="1" ht="14.4" hidden="1" x14ac:dyDescent="0.3">
      <c r="A109" s="25" t="s">
        <v>113</v>
      </c>
      <c r="B109" s="25" t="s">
        <v>31</v>
      </c>
      <c r="C109" s="26">
        <v>0</v>
      </c>
    </row>
    <row r="110" spans="1:5" s="24" customFormat="1" ht="14.4" hidden="1" x14ac:dyDescent="0.3">
      <c r="A110" s="25" t="s">
        <v>99</v>
      </c>
      <c r="B110" s="25" t="s">
        <v>4</v>
      </c>
      <c r="C110" s="26">
        <v>0</v>
      </c>
    </row>
    <row r="111" spans="1:5" s="24" customFormat="1" ht="14.4" hidden="1" x14ac:dyDescent="0.3">
      <c r="A111" s="25" t="s">
        <v>99</v>
      </c>
      <c r="B111" s="25" t="s">
        <v>31</v>
      </c>
      <c r="C111" s="26">
        <v>0</v>
      </c>
    </row>
    <row r="112" spans="1:5" s="24" customFormat="1" ht="14.4" hidden="1" x14ac:dyDescent="0.3">
      <c r="A112" s="25" t="s">
        <v>121</v>
      </c>
      <c r="B112" s="25" t="s">
        <v>53</v>
      </c>
      <c r="C112" s="26">
        <v>0</v>
      </c>
    </row>
    <row r="113" spans="1:3" s="24" customFormat="1" ht="14.4" hidden="1" x14ac:dyDescent="0.3">
      <c r="A113" s="25" t="s">
        <v>121</v>
      </c>
      <c r="B113" s="25" t="s">
        <v>4</v>
      </c>
      <c r="C113" s="26">
        <v>0</v>
      </c>
    </row>
    <row r="114" spans="1:3" s="24" customFormat="1" ht="14.4" hidden="1" x14ac:dyDescent="0.3">
      <c r="A114" s="25" t="s">
        <v>69</v>
      </c>
      <c r="B114" s="25" t="s">
        <v>4</v>
      </c>
      <c r="C114" s="26">
        <v>0</v>
      </c>
    </row>
    <row r="115" spans="1:3" s="24" customFormat="1" ht="14.4" hidden="1" x14ac:dyDescent="0.3">
      <c r="A115" s="25" t="s">
        <v>69</v>
      </c>
      <c r="B115" s="25" t="s">
        <v>31</v>
      </c>
      <c r="C115" s="26">
        <v>0</v>
      </c>
    </row>
    <row r="116" spans="1:3" s="24" customFormat="1" ht="14.4" hidden="1" x14ac:dyDescent="0.3">
      <c r="A116" s="25" t="s">
        <v>67</v>
      </c>
      <c r="B116" s="25" t="s">
        <v>4</v>
      </c>
      <c r="C116" s="26">
        <v>0</v>
      </c>
    </row>
    <row r="117" spans="1:3" s="24" customFormat="1" ht="14.4" hidden="1" x14ac:dyDescent="0.3">
      <c r="A117" s="25" t="s">
        <v>141</v>
      </c>
      <c r="B117" s="25" t="s">
        <v>4</v>
      </c>
      <c r="C117" s="26">
        <v>0</v>
      </c>
    </row>
    <row r="118" spans="1:3" s="24" customFormat="1" ht="14.4" hidden="1" x14ac:dyDescent="0.3">
      <c r="A118" s="25" t="s">
        <v>141</v>
      </c>
      <c r="B118" s="25" t="s">
        <v>31</v>
      </c>
      <c r="C118" s="26">
        <v>0</v>
      </c>
    </row>
    <row r="119" spans="1:3" s="24" customFormat="1" ht="14.4" hidden="1" x14ac:dyDescent="0.3">
      <c r="A119" s="25" t="s">
        <v>125</v>
      </c>
      <c r="B119" s="25" t="s">
        <v>4</v>
      </c>
      <c r="C119" s="26">
        <v>0</v>
      </c>
    </row>
    <row r="120" spans="1:3" s="24" customFormat="1" ht="14.4" hidden="1" x14ac:dyDescent="0.3">
      <c r="A120" s="25" t="s">
        <v>125</v>
      </c>
      <c r="B120" s="25" t="s">
        <v>31</v>
      </c>
      <c r="C120" s="26">
        <v>0</v>
      </c>
    </row>
    <row r="121" spans="1:3" s="24" customFormat="1" ht="14.4" hidden="1" x14ac:dyDescent="0.3">
      <c r="A121" s="25" t="s">
        <v>114</v>
      </c>
      <c r="B121" s="25" t="s">
        <v>31</v>
      </c>
      <c r="C121" s="26">
        <v>0</v>
      </c>
    </row>
    <row r="122" spans="1:3" s="24" customFormat="1" ht="14.4" hidden="1" x14ac:dyDescent="0.3">
      <c r="A122" s="25" t="s">
        <v>102</v>
      </c>
      <c r="B122" s="25" t="s">
        <v>53</v>
      </c>
      <c r="C122" s="26">
        <v>0</v>
      </c>
    </row>
    <row r="123" spans="1:3" s="24" customFormat="1" ht="14.4" hidden="1" x14ac:dyDescent="0.3">
      <c r="A123" s="25" t="s">
        <v>102</v>
      </c>
      <c r="B123" s="25" t="s">
        <v>4</v>
      </c>
      <c r="C123" s="26">
        <v>0</v>
      </c>
    </row>
    <row r="124" spans="1:3" s="24" customFormat="1" ht="14.4" hidden="1" x14ac:dyDescent="0.3">
      <c r="A124" s="25" t="s">
        <v>130</v>
      </c>
      <c r="B124" s="25" t="s">
        <v>4</v>
      </c>
      <c r="C124" s="26">
        <v>0</v>
      </c>
    </row>
    <row r="125" spans="1:3" s="24" customFormat="1" ht="14.4" hidden="1" x14ac:dyDescent="0.3">
      <c r="A125" s="25" t="s">
        <v>119</v>
      </c>
      <c r="B125" s="25" t="s">
        <v>31</v>
      </c>
      <c r="C125" s="26">
        <v>0</v>
      </c>
    </row>
    <row r="126" spans="1:3" s="24" customFormat="1" ht="14.4" hidden="1" x14ac:dyDescent="0.3">
      <c r="A126" s="25" t="s">
        <v>115</v>
      </c>
      <c r="B126" s="25" t="s">
        <v>50</v>
      </c>
      <c r="C126" s="26">
        <v>0</v>
      </c>
    </row>
    <row r="127" spans="1:3" s="24" customFormat="1" ht="14.4" hidden="1" x14ac:dyDescent="0.3">
      <c r="A127" s="25" t="s">
        <v>104</v>
      </c>
      <c r="B127" s="25" t="s">
        <v>4</v>
      </c>
      <c r="C127" s="26">
        <v>0</v>
      </c>
    </row>
    <row r="128" spans="1:3" s="24" customFormat="1" ht="14.4" hidden="1" x14ac:dyDescent="0.3">
      <c r="A128" s="25" t="s">
        <v>104</v>
      </c>
      <c r="B128" s="25" t="s">
        <v>84</v>
      </c>
      <c r="C128" s="26">
        <v>0</v>
      </c>
    </row>
    <row r="129" spans="1:5" s="24" customFormat="1" ht="14.4" hidden="1" x14ac:dyDescent="0.3">
      <c r="A129" s="25" t="s">
        <v>109</v>
      </c>
      <c r="B129" s="25" t="s">
        <v>53</v>
      </c>
      <c r="C129" s="26">
        <v>0</v>
      </c>
    </row>
    <row r="130" spans="1:5" s="24" customFormat="1" ht="14.4" hidden="1" x14ac:dyDescent="0.3">
      <c r="A130" s="25" t="s">
        <v>110</v>
      </c>
      <c r="B130" s="25" t="s">
        <v>4</v>
      </c>
      <c r="C130" s="26">
        <v>0</v>
      </c>
    </row>
    <row r="131" spans="1:5" s="24" customFormat="1" ht="14.4" hidden="1" x14ac:dyDescent="0.3">
      <c r="A131" s="25" t="s">
        <v>129</v>
      </c>
      <c r="B131" s="25" t="s">
        <v>4</v>
      </c>
      <c r="C131" s="26">
        <v>0</v>
      </c>
    </row>
    <row r="132" spans="1:5" s="24" customFormat="1" ht="14.4" hidden="1" x14ac:dyDescent="0.3">
      <c r="A132" s="25" t="s">
        <v>76</v>
      </c>
      <c r="B132" s="25" t="s">
        <v>66</v>
      </c>
      <c r="C132" s="26">
        <v>0</v>
      </c>
    </row>
    <row r="133" spans="1:5" s="24" customFormat="1" ht="14.4" hidden="1" x14ac:dyDescent="0.3">
      <c r="A133" s="25" t="s">
        <v>79</v>
      </c>
      <c r="B133" s="25" t="s">
        <v>4</v>
      </c>
      <c r="C133" s="26">
        <v>0</v>
      </c>
    </row>
    <row r="134" spans="1:5" s="24" customFormat="1" ht="14.4" hidden="1" x14ac:dyDescent="0.3">
      <c r="A134" s="25" t="s">
        <v>79</v>
      </c>
      <c r="B134" s="25" t="s">
        <v>31</v>
      </c>
      <c r="C134" s="26">
        <v>0</v>
      </c>
    </row>
    <row r="135" spans="1:5" s="24" customFormat="1" ht="14.4" hidden="1" x14ac:dyDescent="0.3">
      <c r="A135" s="25" t="s">
        <v>80</v>
      </c>
      <c r="B135" s="25" t="s">
        <v>4</v>
      </c>
      <c r="C135" s="26">
        <v>0</v>
      </c>
    </row>
    <row r="136" spans="1:5" s="24" customFormat="1" ht="14.4" hidden="1" x14ac:dyDescent="0.3">
      <c r="A136" s="25" t="s">
        <v>80</v>
      </c>
      <c r="B136" s="25" t="s">
        <v>31</v>
      </c>
      <c r="C136" s="26">
        <v>0</v>
      </c>
    </row>
    <row r="137" spans="1:5" s="24" customFormat="1" ht="14.4" hidden="1" x14ac:dyDescent="0.3">
      <c r="A137" s="25" t="s">
        <v>82</v>
      </c>
      <c r="B137" s="25" t="s">
        <v>66</v>
      </c>
      <c r="C137" s="26">
        <v>0</v>
      </c>
    </row>
    <row r="138" spans="1:5" x14ac:dyDescent="0.3">
      <c r="A138" s="29" t="s">
        <v>131</v>
      </c>
      <c r="B138" s="29" t="s">
        <v>4</v>
      </c>
      <c r="C138" s="39">
        <v>16</v>
      </c>
      <c r="D138" s="41">
        <v>29000</v>
      </c>
      <c r="E138" s="38">
        <f>+D138*C138</f>
        <v>464000</v>
      </c>
    </row>
    <row r="139" spans="1:5" s="24" customFormat="1" ht="14.4" hidden="1" x14ac:dyDescent="0.3">
      <c r="A139" s="25" t="s">
        <v>159</v>
      </c>
      <c r="B139" s="25" t="s">
        <v>4</v>
      </c>
      <c r="C139" s="26">
        <v>0</v>
      </c>
    </row>
    <row r="140" spans="1:5" x14ac:dyDescent="0.3">
      <c r="A140" s="29" t="s">
        <v>13</v>
      </c>
      <c r="B140" s="29" t="s">
        <v>4</v>
      </c>
      <c r="C140" s="39">
        <v>3</v>
      </c>
      <c r="D140" s="41">
        <v>27000</v>
      </c>
      <c r="E140" s="38">
        <f>+D140*C140</f>
        <v>81000</v>
      </c>
    </row>
    <row r="141" spans="1:5" s="24" customFormat="1" ht="14.4" hidden="1" x14ac:dyDescent="0.3">
      <c r="A141" s="25" t="s">
        <v>48</v>
      </c>
      <c r="B141" s="25" t="s">
        <v>4</v>
      </c>
      <c r="C141" s="26">
        <v>0</v>
      </c>
    </row>
    <row r="142" spans="1:5" x14ac:dyDescent="0.3">
      <c r="A142" s="29" t="s">
        <v>81</v>
      </c>
      <c r="B142" s="29" t="s">
        <v>4</v>
      </c>
      <c r="C142" s="39">
        <v>6</v>
      </c>
      <c r="D142" s="41">
        <v>30000</v>
      </c>
      <c r="E142" s="38">
        <f t="shared" ref="E142:E143" si="4">+D142*C142</f>
        <v>180000</v>
      </c>
    </row>
    <row r="143" spans="1:5" x14ac:dyDescent="0.3">
      <c r="A143" s="29" t="s">
        <v>21</v>
      </c>
      <c r="B143" s="29" t="s">
        <v>4</v>
      </c>
      <c r="C143" s="39">
        <v>2</v>
      </c>
      <c r="D143" s="41">
        <v>11000</v>
      </c>
      <c r="E143" s="38">
        <f t="shared" si="4"/>
        <v>22000</v>
      </c>
    </row>
    <row r="144" spans="1:5" s="24" customFormat="1" ht="14.4" hidden="1" x14ac:dyDescent="0.3">
      <c r="A144" s="25" t="s">
        <v>21</v>
      </c>
      <c r="B144" s="25" t="s">
        <v>149</v>
      </c>
      <c r="C144" s="26">
        <v>0</v>
      </c>
    </row>
    <row r="145" spans="1:5" s="24" customFormat="1" ht="14.4" hidden="1" x14ac:dyDescent="0.3">
      <c r="A145" s="25" t="s">
        <v>127</v>
      </c>
      <c r="B145" s="25" t="s">
        <v>4</v>
      </c>
      <c r="C145" s="26">
        <v>0</v>
      </c>
    </row>
    <row r="146" spans="1:5" x14ac:dyDescent="0.3">
      <c r="A146" s="29" t="s">
        <v>33</v>
      </c>
      <c r="B146" s="29" t="s">
        <v>4</v>
      </c>
      <c r="C146" s="39">
        <v>20</v>
      </c>
      <c r="D146" s="41">
        <v>12000</v>
      </c>
      <c r="E146" s="38">
        <f>+D146*C146</f>
        <v>240000</v>
      </c>
    </row>
    <row r="147" spans="1:5" s="24" customFormat="1" ht="14.4" hidden="1" x14ac:dyDescent="0.3">
      <c r="A147" s="25" t="s">
        <v>33</v>
      </c>
      <c r="B147" s="25" t="s">
        <v>31</v>
      </c>
      <c r="C147" s="26">
        <v>0</v>
      </c>
    </row>
    <row r="148" spans="1:5" s="24" customFormat="1" ht="14.4" hidden="1" x14ac:dyDescent="0.3">
      <c r="A148" s="25" t="s">
        <v>156</v>
      </c>
      <c r="B148" s="25" t="s">
        <v>4</v>
      </c>
      <c r="C148" s="26">
        <v>0</v>
      </c>
    </row>
    <row r="149" spans="1:5" s="24" customFormat="1" ht="14.4" hidden="1" x14ac:dyDescent="0.3">
      <c r="A149" s="25" t="s">
        <v>9</v>
      </c>
      <c r="B149" s="25" t="s">
        <v>4</v>
      </c>
      <c r="C149" s="26">
        <v>0</v>
      </c>
    </row>
    <row r="150" spans="1:5" s="24" customFormat="1" ht="14.4" hidden="1" x14ac:dyDescent="0.3">
      <c r="A150" s="25" t="s">
        <v>63</v>
      </c>
      <c r="B150" s="25" t="s">
        <v>4</v>
      </c>
      <c r="C150" s="26">
        <v>0</v>
      </c>
    </row>
    <row r="151" spans="1:5" s="24" customFormat="1" ht="14.4" hidden="1" x14ac:dyDescent="0.3">
      <c r="A151" s="25" t="s">
        <v>63</v>
      </c>
      <c r="B151" s="25" t="s">
        <v>31</v>
      </c>
      <c r="C151" s="26">
        <v>0</v>
      </c>
    </row>
    <row r="152" spans="1:5" s="24" customFormat="1" ht="14.4" hidden="1" x14ac:dyDescent="0.3">
      <c r="A152" s="25" t="s">
        <v>47</v>
      </c>
      <c r="B152" s="25" t="s">
        <v>4</v>
      </c>
      <c r="C152" s="26">
        <v>0</v>
      </c>
    </row>
    <row r="153" spans="1:5" s="24" customFormat="1" ht="14.4" hidden="1" x14ac:dyDescent="0.3">
      <c r="A153" s="25" t="s">
        <v>133</v>
      </c>
      <c r="B153" s="25" t="s">
        <v>31</v>
      </c>
      <c r="C153" s="26">
        <v>0</v>
      </c>
    </row>
    <row r="154" spans="1:5" x14ac:dyDescent="0.3">
      <c r="A154" s="29" t="s">
        <v>142</v>
      </c>
      <c r="B154" s="29" t="s">
        <v>31</v>
      </c>
      <c r="C154" s="39">
        <v>110</v>
      </c>
      <c r="D154" s="41">
        <v>6000</v>
      </c>
      <c r="E154" s="38">
        <f t="shared" ref="E154:E155" si="5">+D154*C154</f>
        <v>660000</v>
      </c>
    </row>
    <row r="155" spans="1:5" x14ac:dyDescent="0.3">
      <c r="A155" s="29" t="s">
        <v>85</v>
      </c>
      <c r="B155" s="29" t="s">
        <v>4</v>
      </c>
      <c r="C155" s="39">
        <v>20</v>
      </c>
      <c r="D155" s="41">
        <v>14000</v>
      </c>
      <c r="E155" s="38">
        <f t="shared" si="5"/>
        <v>280000</v>
      </c>
    </row>
    <row r="156" spans="1:5" s="24" customFormat="1" ht="14.4" hidden="1" x14ac:dyDescent="0.3">
      <c r="A156" s="25" t="s">
        <v>61</v>
      </c>
      <c r="B156" s="25" t="s">
        <v>50</v>
      </c>
      <c r="C156" s="26">
        <v>0</v>
      </c>
    </row>
    <row r="157" spans="1:5" s="24" customFormat="1" ht="14.4" hidden="1" x14ac:dyDescent="0.3">
      <c r="A157" s="25" t="s">
        <v>132</v>
      </c>
      <c r="B157" s="25" t="s">
        <v>31</v>
      </c>
      <c r="C157" s="26">
        <v>0</v>
      </c>
    </row>
    <row r="158" spans="1:5" s="24" customFormat="1" ht="14.4" hidden="1" x14ac:dyDescent="0.3">
      <c r="A158" s="25" t="s">
        <v>107</v>
      </c>
      <c r="B158" s="25" t="s">
        <v>4</v>
      </c>
      <c r="C158" s="26">
        <v>0</v>
      </c>
    </row>
    <row r="159" spans="1:5" s="24" customFormat="1" ht="14.4" hidden="1" x14ac:dyDescent="0.3">
      <c r="A159" s="25" t="s">
        <v>97</v>
      </c>
      <c r="B159" s="25" t="s">
        <v>4</v>
      </c>
      <c r="C159" s="26">
        <v>0</v>
      </c>
    </row>
    <row r="160" spans="1:5" s="24" customFormat="1" ht="14.4" hidden="1" x14ac:dyDescent="0.3">
      <c r="A160" s="25" t="s">
        <v>105</v>
      </c>
      <c r="B160" s="25" t="s">
        <v>4</v>
      </c>
      <c r="C160" s="26">
        <v>0</v>
      </c>
    </row>
    <row r="161" spans="1:5" s="24" customFormat="1" ht="14.4" hidden="1" x14ac:dyDescent="0.3">
      <c r="A161" s="25" t="s">
        <v>175</v>
      </c>
      <c r="B161" s="25" t="s">
        <v>4</v>
      </c>
      <c r="C161" s="26">
        <v>0</v>
      </c>
    </row>
    <row r="162" spans="1:5" x14ac:dyDescent="0.3">
      <c r="A162" s="29" t="s">
        <v>54</v>
      </c>
      <c r="B162" s="29" t="s">
        <v>4</v>
      </c>
      <c r="C162" s="39">
        <v>2</v>
      </c>
      <c r="D162" s="41">
        <v>45000</v>
      </c>
      <c r="E162" s="38">
        <f>+D162*C162</f>
        <v>90000</v>
      </c>
    </row>
    <row r="163" spans="1:5" s="24" customFormat="1" ht="14.4" hidden="1" x14ac:dyDescent="0.3">
      <c r="A163" s="25" t="s">
        <v>152</v>
      </c>
      <c r="B163" s="25" t="s">
        <v>4</v>
      </c>
      <c r="C163" s="26">
        <v>0</v>
      </c>
    </row>
    <row r="164" spans="1:5" s="24" customFormat="1" ht="14.4" hidden="1" x14ac:dyDescent="0.3">
      <c r="A164" s="25" t="s">
        <v>124</v>
      </c>
      <c r="B164" s="25" t="s">
        <v>4</v>
      </c>
      <c r="C164" s="26">
        <v>0</v>
      </c>
    </row>
    <row r="165" spans="1:5" s="24" customFormat="1" ht="14.4" hidden="1" x14ac:dyDescent="0.3">
      <c r="A165" s="25" t="s">
        <v>26</v>
      </c>
      <c r="B165" s="25" t="s">
        <v>4</v>
      </c>
      <c r="C165" s="26">
        <v>0</v>
      </c>
    </row>
    <row r="166" spans="1:5" s="24" customFormat="1" ht="14.4" hidden="1" x14ac:dyDescent="0.3">
      <c r="A166" s="25" t="s">
        <v>176</v>
      </c>
      <c r="B166" s="25" t="s">
        <v>31</v>
      </c>
      <c r="C166" s="26">
        <v>0</v>
      </c>
    </row>
    <row r="167" spans="1:5" x14ac:dyDescent="0.3">
      <c r="A167" s="29" t="s">
        <v>20</v>
      </c>
      <c r="B167" s="29" t="s">
        <v>4</v>
      </c>
      <c r="C167" s="39">
        <v>126</v>
      </c>
      <c r="D167" s="41">
        <v>15000</v>
      </c>
      <c r="E167" s="38">
        <f t="shared" ref="E167:E171" si="6">+D167*C167</f>
        <v>1890000</v>
      </c>
    </row>
    <row r="168" spans="1:5" x14ac:dyDescent="0.3">
      <c r="A168" s="29" t="s">
        <v>135</v>
      </c>
      <c r="B168" s="29" t="s">
        <v>4</v>
      </c>
      <c r="C168" s="39">
        <v>500</v>
      </c>
      <c r="D168" s="41">
        <v>20000</v>
      </c>
      <c r="E168" s="38">
        <f t="shared" si="6"/>
        <v>10000000</v>
      </c>
    </row>
    <row r="169" spans="1:5" x14ac:dyDescent="0.3">
      <c r="A169" s="29" t="s">
        <v>136</v>
      </c>
      <c r="B169" s="29" t="s">
        <v>4</v>
      </c>
      <c r="C169" s="39">
        <v>20</v>
      </c>
      <c r="D169" s="41">
        <v>38000</v>
      </c>
      <c r="E169" s="38">
        <f t="shared" si="6"/>
        <v>760000</v>
      </c>
    </row>
    <row r="170" spans="1:5" x14ac:dyDescent="0.3">
      <c r="A170" s="29" t="s">
        <v>143</v>
      </c>
      <c r="B170" s="29" t="s">
        <v>4</v>
      </c>
      <c r="C170" s="39">
        <v>25</v>
      </c>
      <c r="D170" s="41">
        <v>17000</v>
      </c>
      <c r="E170" s="38">
        <f t="shared" si="6"/>
        <v>425000</v>
      </c>
    </row>
    <row r="171" spans="1:5" x14ac:dyDescent="0.3">
      <c r="A171" s="29" t="s">
        <v>161</v>
      </c>
      <c r="B171" s="29" t="s">
        <v>4</v>
      </c>
      <c r="C171" s="39">
        <v>17</v>
      </c>
      <c r="D171" s="41">
        <v>33000</v>
      </c>
      <c r="E171" s="38">
        <f t="shared" si="6"/>
        <v>561000</v>
      </c>
    </row>
    <row r="172" spans="1:5" x14ac:dyDescent="0.3">
      <c r="A172" s="34" t="s">
        <v>179</v>
      </c>
      <c r="B172" s="34">
        <v>0</v>
      </c>
      <c r="C172" s="40">
        <v>9793.5</v>
      </c>
      <c r="D172" s="42"/>
      <c r="E172" s="42">
        <f>SUBTOTAL(9,E7:E171)</f>
        <v>256142840</v>
      </c>
    </row>
    <row r="173" spans="1:5" ht="31.2" x14ac:dyDescent="0.3">
      <c r="A173" s="32" t="s">
        <v>0</v>
      </c>
      <c r="B173" s="32" t="s">
        <v>1</v>
      </c>
      <c r="C173" s="33" t="s">
        <v>2</v>
      </c>
      <c r="D173" s="33" t="s">
        <v>177</v>
      </c>
      <c r="E173" s="33" t="s">
        <v>178</v>
      </c>
    </row>
    <row r="174" spans="1:5" s="24" customFormat="1" hidden="1" x14ac:dyDescent="0.3">
      <c r="A174" s="27" t="s">
        <v>144</v>
      </c>
      <c r="B174" s="27" t="s">
        <v>50</v>
      </c>
      <c r="C174" s="28">
        <v>0</v>
      </c>
    </row>
    <row r="175" spans="1:5" s="24" customFormat="1" hidden="1" x14ac:dyDescent="0.3">
      <c r="A175" s="27" t="s">
        <v>27</v>
      </c>
      <c r="B175" s="27" t="s">
        <v>4</v>
      </c>
      <c r="C175" s="28">
        <v>0</v>
      </c>
    </row>
    <row r="176" spans="1:5" x14ac:dyDescent="0.3">
      <c r="A176" s="29" t="s">
        <v>28</v>
      </c>
      <c r="B176" s="29" t="s">
        <v>4</v>
      </c>
      <c r="C176" s="30">
        <v>23</v>
      </c>
      <c r="D176" s="41">
        <f>VLOOKUP(A176,'4.11'!A179:D220,4,)</f>
        <v>15000</v>
      </c>
      <c r="E176" s="38">
        <f>+D176*C176</f>
        <v>345000</v>
      </c>
    </row>
    <row r="177" spans="1:5" x14ac:dyDescent="0.3">
      <c r="A177" s="29" t="s">
        <v>29</v>
      </c>
      <c r="B177" s="29" t="s">
        <v>4</v>
      </c>
      <c r="C177" s="30">
        <v>70</v>
      </c>
      <c r="D177" s="41">
        <f>VLOOKUP(A177,'4.11'!A180:D221,4,)</f>
        <v>15000</v>
      </c>
      <c r="E177" s="38">
        <f>+D177*C177</f>
        <v>1050000</v>
      </c>
    </row>
    <row r="178" spans="1:5" s="24" customFormat="1" hidden="1" x14ac:dyDescent="0.3">
      <c r="A178" s="27" t="s">
        <v>57</v>
      </c>
      <c r="B178" s="27" t="s">
        <v>31</v>
      </c>
      <c r="C178" s="28">
        <v>0</v>
      </c>
    </row>
    <row r="179" spans="1:5" x14ac:dyDescent="0.3">
      <c r="A179" s="29" t="s">
        <v>32</v>
      </c>
      <c r="B179" s="29" t="s">
        <v>4</v>
      </c>
      <c r="C179" s="30">
        <v>200</v>
      </c>
      <c r="D179" s="41">
        <f>VLOOKUP(A179,'4.11'!A182:D223,4,)</f>
        <v>19000</v>
      </c>
      <c r="E179" s="38">
        <f t="shared" ref="E179:E181" si="7">+D179*C179</f>
        <v>3800000</v>
      </c>
    </row>
    <row r="180" spans="1:5" x14ac:dyDescent="0.3">
      <c r="A180" s="29" t="s">
        <v>33</v>
      </c>
      <c r="B180" s="29" t="s">
        <v>31</v>
      </c>
      <c r="C180" s="30">
        <v>10</v>
      </c>
      <c r="D180" s="41">
        <v>6000</v>
      </c>
      <c r="E180" s="38">
        <f t="shared" si="7"/>
        <v>60000</v>
      </c>
    </row>
    <row r="181" spans="1:5" x14ac:dyDescent="0.3">
      <c r="A181" s="29" t="s">
        <v>34</v>
      </c>
      <c r="B181" s="29" t="s">
        <v>4</v>
      </c>
      <c r="C181" s="30">
        <v>100</v>
      </c>
      <c r="D181" s="41">
        <f>VLOOKUP(A181,'4.11'!A184:D225,4,)</f>
        <v>15000</v>
      </c>
      <c r="E181" s="38">
        <f t="shared" si="7"/>
        <v>1500000</v>
      </c>
    </row>
    <row r="182" spans="1:5" s="24" customFormat="1" hidden="1" x14ac:dyDescent="0.3">
      <c r="A182" s="27" t="s">
        <v>35</v>
      </c>
      <c r="B182" s="27" t="s">
        <v>4</v>
      </c>
      <c r="C182" s="28">
        <v>0</v>
      </c>
    </row>
    <row r="183" spans="1:5" s="24" customFormat="1" hidden="1" x14ac:dyDescent="0.3">
      <c r="A183" s="27" t="s">
        <v>13</v>
      </c>
      <c r="B183" s="27" t="s">
        <v>4</v>
      </c>
      <c r="C183" s="28">
        <v>0</v>
      </c>
    </row>
    <row r="184" spans="1:5" s="24" customFormat="1" hidden="1" x14ac:dyDescent="0.3">
      <c r="A184" s="27" t="s">
        <v>14</v>
      </c>
      <c r="B184" s="27" t="s">
        <v>4</v>
      </c>
      <c r="C184" s="28">
        <v>0</v>
      </c>
    </row>
    <row r="185" spans="1:5" s="24" customFormat="1" hidden="1" x14ac:dyDescent="0.3">
      <c r="A185" s="27" t="s">
        <v>3</v>
      </c>
      <c r="B185" s="27" t="s">
        <v>4</v>
      </c>
      <c r="C185" s="28">
        <v>0</v>
      </c>
    </row>
    <row r="186" spans="1:5" s="24" customFormat="1" hidden="1" x14ac:dyDescent="0.3">
      <c r="A186" s="27" t="s">
        <v>5</v>
      </c>
      <c r="B186" s="27" t="s">
        <v>4</v>
      </c>
      <c r="C186" s="28">
        <v>0</v>
      </c>
    </row>
    <row r="187" spans="1:5" x14ac:dyDescent="0.3">
      <c r="A187" s="29" t="s">
        <v>6</v>
      </c>
      <c r="B187" s="29" t="s">
        <v>4</v>
      </c>
      <c r="C187" s="30">
        <v>600</v>
      </c>
      <c r="D187" s="41">
        <f>VLOOKUP(A187,'4.11'!A190:D231,4,)</f>
        <v>11000</v>
      </c>
      <c r="E187" s="38">
        <f>+D187*C187</f>
        <v>6600000</v>
      </c>
    </row>
    <row r="188" spans="1:5" s="24" customFormat="1" hidden="1" x14ac:dyDescent="0.3">
      <c r="A188" s="27" t="s">
        <v>22</v>
      </c>
      <c r="B188" s="27" t="s">
        <v>4</v>
      </c>
      <c r="C188" s="28">
        <v>0</v>
      </c>
    </row>
    <row r="189" spans="1:5" s="24" customFormat="1" hidden="1" x14ac:dyDescent="0.3">
      <c r="A189" s="27" t="s">
        <v>24</v>
      </c>
      <c r="B189" s="27" t="s">
        <v>4</v>
      </c>
      <c r="C189" s="28">
        <v>0</v>
      </c>
    </row>
    <row r="190" spans="1:5" s="24" customFormat="1" hidden="1" x14ac:dyDescent="0.3">
      <c r="A190" s="27" t="s">
        <v>40</v>
      </c>
      <c r="B190" s="27" t="s">
        <v>4</v>
      </c>
      <c r="C190" s="28">
        <v>0</v>
      </c>
    </row>
    <row r="191" spans="1:5" x14ac:dyDescent="0.3">
      <c r="A191" s="29" t="s">
        <v>7</v>
      </c>
      <c r="B191" s="29" t="s">
        <v>4</v>
      </c>
      <c r="C191" s="30">
        <v>24</v>
      </c>
      <c r="D191" s="41">
        <f>VLOOKUP(A191,'4.11'!A194:D235,4,)</f>
        <v>7000</v>
      </c>
      <c r="E191" s="38">
        <f t="shared" ref="E191:E195" si="8">+D191*C191</f>
        <v>168000</v>
      </c>
    </row>
    <row r="192" spans="1:5" x14ac:dyDescent="0.3">
      <c r="A192" s="29" t="s">
        <v>8</v>
      </c>
      <c r="B192" s="29" t="s">
        <v>4</v>
      </c>
      <c r="C192" s="30">
        <v>500</v>
      </c>
      <c r="D192" s="41">
        <f>VLOOKUP(A192,'4.11'!A195:D236,4,)</f>
        <v>5000</v>
      </c>
      <c r="E192" s="38">
        <f t="shared" si="8"/>
        <v>2500000</v>
      </c>
    </row>
    <row r="193" spans="1:5" x14ac:dyDescent="0.3">
      <c r="A193" s="29" t="s">
        <v>10</v>
      </c>
      <c r="B193" s="29" t="s">
        <v>4</v>
      </c>
      <c r="C193" s="30">
        <v>20</v>
      </c>
      <c r="D193" s="41">
        <f>VLOOKUP(A193,'4.11'!A196:D237,4,)</f>
        <v>21000</v>
      </c>
      <c r="E193" s="38">
        <f t="shared" si="8"/>
        <v>420000</v>
      </c>
    </row>
    <row r="194" spans="1:5" x14ac:dyDescent="0.3">
      <c r="A194" s="29" t="s">
        <v>15</v>
      </c>
      <c r="B194" s="29" t="s">
        <v>4</v>
      </c>
      <c r="C194" s="30">
        <v>200</v>
      </c>
      <c r="D194" s="41">
        <f>VLOOKUP(A194,'4.11'!A197:D238,4,)</f>
        <v>25000</v>
      </c>
      <c r="E194" s="38">
        <f t="shared" si="8"/>
        <v>5000000</v>
      </c>
    </row>
    <row r="195" spans="1:5" x14ac:dyDescent="0.3">
      <c r="A195" s="29" t="s">
        <v>18</v>
      </c>
      <c r="B195" s="29" t="s">
        <v>4</v>
      </c>
      <c r="C195" s="30">
        <v>160</v>
      </c>
      <c r="D195" s="41">
        <f>VLOOKUP(A195,'4.11'!A198:D239,4,)</f>
        <v>23000</v>
      </c>
      <c r="E195" s="38">
        <f t="shared" si="8"/>
        <v>3680000</v>
      </c>
    </row>
    <row r="196" spans="1:5" s="24" customFormat="1" hidden="1" x14ac:dyDescent="0.3">
      <c r="A196" s="27" t="s">
        <v>21</v>
      </c>
      <c r="B196" s="27" t="s">
        <v>4</v>
      </c>
      <c r="C196" s="28">
        <v>0</v>
      </c>
    </row>
    <row r="197" spans="1:5" x14ac:dyDescent="0.3">
      <c r="A197" s="29" t="s">
        <v>43</v>
      </c>
      <c r="B197" s="29" t="s">
        <v>4</v>
      </c>
      <c r="C197" s="30">
        <v>40</v>
      </c>
      <c r="D197" s="41">
        <f>VLOOKUP(A197,'4.11'!A200:D241,4,)</f>
        <v>46000</v>
      </c>
      <c r="E197" s="38">
        <f t="shared" ref="E197:E199" si="9">+D197*C197</f>
        <v>1840000</v>
      </c>
    </row>
    <row r="198" spans="1:5" x14ac:dyDescent="0.3">
      <c r="A198" s="29" t="s">
        <v>44</v>
      </c>
      <c r="B198" s="29" t="s">
        <v>4</v>
      </c>
      <c r="C198" s="30">
        <v>20</v>
      </c>
      <c r="D198" s="41">
        <f>VLOOKUP(A198,'4.11'!A201:D242,4,)</f>
        <v>32000</v>
      </c>
      <c r="E198" s="38">
        <f t="shared" si="9"/>
        <v>640000</v>
      </c>
    </row>
    <row r="199" spans="1:5" x14ac:dyDescent="0.3">
      <c r="A199" s="29" t="s">
        <v>45</v>
      </c>
      <c r="B199" s="29" t="s">
        <v>4</v>
      </c>
      <c r="C199" s="30">
        <v>20</v>
      </c>
      <c r="D199" s="41">
        <f>VLOOKUP(A199,'4.11'!A202:D243,4,)</f>
        <v>35000</v>
      </c>
      <c r="E199" s="38">
        <f t="shared" si="9"/>
        <v>700000</v>
      </c>
    </row>
    <row r="200" spans="1:5" s="24" customFormat="1" hidden="1" x14ac:dyDescent="0.3">
      <c r="A200" s="27" t="s">
        <v>47</v>
      </c>
      <c r="B200" s="27" t="s">
        <v>4</v>
      </c>
      <c r="C200" s="28">
        <v>0</v>
      </c>
    </row>
    <row r="201" spans="1:5" x14ac:dyDescent="0.3">
      <c r="A201" s="29" t="s">
        <v>26</v>
      </c>
      <c r="B201" s="29" t="s">
        <v>4</v>
      </c>
      <c r="C201" s="30">
        <v>98</v>
      </c>
      <c r="D201" s="41">
        <f>VLOOKUP(A201,'4.11'!A204:D245,4,)</f>
        <v>12000</v>
      </c>
      <c r="E201" s="38">
        <f>+D201*C201</f>
        <v>1176000</v>
      </c>
    </row>
    <row r="202" spans="1:5" s="24" customFormat="1" hidden="1" x14ac:dyDescent="0.3">
      <c r="A202" s="27" t="s">
        <v>25</v>
      </c>
      <c r="B202" s="27" t="s">
        <v>4</v>
      </c>
      <c r="C202" s="28">
        <v>0</v>
      </c>
    </row>
    <row r="203" spans="1:5" s="24" customFormat="1" hidden="1" x14ac:dyDescent="0.3">
      <c r="A203" s="27" t="s">
        <v>23</v>
      </c>
      <c r="B203" s="27" t="s">
        <v>4</v>
      </c>
      <c r="C203" s="28">
        <v>0</v>
      </c>
    </row>
    <row r="204" spans="1:5" s="24" customFormat="1" hidden="1" x14ac:dyDescent="0.3">
      <c r="A204" s="27" t="s">
        <v>9</v>
      </c>
      <c r="B204" s="27" t="s">
        <v>4</v>
      </c>
      <c r="C204" s="28">
        <v>0</v>
      </c>
    </row>
    <row r="205" spans="1:5" s="24" customFormat="1" hidden="1" x14ac:dyDescent="0.3">
      <c r="A205" s="27" t="s">
        <v>156</v>
      </c>
      <c r="B205" s="27" t="s">
        <v>4</v>
      </c>
      <c r="C205" s="28">
        <v>0</v>
      </c>
    </row>
    <row r="206" spans="1:5" x14ac:dyDescent="0.3">
      <c r="A206" s="29" t="s">
        <v>41</v>
      </c>
      <c r="B206" s="29" t="s">
        <v>4</v>
      </c>
      <c r="C206" s="30">
        <v>100</v>
      </c>
      <c r="D206" s="41">
        <f>VLOOKUP(A206,'4.11'!A209:D250,4,)</f>
        <v>28600</v>
      </c>
      <c r="E206" s="38">
        <f>+D206*C206</f>
        <v>2860000</v>
      </c>
    </row>
    <row r="207" spans="1:5" s="24" customFormat="1" hidden="1" x14ac:dyDescent="0.3">
      <c r="A207" s="27" t="s">
        <v>20</v>
      </c>
      <c r="B207" s="27" t="s">
        <v>4</v>
      </c>
      <c r="C207" s="28">
        <v>0</v>
      </c>
    </row>
    <row r="208" spans="1:5" s="24" customFormat="1" hidden="1" x14ac:dyDescent="0.3">
      <c r="A208" s="27" t="s">
        <v>123</v>
      </c>
      <c r="B208" s="27" t="s">
        <v>31</v>
      </c>
      <c r="C208" s="28">
        <v>0</v>
      </c>
    </row>
    <row r="209" spans="1:6" s="24" customFormat="1" hidden="1" x14ac:dyDescent="0.3">
      <c r="A209" s="27" t="s">
        <v>37</v>
      </c>
      <c r="B209" s="27" t="s">
        <v>151</v>
      </c>
      <c r="C209" s="28">
        <v>0</v>
      </c>
    </row>
    <row r="210" spans="1:6" s="24" customFormat="1" hidden="1" x14ac:dyDescent="0.3">
      <c r="A210" s="27" t="s">
        <v>12</v>
      </c>
      <c r="B210" s="27" t="s">
        <v>4</v>
      </c>
      <c r="C210" s="28">
        <v>0</v>
      </c>
    </row>
    <row r="211" spans="1:6" s="24" customFormat="1" hidden="1" x14ac:dyDescent="0.3">
      <c r="A211" s="27" t="s">
        <v>124</v>
      </c>
      <c r="B211" s="27" t="s">
        <v>4</v>
      </c>
      <c r="C211" s="28">
        <v>0</v>
      </c>
    </row>
    <row r="212" spans="1:6" x14ac:dyDescent="0.3">
      <c r="A212" s="29" t="s">
        <v>145</v>
      </c>
      <c r="B212" s="29" t="s">
        <v>4</v>
      </c>
      <c r="C212" s="30">
        <v>3160</v>
      </c>
      <c r="D212" s="41">
        <f>VLOOKUP(A212,'4.11'!A215:D256,4,)</f>
        <v>7500</v>
      </c>
      <c r="E212" s="38">
        <f t="shared" ref="E212:E213" si="10">+D212*C212</f>
        <v>23700000</v>
      </c>
    </row>
    <row r="213" spans="1:6" x14ac:dyDescent="0.3">
      <c r="A213" s="29" t="s">
        <v>121</v>
      </c>
      <c r="B213" s="29" t="s">
        <v>53</v>
      </c>
      <c r="C213" s="30">
        <v>22</v>
      </c>
      <c r="D213" s="41">
        <v>100000</v>
      </c>
      <c r="E213" s="38">
        <f t="shared" si="10"/>
        <v>2200000</v>
      </c>
    </row>
    <row r="214" spans="1:6" x14ac:dyDescent="0.3">
      <c r="A214" s="34" t="s">
        <v>180</v>
      </c>
      <c r="B214" s="34">
        <v>0</v>
      </c>
      <c r="C214" s="35">
        <v>2655</v>
      </c>
      <c r="D214" s="42"/>
      <c r="E214" s="42">
        <f>SUBTOTAL(9,E176:E213)</f>
        <v>58239000</v>
      </c>
    </row>
    <row r="215" spans="1:6" x14ac:dyDescent="0.3">
      <c r="A215" s="36" t="s">
        <v>181</v>
      </c>
      <c r="B215" s="37"/>
      <c r="C215" s="37"/>
      <c r="D215" s="43"/>
      <c r="E215" s="43">
        <f>+E172+E214</f>
        <v>314381840</v>
      </c>
    </row>
    <row r="220" spans="1:6" x14ac:dyDescent="0.3">
      <c r="F220" s="31">
        <f>1630-1290</f>
        <v>340</v>
      </c>
    </row>
  </sheetData>
  <autoFilter ref="A1:C215" xr:uid="{00000000-0009-0000-0000-000004000000}">
    <filterColumn colId="2">
      <filters blank="1">
        <filter val="1"/>
        <filter val="1,015"/>
        <filter val="1,440"/>
        <filter val="1,895"/>
        <filter val="10"/>
        <filter val="100"/>
        <filter val="110"/>
        <filter val="115"/>
        <filter val="120"/>
        <filter val="126"/>
        <filter val="135"/>
        <filter val="16"/>
        <filter val="160"/>
        <filter val="17"/>
        <filter val="18"/>
        <filter val="2"/>
        <filter val="2,350"/>
        <filter val="2,655"/>
        <filter val="20"/>
        <filter val="200"/>
        <filter val="22"/>
        <filter val="23"/>
        <filter val="24"/>
        <filter val="25"/>
        <filter val="27"/>
        <filter val="3"/>
        <filter val="3,160"/>
        <filter val="389"/>
        <filter val="4"/>
        <filter val="40"/>
        <filter val="49"/>
        <filter val="495"/>
        <filter val="5"/>
        <filter val="500"/>
        <filter val="505"/>
        <filter val="55"/>
        <filter val="6"/>
        <filter val="60"/>
        <filter val="600"/>
        <filter val="62"/>
        <filter val="620"/>
        <filter val="650"/>
        <filter val="660"/>
        <filter val="70"/>
        <filter val="75"/>
        <filter val="86"/>
        <filter val="89"/>
        <filter val="9"/>
        <filter val="9,794"/>
        <filter val="98"/>
        <filter val="Tồn_x000a_ĐL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F216"/>
  <sheetViews>
    <sheetView workbookViewId="0">
      <selection activeCell="E189" sqref="E189"/>
    </sheetView>
  </sheetViews>
  <sheetFormatPr defaultRowHeight="14.4" x14ac:dyDescent="0.3"/>
  <cols>
    <col min="1" max="1" width="32.5546875" customWidth="1"/>
    <col min="4" max="4" width="12.77734375" customWidth="1"/>
    <col min="5" max="5" width="19.109375" customWidth="1"/>
  </cols>
  <sheetData>
    <row r="1" spans="1:6" x14ac:dyDescent="0.3">
      <c r="A1" s="22" t="s">
        <v>184</v>
      </c>
    </row>
    <row r="2" spans="1:6" x14ac:dyDescent="0.3">
      <c r="A2" s="22" t="s">
        <v>0</v>
      </c>
      <c r="B2" s="22" t="s">
        <v>1</v>
      </c>
      <c r="C2" s="22" t="s">
        <v>2</v>
      </c>
      <c r="D2" s="22" t="s">
        <v>137</v>
      </c>
      <c r="E2" s="22" t="s">
        <v>138</v>
      </c>
    </row>
    <row r="3" spans="1:6" x14ac:dyDescent="0.3">
      <c r="A3" t="s">
        <v>49</v>
      </c>
      <c r="B3" t="s">
        <v>4</v>
      </c>
      <c r="C3">
        <v>170</v>
      </c>
      <c r="D3">
        <v>19000</v>
      </c>
      <c r="E3">
        <f>C3*D3</f>
        <v>3230000</v>
      </c>
    </row>
    <row r="4" spans="1:6" hidden="1" x14ac:dyDescent="0.3">
      <c r="A4" t="s">
        <v>49</v>
      </c>
      <c r="B4" t="s">
        <v>31</v>
      </c>
      <c r="C4">
        <v>0</v>
      </c>
      <c r="E4">
        <f t="shared" ref="E4:E67" si="0">C4*D4</f>
        <v>0</v>
      </c>
    </row>
    <row r="5" spans="1:6" hidden="1" x14ac:dyDescent="0.3">
      <c r="A5" t="s">
        <v>19</v>
      </c>
      <c r="B5" t="s">
        <v>50</v>
      </c>
      <c r="C5">
        <v>0</v>
      </c>
      <c r="E5">
        <f t="shared" si="0"/>
        <v>0</v>
      </c>
    </row>
    <row r="6" spans="1:6" hidden="1" x14ac:dyDescent="0.3">
      <c r="A6" t="s">
        <v>51</v>
      </c>
      <c r="B6" t="s">
        <v>53</v>
      </c>
      <c r="C6">
        <v>0</v>
      </c>
      <c r="E6">
        <f t="shared" si="0"/>
        <v>0</v>
      </c>
    </row>
    <row r="7" spans="1:6" hidden="1" x14ac:dyDescent="0.3">
      <c r="A7" t="s">
        <v>51</v>
      </c>
      <c r="B7" t="s">
        <v>4</v>
      </c>
      <c r="C7">
        <v>0</v>
      </c>
      <c r="E7">
        <f t="shared" si="0"/>
        <v>0</v>
      </c>
    </row>
    <row r="8" spans="1:6" x14ac:dyDescent="0.3">
      <c r="A8" t="s">
        <v>28</v>
      </c>
      <c r="B8" t="s">
        <v>4</v>
      </c>
      <c r="C8">
        <v>73</v>
      </c>
      <c r="D8">
        <v>15000</v>
      </c>
      <c r="E8">
        <f t="shared" si="0"/>
        <v>1095000</v>
      </c>
    </row>
    <row r="9" spans="1:6" hidden="1" x14ac:dyDescent="0.3">
      <c r="A9" t="s">
        <v>28</v>
      </c>
      <c r="B9" t="s">
        <v>31</v>
      </c>
      <c r="C9">
        <v>0</v>
      </c>
      <c r="E9">
        <f t="shared" si="0"/>
        <v>0</v>
      </c>
    </row>
    <row r="10" spans="1:6" x14ac:dyDescent="0.3">
      <c r="A10" t="s">
        <v>29</v>
      </c>
      <c r="B10" t="s">
        <v>4</v>
      </c>
      <c r="C10">
        <v>1693</v>
      </c>
      <c r="D10">
        <v>28000</v>
      </c>
      <c r="E10">
        <f t="shared" si="0"/>
        <v>47404000</v>
      </c>
    </row>
    <row r="11" spans="1:6" hidden="1" x14ac:dyDescent="0.3">
      <c r="A11" t="s">
        <v>29</v>
      </c>
      <c r="B11" t="s">
        <v>150</v>
      </c>
      <c r="C11">
        <v>0</v>
      </c>
      <c r="E11">
        <f t="shared" si="0"/>
        <v>0</v>
      </c>
    </row>
    <row r="12" spans="1:6" hidden="1" x14ac:dyDescent="0.3">
      <c r="A12" t="s">
        <v>56</v>
      </c>
      <c r="B12" t="s">
        <v>4</v>
      </c>
      <c r="C12">
        <v>0</v>
      </c>
      <c r="E12">
        <f t="shared" si="0"/>
        <v>0</v>
      </c>
    </row>
    <row r="13" spans="1:6" hidden="1" x14ac:dyDescent="0.3">
      <c r="A13" t="s">
        <v>56</v>
      </c>
      <c r="B13" t="s">
        <v>31</v>
      </c>
      <c r="C13">
        <v>0</v>
      </c>
      <c r="E13">
        <f t="shared" si="0"/>
        <v>0</v>
      </c>
    </row>
    <row r="14" spans="1:6" x14ac:dyDescent="0.3">
      <c r="A14" t="s">
        <v>57</v>
      </c>
      <c r="B14" t="s">
        <v>4</v>
      </c>
      <c r="C14">
        <v>1180</v>
      </c>
      <c r="D14">
        <v>21000</v>
      </c>
      <c r="E14">
        <f t="shared" si="0"/>
        <v>24780000</v>
      </c>
      <c r="F14">
        <v>1175</v>
      </c>
    </row>
    <row r="15" spans="1:6" hidden="1" x14ac:dyDescent="0.3">
      <c r="A15" t="s">
        <v>57</v>
      </c>
      <c r="B15" t="s">
        <v>31</v>
      </c>
      <c r="C15">
        <v>0</v>
      </c>
      <c r="E15">
        <f t="shared" si="0"/>
        <v>0</v>
      </c>
    </row>
    <row r="16" spans="1:6" x14ac:dyDescent="0.3">
      <c r="A16" t="s">
        <v>32</v>
      </c>
      <c r="B16" t="s">
        <v>4</v>
      </c>
      <c r="C16">
        <v>200</v>
      </c>
      <c r="D16">
        <v>19000</v>
      </c>
      <c r="E16">
        <f t="shared" si="0"/>
        <v>3800000</v>
      </c>
    </row>
    <row r="17" spans="1:5" hidden="1" x14ac:dyDescent="0.3">
      <c r="A17" t="s">
        <v>32</v>
      </c>
      <c r="B17" t="s">
        <v>31</v>
      </c>
      <c r="C17">
        <v>0</v>
      </c>
      <c r="E17">
        <f t="shared" si="0"/>
        <v>0</v>
      </c>
    </row>
    <row r="18" spans="1:5" x14ac:dyDescent="0.3">
      <c r="A18" t="s">
        <v>34</v>
      </c>
      <c r="B18" t="s">
        <v>4</v>
      </c>
      <c r="C18">
        <v>220</v>
      </c>
      <c r="D18">
        <v>15000</v>
      </c>
      <c r="E18">
        <f t="shared" si="0"/>
        <v>3300000</v>
      </c>
    </row>
    <row r="19" spans="1:5" hidden="1" x14ac:dyDescent="0.3">
      <c r="A19" t="s">
        <v>34</v>
      </c>
      <c r="B19" t="s">
        <v>31</v>
      </c>
      <c r="C19">
        <v>0</v>
      </c>
      <c r="E19">
        <f t="shared" si="0"/>
        <v>0</v>
      </c>
    </row>
    <row r="20" spans="1:5" hidden="1" x14ac:dyDescent="0.3">
      <c r="A20" t="s">
        <v>60</v>
      </c>
      <c r="B20" t="s">
        <v>4</v>
      </c>
      <c r="C20">
        <v>0</v>
      </c>
      <c r="E20">
        <f t="shared" si="0"/>
        <v>0</v>
      </c>
    </row>
    <row r="21" spans="1:5" hidden="1" x14ac:dyDescent="0.3">
      <c r="A21" t="s">
        <v>60</v>
      </c>
      <c r="B21" t="s">
        <v>50</v>
      </c>
      <c r="C21">
        <v>0</v>
      </c>
      <c r="E21">
        <f t="shared" si="0"/>
        <v>0</v>
      </c>
    </row>
    <row r="22" spans="1:5" x14ac:dyDescent="0.3">
      <c r="A22" t="s">
        <v>6</v>
      </c>
      <c r="B22" t="s">
        <v>4</v>
      </c>
      <c r="C22">
        <v>350</v>
      </c>
      <c r="D22">
        <v>11000</v>
      </c>
      <c r="E22">
        <f t="shared" si="0"/>
        <v>3850000</v>
      </c>
    </row>
    <row r="23" spans="1:5" hidden="1" x14ac:dyDescent="0.3">
      <c r="A23" t="s">
        <v>62</v>
      </c>
      <c r="B23" t="s">
        <v>4</v>
      </c>
      <c r="C23">
        <v>0</v>
      </c>
      <c r="E23">
        <f t="shared" si="0"/>
        <v>0</v>
      </c>
    </row>
    <row r="24" spans="1:5" x14ac:dyDescent="0.3">
      <c r="A24" t="s">
        <v>62</v>
      </c>
      <c r="B24" t="s">
        <v>31</v>
      </c>
      <c r="C24">
        <v>40</v>
      </c>
      <c r="D24">
        <v>12000</v>
      </c>
      <c r="E24">
        <f t="shared" si="0"/>
        <v>480000</v>
      </c>
    </row>
    <row r="25" spans="1:5" hidden="1" x14ac:dyDescent="0.3">
      <c r="A25" t="s">
        <v>64</v>
      </c>
      <c r="B25" t="s">
        <v>4</v>
      </c>
      <c r="C25">
        <v>0</v>
      </c>
      <c r="E25">
        <f t="shared" si="0"/>
        <v>0</v>
      </c>
    </row>
    <row r="26" spans="1:5" hidden="1" x14ac:dyDescent="0.3">
      <c r="A26" t="s">
        <v>64</v>
      </c>
      <c r="B26" t="s">
        <v>31</v>
      </c>
      <c r="C26">
        <v>0</v>
      </c>
      <c r="E26">
        <f t="shared" si="0"/>
        <v>0</v>
      </c>
    </row>
    <row r="27" spans="1:5" hidden="1" x14ac:dyDescent="0.3">
      <c r="A27" t="s">
        <v>64</v>
      </c>
      <c r="B27" t="s">
        <v>65</v>
      </c>
      <c r="C27">
        <v>0</v>
      </c>
      <c r="E27">
        <f t="shared" si="0"/>
        <v>0</v>
      </c>
    </row>
    <row r="28" spans="1:5" x14ac:dyDescent="0.3">
      <c r="A28" t="s">
        <v>22</v>
      </c>
      <c r="B28" t="s">
        <v>4</v>
      </c>
      <c r="C28">
        <v>1860</v>
      </c>
      <c r="D28">
        <v>7500</v>
      </c>
      <c r="E28">
        <f t="shared" si="0"/>
        <v>13950000</v>
      </c>
    </row>
    <row r="29" spans="1:5" hidden="1" x14ac:dyDescent="0.3">
      <c r="A29" t="s">
        <v>24</v>
      </c>
      <c r="B29" t="s">
        <v>66</v>
      </c>
      <c r="C29">
        <v>0</v>
      </c>
      <c r="E29">
        <f t="shared" si="0"/>
        <v>0</v>
      </c>
    </row>
    <row r="30" spans="1:5" x14ac:dyDescent="0.3">
      <c r="A30" t="s">
        <v>24</v>
      </c>
      <c r="B30" t="s">
        <v>4</v>
      </c>
      <c r="C30">
        <v>126</v>
      </c>
      <c r="D30">
        <v>11000</v>
      </c>
      <c r="E30">
        <f t="shared" si="0"/>
        <v>1386000</v>
      </c>
    </row>
    <row r="31" spans="1:5" hidden="1" x14ac:dyDescent="0.3">
      <c r="A31" t="s">
        <v>24</v>
      </c>
      <c r="B31" t="s">
        <v>31</v>
      </c>
      <c r="C31">
        <v>0</v>
      </c>
      <c r="E31">
        <f t="shared" si="0"/>
        <v>0</v>
      </c>
    </row>
    <row r="32" spans="1:5" x14ac:dyDescent="0.3">
      <c r="A32" t="s">
        <v>75</v>
      </c>
      <c r="B32" t="s">
        <v>4</v>
      </c>
      <c r="C32">
        <v>3</v>
      </c>
      <c r="D32">
        <v>28000</v>
      </c>
      <c r="E32">
        <f t="shared" si="0"/>
        <v>84000</v>
      </c>
    </row>
    <row r="33" spans="1:6" x14ac:dyDescent="0.3">
      <c r="A33" t="s">
        <v>8</v>
      </c>
      <c r="B33" t="s">
        <v>4</v>
      </c>
      <c r="C33">
        <v>2345</v>
      </c>
      <c r="D33">
        <v>5200</v>
      </c>
      <c r="E33">
        <f t="shared" si="0"/>
        <v>12194000</v>
      </c>
    </row>
    <row r="34" spans="1:6" hidden="1" x14ac:dyDescent="0.3">
      <c r="A34" t="s">
        <v>10</v>
      </c>
      <c r="B34" t="s">
        <v>4</v>
      </c>
      <c r="C34">
        <v>0</v>
      </c>
      <c r="E34">
        <f t="shared" si="0"/>
        <v>0</v>
      </c>
    </row>
    <row r="35" spans="1:6" hidden="1" x14ac:dyDescent="0.3">
      <c r="A35" t="s">
        <v>10</v>
      </c>
      <c r="B35" t="s">
        <v>84</v>
      </c>
      <c r="C35">
        <v>0</v>
      </c>
      <c r="E35">
        <f t="shared" si="0"/>
        <v>0</v>
      </c>
    </row>
    <row r="36" spans="1:6" x14ac:dyDescent="0.3">
      <c r="A36" t="s">
        <v>11</v>
      </c>
      <c r="B36" t="s">
        <v>4</v>
      </c>
      <c r="C36">
        <v>43</v>
      </c>
      <c r="D36">
        <v>13000</v>
      </c>
      <c r="E36">
        <f t="shared" si="0"/>
        <v>559000</v>
      </c>
    </row>
    <row r="37" spans="1:6" hidden="1" x14ac:dyDescent="0.3">
      <c r="A37" t="s">
        <v>11</v>
      </c>
      <c r="B37" t="s">
        <v>84</v>
      </c>
      <c r="C37">
        <v>0</v>
      </c>
      <c r="E37">
        <f t="shared" si="0"/>
        <v>0</v>
      </c>
    </row>
    <row r="38" spans="1:6" x14ac:dyDescent="0.3">
      <c r="A38" t="s">
        <v>15</v>
      </c>
      <c r="B38" t="s">
        <v>4</v>
      </c>
      <c r="C38">
        <v>173</v>
      </c>
      <c r="D38">
        <v>25000</v>
      </c>
      <c r="E38">
        <f t="shared" si="0"/>
        <v>4325000</v>
      </c>
    </row>
    <row r="39" spans="1:6" hidden="1" x14ac:dyDescent="0.3">
      <c r="A39" t="s">
        <v>15</v>
      </c>
      <c r="B39" t="s">
        <v>50</v>
      </c>
      <c r="C39">
        <v>0</v>
      </c>
      <c r="E39">
        <f t="shared" si="0"/>
        <v>0</v>
      </c>
    </row>
    <row r="40" spans="1:6" hidden="1" x14ac:dyDescent="0.3">
      <c r="A40" t="s">
        <v>15</v>
      </c>
      <c r="B40" t="s">
        <v>164</v>
      </c>
      <c r="C40">
        <v>0</v>
      </c>
      <c r="E40">
        <f t="shared" si="0"/>
        <v>0</v>
      </c>
    </row>
    <row r="41" spans="1:6" x14ac:dyDescent="0.3">
      <c r="A41" t="s">
        <v>18</v>
      </c>
      <c r="B41" t="s">
        <v>4</v>
      </c>
      <c r="C41">
        <v>205</v>
      </c>
      <c r="D41">
        <v>19000</v>
      </c>
      <c r="E41">
        <f t="shared" si="0"/>
        <v>3895000</v>
      </c>
    </row>
    <row r="42" spans="1:6" hidden="1" x14ac:dyDescent="0.3">
      <c r="A42" t="s">
        <v>18</v>
      </c>
      <c r="B42" t="s">
        <v>50</v>
      </c>
      <c r="C42">
        <v>0</v>
      </c>
      <c r="E42">
        <f t="shared" si="0"/>
        <v>0</v>
      </c>
    </row>
    <row r="43" spans="1:6" x14ac:dyDescent="0.3">
      <c r="A43" t="s">
        <v>92</v>
      </c>
      <c r="B43" t="s">
        <v>4</v>
      </c>
      <c r="C43">
        <v>250</v>
      </c>
      <c r="D43">
        <v>18000</v>
      </c>
      <c r="E43">
        <f t="shared" si="0"/>
        <v>4500000</v>
      </c>
      <c r="F43" t="s">
        <v>185</v>
      </c>
    </row>
    <row r="44" spans="1:6" hidden="1" x14ac:dyDescent="0.3">
      <c r="A44" t="s">
        <v>92</v>
      </c>
      <c r="B44" t="s">
        <v>31</v>
      </c>
      <c r="C44">
        <v>0</v>
      </c>
      <c r="E44">
        <f t="shared" si="0"/>
        <v>0</v>
      </c>
    </row>
    <row r="45" spans="1:6" x14ac:dyDescent="0.3">
      <c r="A45" t="s">
        <v>39</v>
      </c>
      <c r="B45" t="s">
        <v>4</v>
      </c>
      <c r="C45">
        <v>170</v>
      </c>
      <c r="D45">
        <v>12000</v>
      </c>
      <c r="E45">
        <f t="shared" si="0"/>
        <v>2040000</v>
      </c>
    </row>
    <row r="46" spans="1:6" hidden="1" x14ac:dyDescent="0.3">
      <c r="A46" t="s">
        <v>39</v>
      </c>
      <c r="B46" t="s">
        <v>50</v>
      </c>
      <c r="C46">
        <v>0</v>
      </c>
      <c r="E46">
        <f t="shared" si="0"/>
        <v>0</v>
      </c>
    </row>
    <row r="47" spans="1:6" x14ac:dyDescent="0.3">
      <c r="A47" t="s">
        <v>100</v>
      </c>
      <c r="B47" t="s">
        <v>4</v>
      </c>
      <c r="C47">
        <v>27</v>
      </c>
      <c r="D47">
        <v>6000</v>
      </c>
      <c r="E47">
        <f t="shared" si="0"/>
        <v>162000</v>
      </c>
    </row>
    <row r="48" spans="1:6" x14ac:dyDescent="0.3">
      <c r="A48" t="s">
        <v>43</v>
      </c>
      <c r="B48" t="s">
        <v>4</v>
      </c>
      <c r="C48">
        <v>98</v>
      </c>
      <c r="D48">
        <v>44000</v>
      </c>
      <c r="E48">
        <f t="shared" si="0"/>
        <v>4312000</v>
      </c>
    </row>
    <row r="49" spans="1:6" hidden="1" x14ac:dyDescent="0.3">
      <c r="A49" t="s">
        <v>43</v>
      </c>
      <c r="B49" t="s">
        <v>84</v>
      </c>
      <c r="C49">
        <v>0</v>
      </c>
      <c r="E49">
        <f t="shared" si="0"/>
        <v>0</v>
      </c>
    </row>
    <row r="50" spans="1:6" x14ac:dyDescent="0.3">
      <c r="A50" t="s">
        <v>44</v>
      </c>
      <c r="B50" t="s">
        <v>4</v>
      </c>
      <c r="C50">
        <v>75</v>
      </c>
      <c r="D50">
        <v>28000</v>
      </c>
      <c r="E50">
        <f t="shared" si="0"/>
        <v>2100000</v>
      </c>
    </row>
    <row r="51" spans="1:6" hidden="1" x14ac:dyDescent="0.3">
      <c r="A51" t="s">
        <v>44</v>
      </c>
      <c r="B51" t="s">
        <v>84</v>
      </c>
      <c r="C51">
        <v>0</v>
      </c>
      <c r="E51">
        <f t="shared" si="0"/>
        <v>0</v>
      </c>
    </row>
    <row r="52" spans="1:6" x14ac:dyDescent="0.3">
      <c r="A52" t="s">
        <v>45</v>
      </c>
      <c r="B52" t="s">
        <v>4</v>
      </c>
      <c r="C52">
        <v>45</v>
      </c>
      <c r="D52">
        <v>35000</v>
      </c>
      <c r="E52">
        <f t="shared" si="0"/>
        <v>1575000</v>
      </c>
    </row>
    <row r="53" spans="1:6" hidden="1" x14ac:dyDescent="0.3">
      <c r="A53" t="s">
        <v>45</v>
      </c>
      <c r="B53" t="s">
        <v>84</v>
      </c>
      <c r="C53">
        <v>0</v>
      </c>
      <c r="E53">
        <f t="shared" si="0"/>
        <v>0</v>
      </c>
    </row>
    <row r="54" spans="1:6" hidden="1" x14ac:dyDescent="0.3">
      <c r="A54" t="s">
        <v>12</v>
      </c>
      <c r="B54" t="s">
        <v>4</v>
      </c>
      <c r="C54">
        <v>0</v>
      </c>
      <c r="E54">
        <f t="shared" si="0"/>
        <v>0</v>
      </c>
    </row>
    <row r="55" spans="1:6" hidden="1" x14ac:dyDescent="0.3">
      <c r="A55" t="s">
        <v>116</v>
      </c>
      <c r="B55" t="s">
        <v>4</v>
      </c>
      <c r="C55">
        <v>0</v>
      </c>
      <c r="E55">
        <f t="shared" si="0"/>
        <v>0</v>
      </c>
    </row>
    <row r="56" spans="1:6" hidden="1" x14ac:dyDescent="0.3">
      <c r="A56" t="s">
        <v>116</v>
      </c>
      <c r="B56" t="s">
        <v>50</v>
      </c>
      <c r="C56">
        <v>0</v>
      </c>
      <c r="E56">
        <f t="shared" si="0"/>
        <v>0</v>
      </c>
    </row>
    <row r="57" spans="1:6" x14ac:dyDescent="0.3">
      <c r="A57" t="s">
        <v>117</v>
      </c>
      <c r="B57" t="s">
        <v>4</v>
      </c>
      <c r="C57">
        <v>430</v>
      </c>
      <c r="D57">
        <v>21000</v>
      </c>
      <c r="E57">
        <f t="shared" si="0"/>
        <v>9030000</v>
      </c>
      <c r="F57">
        <v>430</v>
      </c>
    </row>
    <row r="58" spans="1:6" x14ac:dyDescent="0.3">
      <c r="A58" t="s">
        <v>17</v>
      </c>
      <c r="B58" t="s">
        <v>4</v>
      </c>
      <c r="C58">
        <v>17</v>
      </c>
      <c r="D58">
        <v>38000</v>
      </c>
      <c r="E58">
        <f t="shared" si="0"/>
        <v>646000</v>
      </c>
    </row>
    <row r="59" spans="1:6" hidden="1" x14ac:dyDescent="0.3">
      <c r="A59" t="s">
        <v>17</v>
      </c>
      <c r="B59" t="s">
        <v>147</v>
      </c>
      <c r="C59">
        <v>0</v>
      </c>
      <c r="E59">
        <f t="shared" si="0"/>
        <v>0</v>
      </c>
    </row>
    <row r="60" spans="1:6" x14ac:dyDescent="0.3">
      <c r="A60" t="s">
        <v>118</v>
      </c>
      <c r="B60" t="s">
        <v>4</v>
      </c>
      <c r="C60">
        <v>60</v>
      </c>
      <c r="D60">
        <v>19319</v>
      </c>
      <c r="E60">
        <f t="shared" si="0"/>
        <v>1159140</v>
      </c>
    </row>
    <row r="61" spans="1:6" x14ac:dyDescent="0.3">
      <c r="A61" t="s">
        <v>41</v>
      </c>
      <c r="B61" t="s">
        <v>4</v>
      </c>
      <c r="C61">
        <v>1500</v>
      </c>
      <c r="D61">
        <v>28600</v>
      </c>
      <c r="E61">
        <f t="shared" si="0"/>
        <v>42900000</v>
      </c>
    </row>
    <row r="62" spans="1:6" x14ac:dyDescent="0.3">
      <c r="A62" t="s">
        <v>59</v>
      </c>
      <c r="B62" t="s">
        <v>4</v>
      </c>
      <c r="C62">
        <v>34</v>
      </c>
      <c r="D62">
        <v>39000</v>
      </c>
      <c r="E62">
        <f t="shared" si="0"/>
        <v>1326000</v>
      </c>
    </row>
    <row r="63" spans="1:6" x14ac:dyDescent="0.3">
      <c r="A63" t="s">
        <v>16</v>
      </c>
      <c r="B63" t="s">
        <v>4</v>
      </c>
      <c r="C63">
        <v>30</v>
      </c>
      <c r="D63">
        <v>17000</v>
      </c>
      <c r="E63">
        <f t="shared" si="0"/>
        <v>510000</v>
      </c>
    </row>
    <row r="64" spans="1:6" hidden="1" x14ac:dyDescent="0.3">
      <c r="A64" t="s">
        <v>16</v>
      </c>
      <c r="B64" t="s">
        <v>165</v>
      </c>
      <c r="C64">
        <v>0</v>
      </c>
      <c r="E64">
        <f t="shared" si="0"/>
        <v>0</v>
      </c>
    </row>
    <row r="65" spans="1:5" x14ac:dyDescent="0.3">
      <c r="A65" t="s">
        <v>3</v>
      </c>
      <c r="B65" t="s">
        <v>4</v>
      </c>
      <c r="C65">
        <v>30</v>
      </c>
      <c r="D65">
        <v>30000</v>
      </c>
      <c r="E65">
        <f t="shared" si="0"/>
        <v>900000</v>
      </c>
    </row>
    <row r="66" spans="1:5" hidden="1" x14ac:dyDescent="0.3">
      <c r="A66" t="s">
        <v>7</v>
      </c>
      <c r="B66" t="s">
        <v>4</v>
      </c>
      <c r="C66">
        <v>0</v>
      </c>
      <c r="E66">
        <f t="shared" si="0"/>
        <v>0</v>
      </c>
    </row>
    <row r="67" spans="1:5" hidden="1" x14ac:dyDescent="0.3">
      <c r="A67" t="s">
        <v>7</v>
      </c>
      <c r="B67" t="s">
        <v>84</v>
      </c>
      <c r="C67">
        <v>0</v>
      </c>
      <c r="E67">
        <f t="shared" si="0"/>
        <v>0</v>
      </c>
    </row>
    <row r="68" spans="1:5" hidden="1" x14ac:dyDescent="0.3">
      <c r="A68" t="s">
        <v>89</v>
      </c>
      <c r="B68" t="s">
        <v>53</v>
      </c>
      <c r="C68">
        <v>0</v>
      </c>
      <c r="E68">
        <f t="shared" ref="E68:E130" si="1">C68*D68</f>
        <v>0</v>
      </c>
    </row>
    <row r="69" spans="1:5" hidden="1" x14ac:dyDescent="0.3">
      <c r="A69" t="s">
        <v>89</v>
      </c>
      <c r="B69" t="s">
        <v>4</v>
      </c>
      <c r="C69">
        <v>0</v>
      </c>
      <c r="E69">
        <f t="shared" si="1"/>
        <v>0</v>
      </c>
    </row>
    <row r="70" spans="1:5" hidden="1" x14ac:dyDescent="0.3">
      <c r="A70" t="s">
        <v>90</v>
      </c>
      <c r="B70" t="s">
        <v>4</v>
      </c>
      <c r="C70">
        <v>0</v>
      </c>
      <c r="E70">
        <f t="shared" si="1"/>
        <v>0</v>
      </c>
    </row>
    <row r="71" spans="1:5" hidden="1" x14ac:dyDescent="0.3">
      <c r="A71" t="s">
        <v>90</v>
      </c>
      <c r="B71" t="s">
        <v>147</v>
      </c>
      <c r="C71">
        <v>0</v>
      </c>
      <c r="E71">
        <f t="shared" si="1"/>
        <v>0</v>
      </c>
    </row>
    <row r="72" spans="1:5" hidden="1" x14ac:dyDescent="0.3">
      <c r="A72" t="s">
        <v>90</v>
      </c>
      <c r="B72" t="s">
        <v>148</v>
      </c>
      <c r="C72">
        <v>0</v>
      </c>
      <c r="E72">
        <f t="shared" si="1"/>
        <v>0</v>
      </c>
    </row>
    <row r="73" spans="1:5" hidden="1" x14ac:dyDescent="0.3">
      <c r="A73" t="s">
        <v>167</v>
      </c>
      <c r="B73" t="s">
        <v>53</v>
      </c>
      <c r="C73">
        <v>0</v>
      </c>
      <c r="E73">
        <f t="shared" si="1"/>
        <v>0</v>
      </c>
    </row>
    <row r="74" spans="1:5" hidden="1" x14ac:dyDescent="0.3">
      <c r="A74" t="s">
        <v>94</v>
      </c>
      <c r="B74" t="s">
        <v>4</v>
      </c>
      <c r="C74">
        <v>0</v>
      </c>
      <c r="E74">
        <f t="shared" si="1"/>
        <v>0</v>
      </c>
    </row>
    <row r="75" spans="1:5" hidden="1" x14ac:dyDescent="0.3">
      <c r="A75" t="s">
        <v>94</v>
      </c>
      <c r="B75" t="s">
        <v>50</v>
      </c>
      <c r="C75">
        <v>0</v>
      </c>
      <c r="E75">
        <f t="shared" si="1"/>
        <v>0</v>
      </c>
    </row>
    <row r="76" spans="1:5" hidden="1" x14ac:dyDescent="0.3">
      <c r="A76" t="s">
        <v>27</v>
      </c>
      <c r="B76" t="s">
        <v>4</v>
      </c>
      <c r="C76">
        <v>0</v>
      </c>
      <c r="E76">
        <f t="shared" si="1"/>
        <v>0</v>
      </c>
    </row>
    <row r="77" spans="1:5" x14ac:dyDescent="0.3">
      <c r="A77" t="s">
        <v>55</v>
      </c>
      <c r="B77" t="s">
        <v>4</v>
      </c>
      <c r="C77">
        <v>11</v>
      </c>
      <c r="D77">
        <v>20000</v>
      </c>
      <c r="E77">
        <f t="shared" si="1"/>
        <v>220000</v>
      </c>
    </row>
    <row r="78" spans="1:5" hidden="1" x14ac:dyDescent="0.3">
      <c r="A78" t="s">
        <v>55</v>
      </c>
      <c r="B78" t="s">
        <v>31</v>
      </c>
      <c r="C78">
        <v>0</v>
      </c>
      <c r="E78">
        <f t="shared" si="1"/>
        <v>0</v>
      </c>
    </row>
    <row r="79" spans="1:5" x14ac:dyDescent="0.3">
      <c r="A79" t="s">
        <v>58</v>
      </c>
      <c r="B79" t="s">
        <v>4</v>
      </c>
      <c r="C79">
        <v>76</v>
      </c>
      <c r="D79">
        <v>29000</v>
      </c>
      <c r="E79">
        <f t="shared" si="1"/>
        <v>2204000</v>
      </c>
    </row>
    <row r="80" spans="1:5" x14ac:dyDescent="0.3">
      <c r="A80" t="s">
        <v>35</v>
      </c>
      <c r="B80" t="s">
        <v>4</v>
      </c>
      <c r="C80">
        <v>29</v>
      </c>
      <c r="D80">
        <v>18000</v>
      </c>
      <c r="E80">
        <f t="shared" si="1"/>
        <v>522000</v>
      </c>
    </row>
    <row r="81" spans="1:5" hidden="1" x14ac:dyDescent="0.3">
      <c r="A81" t="s">
        <v>123</v>
      </c>
      <c r="B81" t="s">
        <v>4</v>
      </c>
      <c r="C81">
        <v>0</v>
      </c>
      <c r="E81">
        <f t="shared" si="1"/>
        <v>0</v>
      </c>
    </row>
    <row r="82" spans="1:5" hidden="1" x14ac:dyDescent="0.3">
      <c r="A82" t="s">
        <v>123</v>
      </c>
      <c r="B82" t="s">
        <v>31</v>
      </c>
      <c r="C82">
        <v>0</v>
      </c>
      <c r="E82">
        <f t="shared" si="1"/>
        <v>0</v>
      </c>
    </row>
    <row r="83" spans="1:5" x14ac:dyDescent="0.3">
      <c r="A83" t="s">
        <v>37</v>
      </c>
      <c r="B83" t="s">
        <v>4</v>
      </c>
      <c r="C83">
        <v>5</v>
      </c>
      <c r="D83">
        <v>13000</v>
      </c>
      <c r="E83">
        <f t="shared" si="1"/>
        <v>65000</v>
      </c>
    </row>
    <row r="84" spans="1:5" hidden="1" x14ac:dyDescent="0.3">
      <c r="A84" t="s">
        <v>37</v>
      </c>
      <c r="B84" t="s">
        <v>31</v>
      </c>
      <c r="C84">
        <v>0</v>
      </c>
      <c r="E84">
        <f t="shared" si="1"/>
        <v>0</v>
      </c>
    </row>
    <row r="85" spans="1:5" hidden="1" x14ac:dyDescent="0.3">
      <c r="A85" t="s">
        <v>37</v>
      </c>
      <c r="B85" t="s">
        <v>150</v>
      </c>
      <c r="C85">
        <v>0</v>
      </c>
      <c r="E85">
        <f t="shared" si="1"/>
        <v>0</v>
      </c>
    </row>
    <row r="86" spans="1:5" hidden="1" x14ac:dyDescent="0.3">
      <c r="A86" t="s">
        <v>96</v>
      </c>
      <c r="B86" t="s">
        <v>4</v>
      </c>
      <c r="C86">
        <v>0</v>
      </c>
      <c r="E86">
        <f t="shared" si="1"/>
        <v>0</v>
      </c>
    </row>
    <row r="87" spans="1:5" hidden="1" x14ac:dyDescent="0.3">
      <c r="A87" t="s">
        <v>96</v>
      </c>
      <c r="B87" t="s">
        <v>50</v>
      </c>
      <c r="C87">
        <v>0</v>
      </c>
      <c r="E87">
        <f t="shared" si="1"/>
        <v>0</v>
      </c>
    </row>
    <row r="88" spans="1:5" hidden="1" x14ac:dyDescent="0.3">
      <c r="A88" t="s">
        <v>113</v>
      </c>
      <c r="B88" t="s">
        <v>31</v>
      </c>
      <c r="C88">
        <v>0</v>
      </c>
      <c r="E88">
        <f t="shared" si="1"/>
        <v>0</v>
      </c>
    </row>
    <row r="89" spans="1:5" hidden="1" x14ac:dyDescent="0.3">
      <c r="A89" t="s">
        <v>99</v>
      </c>
      <c r="B89" t="s">
        <v>4</v>
      </c>
      <c r="C89">
        <v>0</v>
      </c>
      <c r="E89">
        <f t="shared" si="1"/>
        <v>0</v>
      </c>
    </row>
    <row r="90" spans="1:5" hidden="1" x14ac:dyDescent="0.3">
      <c r="A90" t="s">
        <v>99</v>
      </c>
      <c r="B90" t="s">
        <v>31</v>
      </c>
      <c r="C90">
        <v>0</v>
      </c>
      <c r="E90">
        <f t="shared" si="1"/>
        <v>0</v>
      </c>
    </row>
    <row r="91" spans="1:5" hidden="1" x14ac:dyDescent="0.3">
      <c r="A91" t="s">
        <v>40</v>
      </c>
      <c r="B91" t="s">
        <v>66</v>
      </c>
      <c r="C91">
        <v>0</v>
      </c>
      <c r="E91">
        <f t="shared" si="1"/>
        <v>0</v>
      </c>
    </row>
    <row r="92" spans="1:5" hidden="1" x14ac:dyDescent="0.3">
      <c r="A92" t="s">
        <v>40</v>
      </c>
      <c r="B92" t="s">
        <v>4</v>
      </c>
      <c r="C92">
        <v>0</v>
      </c>
      <c r="E92">
        <f t="shared" si="1"/>
        <v>0</v>
      </c>
    </row>
    <row r="93" spans="1:5" hidden="1" x14ac:dyDescent="0.3">
      <c r="A93" t="s">
        <v>126</v>
      </c>
      <c r="B93" t="s">
        <v>4</v>
      </c>
      <c r="C93">
        <v>0</v>
      </c>
      <c r="E93">
        <f t="shared" si="1"/>
        <v>0</v>
      </c>
    </row>
    <row r="94" spans="1:5" hidden="1" x14ac:dyDescent="0.3">
      <c r="A94" t="s">
        <v>126</v>
      </c>
      <c r="B94" t="s">
        <v>73</v>
      </c>
      <c r="C94">
        <v>0</v>
      </c>
      <c r="E94">
        <f t="shared" si="1"/>
        <v>0</v>
      </c>
    </row>
    <row r="95" spans="1:5" hidden="1" x14ac:dyDescent="0.3">
      <c r="A95" t="s">
        <v>69</v>
      </c>
      <c r="B95" t="s">
        <v>31</v>
      </c>
      <c r="C95">
        <v>0</v>
      </c>
      <c r="E95">
        <f t="shared" si="1"/>
        <v>0</v>
      </c>
    </row>
    <row r="96" spans="1:5" hidden="1" x14ac:dyDescent="0.3">
      <c r="A96" t="s">
        <v>42</v>
      </c>
      <c r="B96" t="s">
        <v>4</v>
      </c>
      <c r="C96">
        <v>0</v>
      </c>
      <c r="E96">
        <f t="shared" si="1"/>
        <v>0</v>
      </c>
    </row>
    <row r="97" spans="1:5" hidden="1" x14ac:dyDescent="0.3">
      <c r="A97" t="s">
        <v>42</v>
      </c>
      <c r="B97" t="s">
        <v>31</v>
      </c>
      <c r="C97">
        <v>0</v>
      </c>
      <c r="E97">
        <f t="shared" si="1"/>
        <v>0</v>
      </c>
    </row>
    <row r="98" spans="1:5" x14ac:dyDescent="0.3">
      <c r="A98" t="s">
        <v>67</v>
      </c>
      <c r="B98" t="s">
        <v>4</v>
      </c>
      <c r="C98">
        <v>8</v>
      </c>
      <c r="D98">
        <v>14000</v>
      </c>
      <c r="E98">
        <f t="shared" si="1"/>
        <v>112000</v>
      </c>
    </row>
    <row r="99" spans="1:5" hidden="1" x14ac:dyDescent="0.3">
      <c r="A99" t="s">
        <v>141</v>
      </c>
      <c r="B99" t="s">
        <v>31</v>
      </c>
      <c r="C99">
        <v>0</v>
      </c>
      <c r="E99">
        <f t="shared" si="1"/>
        <v>0</v>
      </c>
    </row>
    <row r="100" spans="1:5" hidden="1" x14ac:dyDescent="0.3">
      <c r="A100" t="s">
        <v>68</v>
      </c>
      <c r="B100" t="s">
        <v>4</v>
      </c>
      <c r="C100">
        <v>0</v>
      </c>
      <c r="E100">
        <f t="shared" si="1"/>
        <v>0</v>
      </c>
    </row>
    <row r="101" spans="1:5" hidden="1" x14ac:dyDescent="0.3">
      <c r="A101" t="s">
        <v>68</v>
      </c>
      <c r="B101" t="s">
        <v>31</v>
      </c>
      <c r="C101">
        <v>0</v>
      </c>
      <c r="E101">
        <f t="shared" si="1"/>
        <v>0</v>
      </c>
    </row>
    <row r="102" spans="1:5" hidden="1" x14ac:dyDescent="0.3">
      <c r="A102" t="s">
        <v>70</v>
      </c>
      <c r="B102" t="s">
        <v>4</v>
      </c>
      <c r="C102">
        <v>0</v>
      </c>
      <c r="E102">
        <f t="shared" si="1"/>
        <v>0</v>
      </c>
    </row>
    <row r="103" spans="1:5" hidden="1" x14ac:dyDescent="0.3">
      <c r="A103" t="s">
        <v>70</v>
      </c>
      <c r="B103" t="s">
        <v>71</v>
      </c>
      <c r="C103">
        <v>0</v>
      </c>
      <c r="E103">
        <f t="shared" si="1"/>
        <v>0</v>
      </c>
    </row>
    <row r="104" spans="1:5" hidden="1" x14ac:dyDescent="0.3">
      <c r="A104" t="s">
        <v>101</v>
      </c>
      <c r="B104" t="s">
        <v>53</v>
      </c>
      <c r="C104">
        <v>0</v>
      </c>
      <c r="E104">
        <f t="shared" si="1"/>
        <v>0</v>
      </c>
    </row>
    <row r="105" spans="1:5" hidden="1" x14ac:dyDescent="0.3">
      <c r="A105" t="s">
        <v>101</v>
      </c>
      <c r="B105" t="s">
        <v>4</v>
      </c>
      <c r="C105">
        <v>0</v>
      </c>
      <c r="E105">
        <f t="shared" si="1"/>
        <v>0</v>
      </c>
    </row>
    <row r="106" spans="1:5" hidden="1" x14ac:dyDescent="0.3">
      <c r="A106" t="s">
        <v>102</v>
      </c>
      <c r="B106" t="s">
        <v>53</v>
      </c>
      <c r="C106">
        <v>0</v>
      </c>
      <c r="E106">
        <f t="shared" si="1"/>
        <v>0</v>
      </c>
    </row>
    <row r="107" spans="1:5" hidden="1" x14ac:dyDescent="0.3">
      <c r="A107" t="s">
        <v>102</v>
      </c>
      <c r="B107" t="s">
        <v>4</v>
      </c>
      <c r="C107">
        <v>0</v>
      </c>
      <c r="E107">
        <f t="shared" si="1"/>
        <v>0</v>
      </c>
    </row>
    <row r="108" spans="1:5" hidden="1" x14ac:dyDescent="0.3">
      <c r="A108" t="s">
        <v>46</v>
      </c>
      <c r="B108" t="s">
        <v>4</v>
      </c>
      <c r="C108">
        <v>0</v>
      </c>
      <c r="E108">
        <f t="shared" si="1"/>
        <v>0</v>
      </c>
    </row>
    <row r="109" spans="1:5" hidden="1" x14ac:dyDescent="0.3">
      <c r="A109" t="s">
        <v>46</v>
      </c>
      <c r="B109" t="s">
        <v>31</v>
      </c>
      <c r="C109">
        <v>0</v>
      </c>
      <c r="E109">
        <f t="shared" si="1"/>
        <v>0</v>
      </c>
    </row>
    <row r="110" spans="1:5" hidden="1" x14ac:dyDescent="0.3">
      <c r="A110" t="s">
        <v>72</v>
      </c>
      <c r="B110" t="s">
        <v>4</v>
      </c>
      <c r="C110">
        <v>0</v>
      </c>
      <c r="E110">
        <f t="shared" si="1"/>
        <v>0</v>
      </c>
    </row>
    <row r="111" spans="1:5" hidden="1" x14ac:dyDescent="0.3">
      <c r="A111" t="s">
        <v>72</v>
      </c>
      <c r="B111" t="s">
        <v>73</v>
      </c>
      <c r="C111">
        <v>0</v>
      </c>
      <c r="E111">
        <f t="shared" si="1"/>
        <v>0</v>
      </c>
    </row>
    <row r="112" spans="1:5" hidden="1" x14ac:dyDescent="0.3">
      <c r="A112" t="s">
        <v>119</v>
      </c>
      <c r="B112" t="s">
        <v>4</v>
      </c>
      <c r="C112">
        <v>0</v>
      </c>
      <c r="E112">
        <f t="shared" si="1"/>
        <v>0</v>
      </c>
    </row>
    <row r="113" spans="1:5" hidden="1" x14ac:dyDescent="0.3">
      <c r="A113" t="s">
        <v>104</v>
      </c>
      <c r="B113" t="s">
        <v>4</v>
      </c>
      <c r="C113">
        <v>0</v>
      </c>
      <c r="E113">
        <f t="shared" si="1"/>
        <v>0</v>
      </c>
    </row>
    <row r="114" spans="1:5" hidden="1" x14ac:dyDescent="0.3">
      <c r="A114" t="s">
        <v>104</v>
      </c>
      <c r="B114" t="s">
        <v>84</v>
      </c>
      <c r="C114">
        <v>0</v>
      </c>
      <c r="E114">
        <f t="shared" si="1"/>
        <v>0</v>
      </c>
    </row>
    <row r="115" spans="1:5" hidden="1" x14ac:dyDescent="0.3">
      <c r="A115" t="s">
        <v>109</v>
      </c>
      <c r="B115" t="s">
        <v>53</v>
      </c>
      <c r="C115">
        <v>0</v>
      </c>
      <c r="E115">
        <f t="shared" si="1"/>
        <v>0</v>
      </c>
    </row>
    <row r="116" spans="1:5" hidden="1" x14ac:dyDescent="0.3">
      <c r="A116" t="s">
        <v>74</v>
      </c>
      <c r="B116" t="s">
        <v>4</v>
      </c>
      <c r="C116">
        <v>0</v>
      </c>
      <c r="E116">
        <f t="shared" si="1"/>
        <v>0</v>
      </c>
    </row>
    <row r="117" spans="1:5" hidden="1" x14ac:dyDescent="0.3">
      <c r="A117" t="s">
        <v>74</v>
      </c>
      <c r="B117" t="s">
        <v>31</v>
      </c>
      <c r="C117">
        <v>0</v>
      </c>
      <c r="E117">
        <f t="shared" si="1"/>
        <v>0</v>
      </c>
    </row>
    <row r="118" spans="1:5" hidden="1" x14ac:dyDescent="0.3">
      <c r="A118" t="s">
        <v>129</v>
      </c>
      <c r="B118" t="s">
        <v>4</v>
      </c>
      <c r="C118">
        <v>0</v>
      </c>
      <c r="E118">
        <f t="shared" si="1"/>
        <v>0</v>
      </c>
    </row>
    <row r="119" spans="1:5" hidden="1" x14ac:dyDescent="0.3">
      <c r="A119" t="s">
        <v>76</v>
      </c>
      <c r="B119" t="s">
        <v>66</v>
      </c>
      <c r="C119">
        <v>0</v>
      </c>
      <c r="E119">
        <f t="shared" si="1"/>
        <v>0</v>
      </c>
    </row>
    <row r="120" spans="1:5" hidden="1" x14ac:dyDescent="0.3">
      <c r="A120" t="s">
        <v>83</v>
      </c>
      <c r="B120" t="s">
        <v>4</v>
      </c>
      <c r="C120">
        <v>0</v>
      </c>
      <c r="E120">
        <f t="shared" si="1"/>
        <v>0</v>
      </c>
    </row>
    <row r="121" spans="1:5" hidden="1" x14ac:dyDescent="0.3">
      <c r="A121" t="s">
        <v>77</v>
      </c>
      <c r="B121" t="s">
        <v>66</v>
      </c>
      <c r="C121">
        <v>0</v>
      </c>
      <c r="E121">
        <f t="shared" si="1"/>
        <v>0</v>
      </c>
    </row>
    <row r="122" spans="1:5" hidden="1" x14ac:dyDescent="0.3">
      <c r="A122" t="s">
        <v>78</v>
      </c>
      <c r="B122" t="s">
        <v>4</v>
      </c>
      <c r="C122">
        <v>0</v>
      </c>
      <c r="E122">
        <f t="shared" si="1"/>
        <v>0</v>
      </c>
    </row>
    <row r="123" spans="1:5" hidden="1" x14ac:dyDescent="0.3">
      <c r="A123" t="s">
        <v>79</v>
      </c>
      <c r="B123" t="s">
        <v>31</v>
      </c>
      <c r="C123">
        <v>0</v>
      </c>
      <c r="E123">
        <f t="shared" si="1"/>
        <v>0</v>
      </c>
    </row>
    <row r="124" spans="1:5" hidden="1" x14ac:dyDescent="0.3">
      <c r="A124" t="s">
        <v>80</v>
      </c>
      <c r="B124" t="s">
        <v>4</v>
      </c>
      <c r="C124">
        <v>0</v>
      </c>
      <c r="E124">
        <f t="shared" si="1"/>
        <v>0</v>
      </c>
    </row>
    <row r="125" spans="1:5" hidden="1" x14ac:dyDescent="0.3">
      <c r="A125" t="s">
        <v>80</v>
      </c>
      <c r="B125" t="s">
        <v>31</v>
      </c>
      <c r="C125">
        <v>0</v>
      </c>
      <c r="E125">
        <f t="shared" si="1"/>
        <v>0</v>
      </c>
    </row>
    <row r="126" spans="1:5" hidden="1" x14ac:dyDescent="0.3">
      <c r="A126" t="s">
        <v>82</v>
      </c>
      <c r="B126" t="s">
        <v>66</v>
      </c>
      <c r="C126">
        <v>0</v>
      </c>
      <c r="E126">
        <f t="shared" si="1"/>
        <v>0</v>
      </c>
    </row>
    <row r="127" spans="1:5" hidden="1" x14ac:dyDescent="0.3">
      <c r="A127" t="s">
        <v>158</v>
      </c>
      <c r="B127" t="s">
        <v>31</v>
      </c>
      <c r="C127">
        <v>0</v>
      </c>
      <c r="E127">
        <f t="shared" si="1"/>
        <v>0</v>
      </c>
    </row>
    <row r="128" spans="1:5" x14ac:dyDescent="0.3">
      <c r="A128" t="s">
        <v>47</v>
      </c>
      <c r="B128" t="s">
        <v>4</v>
      </c>
      <c r="C128">
        <v>7</v>
      </c>
      <c r="D128">
        <v>8000</v>
      </c>
      <c r="E128">
        <f t="shared" si="1"/>
        <v>56000</v>
      </c>
    </row>
    <row r="129" spans="1:5" hidden="1" x14ac:dyDescent="0.3">
      <c r="A129" t="s">
        <v>133</v>
      </c>
      <c r="B129" t="s">
        <v>31</v>
      </c>
      <c r="C129">
        <v>0</v>
      </c>
      <c r="E129">
        <f t="shared" si="1"/>
        <v>0</v>
      </c>
    </row>
    <row r="130" spans="1:5" x14ac:dyDescent="0.3">
      <c r="A130" t="s">
        <v>5</v>
      </c>
      <c r="B130" t="s">
        <v>4</v>
      </c>
      <c r="C130">
        <v>180</v>
      </c>
      <c r="D130">
        <v>12000</v>
      </c>
      <c r="E130">
        <f t="shared" si="1"/>
        <v>2160000</v>
      </c>
    </row>
    <row r="131" spans="1:5" x14ac:dyDescent="0.3">
      <c r="A131" t="s">
        <v>142</v>
      </c>
      <c r="B131" t="s">
        <v>4</v>
      </c>
      <c r="C131">
        <v>40</v>
      </c>
      <c r="D131">
        <v>12000</v>
      </c>
      <c r="E131">
        <f t="shared" ref="E131:E195" si="2">C131*D131</f>
        <v>480000</v>
      </c>
    </row>
    <row r="132" spans="1:5" hidden="1" x14ac:dyDescent="0.3">
      <c r="A132" t="s">
        <v>142</v>
      </c>
      <c r="B132" t="s">
        <v>31</v>
      </c>
      <c r="C132">
        <v>0</v>
      </c>
      <c r="E132">
        <f t="shared" si="2"/>
        <v>0</v>
      </c>
    </row>
    <row r="133" spans="1:5" x14ac:dyDescent="0.3">
      <c r="A133" t="s">
        <v>13</v>
      </c>
      <c r="B133" t="s">
        <v>4</v>
      </c>
      <c r="C133">
        <v>8</v>
      </c>
      <c r="D133">
        <v>27000</v>
      </c>
      <c r="E133">
        <f t="shared" si="2"/>
        <v>216000</v>
      </c>
    </row>
    <row r="134" spans="1:5" x14ac:dyDescent="0.3">
      <c r="A134" t="s">
        <v>21</v>
      </c>
      <c r="B134" t="s">
        <v>4</v>
      </c>
      <c r="C134">
        <v>5</v>
      </c>
      <c r="D134">
        <v>11000</v>
      </c>
      <c r="E134">
        <f t="shared" si="2"/>
        <v>55000</v>
      </c>
    </row>
    <row r="135" spans="1:5" hidden="1" x14ac:dyDescent="0.3">
      <c r="A135" t="s">
        <v>21</v>
      </c>
      <c r="B135" t="s">
        <v>149</v>
      </c>
      <c r="C135">
        <v>0</v>
      </c>
      <c r="E135">
        <f t="shared" si="2"/>
        <v>0</v>
      </c>
    </row>
    <row r="136" spans="1:5" x14ac:dyDescent="0.3">
      <c r="A136" t="s">
        <v>33</v>
      </c>
      <c r="B136" t="s">
        <v>4</v>
      </c>
      <c r="C136">
        <v>35</v>
      </c>
      <c r="D136">
        <v>15000</v>
      </c>
      <c r="E136">
        <f t="shared" si="2"/>
        <v>525000</v>
      </c>
    </row>
    <row r="137" spans="1:5" hidden="1" x14ac:dyDescent="0.3">
      <c r="A137" t="s">
        <v>33</v>
      </c>
      <c r="B137" t="s">
        <v>31</v>
      </c>
      <c r="C137">
        <v>0</v>
      </c>
      <c r="E137">
        <f t="shared" si="2"/>
        <v>0</v>
      </c>
    </row>
    <row r="138" spans="1:5" x14ac:dyDescent="0.3">
      <c r="A138" t="s">
        <v>107</v>
      </c>
      <c r="B138" t="s">
        <v>4</v>
      </c>
      <c r="C138">
        <v>2</v>
      </c>
      <c r="D138">
        <v>12000</v>
      </c>
      <c r="E138">
        <f t="shared" si="2"/>
        <v>24000</v>
      </c>
    </row>
    <row r="139" spans="1:5" x14ac:dyDescent="0.3">
      <c r="A139" t="s">
        <v>175</v>
      </c>
      <c r="B139" t="s">
        <v>4</v>
      </c>
      <c r="C139">
        <v>11</v>
      </c>
      <c r="D139">
        <v>34000</v>
      </c>
      <c r="E139">
        <f t="shared" si="2"/>
        <v>374000</v>
      </c>
    </row>
    <row r="140" spans="1:5" hidden="1" x14ac:dyDescent="0.3">
      <c r="A140" t="s">
        <v>54</v>
      </c>
      <c r="B140" t="s">
        <v>4</v>
      </c>
      <c r="C140">
        <v>0</v>
      </c>
      <c r="E140">
        <f t="shared" si="2"/>
        <v>0</v>
      </c>
    </row>
    <row r="141" spans="1:5" hidden="1" x14ac:dyDescent="0.3">
      <c r="A141" t="s">
        <v>81</v>
      </c>
      <c r="B141" t="s">
        <v>4</v>
      </c>
      <c r="C141">
        <v>0</v>
      </c>
      <c r="E141">
        <f t="shared" si="2"/>
        <v>0</v>
      </c>
    </row>
    <row r="142" spans="1:5" x14ac:dyDescent="0.3">
      <c r="A142" t="s">
        <v>48</v>
      </c>
      <c r="B142" t="s">
        <v>4</v>
      </c>
      <c r="C142">
        <v>4</v>
      </c>
      <c r="D142">
        <v>28000</v>
      </c>
      <c r="E142">
        <f t="shared" si="2"/>
        <v>112000</v>
      </c>
    </row>
    <row r="143" spans="1:5" hidden="1" x14ac:dyDescent="0.3">
      <c r="A143" t="s">
        <v>26</v>
      </c>
      <c r="B143" t="s">
        <v>4</v>
      </c>
      <c r="C143">
        <v>0</v>
      </c>
      <c r="E143">
        <f t="shared" si="2"/>
        <v>0</v>
      </c>
    </row>
    <row r="144" spans="1:5" hidden="1" x14ac:dyDescent="0.3">
      <c r="A144" t="s">
        <v>63</v>
      </c>
      <c r="B144" t="s">
        <v>4</v>
      </c>
      <c r="C144">
        <v>0</v>
      </c>
      <c r="E144">
        <f t="shared" si="2"/>
        <v>0</v>
      </c>
    </row>
    <row r="145" spans="1:5" hidden="1" x14ac:dyDescent="0.3">
      <c r="A145" t="s">
        <v>63</v>
      </c>
      <c r="B145" t="s">
        <v>31</v>
      </c>
      <c r="C145">
        <v>0</v>
      </c>
      <c r="E145">
        <f t="shared" si="2"/>
        <v>0</v>
      </c>
    </row>
    <row r="146" spans="1:5" hidden="1" x14ac:dyDescent="0.3">
      <c r="A146" t="s">
        <v>124</v>
      </c>
      <c r="B146" t="s">
        <v>4</v>
      </c>
      <c r="C146">
        <v>0</v>
      </c>
      <c r="E146">
        <f t="shared" si="2"/>
        <v>0</v>
      </c>
    </row>
    <row r="147" spans="1:5" hidden="1" x14ac:dyDescent="0.3">
      <c r="A147" t="s">
        <v>85</v>
      </c>
      <c r="B147" t="s">
        <v>4</v>
      </c>
      <c r="C147">
        <v>0</v>
      </c>
      <c r="E147">
        <f t="shared" si="2"/>
        <v>0</v>
      </c>
    </row>
    <row r="148" spans="1:5" hidden="1" x14ac:dyDescent="0.3">
      <c r="A148" t="s">
        <v>183</v>
      </c>
      <c r="B148" t="s">
        <v>4</v>
      </c>
      <c r="C148">
        <v>0</v>
      </c>
      <c r="E148">
        <f t="shared" si="2"/>
        <v>0</v>
      </c>
    </row>
    <row r="149" spans="1:5" hidden="1" x14ac:dyDescent="0.3">
      <c r="A149" t="s">
        <v>110</v>
      </c>
      <c r="B149" t="s">
        <v>4</v>
      </c>
      <c r="C149">
        <v>0</v>
      </c>
      <c r="E149">
        <f t="shared" si="2"/>
        <v>0</v>
      </c>
    </row>
    <row r="150" spans="1:5" hidden="1" x14ac:dyDescent="0.3">
      <c r="A150" t="s">
        <v>114</v>
      </c>
      <c r="B150" t="s">
        <v>31</v>
      </c>
      <c r="C150">
        <v>0</v>
      </c>
      <c r="E150">
        <f t="shared" si="2"/>
        <v>0</v>
      </c>
    </row>
    <row r="151" spans="1:5" x14ac:dyDescent="0.3">
      <c r="A151" t="s">
        <v>135</v>
      </c>
      <c r="B151" t="s">
        <v>4</v>
      </c>
      <c r="C151">
        <v>520</v>
      </c>
      <c r="D151">
        <v>20000</v>
      </c>
      <c r="E151">
        <f t="shared" si="2"/>
        <v>10400000</v>
      </c>
    </row>
    <row r="152" spans="1:5" hidden="1" x14ac:dyDescent="0.3">
      <c r="A152" t="s">
        <v>155</v>
      </c>
      <c r="B152" t="s">
        <v>4</v>
      </c>
      <c r="C152">
        <v>0</v>
      </c>
      <c r="E152">
        <f t="shared" si="2"/>
        <v>0</v>
      </c>
    </row>
    <row r="153" spans="1:5" hidden="1" x14ac:dyDescent="0.3">
      <c r="A153" t="s">
        <v>121</v>
      </c>
      <c r="B153" t="s">
        <v>53</v>
      </c>
      <c r="C153">
        <v>0</v>
      </c>
      <c r="E153">
        <f t="shared" si="2"/>
        <v>0</v>
      </c>
    </row>
    <row r="154" spans="1:5" hidden="1" x14ac:dyDescent="0.3">
      <c r="A154" t="s">
        <v>121</v>
      </c>
      <c r="B154" t="s">
        <v>4</v>
      </c>
      <c r="C154">
        <v>0</v>
      </c>
      <c r="E154">
        <f t="shared" si="2"/>
        <v>0</v>
      </c>
    </row>
    <row r="155" spans="1:5" x14ac:dyDescent="0.3">
      <c r="A155" t="s">
        <v>134</v>
      </c>
      <c r="B155" t="s">
        <v>4</v>
      </c>
      <c r="C155">
        <v>35</v>
      </c>
      <c r="D155">
        <v>27000</v>
      </c>
      <c r="E155">
        <f t="shared" si="2"/>
        <v>945000</v>
      </c>
    </row>
    <row r="156" spans="1:5" x14ac:dyDescent="0.3">
      <c r="A156" t="s">
        <v>20</v>
      </c>
      <c r="B156" t="s">
        <v>4</v>
      </c>
      <c r="C156">
        <v>30</v>
      </c>
      <c r="D156">
        <v>15000</v>
      </c>
      <c r="E156">
        <f t="shared" si="2"/>
        <v>450000</v>
      </c>
    </row>
    <row r="157" spans="1:5" x14ac:dyDescent="0.3">
      <c r="A157" t="s">
        <v>143</v>
      </c>
      <c r="B157" t="s">
        <v>4</v>
      </c>
      <c r="C157">
        <v>20</v>
      </c>
      <c r="D157">
        <v>23000</v>
      </c>
      <c r="E157">
        <f t="shared" si="2"/>
        <v>460000</v>
      </c>
    </row>
    <row r="158" spans="1:5" hidden="1" x14ac:dyDescent="0.3">
      <c r="A158" t="s">
        <v>176</v>
      </c>
      <c r="B158" t="s">
        <v>31</v>
      </c>
      <c r="C158">
        <v>0</v>
      </c>
      <c r="E158">
        <f t="shared" si="2"/>
        <v>0</v>
      </c>
    </row>
    <row r="159" spans="1:5" hidden="1" x14ac:dyDescent="0.3">
      <c r="A159" t="s">
        <v>120</v>
      </c>
      <c r="B159" t="s">
        <v>31</v>
      </c>
      <c r="C159">
        <v>0</v>
      </c>
      <c r="E159">
        <f t="shared" si="2"/>
        <v>0</v>
      </c>
    </row>
    <row r="160" spans="1:5" hidden="1" x14ac:dyDescent="0.3">
      <c r="A160" t="s">
        <v>125</v>
      </c>
      <c r="B160" t="s">
        <v>4</v>
      </c>
      <c r="C160">
        <v>0</v>
      </c>
      <c r="E160">
        <f t="shared" si="2"/>
        <v>0</v>
      </c>
    </row>
    <row r="161" spans="1:5" hidden="1" x14ac:dyDescent="0.3">
      <c r="A161" t="s">
        <v>115</v>
      </c>
      <c r="B161" t="s">
        <v>50</v>
      </c>
      <c r="C161">
        <v>0</v>
      </c>
      <c r="E161">
        <f t="shared" si="2"/>
        <v>0</v>
      </c>
    </row>
    <row r="162" spans="1:5" x14ac:dyDescent="0.3">
      <c r="E162">
        <f>SUM(E3:E157)</f>
        <v>214872140</v>
      </c>
    </row>
    <row r="163" spans="1:5" hidden="1" x14ac:dyDescent="0.3">
      <c r="A163" t="s">
        <v>139</v>
      </c>
    </row>
    <row r="164" spans="1:5" ht="31.2" x14ac:dyDescent="0.3">
      <c r="A164" s="16" t="s">
        <v>0</v>
      </c>
      <c r="B164" s="16" t="s">
        <v>1</v>
      </c>
      <c r="C164" s="45" t="s">
        <v>2</v>
      </c>
      <c r="D164" s="18" t="s">
        <v>137</v>
      </c>
      <c r="E164" t="s">
        <v>138</v>
      </c>
    </row>
    <row r="165" spans="1:5" ht="15.6" hidden="1" x14ac:dyDescent="0.3">
      <c r="A165" s="19" t="s">
        <v>3</v>
      </c>
      <c r="B165" s="19" t="s">
        <v>4</v>
      </c>
      <c r="C165" s="46"/>
      <c r="D165" s="21"/>
      <c r="E165">
        <f t="shared" si="2"/>
        <v>0</v>
      </c>
    </row>
    <row r="166" spans="1:5" ht="15.6" hidden="1" x14ac:dyDescent="0.3">
      <c r="A166" s="19" t="s">
        <v>5</v>
      </c>
      <c r="B166" s="19" t="s">
        <v>4</v>
      </c>
      <c r="C166" s="46"/>
      <c r="D166" s="21"/>
      <c r="E166">
        <f t="shared" si="2"/>
        <v>0</v>
      </c>
    </row>
    <row r="167" spans="1:5" ht="15.6" hidden="1" x14ac:dyDescent="0.3">
      <c r="A167" s="19" t="s">
        <v>6</v>
      </c>
      <c r="B167" s="19" t="s">
        <v>4</v>
      </c>
      <c r="C167" s="46"/>
      <c r="D167" s="21"/>
      <c r="E167">
        <f t="shared" si="2"/>
        <v>0</v>
      </c>
    </row>
    <row r="168" spans="1:5" ht="15.6" x14ac:dyDescent="0.3">
      <c r="A168" s="19" t="s">
        <v>7</v>
      </c>
      <c r="B168" s="19" t="s">
        <v>4</v>
      </c>
      <c r="C168" s="46">
        <v>40</v>
      </c>
      <c r="D168" s="21">
        <v>8000</v>
      </c>
      <c r="E168">
        <f t="shared" si="2"/>
        <v>320000</v>
      </c>
    </row>
    <row r="169" spans="1:5" ht="15.6" x14ac:dyDescent="0.3">
      <c r="A169" s="19" t="s">
        <v>8</v>
      </c>
      <c r="B169" s="19" t="s">
        <v>4</v>
      </c>
      <c r="C169" s="46">
        <v>1000</v>
      </c>
      <c r="D169" s="21">
        <v>5200</v>
      </c>
      <c r="E169">
        <f t="shared" si="2"/>
        <v>5200000</v>
      </c>
    </row>
    <row r="170" spans="1:5" ht="15.6" hidden="1" x14ac:dyDescent="0.3">
      <c r="A170" s="19" t="s">
        <v>9</v>
      </c>
      <c r="B170" s="19" t="s">
        <v>4</v>
      </c>
      <c r="C170" s="46"/>
      <c r="D170" s="21"/>
      <c r="E170">
        <f t="shared" si="2"/>
        <v>0</v>
      </c>
    </row>
    <row r="171" spans="1:5" ht="15.6" x14ac:dyDescent="0.3">
      <c r="A171" s="19" t="s">
        <v>10</v>
      </c>
      <c r="B171" s="19" t="s">
        <v>4</v>
      </c>
      <c r="C171" s="46">
        <v>10</v>
      </c>
      <c r="D171" s="21">
        <v>25000</v>
      </c>
      <c r="E171">
        <f t="shared" si="2"/>
        <v>250000</v>
      </c>
    </row>
    <row r="172" spans="1:5" ht="15.6" hidden="1" x14ac:dyDescent="0.3">
      <c r="A172" s="19" t="s">
        <v>11</v>
      </c>
      <c r="B172" s="19" t="s">
        <v>4</v>
      </c>
      <c r="C172" s="46"/>
      <c r="D172" s="21"/>
      <c r="E172">
        <f t="shared" si="2"/>
        <v>0</v>
      </c>
    </row>
    <row r="173" spans="1:5" ht="15.6" hidden="1" x14ac:dyDescent="0.3">
      <c r="A173" s="19" t="s">
        <v>12</v>
      </c>
      <c r="B173" s="19" t="s">
        <v>4</v>
      </c>
      <c r="C173" s="46"/>
      <c r="D173" s="21"/>
      <c r="E173">
        <f t="shared" si="2"/>
        <v>0</v>
      </c>
    </row>
    <row r="174" spans="1:5" ht="15.6" hidden="1" x14ac:dyDescent="0.3">
      <c r="A174" s="19" t="s">
        <v>13</v>
      </c>
      <c r="B174" s="19" t="s">
        <v>4</v>
      </c>
      <c r="C174" s="46"/>
      <c r="D174" s="21"/>
      <c r="E174">
        <f t="shared" si="2"/>
        <v>0</v>
      </c>
    </row>
    <row r="175" spans="1:5" ht="15.6" hidden="1" x14ac:dyDescent="0.3">
      <c r="A175" s="19" t="s">
        <v>14</v>
      </c>
      <c r="B175" s="19" t="s">
        <v>4</v>
      </c>
      <c r="C175" s="46"/>
      <c r="D175" s="21"/>
      <c r="E175">
        <f t="shared" si="2"/>
        <v>0</v>
      </c>
    </row>
    <row r="176" spans="1:5" ht="15.6" x14ac:dyDescent="0.3">
      <c r="A176" s="19" t="s">
        <v>15</v>
      </c>
      <c r="B176" s="19" t="s">
        <v>4</v>
      </c>
      <c r="C176" s="46">
        <v>200</v>
      </c>
      <c r="D176" s="21">
        <v>25000</v>
      </c>
      <c r="E176">
        <f t="shared" si="2"/>
        <v>5000000</v>
      </c>
    </row>
    <row r="177" spans="1:6" ht="15.6" hidden="1" x14ac:dyDescent="0.3">
      <c r="A177" s="19" t="s">
        <v>16</v>
      </c>
      <c r="B177" s="19" t="s">
        <v>4</v>
      </c>
      <c r="C177" s="46"/>
      <c r="D177" s="21"/>
      <c r="E177">
        <f t="shared" si="2"/>
        <v>0</v>
      </c>
    </row>
    <row r="178" spans="1:6" ht="15.6" hidden="1" x14ac:dyDescent="0.3">
      <c r="A178" s="19" t="s">
        <v>17</v>
      </c>
      <c r="B178" s="19" t="s">
        <v>4</v>
      </c>
      <c r="C178" s="46"/>
      <c r="D178" s="21"/>
      <c r="E178">
        <f t="shared" si="2"/>
        <v>0</v>
      </c>
    </row>
    <row r="179" spans="1:6" ht="15.6" hidden="1" x14ac:dyDescent="0.3">
      <c r="A179" s="19" t="s">
        <v>17</v>
      </c>
      <c r="B179" s="19" t="s">
        <v>147</v>
      </c>
      <c r="C179" s="46"/>
      <c r="D179" s="21"/>
      <c r="E179">
        <f t="shared" si="2"/>
        <v>0</v>
      </c>
    </row>
    <row r="180" spans="1:6" ht="15.6" x14ac:dyDescent="0.3">
      <c r="A180" s="19" t="s">
        <v>18</v>
      </c>
      <c r="B180" s="19" t="s">
        <v>4</v>
      </c>
      <c r="C180" s="46">
        <v>160</v>
      </c>
      <c r="D180" s="21">
        <v>21000</v>
      </c>
      <c r="E180">
        <f t="shared" si="2"/>
        <v>3360000</v>
      </c>
      <c r="F180" t="s">
        <v>186</v>
      </c>
    </row>
    <row r="181" spans="1:6" ht="15.6" hidden="1" x14ac:dyDescent="0.3">
      <c r="A181" s="19" t="s">
        <v>19</v>
      </c>
      <c r="B181" s="19" t="s">
        <v>4</v>
      </c>
      <c r="C181" s="46"/>
      <c r="D181" s="21"/>
      <c r="E181">
        <f t="shared" si="2"/>
        <v>0</v>
      </c>
    </row>
    <row r="182" spans="1:6" ht="15.6" hidden="1" x14ac:dyDescent="0.3">
      <c r="A182" s="19" t="s">
        <v>20</v>
      </c>
      <c r="B182" s="19" t="s">
        <v>4</v>
      </c>
      <c r="C182" s="46"/>
      <c r="D182" s="21"/>
      <c r="E182">
        <f t="shared" si="2"/>
        <v>0</v>
      </c>
    </row>
    <row r="183" spans="1:6" ht="15.6" hidden="1" x14ac:dyDescent="0.3">
      <c r="A183" s="19" t="s">
        <v>21</v>
      </c>
      <c r="B183" s="19" t="s">
        <v>4</v>
      </c>
      <c r="C183" s="46"/>
      <c r="D183" s="21"/>
      <c r="E183">
        <f t="shared" si="2"/>
        <v>0</v>
      </c>
    </row>
    <row r="184" spans="1:6" ht="15.6" hidden="1" x14ac:dyDescent="0.3">
      <c r="A184" s="19" t="s">
        <v>22</v>
      </c>
      <c r="B184" s="19" t="s">
        <v>4</v>
      </c>
      <c r="C184" s="46"/>
      <c r="D184" s="21"/>
      <c r="E184">
        <f t="shared" si="2"/>
        <v>0</v>
      </c>
    </row>
    <row r="185" spans="1:6" ht="15.6" hidden="1" x14ac:dyDescent="0.3">
      <c r="A185" s="19" t="s">
        <v>23</v>
      </c>
      <c r="B185" s="19" t="s">
        <v>4</v>
      </c>
      <c r="C185" s="46"/>
      <c r="D185" s="21"/>
      <c r="E185">
        <f t="shared" si="2"/>
        <v>0</v>
      </c>
    </row>
    <row r="186" spans="1:6" ht="15.6" x14ac:dyDescent="0.3">
      <c r="A186" s="19" t="s">
        <v>145</v>
      </c>
      <c r="B186" s="19" t="s">
        <v>4</v>
      </c>
      <c r="C186" s="46">
        <v>2880</v>
      </c>
      <c r="D186" s="21">
        <v>5500</v>
      </c>
      <c r="E186">
        <f t="shared" si="2"/>
        <v>15840000</v>
      </c>
    </row>
    <row r="187" spans="1:6" ht="15.6" hidden="1" x14ac:dyDescent="0.3">
      <c r="A187" s="19" t="s">
        <v>24</v>
      </c>
      <c r="B187" s="19" t="s">
        <v>4</v>
      </c>
      <c r="C187" s="46"/>
      <c r="D187" s="21"/>
      <c r="E187">
        <f t="shared" si="2"/>
        <v>0</v>
      </c>
    </row>
    <row r="188" spans="1:6" ht="15.6" hidden="1" x14ac:dyDescent="0.3">
      <c r="A188" s="19" t="s">
        <v>25</v>
      </c>
      <c r="B188" s="19" t="s">
        <v>4</v>
      </c>
      <c r="C188" s="46"/>
      <c r="D188" s="21"/>
      <c r="E188">
        <f t="shared" si="2"/>
        <v>0</v>
      </c>
    </row>
    <row r="189" spans="1:6" ht="15.6" x14ac:dyDescent="0.3">
      <c r="A189" s="19" t="s">
        <v>26</v>
      </c>
      <c r="B189" s="19" t="s">
        <v>4</v>
      </c>
      <c r="C189" s="46">
        <v>117</v>
      </c>
      <c r="D189" s="21">
        <v>12000</v>
      </c>
      <c r="E189">
        <f t="shared" si="2"/>
        <v>1404000</v>
      </c>
    </row>
    <row r="190" spans="1:6" ht="15.6" hidden="1" x14ac:dyDescent="0.3">
      <c r="A190" s="19" t="s">
        <v>27</v>
      </c>
      <c r="B190" s="19" t="s">
        <v>4</v>
      </c>
      <c r="C190" s="46"/>
      <c r="D190" s="21"/>
      <c r="E190">
        <f t="shared" si="2"/>
        <v>0</v>
      </c>
    </row>
    <row r="191" spans="1:6" ht="15.6" x14ac:dyDescent="0.3">
      <c r="A191" s="19" t="s">
        <v>28</v>
      </c>
      <c r="B191" s="19" t="s">
        <v>4</v>
      </c>
      <c r="C191" s="46">
        <v>60</v>
      </c>
      <c r="D191" s="21">
        <v>15000</v>
      </c>
      <c r="E191">
        <f t="shared" si="2"/>
        <v>900000</v>
      </c>
    </row>
    <row r="192" spans="1:6" ht="15.6" x14ac:dyDescent="0.3">
      <c r="A192" s="19" t="s">
        <v>29</v>
      </c>
      <c r="B192" s="19" t="s">
        <v>4</v>
      </c>
      <c r="C192" s="46">
        <v>50</v>
      </c>
      <c r="D192" s="21">
        <v>28000</v>
      </c>
      <c r="E192">
        <f t="shared" si="2"/>
        <v>1400000</v>
      </c>
    </row>
    <row r="193" spans="1:5" ht="15.6" hidden="1" x14ac:dyDescent="0.3">
      <c r="A193" s="19" t="s">
        <v>57</v>
      </c>
      <c r="B193" s="19" t="s">
        <v>31</v>
      </c>
      <c r="C193" s="46"/>
      <c r="D193" s="21"/>
      <c r="E193">
        <f t="shared" si="2"/>
        <v>0</v>
      </c>
    </row>
    <row r="194" spans="1:5" ht="15.6" x14ac:dyDescent="0.3">
      <c r="A194" s="19" t="s">
        <v>32</v>
      </c>
      <c r="B194" s="19" t="s">
        <v>4</v>
      </c>
      <c r="C194" s="46">
        <v>200</v>
      </c>
      <c r="D194" s="21">
        <v>19000</v>
      </c>
      <c r="E194">
        <f t="shared" si="2"/>
        <v>3800000</v>
      </c>
    </row>
    <row r="195" spans="1:5" ht="15.6" x14ac:dyDescent="0.3">
      <c r="A195" s="19" t="s">
        <v>33</v>
      </c>
      <c r="B195" s="19" t="s">
        <v>31</v>
      </c>
      <c r="C195" s="46">
        <v>10</v>
      </c>
      <c r="D195" s="21">
        <v>6000</v>
      </c>
      <c r="E195">
        <f t="shared" si="2"/>
        <v>60000</v>
      </c>
    </row>
    <row r="196" spans="1:5" ht="15.6" x14ac:dyDescent="0.3">
      <c r="A196" s="19" t="s">
        <v>34</v>
      </c>
      <c r="B196" s="19" t="s">
        <v>4</v>
      </c>
      <c r="C196" s="46">
        <v>100</v>
      </c>
      <c r="D196" s="21">
        <v>15000</v>
      </c>
      <c r="E196">
        <f t="shared" ref="E196:E212" si="3">C196*D196</f>
        <v>1500000</v>
      </c>
    </row>
    <row r="197" spans="1:5" ht="15.6" hidden="1" x14ac:dyDescent="0.3">
      <c r="A197" s="19" t="s">
        <v>34</v>
      </c>
      <c r="B197" s="19" t="s">
        <v>31</v>
      </c>
      <c r="C197" s="46"/>
      <c r="D197" s="21"/>
      <c r="E197">
        <f t="shared" si="3"/>
        <v>0</v>
      </c>
    </row>
    <row r="198" spans="1:5" ht="15.6" hidden="1" x14ac:dyDescent="0.3">
      <c r="A198" s="19" t="s">
        <v>35</v>
      </c>
      <c r="B198" s="19" t="s">
        <v>4</v>
      </c>
      <c r="C198" s="46"/>
      <c r="D198" s="21"/>
      <c r="E198">
        <f t="shared" si="3"/>
        <v>0</v>
      </c>
    </row>
    <row r="199" spans="1:5" ht="15.6" hidden="1" x14ac:dyDescent="0.3">
      <c r="A199" s="19" t="s">
        <v>123</v>
      </c>
      <c r="B199" s="19" t="s">
        <v>31</v>
      </c>
      <c r="C199" s="46"/>
      <c r="D199" s="21"/>
      <c r="E199">
        <f t="shared" si="3"/>
        <v>0</v>
      </c>
    </row>
    <row r="200" spans="1:5" ht="15.6" x14ac:dyDescent="0.3">
      <c r="A200" s="19" t="s">
        <v>37</v>
      </c>
      <c r="B200" s="19" t="s">
        <v>151</v>
      </c>
      <c r="C200" s="46">
        <v>3</v>
      </c>
      <c r="D200" s="21">
        <v>13000</v>
      </c>
      <c r="E200">
        <f t="shared" si="3"/>
        <v>39000</v>
      </c>
    </row>
    <row r="201" spans="1:5" ht="15.6" hidden="1" x14ac:dyDescent="0.3">
      <c r="A201" s="19" t="s">
        <v>39</v>
      </c>
      <c r="B201" s="19" t="s">
        <v>4</v>
      </c>
      <c r="C201" s="46"/>
      <c r="D201" s="21"/>
      <c r="E201">
        <f t="shared" si="3"/>
        <v>0</v>
      </c>
    </row>
    <row r="202" spans="1:5" ht="15.6" hidden="1" x14ac:dyDescent="0.3">
      <c r="A202" s="19" t="s">
        <v>40</v>
      </c>
      <c r="B202" s="19" t="s">
        <v>4</v>
      </c>
      <c r="C202" s="46"/>
      <c r="D202" s="21"/>
      <c r="E202">
        <f t="shared" si="3"/>
        <v>0</v>
      </c>
    </row>
    <row r="203" spans="1:5" ht="15.6" x14ac:dyDescent="0.3">
      <c r="A203" s="19" t="s">
        <v>41</v>
      </c>
      <c r="B203" s="19" t="s">
        <v>4</v>
      </c>
      <c r="C203" s="46">
        <v>500</v>
      </c>
      <c r="D203" s="21">
        <v>28600</v>
      </c>
      <c r="E203">
        <f t="shared" si="3"/>
        <v>14300000</v>
      </c>
    </row>
    <row r="204" spans="1:5" ht="15.6" hidden="1" x14ac:dyDescent="0.3">
      <c r="A204" s="19" t="s">
        <v>124</v>
      </c>
      <c r="B204" s="19" t="s">
        <v>4</v>
      </c>
      <c r="C204" s="46"/>
      <c r="D204" s="21"/>
      <c r="E204">
        <f t="shared" si="3"/>
        <v>0</v>
      </c>
    </row>
    <row r="205" spans="1:5" ht="15.6" hidden="1" x14ac:dyDescent="0.3">
      <c r="A205" s="19" t="s">
        <v>42</v>
      </c>
      <c r="B205" s="19" t="s">
        <v>4</v>
      </c>
      <c r="C205" s="46"/>
      <c r="D205" s="21"/>
      <c r="E205">
        <f t="shared" si="3"/>
        <v>0</v>
      </c>
    </row>
    <row r="206" spans="1:5" ht="15.6" x14ac:dyDescent="0.3">
      <c r="A206" s="19" t="s">
        <v>43</v>
      </c>
      <c r="B206" s="19" t="s">
        <v>4</v>
      </c>
      <c r="C206" s="46">
        <v>40</v>
      </c>
      <c r="D206" s="21">
        <v>46000</v>
      </c>
      <c r="E206">
        <f t="shared" si="3"/>
        <v>1840000</v>
      </c>
    </row>
    <row r="207" spans="1:5" ht="15.6" x14ac:dyDescent="0.3">
      <c r="A207" s="19" t="s">
        <v>44</v>
      </c>
      <c r="B207" s="19" t="s">
        <v>4</v>
      </c>
      <c r="C207" s="46">
        <v>20</v>
      </c>
      <c r="D207" s="21">
        <v>28000</v>
      </c>
      <c r="E207">
        <f t="shared" si="3"/>
        <v>560000</v>
      </c>
    </row>
    <row r="208" spans="1:5" ht="15.6" x14ac:dyDescent="0.3">
      <c r="A208" s="19" t="s">
        <v>45</v>
      </c>
      <c r="B208" s="19" t="s">
        <v>4</v>
      </c>
      <c r="C208" s="46">
        <v>20</v>
      </c>
      <c r="D208" s="21">
        <v>35000</v>
      </c>
      <c r="E208">
        <f t="shared" si="3"/>
        <v>700000</v>
      </c>
    </row>
    <row r="209" spans="1:6" ht="15.6" hidden="1" x14ac:dyDescent="0.3">
      <c r="A209" s="19" t="s">
        <v>46</v>
      </c>
      <c r="B209" s="19" t="s">
        <v>4</v>
      </c>
      <c r="C209" s="46"/>
      <c r="D209" s="21"/>
      <c r="E209">
        <f t="shared" si="3"/>
        <v>0</v>
      </c>
    </row>
    <row r="210" spans="1:6" ht="15.6" hidden="1" x14ac:dyDescent="0.3">
      <c r="A210" s="19" t="s">
        <v>47</v>
      </c>
      <c r="B210" s="19" t="s">
        <v>4</v>
      </c>
      <c r="C210" s="46"/>
      <c r="D210" s="21"/>
      <c r="E210">
        <f t="shared" si="3"/>
        <v>0</v>
      </c>
    </row>
    <row r="211" spans="1:6" ht="15.6" hidden="1" x14ac:dyDescent="0.3">
      <c r="A211" s="19" t="s">
        <v>48</v>
      </c>
      <c r="B211" s="19" t="s">
        <v>4</v>
      </c>
      <c r="C211" s="46"/>
      <c r="D211" s="21"/>
      <c r="E211">
        <f t="shared" si="3"/>
        <v>0</v>
      </c>
    </row>
    <row r="212" spans="1:6" ht="15.6" hidden="1" x14ac:dyDescent="0.3">
      <c r="A212" s="19" t="e">
        <v>#N/A</v>
      </c>
      <c r="B212" s="19">
        <v>0</v>
      </c>
      <c r="C212" s="46"/>
      <c r="D212" s="21"/>
      <c r="E212">
        <f t="shared" si="3"/>
        <v>0</v>
      </c>
    </row>
    <row r="213" spans="1:6" x14ac:dyDescent="0.3">
      <c r="E213">
        <f>SUM(E168:E208)</f>
        <v>56473000</v>
      </c>
    </row>
    <row r="214" spans="1:6" x14ac:dyDescent="0.3">
      <c r="E214">
        <f>SUM(E162,E213)</f>
        <v>271345140</v>
      </c>
    </row>
    <row r="216" spans="1:6" x14ac:dyDescent="0.3">
      <c r="F216">
        <f>+F57+F14-C14-C57</f>
        <v>-5</v>
      </c>
    </row>
  </sheetData>
  <autoFilter ref="A2:E213" xr:uid="{00000000-0009-0000-0000-000005000000}">
    <filterColumn colId="4">
      <filters>
        <filter val="10400000"/>
        <filter val="1095000"/>
        <filter val="112000"/>
        <filter val="1159140"/>
        <filter val="12194000"/>
        <filter val="1326000"/>
        <filter val="1386000"/>
        <filter val="13950000"/>
        <filter val="1400000"/>
        <filter val="1404000"/>
        <filter val="14300000"/>
        <filter val="1500000"/>
        <filter val="1575000"/>
        <filter val="15840000"/>
        <filter val="162000"/>
        <filter val="1840000"/>
        <filter val="2040000"/>
        <filter val="2100000"/>
        <filter val="214872140"/>
        <filter val="216000"/>
        <filter val="2160000"/>
        <filter val="220000"/>
        <filter val="2204000"/>
        <filter val="24000"/>
        <filter val="24780000"/>
        <filter val="250000"/>
        <filter val="320000"/>
        <filter val="3230000"/>
        <filter val="3300000"/>
        <filter val="3360000"/>
        <filter val="374000"/>
        <filter val="3800000"/>
        <filter val="3850000"/>
        <filter val="3895000"/>
        <filter val="39000"/>
        <filter val="42900000"/>
        <filter val="4312000"/>
        <filter val="4325000"/>
        <filter val="450000"/>
        <filter val="4500000"/>
        <filter val="460000"/>
        <filter val="47404000"/>
        <filter val="480000"/>
        <filter val="5000000"/>
        <filter val="510000"/>
        <filter val="5200000"/>
        <filter val="522000"/>
        <filter val="525000"/>
        <filter val="55000"/>
        <filter val="559000"/>
        <filter val="56000"/>
        <filter val="560000"/>
        <filter val="56473000"/>
        <filter val="60000"/>
        <filter val="646000"/>
        <filter val="65000"/>
        <filter val="700000"/>
        <filter val="84000"/>
        <filter val="900000"/>
        <filter val="9030000"/>
        <filter val="945000"/>
        <filter val="thành tiền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J180"/>
  <sheetViews>
    <sheetView topLeftCell="A117" workbookViewId="0">
      <selection activeCell="C90" sqref="C90"/>
    </sheetView>
  </sheetViews>
  <sheetFormatPr defaultRowHeight="14.4" x14ac:dyDescent="0.3"/>
  <cols>
    <col min="1" max="1" width="30" customWidth="1"/>
    <col min="3" max="3" width="9.77734375" customWidth="1"/>
    <col min="4" max="4" width="14.44140625" customWidth="1"/>
    <col min="5" max="5" width="18.21875" customWidth="1"/>
    <col min="6" max="6" width="14.6640625" style="23" bestFit="1" customWidth="1"/>
  </cols>
  <sheetData>
    <row r="1" spans="1:6" x14ac:dyDescent="0.3">
      <c r="A1" t="s">
        <v>187</v>
      </c>
    </row>
    <row r="2" spans="1:6" x14ac:dyDescent="0.3">
      <c r="A2" t="s">
        <v>0</v>
      </c>
      <c r="B2" t="s">
        <v>1</v>
      </c>
      <c r="C2" t="s">
        <v>2</v>
      </c>
      <c r="D2" t="s">
        <v>137</v>
      </c>
      <c r="E2" t="s">
        <v>138</v>
      </c>
    </row>
    <row r="3" spans="1:6" hidden="1" x14ac:dyDescent="0.3">
      <c r="A3" t="s">
        <v>3</v>
      </c>
      <c r="B3" t="s">
        <v>4</v>
      </c>
      <c r="C3">
        <v>0</v>
      </c>
      <c r="E3">
        <f>C3*D3</f>
        <v>0</v>
      </c>
      <c r="F3"/>
    </row>
    <row r="4" spans="1:6" x14ac:dyDescent="0.3">
      <c r="A4" t="s">
        <v>5</v>
      </c>
      <c r="B4" t="s">
        <v>4</v>
      </c>
      <c r="C4">
        <v>107</v>
      </c>
      <c r="D4">
        <v>12000</v>
      </c>
      <c r="E4">
        <f t="shared" ref="E4:E67" si="0">C4*D4</f>
        <v>1284000</v>
      </c>
    </row>
    <row r="5" spans="1:6" x14ac:dyDescent="0.3">
      <c r="A5" t="s">
        <v>6</v>
      </c>
      <c r="B5" t="s">
        <v>4</v>
      </c>
      <c r="C5">
        <v>300</v>
      </c>
      <c r="D5">
        <v>11000</v>
      </c>
      <c r="E5">
        <f t="shared" si="0"/>
        <v>3300000</v>
      </c>
    </row>
    <row r="6" spans="1:6" hidden="1" x14ac:dyDescent="0.3">
      <c r="A6" t="s">
        <v>7</v>
      </c>
      <c r="B6" t="s">
        <v>4</v>
      </c>
      <c r="C6">
        <v>0</v>
      </c>
      <c r="E6">
        <f t="shared" si="0"/>
        <v>0</v>
      </c>
      <c r="F6"/>
    </row>
    <row r="7" spans="1:6" hidden="1" x14ac:dyDescent="0.3">
      <c r="A7" t="s">
        <v>7</v>
      </c>
      <c r="B7" t="s">
        <v>84</v>
      </c>
      <c r="C7">
        <v>0</v>
      </c>
      <c r="E7">
        <f t="shared" si="0"/>
        <v>0</v>
      </c>
      <c r="F7"/>
    </row>
    <row r="8" spans="1:6" hidden="1" x14ac:dyDescent="0.3">
      <c r="A8" t="s">
        <v>85</v>
      </c>
      <c r="B8" t="s">
        <v>4</v>
      </c>
      <c r="C8">
        <v>0</v>
      </c>
      <c r="E8">
        <f t="shared" si="0"/>
        <v>0</v>
      </c>
      <c r="F8"/>
    </row>
    <row r="9" spans="1:6" x14ac:dyDescent="0.3">
      <c r="A9" t="s">
        <v>8</v>
      </c>
      <c r="B9" t="s">
        <v>4</v>
      </c>
      <c r="C9">
        <v>2000</v>
      </c>
      <c r="D9">
        <v>5200</v>
      </c>
      <c r="E9">
        <f t="shared" si="0"/>
        <v>10400000</v>
      </c>
    </row>
    <row r="10" spans="1:6" hidden="1" x14ac:dyDescent="0.3">
      <c r="A10" t="s">
        <v>9</v>
      </c>
      <c r="B10" t="s">
        <v>4</v>
      </c>
      <c r="C10">
        <v>0</v>
      </c>
      <c r="E10">
        <f t="shared" si="0"/>
        <v>0</v>
      </c>
      <c r="F10"/>
    </row>
    <row r="11" spans="1:6" hidden="1" x14ac:dyDescent="0.3">
      <c r="A11" t="s">
        <v>10</v>
      </c>
      <c r="B11" t="s">
        <v>4</v>
      </c>
      <c r="C11">
        <v>0</v>
      </c>
      <c r="E11">
        <f t="shared" si="0"/>
        <v>0</v>
      </c>
      <c r="F11"/>
    </row>
    <row r="12" spans="1:6" hidden="1" x14ac:dyDescent="0.3">
      <c r="A12" t="s">
        <v>10</v>
      </c>
      <c r="B12" t="s">
        <v>84</v>
      </c>
      <c r="C12">
        <v>0</v>
      </c>
      <c r="E12">
        <f t="shared" si="0"/>
        <v>0</v>
      </c>
      <c r="F12"/>
    </row>
    <row r="13" spans="1:6" x14ac:dyDescent="0.3">
      <c r="A13" t="s">
        <v>11</v>
      </c>
      <c r="B13" t="s">
        <v>4</v>
      </c>
      <c r="C13">
        <v>41</v>
      </c>
      <c r="D13">
        <v>15000</v>
      </c>
      <c r="E13">
        <f t="shared" si="0"/>
        <v>615000</v>
      </c>
    </row>
    <row r="14" spans="1:6" hidden="1" x14ac:dyDescent="0.3">
      <c r="A14" t="s">
        <v>11</v>
      </c>
      <c r="B14" t="s">
        <v>84</v>
      </c>
      <c r="C14">
        <v>0</v>
      </c>
      <c r="E14">
        <f t="shared" si="0"/>
        <v>0</v>
      </c>
      <c r="F14"/>
    </row>
    <row r="15" spans="1:6" x14ac:dyDescent="0.3">
      <c r="A15" t="s">
        <v>12</v>
      </c>
      <c r="B15" t="s">
        <v>4</v>
      </c>
      <c r="C15">
        <v>54</v>
      </c>
      <c r="D15">
        <v>26000</v>
      </c>
      <c r="E15">
        <f t="shared" si="0"/>
        <v>1404000</v>
      </c>
    </row>
    <row r="16" spans="1:6" hidden="1" x14ac:dyDescent="0.3">
      <c r="A16" t="s">
        <v>13</v>
      </c>
      <c r="B16" t="s">
        <v>4</v>
      </c>
      <c r="C16">
        <v>0</v>
      </c>
      <c r="E16">
        <f t="shared" si="0"/>
        <v>0</v>
      </c>
      <c r="F16"/>
    </row>
    <row r="17" spans="1:6" x14ac:dyDescent="0.3">
      <c r="A17" t="s">
        <v>175</v>
      </c>
      <c r="B17" t="s">
        <v>4</v>
      </c>
      <c r="C17">
        <v>9</v>
      </c>
      <c r="D17">
        <v>34000</v>
      </c>
      <c r="E17">
        <f t="shared" si="0"/>
        <v>306000</v>
      </c>
    </row>
    <row r="18" spans="1:6" x14ac:dyDescent="0.3">
      <c r="A18" t="s">
        <v>59</v>
      </c>
      <c r="B18" t="s">
        <v>4</v>
      </c>
      <c r="C18">
        <v>54</v>
      </c>
      <c r="D18">
        <v>39000</v>
      </c>
      <c r="E18">
        <f t="shared" si="0"/>
        <v>2106000</v>
      </c>
    </row>
    <row r="19" spans="1:6" hidden="1" x14ac:dyDescent="0.3">
      <c r="A19" t="s">
        <v>60</v>
      </c>
      <c r="B19" t="s">
        <v>4</v>
      </c>
      <c r="C19">
        <v>0</v>
      </c>
      <c r="E19">
        <f t="shared" si="0"/>
        <v>0</v>
      </c>
      <c r="F19"/>
    </row>
    <row r="20" spans="1:6" hidden="1" x14ac:dyDescent="0.3">
      <c r="A20" t="s">
        <v>60</v>
      </c>
      <c r="B20" t="s">
        <v>50</v>
      </c>
      <c r="C20">
        <v>0</v>
      </c>
      <c r="E20">
        <f t="shared" si="0"/>
        <v>0</v>
      </c>
      <c r="F20"/>
    </row>
    <row r="21" spans="1:6" x14ac:dyDescent="0.3">
      <c r="A21" t="s">
        <v>15</v>
      </c>
      <c r="B21" t="s">
        <v>4</v>
      </c>
      <c r="C21">
        <v>234</v>
      </c>
      <c r="D21">
        <v>25000</v>
      </c>
      <c r="E21">
        <f t="shared" si="0"/>
        <v>5850000</v>
      </c>
    </row>
    <row r="22" spans="1:6" hidden="1" x14ac:dyDescent="0.3">
      <c r="A22" t="s">
        <v>15</v>
      </c>
      <c r="B22" t="s">
        <v>50</v>
      </c>
      <c r="C22">
        <v>0</v>
      </c>
      <c r="E22">
        <f t="shared" si="0"/>
        <v>0</v>
      </c>
      <c r="F22"/>
    </row>
    <row r="23" spans="1:6" hidden="1" x14ac:dyDescent="0.3">
      <c r="A23" t="s">
        <v>15</v>
      </c>
      <c r="B23" t="s">
        <v>164</v>
      </c>
      <c r="C23">
        <v>0</v>
      </c>
      <c r="E23">
        <f t="shared" si="0"/>
        <v>0</v>
      </c>
      <c r="F23"/>
    </row>
    <row r="24" spans="1:6" x14ac:dyDescent="0.3">
      <c r="A24" t="s">
        <v>16</v>
      </c>
      <c r="B24" t="s">
        <v>4</v>
      </c>
      <c r="C24">
        <v>15</v>
      </c>
      <c r="D24">
        <v>17000</v>
      </c>
      <c r="E24">
        <f t="shared" si="0"/>
        <v>255000</v>
      </c>
    </row>
    <row r="25" spans="1:6" x14ac:dyDescent="0.3">
      <c r="A25" t="s">
        <v>16</v>
      </c>
      <c r="B25" t="s">
        <v>165</v>
      </c>
      <c r="C25">
        <v>50</v>
      </c>
      <c r="D25">
        <v>11000</v>
      </c>
      <c r="E25">
        <f t="shared" si="0"/>
        <v>550000</v>
      </c>
    </row>
    <row r="26" spans="1:6" x14ac:dyDescent="0.3">
      <c r="A26" t="s">
        <v>17</v>
      </c>
      <c r="B26" t="s">
        <v>4</v>
      </c>
      <c r="C26">
        <v>2.5</v>
      </c>
      <c r="D26">
        <v>38000</v>
      </c>
      <c r="E26">
        <f t="shared" si="0"/>
        <v>95000</v>
      </c>
    </row>
    <row r="27" spans="1:6" hidden="1" x14ac:dyDescent="0.3">
      <c r="A27" t="s">
        <v>17</v>
      </c>
      <c r="B27" t="s">
        <v>147</v>
      </c>
      <c r="C27">
        <v>0</v>
      </c>
      <c r="E27">
        <f t="shared" si="0"/>
        <v>0</v>
      </c>
      <c r="F27"/>
    </row>
    <row r="28" spans="1:6" hidden="1" x14ac:dyDescent="0.3">
      <c r="A28" t="s">
        <v>89</v>
      </c>
      <c r="B28" t="s">
        <v>53</v>
      </c>
      <c r="C28">
        <v>0</v>
      </c>
      <c r="E28">
        <f t="shared" si="0"/>
        <v>0</v>
      </c>
      <c r="F28"/>
    </row>
    <row r="29" spans="1:6" x14ac:dyDescent="0.3">
      <c r="A29" t="s">
        <v>90</v>
      </c>
      <c r="B29" t="s">
        <v>4</v>
      </c>
      <c r="C29">
        <v>3</v>
      </c>
      <c r="D29">
        <v>36000</v>
      </c>
      <c r="E29">
        <f t="shared" si="0"/>
        <v>108000</v>
      </c>
    </row>
    <row r="30" spans="1:6" hidden="1" x14ac:dyDescent="0.3">
      <c r="A30" t="s">
        <v>90</v>
      </c>
      <c r="B30" t="s">
        <v>147</v>
      </c>
      <c r="C30">
        <v>0</v>
      </c>
      <c r="E30">
        <f t="shared" si="0"/>
        <v>0</v>
      </c>
      <c r="F30"/>
    </row>
    <row r="31" spans="1:6" hidden="1" x14ac:dyDescent="0.3">
      <c r="A31" t="s">
        <v>90</v>
      </c>
      <c r="B31" t="s">
        <v>148</v>
      </c>
      <c r="C31">
        <v>0</v>
      </c>
      <c r="E31">
        <f t="shared" si="0"/>
        <v>0</v>
      </c>
      <c r="F31"/>
    </row>
    <row r="32" spans="1:6" x14ac:dyDescent="0.3">
      <c r="A32" t="s">
        <v>18</v>
      </c>
      <c r="B32" t="s">
        <v>4</v>
      </c>
      <c r="C32">
        <v>190</v>
      </c>
      <c r="D32">
        <v>19000</v>
      </c>
      <c r="E32">
        <f t="shared" si="0"/>
        <v>3610000</v>
      </c>
    </row>
    <row r="33" spans="1:6" hidden="1" x14ac:dyDescent="0.3">
      <c r="A33" t="s">
        <v>18</v>
      </c>
      <c r="B33" t="s">
        <v>50</v>
      </c>
      <c r="C33">
        <v>0</v>
      </c>
      <c r="E33">
        <f t="shared" si="0"/>
        <v>0</v>
      </c>
      <c r="F33"/>
    </row>
    <row r="34" spans="1:6" x14ac:dyDescent="0.3">
      <c r="A34" t="s">
        <v>92</v>
      </c>
      <c r="B34" t="s">
        <v>31</v>
      </c>
      <c r="C34">
        <v>208</v>
      </c>
      <c r="D34">
        <v>18000</v>
      </c>
      <c r="E34">
        <f t="shared" si="0"/>
        <v>3744000</v>
      </c>
    </row>
    <row r="35" spans="1:6" hidden="1" x14ac:dyDescent="0.3">
      <c r="A35" t="s">
        <v>49</v>
      </c>
      <c r="B35" t="s">
        <v>4</v>
      </c>
      <c r="C35">
        <v>0</v>
      </c>
      <c r="E35">
        <f t="shared" si="0"/>
        <v>0</v>
      </c>
      <c r="F35"/>
    </row>
    <row r="36" spans="1:6" hidden="1" x14ac:dyDescent="0.3">
      <c r="A36" t="s">
        <v>49</v>
      </c>
      <c r="B36" t="s">
        <v>31</v>
      </c>
      <c r="C36">
        <v>0</v>
      </c>
      <c r="E36">
        <f t="shared" si="0"/>
        <v>0</v>
      </c>
      <c r="F36"/>
    </row>
    <row r="37" spans="1:6" hidden="1" x14ac:dyDescent="0.3">
      <c r="A37" t="s">
        <v>19</v>
      </c>
      <c r="B37" t="s">
        <v>4</v>
      </c>
      <c r="C37">
        <v>0</v>
      </c>
      <c r="E37">
        <f t="shared" si="0"/>
        <v>0</v>
      </c>
      <c r="F37"/>
    </row>
    <row r="38" spans="1:6" hidden="1" x14ac:dyDescent="0.3">
      <c r="A38" t="s">
        <v>19</v>
      </c>
      <c r="B38" t="s">
        <v>50</v>
      </c>
      <c r="C38">
        <v>0</v>
      </c>
      <c r="E38">
        <f t="shared" si="0"/>
        <v>0</v>
      </c>
      <c r="F38"/>
    </row>
    <row r="39" spans="1:6" x14ac:dyDescent="0.3">
      <c r="A39" t="s">
        <v>21</v>
      </c>
      <c r="B39" t="s">
        <v>4</v>
      </c>
      <c r="C39">
        <v>35</v>
      </c>
      <c r="D39">
        <v>11000</v>
      </c>
      <c r="E39">
        <f t="shared" si="0"/>
        <v>385000</v>
      </c>
    </row>
    <row r="40" spans="1:6" hidden="1" x14ac:dyDescent="0.3">
      <c r="A40" t="s">
        <v>21</v>
      </c>
      <c r="B40" t="s">
        <v>149</v>
      </c>
      <c r="C40">
        <v>0</v>
      </c>
      <c r="E40">
        <f t="shared" si="0"/>
        <v>0</v>
      </c>
      <c r="F40"/>
    </row>
    <row r="41" spans="1:6" hidden="1" x14ac:dyDescent="0.3">
      <c r="A41" t="s">
        <v>132</v>
      </c>
      <c r="B41" t="s">
        <v>31</v>
      </c>
      <c r="C41">
        <v>0</v>
      </c>
      <c r="E41">
        <f t="shared" si="0"/>
        <v>0</v>
      </c>
      <c r="F41"/>
    </row>
    <row r="42" spans="1:6" hidden="1" x14ac:dyDescent="0.3">
      <c r="A42" t="s">
        <v>62</v>
      </c>
      <c r="B42" t="s">
        <v>4</v>
      </c>
      <c r="C42">
        <v>0</v>
      </c>
      <c r="E42">
        <f t="shared" si="0"/>
        <v>0</v>
      </c>
      <c r="F42"/>
    </row>
    <row r="43" spans="1:6" hidden="1" x14ac:dyDescent="0.3">
      <c r="A43" t="s">
        <v>62</v>
      </c>
      <c r="B43" t="s">
        <v>31</v>
      </c>
      <c r="C43">
        <v>0</v>
      </c>
      <c r="E43">
        <f t="shared" si="0"/>
        <v>0</v>
      </c>
      <c r="F43"/>
    </row>
    <row r="44" spans="1:6" hidden="1" x14ac:dyDescent="0.3">
      <c r="A44" t="s">
        <v>63</v>
      </c>
      <c r="B44" t="s">
        <v>4</v>
      </c>
      <c r="C44">
        <v>0</v>
      </c>
      <c r="E44">
        <f t="shared" si="0"/>
        <v>0</v>
      </c>
      <c r="F44"/>
    </row>
    <row r="45" spans="1:6" hidden="1" x14ac:dyDescent="0.3">
      <c r="A45" t="s">
        <v>63</v>
      </c>
      <c r="B45" t="s">
        <v>31</v>
      </c>
      <c r="C45">
        <v>0</v>
      </c>
      <c r="E45">
        <f t="shared" si="0"/>
        <v>0</v>
      </c>
      <c r="F45"/>
    </row>
    <row r="46" spans="1:6" hidden="1" x14ac:dyDescent="0.3">
      <c r="A46" t="s">
        <v>64</v>
      </c>
      <c r="B46" t="s">
        <v>4</v>
      </c>
      <c r="C46">
        <v>0</v>
      </c>
      <c r="E46">
        <f t="shared" si="0"/>
        <v>0</v>
      </c>
      <c r="F46"/>
    </row>
    <row r="47" spans="1:6" hidden="1" x14ac:dyDescent="0.3">
      <c r="A47" t="s">
        <v>64</v>
      </c>
      <c r="B47" t="s">
        <v>31</v>
      </c>
      <c r="C47">
        <v>0</v>
      </c>
      <c r="E47">
        <f t="shared" si="0"/>
        <v>0</v>
      </c>
      <c r="F47"/>
    </row>
    <row r="48" spans="1:6" x14ac:dyDescent="0.3">
      <c r="A48" t="s">
        <v>22</v>
      </c>
      <c r="B48" t="s">
        <v>4</v>
      </c>
      <c r="C48">
        <v>1260</v>
      </c>
      <c r="D48">
        <v>7500</v>
      </c>
      <c r="E48">
        <f t="shared" si="0"/>
        <v>9450000</v>
      </c>
    </row>
    <row r="49" spans="1:6" hidden="1" x14ac:dyDescent="0.3">
      <c r="A49" t="s">
        <v>23</v>
      </c>
      <c r="B49" t="s">
        <v>4</v>
      </c>
      <c r="C49">
        <v>0</v>
      </c>
      <c r="E49">
        <f t="shared" si="0"/>
        <v>0</v>
      </c>
      <c r="F49"/>
    </row>
    <row r="50" spans="1:6" hidden="1" x14ac:dyDescent="0.3">
      <c r="A50" t="s">
        <v>24</v>
      </c>
      <c r="B50" t="s">
        <v>66</v>
      </c>
      <c r="C50">
        <v>0</v>
      </c>
      <c r="E50">
        <f t="shared" si="0"/>
        <v>0</v>
      </c>
      <c r="F50"/>
    </row>
    <row r="51" spans="1:6" x14ac:dyDescent="0.3">
      <c r="A51" t="s">
        <v>24</v>
      </c>
      <c r="B51" t="s">
        <v>4</v>
      </c>
      <c r="C51">
        <v>121</v>
      </c>
      <c r="D51">
        <v>11000</v>
      </c>
      <c r="E51">
        <f t="shared" si="0"/>
        <v>1331000</v>
      </c>
    </row>
    <row r="52" spans="1:6" hidden="1" x14ac:dyDescent="0.3">
      <c r="A52" t="s">
        <v>94</v>
      </c>
      <c r="B52" t="s">
        <v>50</v>
      </c>
      <c r="C52">
        <v>0</v>
      </c>
      <c r="E52">
        <f t="shared" si="0"/>
        <v>0</v>
      </c>
      <c r="F52"/>
    </row>
    <row r="53" spans="1:6" hidden="1" x14ac:dyDescent="0.3">
      <c r="A53" t="s">
        <v>26</v>
      </c>
      <c r="B53" t="s">
        <v>4</v>
      </c>
      <c r="C53">
        <v>0</v>
      </c>
      <c r="E53">
        <f t="shared" si="0"/>
        <v>0</v>
      </c>
      <c r="F53"/>
    </row>
    <row r="54" spans="1:6" hidden="1" x14ac:dyDescent="0.3">
      <c r="A54" t="s">
        <v>51</v>
      </c>
      <c r="B54" t="s">
        <v>53</v>
      </c>
      <c r="C54">
        <v>0</v>
      </c>
      <c r="E54">
        <f t="shared" si="0"/>
        <v>0</v>
      </c>
      <c r="F54"/>
    </row>
    <row r="55" spans="1:6" hidden="1" x14ac:dyDescent="0.3">
      <c r="A55" t="s">
        <v>51</v>
      </c>
      <c r="B55" t="s">
        <v>4</v>
      </c>
      <c r="C55">
        <v>0</v>
      </c>
      <c r="E55">
        <f t="shared" si="0"/>
        <v>0</v>
      </c>
      <c r="F55"/>
    </row>
    <row r="56" spans="1:6" hidden="1" x14ac:dyDescent="0.3">
      <c r="A56" t="s">
        <v>27</v>
      </c>
      <c r="B56" t="s">
        <v>4</v>
      </c>
      <c r="C56">
        <v>0</v>
      </c>
      <c r="E56">
        <f t="shared" si="0"/>
        <v>0</v>
      </c>
      <c r="F56"/>
    </row>
    <row r="57" spans="1:6" hidden="1" x14ac:dyDescent="0.3">
      <c r="A57" t="s">
        <v>28</v>
      </c>
      <c r="B57" t="s">
        <v>4</v>
      </c>
      <c r="C57">
        <v>0</v>
      </c>
      <c r="E57">
        <f t="shared" si="0"/>
        <v>0</v>
      </c>
      <c r="F57"/>
    </row>
    <row r="58" spans="1:6" hidden="1" x14ac:dyDescent="0.3">
      <c r="A58" t="s">
        <v>28</v>
      </c>
      <c r="B58" t="s">
        <v>31</v>
      </c>
      <c r="C58">
        <v>0</v>
      </c>
      <c r="E58">
        <f t="shared" si="0"/>
        <v>0</v>
      </c>
      <c r="F58"/>
    </row>
    <row r="59" spans="1:6" x14ac:dyDescent="0.3">
      <c r="A59" t="s">
        <v>54</v>
      </c>
      <c r="B59" t="s">
        <v>4</v>
      </c>
      <c r="C59">
        <v>1</v>
      </c>
      <c r="D59">
        <v>45000</v>
      </c>
      <c r="E59">
        <f t="shared" si="0"/>
        <v>45000</v>
      </c>
    </row>
    <row r="60" spans="1:6" x14ac:dyDescent="0.3">
      <c r="A60" t="s">
        <v>29</v>
      </c>
      <c r="B60" t="s">
        <v>4</v>
      </c>
      <c r="C60">
        <v>1590</v>
      </c>
      <c r="D60">
        <v>28000</v>
      </c>
      <c r="E60">
        <f t="shared" si="0"/>
        <v>44520000</v>
      </c>
    </row>
    <row r="61" spans="1:6" hidden="1" x14ac:dyDescent="0.3">
      <c r="A61" t="s">
        <v>29</v>
      </c>
      <c r="B61" t="s">
        <v>150</v>
      </c>
      <c r="C61">
        <v>0</v>
      </c>
      <c r="E61">
        <f t="shared" si="0"/>
        <v>0</v>
      </c>
      <c r="F61"/>
    </row>
    <row r="62" spans="1:6" hidden="1" x14ac:dyDescent="0.3">
      <c r="A62" t="s">
        <v>56</v>
      </c>
      <c r="B62" t="s">
        <v>31</v>
      </c>
      <c r="C62">
        <v>0</v>
      </c>
      <c r="E62">
        <f t="shared" si="0"/>
        <v>0</v>
      </c>
      <c r="F62"/>
    </row>
    <row r="63" spans="1:6" x14ac:dyDescent="0.3">
      <c r="A63" t="s">
        <v>117</v>
      </c>
      <c r="B63" t="s">
        <v>4</v>
      </c>
      <c r="C63">
        <v>915</v>
      </c>
      <c r="D63">
        <v>21000</v>
      </c>
      <c r="E63">
        <f t="shared" si="0"/>
        <v>19215000</v>
      </c>
    </row>
    <row r="64" spans="1:6" x14ac:dyDescent="0.3">
      <c r="A64" t="s">
        <v>57</v>
      </c>
      <c r="B64" t="s">
        <v>4</v>
      </c>
      <c r="C64">
        <v>770</v>
      </c>
      <c r="D64">
        <v>21000</v>
      </c>
      <c r="E64">
        <f t="shared" si="0"/>
        <v>16170000</v>
      </c>
    </row>
    <row r="65" spans="1:6" x14ac:dyDescent="0.3">
      <c r="A65" t="s">
        <v>135</v>
      </c>
      <c r="B65" t="s">
        <v>4</v>
      </c>
      <c r="C65">
        <v>510</v>
      </c>
      <c r="D65">
        <v>20000</v>
      </c>
      <c r="E65">
        <f t="shared" si="0"/>
        <v>10200000</v>
      </c>
    </row>
    <row r="66" spans="1:6" hidden="1" x14ac:dyDescent="0.3">
      <c r="A66" t="s">
        <v>32</v>
      </c>
      <c r="B66" t="s">
        <v>4</v>
      </c>
      <c r="C66">
        <v>0</v>
      </c>
      <c r="E66">
        <f t="shared" si="0"/>
        <v>0</v>
      </c>
      <c r="F66"/>
    </row>
    <row r="67" spans="1:6" hidden="1" x14ac:dyDescent="0.3">
      <c r="A67" t="s">
        <v>58</v>
      </c>
      <c r="B67" t="s">
        <v>4</v>
      </c>
      <c r="C67">
        <v>0</v>
      </c>
      <c r="E67">
        <f t="shared" si="0"/>
        <v>0</v>
      </c>
      <c r="F67"/>
    </row>
    <row r="68" spans="1:6" x14ac:dyDescent="0.3">
      <c r="A68" t="s">
        <v>118</v>
      </c>
      <c r="B68" t="s">
        <v>4</v>
      </c>
      <c r="C68">
        <v>27</v>
      </c>
      <c r="D68">
        <v>19319</v>
      </c>
      <c r="E68">
        <f t="shared" ref="E68:E131" si="1">C68*D68</f>
        <v>521613</v>
      </c>
    </row>
    <row r="69" spans="1:6" x14ac:dyDescent="0.3">
      <c r="A69" t="s">
        <v>33</v>
      </c>
      <c r="B69" t="s">
        <v>4</v>
      </c>
      <c r="C69">
        <v>15</v>
      </c>
      <c r="D69">
        <v>12000</v>
      </c>
      <c r="E69">
        <f t="shared" si="1"/>
        <v>180000</v>
      </c>
    </row>
    <row r="70" spans="1:6" hidden="1" x14ac:dyDescent="0.3">
      <c r="A70" t="s">
        <v>33</v>
      </c>
      <c r="B70" t="s">
        <v>31</v>
      </c>
      <c r="C70">
        <v>0</v>
      </c>
      <c r="E70">
        <f t="shared" si="1"/>
        <v>0</v>
      </c>
      <c r="F70"/>
    </row>
    <row r="71" spans="1:6" x14ac:dyDescent="0.3">
      <c r="A71" t="s">
        <v>34</v>
      </c>
      <c r="B71" t="s">
        <v>4</v>
      </c>
      <c r="C71">
        <v>90</v>
      </c>
      <c r="D71">
        <v>15000</v>
      </c>
      <c r="E71">
        <f t="shared" si="1"/>
        <v>1350000</v>
      </c>
    </row>
    <row r="72" spans="1:6" hidden="1" x14ac:dyDescent="0.3">
      <c r="A72" t="s">
        <v>34</v>
      </c>
      <c r="B72" t="s">
        <v>31</v>
      </c>
      <c r="C72">
        <v>0</v>
      </c>
      <c r="E72">
        <f t="shared" si="1"/>
        <v>0</v>
      </c>
      <c r="F72"/>
    </row>
    <row r="73" spans="1:6" x14ac:dyDescent="0.3">
      <c r="A73" t="s">
        <v>142</v>
      </c>
      <c r="B73" t="s">
        <v>31</v>
      </c>
      <c r="C73">
        <v>80</v>
      </c>
      <c r="D73">
        <v>6000</v>
      </c>
      <c r="E73">
        <f t="shared" si="1"/>
        <v>480000</v>
      </c>
    </row>
    <row r="74" spans="1:6" hidden="1" x14ac:dyDescent="0.3">
      <c r="A74" t="s">
        <v>35</v>
      </c>
      <c r="B74" t="s">
        <v>4</v>
      </c>
      <c r="C74">
        <v>0</v>
      </c>
      <c r="E74">
        <f t="shared" si="1"/>
        <v>0</v>
      </c>
      <c r="F74"/>
    </row>
    <row r="75" spans="1:6" hidden="1" x14ac:dyDescent="0.3">
      <c r="A75" t="s">
        <v>123</v>
      </c>
      <c r="B75" t="s">
        <v>31</v>
      </c>
      <c r="C75">
        <v>0</v>
      </c>
      <c r="E75">
        <f t="shared" si="1"/>
        <v>0</v>
      </c>
      <c r="F75"/>
    </row>
    <row r="76" spans="1:6" hidden="1" x14ac:dyDescent="0.3">
      <c r="A76" t="s">
        <v>37</v>
      </c>
      <c r="B76" t="s">
        <v>4</v>
      </c>
      <c r="C76">
        <v>0</v>
      </c>
      <c r="E76">
        <f t="shared" si="1"/>
        <v>0</v>
      </c>
      <c r="F76"/>
    </row>
    <row r="77" spans="1:6" hidden="1" x14ac:dyDescent="0.3">
      <c r="A77" t="s">
        <v>37</v>
      </c>
      <c r="B77" t="s">
        <v>150</v>
      </c>
      <c r="C77">
        <v>0</v>
      </c>
      <c r="E77">
        <f t="shared" si="1"/>
        <v>0</v>
      </c>
      <c r="F77"/>
    </row>
    <row r="78" spans="1:6" x14ac:dyDescent="0.3">
      <c r="A78" t="s">
        <v>37</v>
      </c>
      <c r="B78" t="s">
        <v>151</v>
      </c>
      <c r="C78">
        <v>9</v>
      </c>
      <c r="D78">
        <v>13000</v>
      </c>
      <c r="E78">
        <f t="shared" si="1"/>
        <v>117000</v>
      </c>
    </row>
    <row r="79" spans="1:6" hidden="1" x14ac:dyDescent="0.3">
      <c r="A79" t="s">
        <v>96</v>
      </c>
      <c r="B79" t="s">
        <v>4</v>
      </c>
      <c r="C79">
        <v>0</v>
      </c>
      <c r="E79">
        <f t="shared" si="1"/>
        <v>0</v>
      </c>
      <c r="F79"/>
    </row>
    <row r="80" spans="1:6" hidden="1" x14ac:dyDescent="0.3">
      <c r="A80" t="s">
        <v>96</v>
      </c>
      <c r="B80" t="s">
        <v>50</v>
      </c>
      <c r="C80">
        <v>0</v>
      </c>
      <c r="E80">
        <f t="shared" si="1"/>
        <v>0</v>
      </c>
      <c r="F80"/>
    </row>
    <row r="81" spans="1:6" hidden="1" x14ac:dyDescent="0.3">
      <c r="A81" t="s">
        <v>127</v>
      </c>
      <c r="B81" t="s">
        <v>4</v>
      </c>
      <c r="C81">
        <v>0</v>
      </c>
      <c r="E81">
        <f t="shared" si="1"/>
        <v>0</v>
      </c>
      <c r="F81"/>
    </row>
    <row r="82" spans="1:6" hidden="1" x14ac:dyDescent="0.3">
      <c r="A82" t="s">
        <v>97</v>
      </c>
      <c r="B82" t="s">
        <v>4</v>
      </c>
      <c r="C82">
        <v>0</v>
      </c>
      <c r="E82">
        <f t="shared" si="1"/>
        <v>0</v>
      </c>
      <c r="F82"/>
    </row>
    <row r="83" spans="1:6" hidden="1" x14ac:dyDescent="0.3">
      <c r="A83" t="s">
        <v>105</v>
      </c>
      <c r="B83" t="s">
        <v>4</v>
      </c>
      <c r="C83">
        <v>0</v>
      </c>
      <c r="E83">
        <f t="shared" si="1"/>
        <v>0</v>
      </c>
      <c r="F83"/>
    </row>
    <row r="84" spans="1:6" x14ac:dyDescent="0.3">
      <c r="A84" t="s">
        <v>39</v>
      </c>
      <c r="B84" t="s">
        <v>50</v>
      </c>
      <c r="C84">
        <v>152</v>
      </c>
      <c r="D84">
        <v>6000</v>
      </c>
      <c r="E84">
        <f t="shared" si="1"/>
        <v>912000</v>
      </c>
    </row>
    <row r="85" spans="1:6" hidden="1" x14ac:dyDescent="0.3">
      <c r="A85" t="s">
        <v>99</v>
      </c>
      <c r="B85" t="s">
        <v>4</v>
      </c>
      <c r="C85">
        <v>0</v>
      </c>
      <c r="E85">
        <f t="shared" si="1"/>
        <v>0</v>
      </c>
      <c r="F85"/>
    </row>
    <row r="86" spans="1:6" hidden="1" x14ac:dyDescent="0.3">
      <c r="A86" t="s">
        <v>99</v>
      </c>
      <c r="B86" t="s">
        <v>31</v>
      </c>
      <c r="C86">
        <v>0</v>
      </c>
      <c r="E86">
        <f t="shared" si="1"/>
        <v>0</v>
      </c>
      <c r="F86"/>
    </row>
    <row r="87" spans="1:6" x14ac:dyDescent="0.3">
      <c r="A87" t="s">
        <v>100</v>
      </c>
      <c r="B87" t="s">
        <v>4</v>
      </c>
      <c r="C87">
        <v>44</v>
      </c>
      <c r="D87">
        <v>7000</v>
      </c>
      <c r="E87">
        <f t="shared" si="1"/>
        <v>308000</v>
      </c>
    </row>
    <row r="88" spans="1:6" hidden="1" x14ac:dyDescent="0.3">
      <c r="A88" t="s">
        <v>40</v>
      </c>
      <c r="B88" t="s">
        <v>66</v>
      </c>
      <c r="C88">
        <v>0</v>
      </c>
      <c r="E88">
        <f t="shared" si="1"/>
        <v>0</v>
      </c>
      <c r="F88"/>
    </row>
    <row r="89" spans="1:6" hidden="1" x14ac:dyDescent="0.3">
      <c r="A89" t="s">
        <v>40</v>
      </c>
      <c r="B89" t="s">
        <v>4</v>
      </c>
      <c r="C89">
        <v>0</v>
      </c>
      <c r="E89">
        <f t="shared" si="1"/>
        <v>0</v>
      </c>
      <c r="F89"/>
    </row>
    <row r="90" spans="1:6" x14ac:dyDescent="0.3">
      <c r="A90" t="s">
        <v>41</v>
      </c>
      <c r="B90" t="s">
        <v>4</v>
      </c>
      <c r="C90">
        <f>1020+1500</f>
        <v>2520</v>
      </c>
      <c r="D90">
        <v>28600</v>
      </c>
      <c r="E90">
        <f t="shared" si="1"/>
        <v>72072000</v>
      </c>
    </row>
    <row r="91" spans="1:6" hidden="1" x14ac:dyDescent="0.3">
      <c r="A91" t="s">
        <v>61</v>
      </c>
      <c r="B91" t="s">
        <v>50</v>
      </c>
      <c r="C91">
        <v>0</v>
      </c>
      <c r="E91">
        <f t="shared" si="1"/>
        <v>0</v>
      </c>
      <c r="F91"/>
    </row>
    <row r="92" spans="1:6" hidden="1" x14ac:dyDescent="0.3">
      <c r="A92" t="s">
        <v>124</v>
      </c>
      <c r="B92" t="s">
        <v>4</v>
      </c>
      <c r="C92">
        <v>0</v>
      </c>
      <c r="E92">
        <f t="shared" si="1"/>
        <v>0</v>
      </c>
      <c r="F92"/>
    </row>
    <row r="93" spans="1:6" hidden="1" x14ac:dyDescent="0.3">
      <c r="A93" t="s">
        <v>126</v>
      </c>
      <c r="B93" t="s">
        <v>4</v>
      </c>
      <c r="C93">
        <v>0</v>
      </c>
      <c r="E93">
        <f t="shared" si="1"/>
        <v>0</v>
      </c>
      <c r="F93"/>
    </row>
    <row r="94" spans="1:6" hidden="1" x14ac:dyDescent="0.3">
      <c r="A94" t="s">
        <v>69</v>
      </c>
      <c r="B94" t="s">
        <v>31</v>
      </c>
      <c r="C94">
        <v>0</v>
      </c>
      <c r="E94">
        <f t="shared" si="1"/>
        <v>0</v>
      </c>
      <c r="F94"/>
    </row>
    <row r="95" spans="1:6" hidden="1" x14ac:dyDescent="0.3">
      <c r="A95" t="s">
        <v>42</v>
      </c>
      <c r="B95" t="s">
        <v>31</v>
      </c>
      <c r="C95">
        <v>0</v>
      </c>
      <c r="E95">
        <f t="shared" si="1"/>
        <v>0</v>
      </c>
      <c r="F95"/>
    </row>
    <row r="96" spans="1:6" hidden="1" x14ac:dyDescent="0.3">
      <c r="A96" t="s">
        <v>67</v>
      </c>
      <c r="B96" t="s">
        <v>4</v>
      </c>
      <c r="C96">
        <v>0</v>
      </c>
      <c r="E96">
        <f t="shared" si="1"/>
        <v>0</v>
      </c>
      <c r="F96"/>
    </row>
    <row r="97" spans="1:6" hidden="1" x14ac:dyDescent="0.3">
      <c r="A97" t="s">
        <v>68</v>
      </c>
      <c r="B97" t="s">
        <v>31</v>
      </c>
      <c r="C97">
        <v>0</v>
      </c>
      <c r="E97">
        <f t="shared" si="1"/>
        <v>0</v>
      </c>
      <c r="F97"/>
    </row>
    <row r="98" spans="1:6" hidden="1" x14ac:dyDescent="0.3">
      <c r="A98" t="s">
        <v>70</v>
      </c>
      <c r="B98" t="s">
        <v>71</v>
      </c>
      <c r="C98">
        <v>0</v>
      </c>
      <c r="E98">
        <f t="shared" si="1"/>
        <v>0</v>
      </c>
      <c r="F98"/>
    </row>
    <row r="99" spans="1:6" hidden="1" x14ac:dyDescent="0.3">
      <c r="A99" t="s">
        <v>116</v>
      </c>
      <c r="B99" t="s">
        <v>50</v>
      </c>
      <c r="C99">
        <v>0</v>
      </c>
      <c r="E99">
        <f t="shared" si="1"/>
        <v>0</v>
      </c>
      <c r="F99"/>
    </row>
    <row r="100" spans="1:6" hidden="1" x14ac:dyDescent="0.3">
      <c r="A100" t="s">
        <v>101</v>
      </c>
      <c r="B100" t="s">
        <v>53</v>
      </c>
      <c r="C100">
        <v>0</v>
      </c>
      <c r="E100">
        <f t="shared" si="1"/>
        <v>0</v>
      </c>
      <c r="F100"/>
    </row>
    <row r="101" spans="1:6" hidden="1" x14ac:dyDescent="0.3">
      <c r="A101" t="s">
        <v>101</v>
      </c>
      <c r="B101" t="s">
        <v>4</v>
      </c>
      <c r="C101">
        <v>0</v>
      </c>
      <c r="E101">
        <f t="shared" si="1"/>
        <v>0</v>
      </c>
      <c r="F101"/>
    </row>
    <row r="102" spans="1:6" x14ac:dyDescent="0.3">
      <c r="A102" t="s">
        <v>43</v>
      </c>
      <c r="B102" t="s">
        <v>4</v>
      </c>
      <c r="C102">
        <v>40</v>
      </c>
      <c r="D102">
        <v>44000</v>
      </c>
      <c r="E102">
        <f t="shared" si="1"/>
        <v>1760000</v>
      </c>
    </row>
    <row r="103" spans="1:6" hidden="1" x14ac:dyDescent="0.3">
      <c r="A103" t="s">
        <v>43</v>
      </c>
      <c r="B103" t="s">
        <v>84</v>
      </c>
      <c r="C103">
        <v>0</v>
      </c>
      <c r="E103">
        <f t="shared" si="1"/>
        <v>0</v>
      </c>
      <c r="F103"/>
    </row>
    <row r="104" spans="1:6" x14ac:dyDescent="0.3">
      <c r="A104" t="s">
        <v>44</v>
      </c>
      <c r="B104" t="s">
        <v>4</v>
      </c>
      <c r="C104">
        <v>95</v>
      </c>
      <c r="D104">
        <v>28000</v>
      </c>
      <c r="E104">
        <f t="shared" si="1"/>
        <v>2660000</v>
      </c>
    </row>
    <row r="105" spans="1:6" hidden="1" x14ac:dyDescent="0.3">
      <c r="A105" t="s">
        <v>44</v>
      </c>
      <c r="B105" t="s">
        <v>84</v>
      </c>
      <c r="C105">
        <v>0</v>
      </c>
      <c r="E105">
        <f t="shared" si="1"/>
        <v>0</v>
      </c>
      <c r="F105"/>
    </row>
    <row r="106" spans="1:6" x14ac:dyDescent="0.3">
      <c r="A106" t="s">
        <v>143</v>
      </c>
      <c r="B106" t="s">
        <v>4</v>
      </c>
      <c r="C106">
        <v>6</v>
      </c>
      <c r="D106">
        <v>23000</v>
      </c>
      <c r="E106">
        <f t="shared" si="1"/>
        <v>138000</v>
      </c>
    </row>
    <row r="107" spans="1:6" x14ac:dyDescent="0.3">
      <c r="A107" t="s">
        <v>45</v>
      </c>
      <c r="B107" t="s">
        <v>4</v>
      </c>
      <c r="C107">
        <v>23</v>
      </c>
      <c r="D107">
        <v>30000</v>
      </c>
      <c r="E107">
        <f t="shared" si="1"/>
        <v>690000</v>
      </c>
    </row>
    <row r="108" spans="1:6" hidden="1" x14ac:dyDescent="0.3">
      <c r="A108" t="s">
        <v>45</v>
      </c>
      <c r="B108" t="s">
        <v>84</v>
      </c>
      <c r="C108">
        <v>0</v>
      </c>
      <c r="E108">
        <f t="shared" si="1"/>
        <v>0</v>
      </c>
      <c r="F108"/>
    </row>
    <row r="109" spans="1:6" x14ac:dyDescent="0.3">
      <c r="A109" t="s">
        <v>161</v>
      </c>
      <c r="B109" t="s">
        <v>4</v>
      </c>
      <c r="C109">
        <v>2</v>
      </c>
      <c r="D109">
        <v>25000</v>
      </c>
      <c r="E109">
        <f t="shared" si="1"/>
        <v>50000</v>
      </c>
    </row>
    <row r="110" spans="1:6" hidden="1" x14ac:dyDescent="0.3">
      <c r="A110" t="s">
        <v>46</v>
      </c>
      <c r="B110" t="s">
        <v>31</v>
      </c>
      <c r="C110">
        <v>0</v>
      </c>
      <c r="E110">
        <f t="shared" si="1"/>
        <v>0</v>
      </c>
      <c r="F110"/>
    </row>
    <row r="111" spans="1:6" hidden="1" x14ac:dyDescent="0.3">
      <c r="A111" t="s">
        <v>133</v>
      </c>
      <c r="B111" t="s">
        <v>31</v>
      </c>
      <c r="C111">
        <v>0</v>
      </c>
      <c r="E111">
        <f t="shared" si="1"/>
        <v>0</v>
      </c>
      <c r="F111"/>
    </row>
    <row r="112" spans="1:6" hidden="1" x14ac:dyDescent="0.3">
      <c r="A112" t="s">
        <v>72</v>
      </c>
      <c r="B112" t="s">
        <v>4</v>
      </c>
      <c r="C112">
        <v>0</v>
      </c>
      <c r="E112">
        <f t="shared" si="1"/>
        <v>0</v>
      </c>
      <c r="F112"/>
    </row>
    <row r="113" spans="1:6" hidden="1" x14ac:dyDescent="0.3">
      <c r="A113" t="s">
        <v>104</v>
      </c>
      <c r="B113" t="s">
        <v>4</v>
      </c>
      <c r="C113">
        <v>0</v>
      </c>
      <c r="E113">
        <f t="shared" si="1"/>
        <v>0</v>
      </c>
      <c r="F113"/>
    </row>
    <row r="114" spans="1:6" hidden="1" x14ac:dyDescent="0.3">
      <c r="A114" t="s">
        <v>104</v>
      </c>
      <c r="B114" t="s">
        <v>84</v>
      </c>
      <c r="C114">
        <v>0</v>
      </c>
      <c r="E114">
        <f t="shared" si="1"/>
        <v>0</v>
      </c>
      <c r="F114"/>
    </row>
    <row r="115" spans="1:6" hidden="1" x14ac:dyDescent="0.3">
      <c r="A115" t="s">
        <v>107</v>
      </c>
      <c r="B115" t="s">
        <v>4</v>
      </c>
      <c r="C115">
        <v>0</v>
      </c>
      <c r="E115">
        <f t="shared" si="1"/>
        <v>0</v>
      </c>
      <c r="F115"/>
    </row>
    <row r="116" spans="1:6" hidden="1" x14ac:dyDescent="0.3">
      <c r="A116" t="s">
        <v>110</v>
      </c>
      <c r="B116" t="s">
        <v>4</v>
      </c>
      <c r="C116">
        <v>0</v>
      </c>
      <c r="E116">
        <f t="shared" si="1"/>
        <v>0</v>
      </c>
      <c r="F116"/>
    </row>
    <row r="117" spans="1:6" x14ac:dyDescent="0.3">
      <c r="A117" t="s">
        <v>47</v>
      </c>
      <c r="B117" t="s">
        <v>4</v>
      </c>
      <c r="C117">
        <v>65</v>
      </c>
      <c r="D117">
        <v>8000</v>
      </c>
      <c r="E117">
        <f t="shared" si="1"/>
        <v>520000</v>
      </c>
      <c r="F117" s="23">
        <f>SUBTOTAL(9,E4:E117)</f>
        <v>216701613</v>
      </c>
    </row>
    <row r="118" spans="1:6" hidden="1" x14ac:dyDescent="0.3">
      <c r="A118" t="s">
        <v>157</v>
      </c>
      <c r="B118" t="s">
        <v>4</v>
      </c>
      <c r="C118">
        <v>0</v>
      </c>
      <c r="E118">
        <f t="shared" si="1"/>
        <v>0</v>
      </c>
      <c r="F118"/>
    </row>
    <row r="119" spans="1:6" hidden="1" x14ac:dyDescent="0.3">
      <c r="A119" t="s">
        <v>158</v>
      </c>
      <c r="B119" t="s">
        <v>31</v>
      </c>
      <c r="C119">
        <v>0</v>
      </c>
      <c r="E119">
        <f t="shared" si="1"/>
        <v>0</v>
      </c>
      <c r="F119"/>
    </row>
    <row r="120" spans="1:6" hidden="1" x14ac:dyDescent="0.3">
      <c r="A120" t="s">
        <v>74</v>
      </c>
      <c r="B120" t="s">
        <v>4</v>
      </c>
      <c r="C120">
        <v>0</v>
      </c>
      <c r="E120">
        <f t="shared" si="1"/>
        <v>0</v>
      </c>
      <c r="F120"/>
    </row>
    <row r="121" spans="1:6" hidden="1" x14ac:dyDescent="0.3">
      <c r="A121" t="s">
        <v>129</v>
      </c>
      <c r="B121" t="s">
        <v>4</v>
      </c>
      <c r="C121">
        <v>0</v>
      </c>
      <c r="E121">
        <f t="shared" si="1"/>
        <v>0</v>
      </c>
      <c r="F121"/>
    </row>
    <row r="122" spans="1:6" hidden="1" x14ac:dyDescent="0.3">
      <c r="A122" t="s">
        <v>75</v>
      </c>
      <c r="B122" t="s">
        <v>4</v>
      </c>
      <c r="C122">
        <v>0</v>
      </c>
      <c r="E122">
        <f t="shared" si="1"/>
        <v>0</v>
      </c>
      <c r="F122"/>
    </row>
    <row r="123" spans="1:6" hidden="1" x14ac:dyDescent="0.3">
      <c r="A123" t="s">
        <v>76</v>
      </c>
      <c r="B123" t="s">
        <v>66</v>
      </c>
      <c r="C123">
        <v>0</v>
      </c>
      <c r="E123">
        <f t="shared" si="1"/>
        <v>0</v>
      </c>
      <c r="F123"/>
    </row>
    <row r="124" spans="1:6" hidden="1" x14ac:dyDescent="0.3">
      <c r="A124" t="s">
        <v>83</v>
      </c>
      <c r="B124" t="s">
        <v>4</v>
      </c>
      <c r="C124">
        <v>0</v>
      </c>
      <c r="E124">
        <f t="shared" si="1"/>
        <v>0</v>
      </c>
      <c r="F124"/>
    </row>
    <row r="125" spans="1:6" hidden="1" x14ac:dyDescent="0.3">
      <c r="A125" t="s">
        <v>48</v>
      </c>
      <c r="B125" t="s">
        <v>4</v>
      </c>
      <c r="C125">
        <v>0</v>
      </c>
      <c r="E125">
        <f t="shared" si="1"/>
        <v>0</v>
      </c>
      <c r="F125"/>
    </row>
    <row r="126" spans="1:6" hidden="1" x14ac:dyDescent="0.3">
      <c r="A126" t="s">
        <v>77</v>
      </c>
      <c r="B126" t="s">
        <v>66</v>
      </c>
      <c r="C126">
        <v>0</v>
      </c>
      <c r="E126">
        <f t="shared" si="1"/>
        <v>0</v>
      </c>
      <c r="F126"/>
    </row>
    <row r="127" spans="1:6" hidden="1" x14ac:dyDescent="0.3">
      <c r="A127" t="s">
        <v>78</v>
      </c>
      <c r="B127" t="s">
        <v>4</v>
      </c>
      <c r="C127">
        <v>0</v>
      </c>
      <c r="E127">
        <f t="shared" si="1"/>
        <v>0</v>
      </c>
      <c r="F127"/>
    </row>
    <row r="128" spans="1:6" hidden="1" x14ac:dyDescent="0.3">
      <c r="A128" t="s">
        <v>79</v>
      </c>
      <c r="B128" t="s">
        <v>4</v>
      </c>
      <c r="C128">
        <v>0</v>
      </c>
      <c r="E128">
        <f t="shared" si="1"/>
        <v>0</v>
      </c>
      <c r="F128"/>
    </row>
    <row r="129" spans="1:6" hidden="1" x14ac:dyDescent="0.3">
      <c r="A129" t="s">
        <v>79</v>
      </c>
      <c r="B129" t="s">
        <v>31</v>
      </c>
      <c r="C129">
        <v>0</v>
      </c>
      <c r="E129">
        <f t="shared" si="1"/>
        <v>0</v>
      </c>
      <c r="F129"/>
    </row>
    <row r="130" spans="1:6" hidden="1" x14ac:dyDescent="0.3">
      <c r="A130" t="s">
        <v>152</v>
      </c>
      <c r="B130" t="s">
        <v>4</v>
      </c>
      <c r="C130">
        <v>0</v>
      </c>
      <c r="E130">
        <f t="shared" si="1"/>
        <v>0</v>
      </c>
      <c r="F130"/>
    </row>
    <row r="131" spans="1:6" hidden="1" x14ac:dyDescent="0.3">
      <c r="A131" t="s">
        <v>81</v>
      </c>
      <c r="B131" t="s">
        <v>4</v>
      </c>
      <c r="C131">
        <v>0</v>
      </c>
      <c r="E131">
        <f t="shared" si="1"/>
        <v>0</v>
      </c>
      <c r="F131"/>
    </row>
    <row r="132" spans="1:6" hidden="1" x14ac:dyDescent="0.3">
      <c r="A132" t="s">
        <v>82</v>
      </c>
      <c r="B132" t="s">
        <v>66</v>
      </c>
      <c r="C132">
        <v>0</v>
      </c>
      <c r="E132">
        <f t="shared" ref="E132:E177" si="2">C132*D132</f>
        <v>0</v>
      </c>
      <c r="F132"/>
    </row>
    <row r="133" spans="1:6" hidden="1" x14ac:dyDescent="0.3">
      <c r="E133">
        <f t="shared" si="2"/>
        <v>0</v>
      </c>
      <c r="F133"/>
    </row>
    <row r="134" spans="1:6" x14ac:dyDescent="0.3">
      <c r="E134">
        <f>SUM(E4:E117)</f>
        <v>216701613</v>
      </c>
      <c r="F134"/>
    </row>
    <row r="135" spans="1:6" hidden="1" x14ac:dyDescent="0.3">
      <c r="A135" t="s">
        <v>139</v>
      </c>
      <c r="F135"/>
    </row>
    <row r="136" spans="1:6" x14ac:dyDescent="0.3">
      <c r="A136" t="s">
        <v>0</v>
      </c>
      <c r="B136" t="s">
        <v>1</v>
      </c>
      <c r="C136" t="s">
        <v>2</v>
      </c>
      <c r="D136" t="s">
        <v>137</v>
      </c>
      <c r="E136" t="s">
        <v>138</v>
      </c>
    </row>
    <row r="137" spans="1:6" hidden="1" x14ac:dyDescent="0.3">
      <c r="A137" t="s">
        <v>144</v>
      </c>
      <c r="B137" t="s">
        <v>50</v>
      </c>
      <c r="E137">
        <f t="shared" si="2"/>
        <v>0</v>
      </c>
      <c r="F137"/>
    </row>
    <row r="138" spans="1:6" hidden="1" x14ac:dyDescent="0.3">
      <c r="A138" t="s">
        <v>27</v>
      </c>
      <c r="B138" t="s">
        <v>4</v>
      </c>
      <c r="E138">
        <f t="shared" si="2"/>
        <v>0</v>
      </c>
      <c r="F138"/>
    </row>
    <row r="139" spans="1:6" x14ac:dyDescent="0.3">
      <c r="A139" t="s">
        <v>28</v>
      </c>
      <c r="B139" t="s">
        <v>4</v>
      </c>
      <c r="C139">
        <v>60</v>
      </c>
      <c r="D139">
        <v>15000</v>
      </c>
      <c r="E139">
        <f t="shared" si="2"/>
        <v>900000</v>
      </c>
    </row>
    <row r="140" spans="1:6" x14ac:dyDescent="0.3">
      <c r="A140" t="s">
        <v>29</v>
      </c>
      <c r="B140" t="s">
        <v>4</v>
      </c>
      <c r="C140">
        <v>30</v>
      </c>
      <c r="D140">
        <v>28000</v>
      </c>
      <c r="E140">
        <f t="shared" si="2"/>
        <v>840000</v>
      </c>
    </row>
    <row r="141" spans="1:6" hidden="1" x14ac:dyDescent="0.3">
      <c r="A141" t="s">
        <v>57</v>
      </c>
      <c r="B141" t="s">
        <v>31</v>
      </c>
      <c r="E141">
        <f t="shared" si="2"/>
        <v>0</v>
      </c>
      <c r="F141"/>
    </row>
    <row r="142" spans="1:6" x14ac:dyDescent="0.3">
      <c r="A142" t="s">
        <v>32</v>
      </c>
      <c r="B142" t="s">
        <v>4</v>
      </c>
      <c r="C142">
        <v>190</v>
      </c>
      <c r="D142">
        <v>19000</v>
      </c>
      <c r="E142">
        <f t="shared" si="2"/>
        <v>3610000</v>
      </c>
    </row>
    <row r="143" spans="1:6" x14ac:dyDescent="0.3">
      <c r="A143" t="s">
        <v>33</v>
      </c>
      <c r="B143" t="s">
        <v>31</v>
      </c>
      <c r="C143">
        <v>10</v>
      </c>
      <c r="D143">
        <v>6000</v>
      </c>
      <c r="E143">
        <f t="shared" si="2"/>
        <v>60000</v>
      </c>
    </row>
    <row r="144" spans="1:6" x14ac:dyDescent="0.3">
      <c r="A144" t="s">
        <v>34</v>
      </c>
      <c r="B144" t="s">
        <v>4</v>
      </c>
      <c r="C144">
        <v>100</v>
      </c>
      <c r="D144">
        <v>15000</v>
      </c>
      <c r="E144">
        <f t="shared" si="2"/>
        <v>1500000</v>
      </c>
    </row>
    <row r="145" spans="1:6" hidden="1" x14ac:dyDescent="0.3">
      <c r="A145" t="s">
        <v>34</v>
      </c>
      <c r="B145" t="s">
        <v>31</v>
      </c>
      <c r="E145">
        <f t="shared" si="2"/>
        <v>0</v>
      </c>
      <c r="F145"/>
    </row>
    <row r="146" spans="1:6" hidden="1" x14ac:dyDescent="0.3">
      <c r="A146" t="s">
        <v>35</v>
      </c>
      <c r="B146" t="s">
        <v>4</v>
      </c>
      <c r="E146">
        <f t="shared" si="2"/>
        <v>0</v>
      </c>
      <c r="F146"/>
    </row>
    <row r="147" spans="1:6" hidden="1" x14ac:dyDescent="0.3">
      <c r="A147" t="s">
        <v>13</v>
      </c>
      <c r="B147" t="s">
        <v>4</v>
      </c>
      <c r="E147">
        <f t="shared" si="2"/>
        <v>0</v>
      </c>
      <c r="F147"/>
    </row>
    <row r="148" spans="1:6" x14ac:dyDescent="0.3">
      <c r="A148" t="s">
        <v>14</v>
      </c>
      <c r="B148" t="s">
        <v>4</v>
      </c>
      <c r="C148">
        <v>33</v>
      </c>
      <c r="D148">
        <v>30000</v>
      </c>
      <c r="E148">
        <f t="shared" si="2"/>
        <v>990000</v>
      </c>
    </row>
    <row r="149" spans="1:6" hidden="1" x14ac:dyDescent="0.3">
      <c r="A149" t="s">
        <v>3</v>
      </c>
      <c r="B149" t="s">
        <v>4</v>
      </c>
      <c r="E149">
        <f t="shared" si="2"/>
        <v>0</v>
      </c>
      <c r="F149"/>
    </row>
    <row r="150" spans="1:6" hidden="1" x14ac:dyDescent="0.3">
      <c r="A150" t="s">
        <v>5</v>
      </c>
      <c r="B150" t="s">
        <v>4</v>
      </c>
      <c r="E150">
        <f t="shared" si="2"/>
        <v>0</v>
      </c>
      <c r="F150"/>
    </row>
    <row r="151" spans="1:6" hidden="1" x14ac:dyDescent="0.3">
      <c r="A151" t="s">
        <v>6</v>
      </c>
      <c r="B151" t="s">
        <v>4</v>
      </c>
      <c r="E151">
        <f t="shared" si="2"/>
        <v>0</v>
      </c>
      <c r="F151"/>
    </row>
    <row r="152" spans="1:6" x14ac:dyDescent="0.3">
      <c r="A152" t="s">
        <v>22</v>
      </c>
      <c r="B152" t="s">
        <v>4</v>
      </c>
      <c r="C152">
        <v>700</v>
      </c>
      <c r="D152">
        <v>7500</v>
      </c>
      <c r="E152">
        <f t="shared" si="2"/>
        <v>5250000</v>
      </c>
    </row>
    <row r="153" spans="1:6" hidden="1" x14ac:dyDescent="0.3">
      <c r="A153" t="s">
        <v>24</v>
      </c>
      <c r="B153" t="s">
        <v>4</v>
      </c>
      <c r="E153">
        <f t="shared" si="2"/>
        <v>0</v>
      </c>
      <c r="F153"/>
    </row>
    <row r="154" spans="1:6" hidden="1" x14ac:dyDescent="0.3">
      <c r="A154" t="s">
        <v>40</v>
      </c>
      <c r="B154" t="s">
        <v>4</v>
      </c>
      <c r="E154">
        <f t="shared" si="2"/>
        <v>0</v>
      </c>
      <c r="F154"/>
    </row>
    <row r="155" spans="1:6" x14ac:dyDescent="0.3">
      <c r="A155" t="s">
        <v>7</v>
      </c>
      <c r="B155" t="s">
        <v>4</v>
      </c>
      <c r="C155">
        <v>18</v>
      </c>
      <c r="D155">
        <v>10000</v>
      </c>
      <c r="E155">
        <f t="shared" si="2"/>
        <v>180000</v>
      </c>
    </row>
    <row r="156" spans="1:6" x14ac:dyDescent="0.3">
      <c r="A156" t="s">
        <v>8</v>
      </c>
      <c r="B156" t="s">
        <v>4</v>
      </c>
      <c r="C156">
        <v>1000</v>
      </c>
      <c r="D156">
        <v>5200</v>
      </c>
      <c r="E156">
        <f t="shared" si="2"/>
        <v>5200000</v>
      </c>
    </row>
    <row r="157" spans="1:6" hidden="1" x14ac:dyDescent="0.3">
      <c r="A157" t="s">
        <v>10</v>
      </c>
      <c r="B157" t="s">
        <v>4</v>
      </c>
      <c r="E157">
        <f t="shared" si="2"/>
        <v>0</v>
      </c>
      <c r="F157"/>
    </row>
    <row r="158" spans="1:6" x14ac:dyDescent="0.3">
      <c r="A158" t="s">
        <v>15</v>
      </c>
      <c r="B158" t="s">
        <v>4</v>
      </c>
      <c r="C158">
        <v>100</v>
      </c>
      <c r="D158">
        <v>25000</v>
      </c>
      <c r="E158">
        <f t="shared" si="2"/>
        <v>2500000</v>
      </c>
    </row>
    <row r="159" spans="1:6" x14ac:dyDescent="0.3">
      <c r="A159" t="s">
        <v>18</v>
      </c>
      <c r="B159" t="s">
        <v>4</v>
      </c>
      <c r="C159">
        <v>160</v>
      </c>
      <c r="D159">
        <v>19000</v>
      </c>
      <c r="E159">
        <f t="shared" si="2"/>
        <v>3040000</v>
      </c>
    </row>
    <row r="160" spans="1:6" hidden="1" x14ac:dyDescent="0.3">
      <c r="A160" t="s">
        <v>21</v>
      </c>
      <c r="B160" t="s">
        <v>4</v>
      </c>
      <c r="E160">
        <f t="shared" si="2"/>
        <v>0</v>
      </c>
      <c r="F160"/>
    </row>
    <row r="161" spans="1:10" x14ac:dyDescent="0.3">
      <c r="A161" t="s">
        <v>43</v>
      </c>
      <c r="B161" t="s">
        <v>4</v>
      </c>
      <c r="C161">
        <v>40</v>
      </c>
      <c r="D161">
        <v>44000</v>
      </c>
      <c r="E161">
        <f t="shared" si="2"/>
        <v>1760000</v>
      </c>
    </row>
    <row r="162" spans="1:10" x14ac:dyDescent="0.3">
      <c r="A162" t="s">
        <v>44</v>
      </c>
      <c r="B162" t="s">
        <v>4</v>
      </c>
      <c r="C162">
        <v>20</v>
      </c>
      <c r="D162">
        <v>28000</v>
      </c>
      <c r="E162">
        <f t="shared" si="2"/>
        <v>560000</v>
      </c>
    </row>
    <row r="163" spans="1:10" x14ac:dyDescent="0.3">
      <c r="A163" t="s">
        <v>45</v>
      </c>
      <c r="B163" t="s">
        <v>4</v>
      </c>
      <c r="C163">
        <v>20</v>
      </c>
      <c r="D163">
        <v>30000</v>
      </c>
      <c r="E163">
        <f t="shared" si="2"/>
        <v>600000</v>
      </c>
      <c r="J163">
        <f>1020+500</f>
        <v>1520</v>
      </c>
    </row>
    <row r="164" spans="1:10" hidden="1" x14ac:dyDescent="0.3">
      <c r="A164" t="s">
        <v>47</v>
      </c>
      <c r="B164" t="s">
        <v>4</v>
      </c>
      <c r="E164">
        <f t="shared" si="2"/>
        <v>0</v>
      </c>
      <c r="F164"/>
    </row>
    <row r="165" spans="1:10" x14ac:dyDescent="0.3">
      <c r="A165" t="s">
        <v>26</v>
      </c>
      <c r="B165" t="s">
        <v>4</v>
      </c>
      <c r="C165">
        <v>100</v>
      </c>
      <c r="D165">
        <v>12000</v>
      </c>
      <c r="E165">
        <f t="shared" si="2"/>
        <v>1200000</v>
      </c>
      <c r="J165">
        <f>1350+90</f>
        <v>1440</v>
      </c>
    </row>
    <row r="166" spans="1:10" hidden="1" x14ac:dyDescent="0.3">
      <c r="A166" t="s">
        <v>25</v>
      </c>
      <c r="B166" t="s">
        <v>4</v>
      </c>
      <c r="E166">
        <f t="shared" si="2"/>
        <v>0</v>
      </c>
      <c r="F166"/>
    </row>
    <row r="167" spans="1:10" hidden="1" x14ac:dyDescent="0.3">
      <c r="A167" t="s">
        <v>23</v>
      </c>
      <c r="B167" t="s">
        <v>4</v>
      </c>
      <c r="E167">
        <f t="shared" si="2"/>
        <v>0</v>
      </c>
      <c r="F167"/>
    </row>
    <row r="168" spans="1:10" x14ac:dyDescent="0.3">
      <c r="A168" t="s">
        <v>188</v>
      </c>
      <c r="B168" t="s">
        <v>4</v>
      </c>
      <c r="C168">
        <v>3450</v>
      </c>
      <c r="D168">
        <v>5500</v>
      </c>
      <c r="E168">
        <f t="shared" si="2"/>
        <v>18975000</v>
      </c>
    </row>
    <row r="169" spans="1:10" hidden="1" x14ac:dyDescent="0.3">
      <c r="A169" t="s">
        <v>156</v>
      </c>
      <c r="B169" t="s">
        <v>4</v>
      </c>
      <c r="E169">
        <f t="shared" si="2"/>
        <v>0</v>
      </c>
      <c r="F169"/>
    </row>
    <row r="170" spans="1:10" x14ac:dyDescent="0.3">
      <c r="A170" t="s">
        <v>41</v>
      </c>
      <c r="B170" t="s">
        <v>4</v>
      </c>
      <c r="C170">
        <v>1000</v>
      </c>
      <c r="D170">
        <v>28600</v>
      </c>
      <c r="E170">
        <f t="shared" si="2"/>
        <v>28600000</v>
      </c>
    </row>
    <row r="171" spans="1:10" x14ac:dyDescent="0.3">
      <c r="A171" t="s">
        <v>20</v>
      </c>
      <c r="B171" t="s">
        <v>4</v>
      </c>
      <c r="C171">
        <v>100</v>
      </c>
      <c r="D171">
        <v>15000</v>
      </c>
      <c r="E171">
        <f t="shared" si="2"/>
        <v>1500000</v>
      </c>
      <c r="F171" s="23">
        <f>SUBTOTAL(9,E139:E171)</f>
        <v>77265000</v>
      </c>
    </row>
    <row r="172" spans="1:10" hidden="1" x14ac:dyDescent="0.3">
      <c r="A172" t="s">
        <v>123</v>
      </c>
      <c r="B172" t="s">
        <v>31</v>
      </c>
      <c r="E172">
        <f t="shared" si="2"/>
        <v>0</v>
      </c>
      <c r="F172"/>
    </row>
    <row r="173" spans="1:10" hidden="1" x14ac:dyDescent="0.3">
      <c r="A173" t="s">
        <v>37</v>
      </c>
      <c r="B173" t="s">
        <v>151</v>
      </c>
      <c r="E173">
        <f t="shared" si="2"/>
        <v>0</v>
      </c>
      <c r="F173"/>
    </row>
    <row r="174" spans="1:10" hidden="1" x14ac:dyDescent="0.3">
      <c r="A174" t="s">
        <v>12</v>
      </c>
      <c r="B174" t="s">
        <v>4</v>
      </c>
      <c r="E174">
        <f t="shared" si="2"/>
        <v>0</v>
      </c>
      <c r="F174"/>
    </row>
    <row r="175" spans="1:10" hidden="1" x14ac:dyDescent="0.3">
      <c r="A175" t="s">
        <v>124</v>
      </c>
      <c r="B175" t="s">
        <v>4</v>
      </c>
      <c r="E175">
        <f t="shared" si="2"/>
        <v>0</v>
      </c>
      <c r="F175"/>
    </row>
    <row r="176" spans="1:10" hidden="1" x14ac:dyDescent="0.3">
      <c r="A176" t="s">
        <v>121</v>
      </c>
      <c r="B176" t="s">
        <v>53</v>
      </c>
      <c r="E176">
        <f t="shared" si="2"/>
        <v>0</v>
      </c>
      <c r="F176"/>
    </row>
    <row r="177" spans="1:6" hidden="1" x14ac:dyDescent="0.3">
      <c r="A177" t="e">
        <v>#N/A</v>
      </c>
      <c r="B177">
        <v>0</v>
      </c>
      <c r="E177">
        <f t="shared" si="2"/>
        <v>0</v>
      </c>
      <c r="F177"/>
    </row>
    <row r="178" spans="1:6" x14ac:dyDescent="0.3">
      <c r="E178">
        <f>SUM(E139:E171)</f>
        <v>77265000</v>
      </c>
      <c r="F178"/>
    </row>
    <row r="179" spans="1:6" hidden="1" x14ac:dyDescent="0.3">
      <c r="F179" s="57">
        <f>+F117+F171</f>
        <v>293966613</v>
      </c>
    </row>
    <row r="180" spans="1:6" x14ac:dyDescent="0.3">
      <c r="E180">
        <f>SUM(E134,E178)</f>
        <v>293966613</v>
      </c>
    </row>
  </sheetData>
  <autoFilter ref="A2:E179" xr:uid="{00000000-0009-0000-0000-000006000000}">
    <filterColumn colId="4">
      <filters>
        <filter val="10200000"/>
        <filter val="10400000"/>
        <filter val="108000"/>
        <filter val="117000"/>
        <filter val="1200000"/>
        <filter val="1284000"/>
        <filter val="1331000"/>
        <filter val="1350000"/>
        <filter val="138000"/>
        <filter val="1404000"/>
        <filter val="1500000"/>
        <filter val="16170000"/>
        <filter val="1760000"/>
        <filter val="180000"/>
        <filter val="18975000"/>
        <filter val="19215000"/>
        <filter val="2106000"/>
        <filter val="216701613"/>
        <filter val="2500000"/>
        <filter val="255000"/>
        <filter val="2660000"/>
        <filter val="28600000"/>
        <filter val="3040000"/>
        <filter val="306000"/>
        <filter val="308000"/>
        <filter val="3300000"/>
        <filter val="3610000"/>
        <filter val="3744000"/>
        <filter val="385000"/>
        <filter val="44520000"/>
        <filter val="45000"/>
        <filter val="480000"/>
        <filter val="50000"/>
        <filter val="520000"/>
        <filter val="5200000"/>
        <filter val="521613"/>
        <filter val="5250000"/>
        <filter val="550000"/>
        <filter val="560000"/>
        <filter val="5850000"/>
        <filter val="60000"/>
        <filter val="600000"/>
        <filter val="615000"/>
        <filter val="690000"/>
        <filter val="72072000"/>
        <filter val="77265000"/>
        <filter val="840000"/>
        <filter val="900000"/>
        <filter val="912000"/>
        <filter val="9450000"/>
        <filter val="95000"/>
        <filter val="990000"/>
        <filter val="thành tiền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2:F213"/>
  <sheetViews>
    <sheetView topLeftCell="A156" workbookViewId="0">
      <selection activeCell="E213" sqref="E213"/>
    </sheetView>
  </sheetViews>
  <sheetFormatPr defaultRowHeight="14.4" x14ac:dyDescent="0.3"/>
  <cols>
    <col min="1" max="1" width="33.5546875" customWidth="1"/>
    <col min="4" max="4" width="16.77734375" customWidth="1"/>
    <col min="5" max="5" width="18.21875" customWidth="1"/>
  </cols>
  <sheetData>
    <row r="2" spans="1:5" ht="18.600000000000001" x14ac:dyDescent="0.3">
      <c r="A2" s="3" t="s">
        <v>0</v>
      </c>
      <c r="B2" s="3" t="s">
        <v>1</v>
      </c>
      <c r="C2" s="4" t="s">
        <v>190</v>
      </c>
      <c r="D2" s="5" t="s">
        <v>137</v>
      </c>
      <c r="E2" s="6" t="s">
        <v>138</v>
      </c>
    </row>
    <row r="3" spans="1:5" x14ac:dyDescent="0.3">
      <c r="A3" s="7" t="s">
        <v>49</v>
      </c>
      <c r="B3" s="7" t="s">
        <v>4</v>
      </c>
      <c r="C3" s="8">
        <v>70</v>
      </c>
      <c r="D3" s="9">
        <v>18000</v>
      </c>
      <c r="E3" s="9">
        <f>C3*D3</f>
        <v>1260000</v>
      </c>
    </row>
    <row r="4" spans="1:5" hidden="1" x14ac:dyDescent="0.3">
      <c r="A4" s="7" t="s">
        <v>49</v>
      </c>
      <c r="B4" s="7" t="s">
        <v>31</v>
      </c>
      <c r="C4" s="8">
        <v>0</v>
      </c>
      <c r="D4" s="9"/>
      <c r="E4" s="9">
        <f t="shared" ref="E4:E67" si="0">C4*D4</f>
        <v>0</v>
      </c>
    </row>
    <row r="5" spans="1:5" hidden="1" x14ac:dyDescent="0.3">
      <c r="A5" s="7" t="s">
        <v>19</v>
      </c>
      <c r="B5" s="7" t="s">
        <v>50</v>
      </c>
      <c r="C5" s="8">
        <v>0</v>
      </c>
      <c r="D5" s="9"/>
      <c r="E5" s="9">
        <f t="shared" si="0"/>
        <v>0</v>
      </c>
    </row>
    <row r="6" spans="1:5" hidden="1" x14ac:dyDescent="0.3">
      <c r="A6" s="7" t="s">
        <v>51</v>
      </c>
      <c r="B6" s="7" t="s">
        <v>53</v>
      </c>
      <c r="C6" s="8">
        <v>0</v>
      </c>
      <c r="D6" s="9"/>
      <c r="E6" s="9">
        <f t="shared" si="0"/>
        <v>0</v>
      </c>
    </row>
    <row r="7" spans="1:5" hidden="1" x14ac:dyDescent="0.3">
      <c r="A7" s="7" t="s">
        <v>51</v>
      </c>
      <c r="B7" s="7" t="s">
        <v>4</v>
      </c>
      <c r="C7" s="8">
        <v>0</v>
      </c>
      <c r="D7" s="9"/>
      <c r="E7" s="9">
        <f t="shared" si="0"/>
        <v>0</v>
      </c>
    </row>
    <row r="8" spans="1:5" x14ac:dyDescent="0.3">
      <c r="A8" s="7" t="s">
        <v>28</v>
      </c>
      <c r="B8" s="7" t="s">
        <v>4</v>
      </c>
      <c r="C8" s="8">
        <v>50</v>
      </c>
      <c r="D8" s="9">
        <v>15000</v>
      </c>
      <c r="E8" s="9">
        <f t="shared" si="0"/>
        <v>750000</v>
      </c>
    </row>
    <row r="9" spans="1:5" hidden="1" x14ac:dyDescent="0.3">
      <c r="A9" s="7" t="s">
        <v>28</v>
      </c>
      <c r="B9" s="7" t="s">
        <v>31</v>
      </c>
      <c r="C9" s="8">
        <v>0</v>
      </c>
      <c r="D9" s="9"/>
      <c r="E9" s="9">
        <f t="shared" si="0"/>
        <v>0</v>
      </c>
    </row>
    <row r="10" spans="1:5" x14ac:dyDescent="0.3">
      <c r="A10" s="7" t="s">
        <v>29</v>
      </c>
      <c r="B10" s="7" t="s">
        <v>4</v>
      </c>
      <c r="C10" s="8">
        <v>1462</v>
      </c>
      <c r="D10" s="9">
        <v>28000</v>
      </c>
      <c r="E10" s="9">
        <f t="shared" si="0"/>
        <v>40936000</v>
      </c>
    </row>
    <row r="11" spans="1:5" hidden="1" x14ac:dyDescent="0.3">
      <c r="A11" s="7" t="s">
        <v>29</v>
      </c>
      <c r="B11" s="7" t="s">
        <v>150</v>
      </c>
      <c r="C11" s="8">
        <v>0</v>
      </c>
      <c r="D11" s="9"/>
      <c r="E11" s="9">
        <f t="shared" si="0"/>
        <v>0</v>
      </c>
    </row>
    <row r="12" spans="1:5" hidden="1" x14ac:dyDescent="0.3">
      <c r="A12" s="7" t="s">
        <v>56</v>
      </c>
      <c r="B12" s="7" t="s">
        <v>4</v>
      </c>
      <c r="C12" s="8">
        <v>0</v>
      </c>
      <c r="D12" s="9"/>
      <c r="E12" s="9">
        <f t="shared" si="0"/>
        <v>0</v>
      </c>
    </row>
    <row r="13" spans="1:5" x14ac:dyDescent="0.3">
      <c r="A13" s="7" t="s">
        <v>56</v>
      </c>
      <c r="B13" s="7" t="s">
        <v>31</v>
      </c>
      <c r="C13" s="8">
        <v>750</v>
      </c>
      <c r="D13" s="9">
        <v>4500</v>
      </c>
      <c r="E13" s="9">
        <f t="shared" si="0"/>
        <v>3375000</v>
      </c>
    </row>
    <row r="14" spans="1:5" x14ac:dyDescent="0.3">
      <c r="A14" s="7" t="s">
        <v>57</v>
      </c>
      <c r="B14" s="7" t="s">
        <v>4</v>
      </c>
      <c r="C14" s="8">
        <v>730</v>
      </c>
      <c r="D14" s="9">
        <v>21000</v>
      </c>
      <c r="E14" s="9">
        <f t="shared" si="0"/>
        <v>15330000</v>
      </c>
    </row>
    <row r="15" spans="1:5" hidden="1" x14ac:dyDescent="0.3">
      <c r="A15" s="7" t="s">
        <v>57</v>
      </c>
      <c r="B15" s="7" t="s">
        <v>31</v>
      </c>
      <c r="C15" s="8">
        <v>0</v>
      </c>
      <c r="D15" s="9"/>
      <c r="E15" s="9">
        <f t="shared" si="0"/>
        <v>0</v>
      </c>
    </row>
    <row r="16" spans="1:5" x14ac:dyDescent="0.3">
      <c r="A16" s="7" t="s">
        <v>32</v>
      </c>
      <c r="B16" s="7" t="s">
        <v>4</v>
      </c>
      <c r="C16" s="8">
        <v>170</v>
      </c>
      <c r="D16" s="9">
        <v>19000</v>
      </c>
      <c r="E16" s="9">
        <f t="shared" si="0"/>
        <v>3230000</v>
      </c>
    </row>
    <row r="17" spans="1:5" hidden="1" x14ac:dyDescent="0.3">
      <c r="A17" s="7" t="s">
        <v>32</v>
      </c>
      <c r="B17" s="7" t="s">
        <v>31</v>
      </c>
      <c r="C17" s="8">
        <v>0</v>
      </c>
      <c r="D17" s="9"/>
      <c r="E17" s="9">
        <f t="shared" si="0"/>
        <v>0</v>
      </c>
    </row>
    <row r="18" spans="1:5" x14ac:dyDescent="0.3">
      <c r="A18" s="7" t="s">
        <v>34</v>
      </c>
      <c r="B18" s="7" t="s">
        <v>4</v>
      </c>
      <c r="C18" s="8">
        <v>185</v>
      </c>
      <c r="D18" s="9">
        <v>15000</v>
      </c>
      <c r="E18" s="9">
        <f t="shared" si="0"/>
        <v>2775000</v>
      </c>
    </row>
    <row r="19" spans="1:5" hidden="1" x14ac:dyDescent="0.3">
      <c r="A19" s="7" t="s">
        <v>34</v>
      </c>
      <c r="B19" s="7" t="s">
        <v>31</v>
      </c>
      <c r="C19" s="8">
        <v>0</v>
      </c>
      <c r="D19" s="9"/>
      <c r="E19" s="9">
        <f t="shared" si="0"/>
        <v>0</v>
      </c>
    </row>
    <row r="20" spans="1:5" hidden="1" x14ac:dyDescent="0.3">
      <c r="A20" s="7" t="s">
        <v>60</v>
      </c>
      <c r="B20" s="7" t="s">
        <v>4</v>
      </c>
      <c r="C20" s="8">
        <v>0</v>
      </c>
      <c r="D20" s="9"/>
      <c r="E20" s="9">
        <f t="shared" si="0"/>
        <v>0</v>
      </c>
    </row>
    <row r="21" spans="1:5" hidden="1" x14ac:dyDescent="0.3">
      <c r="A21" s="7" t="s">
        <v>60</v>
      </c>
      <c r="B21" s="7" t="s">
        <v>50</v>
      </c>
      <c r="C21" s="8">
        <v>0</v>
      </c>
      <c r="D21" s="9"/>
      <c r="E21" s="9">
        <f t="shared" si="0"/>
        <v>0</v>
      </c>
    </row>
    <row r="22" spans="1:5" x14ac:dyDescent="0.3">
      <c r="A22" s="7" t="s">
        <v>6</v>
      </c>
      <c r="B22" s="7" t="s">
        <v>4</v>
      </c>
      <c r="C22" s="8">
        <v>45</v>
      </c>
      <c r="D22" s="9">
        <v>11000</v>
      </c>
      <c r="E22" s="9">
        <f t="shared" si="0"/>
        <v>495000</v>
      </c>
    </row>
    <row r="23" spans="1:5" hidden="1" x14ac:dyDescent="0.3">
      <c r="A23" s="7" t="s">
        <v>62</v>
      </c>
      <c r="B23" s="7" t="s">
        <v>4</v>
      </c>
      <c r="C23" s="8">
        <v>0</v>
      </c>
      <c r="D23" s="9"/>
      <c r="E23" s="9">
        <f t="shared" si="0"/>
        <v>0</v>
      </c>
    </row>
    <row r="24" spans="1:5" hidden="1" x14ac:dyDescent="0.3">
      <c r="A24" s="7" t="s">
        <v>62</v>
      </c>
      <c r="B24" s="7" t="s">
        <v>31</v>
      </c>
      <c r="C24" s="8">
        <v>0</v>
      </c>
      <c r="D24" s="9"/>
      <c r="E24" s="9">
        <f t="shared" si="0"/>
        <v>0</v>
      </c>
    </row>
    <row r="25" spans="1:5" hidden="1" x14ac:dyDescent="0.3">
      <c r="A25" s="7" t="s">
        <v>64</v>
      </c>
      <c r="B25" s="7" t="s">
        <v>4</v>
      </c>
      <c r="C25" s="8">
        <v>0</v>
      </c>
      <c r="D25" s="9"/>
      <c r="E25" s="9">
        <f t="shared" si="0"/>
        <v>0</v>
      </c>
    </row>
    <row r="26" spans="1:5" hidden="1" x14ac:dyDescent="0.3">
      <c r="A26" s="7" t="s">
        <v>64</v>
      </c>
      <c r="B26" s="7" t="s">
        <v>31</v>
      </c>
      <c r="C26" s="8">
        <v>0</v>
      </c>
      <c r="D26" s="9"/>
      <c r="E26" s="9">
        <f t="shared" si="0"/>
        <v>0</v>
      </c>
    </row>
    <row r="27" spans="1:5" hidden="1" x14ac:dyDescent="0.3">
      <c r="A27" s="7" t="s">
        <v>64</v>
      </c>
      <c r="B27" s="7" t="s">
        <v>65</v>
      </c>
      <c r="C27" s="8">
        <v>0</v>
      </c>
      <c r="D27" s="9"/>
      <c r="E27" s="9">
        <f t="shared" si="0"/>
        <v>0</v>
      </c>
    </row>
    <row r="28" spans="1:5" x14ac:dyDescent="0.3">
      <c r="A28" s="7" t="s">
        <v>22</v>
      </c>
      <c r="B28" s="7" t="s">
        <v>4</v>
      </c>
      <c r="C28" s="8">
        <v>1040</v>
      </c>
      <c r="D28" s="9">
        <v>7500</v>
      </c>
      <c r="E28" s="9">
        <f t="shared" si="0"/>
        <v>7800000</v>
      </c>
    </row>
    <row r="29" spans="1:5" hidden="1" x14ac:dyDescent="0.3">
      <c r="A29" s="7" t="s">
        <v>24</v>
      </c>
      <c r="B29" s="7" t="s">
        <v>66</v>
      </c>
      <c r="C29" s="8">
        <v>0</v>
      </c>
      <c r="D29" s="9"/>
      <c r="E29" s="9">
        <f t="shared" si="0"/>
        <v>0</v>
      </c>
    </row>
    <row r="30" spans="1:5" x14ac:dyDescent="0.3">
      <c r="A30" s="7" t="s">
        <v>24</v>
      </c>
      <c r="B30" s="7" t="s">
        <v>4</v>
      </c>
      <c r="C30" s="8">
        <v>208</v>
      </c>
      <c r="D30" s="9">
        <v>11000</v>
      </c>
      <c r="E30" s="9">
        <f t="shared" si="0"/>
        <v>2288000</v>
      </c>
    </row>
    <row r="31" spans="1:5" hidden="1" x14ac:dyDescent="0.3">
      <c r="A31" s="7" t="s">
        <v>24</v>
      </c>
      <c r="B31" s="7" t="s">
        <v>31</v>
      </c>
      <c r="C31" s="8">
        <v>0</v>
      </c>
      <c r="D31" s="58"/>
      <c r="E31" s="9">
        <f t="shared" si="0"/>
        <v>0</v>
      </c>
    </row>
    <row r="32" spans="1:5" hidden="1" x14ac:dyDescent="0.3">
      <c r="A32" s="7" t="s">
        <v>75</v>
      </c>
      <c r="B32" s="7" t="s">
        <v>4</v>
      </c>
      <c r="C32" s="8">
        <v>0</v>
      </c>
      <c r="D32" s="9"/>
      <c r="E32" s="9">
        <f t="shared" si="0"/>
        <v>0</v>
      </c>
    </row>
    <row r="33" spans="1:5" x14ac:dyDescent="0.3">
      <c r="A33" s="7" t="s">
        <v>8</v>
      </c>
      <c r="B33" s="7" t="s">
        <v>4</v>
      </c>
      <c r="C33" s="8">
        <v>520</v>
      </c>
      <c r="D33" s="9">
        <v>5200</v>
      </c>
      <c r="E33" s="9">
        <f t="shared" si="0"/>
        <v>2704000</v>
      </c>
    </row>
    <row r="34" spans="1:5" hidden="1" x14ac:dyDescent="0.3">
      <c r="A34" s="7" t="s">
        <v>10</v>
      </c>
      <c r="B34" s="7" t="s">
        <v>4</v>
      </c>
      <c r="C34" s="8">
        <v>0</v>
      </c>
      <c r="D34" s="9"/>
      <c r="E34" s="9">
        <f t="shared" si="0"/>
        <v>0</v>
      </c>
    </row>
    <row r="35" spans="1:5" hidden="1" x14ac:dyDescent="0.3">
      <c r="A35" s="7" t="s">
        <v>10</v>
      </c>
      <c r="B35" s="7" t="s">
        <v>84</v>
      </c>
      <c r="C35" s="8">
        <v>0</v>
      </c>
      <c r="D35" s="9"/>
      <c r="E35" s="9">
        <f t="shared" si="0"/>
        <v>0</v>
      </c>
    </row>
    <row r="36" spans="1:5" x14ac:dyDescent="0.3">
      <c r="A36" s="7" t="s">
        <v>11</v>
      </c>
      <c r="B36" s="7" t="s">
        <v>4</v>
      </c>
      <c r="C36" s="8">
        <v>48</v>
      </c>
      <c r="D36" s="9">
        <v>15000</v>
      </c>
      <c r="E36" s="9">
        <f t="shared" si="0"/>
        <v>720000</v>
      </c>
    </row>
    <row r="37" spans="1:5" hidden="1" x14ac:dyDescent="0.3">
      <c r="A37" s="7" t="s">
        <v>11</v>
      </c>
      <c r="B37" s="7" t="s">
        <v>84</v>
      </c>
      <c r="C37" s="8">
        <v>0</v>
      </c>
      <c r="D37" s="9"/>
      <c r="E37" s="9">
        <f t="shared" si="0"/>
        <v>0</v>
      </c>
    </row>
    <row r="38" spans="1:5" x14ac:dyDescent="0.3">
      <c r="A38" s="7" t="s">
        <v>15</v>
      </c>
      <c r="B38" s="7" t="s">
        <v>4</v>
      </c>
      <c r="C38" s="8">
        <v>220</v>
      </c>
      <c r="D38" s="9">
        <v>25000</v>
      </c>
      <c r="E38" s="9">
        <f t="shared" si="0"/>
        <v>5500000</v>
      </c>
    </row>
    <row r="39" spans="1:5" hidden="1" x14ac:dyDescent="0.3">
      <c r="A39" s="7" t="s">
        <v>15</v>
      </c>
      <c r="B39" s="7" t="s">
        <v>50</v>
      </c>
      <c r="C39" s="8">
        <v>0</v>
      </c>
      <c r="D39" s="9"/>
      <c r="E39" s="9">
        <f t="shared" si="0"/>
        <v>0</v>
      </c>
    </row>
    <row r="40" spans="1:5" hidden="1" x14ac:dyDescent="0.3">
      <c r="A40" s="7" t="s">
        <v>15</v>
      </c>
      <c r="B40" s="7" t="s">
        <v>164</v>
      </c>
      <c r="C40" s="8">
        <v>0</v>
      </c>
      <c r="D40" s="9"/>
      <c r="E40" s="9">
        <f t="shared" si="0"/>
        <v>0</v>
      </c>
    </row>
    <row r="41" spans="1:5" x14ac:dyDescent="0.3">
      <c r="A41" s="7" t="s">
        <v>18</v>
      </c>
      <c r="B41" s="7" t="s">
        <v>4</v>
      </c>
      <c r="C41" s="8">
        <v>300</v>
      </c>
      <c r="D41" s="10">
        <v>19000</v>
      </c>
      <c r="E41" s="9">
        <f t="shared" si="0"/>
        <v>5700000</v>
      </c>
    </row>
    <row r="42" spans="1:5" hidden="1" x14ac:dyDescent="0.3">
      <c r="A42" s="7" t="s">
        <v>18</v>
      </c>
      <c r="B42" s="7" t="s">
        <v>50</v>
      </c>
      <c r="C42" s="8">
        <v>0</v>
      </c>
      <c r="D42" s="10"/>
      <c r="E42" s="9">
        <f t="shared" si="0"/>
        <v>0</v>
      </c>
    </row>
    <row r="43" spans="1:5" x14ac:dyDescent="0.3">
      <c r="A43" s="7" t="s">
        <v>92</v>
      </c>
      <c r="B43" s="7" t="s">
        <v>31</v>
      </c>
      <c r="C43" s="8">
        <v>20</v>
      </c>
      <c r="D43" s="10">
        <v>16000</v>
      </c>
      <c r="E43" s="9">
        <f t="shared" si="0"/>
        <v>320000</v>
      </c>
    </row>
    <row r="44" spans="1:5" x14ac:dyDescent="0.3">
      <c r="A44" s="7" t="s">
        <v>39</v>
      </c>
      <c r="B44" s="7" t="s">
        <v>4</v>
      </c>
      <c r="C44" s="8">
        <v>132.5</v>
      </c>
      <c r="D44" s="10">
        <v>12000</v>
      </c>
      <c r="E44" s="9">
        <f t="shared" si="0"/>
        <v>1590000</v>
      </c>
    </row>
    <row r="45" spans="1:5" hidden="1" x14ac:dyDescent="0.3">
      <c r="A45" s="7" t="s">
        <v>39</v>
      </c>
      <c r="B45" s="7" t="s">
        <v>50</v>
      </c>
      <c r="C45" s="8">
        <v>0</v>
      </c>
      <c r="D45" s="10"/>
      <c r="E45" s="9">
        <f t="shared" si="0"/>
        <v>0</v>
      </c>
    </row>
    <row r="46" spans="1:5" x14ac:dyDescent="0.3">
      <c r="A46" s="7" t="s">
        <v>100</v>
      </c>
      <c r="B46" s="7" t="s">
        <v>4</v>
      </c>
      <c r="C46" s="8">
        <v>52</v>
      </c>
      <c r="D46" s="10">
        <v>7000</v>
      </c>
      <c r="E46" s="9">
        <f t="shared" si="0"/>
        <v>364000</v>
      </c>
    </row>
    <row r="47" spans="1:5" x14ac:dyDescent="0.3">
      <c r="A47" s="7" t="s">
        <v>43</v>
      </c>
      <c r="B47" s="7" t="s">
        <v>4</v>
      </c>
      <c r="C47" s="8">
        <v>81</v>
      </c>
      <c r="D47" s="10">
        <v>42000</v>
      </c>
      <c r="E47" s="9">
        <f t="shared" si="0"/>
        <v>3402000</v>
      </c>
    </row>
    <row r="48" spans="1:5" hidden="1" x14ac:dyDescent="0.3">
      <c r="A48" s="7" t="s">
        <v>43</v>
      </c>
      <c r="B48" s="7" t="s">
        <v>84</v>
      </c>
      <c r="C48" s="8">
        <v>0</v>
      </c>
      <c r="D48" s="10"/>
      <c r="E48" s="9">
        <f t="shared" si="0"/>
        <v>0</v>
      </c>
    </row>
    <row r="49" spans="1:5" x14ac:dyDescent="0.3">
      <c r="A49" s="7" t="s">
        <v>44</v>
      </c>
      <c r="B49" s="7" t="s">
        <v>4</v>
      </c>
      <c r="C49" s="8">
        <v>97</v>
      </c>
      <c r="D49" s="10">
        <v>22000</v>
      </c>
      <c r="E49" s="9">
        <f t="shared" si="0"/>
        <v>2134000</v>
      </c>
    </row>
    <row r="50" spans="1:5" hidden="1" x14ac:dyDescent="0.3">
      <c r="A50" s="7" t="s">
        <v>44</v>
      </c>
      <c r="B50" s="7" t="s">
        <v>84</v>
      </c>
      <c r="C50" s="8">
        <v>0</v>
      </c>
      <c r="D50" s="10"/>
      <c r="E50" s="9">
        <f t="shared" si="0"/>
        <v>0</v>
      </c>
    </row>
    <row r="51" spans="1:5" x14ac:dyDescent="0.3">
      <c r="A51" s="7" t="s">
        <v>45</v>
      </c>
      <c r="B51" s="7" t="s">
        <v>4</v>
      </c>
      <c r="C51" s="8">
        <v>73</v>
      </c>
      <c r="D51" s="10">
        <v>30000</v>
      </c>
      <c r="E51" s="9">
        <f t="shared" si="0"/>
        <v>2190000</v>
      </c>
    </row>
    <row r="52" spans="1:5" hidden="1" x14ac:dyDescent="0.3">
      <c r="A52" s="7" t="s">
        <v>45</v>
      </c>
      <c r="B52" s="7" t="s">
        <v>84</v>
      </c>
      <c r="C52" s="8">
        <v>0</v>
      </c>
      <c r="D52" s="10"/>
      <c r="E52" s="9">
        <f t="shared" si="0"/>
        <v>0</v>
      </c>
    </row>
    <row r="53" spans="1:5" hidden="1" x14ac:dyDescent="0.3">
      <c r="A53" s="7" t="s">
        <v>12</v>
      </c>
      <c r="B53" s="7" t="s">
        <v>4</v>
      </c>
      <c r="C53" s="8">
        <v>0</v>
      </c>
      <c r="D53" s="10"/>
      <c r="E53" s="9">
        <f t="shared" si="0"/>
        <v>0</v>
      </c>
    </row>
    <row r="54" spans="1:5" hidden="1" x14ac:dyDescent="0.3">
      <c r="A54" s="7" t="s">
        <v>116</v>
      </c>
      <c r="B54" s="7" t="s">
        <v>50</v>
      </c>
      <c r="C54" s="8">
        <v>0</v>
      </c>
      <c r="D54" s="10"/>
      <c r="E54" s="9">
        <f t="shared" si="0"/>
        <v>0</v>
      </c>
    </row>
    <row r="55" spans="1:5" x14ac:dyDescent="0.3">
      <c r="A55" s="7" t="s">
        <v>117</v>
      </c>
      <c r="B55" s="7" t="s">
        <v>4</v>
      </c>
      <c r="C55" s="8">
        <v>690</v>
      </c>
      <c r="D55" s="10">
        <v>21000</v>
      </c>
      <c r="E55" s="9">
        <f t="shared" si="0"/>
        <v>14490000</v>
      </c>
    </row>
    <row r="56" spans="1:5" x14ac:dyDescent="0.3">
      <c r="A56" s="7" t="s">
        <v>17</v>
      </c>
      <c r="B56" s="7" t="s">
        <v>4</v>
      </c>
      <c r="C56" s="8">
        <v>31.5</v>
      </c>
      <c r="D56" s="10">
        <v>38000</v>
      </c>
      <c r="E56" s="9">
        <f t="shared" si="0"/>
        <v>1197000</v>
      </c>
    </row>
    <row r="57" spans="1:5" x14ac:dyDescent="0.3">
      <c r="A57" s="7" t="s">
        <v>17</v>
      </c>
      <c r="B57" s="7" t="s">
        <v>147</v>
      </c>
      <c r="C57" s="8">
        <v>6</v>
      </c>
      <c r="D57" s="10">
        <v>11400</v>
      </c>
      <c r="E57" s="9">
        <f t="shared" si="0"/>
        <v>68400</v>
      </c>
    </row>
    <row r="58" spans="1:5" hidden="1" x14ac:dyDescent="0.3">
      <c r="A58" s="7" t="s">
        <v>118</v>
      </c>
      <c r="B58" s="7" t="s">
        <v>4</v>
      </c>
      <c r="C58" s="8">
        <v>0</v>
      </c>
      <c r="D58" s="10"/>
      <c r="E58" s="9">
        <f t="shared" si="0"/>
        <v>0</v>
      </c>
    </row>
    <row r="59" spans="1:5" x14ac:dyDescent="0.3">
      <c r="A59" s="7" t="s">
        <v>41</v>
      </c>
      <c r="B59" s="7" t="s">
        <v>4</v>
      </c>
      <c r="C59" s="8">
        <f>1980</f>
        <v>1980</v>
      </c>
      <c r="D59" s="10">
        <v>28600</v>
      </c>
      <c r="E59" s="9">
        <f t="shared" si="0"/>
        <v>56628000</v>
      </c>
    </row>
    <row r="60" spans="1:5" hidden="1" x14ac:dyDescent="0.3">
      <c r="A60" s="7" t="s">
        <v>3</v>
      </c>
      <c r="B60" s="7" t="s">
        <v>4</v>
      </c>
      <c r="C60" s="8">
        <v>0</v>
      </c>
      <c r="D60" s="10"/>
      <c r="E60" s="9">
        <f t="shared" si="0"/>
        <v>0</v>
      </c>
    </row>
    <row r="61" spans="1:5" x14ac:dyDescent="0.3">
      <c r="A61" s="7" t="s">
        <v>74</v>
      </c>
      <c r="B61" s="7" t="s">
        <v>4</v>
      </c>
      <c r="C61" s="8">
        <v>7</v>
      </c>
      <c r="D61" s="10">
        <v>32000</v>
      </c>
      <c r="E61" s="9">
        <f t="shared" si="0"/>
        <v>224000</v>
      </c>
    </row>
    <row r="62" spans="1:5" hidden="1" x14ac:dyDescent="0.3">
      <c r="A62" s="7" t="s">
        <v>74</v>
      </c>
      <c r="B62" s="7" t="s">
        <v>31</v>
      </c>
      <c r="C62" s="8">
        <v>0</v>
      </c>
      <c r="D62" s="10"/>
      <c r="E62" s="9">
        <f t="shared" si="0"/>
        <v>0</v>
      </c>
    </row>
    <row r="63" spans="1:5" hidden="1" x14ac:dyDescent="0.3">
      <c r="A63" s="7" t="s">
        <v>83</v>
      </c>
      <c r="B63" s="7" t="s">
        <v>4</v>
      </c>
      <c r="C63" s="8">
        <v>0</v>
      </c>
      <c r="D63" s="10"/>
      <c r="E63" s="9">
        <f t="shared" si="0"/>
        <v>0</v>
      </c>
    </row>
    <row r="64" spans="1:5" hidden="1" x14ac:dyDescent="0.3">
      <c r="A64" s="7" t="s">
        <v>78</v>
      </c>
      <c r="B64" s="7" t="s">
        <v>4</v>
      </c>
      <c r="C64" s="8">
        <v>0</v>
      </c>
      <c r="D64" s="10"/>
      <c r="E64" s="9">
        <f t="shared" si="0"/>
        <v>0</v>
      </c>
    </row>
    <row r="65" spans="1:5" hidden="1" x14ac:dyDescent="0.3">
      <c r="A65" s="7" t="s">
        <v>46</v>
      </c>
      <c r="B65" s="7" t="s">
        <v>31</v>
      </c>
      <c r="C65" s="8">
        <v>0</v>
      </c>
      <c r="D65" s="10"/>
      <c r="E65" s="9">
        <f t="shared" si="0"/>
        <v>0</v>
      </c>
    </row>
    <row r="66" spans="1:5" x14ac:dyDescent="0.3">
      <c r="A66" s="7" t="s">
        <v>90</v>
      </c>
      <c r="B66" s="7" t="s">
        <v>4</v>
      </c>
      <c r="C66" s="8">
        <v>9.5</v>
      </c>
      <c r="D66" s="10">
        <v>30000</v>
      </c>
      <c r="E66" s="9">
        <f t="shared" si="0"/>
        <v>285000</v>
      </c>
    </row>
    <row r="67" spans="1:5" hidden="1" x14ac:dyDescent="0.3">
      <c r="A67" s="7" t="s">
        <v>90</v>
      </c>
      <c r="B67" s="7" t="s">
        <v>147</v>
      </c>
      <c r="C67" s="8">
        <v>0</v>
      </c>
      <c r="D67" s="10"/>
      <c r="E67" s="9">
        <f t="shared" si="0"/>
        <v>0</v>
      </c>
    </row>
    <row r="68" spans="1:5" hidden="1" x14ac:dyDescent="0.3">
      <c r="A68" s="7" t="s">
        <v>90</v>
      </c>
      <c r="B68" s="7" t="s">
        <v>148</v>
      </c>
      <c r="C68" s="8">
        <v>0</v>
      </c>
      <c r="D68" s="10"/>
      <c r="E68" s="9">
        <f t="shared" ref="E68:E131" si="1">C68*D68</f>
        <v>0</v>
      </c>
    </row>
    <row r="69" spans="1:5" hidden="1" x14ac:dyDescent="0.3">
      <c r="A69" s="7" t="s">
        <v>158</v>
      </c>
      <c r="B69" s="7" t="s">
        <v>4</v>
      </c>
      <c r="C69" s="8">
        <v>0</v>
      </c>
      <c r="D69" s="10"/>
      <c r="E69" s="9">
        <f t="shared" si="1"/>
        <v>0</v>
      </c>
    </row>
    <row r="70" spans="1:5" hidden="1" x14ac:dyDescent="0.3">
      <c r="A70" s="7" t="s">
        <v>158</v>
      </c>
      <c r="B70" s="7" t="s">
        <v>31</v>
      </c>
      <c r="C70" s="8">
        <v>0</v>
      </c>
      <c r="D70" s="10"/>
      <c r="E70" s="9">
        <f t="shared" si="1"/>
        <v>0</v>
      </c>
    </row>
    <row r="71" spans="1:5" hidden="1" x14ac:dyDescent="0.3">
      <c r="A71" s="7" t="s">
        <v>70</v>
      </c>
      <c r="B71" s="7" t="s">
        <v>4</v>
      </c>
      <c r="C71" s="8">
        <v>0</v>
      </c>
      <c r="D71" s="10"/>
      <c r="E71" s="9">
        <f t="shared" si="1"/>
        <v>0</v>
      </c>
    </row>
    <row r="72" spans="1:5" hidden="1" x14ac:dyDescent="0.3">
      <c r="A72" s="7" t="s">
        <v>70</v>
      </c>
      <c r="B72" s="7" t="s">
        <v>71</v>
      </c>
      <c r="C72" s="8">
        <v>0</v>
      </c>
      <c r="D72" s="10"/>
      <c r="E72" s="9">
        <f t="shared" si="1"/>
        <v>0</v>
      </c>
    </row>
    <row r="73" spans="1:5" x14ac:dyDescent="0.3">
      <c r="A73" s="7" t="s">
        <v>37</v>
      </c>
      <c r="B73" s="7" t="s">
        <v>4</v>
      </c>
      <c r="C73" s="8">
        <v>8</v>
      </c>
      <c r="D73" s="10">
        <v>26000</v>
      </c>
      <c r="E73" s="9">
        <f t="shared" si="1"/>
        <v>208000</v>
      </c>
    </row>
    <row r="74" spans="1:5" hidden="1" x14ac:dyDescent="0.3">
      <c r="A74" s="7" t="s">
        <v>37</v>
      </c>
      <c r="B74" s="7" t="s">
        <v>150</v>
      </c>
      <c r="C74" s="8">
        <v>0</v>
      </c>
      <c r="D74" s="10"/>
      <c r="E74" s="9">
        <f t="shared" si="1"/>
        <v>0</v>
      </c>
    </row>
    <row r="75" spans="1:5" hidden="1" x14ac:dyDescent="0.3">
      <c r="A75" s="7" t="s">
        <v>37</v>
      </c>
      <c r="B75" s="7" t="s">
        <v>151</v>
      </c>
      <c r="C75" s="8">
        <v>0</v>
      </c>
      <c r="D75" s="10"/>
      <c r="E75" s="9">
        <f t="shared" si="1"/>
        <v>0</v>
      </c>
    </row>
    <row r="76" spans="1:5" hidden="1" x14ac:dyDescent="0.3">
      <c r="A76" s="7" t="s">
        <v>72</v>
      </c>
      <c r="B76" s="7" t="s">
        <v>4</v>
      </c>
      <c r="C76" s="8">
        <v>0</v>
      </c>
      <c r="D76" s="10"/>
      <c r="E76" s="9">
        <f t="shared" si="1"/>
        <v>0</v>
      </c>
    </row>
    <row r="77" spans="1:5" hidden="1" x14ac:dyDescent="0.3">
      <c r="A77" s="7" t="s">
        <v>72</v>
      </c>
      <c r="B77" s="7" t="s">
        <v>73</v>
      </c>
      <c r="C77" s="8">
        <v>0</v>
      </c>
      <c r="D77" s="10"/>
      <c r="E77" s="9">
        <f t="shared" si="1"/>
        <v>0</v>
      </c>
    </row>
    <row r="78" spans="1:5" hidden="1" x14ac:dyDescent="0.3">
      <c r="A78" s="7" t="s">
        <v>40</v>
      </c>
      <c r="B78" s="7" t="s">
        <v>66</v>
      </c>
      <c r="C78" s="8">
        <v>0</v>
      </c>
      <c r="D78" s="10"/>
      <c r="E78" s="9">
        <f t="shared" si="1"/>
        <v>0</v>
      </c>
    </row>
    <row r="79" spans="1:5" hidden="1" x14ac:dyDescent="0.3">
      <c r="A79" s="7" t="s">
        <v>40</v>
      </c>
      <c r="B79" s="7" t="s">
        <v>4</v>
      </c>
      <c r="C79" s="8">
        <v>0</v>
      </c>
      <c r="D79" s="10"/>
      <c r="E79" s="9">
        <f t="shared" si="1"/>
        <v>0</v>
      </c>
    </row>
    <row r="80" spans="1:5" hidden="1" x14ac:dyDescent="0.3">
      <c r="A80" s="7" t="s">
        <v>68</v>
      </c>
      <c r="B80" s="7" t="s">
        <v>4</v>
      </c>
      <c r="C80" s="8">
        <v>0</v>
      </c>
      <c r="D80" s="10"/>
      <c r="E80" s="9">
        <f t="shared" si="1"/>
        <v>0</v>
      </c>
    </row>
    <row r="81" spans="1:5" hidden="1" x14ac:dyDescent="0.3">
      <c r="A81" s="7" t="s">
        <v>68</v>
      </c>
      <c r="B81" s="7" t="s">
        <v>31</v>
      </c>
      <c r="C81" s="8">
        <v>0</v>
      </c>
      <c r="D81" s="10"/>
      <c r="E81" s="9">
        <f t="shared" si="1"/>
        <v>0</v>
      </c>
    </row>
    <row r="82" spans="1:5" hidden="1" x14ac:dyDescent="0.3">
      <c r="A82" s="7" t="s">
        <v>89</v>
      </c>
      <c r="B82" s="7" t="s">
        <v>53</v>
      </c>
      <c r="C82" s="8">
        <v>0</v>
      </c>
      <c r="D82" s="10"/>
      <c r="E82" s="9">
        <f t="shared" si="1"/>
        <v>0</v>
      </c>
    </row>
    <row r="83" spans="1:5" hidden="1" x14ac:dyDescent="0.3">
      <c r="A83" s="7" t="s">
        <v>89</v>
      </c>
      <c r="B83" s="7" t="s">
        <v>4</v>
      </c>
      <c r="C83" s="8">
        <v>0</v>
      </c>
      <c r="D83" s="10"/>
      <c r="E83" s="9">
        <f t="shared" si="1"/>
        <v>0</v>
      </c>
    </row>
    <row r="84" spans="1:5" hidden="1" x14ac:dyDescent="0.3">
      <c r="A84" s="7" t="s">
        <v>7</v>
      </c>
      <c r="B84" s="7" t="s">
        <v>4</v>
      </c>
      <c r="C84" s="8">
        <v>0</v>
      </c>
      <c r="D84" s="10"/>
      <c r="E84" s="9">
        <f t="shared" si="1"/>
        <v>0</v>
      </c>
    </row>
    <row r="85" spans="1:5" hidden="1" x14ac:dyDescent="0.3">
      <c r="A85" s="7" t="s">
        <v>7</v>
      </c>
      <c r="B85" s="7" t="s">
        <v>84</v>
      </c>
      <c r="C85" s="8">
        <v>0</v>
      </c>
      <c r="D85" s="10"/>
      <c r="E85" s="9">
        <f t="shared" si="1"/>
        <v>0</v>
      </c>
    </row>
    <row r="86" spans="1:5" hidden="1" x14ac:dyDescent="0.3">
      <c r="A86" s="7" t="s">
        <v>42</v>
      </c>
      <c r="B86" s="7" t="s">
        <v>4</v>
      </c>
      <c r="C86" s="8">
        <v>0</v>
      </c>
      <c r="D86" s="10"/>
      <c r="E86" s="9">
        <f t="shared" si="1"/>
        <v>0</v>
      </c>
    </row>
    <row r="87" spans="1:5" hidden="1" x14ac:dyDescent="0.3">
      <c r="A87" s="7" t="s">
        <v>42</v>
      </c>
      <c r="B87" s="7" t="s">
        <v>31</v>
      </c>
      <c r="C87" s="8">
        <v>0</v>
      </c>
      <c r="D87" s="10"/>
      <c r="E87" s="9">
        <f t="shared" si="1"/>
        <v>0</v>
      </c>
    </row>
    <row r="88" spans="1:5" hidden="1" x14ac:dyDescent="0.3">
      <c r="A88" s="7" t="s">
        <v>59</v>
      </c>
      <c r="B88" s="7" t="s">
        <v>4</v>
      </c>
      <c r="C88" s="8">
        <v>0</v>
      </c>
      <c r="D88" s="10"/>
      <c r="E88" s="9">
        <f t="shared" si="1"/>
        <v>0</v>
      </c>
    </row>
    <row r="89" spans="1:5" hidden="1" x14ac:dyDescent="0.3">
      <c r="A89" s="7" t="s">
        <v>126</v>
      </c>
      <c r="B89" s="7" t="s">
        <v>4</v>
      </c>
      <c r="C89" s="8">
        <v>0</v>
      </c>
      <c r="D89" s="10"/>
      <c r="E89" s="9">
        <f t="shared" si="1"/>
        <v>0</v>
      </c>
    </row>
    <row r="90" spans="1:5" hidden="1" x14ac:dyDescent="0.3">
      <c r="A90" s="7" t="s">
        <v>126</v>
      </c>
      <c r="B90" s="7" t="s">
        <v>73</v>
      </c>
      <c r="C90" s="8">
        <v>0</v>
      </c>
      <c r="D90" s="10"/>
      <c r="E90" s="9">
        <f t="shared" si="1"/>
        <v>0</v>
      </c>
    </row>
    <row r="91" spans="1:5" hidden="1" x14ac:dyDescent="0.3">
      <c r="A91" s="7" t="s">
        <v>58</v>
      </c>
      <c r="B91" s="7" t="s">
        <v>4</v>
      </c>
      <c r="C91" s="8">
        <v>0</v>
      </c>
      <c r="D91" s="10"/>
      <c r="E91" s="9">
        <f t="shared" si="1"/>
        <v>0</v>
      </c>
    </row>
    <row r="92" spans="1:5" hidden="1" x14ac:dyDescent="0.3">
      <c r="A92" s="7" t="s">
        <v>77</v>
      </c>
      <c r="B92" s="7" t="s">
        <v>66</v>
      </c>
      <c r="C92" s="8">
        <v>0</v>
      </c>
      <c r="D92" s="10"/>
      <c r="E92" s="9">
        <f t="shared" si="1"/>
        <v>0</v>
      </c>
    </row>
    <row r="93" spans="1:5" hidden="1" x14ac:dyDescent="0.3">
      <c r="A93" s="7" t="s">
        <v>101</v>
      </c>
      <c r="B93" s="7" t="s">
        <v>53</v>
      </c>
      <c r="C93" s="8">
        <v>0</v>
      </c>
      <c r="D93" s="10"/>
      <c r="E93" s="9">
        <f t="shared" si="1"/>
        <v>0</v>
      </c>
    </row>
    <row r="94" spans="1:5" hidden="1" x14ac:dyDescent="0.3">
      <c r="A94" s="7" t="s">
        <v>101</v>
      </c>
      <c r="B94" s="7" t="s">
        <v>4</v>
      </c>
      <c r="C94" s="8">
        <v>0</v>
      </c>
      <c r="D94" s="10"/>
      <c r="E94" s="9">
        <f t="shared" si="1"/>
        <v>0</v>
      </c>
    </row>
    <row r="95" spans="1:5" x14ac:dyDescent="0.3">
      <c r="A95" s="7" t="s">
        <v>5</v>
      </c>
      <c r="B95" s="7" t="s">
        <v>4</v>
      </c>
      <c r="C95" s="8">
        <v>10</v>
      </c>
      <c r="D95" s="10">
        <v>12000</v>
      </c>
      <c r="E95" s="9">
        <f t="shared" si="1"/>
        <v>120000</v>
      </c>
    </row>
    <row r="96" spans="1:5" hidden="1" x14ac:dyDescent="0.3">
      <c r="A96" s="7" t="s">
        <v>9</v>
      </c>
      <c r="B96" s="7" t="s">
        <v>4</v>
      </c>
      <c r="C96" s="8">
        <v>0</v>
      </c>
      <c r="D96" s="10"/>
      <c r="E96" s="9">
        <f t="shared" si="1"/>
        <v>0</v>
      </c>
    </row>
    <row r="97" spans="1:5" x14ac:dyDescent="0.3">
      <c r="A97" s="7" t="s">
        <v>16</v>
      </c>
      <c r="B97" s="7" t="s">
        <v>4</v>
      </c>
      <c r="C97" s="8">
        <v>40</v>
      </c>
      <c r="D97" s="10">
        <v>17000</v>
      </c>
      <c r="E97" s="9">
        <f t="shared" si="1"/>
        <v>680000</v>
      </c>
    </row>
    <row r="98" spans="1:5" hidden="1" x14ac:dyDescent="0.3">
      <c r="A98" s="7" t="s">
        <v>16</v>
      </c>
      <c r="B98" s="7" t="s">
        <v>165</v>
      </c>
      <c r="C98" s="8">
        <v>0</v>
      </c>
      <c r="D98" s="10"/>
      <c r="E98" s="9">
        <f t="shared" si="1"/>
        <v>0</v>
      </c>
    </row>
    <row r="99" spans="1:5" hidden="1" x14ac:dyDescent="0.3">
      <c r="A99" s="7" t="s">
        <v>132</v>
      </c>
      <c r="B99" s="7" t="s">
        <v>31</v>
      </c>
      <c r="C99" s="8">
        <v>0</v>
      </c>
      <c r="D99" s="10"/>
      <c r="E99" s="9">
        <f t="shared" si="1"/>
        <v>0</v>
      </c>
    </row>
    <row r="100" spans="1:5" hidden="1" x14ac:dyDescent="0.3">
      <c r="A100" s="7" t="s">
        <v>94</v>
      </c>
      <c r="B100" s="7" t="s">
        <v>50</v>
      </c>
      <c r="C100" s="8">
        <v>0</v>
      </c>
      <c r="D100" s="10"/>
      <c r="E100" s="9">
        <f t="shared" si="1"/>
        <v>0</v>
      </c>
    </row>
    <row r="101" spans="1:5" hidden="1" x14ac:dyDescent="0.3">
      <c r="A101" s="7" t="s">
        <v>27</v>
      </c>
      <c r="B101" s="7" t="s">
        <v>4</v>
      </c>
      <c r="C101" s="8">
        <v>0</v>
      </c>
      <c r="D101" s="10"/>
      <c r="E101" s="9">
        <f t="shared" si="1"/>
        <v>0</v>
      </c>
    </row>
    <row r="102" spans="1:5" hidden="1" x14ac:dyDescent="0.3">
      <c r="A102" s="7" t="s">
        <v>35</v>
      </c>
      <c r="B102" s="7" t="s">
        <v>4</v>
      </c>
      <c r="C102" s="8">
        <v>0</v>
      </c>
      <c r="D102" s="10"/>
      <c r="E102" s="9">
        <f t="shared" si="1"/>
        <v>0</v>
      </c>
    </row>
    <row r="103" spans="1:5" hidden="1" x14ac:dyDescent="0.3">
      <c r="A103" s="7" t="s">
        <v>123</v>
      </c>
      <c r="B103" s="7" t="s">
        <v>4</v>
      </c>
      <c r="C103" s="8">
        <v>0</v>
      </c>
      <c r="D103" s="10"/>
      <c r="E103" s="9">
        <f t="shared" si="1"/>
        <v>0</v>
      </c>
    </row>
    <row r="104" spans="1:5" hidden="1" x14ac:dyDescent="0.3">
      <c r="A104" s="7" t="s">
        <v>123</v>
      </c>
      <c r="B104" s="7" t="s">
        <v>31</v>
      </c>
      <c r="C104" s="8">
        <v>0</v>
      </c>
      <c r="D104" s="10"/>
      <c r="E104" s="9">
        <f t="shared" si="1"/>
        <v>0</v>
      </c>
    </row>
    <row r="105" spans="1:5" hidden="1" x14ac:dyDescent="0.3">
      <c r="A105" s="7" t="s">
        <v>96</v>
      </c>
      <c r="B105" s="7" t="s">
        <v>4</v>
      </c>
      <c r="C105" s="8">
        <v>0</v>
      </c>
      <c r="D105" s="10"/>
      <c r="E105" s="9">
        <f t="shared" si="1"/>
        <v>0</v>
      </c>
    </row>
    <row r="106" spans="1:5" hidden="1" x14ac:dyDescent="0.3">
      <c r="A106" s="7" t="s">
        <v>96</v>
      </c>
      <c r="B106" s="7" t="s">
        <v>50</v>
      </c>
      <c r="C106" s="8">
        <v>0</v>
      </c>
      <c r="D106" s="10"/>
      <c r="E106" s="9">
        <f t="shared" si="1"/>
        <v>0</v>
      </c>
    </row>
    <row r="107" spans="1:5" hidden="1" x14ac:dyDescent="0.3">
      <c r="A107" s="7" t="s">
        <v>99</v>
      </c>
      <c r="B107" s="7" t="s">
        <v>4</v>
      </c>
      <c r="C107" s="8">
        <v>0</v>
      </c>
      <c r="D107" s="10"/>
      <c r="E107" s="9">
        <f t="shared" si="1"/>
        <v>0</v>
      </c>
    </row>
    <row r="108" spans="1:5" hidden="1" x14ac:dyDescent="0.3">
      <c r="A108" s="7" t="s">
        <v>99</v>
      </c>
      <c r="B108" s="7" t="s">
        <v>31</v>
      </c>
      <c r="C108" s="8">
        <v>0</v>
      </c>
      <c r="D108" s="10"/>
      <c r="E108" s="9">
        <f t="shared" si="1"/>
        <v>0</v>
      </c>
    </row>
    <row r="109" spans="1:5" hidden="1" x14ac:dyDescent="0.3">
      <c r="A109" s="7" t="s">
        <v>61</v>
      </c>
      <c r="B109" s="7" t="s">
        <v>50</v>
      </c>
      <c r="C109" s="8">
        <v>0</v>
      </c>
      <c r="D109" s="10"/>
      <c r="E109" s="9">
        <f t="shared" si="1"/>
        <v>0</v>
      </c>
    </row>
    <row r="110" spans="1:5" hidden="1" x14ac:dyDescent="0.3">
      <c r="A110" s="7" t="s">
        <v>69</v>
      </c>
      <c r="B110" s="7" t="s">
        <v>31</v>
      </c>
      <c r="C110" s="8">
        <v>0</v>
      </c>
      <c r="D110" s="10"/>
      <c r="E110" s="9">
        <f t="shared" si="1"/>
        <v>0</v>
      </c>
    </row>
    <row r="111" spans="1:5" hidden="1" x14ac:dyDescent="0.3">
      <c r="A111" s="7" t="s">
        <v>67</v>
      </c>
      <c r="B111" s="7" t="s">
        <v>4</v>
      </c>
      <c r="C111" s="8">
        <v>0</v>
      </c>
      <c r="D111" s="10"/>
      <c r="E111" s="9">
        <f t="shared" si="1"/>
        <v>0</v>
      </c>
    </row>
    <row r="112" spans="1:5" hidden="1" x14ac:dyDescent="0.3">
      <c r="A112" s="7" t="s">
        <v>104</v>
      </c>
      <c r="B112" s="7" t="s">
        <v>4</v>
      </c>
      <c r="C112" s="8">
        <v>0</v>
      </c>
      <c r="D112" s="10"/>
      <c r="E112" s="9">
        <f t="shared" si="1"/>
        <v>0</v>
      </c>
    </row>
    <row r="113" spans="1:5" hidden="1" x14ac:dyDescent="0.3">
      <c r="A113" s="7" t="s">
        <v>104</v>
      </c>
      <c r="B113" s="7" t="s">
        <v>84</v>
      </c>
      <c r="C113" s="8">
        <v>0</v>
      </c>
      <c r="D113" s="10"/>
      <c r="E113" s="9">
        <f t="shared" si="1"/>
        <v>0</v>
      </c>
    </row>
    <row r="114" spans="1:5" hidden="1" x14ac:dyDescent="0.3">
      <c r="A114" s="7" t="s">
        <v>110</v>
      </c>
      <c r="B114" s="7" t="s">
        <v>4</v>
      </c>
      <c r="C114" s="8">
        <v>0</v>
      </c>
      <c r="D114" s="10"/>
      <c r="E114" s="9">
        <f t="shared" si="1"/>
        <v>0</v>
      </c>
    </row>
    <row r="115" spans="1:5" hidden="1" x14ac:dyDescent="0.3">
      <c r="A115" s="7" t="s">
        <v>129</v>
      </c>
      <c r="B115" s="7" t="s">
        <v>4</v>
      </c>
      <c r="C115" s="8">
        <v>0</v>
      </c>
      <c r="D115" s="10"/>
      <c r="E115" s="9">
        <f t="shared" si="1"/>
        <v>0</v>
      </c>
    </row>
    <row r="116" spans="1:5" hidden="1" x14ac:dyDescent="0.3">
      <c r="A116" s="7" t="s">
        <v>76</v>
      </c>
      <c r="B116" s="7" t="s">
        <v>66</v>
      </c>
      <c r="C116" s="8">
        <v>0</v>
      </c>
      <c r="D116" s="10"/>
      <c r="E116" s="9">
        <f t="shared" si="1"/>
        <v>0</v>
      </c>
    </row>
    <row r="117" spans="1:5" hidden="1" x14ac:dyDescent="0.3">
      <c r="A117" s="7" t="s">
        <v>79</v>
      </c>
      <c r="B117" s="7" t="s">
        <v>4</v>
      </c>
      <c r="C117" s="8">
        <v>0</v>
      </c>
      <c r="D117" s="10"/>
      <c r="E117" s="9">
        <f t="shared" si="1"/>
        <v>0</v>
      </c>
    </row>
    <row r="118" spans="1:5" hidden="1" x14ac:dyDescent="0.3">
      <c r="A118" s="7" t="s">
        <v>79</v>
      </c>
      <c r="B118" s="7" t="s">
        <v>31</v>
      </c>
      <c r="C118" s="8">
        <v>0</v>
      </c>
      <c r="D118" s="10"/>
      <c r="E118" s="9">
        <f t="shared" si="1"/>
        <v>0</v>
      </c>
    </row>
    <row r="119" spans="1:5" hidden="1" x14ac:dyDescent="0.3">
      <c r="A119" s="7" t="s">
        <v>82</v>
      </c>
      <c r="B119" s="7" t="s">
        <v>66</v>
      </c>
      <c r="C119" s="8">
        <v>0</v>
      </c>
      <c r="D119" s="10"/>
      <c r="E119" s="9">
        <f t="shared" si="1"/>
        <v>0</v>
      </c>
    </row>
    <row r="120" spans="1:5" hidden="1" x14ac:dyDescent="0.3">
      <c r="A120" s="7" t="s">
        <v>106</v>
      </c>
      <c r="B120" s="7" t="s">
        <v>4</v>
      </c>
      <c r="C120" s="8">
        <v>0</v>
      </c>
      <c r="D120" s="10"/>
      <c r="E120" s="9">
        <f t="shared" si="1"/>
        <v>0</v>
      </c>
    </row>
    <row r="121" spans="1:5" hidden="1" x14ac:dyDescent="0.3">
      <c r="A121" s="7" t="s">
        <v>63</v>
      </c>
      <c r="B121" s="7" t="s">
        <v>4</v>
      </c>
      <c r="C121" s="8">
        <v>0</v>
      </c>
      <c r="D121" s="10"/>
      <c r="E121" s="9">
        <f t="shared" si="1"/>
        <v>0</v>
      </c>
    </row>
    <row r="122" spans="1:5" hidden="1" x14ac:dyDescent="0.3">
      <c r="A122" s="7" t="s">
        <v>63</v>
      </c>
      <c r="B122" s="7" t="s">
        <v>31</v>
      </c>
      <c r="C122" s="8">
        <v>0</v>
      </c>
      <c r="D122" s="10"/>
      <c r="E122" s="9">
        <f t="shared" si="1"/>
        <v>0</v>
      </c>
    </row>
    <row r="123" spans="1:5" hidden="1" x14ac:dyDescent="0.3">
      <c r="A123" s="7" t="s">
        <v>55</v>
      </c>
      <c r="B123" s="7" t="s">
        <v>4</v>
      </c>
      <c r="C123" s="8">
        <v>0</v>
      </c>
      <c r="D123" s="10"/>
      <c r="E123" s="9">
        <f t="shared" si="1"/>
        <v>0</v>
      </c>
    </row>
    <row r="124" spans="1:5" hidden="1" x14ac:dyDescent="0.3">
      <c r="A124" s="7" t="s">
        <v>55</v>
      </c>
      <c r="B124" s="7" t="s">
        <v>31</v>
      </c>
      <c r="C124" s="8">
        <v>0</v>
      </c>
      <c r="D124" s="10"/>
      <c r="E124" s="9">
        <f t="shared" si="1"/>
        <v>0</v>
      </c>
    </row>
    <row r="125" spans="1:5" hidden="1" x14ac:dyDescent="0.3">
      <c r="A125" s="7" t="s">
        <v>155</v>
      </c>
      <c r="B125" s="7" t="s">
        <v>4</v>
      </c>
      <c r="C125" s="8">
        <v>0</v>
      </c>
      <c r="D125" s="10"/>
      <c r="E125" s="9">
        <f t="shared" si="1"/>
        <v>0</v>
      </c>
    </row>
    <row r="126" spans="1:5" hidden="1" x14ac:dyDescent="0.3">
      <c r="A126" s="7" t="s">
        <v>121</v>
      </c>
      <c r="B126" s="7" t="s">
        <v>53</v>
      </c>
      <c r="C126" s="8">
        <v>0</v>
      </c>
      <c r="D126" s="10"/>
      <c r="E126" s="9">
        <f t="shared" si="1"/>
        <v>0</v>
      </c>
    </row>
    <row r="127" spans="1:5" hidden="1" x14ac:dyDescent="0.3">
      <c r="A127" s="7" t="s">
        <v>121</v>
      </c>
      <c r="B127" s="7" t="s">
        <v>4</v>
      </c>
      <c r="C127" s="8">
        <v>0</v>
      </c>
      <c r="D127" s="10"/>
      <c r="E127" s="9">
        <f t="shared" si="1"/>
        <v>0</v>
      </c>
    </row>
    <row r="128" spans="1:5" hidden="1" x14ac:dyDescent="0.3">
      <c r="A128" s="7" t="s">
        <v>102</v>
      </c>
      <c r="B128" s="7" t="s">
        <v>53</v>
      </c>
      <c r="C128" s="8">
        <v>0</v>
      </c>
      <c r="D128" s="10"/>
      <c r="E128" s="9">
        <f t="shared" si="1"/>
        <v>0</v>
      </c>
    </row>
    <row r="129" spans="1:5" hidden="1" x14ac:dyDescent="0.3">
      <c r="A129" s="7" t="s">
        <v>102</v>
      </c>
      <c r="B129" s="7" t="s">
        <v>4</v>
      </c>
      <c r="C129" s="8">
        <v>0</v>
      </c>
      <c r="D129" s="10"/>
      <c r="E129" s="9">
        <f t="shared" si="1"/>
        <v>0</v>
      </c>
    </row>
    <row r="130" spans="1:5" hidden="1" x14ac:dyDescent="0.3">
      <c r="A130" s="7" t="s">
        <v>119</v>
      </c>
      <c r="B130" s="7" t="s">
        <v>4</v>
      </c>
      <c r="C130" s="8">
        <v>0</v>
      </c>
      <c r="D130" s="10"/>
      <c r="E130" s="9">
        <f t="shared" si="1"/>
        <v>0</v>
      </c>
    </row>
    <row r="131" spans="1:5" hidden="1" x14ac:dyDescent="0.3">
      <c r="A131" s="7" t="s">
        <v>119</v>
      </c>
      <c r="B131" s="7" t="s">
        <v>31</v>
      </c>
      <c r="C131" s="8">
        <v>0</v>
      </c>
      <c r="D131" s="10"/>
      <c r="E131" s="9">
        <f t="shared" si="1"/>
        <v>0</v>
      </c>
    </row>
    <row r="132" spans="1:5" hidden="1" x14ac:dyDescent="0.3">
      <c r="A132" s="7" t="s">
        <v>109</v>
      </c>
      <c r="B132" s="7" t="s">
        <v>53</v>
      </c>
      <c r="C132" s="8">
        <v>0</v>
      </c>
      <c r="D132" s="10"/>
      <c r="E132" s="9">
        <f t="shared" ref="E132:E197" si="2">C132*D132</f>
        <v>0</v>
      </c>
    </row>
    <row r="133" spans="1:5" hidden="1" x14ac:dyDescent="0.3">
      <c r="A133" s="7" t="s">
        <v>80</v>
      </c>
      <c r="B133" s="7" t="s">
        <v>4</v>
      </c>
      <c r="C133" s="8">
        <v>0</v>
      </c>
      <c r="D133" s="10"/>
      <c r="E133" s="9">
        <f t="shared" si="2"/>
        <v>0</v>
      </c>
    </row>
    <row r="134" spans="1:5" hidden="1" x14ac:dyDescent="0.3">
      <c r="A134" s="7" t="s">
        <v>80</v>
      </c>
      <c r="B134" s="7" t="s">
        <v>31</v>
      </c>
      <c r="C134" s="8">
        <v>0</v>
      </c>
      <c r="D134" s="10"/>
      <c r="E134" s="9">
        <f t="shared" si="2"/>
        <v>0</v>
      </c>
    </row>
    <row r="135" spans="1:5" hidden="1" x14ac:dyDescent="0.3">
      <c r="A135" s="7" t="s">
        <v>81</v>
      </c>
      <c r="B135" s="7" t="s">
        <v>4</v>
      </c>
      <c r="C135" s="8">
        <v>0</v>
      </c>
      <c r="D135" s="10"/>
      <c r="E135" s="9">
        <f t="shared" si="2"/>
        <v>0</v>
      </c>
    </row>
    <row r="136" spans="1:5" x14ac:dyDescent="0.3">
      <c r="A136" s="7" t="s">
        <v>47</v>
      </c>
      <c r="B136" s="7" t="s">
        <v>4</v>
      </c>
      <c r="C136" s="8">
        <v>20</v>
      </c>
      <c r="D136" s="10">
        <v>8000</v>
      </c>
      <c r="E136" s="9">
        <f t="shared" si="2"/>
        <v>160000</v>
      </c>
    </row>
    <row r="137" spans="1:5" x14ac:dyDescent="0.3">
      <c r="A137" s="7" t="s">
        <v>133</v>
      </c>
      <c r="B137" s="7" t="s">
        <v>31</v>
      </c>
      <c r="C137" s="8">
        <v>7</v>
      </c>
      <c r="D137" s="10">
        <v>9000</v>
      </c>
      <c r="E137" s="9">
        <f t="shared" si="2"/>
        <v>63000</v>
      </c>
    </row>
    <row r="138" spans="1:5" x14ac:dyDescent="0.3">
      <c r="A138" s="7" t="s">
        <v>142</v>
      </c>
      <c r="B138" s="7" t="s">
        <v>31</v>
      </c>
      <c r="C138" s="8">
        <v>72</v>
      </c>
      <c r="D138" s="10">
        <v>6000</v>
      </c>
      <c r="E138" s="9">
        <f t="shared" si="2"/>
        <v>432000</v>
      </c>
    </row>
    <row r="139" spans="1:5" x14ac:dyDescent="0.3">
      <c r="A139" s="7" t="s">
        <v>13</v>
      </c>
      <c r="B139" s="7" t="s">
        <v>4</v>
      </c>
      <c r="C139" s="8">
        <v>5</v>
      </c>
      <c r="D139" s="10">
        <v>27000</v>
      </c>
      <c r="E139" s="9">
        <f t="shared" si="2"/>
        <v>135000</v>
      </c>
    </row>
    <row r="140" spans="1:5" hidden="1" x14ac:dyDescent="0.3">
      <c r="A140" s="7" t="s">
        <v>114</v>
      </c>
      <c r="B140" s="7" t="s">
        <v>31</v>
      </c>
      <c r="C140" s="8">
        <v>0</v>
      </c>
      <c r="D140" s="10"/>
      <c r="E140" s="9">
        <f t="shared" si="2"/>
        <v>0</v>
      </c>
    </row>
    <row r="141" spans="1:5" hidden="1" x14ac:dyDescent="0.3">
      <c r="A141" s="7" t="s">
        <v>113</v>
      </c>
      <c r="B141" s="7" t="s">
        <v>31</v>
      </c>
      <c r="C141" s="8">
        <v>0</v>
      </c>
      <c r="D141" s="10"/>
      <c r="E141" s="9">
        <f t="shared" si="2"/>
        <v>0</v>
      </c>
    </row>
    <row r="142" spans="1:5" hidden="1" x14ac:dyDescent="0.3">
      <c r="A142" s="7" t="s">
        <v>115</v>
      </c>
      <c r="B142" s="7" t="s">
        <v>50</v>
      </c>
      <c r="C142" s="8">
        <v>0</v>
      </c>
      <c r="D142" s="10"/>
      <c r="E142" s="9">
        <f t="shared" si="2"/>
        <v>0</v>
      </c>
    </row>
    <row r="143" spans="1:5" hidden="1" x14ac:dyDescent="0.3">
      <c r="A143" s="7" t="s">
        <v>21</v>
      </c>
      <c r="B143" s="7" t="s">
        <v>4</v>
      </c>
      <c r="C143" s="8">
        <v>0</v>
      </c>
      <c r="D143" s="10"/>
      <c r="E143" s="9">
        <f t="shared" si="2"/>
        <v>0</v>
      </c>
    </row>
    <row r="144" spans="1:5" hidden="1" x14ac:dyDescent="0.3">
      <c r="A144" s="7" t="s">
        <v>21</v>
      </c>
      <c r="B144" s="7" t="s">
        <v>149</v>
      </c>
      <c r="C144" s="8">
        <v>0</v>
      </c>
      <c r="D144" s="10"/>
      <c r="E144" s="9">
        <f t="shared" si="2"/>
        <v>0</v>
      </c>
    </row>
    <row r="145" spans="1:5" x14ac:dyDescent="0.3">
      <c r="A145" s="7" t="s">
        <v>33</v>
      </c>
      <c r="B145" s="7" t="s">
        <v>4</v>
      </c>
      <c r="C145" s="8">
        <v>14</v>
      </c>
      <c r="D145" s="10">
        <v>12000</v>
      </c>
      <c r="E145" s="9">
        <f t="shared" si="2"/>
        <v>168000</v>
      </c>
    </row>
    <row r="146" spans="1:5" hidden="1" x14ac:dyDescent="0.3">
      <c r="A146" s="7" t="s">
        <v>33</v>
      </c>
      <c r="B146" s="7" t="s">
        <v>31</v>
      </c>
      <c r="C146" s="8">
        <v>0</v>
      </c>
      <c r="D146" s="10"/>
      <c r="E146" s="9">
        <f t="shared" si="2"/>
        <v>0</v>
      </c>
    </row>
    <row r="147" spans="1:5" hidden="1" x14ac:dyDescent="0.3">
      <c r="A147" s="7" t="s">
        <v>107</v>
      </c>
      <c r="B147" s="7" t="s">
        <v>4</v>
      </c>
      <c r="C147" s="8">
        <v>0</v>
      </c>
      <c r="D147" s="10"/>
      <c r="E147" s="9">
        <f t="shared" si="2"/>
        <v>0</v>
      </c>
    </row>
    <row r="148" spans="1:5" hidden="1" x14ac:dyDescent="0.3">
      <c r="A148" s="7" t="s">
        <v>175</v>
      </c>
      <c r="B148" s="7" t="s">
        <v>4</v>
      </c>
      <c r="C148" s="8">
        <v>0</v>
      </c>
      <c r="D148" s="10"/>
      <c r="E148" s="9">
        <f t="shared" si="2"/>
        <v>0</v>
      </c>
    </row>
    <row r="149" spans="1:5" x14ac:dyDescent="0.3">
      <c r="A149" s="7" t="s">
        <v>48</v>
      </c>
      <c r="B149" s="7" t="s">
        <v>4</v>
      </c>
      <c r="C149" s="8">
        <v>5</v>
      </c>
      <c r="D149" s="10">
        <v>28000</v>
      </c>
      <c r="E149" s="9">
        <f t="shared" si="2"/>
        <v>140000</v>
      </c>
    </row>
    <row r="150" spans="1:5" x14ac:dyDescent="0.3">
      <c r="A150" s="7" t="s">
        <v>54</v>
      </c>
      <c r="B150" s="7" t="s">
        <v>4</v>
      </c>
      <c r="C150" s="8">
        <v>2</v>
      </c>
      <c r="D150" s="10">
        <v>45000</v>
      </c>
      <c r="E150" s="9">
        <f t="shared" si="2"/>
        <v>90000</v>
      </c>
    </row>
    <row r="151" spans="1:5" hidden="1" x14ac:dyDescent="0.3">
      <c r="A151" s="7" t="s">
        <v>23</v>
      </c>
      <c r="B151" s="7" t="s">
        <v>4</v>
      </c>
      <c r="C151" s="8">
        <v>0</v>
      </c>
      <c r="D151" s="10"/>
      <c r="E151" s="9">
        <f t="shared" si="2"/>
        <v>0</v>
      </c>
    </row>
    <row r="152" spans="1:5" hidden="1" x14ac:dyDescent="0.3">
      <c r="A152" s="7" t="s">
        <v>26</v>
      </c>
      <c r="B152" s="7" t="s">
        <v>4</v>
      </c>
      <c r="C152" s="8">
        <v>0</v>
      </c>
      <c r="D152" s="10"/>
      <c r="E152" s="9">
        <f t="shared" si="2"/>
        <v>0</v>
      </c>
    </row>
    <row r="153" spans="1:5" hidden="1" x14ac:dyDescent="0.3">
      <c r="A153" s="7" t="s">
        <v>97</v>
      </c>
      <c r="B153" s="7" t="s">
        <v>4</v>
      </c>
      <c r="C153" s="8">
        <v>0</v>
      </c>
      <c r="D153" s="10"/>
      <c r="E153" s="9">
        <f t="shared" si="2"/>
        <v>0</v>
      </c>
    </row>
    <row r="154" spans="1:5" hidden="1" x14ac:dyDescent="0.3">
      <c r="A154" s="7" t="s">
        <v>105</v>
      </c>
      <c r="B154" s="7" t="s">
        <v>4</v>
      </c>
      <c r="C154" s="8">
        <v>0</v>
      </c>
      <c r="D154" s="10"/>
      <c r="E154" s="9">
        <f t="shared" si="2"/>
        <v>0</v>
      </c>
    </row>
    <row r="155" spans="1:5" hidden="1" x14ac:dyDescent="0.3">
      <c r="A155" s="7" t="s">
        <v>124</v>
      </c>
      <c r="B155" s="7" t="s">
        <v>4</v>
      </c>
      <c r="C155" s="8">
        <v>0</v>
      </c>
      <c r="D155" s="10"/>
      <c r="E155" s="9">
        <f t="shared" si="2"/>
        <v>0</v>
      </c>
    </row>
    <row r="156" spans="1:5" x14ac:dyDescent="0.3">
      <c r="A156" s="7" t="s">
        <v>85</v>
      </c>
      <c r="B156" s="7" t="s">
        <v>4</v>
      </c>
      <c r="C156" s="8">
        <v>3</v>
      </c>
      <c r="D156" s="10">
        <v>12000</v>
      </c>
      <c r="E156" s="9">
        <f t="shared" si="2"/>
        <v>36000</v>
      </c>
    </row>
    <row r="157" spans="1:5" x14ac:dyDescent="0.3">
      <c r="A157" s="7" t="s">
        <v>135</v>
      </c>
      <c r="B157" s="7" t="s">
        <v>4</v>
      </c>
      <c r="C157" s="8">
        <v>530</v>
      </c>
      <c r="D157" s="10">
        <v>20000</v>
      </c>
      <c r="E157" s="9">
        <f t="shared" si="2"/>
        <v>10600000</v>
      </c>
    </row>
    <row r="158" spans="1:5" x14ac:dyDescent="0.3">
      <c r="A158" s="7" t="s">
        <v>143</v>
      </c>
      <c r="B158" s="7" t="s">
        <v>4</v>
      </c>
      <c r="C158" s="8">
        <v>20</v>
      </c>
      <c r="D158" s="10">
        <v>16000</v>
      </c>
      <c r="E158" s="9">
        <f t="shared" si="2"/>
        <v>320000</v>
      </c>
    </row>
    <row r="159" spans="1:5" x14ac:dyDescent="0.3">
      <c r="A159" s="7" t="s">
        <v>189</v>
      </c>
      <c r="B159" s="7" t="s">
        <v>4</v>
      </c>
      <c r="C159" s="8">
        <v>17</v>
      </c>
      <c r="D159" s="10">
        <v>45000</v>
      </c>
      <c r="E159" s="9">
        <f t="shared" si="2"/>
        <v>765000</v>
      </c>
    </row>
    <row r="160" spans="1:5" hidden="1" x14ac:dyDescent="0.3">
      <c r="E160" s="9">
        <f t="shared" si="2"/>
        <v>0</v>
      </c>
    </row>
    <row r="161" spans="1:5" x14ac:dyDescent="0.3">
      <c r="E161" s="9">
        <f>SUM(E3:E159)</f>
        <v>189672400</v>
      </c>
    </row>
    <row r="162" spans="1:5" x14ac:dyDescent="0.3">
      <c r="A162" s="59" t="s">
        <v>139</v>
      </c>
      <c r="E162" s="9"/>
    </row>
    <row r="163" spans="1:5" x14ac:dyDescent="0.3">
      <c r="A163" t="s">
        <v>0</v>
      </c>
      <c r="B163" t="s">
        <v>1</v>
      </c>
      <c r="C163" t="s">
        <v>2</v>
      </c>
      <c r="D163" t="s">
        <v>137</v>
      </c>
      <c r="E163" s="9" t="s">
        <v>138</v>
      </c>
    </row>
    <row r="164" spans="1:5" hidden="1" x14ac:dyDescent="0.3">
      <c r="A164" t="s">
        <v>144</v>
      </c>
      <c r="B164" t="s">
        <v>50</v>
      </c>
      <c r="E164" s="9">
        <f t="shared" si="2"/>
        <v>0</v>
      </c>
    </row>
    <row r="165" spans="1:5" hidden="1" x14ac:dyDescent="0.3">
      <c r="A165" t="s">
        <v>27</v>
      </c>
      <c r="B165" t="s">
        <v>4</v>
      </c>
      <c r="E165" s="9">
        <f t="shared" si="2"/>
        <v>0</v>
      </c>
    </row>
    <row r="166" spans="1:5" x14ac:dyDescent="0.3">
      <c r="A166" t="s">
        <v>28</v>
      </c>
      <c r="B166" t="s">
        <v>4</v>
      </c>
      <c r="C166">
        <v>60</v>
      </c>
      <c r="D166">
        <v>15000</v>
      </c>
      <c r="E166" s="9">
        <f t="shared" si="2"/>
        <v>900000</v>
      </c>
    </row>
    <row r="167" spans="1:5" x14ac:dyDescent="0.3">
      <c r="A167" t="s">
        <v>29</v>
      </c>
      <c r="B167" t="s">
        <v>4</v>
      </c>
      <c r="C167">
        <v>300</v>
      </c>
      <c r="D167">
        <v>21000</v>
      </c>
      <c r="E167" s="9">
        <f t="shared" si="2"/>
        <v>6300000</v>
      </c>
    </row>
    <row r="168" spans="1:5" x14ac:dyDescent="0.3">
      <c r="A168" t="s">
        <v>32</v>
      </c>
      <c r="B168" t="s">
        <v>4</v>
      </c>
      <c r="C168">
        <v>200</v>
      </c>
      <c r="D168">
        <v>19000</v>
      </c>
      <c r="E168" s="9">
        <f t="shared" si="2"/>
        <v>3800000</v>
      </c>
    </row>
    <row r="169" spans="1:5" hidden="1" x14ac:dyDescent="0.3">
      <c r="A169" t="s">
        <v>33</v>
      </c>
      <c r="B169" t="s">
        <v>31</v>
      </c>
      <c r="E169" s="9">
        <f t="shared" si="2"/>
        <v>0</v>
      </c>
    </row>
    <row r="170" spans="1:5" x14ac:dyDescent="0.3">
      <c r="A170" t="s">
        <v>34</v>
      </c>
      <c r="B170" t="s">
        <v>4</v>
      </c>
      <c r="C170">
        <v>100</v>
      </c>
      <c r="D170">
        <v>15000</v>
      </c>
      <c r="E170" s="9">
        <f t="shared" si="2"/>
        <v>1500000</v>
      </c>
    </row>
    <row r="171" spans="1:5" hidden="1" x14ac:dyDescent="0.3">
      <c r="A171" t="s">
        <v>34</v>
      </c>
      <c r="B171" t="s">
        <v>31</v>
      </c>
      <c r="E171" s="9">
        <f t="shared" si="2"/>
        <v>0</v>
      </c>
    </row>
    <row r="172" spans="1:5" hidden="1" x14ac:dyDescent="0.3">
      <c r="A172" t="s">
        <v>35</v>
      </c>
      <c r="B172" t="s">
        <v>4</v>
      </c>
      <c r="E172" s="9">
        <f t="shared" si="2"/>
        <v>0</v>
      </c>
    </row>
    <row r="173" spans="1:5" hidden="1" x14ac:dyDescent="0.3">
      <c r="A173" t="s">
        <v>13</v>
      </c>
      <c r="B173" t="s">
        <v>4</v>
      </c>
      <c r="E173" s="9">
        <f t="shared" si="2"/>
        <v>0</v>
      </c>
    </row>
    <row r="174" spans="1:5" hidden="1" x14ac:dyDescent="0.3">
      <c r="A174" t="s">
        <v>14</v>
      </c>
      <c r="B174" t="s">
        <v>4</v>
      </c>
      <c r="E174" s="9">
        <f t="shared" si="2"/>
        <v>0</v>
      </c>
    </row>
    <row r="175" spans="1:5" hidden="1" x14ac:dyDescent="0.3">
      <c r="A175" t="s">
        <v>3</v>
      </c>
      <c r="B175" t="s">
        <v>4</v>
      </c>
      <c r="E175" s="9">
        <f t="shared" si="2"/>
        <v>0</v>
      </c>
    </row>
    <row r="176" spans="1:5" hidden="1" x14ac:dyDescent="0.3">
      <c r="A176" t="s">
        <v>5</v>
      </c>
      <c r="B176" t="s">
        <v>4</v>
      </c>
      <c r="E176" s="9">
        <f t="shared" si="2"/>
        <v>0</v>
      </c>
    </row>
    <row r="177" spans="1:5" hidden="1" x14ac:dyDescent="0.3">
      <c r="A177" t="s">
        <v>6</v>
      </c>
      <c r="B177" t="s">
        <v>4</v>
      </c>
      <c r="E177" s="9">
        <f t="shared" si="2"/>
        <v>0</v>
      </c>
    </row>
    <row r="178" spans="1:5" x14ac:dyDescent="0.3">
      <c r="A178" t="s">
        <v>22</v>
      </c>
      <c r="B178" t="s">
        <v>4</v>
      </c>
      <c r="C178">
        <v>700</v>
      </c>
      <c r="D178">
        <v>7500</v>
      </c>
      <c r="E178" s="9">
        <f t="shared" si="2"/>
        <v>5250000</v>
      </c>
    </row>
    <row r="179" spans="1:5" hidden="1" x14ac:dyDescent="0.3">
      <c r="A179" t="s">
        <v>24</v>
      </c>
      <c r="B179" t="s">
        <v>4</v>
      </c>
      <c r="E179" s="9">
        <f t="shared" si="2"/>
        <v>0</v>
      </c>
    </row>
    <row r="180" spans="1:5" hidden="1" x14ac:dyDescent="0.3">
      <c r="A180" t="s">
        <v>40</v>
      </c>
      <c r="B180" t="s">
        <v>4</v>
      </c>
      <c r="E180" s="9">
        <f t="shared" si="2"/>
        <v>0</v>
      </c>
    </row>
    <row r="181" spans="1:5" x14ac:dyDescent="0.3">
      <c r="A181" t="s">
        <v>7</v>
      </c>
      <c r="B181" t="s">
        <v>4</v>
      </c>
      <c r="C181">
        <v>50</v>
      </c>
      <c r="D181">
        <v>10000</v>
      </c>
      <c r="E181" s="9">
        <f t="shared" si="2"/>
        <v>500000</v>
      </c>
    </row>
    <row r="182" spans="1:5" x14ac:dyDescent="0.3">
      <c r="A182" t="s">
        <v>8</v>
      </c>
      <c r="B182" t="s">
        <v>4</v>
      </c>
      <c r="C182">
        <v>2000</v>
      </c>
      <c r="D182">
        <v>5200</v>
      </c>
      <c r="E182" s="9">
        <f t="shared" si="2"/>
        <v>10400000</v>
      </c>
    </row>
    <row r="183" spans="1:5" hidden="1" x14ac:dyDescent="0.3">
      <c r="A183" t="s">
        <v>10</v>
      </c>
      <c r="B183" t="s">
        <v>4</v>
      </c>
      <c r="E183" s="9">
        <f t="shared" si="2"/>
        <v>0</v>
      </c>
    </row>
    <row r="184" spans="1:5" x14ac:dyDescent="0.3">
      <c r="A184" t="s">
        <v>15</v>
      </c>
      <c r="B184" t="s">
        <v>4</v>
      </c>
      <c r="C184">
        <v>200</v>
      </c>
      <c r="D184">
        <v>25000</v>
      </c>
      <c r="E184" s="9">
        <f t="shared" si="2"/>
        <v>5000000</v>
      </c>
    </row>
    <row r="185" spans="1:5" x14ac:dyDescent="0.3">
      <c r="A185" t="s">
        <v>18</v>
      </c>
      <c r="B185" t="s">
        <v>4</v>
      </c>
      <c r="C185">
        <v>160</v>
      </c>
      <c r="D185">
        <v>19000</v>
      </c>
      <c r="E185" s="9">
        <f t="shared" si="2"/>
        <v>3040000</v>
      </c>
    </row>
    <row r="186" spans="1:5" hidden="1" x14ac:dyDescent="0.3">
      <c r="A186" t="s">
        <v>21</v>
      </c>
      <c r="B186" t="s">
        <v>4</v>
      </c>
      <c r="E186" s="9">
        <f t="shared" si="2"/>
        <v>0</v>
      </c>
    </row>
    <row r="187" spans="1:5" x14ac:dyDescent="0.3">
      <c r="A187" t="s">
        <v>43</v>
      </c>
      <c r="B187" t="s">
        <v>4</v>
      </c>
      <c r="C187">
        <v>40</v>
      </c>
      <c r="D187">
        <v>42000</v>
      </c>
      <c r="E187" s="9">
        <f t="shared" si="2"/>
        <v>1680000</v>
      </c>
    </row>
    <row r="188" spans="1:5" x14ac:dyDescent="0.3">
      <c r="A188" t="s">
        <v>44</v>
      </c>
      <c r="B188" t="s">
        <v>4</v>
      </c>
      <c r="C188">
        <v>20</v>
      </c>
      <c r="D188">
        <v>22000</v>
      </c>
      <c r="E188" s="9">
        <f t="shared" si="2"/>
        <v>440000</v>
      </c>
    </row>
    <row r="189" spans="1:5" x14ac:dyDescent="0.3">
      <c r="A189" t="s">
        <v>45</v>
      </c>
      <c r="B189" t="s">
        <v>4</v>
      </c>
      <c r="C189">
        <v>20</v>
      </c>
      <c r="D189">
        <v>30000</v>
      </c>
      <c r="E189" s="9">
        <f t="shared" si="2"/>
        <v>600000</v>
      </c>
    </row>
    <row r="190" spans="1:5" hidden="1" x14ac:dyDescent="0.3">
      <c r="A190" t="s">
        <v>47</v>
      </c>
      <c r="B190" t="s">
        <v>4</v>
      </c>
      <c r="E190" s="9">
        <f t="shared" si="2"/>
        <v>0</v>
      </c>
    </row>
    <row r="191" spans="1:5" x14ac:dyDescent="0.3">
      <c r="A191" t="s">
        <v>26</v>
      </c>
      <c r="B191" t="s">
        <v>4</v>
      </c>
      <c r="C191">
        <v>125</v>
      </c>
      <c r="D191">
        <v>12000</v>
      </c>
      <c r="E191" s="9">
        <f t="shared" si="2"/>
        <v>1500000</v>
      </c>
    </row>
    <row r="192" spans="1:5" hidden="1" x14ac:dyDescent="0.3">
      <c r="A192" t="s">
        <v>25</v>
      </c>
      <c r="B192" t="s">
        <v>4</v>
      </c>
      <c r="E192" s="9">
        <f t="shared" si="2"/>
        <v>0</v>
      </c>
    </row>
    <row r="193" spans="1:5" hidden="1" x14ac:dyDescent="0.3">
      <c r="A193" t="s">
        <v>23</v>
      </c>
      <c r="B193" t="s">
        <v>4</v>
      </c>
      <c r="E193" s="9">
        <f t="shared" si="2"/>
        <v>0</v>
      </c>
    </row>
    <row r="194" spans="1:5" hidden="1" x14ac:dyDescent="0.3">
      <c r="A194" t="s">
        <v>9</v>
      </c>
      <c r="B194" t="s">
        <v>4</v>
      </c>
      <c r="E194" s="9">
        <f t="shared" si="2"/>
        <v>0</v>
      </c>
    </row>
    <row r="195" spans="1:5" hidden="1" x14ac:dyDescent="0.3">
      <c r="A195" t="s">
        <v>156</v>
      </c>
      <c r="B195" t="s">
        <v>4</v>
      </c>
      <c r="E195" s="9">
        <f t="shared" si="2"/>
        <v>0</v>
      </c>
    </row>
    <row r="196" spans="1:5" hidden="1" x14ac:dyDescent="0.3">
      <c r="A196" t="s">
        <v>39</v>
      </c>
      <c r="B196" t="s">
        <v>4</v>
      </c>
      <c r="E196" s="9">
        <f t="shared" si="2"/>
        <v>0</v>
      </c>
    </row>
    <row r="197" spans="1:5" x14ac:dyDescent="0.3">
      <c r="A197" t="s">
        <v>41</v>
      </c>
      <c r="B197" t="s">
        <v>4</v>
      </c>
      <c r="C197">
        <v>500</v>
      </c>
      <c r="D197">
        <v>28600</v>
      </c>
      <c r="E197" s="9">
        <f t="shared" si="2"/>
        <v>14300000</v>
      </c>
    </row>
    <row r="198" spans="1:5" hidden="1" x14ac:dyDescent="0.3">
      <c r="A198" t="s">
        <v>20</v>
      </c>
      <c r="B198" t="s">
        <v>4</v>
      </c>
      <c r="E198" s="9">
        <f t="shared" ref="E198:E211" si="3">C198*D198</f>
        <v>0</v>
      </c>
    </row>
    <row r="199" spans="1:5" hidden="1" x14ac:dyDescent="0.3">
      <c r="A199" t="s">
        <v>123</v>
      </c>
      <c r="B199" t="s">
        <v>31</v>
      </c>
      <c r="E199" s="9">
        <f t="shared" si="3"/>
        <v>0</v>
      </c>
    </row>
    <row r="200" spans="1:5" hidden="1" x14ac:dyDescent="0.3">
      <c r="A200" t="s">
        <v>37</v>
      </c>
      <c r="B200" t="s">
        <v>4</v>
      </c>
      <c r="E200" s="9">
        <f t="shared" si="3"/>
        <v>0</v>
      </c>
    </row>
    <row r="201" spans="1:5" hidden="1" x14ac:dyDescent="0.3">
      <c r="A201" t="s">
        <v>37</v>
      </c>
      <c r="B201" t="s">
        <v>151</v>
      </c>
      <c r="E201" s="9">
        <f t="shared" si="3"/>
        <v>0</v>
      </c>
    </row>
    <row r="202" spans="1:5" hidden="1" x14ac:dyDescent="0.3">
      <c r="A202" t="s">
        <v>12</v>
      </c>
      <c r="B202" t="s">
        <v>4</v>
      </c>
      <c r="E202" s="9">
        <f t="shared" si="3"/>
        <v>0</v>
      </c>
    </row>
    <row r="203" spans="1:5" hidden="1" x14ac:dyDescent="0.3">
      <c r="A203" t="s">
        <v>124</v>
      </c>
      <c r="B203" t="s">
        <v>4</v>
      </c>
      <c r="E203" s="9">
        <f t="shared" si="3"/>
        <v>0</v>
      </c>
    </row>
    <row r="204" spans="1:5" hidden="1" x14ac:dyDescent="0.3">
      <c r="A204" t="s">
        <v>16</v>
      </c>
      <c r="B204" t="s">
        <v>4</v>
      </c>
      <c r="E204" s="9">
        <f t="shared" si="3"/>
        <v>0</v>
      </c>
    </row>
    <row r="205" spans="1:5" hidden="1" x14ac:dyDescent="0.3">
      <c r="A205" t="s">
        <v>17</v>
      </c>
      <c r="B205" t="s">
        <v>4</v>
      </c>
      <c r="E205" s="9">
        <f t="shared" si="3"/>
        <v>0</v>
      </c>
    </row>
    <row r="206" spans="1:5" hidden="1" x14ac:dyDescent="0.3">
      <c r="A206" t="s">
        <v>46</v>
      </c>
      <c r="B206" t="s">
        <v>4</v>
      </c>
      <c r="E206" s="9">
        <f t="shared" si="3"/>
        <v>0</v>
      </c>
    </row>
    <row r="207" spans="1:5" hidden="1" x14ac:dyDescent="0.3">
      <c r="A207" t="s">
        <v>11</v>
      </c>
      <c r="B207" t="s">
        <v>4</v>
      </c>
      <c r="E207" s="9">
        <f t="shared" si="3"/>
        <v>0</v>
      </c>
    </row>
    <row r="208" spans="1:5" hidden="1" x14ac:dyDescent="0.3">
      <c r="A208" t="s">
        <v>42</v>
      </c>
      <c r="B208" t="s">
        <v>4</v>
      </c>
      <c r="E208" s="9">
        <f t="shared" si="3"/>
        <v>0</v>
      </c>
    </row>
    <row r="209" spans="1:6" hidden="1" x14ac:dyDescent="0.3">
      <c r="A209" t="s">
        <v>19</v>
      </c>
      <c r="B209" t="s">
        <v>4</v>
      </c>
      <c r="E209" s="9">
        <f t="shared" si="3"/>
        <v>0</v>
      </c>
    </row>
    <row r="210" spans="1:6" hidden="1" x14ac:dyDescent="0.3">
      <c r="A210" t="s">
        <v>48</v>
      </c>
      <c r="B210" t="s">
        <v>4</v>
      </c>
      <c r="E210" s="9">
        <f t="shared" si="3"/>
        <v>0</v>
      </c>
    </row>
    <row r="211" spans="1:6" x14ac:dyDescent="0.3">
      <c r="A211" t="s">
        <v>188</v>
      </c>
      <c r="B211" t="s">
        <v>4</v>
      </c>
      <c r="C211">
        <v>6140</v>
      </c>
      <c r="D211">
        <v>6500</v>
      </c>
      <c r="E211" s="9">
        <f t="shared" si="3"/>
        <v>39910000</v>
      </c>
      <c r="F211" t="s">
        <v>191</v>
      </c>
    </row>
    <row r="212" spans="1:6" x14ac:dyDescent="0.3">
      <c r="E212" s="14">
        <f>SUM(E166:E211)</f>
        <v>95120000</v>
      </c>
    </row>
    <row r="213" spans="1:6" x14ac:dyDescent="0.3">
      <c r="E213" s="14">
        <f>SUM(E161,E212)</f>
        <v>284792400</v>
      </c>
    </row>
  </sheetData>
  <autoFilter ref="A2:E210" xr:uid="{00000000-0009-0000-0000-000007000000}">
    <filterColumn colId="2">
      <filters>
        <filter val="1,040"/>
        <filter val="1,462"/>
        <filter val="1,980"/>
        <filter val="10"/>
        <filter val="100"/>
        <filter val="125"/>
        <filter val="133"/>
        <filter val="14"/>
        <filter val="160"/>
        <filter val="17"/>
        <filter val="170"/>
        <filter val="185"/>
        <filter val="2"/>
        <filter val="20"/>
        <filter val="200"/>
        <filter val="2000"/>
        <filter val="208"/>
        <filter val="220"/>
        <filter val="3"/>
        <filter val="300"/>
        <filter val="32"/>
        <filter val="40"/>
        <filter val="45"/>
        <filter val="48"/>
        <filter val="5"/>
        <filter val="50"/>
        <filter val="500"/>
        <filter val="52"/>
        <filter val="520"/>
        <filter val="530"/>
        <filter val="6"/>
        <filter val="60"/>
        <filter val="690"/>
        <filter val="7"/>
        <filter val="70"/>
        <filter val="700"/>
        <filter val="72"/>
        <filter val="73"/>
        <filter val="730"/>
        <filter val="750"/>
        <filter val="8"/>
        <filter val="81"/>
        <filter val="97"/>
        <filter val="Tồn_x000a_ĐL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E208"/>
  <sheetViews>
    <sheetView workbookViewId="0">
      <pane xSplit="1" ySplit="1" topLeftCell="B165" activePane="bottomRight" state="frozen"/>
      <selection pane="topRight" activeCell="B1" sqref="B1"/>
      <selection pane="bottomLeft" activeCell="A2" sqref="A2"/>
      <selection pane="bottomRight" activeCell="A167" sqref="A167"/>
    </sheetView>
  </sheetViews>
  <sheetFormatPr defaultRowHeight="15.6" x14ac:dyDescent="0.3"/>
  <cols>
    <col min="1" max="1" width="43.77734375" style="31" bestFit="1" customWidth="1"/>
    <col min="2" max="2" width="11.44140625" style="31" bestFit="1" customWidth="1"/>
    <col min="3" max="3" width="8.6640625" style="31" bestFit="1" customWidth="1"/>
    <col min="4" max="4" width="15.5546875" style="44" customWidth="1"/>
    <col min="5" max="5" width="19.88671875" style="68" customWidth="1"/>
    <col min="6" max="16384" width="8.88671875" style="31"/>
  </cols>
  <sheetData>
    <row r="1" spans="1:5" ht="31.2" x14ac:dyDescent="0.3">
      <c r="A1" s="32" t="s">
        <v>0</v>
      </c>
      <c r="B1" s="32" t="s">
        <v>1</v>
      </c>
      <c r="C1" s="33" t="s">
        <v>2</v>
      </c>
      <c r="D1" s="33" t="s">
        <v>177</v>
      </c>
      <c r="E1" s="33" t="s">
        <v>178</v>
      </c>
    </row>
    <row r="2" spans="1:5" s="24" customFormat="1" ht="14.4" hidden="1" x14ac:dyDescent="0.3">
      <c r="A2" s="25" t="s">
        <v>49</v>
      </c>
      <c r="B2" s="25" t="s">
        <v>4</v>
      </c>
      <c r="C2" s="26">
        <v>0</v>
      </c>
      <c r="D2" s="60"/>
      <c r="E2" s="60"/>
    </row>
    <row r="3" spans="1:5" s="24" customFormat="1" ht="14.4" hidden="1" x14ac:dyDescent="0.3">
      <c r="A3" s="25" t="s">
        <v>49</v>
      </c>
      <c r="B3" s="25" t="s">
        <v>31</v>
      </c>
      <c r="C3" s="26">
        <v>0</v>
      </c>
      <c r="D3" s="60"/>
      <c r="E3" s="60"/>
    </row>
    <row r="4" spans="1:5" s="24" customFormat="1" ht="14.4" hidden="1" x14ac:dyDescent="0.3">
      <c r="A4" s="25" t="s">
        <v>19</v>
      </c>
      <c r="B4" s="25" t="s">
        <v>4</v>
      </c>
      <c r="C4" s="26">
        <v>0</v>
      </c>
      <c r="D4" s="60"/>
      <c r="E4" s="60"/>
    </row>
    <row r="5" spans="1:5" s="24" customFormat="1" ht="14.4" hidden="1" x14ac:dyDescent="0.3">
      <c r="A5" s="25" t="s">
        <v>19</v>
      </c>
      <c r="B5" s="25" t="s">
        <v>50</v>
      </c>
      <c r="C5" s="26">
        <v>0</v>
      </c>
      <c r="D5" s="60"/>
      <c r="E5" s="60"/>
    </row>
    <row r="6" spans="1:5" s="24" customFormat="1" ht="14.4" hidden="1" x14ac:dyDescent="0.3">
      <c r="A6" s="25" t="s">
        <v>51</v>
      </c>
      <c r="B6" s="25" t="s">
        <v>53</v>
      </c>
      <c r="C6" s="26">
        <v>0</v>
      </c>
      <c r="D6" s="60"/>
      <c r="E6" s="60"/>
    </row>
    <row r="7" spans="1:5" x14ac:dyDescent="0.3">
      <c r="A7" s="29" t="s">
        <v>28</v>
      </c>
      <c r="B7" s="62" t="s">
        <v>4</v>
      </c>
      <c r="C7" s="39">
        <v>37</v>
      </c>
      <c r="D7" s="41">
        <v>17000</v>
      </c>
      <c r="E7" s="66">
        <f>+D7*C7</f>
        <v>629000</v>
      </c>
    </row>
    <row r="8" spans="1:5" s="24" customFormat="1" ht="14.4" hidden="1" x14ac:dyDescent="0.3">
      <c r="A8" s="25" t="s">
        <v>28</v>
      </c>
      <c r="B8" s="25" t="s">
        <v>31</v>
      </c>
      <c r="C8" s="26">
        <v>0</v>
      </c>
      <c r="D8" s="60"/>
      <c r="E8" s="60"/>
    </row>
    <row r="9" spans="1:5" x14ac:dyDescent="0.3">
      <c r="A9" s="29" t="s">
        <v>29</v>
      </c>
      <c r="B9" s="62" t="s">
        <v>4</v>
      </c>
      <c r="C9" s="39">
        <v>1377</v>
      </c>
      <c r="D9" s="41">
        <f>VLOOKUP(A9,'8.11'!A5:D213,4,)</f>
        <v>28000</v>
      </c>
      <c r="E9" s="66">
        <f>+D9*C9</f>
        <v>38556000</v>
      </c>
    </row>
    <row r="10" spans="1:5" s="24" customFormat="1" ht="14.4" hidden="1" x14ac:dyDescent="0.3">
      <c r="A10" s="25" t="s">
        <v>29</v>
      </c>
      <c r="B10" s="25" t="s">
        <v>150</v>
      </c>
      <c r="C10" s="26">
        <v>0</v>
      </c>
      <c r="D10" s="60"/>
      <c r="E10" s="60"/>
    </row>
    <row r="11" spans="1:5" s="24" customFormat="1" ht="14.4" hidden="1" x14ac:dyDescent="0.3">
      <c r="A11" s="25" t="s">
        <v>56</v>
      </c>
      <c r="B11" s="25" t="s">
        <v>4</v>
      </c>
      <c r="C11" s="26">
        <v>0</v>
      </c>
      <c r="D11" s="60"/>
      <c r="E11" s="60"/>
    </row>
    <row r="12" spans="1:5" x14ac:dyDescent="0.3">
      <c r="A12" s="29" t="s">
        <v>56</v>
      </c>
      <c r="B12" s="62" t="s">
        <v>31</v>
      </c>
      <c r="C12" s="39">
        <v>766</v>
      </c>
      <c r="D12" s="41">
        <f>15000*0.3</f>
        <v>4500</v>
      </c>
      <c r="E12" s="66">
        <f t="shared" ref="E12:E13" si="0">+D12*C12</f>
        <v>3447000</v>
      </c>
    </row>
    <row r="13" spans="1:5" x14ac:dyDescent="0.3">
      <c r="A13" s="29" t="s">
        <v>57</v>
      </c>
      <c r="B13" s="62" t="s">
        <v>4</v>
      </c>
      <c r="C13" s="39">
        <v>675</v>
      </c>
      <c r="D13" s="41">
        <f>VLOOKUP(A13,'8.11'!A9:D217,4,)</f>
        <v>21000</v>
      </c>
      <c r="E13" s="66">
        <f t="shared" si="0"/>
        <v>14175000</v>
      </c>
    </row>
    <row r="14" spans="1:5" s="24" customFormat="1" ht="14.4" hidden="1" x14ac:dyDescent="0.3">
      <c r="A14" s="25" t="s">
        <v>57</v>
      </c>
      <c r="B14" s="25" t="s">
        <v>31</v>
      </c>
      <c r="C14" s="26">
        <v>0</v>
      </c>
      <c r="D14" s="60"/>
      <c r="E14" s="60"/>
    </row>
    <row r="15" spans="1:5" x14ac:dyDescent="0.3">
      <c r="A15" s="29" t="s">
        <v>32</v>
      </c>
      <c r="B15" s="62" t="s">
        <v>4</v>
      </c>
      <c r="C15" s="39">
        <v>140</v>
      </c>
      <c r="D15" s="41">
        <f>VLOOKUP(A15,'8.11'!A11:D219,4,)</f>
        <v>19000</v>
      </c>
      <c r="E15" s="66">
        <f>+D15*C15</f>
        <v>2660000</v>
      </c>
    </row>
    <row r="16" spans="1:5" s="24" customFormat="1" ht="14.4" hidden="1" x14ac:dyDescent="0.3">
      <c r="A16" s="25" t="s">
        <v>32</v>
      </c>
      <c r="B16" s="25" t="s">
        <v>31</v>
      </c>
      <c r="C16" s="26">
        <v>0</v>
      </c>
      <c r="D16" s="60"/>
      <c r="E16" s="60"/>
    </row>
    <row r="17" spans="1:5" x14ac:dyDescent="0.3">
      <c r="A17" s="29" t="s">
        <v>34</v>
      </c>
      <c r="B17" s="62" t="s">
        <v>4</v>
      </c>
      <c r="C17" s="39">
        <v>155</v>
      </c>
      <c r="D17" s="41">
        <f>VLOOKUP(A17,'8.11'!A13:D221,4,)</f>
        <v>15000</v>
      </c>
      <c r="E17" s="66">
        <f>+D17*C17</f>
        <v>2325000</v>
      </c>
    </row>
    <row r="18" spans="1:5" s="24" customFormat="1" ht="14.4" hidden="1" x14ac:dyDescent="0.3">
      <c r="A18" s="25" t="s">
        <v>34</v>
      </c>
      <c r="B18" s="25" t="s">
        <v>31</v>
      </c>
      <c r="C18" s="26">
        <v>0</v>
      </c>
      <c r="D18" s="60"/>
      <c r="E18" s="60"/>
    </row>
    <row r="19" spans="1:5" s="24" customFormat="1" ht="14.4" hidden="1" x14ac:dyDescent="0.3">
      <c r="A19" s="25" t="s">
        <v>60</v>
      </c>
      <c r="B19" s="25" t="s">
        <v>4</v>
      </c>
      <c r="C19" s="26">
        <v>0</v>
      </c>
      <c r="D19" s="60"/>
      <c r="E19" s="60"/>
    </row>
    <row r="20" spans="1:5" s="24" customFormat="1" ht="14.4" hidden="1" x14ac:dyDescent="0.3">
      <c r="A20" s="25" t="s">
        <v>60</v>
      </c>
      <c r="B20" s="25" t="s">
        <v>50</v>
      </c>
      <c r="C20" s="26">
        <v>0</v>
      </c>
      <c r="D20" s="60"/>
      <c r="E20" s="60"/>
    </row>
    <row r="21" spans="1:5" x14ac:dyDescent="0.3">
      <c r="A21" s="29" t="s">
        <v>6</v>
      </c>
      <c r="B21" s="62" t="s">
        <v>4</v>
      </c>
      <c r="C21" s="39">
        <v>645</v>
      </c>
      <c r="D21" s="41">
        <f>VLOOKUP(A21,'8.11'!A17:D225,4,)</f>
        <v>11000</v>
      </c>
      <c r="E21" s="66">
        <f>+D21*C21</f>
        <v>7095000</v>
      </c>
    </row>
    <row r="22" spans="1:5" s="24" customFormat="1" ht="14.4" hidden="1" x14ac:dyDescent="0.3">
      <c r="A22" s="25" t="s">
        <v>62</v>
      </c>
      <c r="B22" s="25" t="s">
        <v>4</v>
      </c>
      <c r="C22" s="26">
        <v>0</v>
      </c>
      <c r="D22" s="60"/>
      <c r="E22" s="60"/>
    </row>
    <row r="23" spans="1:5" x14ac:dyDescent="0.3">
      <c r="A23" s="29" t="s">
        <v>62</v>
      </c>
      <c r="B23" s="62" t="s">
        <v>31</v>
      </c>
      <c r="C23" s="39">
        <v>17</v>
      </c>
      <c r="D23" s="41">
        <f>38000*0.3</f>
        <v>11400</v>
      </c>
      <c r="E23" s="66">
        <f>+D23*C23</f>
        <v>193800</v>
      </c>
    </row>
    <row r="24" spans="1:5" s="24" customFormat="1" ht="14.4" hidden="1" x14ac:dyDescent="0.3">
      <c r="A24" s="25" t="s">
        <v>64</v>
      </c>
      <c r="B24" s="25" t="s">
        <v>4</v>
      </c>
      <c r="C24" s="26">
        <v>0</v>
      </c>
      <c r="D24" s="60"/>
      <c r="E24" s="60"/>
    </row>
    <row r="25" spans="1:5" s="24" customFormat="1" ht="14.4" hidden="1" x14ac:dyDescent="0.3">
      <c r="A25" s="25" t="s">
        <v>64</v>
      </c>
      <c r="B25" s="25" t="s">
        <v>31</v>
      </c>
      <c r="C25" s="26">
        <v>0</v>
      </c>
      <c r="D25" s="60"/>
      <c r="E25" s="60"/>
    </row>
    <row r="26" spans="1:5" s="24" customFormat="1" ht="14.4" hidden="1" x14ac:dyDescent="0.3">
      <c r="A26" s="25" t="s">
        <v>64</v>
      </c>
      <c r="B26" s="25" t="s">
        <v>65</v>
      </c>
      <c r="C26" s="26">
        <v>0</v>
      </c>
      <c r="D26" s="60"/>
      <c r="E26" s="60"/>
    </row>
    <row r="27" spans="1:5" x14ac:dyDescent="0.3">
      <c r="A27" s="29" t="s">
        <v>22</v>
      </c>
      <c r="B27" s="62" t="s">
        <v>4</v>
      </c>
      <c r="C27" s="39">
        <v>4200</v>
      </c>
      <c r="D27" s="41">
        <f>VLOOKUP(A27,'8.11'!A23:D231,4,)</f>
        <v>7500</v>
      </c>
      <c r="E27" s="66">
        <f>+D27*C27</f>
        <v>31500000</v>
      </c>
    </row>
    <row r="28" spans="1:5" s="24" customFormat="1" ht="14.4" hidden="1" x14ac:dyDescent="0.3">
      <c r="A28" s="25" t="s">
        <v>24</v>
      </c>
      <c r="B28" s="25" t="s">
        <v>66</v>
      </c>
      <c r="C28" s="26">
        <v>0</v>
      </c>
      <c r="D28" s="60"/>
      <c r="E28" s="60"/>
    </row>
    <row r="29" spans="1:5" x14ac:dyDescent="0.3">
      <c r="A29" s="29" t="s">
        <v>24</v>
      </c>
      <c r="B29" s="62" t="s">
        <v>4</v>
      </c>
      <c r="C29" s="39">
        <v>125</v>
      </c>
      <c r="D29" s="41">
        <v>10000</v>
      </c>
      <c r="E29" s="66">
        <f>+D29*C29</f>
        <v>1250000</v>
      </c>
    </row>
    <row r="30" spans="1:5" s="24" customFormat="1" ht="14.4" hidden="1" x14ac:dyDescent="0.3">
      <c r="A30" s="25" t="s">
        <v>24</v>
      </c>
      <c r="B30" s="25" t="s">
        <v>31</v>
      </c>
      <c r="C30" s="26">
        <v>0</v>
      </c>
      <c r="D30" s="60"/>
      <c r="E30" s="60"/>
    </row>
    <row r="31" spans="1:5" s="24" customFormat="1" ht="14.4" hidden="1" x14ac:dyDescent="0.3">
      <c r="A31" s="25" t="s">
        <v>75</v>
      </c>
      <c r="B31" s="25" t="s">
        <v>4</v>
      </c>
      <c r="C31" s="26">
        <v>0</v>
      </c>
      <c r="D31" s="60"/>
      <c r="E31" s="60"/>
    </row>
    <row r="32" spans="1:5" x14ac:dyDescent="0.3">
      <c r="A32" s="29" t="s">
        <v>8</v>
      </c>
      <c r="B32" s="62" t="s">
        <v>4</v>
      </c>
      <c r="C32" s="39">
        <v>590</v>
      </c>
      <c r="D32" s="41">
        <f>VLOOKUP(A32,'8.11'!A28:D236,4,)</f>
        <v>5200</v>
      </c>
      <c r="E32" s="66">
        <f t="shared" ref="E32:E33" si="1">+D32*C32</f>
        <v>3068000</v>
      </c>
    </row>
    <row r="33" spans="1:5" x14ac:dyDescent="0.3">
      <c r="A33" s="29" t="s">
        <v>10</v>
      </c>
      <c r="B33" s="62" t="s">
        <v>4</v>
      </c>
      <c r="C33" s="39">
        <v>152</v>
      </c>
      <c r="D33" s="41">
        <v>23000</v>
      </c>
      <c r="E33" s="66">
        <f t="shared" si="1"/>
        <v>3496000</v>
      </c>
    </row>
    <row r="34" spans="1:5" s="24" customFormat="1" ht="14.4" hidden="1" x14ac:dyDescent="0.3">
      <c r="A34" s="25" t="s">
        <v>10</v>
      </c>
      <c r="B34" s="25" t="s">
        <v>84</v>
      </c>
      <c r="C34" s="26">
        <v>0</v>
      </c>
      <c r="D34" s="60"/>
      <c r="E34" s="60"/>
    </row>
    <row r="35" spans="1:5" s="24" customFormat="1" ht="14.4" hidden="1" x14ac:dyDescent="0.3">
      <c r="A35" s="25" t="s">
        <v>10</v>
      </c>
      <c r="B35" s="25" t="s">
        <v>192</v>
      </c>
      <c r="C35" s="26">
        <v>0</v>
      </c>
      <c r="D35" s="60"/>
      <c r="E35" s="60"/>
    </row>
    <row r="36" spans="1:5" x14ac:dyDescent="0.3">
      <c r="A36" s="29" t="s">
        <v>11</v>
      </c>
      <c r="B36" s="62" t="s">
        <v>4</v>
      </c>
      <c r="C36" s="39">
        <v>48</v>
      </c>
      <c r="D36" s="41">
        <f>VLOOKUP(A36,'8.11'!A32:D240,4,)</f>
        <v>15000</v>
      </c>
      <c r="E36" s="66">
        <f>+D36*C36</f>
        <v>720000</v>
      </c>
    </row>
    <row r="37" spans="1:5" s="24" customFormat="1" ht="14.4" hidden="1" x14ac:dyDescent="0.3">
      <c r="A37" s="25" t="s">
        <v>11</v>
      </c>
      <c r="B37" s="25" t="s">
        <v>84</v>
      </c>
      <c r="C37" s="26">
        <v>0</v>
      </c>
      <c r="D37" s="60"/>
      <c r="E37" s="60"/>
    </row>
    <row r="38" spans="1:5" x14ac:dyDescent="0.3">
      <c r="A38" s="29" t="s">
        <v>15</v>
      </c>
      <c r="B38" s="62" t="s">
        <v>4</v>
      </c>
      <c r="C38" s="39">
        <v>220</v>
      </c>
      <c r="D38" s="41">
        <f>VLOOKUP(A38,'8.11'!A34:D242,4,)</f>
        <v>25000</v>
      </c>
      <c r="E38" s="66">
        <f>+D38*C38</f>
        <v>5500000</v>
      </c>
    </row>
    <row r="39" spans="1:5" s="24" customFormat="1" ht="14.4" hidden="1" x14ac:dyDescent="0.3">
      <c r="A39" s="25" t="s">
        <v>15</v>
      </c>
      <c r="B39" s="25" t="s">
        <v>50</v>
      </c>
      <c r="C39" s="26">
        <v>0</v>
      </c>
      <c r="D39" s="60"/>
      <c r="E39" s="60"/>
    </row>
    <row r="40" spans="1:5" s="24" customFormat="1" ht="14.4" hidden="1" x14ac:dyDescent="0.3">
      <c r="A40" s="25" t="s">
        <v>15</v>
      </c>
      <c r="B40" s="25" t="s">
        <v>164</v>
      </c>
      <c r="C40" s="26">
        <v>0</v>
      </c>
      <c r="D40" s="60"/>
      <c r="E40" s="60"/>
    </row>
    <row r="41" spans="1:5" x14ac:dyDescent="0.3">
      <c r="A41" s="29" t="s">
        <v>18</v>
      </c>
      <c r="B41" s="62" t="s">
        <v>4</v>
      </c>
      <c r="C41" s="39">
        <v>280</v>
      </c>
      <c r="D41" s="41">
        <v>17000</v>
      </c>
      <c r="E41" s="66">
        <f>+D41*C41</f>
        <v>4760000</v>
      </c>
    </row>
    <row r="42" spans="1:5" s="24" customFormat="1" ht="14.4" hidden="1" x14ac:dyDescent="0.3">
      <c r="A42" s="25" t="s">
        <v>18</v>
      </c>
      <c r="B42" s="25" t="s">
        <v>50</v>
      </c>
      <c r="C42" s="26">
        <v>0</v>
      </c>
      <c r="D42" s="60"/>
      <c r="E42" s="60"/>
    </row>
    <row r="43" spans="1:5" x14ac:dyDescent="0.3">
      <c r="A43" s="29" t="s">
        <v>92</v>
      </c>
      <c r="B43" s="62" t="s">
        <v>31</v>
      </c>
      <c r="C43" s="39">
        <v>120</v>
      </c>
      <c r="D43" s="41">
        <v>14000</v>
      </c>
      <c r="E43" s="66">
        <f>+D43*C43</f>
        <v>1680000</v>
      </c>
    </row>
    <row r="44" spans="1:5" s="24" customFormat="1" ht="14.4" hidden="1" x14ac:dyDescent="0.3">
      <c r="A44" s="25" t="s">
        <v>39</v>
      </c>
      <c r="B44" s="25" t="s">
        <v>4</v>
      </c>
      <c r="C44" s="26">
        <v>0</v>
      </c>
      <c r="D44" s="60"/>
      <c r="E44" s="60"/>
    </row>
    <row r="45" spans="1:5" x14ac:dyDescent="0.3">
      <c r="A45" s="29" t="s">
        <v>39</v>
      </c>
      <c r="B45" s="62" t="s">
        <v>50</v>
      </c>
      <c r="C45" s="39">
        <v>229</v>
      </c>
      <c r="D45" s="41">
        <v>6000</v>
      </c>
      <c r="E45" s="66">
        <f>+D45*C45</f>
        <v>1374000</v>
      </c>
    </row>
    <row r="46" spans="1:5" s="24" customFormat="1" ht="14.4" hidden="1" x14ac:dyDescent="0.3">
      <c r="A46" s="25" t="s">
        <v>100</v>
      </c>
      <c r="B46" s="25" t="s">
        <v>4</v>
      </c>
      <c r="C46" s="26">
        <v>0</v>
      </c>
      <c r="D46" s="60"/>
      <c r="E46" s="60"/>
    </row>
    <row r="47" spans="1:5" x14ac:dyDescent="0.3">
      <c r="A47" s="29" t="s">
        <v>43</v>
      </c>
      <c r="B47" s="62" t="s">
        <v>4</v>
      </c>
      <c r="C47" s="39">
        <v>35</v>
      </c>
      <c r="D47" s="41">
        <f>VLOOKUP(A47,'8.11'!A43:D251,4,)</f>
        <v>42000</v>
      </c>
      <c r="E47" s="66">
        <f>+D47*C47</f>
        <v>1470000</v>
      </c>
    </row>
    <row r="48" spans="1:5" s="24" customFormat="1" ht="14.4" hidden="1" x14ac:dyDescent="0.3">
      <c r="A48" s="25" t="s">
        <v>43</v>
      </c>
      <c r="B48" s="25" t="s">
        <v>84</v>
      </c>
      <c r="C48" s="26">
        <v>0</v>
      </c>
      <c r="D48" s="60"/>
      <c r="E48" s="60"/>
    </row>
    <row r="49" spans="1:5" x14ac:dyDescent="0.3">
      <c r="A49" s="29" t="s">
        <v>44</v>
      </c>
      <c r="B49" s="62" t="s">
        <v>4</v>
      </c>
      <c r="C49" s="39">
        <v>83</v>
      </c>
      <c r="D49" s="41">
        <f>VLOOKUP(A49,'8.11'!A45:D253,4,)</f>
        <v>22000</v>
      </c>
      <c r="E49" s="66">
        <f>+D49*C49</f>
        <v>1826000</v>
      </c>
    </row>
    <row r="50" spans="1:5" s="24" customFormat="1" ht="14.4" hidden="1" x14ac:dyDescent="0.3">
      <c r="A50" s="25" t="s">
        <v>44</v>
      </c>
      <c r="B50" s="25" t="s">
        <v>84</v>
      </c>
      <c r="C50" s="26">
        <v>0</v>
      </c>
      <c r="D50" s="60"/>
      <c r="E50" s="60"/>
    </row>
    <row r="51" spans="1:5" s="24" customFormat="1" ht="14.4" hidden="1" x14ac:dyDescent="0.3">
      <c r="A51" s="25" t="s">
        <v>44</v>
      </c>
      <c r="B51" s="25" t="s">
        <v>193</v>
      </c>
      <c r="C51" s="26">
        <v>0</v>
      </c>
      <c r="D51" s="60"/>
      <c r="E51" s="60"/>
    </row>
    <row r="52" spans="1:5" x14ac:dyDescent="0.3">
      <c r="A52" s="29" t="s">
        <v>45</v>
      </c>
      <c r="B52" s="62" t="s">
        <v>4</v>
      </c>
      <c r="C52" s="39">
        <v>172</v>
      </c>
      <c r="D52" s="41">
        <f>VLOOKUP(A52,'8.11'!A48:D256,4,)</f>
        <v>30000</v>
      </c>
      <c r="E52" s="66">
        <f>+D52*C52</f>
        <v>5160000</v>
      </c>
    </row>
    <row r="53" spans="1:5" s="24" customFormat="1" ht="14.4" hidden="1" x14ac:dyDescent="0.3">
      <c r="A53" s="25" t="s">
        <v>45</v>
      </c>
      <c r="B53" s="25" t="s">
        <v>84</v>
      </c>
      <c r="C53" s="26">
        <v>0</v>
      </c>
      <c r="D53" s="60"/>
      <c r="E53" s="60"/>
    </row>
    <row r="54" spans="1:5" s="24" customFormat="1" ht="14.4" hidden="1" x14ac:dyDescent="0.3">
      <c r="A54" s="25" t="s">
        <v>45</v>
      </c>
      <c r="B54" s="25" t="s">
        <v>193</v>
      </c>
      <c r="C54" s="26">
        <v>0</v>
      </c>
      <c r="D54" s="60"/>
      <c r="E54" s="60"/>
    </row>
    <row r="55" spans="1:5" s="24" customFormat="1" ht="14.4" hidden="1" x14ac:dyDescent="0.3">
      <c r="A55" s="25" t="s">
        <v>12</v>
      </c>
      <c r="B55" s="25" t="s">
        <v>4</v>
      </c>
      <c r="C55" s="26">
        <v>0</v>
      </c>
      <c r="D55" s="60"/>
      <c r="E55" s="60"/>
    </row>
    <row r="56" spans="1:5" s="24" customFormat="1" ht="14.4" hidden="1" x14ac:dyDescent="0.3">
      <c r="A56" s="25" t="s">
        <v>116</v>
      </c>
      <c r="B56" s="25" t="s">
        <v>50</v>
      </c>
      <c r="C56" s="26">
        <v>0</v>
      </c>
      <c r="D56" s="60"/>
      <c r="E56" s="60"/>
    </row>
    <row r="57" spans="1:5" x14ac:dyDescent="0.3">
      <c r="A57" s="29" t="s">
        <v>117</v>
      </c>
      <c r="B57" s="62" t="s">
        <v>4</v>
      </c>
      <c r="C57" s="39">
        <v>250</v>
      </c>
      <c r="D57" s="41">
        <f>VLOOKUP(A57,'8.11'!A53:D261,4,)</f>
        <v>21000</v>
      </c>
      <c r="E57" s="66">
        <f t="shared" ref="E57:E58" si="2">+D57*C57</f>
        <v>5250000</v>
      </c>
    </row>
    <row r="58" spans="1:5" x14ac:dyDescent="0.3">
      <c r="A58" s="29" t="s">
        <v>17</v>
      </c>
      <c r="B58" s="62" t="s">
        <v>4</v>
      </c>
      <c r="C58" s="39">
        <v>4.5</v>
      </c>
      <c r="D58" s="41">
        <f>VLOOKUP(A58,'8.11'!A54:D262,4,)</f>
        <v>38000</v>
      </c>
      <c r="E58" s="66">
        <f t="shared" si="2"/>
        <v>171000</v>
      </c>
    </row>
    <row r="59" spans="1:5" s="24" customFormat="1" ht="14.4" hidden="1" x14ac:dyDescent="0.3">
      <c r="A59" s="25" t="s">
        <v>17</v>
      </c>
      <c r="B59" s="25" t="s">
        <v>147</v>
      </c>
      <c r="C59" s="26">
        <v>0</v>
      </c>
      <c r="D59" s="60"/>
      <c r="E59" s="60"/>
    </row>
    <row r="60" spans="1:5" s="24" customFormat="1" ht="14.4" hidden="1" x14ac:dyDescent="0.3">
      <c r="A60" s="25" t="s">
        <v>118</v>
      </c>
      <c r="B60" s="25" t="s">
        <v>4</v>
      </c>
      <c r="C60" s="26">
        <v>0</v>
      </c>
      <c r="D60" s="60"/>
      <c r="E60" s="60"/>
    </row>
    <row r="61" spans="1:5" x14ac:dyDescent="0.3">
      <c r="A61" s="29" t="s">
        <v>41</v>
      </c>
      <c r="B61" s="62" t="s">
        <v>4</v>
      </c>
      <c r="C61" s="39">
        <f>770</f>
        <v>770</v>
      </c>
      <c r="D61" s="41">
        <f>VLOOKUP(A61,'8.11'!A57:D265,4,)</f>
        <v>28600</v>
      </c>
      <c r="E61" s="66">
        <f>+D61*C61</f>
        <v>22022000</v>
      </c>
    </row>
    <row r="62" spans="1:5" s="24" customFormat="1" ht="14.4" hidden="1" x14ac:dyDescent="0.3">
      <c r="A62" s="25" t="s">
        <v>3</v>
      </c>
      <c r="B62" s="25" t="s">
        <v>4</v>
      </c>
      <c r="C62" s="26">
        <v>0</v>
      </c>
      <c r="D62" s="60"/>
      <c r="E62" s="60"/>
    </row>
    <row r="63" spans="1:5" x14ac:dyDescent="0.3">
      <c r="A63" s="29" t="s">
        <v>5</v>
      </c>
      <c r="B63" s="62" t="s">
        <v>4</v>
      </c>
      <c r="C63" s="39">
        <v>25</v>
      </c>
      <c r="D63" s="41">
        <f>VLOOKUP(A63,'8.11'!A59:D267,4,)</f>
        <v>12000</v>
      </c>
      <c r="E63" s="66">
        <f>+D63*C63</f>
        <v>300000</v>
      </c>
    </row>
    <row r="64" spans="1:5" s="24" customFormat="1" ht="14.4" hidden="1" x14ac:dyDescent="0.3">
      <c r="A64" s="25" t="s">
        <v>7</v>
      </c>
      <c r="B64" s="25" t="s">
        <v>4</v>
      </c>
      <c r="C64" s="26">
        <v>0</v>
      </c>
      <c r="D64" s="60"/>
      <c r="E64" s="60"/>
    </row>
    <row r="65" spans="1:5" s="24" customFormat="1" ht="14.4" hidden="1" x14ac:dyDescent="0.3">
      <c r="A65" s="25" t="s">
        <v>7</v>
      </c>
      <c r="B65" s="25" t="s">
        <v>84</v>
      </c>
      <c r="C65" s="26">
        <v>0</v>
      </c>
      <c r="D65" s="60"/>
      <c r="E65" s="60"/>
    </row>
    <row r="66" spans="1:5" s="24" customFormat="1" ht="14.4" hidden="1" x14ac:dyDescent="0.3">
      <c r="A66" s="25" t="s">
        <v>106</v>
      </c>
      <c r="B66" s="25" t="s">
        <v>4</v>
      </c>
      <c r="C66" s="26">
        <v>0</v>
      </c>
      <c r="D66" s="60"/>
      <c r="E66" s="60"/>
    </row>
    <row r="67" spans="1:5" s="24" customFormat="1" ht="14.4" hidden="1" x14ac:dyDescent="0.3">
      <c r="A67" s="25" t="s">
        <v>59</v>
      </c>
      <c r="B67" s="25" t="s">
        <v>4</v>
      </c>
      <c r="C67" s="26">
        <v>0</v>
      </c>
      <c r="D67" s="60"/>
      <c r="E67" s="60"/>
    </row>
    <row r="68" spans="1:5" x14ac:dyDescent="0.3">
      <c r="A68" s="29" t="s">
        <v>16</v>
      </c>
      <c r="B68" s="62" t="s">
        <v>4</v>
      </c>
      <c r="C68" s="39">
        <v>50</v>
      </c>
      <c r="D68" s="41">
        <f>VLOOKUP(A68,'8.11'!A64:D272,4,)</f>
        <v>17000</v>
      </c>
      <c r="E68" s="66">
        <f>+D68*C68</f>
        <v>850000</v>
      </c>
    </row>
    <row r="69" spans="1:5" s="24" customFormat="1" ht="14.4" hidden="1" x14ac:dyDescent="0.3">
      <c r="A69" s="25" t="s">
        <v>16</v>
      </c>
      <c r="B69" s="25" t="s">
        <v>165</v>
      </c>
      <c r="C69" s="26">
        <v>0</v>
      </c>
      <c r="D69" s="60"/>
      <c r="E69" s="60"/>
    </row>
    <row r="70" spans="1:5" s="24" customFormat="1" ht="14.4" hidden="1" x14ac:dyDescent="0.3">
      <c r="A70" s="25" t="s">
        <v>89</v>
      </c>
      <c r="B70" s="25" t="s">
        <v>53</v>
      </c>
      <c r="C70" s="26">
        <v>0</v>
      </c>
      <c r="D70" s="60"/>
      <c r="E70" s="60"/>
    </row>
    <row r="71" spans="1:5" s="24" customFormat="1" ht="14.4" hidden="1" x14ac:dyDescent="0.3">
      <c r="A71" s="25" t="s">
        <v>89</v>
      </c>
      <c r="B71" s="25" t="s">
        <v>4</v>
      </c>
      <c r="C71" s="26">
        <v>0</v>
      </c>
      <c r="D71" s="60"/>
      <c r="E71" s="60"/>
    </row>
    <row r="72" spans="1:5" s="24" customFormat="1" ht="14.4" hidden="1" x14ac:dyDescent="0.3">
      <c r="A72" s="25" t="s">
        <v>90</v>
      </c>
      <c r="B72" s="25" t="s">
        <v>4</v>
      </c>
      <c r="C72" s="26">
        <v>0</v>
      </c>
      <c r="D72" s="60"/>
      <c r="E72" s="60"/>
    </row>
    <row r="73" spans="1:5" s="24" customFormat="1" ht="14.4" hidden="1" x14ac:dyDescent="0.3">
      <c r="A73" s="25" t="s">
        <v>90</v>
      </c>
      <c r="B73" s="25" t="s">
        <v>147</v>
      </c>
      <c r="C73" s="26">
        <v>0</v>
      </c>
      <c r="D73" s="60"/>
      <c r="E73" s="60"/>
    </row>
    <row r="74" spans="1:5" s="24" customFormat="1" ht="14.4" hidden="1" x14ac:dyDescent="0.3">
      <c r="A74" s="25" t="s">
        <v>90</v>
      </c>
      <c r="B74" s="25" t="s">
        <v>148</v>
      </c>
      <c r="C74" s="26">
        <v>0</v>
      </c>
      <c r="D74" s="60"/>
      <c r="E74" s="60"/>
    </row>
    <row r="75" spans="1:5" s="24" customFormat="1" ht="14.4" hidden="1" x14ac:dyDescent="0.3">
      <c r="A75" s="25" t="s">
        <v>132</v>
      </c>
      <c r="B75" s="25" t="s">
        <v>4</v>
      </c>
      <c r="C75" s="26">
        <v>0</v>
      </c>
      <c r="D75" s="60"/>
      <c r="E75" s="60"/>
    </row>
    <row r="76" spans="1:5" s="24" customFormat="1" ht="14.4" hidden="1" x14ac:dyDescent="0.3">
      <c r="A76" s="25" t="s">
        <v>132</v>
      </c>
      <c r="B76" s="25" t="s">
        <v>31</v>
      </c>
      <c r="C76" s="26">
        <v>0</v>
      </c>
      <c r="D76" s="60"/>
      <c r="E76" s="60"/>
    </row>
    <row r="77" spans="1:5" s="24" customFormat="1" ht="14.4" hidden="1" x14ac:dyDescent="0.3">
      <c r="A77" s="25" t="s">
        <v>94</v>
      </c>
      <c r="B77" s="25" t="s">
        <v>50</v>
      </c>
      <c r="C77" s="26">
        <v>0</v>
      </c>
      <c r="D77" s="60"/>
      <c r="E77" s="60"/>
    </row>
    <row r="78" spans="1:5" s="24" customFormat="1" ht="14.4" hidden="1" x14ac:dyDescent="0.3">
      <c r="A78" s="25" t="s">
        <v>27</v>
      </c>
      <c r="B78" s="25" t="s">
        <v>4</v>
      </c>
      <c r="C78" s="26">
        <v>0</v>
      </c>
      <c r="D78" s="60"/>
      <c r="E78" s="60"/>
    </row>
    <row r="79" spans="1:5" s="24" customFormat="1" ht="14.4" hidden="1" x14ac:dyDescent="0.3">
      <c r="A79" s="25" t="s">
        <v>55</v>
      </c>
      <c r="B79" s="25" t="s">
        <v>4</v>
      </c>
      <c r="C79" s="26">
        <v>0</v>
      </c>
      <c r="D79" s="60"/>
      <c r="E79" s="60"/>
    </row>
    <row r="80" spans="1:5" s="24" customFormat="1" ht="14.4" hidden="1" x14ac:dyDescent="0.3">
      <c r="A80" s="25" t="s">
        <v>55</v>
      </c>
      <c r="B80" s="25" t="s">
        <v>31</v>
      </c>
      <c r="C80" s="26">
        <v>0</v>
      </c>
      <c r="D80" s="60"/>
      <c r="E80" s="60"/>
    </row>
    <row r="81" spans="1:5" s="24" customFormat="1" ht="14.4" hidden="1" x14ac:dyDescent="0.3">
      <c r="A81" s="25" t="s">
        <v>58</v>
      </c>
      <c r="B81" s="25" t="s">
        <v>4</v>
      </c>
      <c r="C81" s="26">
        <v>0</v>
      </c>
      <c r="D81" s="60"/>
      <c r="E81" s="60"/>
    </row>
    <row r="82" spans="1:5" x14ac:dyDescent="0.3">
      <c r="A82" s="29" t="s">
        <v>35</v>
      </c>
      <c r="B82" s="62" t="s">
        <v>4</v>
      </c>
      <c r="C82" s="39">
        <v>11</v>
      </c>
      <c r="D82" s="41">
        <v>18000</v>
      </c>
      <c r="E82" s="66">
        <f t="shared" ref="E82:E83" si="3">+D82*C82</f>
        <v>198000</v>
      </c>
    </row>
    <row r="83" spans="1:5" x14ac:dyDescent="0.3">
      <c r="A83" s="29" t="s">
        <v>37</v>
      </c>
      <c r="B83" s="62" t="s">
        <v>4</v>
      </c>
      <c r="C83" s="39">
        <v>8</v>
      </c>
      <c r="D83" s="41">
        <v>11000</v>
      </c>
      <c r="E83" s="66">
        <f t="shared" si="3"/>
        <v>88000</v>
      </c>
    </row>
    <row r="84" spans="1:5" s="24" customFormat="1" ht="14.4" hidden="1" x14ac:dyDescent="0.3">
      <c r="A84" s="25" t="s">
        <v>37</v>
      </c>
      <c r="B84" s="25" t="s">
        <v>150</v>
      </c>
      <c r="C84" s="26">
        <v>0</v>
      </c>
      <c r="D84" s="60"/>
      <c r="E84" s="60"/>
    </row>
    <row r="85" spans="1:5" s="24" customFormat="1" ht="14.4" hidden="1" x14ac:dyDescent="0.3">
      <c r="A85" s="25" t="s">
        <v>37</v>
      </c>
      <c r="B85" s="25" t="s">
        <v>151</v>
      </c>
      <c r="C85" s="26">
        <v>0</v>
      </c>
      <c r="D85" s="60"/>
      <c r="E85" s="60"/>
    </row>
    <row r="86" spans="1:5" s="24" customFormat="1" ht="14.4" hidden="1" x14ac:dyDescent="0.3">
      <c r="A86" s="25" t="s">
        <v>96</v>
      </c>
      <c r="B86" s="25" t="s">
        <v>4</v>
      </c>
      <c r="C86" s="26">
        <v>0</v>
      </c>
      <c r="D86" s="60"/>
      <c r="E86" s="60"/>
    </row>
    <row r="87" spans="1:5" s="24" customFormat="1" ht="14.4" hidden="1" x14ac:dyDescent="0.3">
      <c r="A87" s="25" t="s">
        <v>96</v>
      </c>
      <c r="B87" s="25" t="s">
        <v>50</v>
      </c>
      <c r="C87" s="26">
        <v>0</v>
      </c>
      <c r="D87" s="60"/>
      <c r="E87" s="60"/>
    </row>
    <row r="88" spans="1:5" s="24" customFormat="1" ht="14.4" hidden="1" x14ac:dyDescent="0.3">
      <c r="A88" s="25" t="s">
        <v>113</v>
      </c>
      <c r="B88" s="25" t="s">
        <v>31</v>
      </c>
      <c r="C88" s="26">
        <v>0</v>
      </c>
      <c r="D88" s="60"/>
      <c r="E88" s="60"/>
    </row>
    <row r="89" spans="1:5" s="24" customFormat="1" ht="14.4" hidden="1" x14ac:dyDescent="0.3">
      <c r="A89" s="25" t="s">
        <v>99</v>
      </c>
      <c r="B89" s="25" t="s">
        <v>4</v>
      </c>
      <c r="C89" s="26">
        <v>0</v>
      </c>
      <c r="D89" s="60"/>
      <c r="E89" s="60"/>
    </row>
    <row r="90" spans="1:5" s="24" customFormat="1" ht="14.4" hidden="1" x14ac:dyDescent="0.3">
      <c r="A90" s="25" t="s">
        <v>99</v>
      </c>
      <c r="B90" s="25" t="s">
        <v>31</v>
      </c>
      <c r="C90" s="26">
        <v>0</v>
      </c>
      <c r="D90" s="60"/>
      <c r="E90" s="60"/>
    </row>
    <row r="91" spans="1:5" s="24" customFormat="1" ht="14.4" hidden="1" x14ac:dyDescent="0.3">
      <c r="A91" s="25" t="s">
        <v>40</v>
      </c>
      <c r="B91" s="25" t="s">
        <v>66</v>
      </c>
      <c r="C91" s="26">
        <v>0</v>
      </c>
      <c r="D91" s="60"/>
      <c r="E91" s="60"/>
    </row>
    <row r="92" spans="1:5" x14ac:dyDescent="0.3">
      <c r="A92" s="29" t="s">
        <v>40</v>
      </c>
      <c r="B92" s="62" t="s">
        <v>4</v>
      </c>
      <c r="C92" s="39">
        <v>20</v>
      </c>
      <c r="D92" s="41">
        <v>43000</v>
      </c>
      <c r="E92" s="66">
        <f t="shared" ref="E92:E93" si="4">+D92*C92</f>
        <v>860000</v>
      </c>
    </row>
    <row r="93" spans="1:5" x14ac:dyDescent="0.3">
      <c r="A93" s="29" t="s">
        <v>121</v>
      </c>
      <c r="B93" s="62" t="s">
        <v>53</v>
      </c>
      <c r="C93" s="39">
        <v>5</v>
      </c>
      <c r="D93" s="41">
        <v>100000</v>
      </c>
      <c r="E93" s="66">
        <f t="shared" si="4"/>
        <v>500000</v>
      </c>
    </row>
    <row r="94" spans="1:5" s="24" customFormat="1" ht="14.4" hidden="1" x14ac:dyDescent="0.3">
      <c r="A94" s="25" t="s">
        <v>121</v>
      </c>
      <c r="B94" s="25" t="s">
        <v>4</v>
      </c>
      <c r="C94" s="26">
        <v>0</v>
      </c>
      <c r="D94" s="60"/>
      <c r="E94" s="60"/>
    </row>
    <row r="95" spans="1:5" s="24" customFormat="1" ht="14.4" hidden="1" x14ac:dyDescent="0.3">
      <c r="A95" s="25" t="s">
        <v>126</v>
      </c>
      <c r="B95" s="25" t="s">
        <v>73</v>
      </c>
      <c r="C95" s="26">
        <v>0</v>
      </c>
      <c r="D95" s="60"/>
      <c r="E95" s="60"/>
    </row>
    <row r="96" spans="1:5" s="24" customFormat="1" ht="14.4" hidden="1" x14ac:dyDescent="0.3">
      <c r="A96" s="25" t="s">
        <v>69</v>
      </c>
      <c r="B96" s="25" t="s">
        <v>31</v>
      </c>
      <c r="C96" s="26">
        <v>0</v>
      </c>
      <c r="D96" s="60"/>
      <c r="E96" s="60"/>
    </row>
    <row r="97" spans="1:5" s="24" customFormat="1" ht="14.4" hidden="1" x14ac:dyDescent="0.3">
      <c r="A97" s="25" t="s">
        <v>42</v>
      </c>
      <c r="B97" s="25" t="s">
        <v>4</v>
      </c>
      <c r="C97" s="26">
        <v>0</v>
      </c>
      <c r="D97" s="60"/>
      <c r="E97" s="60"/>
    </row>
    <row r="98" spans="1:5" s="24" customFormat="1" ht="14.4" hidden="1" x14ac:dyDescent="0.3">
      <c r="A98" s="25" t="s">
        <v>42</v>
      </c>
      <c r="B98" s="25" t="s">
        <v>31</v>
      </c>
      <c r="C98" s="26">
        <v>0</v>
      </c>
      <c r="D98" s="60"/>
      <c r="E98" s="60"/>
    </row>
    <row r="99" spans="1:5" s="24" customFormat="1" ht="14.4" hidden="1" x14ac:dyDescent="0.3">
      <c r="A99" s="25" t="s">
        <v>67</v>
      </c>
      <c r="B99" s="25" t="s">
        <v>4</v>
      </c>
      <c r="C99" s="26">
        <v>0</v>
      </c>
      <c r="D99" s="60"/>
      <c r="E99" s="60"/>
    </row>
    <row r="100" spans="1:5" s="24" customFormat="1" ht="14.4" hidden="1" x14ac:dyDescent="0.3">
      <c r="A100" s="25" t="s">
        <v>68</v>
      </c>
      <c r="B100" s="25" t="s">
        <v>4</v>
      </c>
      <c r="C100" s="26">
        <v>0</v>
      </c>
      <c r="D100" s="60"/>
      <c r="E100" s="60"/>
    </row>
    <row r="101" spans="1:5" s="24" customFormat="1" ht="14.4" hidden="1" x14ac:dyDescent="0.3">
      <c r="A101" s="25" t="s">
        <v>68</v>
      </c>
      <c r="B101" s="25" t="s">
        <v>31</v>
      </c>
      <c r="C101" s="26">
        <v>0</v>
      </c>
      <c r="D101" s="60"/>
      <c r="E101" s="60"/>
    </row>
    <row r="102" spans="1:5" s="24" customFormat="1" ht="14.4" hidden="1" x14ac:dyDescent="0.3">
      <c r="A102" s="25" t="s">
        <v>70</v>
      </c>
      <c r="B102" s="25" t="s">
        <v>4</v>
      </c>
      <c r="C102" s="26">
        <v>0</v>
      </c>
      <c r="D102" s="60"/>
      <c r="E102" s="60"/>
    </row>
    <row r="103" spans="1:5" s="24" customFormat="1" ht="14.4" hidden="1" x14ac:dyDescent="0.3">
      <c r="A103" s="25" t="s">
        <v>70</v>
      </c>
      <c r="B103" s="25" t="s">
        <v>71</v>
      </c>
      <c r="C103" s="26">
        <v>0</v>
      </c>
      <c r="D103" s="60"/>
      <c r="E103" s="60"/>
    </row>
    <row r="104" spans="1:5" s="24" customFormat="1" ht="14.4" hidden="1" x14ac:dyDescent="0.3">
      <c r="A104" s="25" t="s">
        <v>114</v>
      </c>
      <c r="B104" s="25" t="s">
        <v>31</v>
      </c>
      <c r="C104" s="26">
        <v>0</v>
      </c>
      <c r="D104" s="60"/>
      <c r="E104" s="60"/>
    </row>
    <row r="105" spans="1:5" s="24" customFormat="1" ht="14.4" hidden="1" x14ac:dyDescent="0.3">
      <c r="A105" s="25" t="s">
        <v>101</v>
      </c>
      <c r="B105" s="25" t="s">
        <v>53</v>
      </c>
      <c r="C105" s="26">
        <v>0</v>
      </c>
      <c r="D105" s="60"/>
      <c r="E105" s="60"/>
    </row>
    <row r="106" spans="1:5" s="24" customFormat="1" ht="14.4" hidden="1" x14ac:dyDescent="0.3">
      <c r="A106" s="25" t="s">
        <v>101</v>
      </c>
      <c r="B106" s="25" t="s">
        <v>4</v>
      </c>
      <c r="C106" s="26">
        <v>0</v>
      </c>
      <c r="D106" s="60"/>
      <c r="E106" s="60"/>
    </row>
    <row r="107" spans="1:5" s="24" customFormat="1" ht="14.4" hidden="1" x14ac:dyDescent="0.3">
      <c r="A107" s="25" t="s">
        <v>102</v>
      </c>
      <c r="B107" s="25" t="s">
        <v>53</v>
      </c>
      <c r="C107" s="26">
        <v>0</v>
      </c>
      <c r="D107" s="60"/>
      <c r="E107" s="60"/>
    </row>
    <row r="108" spans="1:5" s="24" customFormat="1" ht="14.4" hidden="1" x14ac:dyDescent="0.3">
      <c r="A108" s="25" t="s">
        <v>102</v>
      </c>
      <c r="B108" s="25" t="s">
        <v>4</v>
      </c>
      <c r="C108" s="26">
        <v>0</v>
      </c>
      <c r="D108" s="60"/>
      <c r="E108" s="60"/>
    </row>
    <row r="109" spans="1:5" s="24" customFormat="1" ht="14.4" hidden="1" x14ac:dyDescent="0.3">
      <c r="A109" s="25" t="s">
        <v>46</v>
      </c>
      <c r="B109" s="25" t="s">
        <v>4</v>
      </c>
      <c r="C109" s="26">
        <v>0</v>
      </c>
      <c r="D109" s="60"/>
      <c r="E109" s="60"/>
    </row>
    <row r="110" spans="1:5" s="24" customFormat="1" ht="14.4" hidden="1" x14ac:dyDescent="0.3">
      <c r="A110" s="25" t="s">
        <v>46</v>
      </c>
      <c r="B110" s="25" t="s">
        <v>31</v>
      </c>
      <c r="C110" s="26">
        <v>0</v>
      </c>
      <c r="D110" s="60"/>
      <c r="E110" s="60"/>
    </row>
    <row r="111" spans="1:5" s="24" customFormat="1" ht="14.4" hidden="1" x14ac:dyDescent="0.3">
      <c r="A111" s="25" t="s">
        <v>72</v>
      </c>
      <c r="B111" s="25" t="s">
        <v>4</v>
      </c>
      <c r="C111" s="26">
        <v>0</v>
      </c>
      <c r="D111" s="60"/>
      <c r="E111" s="60"/>
    </row>
    <row r="112" spans="1:5" s="24" customFormat="1" ht="14.4" hidden="1" x14ac:dyDescent="0.3">
      <c r="A112" s="25" t="s">
        <v>72</v>
      </c>
      <c r="B112" s="25" t="s">
        <v>73</v>
      </c>
      <c r="C112" s="26">
        <v>0</v>
      </c>
      <c r="D112" s="60"/>
      <c r="E112" s="60"/>
    </row>
    <row r="113" spans="1:5" s="24" customFormat="1" ht="14.4" hidden="1" x14ac:dyDescent="0.3">
      <c r="A113" s="25" t="s">
        <v>119</v>
      </c>
      <c r="B113" s="25" t="s">
        <v>4</v>
      </c>
      <c r="C113" s="26">
        <v>0</v>
      </c>
      <c r="D113" s="60"/>
      <c r="E113" s="60"/>
    </row>
    <row r="114" spans="1:5" s="24" customFormat="1" ht="14.4" hidden="1" x14ac:dyDescent="0.3">
      <c r="A114" s="25" t="s">
        <v>119</v>
      </c>
      <c r="B114" s="25" t="s">
        <v>31</v>
      </c>
      <c r="C114" s="26">
        <v>0</v>
      </c>
      <c r="D114" s="60"/>
      <c r="E114" s="60"/>
    </row>
    <row r="115" spans="1:5" s="24" customFormat="1" ht="14.4" hidden="1" x14ac:dyDescent="0.3">
      <c r="A115" s="25" t="s">
        <v>115</v>
      </c>
      <c r="B115" s="25" t="s">
        <v>50</v>
      </c>
      <c r="C115" s="26">
        <v>0</v>
      </c>
      <c r="D115" s="60"/>
      <c r="E115" s="60"/>
    </row>
    <row r="116" spans="1:5" s="24" customFormat="1" ht="14.4" hidden="1" x14ac:dyDescent="0.3">
      <c r="A116" s="25" t="s">
        <v>104</v>
      </c>
      <c r="B116" s="25" t="s">
        <v>4</v>
      </c>
      <c r="C116" s="26">
        <v>0</v>
      </c>
      <c r="D116" s="60"/>
      <c r="E116" s="60"/>
    </row>
    <row r="117" spans="1:5" s="24" customFormat="1" ht="14.4" hidden="1" x14ac:dyDescent="0.3">
      <c r="A117" s="25" t="s">
        <v>104</v>
      </c>
      <c r="B117" s="25" t="s">
        <v>84</v>
      </c>
      <c r="C117" s="26">
        <v>0</v>
      </c>
      <c r="D117" s="60"/>
      <c r="E117" s="60"/>
    </row>
    <row r="118" spans="1:5" s="24" customFormat="1" ht="14.4" hidden="1" x14ac:dyDescent="0.3">
      <c r="A118" s="25" t="s">
        <v>110</v>
      </c>
      <c r="B118" s="25" t="s">
        <v>4</v>
      </c>
      <c r="C118" s="26">
        <v>0</v>
      </c>
      <c r="D118" s="60"/>
      <c r="E118" s="60"/>
    </row>
    <row r="119" spans="1:5" s="24" customFormat="1" ht="14.4" hidden="1" x14ac:dyDescent="0.3">
      <c r="A119" s="25" t="s">
        <v>158</v>
      </c>
      <c r="B119" s="25" t="s">
        <v>4</v>
      </c>
      <c r="C119" s="26">
        <v>0</v>
      </c>
      <c r="D119" s="60"/>
      <c r="E119" s="60"/>
    </row>
    <row r="120" spans="1:5" s="24" customFormat="1" ht="14.4" hidden="1" x14ac:dyDescent="0.3">
      <c r="A120" s="25" t="s">
        <v>158</v>
      </c>
      <c r="B120" s="25" t="s">
        <v>31</v>
      </c>
      <c r="C120" s="26">
        <v>0</v>
      </c>
      <c r="D120" s="60"/>
      <c r="E120" s="60"/>
    </row>
    <row r="121" spans="1:5" s="24" customFormat="1" ht="14.4" hidden="1" x14ac:dyDescent="0.3">
      <c r="A121" s="25" t="s">
        <v>74</v>
      </c>
      <c r="B121" s="25" t="s">
        <v>4</v>
      </c>
      <c r="C121" s="26">
        <v>0</v>
      </c>
      <c r="D121" s="60"/>
      <c r="E121" s="60"/>
    </row>
    <row r="122" spans="1:5" s="24" customFormat="1" ht="14.4" hidden="1" x14ac:dyDescent="0.3">
      <c r="A122" s="25" t="s">
        <v>74</v>
      </c>
      <c r="B122" s="25" t="s">
        <v>31</v>
      </c>
      <c r="C122" s="26">
        <v>0</v>
      </c>
      <c r="D122" s="60"/>
      <c r="E122" s="60"/>
    </row>
    <row r="123" spans="1:5" s="24" customFormat="1" ht="14.4" hidden="1" x14ac:dyDescent="0.3">
      <c r="A123" s="25" t="s">
        <v>76</v>
      </c>
      <c r="B123" s="25" t="s">
        <v>66</v>
      </c>
      <c r="C123" s="26">
        <v>0</v>
      </c>
      <c r="D123" s="60"/>
      <c r="E123" s="60"/>
    </row>
    <row r="124" spans="1:5" s="24" customFormat="1" ht="14.4" hidden="1" x14ac:dyDescent="0.3">
      <c r="A124" s="25" t="s">
        <v>83</v>
      </c>
      <c r="B124" s="25" t="s">
        <v>4</v>
      </c>
      <c r="C124" s="26">
        <v>0</v>
      </c>
      <c r="D124" s="60"/>
      <c r="E124" s="60"/>
    </row>
    <row r="125" spans="1:5" s="24" customFormat="1" ht="14.4" hidden="1" x14ac:dyDescent="0.3">
      <c r="A125" s="25" t="s">
        <v>77</v>
      </c>
      <c r="B125" s="25" t="s">
        <v>66</v>
      </c>
      <c r="C125" s="26">
        <v>0</v>
      </c>
      <c r="D125" s="60"/>
      <c r="E125" s="60"/>
    </row>
    <row r="126" spans="1:5" s="24" customFormat="1" ht="14.4" hidden="1" x14ac:dyDescent="0.3">
      <c r="A126" s="25" t="s">
        <v>78</v>
      </c>
      <c r="B126" s="25" t="s">
        <v>4</v>
      </c>
      <c r="C126" s="26">
        <v>0</v>
      </c>
      <c r="D126" s="60"/>
      <c r="E126" s="60"/>
    </row>
    <row r="127" spans="1:5" s="24" customFormat="1" ht="14.4" hidden="1" x14ac:dyDescent="0.3">
      <c r="A127" s="25" t="s">
        <v>79</v>
      </c>
      <c r="B127" s="25" t="s">
        <v>4</v>
      </c>
      <c r="C127" s="26">
        <v>0</v>
      </c>
      <c r="D127" s="60"/>
      <c r="E127" s="60"/>
    </row>
    <row r="128" spans="1:5" s="24" customFormat="1" ht="14.4" hidden="1" x14ac:dyDescent="0.3">
      <c r="A128" s="25" t="s">
        <v>79</v>
      </c>
      <c r="B128" s="25" t="s">
        <v>31</v>
      </c>
      <c r="C128" s="26">
        <v>0</v>
      </c>
      <c r="D128" s="60"/>
      <c r="E128" s="60"/>
    </row>
    <row r="129" spans="1:5" s="24" customFormat="1" ht="14.4" hidden="1" x14ac:dyDescent="0.3">
      <c r="A129" s="25" t="s">
        <v>80</v>
      </c>
      <c r="B129" s="25" t="s">
        <v>4</v>
      </c>
      <c r="C129" s="26">
        <v>0</v>
      </c>
      <c r="D129" s="60"/>
      <c r="E129" s="60"/>
    </row>
    <row r="130" spans="1:5" s="24" customFormat="1" ht="14.4" hidden="1" x14ac:dyDescent="0.3">
      <c r="A130" s="25" t="s">
        <v>80</v>
      </c>
      <c r="B130" s="25" t="s">
        <v>31</v>
      </c>
      <c r="C130" s="26">
        <v>0</v>
      </c>
      <c r="D130" s="60"/>
      <c r="E130" s="60"/>
    </row>
    <row r="131" spans="1:5" s="24" customFormat="1" ht="14.4" hidden="1" x14ac:dyDescent="0.3">
      <c r="A131" s="25" t="s">
        <v>82</v>
      </c>
      <c r="B131" s="25" t="s">
        <v>66</v>
      </c>
      <c r="C131" s="26">
        <v>0</v>
      </c>
      <c r="D131" s="60"/>
      <c r="E131" s="60"/>
    </row>
    <row r="132" spans="1:5" s="24" customFormat="1" ht="14.4" hidden="1" x14ac:dyDescent="0.3">
      <c r="A132" s="25" t="s">
        <v>9</v>
      </c>
      <c r="B132" s="25" t="s">
        <v>4</v>
      </c>
      <c r="C132" s="26">
        <v>0</v>
      </c>
      <c r="D132" s="60"/>
      <c r="E132" s="60"/>
    </row>
    <row r="133" spans="1:5" s="24" customFormat="1" ht="14.4" hidden="1" x14ac:dyDescent="0.3">
      <c r="A133" s="25" t="s">
        <v>123</v>
      </c>
      <c r="B133" s="25" t="s">
        <v>4</v>
      </c>
      <c r="C133" s="26">
        <v>0</v>
      </c>
      <c r="D133" s="60"/>
      <c r="E133" s="60"/>
    </row>
    <row r="134" spans="1:5" x14ac:dyDescent="0.3">
      <c r="A134" s="29" t="s">
        <v>123</v>
      </c>
      <c r="B134" s="62" t="s">
        <v>31</v>
      </c>
      <c r="C134" s="39">
        <v>3</v>
      </c>
      <c r="D134" s="41">
        <v>6000</v>
      </c>
      <c r="E134" s="66">
        <f>+D134*C134</f>
        <v>18000</v>
      </c>
    </row>
    <row r="135" spans="1:5" s="24" customFormat="1" ht="14.4" hidden="1" x14ac:dyDescent="0.3">
      <c r="A135" s="25" t="s">
        <v>129</v>
      </c>
      <c r="B135" s="25" t="s">
        <v>4</v>
      </c>
      <c r="C135" s="26">
        <v>0</v>
      </c>
      <c r="D135" s="60"/>
      <c r="E135" s="60"/>
    </row>
    <row r="136" spans="1:5" s="24" customFormat="1" ht="14.4" hidden="1" x14ac:dyDescent="0.3">
      <c r="A136" s="25" t="s">
        <v>63</v>
      </c>
      <c r="B136" s="25" t="s">
        <v>4</v>
      </c>
      <c r="C136" s="26">
        <v>0</v>
      </c>
      <c r="D136" s="60"/>
      <c r="E136" s="60"/>
    </row>
    <row r="137" spans="1:5" s="24" customFormat="1" ht="14.4" hidden="1" x14ac:dyDescent="0.3">
      <c r="A137" s="25" t="s">
        <v>63</v>
      </c>
      <c r="B137" s="25" t="s">
        <v>31</v>
      </c>
      <c r="C137" s="26">
        <v>0</v>
      </c>
      <c r="D137" s="60"/>
      <c r="E137" s="60"/>
    </row>
    <row r="138" spans="1:5" s="24" customFormat="1" ht="14.4" hidden="1" x14ac:dyDescent="0.3">
      <c r="A138" s="25" t="s">
        <v>155</v>
      </c>
      <c r="B138" s="25" t="s">
        <v>4</v>
      </c>
      <c r="C138" s="26">
        <v>0</v>
      </c>
      <c r="D138" s="60"/>
      <c r="E138" s="60"/>
    </row>
    <row r="139" spans="1:5" s="24" customFormat="1" ht="14.4" hidden="1" x14ac:dyDescent="0.3">
      <c r="A139" s="25" t="s">
        <v>33</v>
      </c>
      <c r="B139" s="25" t="s">
        <v>4</v>
      </c>
      <c r="C139" s="26">
        <v>0</v>
      </c>
      <c r="D139" s="60"/>
      <c r="E139" s="60"/>
    </row>
    <row r="140" spans="1:5" s="24" customFormat="1" ht="14.4" hidden="1" x14ac:dyDescent="0.3">
      <c r="A140" s="25" t="s">
        <v>33</v>
      </c>
      <c r="B140" s="25" t="s">
        <v>31</v>
      </c>
      <c r="C140" s="26">
        <v>0</v>
      </c>
      <c r="D140" s="60"/>
      <c r="E140" s="60"/>
    </row>
    <row r="141" spans="1:5" s="24" customFormat="1" ht="14.4" hidden="1" x14ac:dyDescent="0.3">
      <c r="A141" s="25" t="s">
        <v>109</v>
      </c>
      <c r="B141" s="25" t="s">
        <v>53</v>
      </c>
      <c r="C141" s="26">
        <v>0</v>
      </c>
      <c r="D141" s="60"/>
      <c r="E141" s="60"/>
    </row>
    <row r="142" spans="1:5" s="24" customFormat="1" ht="14.4" hidden="1" x14ac:dyDescent="0.3">
      <c r="A142" s="25" t="s">
        <v>48</v>
      </c>
      <c r="B142" s="25" t="s">
        <v>4</v>
      </c>
      <c r="C142" s="26">
        <v>0</v>
      </c>
      <c r="D142" s="60"/>
      <c r="E142" s="60"/>
    </row>
    <row r="143" spans="1:5" s="24" customFormat="1" ht="14.4" hidden="1" x14ac:dyDescent="0.3">
      <c r="A143" s="25" t="s">
        <v>81</v>
      </c>
      <c r="B143" s="25" t="s">
        <v>4</v>
      </c>
      <c r="C143" s="26">
        <v>0</v>
      </c>
      <c r="D143" s="60"/>
      <c r="E143" s="60"/>
    </row>
    <row r="144" spans="1:5" s="24" customFormat="1" ht="14.4" hidden="1" x14ac:dyDescent="0.3">
      <c r="A144" s="25" t="s">
        <v>47</v>
      </c>
      <c r="B144" s="25" t="s">
        <v>4</v>
      </c>
      <c r="C144" s="26">
        <v>0</v>
      </c>
      <c r="D144" s="60"/>
      <c r="E144" s="60"/>
    </row>
    <row r="145" spans="1:5" s="24" customFormat="1" ht="14.4" hidden="1" x14ac:dyDescent="0.3">
      <c r="A145" s="25" t="s">
        <v>133</v>
      </c>
      <c r="B145" s="25" t="s">
        <v>31</v>
      </c>
      <c r="C145" s="26">
        <v>0</v>
      </c>
      <c r="D145" s="60"/>
      <c r="E145" s="60"/>
    </row>
    <row r="146" spans="1:5" s="24" customFormat="1" ht="14.4" hidden="1" x14ac:dyDescent="0.3">
      <c r="A146" s="25" t="s">
        <v>85</v>
      </c>
      <c r="B146" s="25" t="s">
        <v>4</v>
      </c>
      <c r="C146" s="26">
        <v>0</v>
      </c>
      <c r="D146" s="60"/>
      <c r="E146" s="60"/>
    </row>
    <row r="147" spans="1:5" x14ac:dyDescent="0.3">
      <c r="A147" s="29" t="s">
        <v>142</v>
      </c>
      <c r="B147" s="62" t="s">
        <v>31</v>
      </c>
      <c r="C147" s="39">
        <v>120</v>
      </c>
      <c r="D147" s="41">
        <v>6000</v>
      </c>
      <c r="E147" s="66">
        <f>+D147*C147</f>
        <v>720000</v>
      </c>
    </row>
    <row r="148" spans="1:5" s="24" customFormat="1" ht="14.4" hidden="1" x14ac:dyDescent="0.3">
      <c r="A148" s="25" t="s">
        <v>130</v>
      </c>
      <c r="B148" s="25" t="s">
        <v>4</v>
      </c>
      <c r="C148" s="26">
        <v>0</v>
      </c>
      <c r="D148" s="60"/>
      <c r="E148" s="60"/>
    </row>
    <row r="149" spans="1:5" s="24" customFormat="1" ht="14.4" hidden="1" x14ac:dyDescent="0.3">
      <c r="A149" s="25" t="s">
        <v>141</v>
      </c>
      <c r="B149" s="25" t="s">
        <v>31</v>
      </c>
      <c r="C149" s="26">
        <v>0</v>
      </c>
      <c r="D149" s="60"/>
      <c r="E149" s="60"/>
    </row>
    <row r="150" spans="1:5" s="24" customFormat="1" ht="14.4" hidden="1" x14ac:dyDescent="0.3">
      <c r="A150" s="25" t="s">
        <v>125</v>
      </c>
      <c r="B150" s="25" t="s">
        <v>4</v>
      </c>
      <c r="C150" s="26">
        <v>0</v>
      </c>
      <c r="D150" s="60"/>
      <c r="E150" s="60"/>
    </row>
    <row r="151" spans="1:5" s="24" customFormat="1" ht="14.4" hidden="1" x14ac:dyDescent="0.3">
      <c r="A151" s="25" t="s">
        <v>21</v>
      </c>
      <c r="B151" s="25" t="s">
        <v>4</v>
      </c>
      <c r="C151" s="26">
        <v>0</v>
      </c>
      <c r="D151" s="60"/>
      <c r="E151" s="60"/>
    </row>
    <row r="152" spans="1:5" s="24" customFormat="1" ht="14.4" hidden="1" x14ac:dyDescent="0.3">
      <c r="A152" s="25" t="s">
        <v>21</v>
      </c>
      <c r="B152" s="25" t="s">
        <v>149</v>
      </c>
      <c r="C152" s="26">
        <v>0</v>
      </c>
      <c r="D152" s="60"/>
      <c r="E152" s="60"/>
    </row>
    <row r="153" spans="1:5" s="24" customFormat="1" ht="14.4" hidden="1" x14ac:dyDescent="0.3">
      <c r="A153" s="25" t="s">
        <v>156</v>
      </c>
      <c r="B153" s="25" t="s">
        <v>4</v>
      </c>
      <c r="C153" s="26">
        <v>0</v>
      </c>
      <c r="D153" s="60"/>
      <c r="E153" s="60"/>
    </row>
    <row r="154" spans="1:5" s="24" customFormat="1" ht="14.4" hidden="1" x14ac:dyDescent="0.3">
      <c r="A154" s="25" t="s">
        <v>13</v>
      </c>
      <c r="B154" s="25" t="s">
        <v>4</v>
      </c>
      <c r="C154" s="26">
        <v>0</v>
      </c>
      <c r="D154" s="60"/>
      <c r="E154" s="60"/>
    </row>
    <row r="155" spans="1:5" s="24" customFormat="1" ht="14.4" hidden="1" x14ac:dyDescent="0.3">
      <c r="A155" s="25" t="s">
        <v>175</v>
      </c>
      <c r="B155" s="25" t="s">
        <v>4</v>
      </c>
      <c r="C155" s="26">
        <v>0</v>
      </c>
      <c r="D155" s="60"/>
      <c r="E155" s="60"/>
    </row>
    <row r="156" spans="1:5" s="24" customFormat="1" ht="14.4" hidden="1" x14ac:dyDescent="0.3">
      <c r="A156" s="25" t="s">
        <v>54</v>
      </c>
      <c r="B156" s="25" t="s">
        <v>4</v>
      </c>
      <c r="C156" s="26">
        <v>0</v>
      </c>
      <c r="D156" s="60"/>
      <c r="E156" s="60"/>
    </row>
    <row r="157" spans="1:5" s="24" customFormat="1" ht="14.4" hidden="1" x14ac:dyDescent="0.3">
      <c r="A157" s="25" t="s">
        <v>97</v>
      </c>
      <c r="B157" s="25" t="s">
        <v>4</v>
      </c>
      <c r="C157" s="26">
        <v>0</v>
      </c>
      <c r="D157" s="60"/>
      <c r="E157" s="60"/>
    </row>
    <row r="158" spans="1:5" s="24" customFormat="1" ht="14.4" hidden="1" x14ac:dyDescent="0.3">
      <c r="A158" s="25" t="s">
        <v>105</v>
      </c>
      <c r="B158" s="25" t="s">
        <v>4</v>
      </c>
      <c r="C158" s="26">
        <v>0</v>
      </c>
      <c r="D158" s="60"/>
      <c r="E158" s="60"/>
    </row>
    <row r="159" spans="1:5" s="24" customFormat="1" ht="14.4" hidden="1" x14ac:dyDescent="0.3">
      <c r="A159" s="25" t="s">
        <v>124</v>
      </c>
      <c r="B159" s="25" t="s">
        <v>4</v>
      </c>
      <c r="C159" s="26">
        <v>0</v>
      </c>
      <c r="D159" s="60"/>
      <c r="E159" s="60"/>
    </row>
    <row r="160" spans="1:5" s="24" customFormat="1" ht="14.4" hidden="1" x14ac:dyDescent="0.3">
      <c r="A160" s="25" t="s">
        <v>26</v>
      </c>
      <c r="B160" s="25" t="s">
        <v>4</v>
      </c>
      <c r="C160" s="26">
        <v>0</v>
      </c>
      <c r="D160" s="60"/>
      <c r="E160" s="60"/>
    </row>
    <row r="161" spans="1:5" s="24" customFormat="1" ht="14.4" hidden="1" x14ac:dyDescent="0.3">
      <c r="A161" s="25" t="s">
        <v>107</v>
      </c>
      <c r="B161" s="25" t="s">
        <v>4</v>
      </c>
      <c r="C161" s="26">
        <v>0</v>
      </c>
      <c r="D161" s="60"/>
      <c r="E161" s="60"/>
    </row>
    <row r="162" spans="1:5" x14ac:dyDescent="0.3">
      <c r="A162" s="29" t="s">
        <v>135</v>
      </c>
      <c r="B162" s="62" t="s">
        <v>4</v>
      </c>
      <c r="C162" s="39">
        <v>400</v>
      </c>
      <c r="D162" s="41">
        <v>20000</v>
      </c>
      <c r="E162" s="66">
        <f t="shared" ref="E162:E166" si="5">+D162*C162</f>
        <v>8000000</v>
      </c>
    </row>
    <row r="163" spans="1:5" x14ac:dyDescent="0.3">
      <c r="A163" s="29" t="s">
        <v>136</v>
      </c>
      <c r="B163" s="62" t="s">
        <v>4</v>
      </c>
      <c r="C163" s="39">
        <v>17</v>
      </c>
      <c r="D163" s="41">
        <v>37000</v>
      </c>
      <c r="E163" s="66">
        <f t="shared" si="5"/>
        <v>629000</v>
      </c>
    </row>
    <row r="164" spans="1:5" x14ac:dyDescent="0.3">
      <c r="A164" s="29" t="s">
        <v>143</v>
      </c>
      <c r="B164" s="62" t="s">
        <v>4</v>
      </c>
      <c r="C164" s="39">
        <v>30</v>
      </c>
      <c r="D164" s="41">
        <v>17000</v>
      </c>
      <c r="E164" s="66">
        <f t="shared" si="5"/>
        <v>510000</v>
      </c>
    </row>
    <row r="165" spans="1:5" x14ac:dyDescent="0.3">
      <c r="A165" s="29" t="s">
        <v>161</v>
      </c>
      <c r="B165" s="62" t="s">
        <v>4</v>
      </c>
      <c r="C165" s="39">
        <v>20</v>
      </c>
      <c r="D165" s="41">
        <v>25000</v>
      </c>
      <c r="E165" s="66">
        <f t="shared" si="5"/>
        <v>500000</v>
      </c>
    </row>
    <row r="166" spans="1:5" x14ac:dyDescent="0.3">
      <c r="A166" s="29" t="s">
        <v>189</v>
      </c>
      <c r="B166" s="62" t="s">
        <v>4</v>
      </c>
      <c r="C166" s="39">
        <v>17</v>
      </c>
      <c r="D166" s="41">
        <v>45000</v>
      </c>
      <c r="E166" s="66">
        <f t="shared" si="5"/>
        <v>765000</v>
      </c>
    </row>
    <row r="167" spans="1:5" x14ac:dyDescent="0.3">
      <c r="A167" s="34" t="s">
        <v>179</v>
      </c>
      <c r="B167" s="64">
        <v>0</v>
      </c>
      <c r="C167" s="40">
        <v>11816.5</v>
      </c>
      <c r="D167" s="42"/>
      <c r="E167" s="67">
        <f>SUBTOTAL(9,E7:E166)</f>
        <v>172265800</v>
      </c>
    </row>
    <row r="168" spans="1:5" ht="31.2" x14ac:dyDescent="0.3">
      <c r="A168" s="32" t="s">
        <v>0</v>
      </c>
      <c r="B168" s="32" t="s">
        <v>1</v>
      </c>
      <c r="C168" s="33" t="s">
        <v>2</v>
      </c>
      <c r="D168" s="33" t="s">
        <v>177</v>
      </c>
      <c r="E168" s="33" t="s">
        <v>178</v>
      </c>
    </row>
    <row r="169" spans="1:5" s="24" customFormat="1" hidden="1" x14ac:dyDescent="0.3">
      <c r="A169" s="27" t="s">
        <v>27</v>
      </c>
      <c r="B169" s="27" t="s">
        <v>4</v>
      </c>
      <c r="C169" s="61"/>
      <c r="D169" s="60"/>
      <c r="E169" s="60"/>
    </row>
    <row r="170" spans="1:5" x14ac:dyDescent="0.3">
      <c r="A170" s="29" t="s">
        <v>28</v>
      </c>
      <c r="B170" s="62" t="s">
        <v>4</v>
      </c>
      <c r="C170" s="63">
        <v>60</v>
      </c>
      <c r="D170" s="41">
        <v>17000</v>
      </c>
      <c r="E170" s="66">
        <f>+D170*C170</f>
        <v>1020000</v>
      </c>
    </row>
    <row r="171" spans="1:5" x14ac:dyDescent="0.3">
      <c r="A171" s="29" t="s">
        <v>29</v>
      </c>
      <c r="B171" s="62" t="s">
        <v>4</v>
      </c>
      <c r="C171" s="63">
        <v>90</v>
      </c>
      <c r="D171" s="41">
        <f>VLOOKUP(A171,'8.11'!A167:D212,4,)</f>
        <v>21000</v>
      </c>
      <c r="E171" s="66">
        <f>+D171*C171</f>
        <v>1890000</v>
      </c>
    </row>
    <row r="172" spans="1:5" s="24" customFormat="1" hidden="1" x14ac:dyDescent="0.3">
      <c r="A172" s="27" t="s">
        <v>57</v>
      </c>
      <c r="B172" s="27" t="s">
        <v>31</v>
      </c>
      <c r="C172" s="61"/>
      <c r="D172" s="60"/>
      <c r="E172" s="60"/>
    </row>
    <row r="173" spans="1:5" x14ac:dyDescent="0.3">
      <c r="A173" s="29" t="s">
        <v>32</v>
      </c>
      <c r="B173" s="62" t="s">
        <v>4</v>
      </c>
      <c r="C173" s="63">
        <v>200</v>
      </c>
      <c r="D173" s="41">
        <v>19000</v>
      </c>
      <c r="E173" s="66">
        <f>+D173*C173</f>
        <v>3800000</v>
      </c>
    </row>
    <row r="174" spans="1:5" s="24" customFormat="1" hidden="1" x14ac:dyDescent="0.3">
      <c r="A174" s="27" t="s">
        <v>33</v>
      </c>
      <c r="B174" s="27" t="s">
        <v>31</v>
      </c>
      <c r="C174" s="61"/>
      <c r="D174" s="60"/>
      <c r="E174" s="60"/>
    </row>
    <row r="175" spans="1:5" x14ac:dyDescent="0.3">
      <c r="A175" s="29" t="s">
        <v>34</v>
      </c>
      <c r="B175" s="62" t="s">
        <v>4</v>
      </c>
      <c r="C175" s="63">
        <v>100</v>
      </c>
      <c r="D175" s="41">
        <v>15000</v>
      </c>
      <c r="E175" s="66">
        <f>+D175*C175</f>
        <v>1500000</v>
      </c>
    </row>
    <row r="176" spans="1:5" s="24" customFormat="1" hidden="1" x14ac:dyDescent="0.3">
      <c r="A176" s="27" t="s">
        <v>34</v>
      </c>
      <c r="B176" s="27" t="s">
        <v>31</v>
      </c>
      <c r="C176" s="61"/>
      <c r="D176" s="60"/>
      <c r="E176" s="60"/>
    </row>
    <row r="177" spans="1:5" s="24" customFormat="1" hidden="1" x14ac:dyDescent="0.3">
      <c r="A177" s="27" t="s">
        <v>35</v>
      </c>
      <c r="B177" s="27" t="s">
        <v>4</v>
      </c>
      <c r="C177" s="61"/>
      <c r="D177" s="60"/>
      <c r="E177" s="60"/>
    </row>
    <row r="178" spans="1:5" x14ac:dyDescent="0.3">
      <c r="A178" s="29" t="s">
        <v>13</v>
      </c>
      <c r="B178" s="62" t="s">
        <v>4</v>
      </c>
      <c r="C178" s="63">
        <v>16</v>
      </c>
      <c r="D178" s="41">
        <v>27000</v>
      </c>
      <c r="E178" s="66">
        <f>+D178*C178</f>
        <v>432000</v>
      </c>
    </row>
    <row r="179" spans="1:5" s="24" customFormat="1" hidden="1" x14ac:dyDescent="0.3">
      <c r="A179" s="27" t="s">
        <v>14</v>
      </c>
      <c r="B179" s="27" t="s">
        <v>4</v>
      </c>
      <c r="C179" s="61"/>
      <c r="D179" s="60"/>
      <c r="E179" s="60"/>
    </row>
    <row r="180" spans="1:5" s="24" customFormat="1" hidden="1" x14ac:dyDescent="0.3">
      <c r="A180" s="27" t="s">
        <v>3</v>
      </c>
      <c r="B180" s="27" t="s">
        <v>4</v>
      </c>
      <c r="C180" s="61"/>
      <c r="D180" s="60"/>
      <c r="E180" s="60"/>
    </row>
    <row r="181" spans="1:5" s="24" customFormat="1" hidden="1" x14ac:dyDescent="0.3">
      <c r="A181" s="27" t="s">
        <v>5</v>
      </c>
      <c r="B181" s="27" t="s">
        <v>4</v>
      </c>
      <c r="C181" s="61"/>
      <c r="D181" s="60"/>
      <c r="E181" s="60"/>
    </row>
    <row r="182" spans="1:5" s="24" customFormat="1" hidden="1" x14ac:dyDescent="0.3">
      <c r="A182" s="27" t="s">
        <v>6</v>
      </c>
      <c r="B182" s="27" t="s">
        <v>4</v>
      </c>
      <c r="C182" s="61"/>
      <c r="D182" s="60"/>
      <c r="E182" s="60"/>
    </row>
    <row r="183" spans="1:5" x14ac:dyDescent="0.3">
      <c r="A183" s="29" t="s">
        <v>22</v>
      </c>
      <c r="B183" s="62" t="s">
        <v>4</v>
      </c>
      <c r="C183" s="63">
        <v>400</v>
      </c>
      <c r="D183" s="41">
        <v>7500</v>
      </c>
      <c r="E183" s="66">
        <f>+D183*C183</f>
        <v>3000000</v>
      </c>
    </row>
    <row r="184" spans="1:5" s="24" customFormat="1" hidden="1" x14ac:dyDescent="0.3">
      <c r="A184" s="27" t="s">
        <v>24</v>
      </c>
      <c r="B184" s="27" t="s">
        <v>4</v>
      </c>
      <c r="C184" s="61"/>
      <c r="D184" s="60"/>
      <c r="E184" s="60"/>
    </row>
    <row r="185" spans="1:5" s="24" customFormat="1" hidden="1" x14ac:dyDescent="0.3">
      <c r="A185" s="27" t="s">
        <v>40</v>
      </c>
      <c r="B185" s="27" t="s">
        <v>4</v>
      </c>
      <c r="C185" s="61"/>
      <c r="D185" s="60"/>
      <c r="E185" s="60"/>
    </row>
    <row r="186" spans="1:5" x14ac:dyDescent="0.3">
      <c r="A186" s="29" t="s">
        <v>7</v>
      </c>
      <c r="B186" s="62" t="s">
        <v>4</v>
      </c>
      <c r="C186" s="63">
        <v>30</v>
      </c>
      <c r="D186" s="41">
        <v>10000</v>
      </c>
      <c r="E186" s="66">
        <f t="shared" ref="E186:E194" si="6">+D186*C186</f>
        <v>300000</v>
      </c>
    </row>
    <row r="187" spans="1:5" x14ac:dyDescent="0.3">
      <c r="A187" s="29" t="s">
        <v>8</v>
      </c>
      <c r="B187" s="62" t="s">
        <v>4</v>
      </c>
      <c r="C187" s="63">
        <v>1400</v>
      </c>
      <c r="D187" s="41">
        <v>5200</v>
      </c>
      <c r="E187" s="66">
        <f t="shared" si="6"/>
        <v>7280000</v>
      </c>
    </row>
    <row r="188" spans="1:5" x14ac:dyDescent="0.3">
      <c r="A188" s="29" t="s">
        <v>10</v>
      </c>
      <c r="B188" s="62" t="s">
        <v>4</v>
      </c>
      <c r="C188" s="63">
        <v>50</v>
      </c>
      <c r="D188" s="41">
        <v>23000</v>
      </c>
      <c r="E188" s="66">
        <f t="shared" si="6"/>
        <v>1150000</v>
      </c>
    </row>
    <row r="189" spans="1:5" x14ac:dyDescent="0.3">
      <c r="A189" s="29" t="s">
        <v>15</v>
      </c>
      <c r="B189" s="62" t="s">
        <v>4</v>
      </c>
      <c r="C189" s="63">
        <v>200</v>
      </c>
      <c r="D189" s="41">
        <v>24000</v>
      </c>
      <c r="E189" s="66">
        <f t="shared" si="6"/>
        <v>4800000</v>
      </c>
    </row>
    <row r="190" spans="1:5" x14ac:dyDescent="0.3">
      <c r="A190" s="29" t="s">
        <v>18</v>
      </c>
      <c r="B190" s="62" t="s">
        <v>4</v>
      </c>
      <c r="C190" s="63">
        <v>160</v>
      </c>
      <c r="D190" s="41">
        <v>17000</v>
      </c>
      <c r="E190" s="66">
        <f t="shared" si="6"/>
        <v>2720000</v>
      </c>
    </row>
    <row r="191" spans="1:5" x14ac:dyDescent="0.3">
      <c r="A191" s="29" t="s">
        <v>21</v>
      </c>
      <c r="B191" s="62" t="s">
        <v>4</v>
      </c>
      <c r="C191" s="63">
        <v>32</v>
      </c>
      <c r="D191" s="41">
        <v>8000</v>
      </c>
      <c r="E191" s="66">
        <f t="shared" si="6"/>
        <v>256000</v>
      </c>
    </row>
    <row r="192" spans="1:5" x14ac:dyDescent="0.3">
      <c r="A192" s="29" t="s">
        <v>43</v>
      </c>
      <c r="B192" s="62" t="s">
        <v>4</v>
      </c>
      <c r="C192" s="63">
        <v>40</v>
      </c>
      <c r="D192" s="41">
        <v>42000</v>
      </c>
      <c r="E192" s="66">
        <f t="shared" si="6"/>
        <v>1680000</v>
      </c>
    </row>
    <row r="193" spans="1:5" x14ac:dyDescent="0.3">
      <c r="A193" s="29" t="s">
        <v>44</v>
      </c>
      <c r="B193" s="62" t="s">
        <v>4</v>
      </c>
      <c r="C193" s="63">
        <v>20</v>
      </c>
      <c r="D193" s="41">
        <v>22000</v>
      </c>
      <c r="E193" s="66">
        <f t="shared" si="6"/>
        <v>440000</v>
      </c>
    </row>
    <row r="194" spans="1:5" x14ac:dyDescent="0.3">
      <c r="A194" s="29" t="s">
        <v>45</v>
      </c>
      <c r="B194" s="62" t="s">
        <v>4</v>
      </c>
      <c r="C194" s="63">
        <v>20</v>
      </c>
      <c r="D194" s="41">
        <v>30000</v>
      </c>
      <c r="E194" s="66">
        <f t="shared" si="6"/>
        <v>600000</v>
      </c>
    </row>
    <row r="195" spans="1:5" s="24" customFormat="1" hidden="1" x14ac:dyDescent="0.3">
      <c r="A195" s="27" t="s">
        <v>47</v>
      </c>
      <c r="B195" s="27" t="s">
        <v>4</v>
      </c>
      <c r="C195" s="61"/>
      <c r="D195" s="60"/>
      <c r="E195" s="60"/>
    </row>
    <row r="196" spans="1:5" x14ac:dyDescent="0.3">
      <c r="A196" s="29" t="s">
        <v>26</v>
      </c>
      <c r="B196" s="62" t="s">
        <v>4</v>
      </c>
      <c r="C196" s="63">
        <v>40</v>
      </c>
      <c r="D196" s="41">
        <v>12000</v>
      </c>
      <c r="E196" s="66">
        <f>+D196*C196</f>
        <v>480000</v>
      </c>
    </row>
    <row r="197" spans="1:5" s="24" customFormat="1" hidden="1" x14ac:dyDescent="0.3">
      <c r="A197" s="27" t="s">
        <v>25</v>
      </c>
      <c r="B197" s="27" t="s">
        <v>4</v>
      </c>
      <c r="C197" s="61"/>
      <c r="D197" s="60"/>
      <c r="E197" s="60"/>
    </row>
    <row r="198" spans="1:5" s="24" customFormat="1" hidden="1" x14ac:dyDescent="0.3">
      <c r="A198" s="27" t="s">
        <v>23</v>
      </c>
      <c r="B198" s="27" t="s">
        <v>4</v>
      </c>
      <c r="C198" s="61"/>
      <c r="D198" s="60"/>
      <c r="E198" s="60"/>
    </row>
    <row r="199" spans="1:5" s="24" customFormat="1" hidden="1" x14ac:dyDescent="0.3">
      <c r="A199" s="27" t="s">
        <v>156</v>
      </c>
      <c r="B199" s="27" t="s">
        <v>4</v>
      </c>
      <c r="C199" s="61"/>
      <c r="D199" s="60"/>
      <c r="E199" s="60"/>
    </row>
    <row r="200" spans="1:5" x14ac:dyDescent="0.3">
      <c r="A200" s="29" t="s">
        <v>41</v>
      </c>
      <c r="B200" s="62" t="s">
        <v>4</v>
      </c>
      <c r="C200" s="63">
        <v>500</v>
      </c>
      <c r="D200" s="41">
        <f>VLOOKUP(A200,'8.11'!A196:D241,4,)</f>
        <v>28600</v>
      </c>
      <c r="E200" s="66">
        <f>+D200*C200</f>
        <v>14300000</v>
      </c>
    </row>
    <row r="201" spans="1:5" s="24" customFormat="1" hidden="1" x14ac:dyDescent="0.3">
      <c r="A201" s="27" t="s">
        <v>20</v>
      </c>
      <c r="B201" s="27" t="s">
        <v>4</v>
      </c>
      <c r="C201" s="61"/>
      <c r="D201" s="60"/>
      <c r="E201" s="60"/>
    </row>
    <row r="202" spans="1:5" s="24" customFormat="1" hidden="1" x14ac:dyDescent="0.3">
      <c r="A202" s="27" t="s">
        <v>123</v>
      </c>
      <c r="B202" s="27" t="s">
        <v>31</v>
      </c>
      <c r="C202" s="61"/>
      <c r="D202" s="60"/>
      <c r="E202" s="60"/>
    </row>
    <row r="203" spans="1:5" s="24" customFormat="1" hidden="1" x14ac:dyDescent="0.3">
      <c r="A203" s="27" t="s">
        <v>37</v>
      </c>
      <c r="B203" s="27" t="s">
        <v>151</v>
      </c>
      <c r="C203" s="61"/>
      <c r="D203" s="60"/>
      <c r="E203" s="60"/>
    </row>
    <row r="204" spans="1:5" s="24" customFormat="1" hidden="1" x14ac:dyDescent="0.3">
      <c r="A204" s="27" t="s">
        <v>12</v>
      </c>
      <c r="B204" s="27" t="s">
        <v>4</v>
      </c>
      <c r="C204" s="61"/>
      <c r="D204" s="60"/>
      <c r="E204" s="60"/>
    </row>
    <row r="205" spans="1:5" s="24" customFormat="1" hidden="1" x14ac:dyDescent="0.3">
      <c r="A205" s="27" t="s">
        <v>124</v>
      </c>
      <c r="B205" s="27" t="s">
        <v>4</v>
      </c>
      <c r="C205" s="61"/>
      <c r="D205" s="60"/>
      <c r="E205" s="60"/>
    </row>
    <row r="206" spans="1:5" x14ac:dyDescent="0.3">
      <c r="A206" s="29" t="s">
        <v>145</v>
      </c>
      <c r="B206" s="62" t="s">
        <v>4</v>
      </c>
      <c r="C206" s="63">
        <v>5840</v>
      </c>
      <c r="D206" s="41">
        <f>VLOOKUP(A206,'8.11'!A202:D247,4,)</f>
        <v>6500</v>
      </c>
      <c r="E206" s="66">
        <f>+D206*C206</f>
        <v>37960000</v>
      </c>
    </row>
    <row r="207" spans="1:5" x14ac:dyDescent="0.3">
      <c r="A207" s="34" t="s">
        <v>180</v>
      </c>
      <c r="B207" s="64">
        <v>0</v>
      </c>
      <c r="C207" s="65">
        <v>1</v>
      </c>
      <c r="D207" s="42"/>
      <c r="E207" s="67">
        <f>SUBTOTAL(9,E170:E206)</f>
        <v>83608000</v>
      </c>
    </row>
    <row r="208" spans="1:5" x14ac:dyDescent="0.3">
      <c r="E208" s="69">
        <f>+E167+E207</f>
        <v>255873800</v>
      </c>
    </row>
  </sheetData>
  <autoFilter ref="A1:E207" xr:uid="{00000000-0009-0000-0000-000008000000}">
    <filterColumn colId="2">
      <filters>
        <filter val="1"/>
        <filter val="1,377"/>
        <filter val="100"/>
        <filter val="11"/>
        <filter val="11,817"/>
        <filter val="120"/>
        <filter val="125"/>
        <filter val="140"/>
        <filter val="1400"/>
        <filter val="152"/>
        <filter val="155"/>
        <filter val="16"/>
        <filter val="160"/>
        <filter val="17"/>
        <filter val="172"/>
        <filter val="20"/>
        <filter val="200"/>
        <filter val="220"/>
        <filter val="229"/>
        <filter val="25"/>
        <filter val="250"/>
        <filter val="280"/>
        <filter val="3"/>
        <filter val="30"/>
        <filter val="32"/>
        <filter val="35"/>
        <filter val="37"/>
        <filter val="4,200"/>
        <filter val="40"/>
        <filter val="400"/>
        <filter val="48"/>
        <filter val="5"/>
        <filter val="50"/>
        <filter val="500"/>
        <filter val="5840"/>
        <filter val="590"/>
        <filter val="60"/>
        <filter val="645"/>
        <filter val="675"/>
        <filter val="766"/>
        <filter val="770"/>
        <filter val="8"/>
        <filter val="83"/>
        <filter val="90"/>
        <filter val="Tồn_x000a_ĐL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E214"/>
  <sheetViews>
    <sheetView workbookViewId="0">
      <pane xSplit="1" ySplit="1" topLeftCell="B72" activePane="bottomRight" state="frozen"/>
      <selection pane="topRight" activeCell="B1" sqref="B1"/>
      <selection pane="bottomLeft" activeCell="A2" sqref="A2"/>
      <selection pane="bottomRight" sqref="A1:E1"/>
    </sheetView>
  </sheetViews>
  <sheetFormatPr defaultRowHeight="15.6" x14ac:dyDescent="0.3"/>
  <cols>
    <col min="1" max="1" width="43.77734375" style="31" bestFit="1" customWidth="1"/>
    <col min="2" max="2" width="11.33203125" style="31" bestFit="1" customWidth="1"/>
    <col min="3" max="3" width="9.44140625" style="31" customWidth="1"/>
    <col min="4" max="4" width="16.21875" style="44" customWidth="1"/>
    <col min="5" max="5" width="23.109375" style="68" customWidth="1"/>
    <col min="6" max="16384" width="8.88671875" style="31"/>
  </cols>
  <sheetData>
    <row r="1" spans="1:5" ht="31.2" x14ac:dyDescent="0.3">
      <c r="A1" s="32" t="s">
        <v>0</v>
      </c>
      <c r="B1" s="32" t="s">
        <v>1</v>
      </c>
      <c r="C1" s="33" t="s">
        <v>2</v>
      </c>
      <c r="D1" s="33" t="s">
        <v>177</v>
      </c>
      <c r="E1" s="33" t="s">
        <v>178</v>
      </c>
    </row>
    <row r="2" spans="1:5" x14ac:dyDescent="0.3">
      <c r="A2" s="29" t="s">
        <v>3</v>
      </c>
      <c r="B2" s="29" t="s">
        <v>4</v>
      </c>
      <c r="C2" s="70">
        <v>7</v>
      </c>
      <c r="D2" s="41">
        <v>30000</v>
      </c>
      <c r="E2" s="66">
        <f>+D2*C2</f>
        <v>210000</v>
      </c>
    </row>
    <row r="3" spans="1:5" s="24" customFormat="1" ht="14.4" hidden="1" x14ac:dyDescent="0.3">
      <c r="A3" s="25" t="s">
        <v>5</v>
      </c>
      <c r="B3" s="25" t="s">
        <v>4</v>
      </c>
      <c r="C3" s="26">
        <v>0</v>
      </c>
      <c r="D3" s="60"/>
      <c r="E3" s="60"/>
    </row>
    <row r="4" spans="1:5" x14ac:dyDescent="0.3">
      <c r="A4" s="29" t="s">
        <v>6</v>
      </c>
      <c r="B4" s="29" t="s">
        <v>4</v>
      </c>
      <c r="C4" s="70">
        <v>520</v>
      </c>
      <c r="D4" s="41">
        <f>VLOOKUP(A4,'9.11'!A9:D168,4,)</f>
        <v>11000</v>
      </c>
      <c r="E4" s="66">
        <f>+D4*C4</f>
        <v>5720000</v>
      </c>
    </row>
    <row r="5" spans="1:5" s="24" customFormat="1" ht="14.4" hidden="1" x14ac:dyDescent="0.3">
      <c r="A5" s="25" t="s">
        <v>7</v>
      </c>
      <c r="B5" s="25" t="s">
        <v>4</v>
      </c>
      <c r="C5" s="26">
        <v>0</v>
      </c>
      <c r="D5" s="60"/>
      <c r="E5" s="60"/>
    </row>
    <row r="6" spans="1:5" s="24" customFormat="1" ht="14.4" hidden="1" x14ac:dyDescent="0.3">
      <c r="A6" s="25" t="s">
        <v>7</v>
      </c>
      <c r="B6" s="25" t="s">
        <v>84</v>
      </c>
      <c r="C6" s="26">
        <v>0</v>
      </c>
      <c r="D6" s="60"/>
      <c r="E6" s="60"/>
    </row>
    <row r="7" spans="1:5" s="24" customFormat="1" ht="14.4" hidden="1" x14ac:dyDescent="0.3">
      <c r="A7" s="25" t="s">
        <v>85</v>
      </c>
      <c r="B7" s="25" t="s">
        <v>4</v>
      </c>
      <c r="C7" s="26">
        <v>0</v>
      </c>
      <c r="D7" s="60"/>
      <c r="E7" s="60"/>
    </row>
    <row r="8" spans="1:5" x14ac:dyDescent="0.3">
      <c r="A8" s="29" t="s">
        <v>8</v>
      </c>
      <c r="B8" s="29" t="s">
        <v>4</v>
      </c>
      <c r="C8" s="70">
        <v>680</v>
      </c>
      <c r="D8" s="41">
        <f>VLOOKUP(A8,'9.11'!A13:D172,4,)</f>
        <v>5200</v>
      </c>
      <c r="E8" s="66">
        <f>+D8*C8</f>
        <v>3536000</v>
      </c>
    </row>
    <row r="9" spans="1:5" s="24" customFormat="1" ht="14.4" hidden="1" x14ac:dyDescent="0.3">
      <c r="A9" s="25" t="s">
        <v>106</v>
      </c>
      <c r="B9" s="25" t="s">
        <v>4</v>
      </c>
      <c r="C9" s="26">
        <v>0</v>
      </c>
      <c r="D9" s="60"/>
      <c r="E9" s="60"/>
    </row>
    <row r="10" spans="1:5" s="24" customFormat="1" ht="14.4" hidden="1" x14ac:dyDescent="0.3">
      <c r="A10" s="25" t="s">
        <v>9</v>
      </c>
      <c r="B10" s="25" t="s">
        <v>4</v>
      </c>
      <c r="C10" s="26">
        <v>0</v>
      </c>
      <c r="D10" s="60"/>
      <c r="E10" s="60"/>
    </row>
    <row r="11" spans="1:5" x14ac:dyDescent="0.3">
      <c r="A11" s="29" t="s">
        <v>10</v>
      </c>
      <c r="B11" s="29" t="s">
        <v>4</v>
      </c>
      <c r="C11" s="70">
        <v>117</v>
      </c>
      <c r="D11" s="41">
        <f>VLOOKUP(A11,'9.11'!A16:D175,4,)</f>
        <v>23000</v>
      </c>
      <c r="E11" s="66">
        <f>+D11*C11</f>
        <v>2691000</v>
      </c>
    </row>
    <row r="12" spans="1:5" s="24" customFormat="1" ht="14.4" hidden="1" x14ac:dyDescent="0.3">
      <c r="A12" s="25" t="s">
        <v>10</v>
      </c>
      <c r="B12" s="25" t="s">
        <v>84</v>
      </c>
      <c r="C12" s="26">
        <v>0</v>
      </c>
      <c r="D12" s="60"/>
      <c r="E12" s="60"/>
    </row>
    <row r="13" spans="1:5" x14ac:dyDescent="0.3">
      <c r="A13" s="29" t="s">
        <v>11</v>
      </c>
      <c r="B13" s="29" t="s">
        <v>4</v>
      </c>
      <c r="C13" s="70">
        <v>60</v>
      </c>
      <c r="D13" s="41">
        <f>VLOOKUP(A13,'9.11'!A18:D177,4,)</f>
        <v>15000</v>
      </c>
      <c r="E13" s="66">
        <f>+D13*C13</f>
        <v>900000</v>
      </c>
    </row>
    <row r="14" spans="1:5" s="24" customFormat="1" ht="14.4" hidden="1" x14ac:dyDescent="0.3">
      <c r="A14" s="25" t="s">
        <v>11</v>
      </c>
      <c r="B14" s="25" t="s">
        <v>84</v>
      </c>
      <c r="C14" s="26">
        <v>0</v>
      </c>
      <c r="D14" s="60"/>
      <c r="E14" s="60"/>
    </row>
    <row r="15" spans="1:5" s="24" customFormat="1" ht="14.4" hidden="1" x14ac:dyDescent="0.3">
      <c r="A15" s="25" t="s">
        <v>12</v>
      </c>
      <c r="B15" s="25" t="s">
        <v>4</v>
      </c>
      <c r="C15" s="26">
        <v>0</v>
      </c>
      <c r="D15" s="60"/>
      <c r="E15" s="60"/>
    </row>
    <row r="16" spans="1:5" x14ac:dyDescent="0.3">
      <c r="A16" s="29" t="s">
        <v>13</v>
      </c>
      <c r="B16" s="29" t="s">
        <v>4</v>
      </c>
      <c r="C16" s="70">
        <v>5</v>
      </c>
      <c r="D16" s="41">
        <v>27000</v>
      </c>
      <c r="E16" s="66">
        <f>+D16*C16</f>
        <v>135000</v>
      </c>
    </row>
    <row r="17" spans="1:5" s="24" customFormat="1" ht="14.4" hidden="1" x14ac:dyDescent="0.3">
      <c r="A17" s="25" t="s">
        <v>175</v>
      </c>
      <c r="B17" s="25" t="s">
        <v>4</v>
      </c>
      <c r="C17" s="26">
        <v>0</v>
      </c>
      <c r="D17" s="60"/>
      <c r="E17" s="60"/>
    </row>
    <row r="18" spans="1:5" s="24" customFormat="1" ht="14.4" hidden="1" x14ac:dyDescent="0.3">
      <c r="A18" s="25" t="s">
        <v>59</v>
      </c>
      <c r="B18" s="25" t="s">
        <v>4</v>
      </c>
      <c r="C18" s="26">
        <v>0</v>
      </c>
      <c r="D18" s="60"/>
      <c r="E18" s="60"/>
    </row>
    <row r="19" spans="1:5" s="24" customFormat="1" ht="14.4" hidden="1" x14ac:dyDescent="0.3">
      <c r="A19" s="25" t="s">
        <v>60</v>
      </c>
      <c r="B19" s="25" t="s">
        <v>4</v>
      </c>
      <c r="C19" s="26">
        <v>0</v>
      </c>
      <c r="D19" s="60"/>
      <c r="E19" s="60"/>
    </row>
    <row r="20" spans="1:5" s="24" customFormat="1" ht="14.4" hidden="1" x14ac:dyDescent="0.3">
      <c r="A20" s="25" t="s">
        <v>60</v>
      </c>
      <c r="B20" s="25" t="s">
        <v>50</v>
      </c>
      <c r="C20" s="26">
        <v>0</v>
      </c>
      <c r="D20" s="60"/>
      <c r="E20" s="60"/>
    </row>
    <row r="21" spans="1:5" x14ac:dyDescent="0.3">
      <c r="A21" s="29" t="s">
        <v>15</v>
      </c>
      <c r="B21" s="29" t="s">
        <v>4</v>
      </c>
      <c r="C21" s="70">
        <v>140</v>
      </c>
      <c r="D21" s="41">
        <v>24000</v>
      </c>
      <c r="E21" s="66">
        <f>+D21*C21</f>
        <v>3360000</v>
      </c>
    </row>
    <row r="22" spans="1:5" s="24" customFormat="1" ht="14.4" hidden="1" x14ac:dyDescent="0.3">
      <c r="A22" s="25" t="s">
        <v>15</v>
      </c>
      <c r="B22" s="25" t="s">
        <v>50</v>
      </c>
      <c r="C22" s="26">
        <v>0</v>
      </c>
      <c r="D22" s="60"/>
      <c r="E22" s="60"/>
    </row>
    <row r="23" spans="1:5" s="24" customFormat="1" ht="14.4" hidden="1" x14ac:dyDescent="0.3">
      <c r="A23" s="25" t="s">
        <v>15</v>
      </c>
      <c r="B23" s="25" t="s">
        <v>164</v>
      </c>
      <c r="C23" s="26">
        <v>0</v>
      </c>
      <c r="D23" s="60"/>
      <c r="E23" s="60"/>
    </row>
    <row r="24" spans="1:5" x14ac:dyDescent="0.3">
      <c r="A24" s="29" t="s">
        <v>16</v>
      </c>
      <c r="B24" s="29" t="s">
        <v>4</v>
      </c>
      <c r="C24" s="70">
        <v>91</v>
      </c>
      <c r="D24" s="41">
        <f>VLOOKUP(A24,'9.11'!A29:D188,4,)</f>
        <v>17000</v>
      </c>
      <c r="E24" s="66">
        <f>+D24*C24</f>
        <v>1547000</v>
      </c>
    </row>
    <row r="25" spans="1:5" s="24" customFormat="1" ht="14.4" hidden="1" x14ac:dyDescent="0.3">
      <c r="A25" s="25" t="s">
        <v>16</v>
      </c>
      <c r="B25" s="25" t="s">
        <v>165</v>
      </c>
      <c r="C25" s="26">
        <v>0</v>
      </c>
      <c r="D25" s="60"/>
      <c r="E25" s="60"/>
    </row>
    <row r="26" spans="1:5" s="24" customFormat="1" ht="14.4" hidden="1" x14ac:dyDescent="0.3">
      <c r="A26" s="25" t="s">
        <v>17</v>
      </c>
      <c r="B26" s="25" t="s">
        <v>4</v>
      </c>
      <c r="C26" s="26">
        <v>0</v>
      </c>
      <c r="D26" s="60"/>
      <c r="E26" s="60"/>
    </row>
    <row r="27" spans="1:5" s="24" customFormat="1" ht="14.4" hidden="1" x14ac:dyDescent="0.3">
      <c r="A27" s="25" t="s">
        <v>17</v>
      </c>
      <c r="B27" s="25" t="s">
        <v>147</v>
      </c>
      <c r="C27" s="26">
        <v>0</v>
      </c>
      <c r="D27" s="60"/>
      <c r="E27" s="60"/>
    </row>
    <row r="28" spans="1:5" s="24" customFormat="1" ht="14.4" hidden="1" x14ac:dyDescent="0.3">
      <c r="A28" s="25" t="s">
        <v>89</v>
      </c>
      <c r="B28" s="25" t="s">
        <v>53</v>
      </c>
      <c r="C28" s="26">
        <v>0</v>
      </c>
      <c r="D28" s="60"/>
      <c r="E28" s="60"/>
    </row>
    <row r="29" spans="1:5" s="24" customFormat="1" ht="14.4" hidden="1" x14ac:dyDescent="0.3">
      <c r="A29" s="25" t="s">
        <v>89</v>
      </c>
      <c r="B29" s="25" t="s">
        <v>4</v>
      </c>
      <c r="C29" s="26">
        <v>0</v>
      </c>
      <c r="D29" s="60"/>
      <c r="E29" s="60"/>
    </row>
    <row r="30" spans="1:5" s="24" customFormat="1" ht="14.4" hidden="1" x14ac:dyDescent="0.3">
      <c r="A30" s="25" t="s">
        <v>90</v>
      </c>
      <c r="B30" s="25" t="s">
        <v>4</v>
      </c>
      <c r="C30" s="26">
        <v>0</v>
      </c>
      <c r="D30" s="60"/>
      <c r="E30" s="60"/>
    </row>
    <row r="31" spans="1:5" s="24" customFormat="1" ht="14.4" hidden="1" x14ac:dyDescent="0.3">
      <c r="A31" s="25" t="s">
        <v>90</v>
      </c>
      <c r="B31" s="25" t="s">
        <v>147</v>
      </c>
      <c r="C31" s="26">
        <v>0</v>
      </c>
      <c r="D31" s="60"/>
      <c r="E31" s="60"/>
    </row>
    <row r="32" spans="1:5" s="24" customFormat="1" ht="14.4" hidden="1" x14ac:dyDescent="0.3">
      <c r="A32" s="25" t="s">
        <v>90</v>
      </c>
      <c r="B32" s="25" t="s">
        <v>148</v>
      </c>
      <c r="C32" s="26">
        <v>0</v>
      </c>
      <c r="D32" s="60"/>
      <c r="E32" s="60"/>
    </row>
    <row r="33" spans="1:5" x14ac:dyDescent="0.3">
      <c r="A33" s="29" t="s">
        <v>18</v>
      </c>
      <c r="B33" s="29" t="s">
        <v>4</v>
      </c>
      <c r="C33" s="70">
        <v>240</v>
      </c>
      <c r="D33" s="41">
        <f>VLOOKUP(A33,'9.11'!A38:D197,4,)</f>
        <v>17000</v>
      </c>
      <c r="E33" s="66">
        <f>+D33*C33</f>
        <v>4080000</v>
      </c>
    </row>
    <row r="34" spans="1:5" s="24" customFormat="1" ht="14.4" hidden="1" x14ac:dyDescent="0.3">
      <c r="A34" s="25" t="s">
        <v>18</v>
      </c>
      <c r="B34" s="25" t="s">
        <v>50</v>
      </c>
      <c r="C34" s="26">
        <v>0</v>
      </c>
      <c r="D34" s="60"/>
      <c r="E34" s="60"/>
    </row>
    <row r="35" spans="1:5" x14ac:dyDescent="0.3">
      <c r="A35" s="29" t="s">
        <v>92</v>
      </c>
      <c r="B35" s="29" t="s">
        <v>31</v>
      </c>
      <c r="C35" s="70">
        <v>87</v>
      </c>
      <c r="D35" s="41">
        <f>VLOOKUP(A35,'9.11'!A40:D199,4,)</f>
        <v>14000</v>
      </c>
      <c r="E35" s="66">
        <f t="shared" ref="E35:E36" si="0">+D35*C35</f>
        <v>1218000</v>
      </c>
    </row>
    <row r="36" spans="1:5" x14ac:dyDescent="0.3">
      <c r="A36" s="29" t="s">
        <v>49</v>
      </c>
      <c r="B36" s="29" t="s">
        <v>4</v>
      </c>
      <c r="C36" s="70">
        <v>65</v>
      </c>
      <c r="D36" s="41">
        <v>16000</v>
      </c>
      <c r="E36" s="66">
        <f t="shared" si="0"/>
        <v>1040000</v>
      </c>
    </row>
    <row r="37" spans="1:5" s="24" customFormat="1" ht="14.4" hidden="1" x14ac:dyDescent="0.3">
      <c r="A37" s="25" t="s">
        <v>49</v>
      </c>
      <c r="B37" s="25" t="s">
        <v>31</v>
      </c>
      <c r="C37" s="26">
        <v>0</v>
      </c>
      <c r="D37" s="60"/>
      <c r="E37" s="60"/>
    </row>
    <row r="38" spans="1:5" s="24" customFormat="1" ht="14.4" hidden="1" x14ac:dyDescent="0.3">
      <c r="A38" s="25" t="s">
        <v>19</v>
      </c>
      <c r="B38" s="25" t="s">
        <v>4</v>
      </c>
      <c r="C38" s="26">
        <v>0</v>
      </c>
      <c r="D38" s="60"/>
      <c r="E38" s="60"/>
    </row>
    <row r="39" spans="1:5" s="24" customFormat="1" ht="14.4" hidden="1" x14ac:dyDescent="0.3">
      <c r="A39" s="25" t="s">
        <v>19</v>
      </c>
      <c r="B39" s="25" t="s">
        <v>50</v>
      </c>
      <c r="C39" s="26">
        <v>0</v>
      </c>
      <c r="D39" s="60"/>
      <c r="E39" s="60"/>
    </row>
    <row r="40" spans="1:5" s="24" customFormat="1" ht="14.4" hidden="1" x14ac:dyDescent="0.3">
      <c r="A40" s="25" t="s">
        <v>20</v>
      </c>
      <c r="B40" s="25" t="s">
        <v>4</v>
      </c>
      <c r="C40" s="26">
        <v>0</v>
      </c>
      <c r="D40" s="60"/>
      <c r="E40" s="60"/>
    </row>
    <row r="41" spans="1:5" x14ac:dyDescent="0.3">
      <c r="A41" s="29" t="s">
        <v>21</v>
      </c>
      <c r="B41" s="29" t="s">
        <v>4</v>
      </c>
      <c r="C41" s="70">
        <v>10</v>
      </c>
      <c r="D41" s="41">
        <v>8000</v>
      </c>
      <c r="E41" s="66">
        <f>+D41*C41</f>
        <v>80000</v>
      </c>
    </row>
    <row r="42" spans="1:5" s="24" customFormat="1" ht="14.4" hidden="1" x14ac:dyDescent="0.3">
      <c r="A42" s="25" t="s">
        <v>21</v>
      </c>
      <c r="B42" s="25" t="s">
        <v>149</v>
      </c>
      <c r="C42" s="26">
        <v>0</v>
      </c>
      <c r="D42" s="60"/>
      <c r="E42" s="60"/>
    </row>
    <row r="43" spans="1:5" s="24" customFormat="1" ht="14.4" hidden="1" x14ac:dyDescent="0.3">
      <c r="A43" s="25" t="s">
        <v>132</v>
      </c>
      <c r="B43" s="25" t="s">
        <v>4</v>
      </c>
      <c r="C43" s="26">
        <v>0</v>
      </c>
      <c r="D43" s="60"/>
      <c r="E43" s="60"/>
    </row>
    <row r="44" spans="1:5" s="24" customFormat="1" ht="14.4" hidden="1" x14ac:dyDescent="0.3">
      <c r="A44" s="25" t="s">
        <v>132</v>
      </c>
      <c r="B44" s="25" t="s">
        <v>31</v>
      </c>
      <c r="C44" s="26">
        <v>0</v>
      </c>
      <c r="D44" s="60"/>
      <c r="E44" s="60"/>
    </row>
    <row r="45" spans="1:5" s="24" customFormat="1" ht="14.4" hidden="1" x14ac:dyDescent="0.3">
      <c r="A45" s="25" t="s">
        <v>62</v>
      </c>
      <c r="B45" s="25" t="s">
        <v>4</v>
      </c>
      <c r="C45" s="26">
        <v>0</v>
      </c>
      <c r="D45" s="60"/>
      <c r="E45" s="60"/>
    </row>
    <row r="46" spans="1:5" x14ac:dyDescent="0.3">
      <c r="A46" s="29" t="s">
        <v>62</v>
      </c>
      <c r="B46" s="29" t="s">
        <v>31</v>
      </c>
      <c r="C46" s="70">
        <v>30</v>
      </c>
      <c r="D46" s="41">
        <f>38000*0.3</f>
        <v>11400</v>
      </c>
      <c r="E46" s="66">
        <f>+D46*C46</f>
        <v>342000</v>
      </c>
    </row>
    <row r="47" spans="1:5" s="24" customFormat="1" ht="14.4" hidden="1" x14ac:dyDescent="0.3">
      <c r="A47" s="25" t="s">
        <v>63</v>
      </c>
      <c r="B47" s="25" t="s">
        <v>4</v>
      </c>
      <c r="C47" s="26">
        <v>0</v>
      </c>
      <c r="D47" s="60"/>
      <c r="E47" s="60"/>
    </row>
    <row r="48" spans="1:5" s="24" customFormat="1" ht="14.4" hidden="1" x14ac:dyDescent="0.3">
      <c r="A48" s="25" t="s">
        <v>63</v>
      </c>
      <c r="B48" s="25" t="s">
        <v>31</v>
      </c>
      <c r="C48" s="26">
        <v>0</v>
      </c>
      <c r="D48" s="60"/>
      <c r="E48" s="60"/>
    </row>
    <row r="49" spans="1:5" s="24" customFormat="1" ht="14.4" hidden="1" x14ac:dyDescent="0.3">
      <c r="A49" s="25" t="s">
        <v>64</v>
      </c>
      <c r="B49" s="25" t="s">
        <v>4</v>
      </c>
      <c r="C49" s="26">
        <v>0</v>
      </c>
      <c r="D49" s="60"/>
      <c r="E49" s="60"/>
    </row>
    <row r="50" spans="1:5" s="24" customFormat="1" ht="14.4" hidden="1" x14ac:dyDescent="0.3">
      <c r="A50" s="25" t="s">
        <v>64</v>
      </c>
      <c r="B50" s="25" t="s">
        <v>31</v>
      </c>
      <c r="C50" s="26">
        <v>0</v>
      </c>
      <c r="D50" s="60"/>
      <c r="E50" s="60"/>
    </row>
    <row r="51" spans="1:5" s="24" customFormat="1" ht="14.4" hidden="1" x14ac:dyDescent="0.3">
      <c r="A51" s="25" t="s">
        <v>64</v>
      </c>
      <c r="B51" s="25" t="s">
        <v>65</v>
      </c>
      <c r="C51" s="26">
        <v>0</v>
      </c>
      <c r="D51" s="60"/>
      <c r="E51" s="60"/>
    </row>
    <row r="52" spans="1:5" x14ac:dyDescent="0.3">
      <c r="A52" s="29" t="s">
        <v>22</v>
      </c>
      <c r="B52" s="29" t="s">
        <v>4</v>
      </c>
      <c r="C52" s="70">
        <v>2458</v>
      </c>
      <c r="D52" s="41">
        <f>VLOOKUP(A52,'9.11'!A57:D216,4,)</f>
        <v>7500</v>
      </c>
      <c r="E52" s="66">
        <f>+D52*C52</f>
        <v>18435000</v>
      </c>
    </row>
    <row r="53" spans="1:5" s="24" customFormat="1" ht="14.4" hidden="1" x14ac:dyDescent="0.3">
      <c r="A53" s="25" t="s">
        <v>120</v>
      </c>
      <c r="B53" s="25" t="s">
        <v>31</v>
      </c>
      <c r="C53" s="26">
        <v>0</v>
      </c>
      <c r="D53" s="60"/>
      <c r="E53" s="60"/>
    </row>
    <row r="54" spans="1:5" x14ac:dyDescent="0.3">
      <c r="A54" s="29" t="s">
        <v>189</v>
      </c>
      <c r="B54" s="29" t="s">
        <v>4</v>
      </c>
      <c r="C54" s="70">
        <v>17</v>
      </c>
      <c r="D54" s="41">
        <f>VLOOKUP(A54,'9.11'!A59:D218,4,)</f>
        <v>45000</v>
      </c>
      <c r="E54" s="66">
        <f>+D54*C54</f>
        <v>765000</v>
      </c>
    </row>
    <row r="55" spans="1:5" s="24" customFormat="1" ht="14.4" hidden="1" x14ac:dyDescent="0.3">
      <c r="A55" s="25" t="s">
        <v>24</v>
      </c>
      <c r="B55" s="25" t="s">
        <v>66</v>
      </c>
      <c r="C55" s="26">
        <v>0</v>
      </c>
      <c r="D55" s="60"/>
      <c r="E55" s="60"/>
    </row>
    <row r="56" spans="1:5" x14ac:dyDescent="0.3">
      <c r="A56" s="29" t="s">
        <v>24</v>
      </c>
      <c r="B56" s="29" t="s">
        <v>4</v>
      </c>
      <c r="C56" s="70">
        <v>13</v>
      </c>
      <c r="D56" s="41">
        <v>10000</v>
      </c>
      <c r="E56" s="66">
        <f>+D56*C56</f>
        <v>130000</v>
      </c>
    </row>
    <row r="57" spans="1:5" s="24" customFormat="1" ht="14.4" hidden="1" x14ac:dyDescent="0.3">
      <c r="A57" s="25" t="s">
        <v>24</v>
      </c>
      <c r="B57" s="25" t="s">
        <v>31</v>
      </c>
      <c r="C57" s="26">
        <v>0</v>
      </c>
      <c r="D57" s="60"/>
      <c r="E57" s="60"/>
    </row>
    <row r="58" spans="1:5" s="24" customFormat="1" ht="14.4" hidden="1" x14ac:dyDescent="0.3">
      <c r="A58" s="25" t="s">
        <v>94</v>
      </c>
      <c r="B58" s="25" t="s">
        <v>4</v>
      </c>
      <c r="C58" s="26">
        <v>0</v>
      </c>
      <c r="D58" s="60"/>
      <c r="E58" s="60"/>
    </row>
    <row r="59" spans="1:5" s="24" customFormat="1" ht="14.4" hidden="1" x14ac:dyDescent="0.3">
      <c r="A59" s="25" t="s">
        <v>94</v>
      </c>
      <c r="B59" s="25" t="s">
        <v>50</v>
      </c>
      <c r="C59" s="26">
        <v>0</v>
      </c>
      <c r="D59" s="60"/>
      <c r="E59" s="60"/>
    </row>
    <row r="60" spans="1:5" s="24" customFormat="1" ht="14.4" hidden="1" x14ac:dyDescent="0.3">
      <c r="A60" s="25" t="s">
        <v>26</v>
      </c>
      <c r="B60" s="25" t="s">
        <v>4</v>
      </c>
      <c r="C60" s="26">
        <v>0</v>
      </c>
      <c r="D60" s="60"/>
      <c r="E60" s="60"/>
    </row>
    <row r="61" spans="1:5" s="24" customFormat="1" ht="14.4" hidden="1" x14ac:dyDescent="0.3">
      <c r="A61" s="25" t="s">
        <v>51</v>
      </c>
      <c r="B61" s="25" t="s">
        <v>53</v>
      </c>
      <c r="C61" s="26">
        <v>0</v>
      </c>
      <c r="D61" s="60"/>
      <c r="E61" s="60"/>
    </row>
    <row r="62" spans="1:5" s="24" customFormat="1" ht="14.4" hidden="1" x14ac:dyDescent="0.3">
      <c r="A62" s="25" t="s">
        <v>51</v>
      </c>
      <c r="B62" s="25" t="s">
        <v>4</v>
      </c>
      <c r="C62" s="26">
        <v>0</v>
      </c>
      <c r="D62" s="60"/>
      <c r="E62" s="60"/>
    </row>
    <row r="63" spans="1:5" s="24" customFormat="1" ht="14.4" hidden="1" x14ac:dyDescent="0.3">
      <c r="A63" s="25" t="s">
        <v>27</v>
      </c>
      <c r="B63" s="25" t="s">
        <v>4</v>
      </c>
      <c r="C63" s="26">
        <v>0</v>
      </c>
      <c r="D63" s="60"/>
      <c r="E63" s="60"/>
    </row>
    <row r="64" spans="1:5" x14ac:dyDescent="0.3">
      <c r="A64" s="29" t="s">
        <v>28</v>
      </c>
      <c r="B64" s="29" t="s">
        <v>4</v>
      </c>
      <c r="C64" s="70">
        <v>27</v>
      </c>
      <c r="D64" s="41">
        <f>VLOOKUP(A64,'9.11'!A69:D228,4,)</f>
        <v>17000</v>
      </c>
      <c r="E64" s="66">
        <f>+D64*C64</f>
        <v>459000</v>
      </c>
    </row>
    <row r="65" spans="1:5" s="24" customFormat="1" ht="14.4" hidden="1" x14ac:dyDescent="0.3">
      <c r="A65" s="25" t="s">
        <v>28</v>
      </c>
      <c r="B65" s="25" t="s">
        <v>31</v>
      </c>
      <c r="C65" s="26">
        <v>0</v>
      </c>
      <c r="D65" s="60"/>
      <c r="E65" s="60"/>
    </row>
    <row r="66" spans="1:5" s="24" customFormat="1" ht="14.4" hidden="1" x14ac:dyDescent="0.3">
      <c r="A66" s="25" t="s">
        <v>54</v>
      </c>
      <c r="B66" s="25" t="s">
        <v>4</v>
      </c>
      <c r="C66" s="26">
        <v>0</v>
      </c>
      <c r="D66" s="60"/>
      <c r="E66" s="60"/>
    </row>
    <row r="67" spans="1:5" x14ac:dyDescent="0.3">
      <c r="A67" s="29" t="s">
        <v>29</v>
      </c>
      <c r="B67" s="29" t="s">
        <v>4</v>
      </c>
      <c r="C67" s="70">
        <v>1184</v>
      </c>
      <c r="D67" s="41">
        <f>VLOOKUP(A67,'9.11'!A72:D231,4,)</f>
        <v>21000</v>
      </c>
      <c r="E67" s="66">
        <f>+D67*C67</f>
        <v>24864000</v>
      </c>
    </row>
    <row r="68" spans="1:5" s="24" customFormat="1" ht="14.4" hidden="1" x14ac:dyDescent="0.3">
      <c r="A68" s="25" t="s">
        <v>29</v>
      </c>
      <c r="B68" s="25" t="s">
        <v>150</v>
      </c>
      <c r="C68" s="26">
        <v>0</v>
      </c>
      <c r="D68" s="60"/>
      <c r="E68" s="60"/>
    </row>
    <row r="69" spans="1:5" s="24" customFormat="1" ht="14.4" hidden="1" x14ac:dyDescent="0.3">
      <c r="A69" s="25" t="s">
        <v>55</v>
      </c>
      <c r="B69" s="25" t="s">
        <v>4</v>
      </c>
      <c r="C69" s="26">
        <v>0</v>
      </c>
      <c r="D69" s="60"/>
      <c r="E69" s="60"/>
    </row>
    <row r="70" spans="1:5" s="24" customFormat="1" ht="14.4" hidden="1" x14ac:dyDescent="0.3">
      <c r="A70" s="25" t="s">
        <v>55</v>
      </c>
      <c r="B70" s="25" t="s">
        <v>31</v>
      </c>
      <c r="C70" s="26">
        <v>0</v>
      </c>
      <c r="D70" s="60"/>
      <c r="E70" s="60"/>
    </row>
    <row r="71" spans="1:5" s="24" customFormat="1" ht="14.4" hidden="1" x14ac:dyDescent="0.3">
      <c r="A71" s="25" t="s">
        <v>56</v>
      </c>
      <c r="B71" s="25" t="s">
        <v>4</v>
      </c>
      <c r="C71" s="26">
        <v>0</v>
      </c>
      <c r="D71" s="60"/>
      <c r="E71" s="60"/>
    </row>
    <row r="72" spans="1:5" x14ac:dyDescent="0.3">
      <c r="A72" s="29" t="s">
        <v>56</v>
      </c>
      <c r="B72" s="29" t="s">
        <v>31</v>
      </c>
      <c r="C72" s="70">
        <v>726</v>
      </c>
      <c r="D72" s="41">
        <f>15000*0.3</f>
        <v>4500</v>
      </c>
      <c r="E72" s="66">
        <f t="shared" ref="E72:E74" si="1">+D72*C72</f>
        <v>3267000</v>
      </c>
    </row>
    <row r="73" spans="1:5" x14ac:dyDescent="0.3">
      <c r="A73" s="29" t="s">
        <v>117</v>
      </c>
      <c r="B73" s="29" t="s">
        <v>4</v>
      </c>
      <c r="C73" s="70">
        <v>370</v>
      </c>
      <c r="D73" s="41">
        <v>22000</v>
      </c>
      <c r="E73" s="66">
        <f t="shared" si="1"/>
        <v>8140000</v>
      </c>
    </row>
    <row r="74" spans="1:5" x14ac:dyDescent="0.3">
      <c r="A74" s="29" t="s">
        <v>57</v>
      </c>
      <c r="B74" s="29" t="s">
        <v>4</v>
      </c>
      <c r="C74" s="70">
        <v>900</v>
      </c>
      <c r="D74" s="41">
        <v>22000</v>
      </c>
      <c r="E74" s="66">
        <f t="shared" si="1"/>
        <v>19800000</v>
      </c>
    </row>
    <row r="75" spans="1:5" s="24" customFormat="1" ht="14.4" hidden="1" x14ac:dyDescent="0.3">
      <c r="A75" s="25" t="s">
        <v>57</v>
      </c>
      <c r="B75" s="25" t="s">
        <v>31</v>
      </c>
      <c r="C75" s="26">
        <v>0</v>
      </c>
      <c r="D75" s="60"/>
      <c r="E75" s="60"/>
    </row>
    <row r="76" spans="1:5" x14ac:dyDescent="0.3">
      <c r="A76" s="29" t="s">
        <v>135</v>
      </c>
      <c r="B76" s="29" t="s">
        <v>4</v>
      </c>
      <c r="C76" s="70">
        <v>410</v>
      </c>
      <c r="D76" s="41">
        <f>VLOOKUP(A76,'9.11'!A81:D240,4,)</f>
        <v>20000</v>
      </c>
      <c r="E76" s="66">
        <f>+D76*C76</f>
        <v>8200000</v>
      </c>
    </row>
    <row r="77" spans="1:5" s="24" customFormat="1" ht="14.4" hidden="1" x14ac:dyDescent="0.3">
      <c r="A77" s="25" t="s">
        <v>155</v>
      </c>
      <c r="B77" s="25" t="s">
        <v>4</v>
      </c>
      <c r="C77" s="26">
        <v>0</v>
      </c>
      <c r="D77" s="60"/>
      <c r="E77" s="60"/>
    </row>
    <row r="78" spans="1:5" x14ac:dyDescent="0.3">
      <c r="A78" s="29" t="s">
        <v>32</v>
      </c>
      <c r="B78" s="29" t="s">
        <v>4</v>
      </c>
      <c r="C78" s="70">
        <v>160</v>
      </c>
      <c r="D78" s="41">
        <f>VLOOKUP(A78,'9.11'!A83:D242,4,)</f>
        <v>19000</v>
      </c>
      <c r="E78" s="66">
        <f>+D78*C78</f>
        <v>3040000</v>
      </c>
    </row>
    <row r="79" spans="1:5" s="24" customFormat="1" ht="14.4" hidden="1" x14ac:dyDescent="0.3">
      <c r="A79" s="25" t="s">
        <v>32</v>
      </c>
      <c r="B79" s="25" t="s">
        <v>31</v>
      </c>
      <c r="C79" s="26">
        <v>0</v>
      </c>
      <c r="D79" s="60"/>
      <c r="E79" s="60"/>
    </row>
    <row r="80" spans="1:5" s="24" customFormat="1" ht="14.4" hidden="1" x14ac:dyDescent="0.3">
      <c r="A80" s="25" t="s">
        <v>58</v>
      </c>
      <c r="B80" s="25" t="s">
        <v>4</v>
      </c>
      <c r="C80" s="26">
        <v>0</v>
      </c>
      <c r="D80" s="60"/>
      <c r="E80" s="60"/>
    </row>
    <row r="81" spans="1:5" s="24" customFormat="1" ht="14.4" hidden="1" x14ac:dyDescent="0.3">
      <c r="A81" s="25" t="s">
        <v>118</v>
      </c>
      <c r="B81" s="25" t="s">
        <v>4</v>
      </c>
      <c r="C81" s="26">
        <v>0</v>
      </c>
      <c r="D81" s="60"/>
      <c r="E81" s="60"/>
    </row>
    <row r="82" spans="1:5" s="24" customFormat="1" ht="14.4" hidden="1" x14ac:dyDescent="0.3">
      <c r="A82" s="25" t="s">
        <v>33</v>
      </c>
      <c r="B82" s="25" t="s">
        <v>31</v>
      </c>
      <c r="C82" s="26">
        <v>0</v>
      </c>
      <c r="D82" s="60"/>
      <c r="E82" s="60"/>
    </row>
    <row r="83" spans="1:5" s="24" customFormat="1" ht="14.4" hidden="1" x14ac:dyDescent="0.3">
      <c r="A83" s="25" t="s">
        <v>156</v>
      </c>
      <c r="B83" s="25" t="s">
        <v>4</v>
      </c>
      <c r="C83" s="26">
        <v>0</v>
      </c>
      <c r="D83" s="60"/>
      <c r="E83" s="60"/>
    </row>
    <row r="84" spans="1:5" x14ac:dyDescent="0.3">
      <c r="A84" s="29" t="s">
        <v>34</v>
      </c>
      <c r="B84" s="29" t="s">
        <v>4</v>
      </c>
      <c r="C84" s="70">
        <v>95</v>
      </c>
      <c r="D84" s="41">
        <f>VLOOKUP(A84,'9.11'!A89:D248,4,)</f>
        <v>15000</v>
      </c>
      <c r="E84" s="66">
        <f>+D84*C84</f>
        <v>1425000</v>
      </c>
    </row>
    <row r="85" spans="1:5" s="24" customFormat="1" ht="14.4" hidden="1" x14ac:dyDescent="0.3">
      <c r="A85" s="25" t="s">
        <v>34</v>
      </c>
      <c r="B85" s="25" t="s">
        <v>31</v>
      </c>
      <c r="C85" s="26">
        <v>0</v>
      </c>
      <c r="D85" s="60"/>
      <c r="E85" s="60"/>
    </row>
    <row r="86" spans="1:5" x14ac:dyDescent="0.3">
      <c r="A86" s="29" t="s">
        <v>142</v>
      </c>
      <c r="B86" s="29" t="s">
        <v>31</v>
      </c>
      <c r="C86" s="70">
        <v>60</v>
      </c>
      <c r="D86" s="41">
        <f>VLOOKUP(A86,'9.11'!A91:D250,4,)</f>
        <v>6000</v>
      </c>
      <c r="E86" s="66">
        <f t="shared" ref="E86:E87" si="2">+D86*C86</f>
        <v>360000</v>
      </c>
    </row>
    <row r="87" spans="1:5" x14ac:dyDescent="0.3">
      <c r="A87" s="29" t="s">
        <v>35</v>
      </c>
      <c r="B87" s="29" t="s">
        <v>4</v>
      </c>
      <c r="C87" s="70">
        <v>20</v>
      </c>
      <c r="D87" s="41">
        <v>18000</v>
      </c>
      <c r="E87" s="66">
        <f t="shared" si="2"/>
        <v>360000</v>
      </c>
    </row>
    <row r="88" spans="1:5" s="24" customFormat="1" ht="14.4" hidden="1" x14ac:dyDescent="0.3">
      <c r="A88" s="25" t="s">
        <v>123</v>
      </c>
      <c r="B88" s="25" t="s">
        <v>4</v>
      </c>
      <c r="C88" s="26">
        <v>0</v>
      </c>
      <c r="D88" s="60"/>
      <c r="E88" s="60"/>
    </row>
    <row r="89" spans="1:5" s="24" customFormat="1" ht="14.4" hidden="1" x14ac:dyDescent="0.3">
      <c r="A89" s="25" t="s">
        <v>123</v>
      </c>
      <c r="B89" s="25" t="s">
        <v>31</v>
      </c>
      <c r="C89" s="26">
        <v>0</v>
      </c>
      <c r="D89" s="60"/>
      <c r="E89" s="60"/>
    </row>
    <row r="90" spans="1:5" x14ac:dyDescent="0.3">
      <c r="A90" s="29" t="s">
        <v>37</v>
      </c>
      <c r="B90" s="29" t="s">
        <v>4</v>
      </c>
      <c r="C90" s="70">
        <v>2</v>
      </c>
      <c r="D90" s="41">
        <v>10000</v>
      </c>
      <c r="E90" s="66">
        <f>+D90*C90</f>
        <v>20000</v>
      </c>
    </row>
    <row r="91" spans="1:5" s="24" customFormat="1" ht="14.4" hidden="1" x14ac:dyDescent="0.3">
      <c r="A91" s="25" t="s">
        <v>37</v>
      </c>
      <c r="B91" s="25" t="s">
        <v>150</v>
      </c>
      <c r="C91" s="26">
        <v>0</v>
      </c>
      <c r="D91" s="60"/>
      <c r="E91" s="60"/>
    </row>
    <row r="92" spans="1:5" s="24" customFormat="1" ht="14.4" hidden="1" x14ac:dyDescent="0.3">
      <c r="A92" s="25" t="s">
        <v>37</v>
      </c>
      <c r="B92" s="25" t="s">
        <v>151</v>
      </c>
      <c r="C92" s="26">
        <v>0</v>
      </c>
      <c r="D92" s="60"/>
      <c r="E92" s="60"/>
    </row>
    <row r="93" spans="1:5" s="24" customFormat="1" ht="14.4" hidden="1" x14ac:dyDescent="0.3">
      <c r="A93" s="25" t="s">
        <v>96</v>
      </c>
      <c r="B93" s="25" t="s">
        <v>4</v>
      </c>
      <c r="C93" s="26">
        <v>0</v>
      </c>
      <c r="D93" s="60"/>
      <c r="E93" s="60"/>
    </row>
    <row r="94" spans="1:5" s="24" customFormat="1" ht="14.4" hidden="1" x14ac:dyDescent="0.3">
      <c r="A94" s="25" t="s">
        <v>96</v>
      </c>
      <c r="B94" s="25" t="s">
        <v>50</v>
      </c>
      <c r="C94" s="26">
        <v>0</v>
      </c>
      <c r="D94" s="60"/>
      <c r="E94" s="60"/>
    </row>
    <row r="95" spans="1:5" s="24" customFormat="1" ht="14.4" hidden="1" x14ac:dyDescent="0.3">
      <c r="A95" s="25" t="s">
        <v>127</v>
      </c>
      <c r="B95" s="25" t="s">
        <v>4</v>
      </c>
      <c r="C95" s="26">
        <v>0</v>
      </c>
      <c r="D95" s="60"/>
      <c r="E95" s="60"/>
    </row>
    <row r="96" spans="1:5" s="24" customFormat="1" ht="14.4" hidden="1" x14ac:dyDescent="0.3">
      <c r="A96" s="25" t="s">
        <v>97</v>
      </c>
      <c r="B96" s="25" t="s">
        <v>4</v>
      </c>
      <c r="C96" s="26">
        <v>0</v>
      </c>
      <c r="D96" s="60"/>
      <c r="E96" s="60"/>
    </row>
    <row r="97" spans="1:5" s="24" customFormat="1" ht="14.4" hidden="1" x14ac:dyDescent="0.3">
      <c r="A97" s="25" t="s">
        <v>105</v>
      </c>
      <c r="B97" s="25" t="s">
        <v>4</v>
      </c>
      <c r="C97" s="26">
        <v>0</v>
      </c>
      <c r="D97" s="60"/>
      <c r="E97" s="60"/>
    </row>
    <row r="98" spans="1:5" s="24" customFormat="1" ht="14.4" hidden="1" x14ac:dyDescent="0.3">
      <c r="A98" s="25" t="s">
        <v>113</v>
      </c>
      <c r="B98" s="25" t="s">
        <v>31</v>
      </c>
      <c r="C98" s="26">
        <v>0</v>
      </c>
      <c r="D98" s="60"/>
      <c r="E98" s="60"/>
    </row>
    <row r="99" spans="1:5" s="24" customFormat="1" ht="14.4" hidden="1" x14ac:dyDescent="0.3">
      <c r="A99" s="25" t="s">
        <v>39</v>
      </c>
      <c r="B99" s="25" t="s">
        <v>4</v>
      </c>
      <c r="C99" s="26">
        <v>0</v>
      </c>
      <c r="D99" s="60"/>
      <c r="E99" s="60"/>
    </row>
    <row r="100" spans="1:5" x14ac:dyDescent="0.3">
      <c r="A100" s="29" t="s">
        <v>39</v>
      </c>
      <c r="B100" s="29" t="s">
        <v>50</v>
      </c>
      <c r="C100" s="70">
        <v>553</v>
      </c>
      <c r="D100" s="41">
        <v>6000</v>
      </c>
      <c r="E100" s="66">
        <f>+D100*C100</f>
        <v>3318000</v>
      </c>
    </row>
    <row r="101" spans="1:5" s="24" customFormat="1" ht="14.4" hidden="1" x14ac:dyDescent="0.3">
      <c r="A101" s="25" t="s">
        <v>99</v>
      </c>
      <c r="B101" s="25" t="s">
        <v>4</v>
      </c>
      <c r="C101" s="26">
        <v>0</v>
      </c>
      <c r="D101" s="60"/>
      <c r="E101" s="60"/>
    </row>
    <row r="102" spans="1:5" s="24" customFormat="1" ht="14.4" hidden="1" x14ac:dyDescent="0.3">
      <c r="A102" s="25" t="s">
        <v>99</v>
      </c>
      <c r="B102" s="25" t="s">
        <v>31</v>
      </c>
      <c r="C102" s="26">
        <v>0</v>
      </c>
      <c r="D102" s="60"/>
      <c r="E102" s="60"/>
    </row>
    <row r="103" spans="1:5" x14ac:dyDescent="0.3">
      <c r="A103" s="29" t="s">
        <v>100</v>
      </c>
      <c r="B103" s="29" t="s">
        <v>4</v>
      </c>
      <c r="C103" s="70">
        <v>60</v>
      </c>
      <c r="D103" s="41">
        <v>9000</v>
      </c>
      <c r="E103" s="66">
        <f>+D103*C103</f>
        <v>540000</v>
      </c>
    </row>
    <row r="104" spans="1:5" s="24" customFormat="1" ht="14.4" hidden="1" x14ac:dyDescent="0.3">
      <c r="A104" s="25" t="s">
        <v>40</v>
      </c>
      <c r="B104" s="25" t="s">
        <v>66</v>
      </c>
      <c r="C104" s="26">
        <v>0</v>
      </c>
      <c r="D104" s="60"/>
      <c r="E104" s="60"/>
    </row>
    <row r="105" spans="1:5" s="24" customFormat="1" ht="14.4" hidden="1" x14ac:dyDescent="0.3">
      <c r="A105" s="25" t="s">
        <v>40</v>
      </c>
      <c r="B105" s="25" t="s">
        <v>4</v>
      </c>
      <c r="C105" s="26">
        <v>0</v>
      </c>
      <c r="D105" s="60"/>
      <c r="E105" s="60"/>
    </row>
    <row r="106" spans="1:5" x14ac:dyDescent="0.3">
      <c r="A106" s="29" t="s">
        <v>41</v>
      </c>
      <c r="B106" s="29" t="s">
        <v>4</v>
      </c>
      <c r="C106" s="70">
        <f>390+1500</f>
        <v>1890</v>
      </c>
      <c r="D106" s="41">
        <f>VLOOKUP(A106,'9.11'!A111:D270,4,)</f>
        <v>28600</v>
      </c>
      <c r="E106" s="66">
        <f>+D106*C106</f>
        <v>54054000</v>
      </c>
    </row>
    <row r="107" spans="1:5" s="24" customFormat="1" ht="14.4" hidden="1" x14ac:dyDescent="0.3">
      <c r="A107" s="25" t="s">
        <v>124</v>
      </c>
      <c r="B107" s="25" t="s">
        <v>4</v>
      </c>
      <c r="C107" s="26">
        <v>0</v>
      </c>
      <c r="D107" s="60"/>
      <c r="E107" s="60"/>
    </row>
    <row r="108" spans="1:5" x14ac:dyDescent="0.3">
      <c r="A108" s="29" t="s">
        <v>121</v>
      </c>
      <c r="B108" s="29" t="s">
        <v>53</v>
      </c>
      <c r="C108" s="70">
        <v>4</v>
      </c>
      <c r="D108" s="41">
        <v>10000</v>
      </c>
      <c r="E108" s="66">
        <f>+D108*C108</f>
        <v>40000</v>
      </c>
    </row>
    <row r="109" spans="1:5" s="24" customFormat="1" ht="14.4" hidden="1" x14ac:dyDescent="0.3">
      <c r="A109" s="25" t="s">
        <v>121</v>
      </c>
      <c r="B109" s="25" t="s">
        <v>4</v>
      </c>
      <c r="C109" s="26">
        <v>0</v>
      </c>
      <c r="D109" s="60"/>
      <c r="E109" s="60"/>
    </row>
    <row r="110" spans="1:5" s="24" customFormat="1" ht="14.4" hidden="1" x14ac:dyDescent="0.3">
      <c r="A110" s="25" t="s">
        <v>126</v>
      </c>
      <c r="B110" s="25" t="s">
        <v>4</v>
      </c>
      <c r="C110" s="26">
        <v>0</v>
      </c>
      <c r="D110" s="60"/>
      <c r="E110" s="60"/>
    </row>
    <row r="111" spans="1:5" s="24" customFormat="1" ht="14.4" hidden="1" x14ac:dyDescent="0.3">
      <c r="A111" s="25" t="s">
        <v>126</v>
      </c>
      <c r="B111" s="25" t="s">
        <v>73</v>
      </c>
      <c r="C111" s="26">
        <v>0</v>
      </c>
      <c r="D111" s="60"/>
      <c r="E111" s="60"/>
    </row>
    <row r="112" spans="1:5" s="24" customFormat="1" ht="14.4" hidden="1" x14ac:dyDescent="0.3">
      <c r="A112" s="25" t="s">
        <v>69</v>
      </c>
      <c r="B112" s="25" t="s">
        <v>31</v>
      </c>
      <c r="C112" s="26">
        <v>0</v>
      </c>
      <c r="D112" s="60"/>
      <c r="E112" s="60"/>
    </row>
    <row r="113" spans="1:5" s="24" customFormat="1" ht="14.4" hidden="1" x14ac:dyDescent="0.3">
      <c r="A113" s="25" t="s">
        <v>42</v>
      </c>
      <c r="B113" s="25" t="s">
        <v>4</v>
      </c>
      <c r="C113" s="26">
        <v>0</v>
      </c>
      <c r="D113" s="60"/>
      <c r="E113" s="60"/>
    </row>
    <row r="114" spans="1:5" s="24" customFormat="1" ht="14.4" hidden="1" x14ac:dyDescent="0.3">
      <c r="A114" s="25" t="s">
        <v>42</v>
      </c>
      <c r="B114" s="25" t="s">
        <v>31</v>
      </c>
      <c r="C114" s="26">
        <v>0</v>
      </c>
      <c r="D114" s="60"/>
      <c r="E114" s="60"/>
    </row>
    <row r="115" spans="1:5" s="24" customFormat="1" ht="14.4" hidden="1" x14ac:dyDescent="0.3">
      <c r="A115" s="25" t="s">
        <v>67</v>
      </c>
      <c r="B115" s="25" t="s">
        <v>4</v>
      </c>
      <c r="C115" s="26">
        <v>0</v>
      </c>
      <c r="D115" s="60"/>
      <c r="E115" s="60"/>
    </row>
    <row r="116" spans="1:5" s="24" customFormat="1" ht="14.4" hidden="1" x14ac:dyDescent="0.3">
      <c r="A116" s="25" t="s">
        <v>141</v>
      </c>
      <c r="B116" s="25" t="s">
        <v>31</v>
      </c>
      <c r="C116" s="26">
        <v>0</v>
      </c>
      <c r="D116" s="60"/>
      <c r="E116" s="60"/>
    </row>
    <row r="117" spans="1:5" s="24" customFormat="1" ht="14.4" hidden="1" x14ac:dyDescent="0.3">
      <c r="A117" s="25" t="s">
        <v>68</v>
      </c>
      <c r="B117" s="25" t="s">
        <v>4</v>
      </c>
      <c r="C117" s="26">
        <v>0</v>
      </c>
      <c r="D117" s="60"/>
      <c r="E117" s="60"/>
    </row>
    <row r="118" spans="1:5" s="24" customFormat="1" ht="14.4" hidden="1" x14ac:dyDescent="0.3">
      <c r="A118" s="25" t="s">
        <v>68</v>
      </c>
      <c r="B118" s="25" t="s">
        <v>31</v>
      </c>
      <c r="C118" s="26">
        <v>0</v>
      </c>
      <c r="D118" s="60"/>
      <c r="E118" s="60"/>
    </row>
    <row r="119" spans="1:5" s="24" customFormat="1" ht="14.4" hidden="1" x14ac:dyDescent="0.3">
      <c r="A119" s="25" t="s">
        <v>70</v>
      </c>
      <c r="B119" s="25" t="s">
        <v>4</v>
      </c>
      <c r="C119" s="26">
        <v>0</v>
      </c>
      <c r="D119" s="60"/>
      <c r="E119" s="60"/>
    </row>
    <row r="120" spans="1:5" s="24" customFormat="1" ht="14.4" hidden="1" x14ac:dyDescent="0.3">
      <c r="A120" s="25" t="s">
        <v>70</v>
      </c>
      <c r="B120" s="25" t="s">
        <v>71</v>
      </c>
      <c r="C120" s="26">
        <v>0</v>
      </c>
      <c r="D120" s="60"/>
      <c r="E120" s="60"/>
    </row>
    <row r="121" spans="1:5" s="24" customFormat="1" ht="14.4" hidden="1" x14ac:dyDescent="0.3">
      <c r="A121" s="25" t="s">
        <v>114</v>
      </c>
      <c r="B121" s="25" t="s">
        <v>31</v>
      </c>
      <c r="C121" s="26">
        <v>0</v>
      </c>
      <c r="D121" s="60"/>
      <c r="E121" s="60"/>
    </row>
    <row r="122" spans="1:5" s="24" customFormat="1" ht="14.4" hidden="1" x14ac:dyDescent="0.3">
      <c r="A122" s="25" t="s">
        <v>116</v>
      </c>
      <c r="B122" s="25" t="s">
        <v>4</v>
      </c>
      <c r="C122" s="26">
        <v>0</v>
      </c>
      <c r="D122" s="60"/>
      <c r="E122" s="60"/>
    </row>
    <row r="123" spans="1:5" s="24" customFormat="1" ht="14.4" hidden="1" x14ac:dyDescent="0.3">
      <c r="A123" s="25" t="s">
        <v>116</v>
      </c>
      <c r="B123" s="25" t="s">
        <v>50</v>
      </c>
      <c r="C123" s="26">
        <v>0</v>
      </c>
      <c r="D123" s="60"/>
      <c r="E123" s="60"/>
    </row>
    <row r="124" spans="1:5" s="24" customFormat="1" ht="14.4" hidden="1" x14ac:dyDescent="0.3">
      <c r="A124" s="25" t="s">
        <v>101</v>
      </c>
      <c r="B124" s="25" t="s">
        <v>53</v>
      </c>
      <c r="C124" s="26">
        <v>0</v>
      </c>
      <c r="D124" s="60"/>
      <c r="E124" s="60"/>
    </row>
    <row r="125" spans="1:5" s="24" customFormat="1" ht="14.4" hidden="1" x14ac:dyDescent="0.3">
      <c r="A125" s="25" t="s">
        <v>101</v>
      </c>
      <c r="B125" s="25" t="s">
        <v>4</v>
      </c>
      <c r="C125" s="26">
        <v>0</v>
      </c>
      <c r="D125" s="60"/>
      <c r="E125" s="60"/>
    </row>
    <row r="126" spans="1:5" x14ac:dyDescent="0.3">
      <c r="A126" s="29" t="s">
        <v>43</v>
      </c>
      <c r="B126" s="29" t="s">
        <v>4</v>
      </c>
      <c r="C126" s="70">
        <v>49</v>
      </c>
      <c r="D126" s="41">
        <f>VLOOKUP(A126,'9.11'!A131:D290,4,)</f>
        <v>42000</v>
      </c>
      <c r="E126" s="66">
        <f>+D126*C126</f>
        <v>2058000</v>
      </c>
    </row>
    <row r="127" spans="1:5" s="24" customFormat="1" ht="14.4" hidden="1" x14ac:dyDescent="0.3">
      <c r="A127" s="25" t="s">
        <v>43</v>
      </c>
      <c r="B127" s="25" t="s">
        <v>84</v>
      </c>
      <c r="C127" s="26">
        <v>0</v>
      </c>
      <c r="D127" s="60"/>
      <c r="E127" s="60"/>
    </row>
    <row r="128" spans="1:5" x14ac:dyDescent="0.3">
      <c r="A128" s="29" t="s">
        <v>136</v>
      </c>
      <c r="B128" s="29" t="s">
        <v>4</v>
      </c>
      <c r="C128" s="70">
        <v>20</v>
      </c>
      <c r="D128" s="41">
        <f>VLOOKUP(A128,'9.11'!A133:D292,4,)</f>
        <v>37000</v>
      </c>
      <c r="E128" s="66">
        <f>+D128*C128</f>
        <v>740000</v>
      </c>
    </row>
    <row r="129" spans="1:5" s="24" customFormat="1" ht="14.4" hidden="1" x14ac:dyDescent="0.3">
      <c r="A129" s="25" t="s">
        <v>102</v>
      </c>
      <c r="B129" s="25" t="s">
        <v>53</v>
      </c>
      <c r="C129" s="26">
        <v>0</v>
      </c>
      <c r="D129" s="60"/>
      <c r="E129" s="60"/>
    </row>
    <row r="130" spans="1:5" s="24" customFormat="1" ht="14.4" hidden="1" x14ac:dyDescent="0.3">
      <c r="A130" s="25" t="s">
        <v>102</v>
      </c>
      <c r="B130" s="25" t="s">
        <v>4</v>
      </c>
      <c r="C130" s="26">
        <v>0</v>
      </c>
      <c r="D130" s="60"/>
      <c r="E130" s="60"/>
    </row>
    <row r="131" spans="1:5" x14ac:dyDescent="0.3">
      <c r="A131" s="29" t="s">
        <v>44</v>
      </c>
      <c r="B131" s="29" t="s">
        <v>4</v>
      </c>
      <c r="C131" s="70">
        <v>56</v>
      </c>
      <c r="D131" s="41">
        <f>VLOOKUP(A131,'9.11'!A136:D295,4,)</f>
        <v>22000</v>
      </c>
      <c r="E131" s="66">
        <f>+D131*C131</f>
        <v>1232000</v>
      </c>
    </row>
    <row r="132" spans="1:5" s="24" customFormat="1" ht="14.4" hidden="1" x14ac:dyDescent="0.3">
      <c r="A132" s="25" t="s">
        <v>44</v>
      </c>
      <c r="B132" s="25" t="s">
        <v>84</v>
      </c>
      <c r="C132" s="26">
        <v>0</v>
      </c>
      <c r="D132" s="60"/>
      <c r="E132" s="60"/>
    </row>
    <row r="133" spans="1:5" x14ac:dyDescent="0.3">
      <c r="A133" s="29" t="s">
        <v>143</v>
      </c>
      <c r="B133" s="29" t="s">
        <v>4</v>
      </c>
      <c r="C133" s="70">
        <v>27</v>
      </c>
      <c r="D133" s="41">
        <f>VLOOKUP(A133,'9.11'!A138:D297,4,)</f>
        <v>17000</v>
      </c>
      <c r="E133" s="66">
        <f t="shared" ref="E133:E134" si="3">+D133*C133</f>
        <v>459000</v>
      </c>
    </row>
    <row r="134" spans="1:5" x14ac:dyDescent="0.3">
      <c r="A134" s="29" t="s">
        <v>45</v>
      </c>
      <c r="B134" s="29" t="s">
        <v>4</v>
      </c>
      <c r="C134" s="70">
        <v>28</v>
      </c>
      <c r="D134" s="41">
        <f>VLOOKUP(A134,'9.11'!A139:D298,4,)</f>
        <v>30000</v>
      </c>
      <c r="E134" s="66">
        <f t="shared" si="3"/>
        <v>840000</v>
      </c>
    </row>
    <row r="135" spans="1:5" s="24" customFormat="1" ht="14.4" hidden="1" x14ac:dyDescent="0.3">
      <c r="A135" s="25" t="s">
        <v>45</v>
      </c>
      <c r="B135" s="25" t="s">
        <v>84</v>
      </c>
      <c r="C135" s="26">
        <v>0</v>
      </c>
      <c r="D135" s="60"/>
      <c r="E135" s="60"/>
    </row>
    <row r="136" spans="1:5" x14ac:dyDescent="0.3">
      <c r="A136" s="29" t="s">
        <v>161</v>
      </c>
      <c r="B136" s="29" t="s">
        <v>4</v>
      </c>
      <c r="C136" s="70">
        <v>29</v>
      </c>
      <c r="D136" s="41">
        <f>VLOOKUP(A136,'9.11'!A141:D300,4,)</f>
        <v>25000</v>
      </c>
      <c r="E136" s="66">
        <f>+D136*C136</f>
        <v>725000</v>
      </c>
    </row>
    <row r="137" spans="1:5" s="24" customFormat="1" ht="14.4" hidden="1" x14ac:dyDescent="0.3">
      <c r="A137" s="25" t="s">
        <v>46</v>
      </c>
      <c r="B137" s="25" t="s">
        <v>4</v>
      </c>
      <c r="C137" s="26">
        <v>0</v>
      </c>
      <c r="D137" s="60"/>
      <c r="E137" s="60"/>
    </row>
    <row r="138" spans="1:5" s="24" customFormat="1" ht="14.4" hidden="1" x14ac:dyDescent="0.3">
      <c r="A138" s="25" t="s">
        <v>46</v>
      </c>
      <c r="B138" s="25" t="s">
        <v>31</v>
      </c>
      <c r="C138" s="26">
        <v>0</v>
      </c>
      <c r="D138" s="60"/>
      <c r="E138" s="60"/>
    </row>
    <row r="139" spans="1:5" x14ac:dyDescent="0.3">
      <c r="A139" s="29" t="s">
        <v>133</v>
      </c>
      <c r="B139" s="29" t="s">
        <v>31</v>
      </c>
      <c r="C139" s="70">
        <v>4</v>
      </c>
      <c r="D139" s="41">
        <f>21200*0.25</f>
        <v>5300</v>
      </c>
      <c r="E139" s="66">
        <f>+D139*C139</f>
        <v>21200</v>
      </c>
    </row>
    <row r="140" spans="1:5" s="24" customFormat="1" ht="14.4" hidden="1" x14ac:dyDescent="0.3">
      <c r="A140" s="25" t="s">
        <v>130</v>
      </c>
      <c r="B140" s="25" t="s">
        <v>4</v>
      </c>
      <c r="C140" s="26">
        <v>0</v>
      </c>
      <c r="D140" s="60"/>
      <c r="E140" s="60"/>
    </row>
    <row r="141" spans="1:5" s="24" customFormat="1" ht="14.4" hidden="1" x14ac:dyDescent="0.3">
      <c r="A141" s="25" t="s">
        <v>72</v>
      </c>
      <c r="B141" s="25" t="s">
        <v>4</v>
      </c>
      <c r="C141" s="26">
        <v>0</v>
      </c>
      <c r="D141" s="60"/>
      <c r="E141" s="60"/>
    </row>
    <row r="142" spans="1:5" s="24" customFormat="1" ht="14.4" hidden="1" x14ac:dyDescent="0.3">
      <c r="A142" s="25" t="s">
        <v>72</v>
      </c>
      <c r="B142" s="25" t="s">
        <v>73</v>
      </c>
      <c r="C142" s="26">
        <v>0</v>
      </c>
      <c r="D142" s="60"/>
      <c r="E142" s="60"/>
    </row>
    <row r="143" spans="1:5" s="24" customFormat="1" ht="14.4" hidden="1" x14ac:dyDescent="0.3">
      <c r="A143" s="25" t="s">
        <v>119</v>
      </c>
      <c r="B143" s="25" t="s">
        <v>4</v>
      </c>
      <c r="C143" s="26">
        <v>0</v>
      </c>
      <c r="D143" s="60"/>
      <c r="E143" s="60"/>
    </row>
    <row r="144" spans="1:5" s="24" customFormat="1" ht="14.4" hidden="1" x14ac:dyDescent="0.3">
      <c r="A144" s="25" t="s">
        <v>119</v>
      </c>
      <c r="B144" s="25" t="s">
        <v>31</v>
      </c>
      <c r="C144" s="26">
        <v>0</v>
      </c>
      <c r="D144" s="60"/>
      <c r="E144" s="60"/>
    </row>
    <row r="145" spans="1:5" s="24" customFormat="1" ht="14.4" hidden="1" x14ac:dyDescent="0.3">
      <c r="A145" s="25" t="s">
        <v>115</v>
      </c>
      <c r="B145" s="25" t="s">
        <v>50</v>
      </c>
      <c r="C145" s="26">
        <v>0</v>
      </c>
      <c r="D145" s="60"/>
      <c r="E145" s="60"/>
    </row>
    <row r="146" spans="1:5" s="24" customFormat="1" ht="14.4" hidden="1" x14ac:dyDescent="0.3">
      <c r="A146" s="25" t="s">
        <v>104</v>
      </c>
      <c r="B146" s="25" t="s">
        <v>4</v>
      </c>
      <c r="C146" s="26">
        <v>0</v>
      </c>
      <c r="D146" s="60"/>
      <c r="E146" s="60"/>
    </row>
    <row r="147" spans="1:5" s="24" customFormat="1" ht="14.4" hidden="1" x14ac:dyDescent="0.3">
      <c r="A147" s="25" t="s">
        <v>104</v>
      </c>
      <c r="B147" s="25" t="s">
        <v>84</v>
      </c>
      <c r="C147" s="26">
        <v>0</v>
      </c>
      <c r="D147" s="60"/>
      <c r="E147" s="60"/>
    </row>
    <row r="148" spans="1:5" s="24" customFormat="1" ht="14.4" hidden="1" x14ac:dyDescent="0.3">
      <c r="A148" s="25" t="s">
        <v>160</v>
      </c>
      <c r="B148" s="25" t="s">
        <v>50</v>
      </c>
      <c r="C148" s="26">
        <v>0</v>
      </c>
      <c r="D148" s="60"/>
      <c r="E148" s="60"/>
    </row>
    <row r="149" spans="1:5" s="24" customFormat="1" ht="14.4" hidden="1" x14ac:dyDescent="0.3">
      <c r="A149" s="25" t="s">
        <v>107</v>
      </c>
      <c r="B149" s="25" t="s">
        <v>4</v>
      </c>
      <c r="C149" s="26">
        <v>0</v>
      </c>
      <c r="D149" s="60"/>
      <c r="E149" s="60"/>
    </row>
    <row r="150" spans="1:5" s="24" customFormat="1" ht="14.4" hidden="1" x14ac:dyDescent="0.3">
      <c r="A150" s="25" t="s">
        <v>109</v>
      </c>
      <c r="B150" s="25" t="s">
        <v>53</v>
      </c>
      <c r="C150" s="26">
        <v>0</v>
      </c>
      <c r="D150" s="60"/>
      <c r="E150" s="60"/>
    </row>
    <row r="151" spans="1:5" s="24" customFormat="1" ht="14.4" hidden="1" x14ac:dyDescent="0.3">
      <c r="A151" s="25" t="s">
        <v>110</v>
      </c>
      <c r="B151" s="25" t="s">
        <v>4</v>
      </c>
      <c r="C151" s="26">
        <v>0</v>
      </c>
      <c r="D151" s="60"/>
      <c r="E151" s="60"/>
    </row>
    <row r="152" spans="1:5" x14ac:dyDescent="0.3">
      <c r="A152" s="29" t="s">
        <v>47</v>
      </c>
      <c r="B152" s="29" t="s">
        <v>4</v>
      </c>
      <c r="C152" s="70">
        <v>14</v>
      </c>
      <c r="D152" s="41">
        <v>6000</v>
      </c>
      <c r="E152" s="66">
        <f>+D152*C152</f>
        <v>84000</v>
      </c>
    </row>
    <row r="153" spans="1:5" s="24" customFormat="1" ht="14.4" hidden="1" x14ac:dyDescent="0.3">
      <c r="A153" s="25" t="s">
        <v>157</v>
      </c>
      <c r="B153" s="25" t="s">
        <v>4</v>
      </c>
      <c r="C153" s="26">
        <v>0</v>
      </c>
      <c r="D153" s="60"/>
      <c r="E153" s="60"/>
    </row>
    <row r="154" spans="1:5" s="24" customFormat="1" ht="14.4" hidden="1" x14ac:dyDescent="0.3">
      <c r="A154" s="25" t="s">
        <v>158</v>
      </c>
      <c r="B154" s="25" t="s">
        <v>31</v>
      </c>
      <c r="C154" s="26">
        <v>0</v>
      </c>
      <c r="D154" s="60"/>
      <c r="E154" s="60"/>
    </row>
    <row r="155" spans="1:5" s="24" customFormat="1" ht="14.4" hidden="1" x14ac:dyDescent="0.3">
      <c r="A155" s="25" t="s">
        <v>74</v>
      </c>
      <c r="B155" s="25" t="s">
        <v>4</v>
      </c>
      <c r="C155" s="26">
        <v>0</v>
      </c>
      <c r="D155" s="60"/>
      <c r="E155" s="60"/>
    </row>
    <row r="156" spans="1:5" s="24" customFormat="1" ht="14.4" hidden="1" x14ac:dyDescent="0.3">
      <c r="A156" s="25" t="s">
        <v>74</v>
      </c>
      <c r="B156" s="25" t="s">
        <v>31</v>
      </c>
      <c r="C156" s="26">
        <v>0</v>
      </c>
      <c r="D156" s="60"/>
      <c r="E156" s="60"/>
    </row>
    <row r="157" spans="1:5" s="24" customFormat="1" ht="14.4" hidden="1" x14ac:dyDescent="0.3">
      <c r="A157" s="25" t="s">
        <v>75</v>
      </c>
      <c r="B157" s="25" t="s">
        <v>4</v>
      </c>
      <c r="C157" s="26">
        <v>0</v>
      </c>
      <c r="D157" s="60"/>
      <c r="E157" s="60"/>
    </row>
    <row r="158" spans="1:5" s="24" customFormat="1" ht="14.4" hidden="1" x14ac:dyDescent="0.3">
      <c r="A158" s="25" t="s">
        <v>76</v>
      </c>
      <c r="B158" s="25" t="s">
        <v>66</v>
      </c>
      <c r="C158" s="26">
        <v>0</v>
      </c>
      <c r="D158" s="60"/>
      <c r="E158" s="60"/>
    </row>
    <row r="159" spans="1:5" s="24" customFormat="1" ht="14.4" hidden="1" x14ac:dyDescent="0.3">
      <c r="A159" s="25" t="s">
        <v>83</v>
      </c>
      <c r="B159" s="25" t="s">
        <v>4</v>
      </c>
      <c r="C159" s="26">
        <v>0</v>
      </c>
      <c r="D159" s="60"/>
      <c r="E159" s="60"/>
    </row>
    <row r="160" spans="1:5" s="24" customFormat="1" ht="14.4" hidden="1" x14ac:dyDescent="0.3">
      <c r="A160" s="25" t="s">
        <v>48</v>
      </c>
      <c r="B160" s="25" t="s">
        <v>4</v>
      </c>
      <c r="C160" s="26">
        <v>0</v>
      </c>
      <c r="D160" s="60"/>
      <c r="E160" s="60"/>
    </row>
    <row r="161" spans="1:5" x14ac:dyDescent="0.3">
      <c r="A161" s="29" t="s">
        <v>77</v>
      </c>
      <c r="B161" s="29" t="s">
        <v>66</v>
      </c>
      <c r="C161" s="70">
        <v>20</v>
      </c>
      <c r="D161" s="41">
        <v>6800</v>
      </c>
      <c r="E161" s="66">
        <f>+D161*C161</f>
        <v>136000</v>
      </c>
    </row>
    <row r="162" spans="1:5" s="24" customFormat="1" ht="14.4" hidden="1" x14ac:dyDescent="0.3">
      <c r="A162" s="25" t="s">
        <v>78</v>
      </c>
      <c r="B162" s="25" t="s">
        <v>4</v>
      </c>
      <c r="C162" s="26">
        <v>0</v>
      </c>
      <c r="D162" s="60"/>
      <c r="E162" s="60"/>
    </row>
    <row r="163" spans="1:5" s="24" customFormat="1" ht="14.4" hidden="1" x14ac:dyDescent="0.3">
      <c r="A163" s="25" t="s">
        <v>79</v>
      </c>
      <c r="B163" s="25" t="s">
        <v>4</v>
      </c>
      <c r="C163" s="26">
        <v>0</v>
      </c>
      <c r="D163" s="60"/>
      <c r="E163" s="60"/>
    </row>
    <row r="164" spans="1:5" s="24" customFormat="1" ht="14.4" hidden="1" x14ac:dyDescent="0.3">
      <c r="A164" s="25" t="s">
        <v>79</v>
      </c>
      <c r="B164" s="25" t="s">
        <v>31</v>
      </c>
      <c r="C164" s="26">
        <v>0</v>
      </c>
      <c r="D164" s="60"/>
      <c r="E164" s="60"/>
    </row>
    <row r="165" spans="1:5" s="24" customFormat="1" ht="14.4" hidden="1" x14ac:dyDescent="0.3">
      <c r="A165" s="25" t="s">
        <v>80</v>
      </c>
      <c r="B165" s="25" t="s">
        <v>4</v>
      </c>
      <c r="C165" s="26">
        <v>0</v>
      </c>
      <c r="D165" s="60"/>
      <c r="E165" s="60"/>
    </row>
    <row r="166" spans="1:5" s="24" customFormat="1" ht="14.4" hidden="1" x14ac:dyDescent="0.3">
      <c r="A166" s="25" t="s">
        <v>80</v>
      </c>
      <c r="B166" s="25" t="s">
        <v>31</v>
      </c>
      <c r="C166" s="26">
        <v>0</v>
      </c>
      <c r="D166" s="60"/>
      <c r="E166" s="60"/>
    </row>
    <row r="167" spans="1:5" s="24" customFormat="1" ht="14.4" hidden="1" x14ac:dyDescent="0.3">
      <c r="A167" s="25" t="s">
        <v>152</v>
      </c>
      <c r="B167" s="25" t="s">
        <v>4</v>
      </c>
      <c r="C167" s="26">
        <v>0</v>
      </c>
      <c r="D167" s="60"/>
      <c r="E167" s="60"/>
    </row>
    <row r="168" spans="1:5" s="24" customFormat="1" ht="14.4" hidden="1" x14ac:dyDescent="0.3">
      <c r="A168" s="25" t="s">
        <v>81</v>
      </c>
      <c r="B168" s="25" t="s">
        <v>4</v>
      </c>
      <c r="C168" s="26">
        <v>0</v>
      </c>
      <c r="D168" s="60"/>
      <c r="E168" s="60"/>
    </row>
    <row r="169" spans="1:5" x14ac:dyDescent="0.3">
      <c r="A169" s="29" t="s">
        <v>82</v>
      </c>
      <c r="B169" s="29" t="s">
        <v>66</v>
      </c>
      <c r="C169" s="70">
        <v>9</v>
      </c>
      <c r="D169" s="41">
        <v>6800</v>
      </c>
      <c r="E169" s="66">
        <f>+D169*C169</f>
        <v>61200</v>
      </c>
    </row>
    <row r="170" spans="1:5" x14ac:dyDescent="0.3">
      <c r="A170" s="34" t="s">
        <v>179</v>
      </c>
      <c r="B170" s="34">
        <v>0</v>
      </c>
      <c r="C170" s="71">
        <v>9757</v>
      </c>
      <c r="D170" s="42"/>
      <c r="E170" s="67">
        <f>SUBTOTAL(9,E2:E169)</f>
        <v>178432400</v>
      </c>
    </row>
    <row r="171" spans="1:5" ht="31.2" x14ac:dyDescent="0.3">
      <c r="A171" s="32" t="s">
        <v>0</v>
      </c>
      <c r="B171" s="32" t="s">
        <v>1</v>
      </c>
      <c r="C171" s="33" t="s">
        <v>2</v>
      </c>
      <c r="D171" s="33" t="s">
        <v>177</v>
      </c>
      <c r="E171" s="33" t="s">
        <v>178</v>
      </c>
    </row>
    <row r="172" spans="1:5" s="24" customFormat="1" hidden="1" x14ac:dyDescent="0.3">
      <c r="A172" s="27" t="s">
        <v>3</v>
      </c>
      <c r="B172" s="27" t="s">
        <v>4</v>
      </c>
      <c r="C172" s="28">
        <v>0</v>
      </c>
      <c r="D172" s="60"/>
      <c r="E172" s="60"/>
    </row>
    <row r="173" spans="1:5" s="24" customFormat="1" hidden="1" x14ac:dyDescent="0.3">
      <c r="A173" s="27" t="s">
        <v>5</v>
      </c>
      <c r="B173" s="27" t="s">
        <v>4</v>
      </c>
      <c r="C173" s="28">
        <v>0</v>
      </c>
      <c r="D173" s="60"/>
      <c r="E173" s="60"/>
    </row>
    <row r="174" spans="1:5" x14ac:dyDescent="0.3">
      <c r="A174" s="29" t="s">
        <v>6</v>
      </c>
      <c r="B174" s="29" t="s">
        <v>4</v>
      </c>
      <c r="C174" s="30">
        <v>60</v>
      </c>
      <c r="D174" s="41">
        <v>11000</v>
      </c>
      <c r="E174" s="66">
        <f>+D174*C174</f>
        <v>660000</v>
      </c>
    </row>
    <row r="175" spans="1:5" x14ac:dyDescent="0.3">
      <c r="A175" s="29" t="s">
        <v>7</v>
      </c>
      <c r="B175" s="29" t="s">
        <v>4</v>
      </c>
      <c r="C175" s="30">
        <v>35</v>
      </c>
      <c r="D175" s="41">
        <f>VLOOKUP(A175,'9.11'!A171:D207,4,)</f>
        <v>10000</v>
      </c>
      <c r="E175" s="66">
        <f t="shared" ref="E175:E176" si="4">+D175*C175</f>
        <v>350000</v>
      </c>
    </row>
    <row r="176" spans="1:5" x14ac:dyDescent="0.3">
      <c r="A176" s="29" t="s">
        <v>8</v>
      </c>
      <c r="B176" s="29" t="s">
        <v>4</v>
      </c>
      <c r="C176" s="30">
        <v>1000</v>
      </c>
      <c r="D176" s="41">
        <f>VLOOKUP(A176,'9.11'!A172:D208,4,)</f>
        <v>5200</v>
      </c>
      <c r="E176" s="66">
        <f t="shared" si="4"/>
        <v>5200000</v>
      </c>
    </row>
    <row r="177" spans="1:5" s="24" customFormat="1" hidden="1" x14ac:dyDescent="0.3">
      <c r="A177" s="27" t="s">
        <v>9</v>
      </c>
      <c r="B177" s="27" t="s">
        <v>4</v>
      </c>
      <c r="C177" s="28">
        <v>0</v>
      </c>
      <c r="D177" s="60"/>
      <c r="E177" s="60"/>
    </row>
    <row r="178" spans="1:5" x14ac:dyDescent="0.3">
      <c r="A178" s="29" t="s">
        <v>10</v>
      </c>
      <c r="B178" s="29" t="s">
        <v>4</v>
      </c>
      <c r="C178" s="30">
        <v>50</v>
      </c>
      <c r="D178" s="41">
        <f>VLOOKUP(A178,'9.11'!A174:D210,4,)</f>
        <v>23000</v>
      </c>
      <c r="E178" s="66">
        <f>+D178*C178</f>
        <v>1150000</v>
      </c>
    </row>
    <row r="179" spans="1:5" s="24" customFormat="1" hidden="1" x14ac:dyDescent="0.3">
      <c r="A179" s="27" t="s">
        <v>12</v>
      </c>
      <c r="B179" s="27" t="s">
        <v>4</v>
      </c>
      <c r="C179" s="28">
        <v>0</v>
      </c>
      <c r="D179" s="60"/>
      <c r="E179" s="60"/>
    </row>
    <row r="180" spans="1:5" s="24" customFormat="1" hidden="1" x14ac:dyDescent="0.3">
      <c r="A180" s="27" t="s">
        <v>13</v>
      </c>
      <c r="B180" s="27" t="s">
        <v>4</v>
      </c>
      <c r="C180" s="28">
        <v>0</v>
      </c>
      <c r="D180" s="60"/>
      <c r="E180" s="60"/>
    </row>
    <row r="181" spans="1:5" s="24" customFormat="1" hidden="1" x14ac:dyDescent="0.3">
      <c r="A181" s="27" t="s">
        <v>14</v>
      </c>
      <c r="B181" s="27" t="s">
        <v>4</v>
      </c>
      <c r="C181" s="28">
        <v>0</v>
      </c>
      <c r="D181" s="60"/>
      <c r="E181" s="60"/>
    </row>
    <row r="182" spans="1:5" x14ac:dyDescent="0.3">
      <c r="A182" s="29" t="s">
        <v>15</v>
      </c>
      <c r="B182" s="29" t="s">
        <v>4</v>
      </c>
      <c r="C182" s="30">
        <v>200</v>
      </c>
      <c r="D182" s="41">
        <f>VLOOKUP(A182,'9.11'!A178:D214,4,)</f>
        <v>24000</v>
      </c>
      <c r="E182" s="66">
        <f t="shared" ref="E182:E183" si="5">+D182*C182</f>
        <v>4800000</v>
      </c>
    </row>
    <row r="183" spans="1:5" x14ac:dyDescent="0.3">
      <c r="A183" s="29" t="s">
        <v>18</v>
      </c>
      <c r="B183" s="29" t="s">
        <v>4</v>
      </c>
      <c r="C183" s="30">
        <v>160</v>
      </c>
      <c r="D183" s="41">
        <f>VLOOKUP(A183,'9.11'!A179:D215,4,)</f>
        <v>17000</v>
      </c>
      <c r="E183" s="66">
        <f t="shared" si="5"/>
        <v>2720000</v>
      </c>
    </row>
    <row r="184" spans="1:5" s="24" customFormat="1" hidden="1" x14ac:dyDescent="0.3">
      <c r="A184" s="27" t="s">
        <v>20</v>
      </c>
      <c r="B184" s="27" t="s">
        <v>4</v>
      </c>
      <c r="C184" s="28">
        <v>0</v>
      </c>
      <c r="D184" s="60"/>
      <c r="E184" s="60"/>
    </row>
    <row r="185" spans="1:5" s="24" customFormat="1" hidden="1" x14ac:dyDescent="0.3">
      <c r="A185" s="27" t="s">
        <v>21</v>
      </c>
      <c r="B185" s="27" t="s">
        <v>4</v>
      </c>
      <c r="C185" s="28">
        <v>0</v>
      </c>
      <c r="D185" s="60"/>
      <c r="E185" s="60"/>
    </row>
    <row r="186" spans="1:5" x14ac:dyDescent="0.3">
      <c r="A186" s="29" t="s">
        <v>22</v>
      </c>
      <c r="B186" s="29" t="s">
        <v>4</v>
      </c>
      <c r="C186" s="30">
        <v>510</v>
      </c>
      <c r="D186" s="41">
        <f>VLOOKUP(A186,'9.11'!A182:D218,4,)</f>
        <v>7500</v>
      </c>
      <c r="E186" s="66">
        <f>+D186*C186</f>
        <v>3825000</v>
      </c>
    </row>
    <row r="187" spans="1:5" s="24" customFormat="1" hidden="1" x14ac:dyDescent="0.3">
      <c r="A187" s="27" t="s">
        <v>23</v>
      </c>
      <c r="B187" s="27" t="s">
        <v>4</v>
      </c>
      <c r="C187" s="28">
        <v>0</v>
      </c>
      <c r="D187" s="60"/>
      <c r="E187" s="60"/>
    </row>
    <row r="188" spans="1:5" x14ac:dyDescent="0.3">
      <c r="A188" s="29" t="s">
        <v>145</v>
      </c>
      <c r="B188" s="29" t="s">
        <v>4</v>
      </c>
      <c r="C188" s="30">
        <v>3594</v>
      </c>
      <c r="D188" s="41">
        <f>VLOOKUP(A188,'9.11'!A184:D220,4,)</f>
        <v>6500</v>
      </c>
      <c r="E188" s="66">
        <f>+D188*C188</f>
        <v>23361000</v>
      </c>
    </row>
    <row r="189" spans="1:5" s="24" customFormat="1" hidden="1" x14ac:dyDescent="0.3">
      <c r="A189" s="27" t="s">
        <v>24</v>
      </c>
      <c r="B189" s="27" t="s">
        <v>4</v>
      </c>
      <c r="C189" s="28">
        <v>0</v>
      </c>
      <c r="D189" s="60"/>
      <c r="E189" s="60"/>
    </row>
    <row r="190" spans="1:5" s="24" customFormat="1" hidden="1" x14ac:dyDescent="0.3">
      <c r="A190" s="27" t="s">
        <v>25</v>
      </c>
      <c r="B190" s="27" t="s">
        <v>4</v>
      </c>
      <c r="C190" s="28">
        <v>0</v>
      </c>
      <c r="D190" s="60"/>
      <c r="E190" s="60"/>
    </row>
    <row r="191" spans="1:5" s="24" customFormat="1" hidden="1" x14ac:dyDescent="0.3">
      <c r="A191" s="27" t="s">
        <v>26</v>
      </c>
      <c r="B191" s="27" t="s">
        <v>4</v>
      </c>
      <c r="C191" s="28"/>
      <c r="D191" s="60"/>
      <c r="E191" s="60"/>
    </row>
    <row r="192" spans="1:5" s="24" customFormat="1" hidden="1" x14ac:dyDescent="0.3">
      <c r="A192" s="27" t="s">
        <v>144</v>
      </c>
      <c r="B192" s="27" t="s">
        <v>50</v>
      </c>
      <c r="C192" s="28">
        <v>0</v>
      </c>
      <c r="D192" s="60"/>
      <c r="E192" s="60"/>
    </row>
    <row r="193" spans="1:5" s="24" customFormat="1" hidden="1" x14ac:dyDescent="0.3">
      <c r="A193" s="27" t="s">
        <v>27</v>
      </c>
      <c r="B193" s="27" t="s">
        <v>4</v>
      </c>
      <c r="C193" s="28">
        <v>0</v>
      </c>
      <c r="D193" s="60"/>
      <c r="E193" s="60"/>
    </row>
    <row r="194" spans="1:5" x14ac:dyDescent="0.3">
      <c r="A194" s="29" t="s">
        <v>28</v>
      </c>
      <c r="B194" s="29" t="s">
        <v>4</v>
      </c>
      <c r="C194" s="30">
        <v>60</v>
      </c>
      <c r="D194" s="41">
        <v>17000</v>
      </c>
      <c r="E194" s="66">
        <f t="shared" ref="E194:E195" si="6">+D194*C194</f>
        <v>1020000</v>
      </c>
    </row>
    <row r="195" spans="1:5" x14ac:dyDescent="0.3">
      <c r="A195" s="29" t="s">
        <v>29</v>
      </c>
      <c r="B195" s="29" t="s">
        <v>4</v>
      </c>
      <c r="C195" s="30">
        <v>100</v>
      </c>
      <c r="D195" s="41">
        <v>21000</v>
      </c>
      <c r="E195" s="66">
        <f t="shared" si="6"/>
        <v>2100000</v>
      </c>
    </row>
    <row r="196" spans="1:5" s="24" customFormat="1" hidden="1" x14ac:dyDescent="0.3">
      <c r="A196" s="27" t="s">
        <v>57</v>
      </c>
      <c r="B196" s="27" t="s">
        <v>31</v>
      </c>
      <c r="C196" s="28">
        <v>0</v>
      </c>
      <c r="D196" s="60"/>
      <c r="E196" s="60"/>
    </row>
    <row r="197" spans="1:5" x14ac:dyDescent="0.3">
      <c r="A197" s="29" t="s">
        <v>32</v>
      </c>
      <c r="B197" s="29" t="s">
        <v>4</v>
      </c>
      <c r="C197" s="30">
        <v>200</v>
      </c>
      <c r="D197" s="41">
        <v>19000</v>
      </c>
      <c r="E197" s="66">
        <f t="shared" ref="E197:E198" si="7">+D197*C197</f>
        <v>3800000</v>
      </c>
    </row>
    <row r="198" spans="1:5" x14ac:dyDescent="0.3">
      <c r="A198" s="29" t="s">
        <v>33</v>
      </c>
      <c r="B198" s="29" t="s">
        <v>31</v>
      </c>
      <c r="C198" s="30">
        <v>10</v>
      </c>
      <c r="D198" s="41">
        <v>6000</v>
      </c>
      <c r="E198" s="66">
        <f t="shared" si="7"/>
        <v>60000</v>
      </c>
    </row>
    <row r="199" spans="1:5" s="24" customFormat="1" hidden="1" x14ac:dyDescent="0.3">
      <c r="A199" s="27" t="s">
        <v>156</v>
      </c>
      <c r="B199" s="27" t="s">
        <v>4</v>
      </c>
      <c r="C199" s="28">
        <v>0</v>
      </c>
      <c r="D199" s="60"/>
      <c r="E199" s="60"/>
    </row>
    <row r="200" spans="1:5" x14ac:dyDescent="0.3">
      <c r="A200" s="29" t="s">
        <v>34</v>
      </c>
      <c r="B200" s="29" t="s">
        <v>4</v>
      </c>
      <c r="C200" s="30">
        <v>100</v>
      </c>
      <c r="D200" s="41">
        <v>15000</v>
      </c>
      <c r="E200" s="66">
        <f>+D200*C200</f>
        <v>1500000</v>
      </c>
    </row>
    <row r="201" spans="1:5" s="24" customFormat="1" hidden="1" x14ac:dyDescent="0.3">
      <c r="A201" s="27" t="s">
        <v>34</v>
      </c>
      <c r="B201" s="27" t="s">
        <v>31</v>
      </c>
      <c r="C201" s="28">
        <v>0</v>
      </c>
      <c r="D201" s="60"/>
      <c r="E201" s="60"/>
    </row>
    <row r="202" spans="1:5" s="24" customFormat="1" hidden="1" x14ac:dyDescent="0.3">
      <c r="A202" s="27" t="s">
        <v>35</v>
      </c>
      <c r="B202" s="27" t="s">
        <v>4</v>
      </c>
      <c r="C202" s="28">
        <v>0</v>
      </c>
      <c r="D202" s="60"/>
      <c r="E202" s="60"/>
    </row>
    <row r="203" spans="1:5" s="24" customFormat="1" hidden="1" x14ac:dyDescent="0.3">
      <c r="A203" s="27" t="s">
        <v>123</v>
      </c>
      <c r="B203" s="27" t="s">
        <v>31</v>
      </c>
      <c r="C203" s="28">
        <v>0</v>
      </c>
      <c r="D203" s="60"/>
      <c r="E203" s="60"/>
    </row>
    <row r="204" spans="1:5" s="24" customFormat="1" hidden="1" x14ac:dyDescent="0.3">
      <c r="A204" s="27" t="s">
        <v>37</v>
      </c>
      <c r="B204" s="27" t="s">
        <v>151</v>
      </c>
      <c r="C204" s="28">
        <v>0</v>
      </c>
      <c r="D204" s="60"/>
      <c r="E204" s="60"/>
    </row>
    <row r="205" spans="1:5" s="24" customFormat="1" hidden="1" x14ac:dyDescent="0.3">
      <c r="A205" s="27" t="s">
        <v>40</v>
      </c>
      <c r="B205" s="27" t="s">
        <v>4</v>
      </c>
      <c r="C205" s="28">
        <v>0</v>
      </c>
      <c r="D205" s="60"/>
      <c r="E205" s="60"/>
    </row>
    <row r="206" spans="1:5" x14ac:dyDescent="0.3">
      <c r="A206" s="29" t="s">
        <v>41</v>
      </c>
      <c r="B206" s="29" t="s">
        <v>4</v>
      </c>
      <c r="C206" s="30">
        <f>500+500</f>
        <v>1000</v>
      </c>
      <c r="D206" s="41">
        <v>28600</v>
      </c>
      <c r="E206" s="66">
        <f t="shared" ref="E206:E210" si="8">+D206*C206</f>
        <v>28600000</v>
      </c>
    </row>
    <row r="207" spans="1:5" x14ac:dyDescent="0.3">
      <c r="A207" s="29" t="s">
        <v>124</v>
      </c>
      <c r="B207" s="29" t="s">
        <v>4</v>
      </c>
      <c r="C207" s="30">
        <v>5</v>
      </c>
      <c r="D207" s="41">
        <v>28000</v>
      </c>
      <c r="E207" s="66">
        <f t="shared" si="8"/>
        <v>140000</v>
      </c>
    </row>
    <row r="208" spans="1:5" x14ac:dyDescent="0.3">
      <c r="A208" s="29" t="s">
        <v>43</v>
      </c>
      <c r="B208" s="29" t="s">
        <v>4</v>
      </c>
      <c r="C208" s="30">
        <v>40</v>
      </c>
      <c r="D208" s="41">
        <v>42000</v>
      </c>
      <c r="E208" s="66">
        <f t="shared" si="8"/>
        <v>1680000</v>
      </c>
    </row>
    <row r="209" spans="1:5" x14ac:dyDescent="0.3">
      <c r="A209" s="29" t="s">
        <v>44</v>
      </c>
      <c r="B209" s="29" t="s">
        <v>4</v>
      </c>
      <c r="C209" s="30">
        <v>20</v>
      </c>
      <c r="D209" s="41">
        <v>22000</v>
      </c>
      <c r="E209" s="66">
        <f t="shared" si="8"/>
        <v>440000</v>
      </c>
    </row>
    <row r="210" spans="1:5" x14ac:dyDescent="0.3">
      <c r="A210" s="29" t="s">
        <v>45</v>
      </c>
      <c r="B210" s="29" t="s">
        <v>4</v>
      </c>
      <c r="C210" s="30">
        <v>20</v>
      </c>
      <c r="D210" s="41">
        <v>30000</v>
      </c>
      <c r="E210" s="66">
        <f t="shared" si="8"/>
        <v>600000</v>
      </c>
    </row>
    <row r="211" spans="1:5" s="24" customFormat="1" hidden="1" x14ac:dyDescent="0.3">
      <c r="A211" s="27" t="s">
        <v>47</v>
      </c>
      <c r="B211" s="27" t="s">
        <v>4</v>
      </c>
      <c r="C211" s="28">
        <v>0</v>
      </c>
      <c r="D211" s="60"/>
      <c r="E211" s="60"/>
    </row>
    <row r="212" spans="1:5" s="24" customFormat="1" hidden="1" x14ac:dyDescent="0.3">
      <c r="A212" s="27" t="e">
        <v>#N/A</v>
      </c>
      <c r="B212" s="27">
        <v>0</v>
      </c>
      <c r="C212" s="61"/>
      <c r="D212" s="60"/>
      <c r="E212" s="60"/>
    </row>
    <row r="213" spans="1:5" x14ac:dyDescent="0.3">
      <c r="A213" s="34" t="s">
        <v>180</v>
      </c>
      <c r="B213" s="34">
        <v>0</v>
      </c>
      <c r="C213" s="71">
        <v>9757</v>
      </c>
      <c r="D213" s="42"/>
      <c r="E213" s="67">
        <f>SUBTOTAL(9,E174:E210)</f>
        <v>82006000</v>
      </c>
    </row>
    <row r="214" spans="1:5" x14ac:dyDescent="0.3">
      <c r="A214" s="36" t="s">
        <v>181</v>
      </c>
      <c r="B214" s="37"/>
      <c r="C214" s="37"/>
      <c r="D214" s="43"/>
      <c r="E214" s="69">
        <f>+E170+E213</f>
        <v>260438400</v>
      </c>
    </row>
  </sheetData>
  <autoFilter ref="A1:E212" xr:uid="{00000000-0009-0000-0000-000009000000}">
    <filterColumn colId="2">
      <filters>
        <filter val="1,000"/>
        <filter val="1,184"/>
        <filter val="10"/>
        <filter val="100"/>
        <filter val="117"/>
        <filter val="13"/>
        <filter val="14"/>
        <filter val="140"/>
        <filter val="160"/>
        <filter val="17"/>
        <filter val="2"/>
        <filter val="2,458"/>
        <filter val="20"/>
        <filter val="200"/>
        <filter val="240"/>
        <filter val="27"/>
        <filter val="28"/>
        <filter val="29"/>
        <filter val="3,594"/>
        <filter val="30"/>
        <filter val="35"/>
        <filter val="370"/>
        <filter val="390"/>
        <filter val="4"/>
        <filter val="40"/>
        <filter val="410"/>
        <filter val="49"/>
        <filter val="5"/>
        <filter val="50"/>
        <filter val="500"/>
        <filter val="510"/>
        <filter val="520"/>
        <filter val="553"/>
        <filter val="56"/>
        <filter val="60"/>
        <filter val="65"/>
        <filter val="680"/>
        <filter val="7"/>
        <filter val="726"/>
        <filter val="87"/>
        <filter val="9"/>
        <filter val="9,757"/>
        <filter val="900"/>
        <filter val="91"/>
        <filter val="95"/>
        <filter val="Tồn_x000a_ĐL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J203"/>
  <sheetViews>
    <sheetView workbookViewId="0">
      <pane xSplit="1" ySplit="1" topLeftCell="B169" activePane="bottomRight" state="frozen"/>
      <selection pane="topRight" activeCell="B1" sqref="B1"/>
      <selection pane="bottomLeft" activeCell="A2" sqref="A2"/>
      <selection pane="bottomRight" activeCell="E205" sqref="E205"/>
    </sheetView>
  </sheetViews>
  <sheetFormatPr defaultRowHeight="15.6" x14ac:dyDescent="0.3"/>
  <cols>
    <col min="1" max="1" width="43.77734375" style="31" bestFit="1" customWidth="1"/>
    <col min="2" max="2" width="11.44140625" style="31" bestFit="1" customWidth="1"/>
    <col min="3" max="3" width="11.44140625" style="44" bestFit="1" customWidth="1"/>
    <col min="4" max="4" width="16.44140625" style="31" customWidth="1"/>
    <col min="5" max="5" width="22.6640625" style="44" customWidth="1"/>
    <col min="6" max="16384" width="8.88671875" style="31"/>
  </cols>
  <sheetData>
    <row r="1" spans="1:10" s="72" customFormat="1" ht="31.2" x14ac:dyDescent="0.3">
      <c r="A1" s="32" t="s">
        <v>0</v>
      </c>
      <c r="B1" s="32" t="s">
        <v>1</v>
      </c>
      <c r="C1" s="33" t="s">
        <v>2</v>
      </c>
      <c r="D1" s="33" t="s">
        <v>177</v>
      </c>
      <c r="E1" s="33" t="s">
        <v>178</v>
      </c>
      <c r="F1" s="31"/>
      <c r="G1" s="31"/>
      <c r="H1" s="31"/>
      <c r="I1" s="31"/>
      <c r="J1" s="31"/>
    </row>
    <row r="2" spans="1:10" s="73" customFormat="1" x14ac:dyDescent="0.3">
      <c r="A2" s="29" t="s">
        <v>3</v>
      </c>
      <c r="B2" s="29" t="s">
        <v>4</v>
      </c>
      <c r="C2" s="39">
        <v>5</v>
      </c>
      <c r="D2" s="39">
        <f>VLOOKUP(A2,'10.11'!A2:D169,4,)</f>
        <v>30000</v>
      </c>
      <c r="E2" s="39">
        <f t="shared" ref="E2:E4" si="0">+D2*C2</f>
        <v>150000</v>
      </c>
    </row>
    <row r="3" spans="1:10" s="73" customFormat="1" x14ac:dyDescent="0.3">
      <c r="A3" s="29" t="s">
        <v>5</v>
      </c>
      <c r="B3" s="29" t="s">
        <v>4</v>
      </c>
      <c r="C3" s="39">
        <v>25</v>
      </c>
      <c r="D3" s="39">
        <v>18000</v>
      </c>
      <c r="E3" s="39">
        <f t="shared" si="0"/>
        <v>450000</v>
      </c>
    </row>
    <row r="4" spans="1:10" s="73" customFormat="1" x14ac:dyDescent="0.3">
      <c r="A4" s="29" t="s">
        <v>6</v>
      </c>
      <c r="B4" s="29" t="s">
        <v>4</v>
      </c>
      <c r="C4" s="39">
        <v>390</v>
      </c>
      <c r="D4" s="39">
        <f>VLOOKUP(A4,'10.11'!A4:D171,4,)</f>
        <v>11000</v>
      </c>
      <c r="E4" s="39">
        <f t="shared" si="0"/>
        <v>4290000</v>
      </c>
      <c r="F4" s="31"/>
      <c r="G4" s="31"/>
      <c r="H4" s="31"/>
      <c r="I4" s="31"/>
      <c r="J4" s="31"/>
    </row>
    <row r="5" spans="1:10" s="73" customFormat="1" hidden="1" x14ac:dyDescent="0.3">
      <c r="A5" s="29" t="s">
        <v>7</v>
      </c>
      <c r="B5" s="29" t="s">
        <v>4</v>
      </c>
      <c r="C5" s="70">
        <v>0</v>
      </c>
      <c r="D5" s="39"/>
      <c r="E5" s="63"/>
    </row>
    <row r="6" spans="1:10" s="73" customFormat="1" hidden="1" x14ac:dyDescent="0.3">
      <c r="A6" s="29" t="s">
        <v>7</v>
      </c>
      <c r="B6" s="29" t="s">
        <v>84</v>
      </c>
      <c r="C6" s="70">
        <v>0</v>
      </c>
      <c r="D6" s="39"/>
      <c r="E6" s="63"/>
    </row>
    <row r="7" spans="1:10" s="73" customFormat="1" hidden="1" x14ac:dyDescent="0.3">
      <c r="A7" s="29" t="s">
        <v>85</v>
      </c>
      <c r="B7" s="29" t="s">
        <v>4</v>
      </c>
      <c r="C7" s="70">
        <v>0</v>
      </c>
      <c r="D7" s="39"/>
      <c r="E7" s="63"/>
    </row>
    <row r="8" spans="1:10" s="73" customFormat="1" x14ac:dyDescent="0.3">
      <c r="A8" s="29" t="s">
        <v>8</v>
      </c>
      <c r="B8" s="29" t="s">
        <v>4</v>
      </c>
      <c r="C8" s="39">
        <v>2420</v>
      </c>
      <c r="D8" s="39">
        <f>VLOOKUP(A8,'10.11'!A8:D175,4,)</f>
        <v>5200</v>
      </c>
      <c r="E8" s="39">
        <f>+D8*C8</f>
        <v>12584000</v>
      </c>
      <c r="F8" s="31"/>
      <c r="G8" s="31"/>
      <c r="H8" s="31"/>
      <c r="I8" s="31"/>
      <c r="J8" s="31"/>
    </row>
    <row r="9" spans="1:10" s="73" customFormat="1" hidden="1" x14ac:dyDescent="0.3">
      <c r="A9" s="29" t="s">
        <v>106</v>
      </c>
      <c r="B9" s="29" t="s">
        <v>4</v>
      </c>
      <c r="C9" s="70">
        <v>0</v>
      </c>
      <c r="D9" s="39"/>
      <c r="E9" s="63"/>
    </row>
    <row r="10" spans="1:10" s="73" customFormat="1" hidden="1" x14ac:dyDescent="0.3">
      <c r="A10" s="29" t="s">
        <v>9</v>
      </c>
      <c r="B10" s="29" t="s">
        <v>4</v>
      </c>
      <c r="C10" s="70">
        <v>0</v>
      </c>
      <c r="D10" s="39"/>
      <c r="E10" s="63"/>
    </row>
    <row r="11" spans="1:10" s="73" customFormat="1" x14ac:dyDescent="0.3">
      <c r="A11" s="29" t="s">
        <v>10</v>
      </c>
      <c r="B11" s="29" t="s">
        <v>4</v>
      </c>
      <c r="C11" s="39">
        <v>80</v>
      </c>
      <c r="D11" s="39">
        <f>VLOOKUP(A11,'10.11'!A11:D178,4,)</f>
        <v>23000</v>
      </c>
      <c r="E11" s="39">
        <f>+D11*C11</f>
        <v>1840000</v>
      </c>
      <c r="F11" s="31"/>
      <c r="G11" s="31"/>
      <c r="H11" s="31"/>
      <c r="I11" s="31"/>
      <c r="J11" s="31"/>
    </row>
    <row r="12" spans="1:10" s="73" customFormat="1" hidden="1" x14ac:dyDescent="0.3">
      <c r="A12" s="29" t="s">
        <v>10</v>
      </c>
      <c r="B12" s="29" t="s">
        <v>84</v>
      </c>
      <c r="C12" s="70">
        <v>0</v>
      </c>
      <c r="D12" s="70"/>
      <c r="E12" s="75"/>
      <c r="F12" s="31"/>
      <c r="G12" s="31"/>
      <c r="H12" s="31"/>
      <c r="I12" s="31"/>
      <c r="J12" s="31"/>
    </row>
    <row r="13" spans="1:10" s="73" customFormat="1" x14ac:dyDescent="0.3">
      <c r="A13" s="29" t="s">
        <v>11</v>
      </c>
      <c r="B13" s="29" t="s">
        <v>4</v>
      </c>
      <c r="C13" s="39">
        <v>40</v>
      </c>
      <c r="D13" s="39">
        <f>VLOOKUP(A13,'10.11'!A13:D180,4,)</f>
        <v>15000</v>
      </c>
      <c r="E13" s="39">
        <f>+D13*C13</f>
        <v>600000</v>
      </c>
      <c r="F13" s="31"/>
      <c r="G13" s="31"/>
      <c r="H13" s="31"/>
      <c r="I13" s="31"/>
      <c r="J13" s="31"/>
    </row>
    <row r="14" spans="1:10" s="73" customFormat="1" hidden="1" x14ac:dyDescent="0.3">
      <c r="A14" s="29" t="s">
        <v>11</v>
      </c>
      <c r="B14" s="29" t="s">
        <v>84</v>
      </c>
      <c r="C14" s="70">
        <v>0</v>
      </c>
      <c r="D14" s="70"/>
      <c r="E14" s="75"/>
      <c r="F14" s="31"/>
      <c r="G14" s="31"/>
      <c r="H14" s="31"/>
      <c r="I14" s="31"/>
      <c r="J14" s="31"/>
    </row>
    <row r="15" spans="1:10" s="73" customFormat="1" x14ac:dyDescent="0.3">
      <c r="A15" s="29" t="s">
        <v>12</v>
      </c>
      <c r="B15" s="29" t="s">
        <v>4</v>
      </c>
      <c r="C15" s="39">
        <v>150</v>
      </c>
      <c r="D15" s="39">
        <v>26000</v>
      </c>
      <c r="E15" s="39">
        <f>+D15*C15</f>
        <v>3900000</v>
      </c>
    </row>
    <row r="16" spans="1:10" s="73" customFormat="1" hidden="1" x14ac:dyDescent="0.3">
      <c r="A16" s="29" t="s">
        <v>13</v>
      </c>
      <c r="B16" s="29" t="s">
        <v>4</v>
      </c>
      <c r="C16" s="70">
        <v>0</v>
      </c>
      <c r="D16" s="39"/>
      <c r="E16" s="63"/>
    </row>
    <row r="17" spans="1:10" s="73" customFormat="1" hidden="1" x14ac:dyDescent="0.3">
      <c r="A17" s="29" t="s">
        <v>175</v>
      </c>
      <c r="B17" s="29" t="s">
        <v>4</v>
      </c>
      <c r="C17" s="70">
        <v>0</v>
      </c>
      <c r="D17" s="39"/>
      <c r="E17" s="63"/>
    </row>
    <row r="18" spans="1:10" s="73" customFormat="1" x14ac:dyDescent="0.3">
      <c r="A18" s="29" t="s">
        <v>59</v>
      </c>
      <c r="B18" s="29" t="s">
        <v>4</v>
      </c>
      <c r="C18" s="39">
        <v>30</v>
      </c>
      <c r="D18" s="39">
        <v>39000</v>
      </c>
      <c r="E18" s="39">
        <f>+D18*C18</f>
        <v>1170000</v>
      </c>
    </row>
    <row r="19" spans="1:10" s="73" customFormat="1" hidden="1" x14ac:dyDescent="0.3">
      <c r="A19" s="29" t="s">
        <v>60</v>
      </c>
      <c r="B19" s="29" t="s">
        <v>4</v>
      </c>
      <c r="C19" s="70">
        <v>0</v>
      </c>
      <c r="D19" s="70"/>
      <c r="E19" s="75"/>
      <c r="F19" s="31"/>
      <c r="G19" s="31"/>
      <c r="H19" s="31"/>
      <c r="I19" s="31"/>
      <c r="J19" s="31"/>
    </row>
    <row r="20" spans="1:10" s="73" customFormat="1" hidden="1" x14ac:dyDescent="0.3">
      <c r="A20" s="29" t="s">
        <v>60</v>
      </c>
      <c r="B20" s="29" t="s">
        <v>50</v>
      </c>
      <c r="C20" s="70">
        <v>0</v>
      </c>
      <c r="D20" s="70"/>
      <c r="E20" s="75"/>
      <c r="F20" s="31"/>
      <c r="G20" s="31"/>
      <c r="H20" s="31"/>
      <c r="I20" s="31"/>
      <c r="J20" s="31"/>
    </row>
    <row r="21" spans="1:10" s="73" customFormat="1" hidden="1" x14ac:dyDescent="0.3">
      <c r="A21" s="29" t="s">
        <v>15</v>
      </c>
      <c r="B21" s="29" t="s">
        <v>4</v>
      </c>
      <c r="C21" s="70">
        <v>0</v>
      </c>
      <c r="D21" s="70"/>
      <c r="E21" s="75"/>
      <c r="F21" s="31"/>
      <c r="G21" s="31"/>
      <c r="H21" s="31"/>
      <c r="I21" s="31"/>
      <c r="J21" s="31"/>
    </row>
    <row r="22" spans="1:10" s="73" customFormat="1" hidden="1" x14ac:dyDescent="0.3">
      <c r="A22" s="29" t="s">
        <v>15</v>
      </c>
      <c r="B22" s="29" t="s">
        <v>50</v>
      </c>
      <c r="C22" s="70">
        <v>0</v>
      </c>
      <c r="D22" s="70"/>
      <c r="E22" s="75"/>
      <c r="F22" s="31"/>
      <c r="G22" s="31"/>
      <c r="H22" s="31"/>
      <c r="I22" s="31"/>
      <c r="J22" s="31"/>
    </row>
    <row r="23" spans="1:10" s="73" customFormat="1" hidden="1" x14ac:dyDescent="0.3">
      <c r="A23" s="29" t="s">
        <v>15</v>
      </c>
      <c r="B23" s="29" t="s">
        <v>164</v>
      </c>
      <c r="C23" s="70">
        <v>0</v>
      </c>
      <c r="D23" s="70"/>
      <c r="E23" s="75"/>
      <c r="F23" s="31"/>
      <c r="G23" s="31"/>
      <c r="H23" s="31"/>
      <c r="I23" s="31"/>
      <c r="J23" s="31"/>
    </row>
    <row r="24" spans="1:10" s="73" customFormat="1" x14ac:dyDescent="0.3">
      <c r="A24" s="29" t="s">
        <v>16</v>
      </c>
      <c r="B24" s="29" t="s">
        <v>4</v>
      </c>
      <c r="C24" s="39">
        <v>25</v>
      </c>
      <c r="D24" s="39">
        <f>VLOOKUP(A24,'10.11'!A24:D191,4,)</f>
        <v>17000</v>
      </c>
      <c r="E24" s="39">
        <f>+D24*C24</f>
        <v>425000</v>
      </c>
    </row>
    <row r="25" spans="1:10" s="73" customFormat="1" hidden="1" x14ac:dyDescent="0.3">
      <c r="A25" s="29" t="s">
        <v>16</v>
      </c>
      <c r="B25" s="29" t="s">
        <v>165</v>
      </c>
      <c r="C25" s="70">
        <v>0</v>
      </c>
      <c r="D25" s="39"/>
      <c r="E25" s="63"/>
    </row>
    <row r="26" spans="1:10" s="73" customFormat="1" x14ac:dyDescent="0.3">
      <c r="A26" s="29" t="s">
        <v>17</v>
      </c>
      <c r="B26" s="29" t="s">
        <v>4</v>
      </c>
      <c r="C26" s="39">
        <v>10</v>
      </c>
      <c r="D26" s="39">
        <v>33000</v>
      </c>
      <c r="E26" s="39">
        <f t="shared" ref="E26:E27" si="1">+D26*C26</f>
        <v>330000</v>
      </c>
    </row>
    <row r="27" spans="1:10" s="73" customFormat="1" x14ac:dyDescent="0.3">
      <c r="A27" s="29" t="s">
        <v>17</v>
      </c>
      <c r="B27" s="29" t="s">
        <v>147</v>
      </c>
      <c r="C27" s="39">
        <v>108</v>
      </c>
      <c r="D27" s="39">
        <v>9900</v>
      </c>
      <c r="E27" s="39">
        <f t="shared" si="1"/>
        <v>1069200</v>
      </c>
    </row>
    <row r="28" spans="1:10" s="73" customFormat="1" hidden="1" x14ac:dyDescent="0.3">
      <c r="A28" s="29" t="s">
        <v>89</v>
      </c>
      <c r="B28" s="29" t="s">
        <v>53</v>
      </c>
      <c r="C28" s="70">
        <v>0</v>
      </c>
      <c r="D28" s="39"/>
      <c r="E28" s="63"/>
    </row>
    <row r="29" spans="1:10" s="73" customFormat="1" hidden="1" x14ac:dyDescent="0.3">
      <c r="A29" s="29" t="s">
        <v>89</v>
      </c>
      <c r="B29" s="29" t="s">
        <v>4</v>
      </c>
      <c r="C29" s="70">
        <v>0</v>
      </c>
      <c r="D29" s="39"/>
      <c r="E29" s="63"/>
    </row>
    <row r="30" spans="1:10" s="73" customFormat="1" x14ac:dyDescent="0.3">
      <c r="A30" s="29" t="s">
        <v>90</v>
      </c>
      <c r="B30" s="29" t="s">
        <v>4</v>
      </c>
      <c r="C30" s="39">
        <v>4.5</v>
      </c>
      <c r="D30" s="39">
        <v>40000</v>
      </c>
      <c r="E30" s="39">
        <f>+D30*C30</f>
        <v>180000</v>
      </c>
    </row>
    <row r="31" spans="1:10" s="73" customFormat="1" hidden="1" x14ac:dyDescent="0.3">
      <c r="A31" s="29" t="s">
        <v>90</v>
      </c>
      <c r="B31" s="29" t="s">
        <v>147</v>
      </c>
      <c r="C31" s="70">
        <v>0</v>
      </c>
      <c r="D31" s="39"/>
      <c r="E31" s="63"/>
    </row>
    <row r="32" spans="1:10" s="73" customFormat="1" hidden="1" x14ac:dyDescent="0.3">
      <c r="A32" s="29" t="s">
        <v>90</v>
      </c>
      <c r="B32" s="29" t="s">
        <v>148</v>
      </c>
      <c r="C32" s="70">
        <v>0</v>
      </c>
      <c r="D32" s="39"/>
      <c r="E32" s="63"/>
    </row>
    <row r="33" spans="1:10" s="73" customFormat="1" hidden="1" x14ac:dyDescent="0.3">
      <c r="A33" s="29" t="s">
        <v>18</v>
      </c>
      <c r="B33" s="29" t="s">
        <v>4</v>
      </c>
      <c r="C33" s="70">
        <v>0</v>
      </c>
      <c r="D33" s="70"/>
      <c r="E33" s="75"/>
      <c r="F33" s="31"/>
      <c r="G33" s="31"/>
      <c r="H33" s="31"/>
      <c r="I33" s="31"/>
      <c r="J33" s="31"/>
    </row>
    <row r="34" spans="1:10" s="73" customFormat="1" hidden="1" x14ac:dyDescent="0.3">
      <c r="A34" s="29" t="s">
        <v>18</v>
      </c>
      <c r="B34" s="29" t="s">
        <v>50</v>
      </c>
      <c r="C34" s="70">
        <v>0</v>
      </c>
      <c r="D34" s="39"/>
      <c r="E34" s="75"/>
      <c r="F34" s="31"/>
      <c r="G34" s="31"/>
      <c r="H34" s="31"/>
      <c r="I34" s="31"/>
      <c r="J34" s="31"/>
    </row>
    <row r="35" spans="1:10" s="73" customFormat="1" hidden="1" x14ac:dyDescent="0.3">
      <c r="A35" s="29" t="s">
        <v>92</v>
      </c>
      <c r="B35" s="29" t="s">
        <v>31</v>
      </c>
      <c r="C35" s="70">
        <v>0</v>
      </c>
      <c r="D35" s="39"/>
      <c r="E35" s="75"/>
      <c r="F35" s="31"/>
      <c r="G35" s="31"/>
      <c r="H35" s="31"/>
      <c r="I35" s="31"/>
      <c r="J35" s="31"/>
    </row>
    <row r="36" spans="1:10" s="73" customFormat="1" x14ac:dyDescent="0.3">
      <c r="A36" s="29" t="s">
        <v>49</v>
      </c>
      <c r="B36" s="29" t="s">
        <v>4</v>
      </c>
      <c r="C36" s="39">
        <v>90</v>
      </c>
      <c r="D36" s="39">
        <f>VLOOKUP(A36,'10.11'!A36:D203,4,)</f>
        <v>16000</v>
      </c>
      <c r="E36" s="39">
        <f>+D36*C36</f>
        <v>1440000</v>
      </c>
      <c r="F36" s="31"/>
      <c r="G36" s="31"/>
      <c r="H36" s="31"/>
      <c r="I36" s="31"/>
      <c r="J36" s="31"/>
    </row>
    <row r="37" spans="1:10" s="73" customFormat="1" hidden="1" x14ac:dyDescent="0.3">
      <c r="A37" s="29" t="s">
        <v>49</v>
      </c>
      <c r="B37" s="29" t="s">
        <v>31</v>
      </c>
      <c r="C37" s="70">
        <v>0</v>
      </c>
      <c r="D37" s="70"/>
      <c r="E37" s="75"/>
      <c r="F37" s="31"/>
      <c r="G37" s="31"/>
      <c r="H37" s="31"/>
      <c r="I37" s="31"/>
      <c r="J37" s="31"/>
    </row>
    <row r="38" spans="1:10" s="73" customFormat="1" hidden="1" x14ac:dyDescent="0.3">
      <c r="A38" s="29" t="s">
        <v>19</v>
      </c>
      <c r="B38" s="29" t="s">
        <v>4</v>
      </c>
      <c r="C38" s="70">
        <v>0</v>
      </c>
      <c r="D38" s="70"/>
      <c r="E38" s="75"/>
      <c r="F38" s="31"/>
      <c r="G38" s="31"/>
      <c r="H38" s="31"/>
      <c r="I38" s="31"/>
      <c r="J38" s="31"/>
    </row>
    <row r="39" spans="1:10" s="73" customFormat="1" hidden="1" x14ac:dyDescent="0.3">
      <c r="A39" s="29" t="s">
        <v>19</v>
      </c>
      <c r="B39" s="29" t="s">
        <v>50</v>
      </c>
      <c r="C39" s="70">
        <v>0</v>
      </c>
      <c r="D39" s="70"/>
      <c r="E39" s="75"/>
      <c r="F39" s="31"/>
      <c r="G39" s="31"/>
      <c r="H39" s="31"/>
      <c r="I39" s="31"/>
      <c r="J39" s="31"/>
    </row>
    <row r="40" spans="1:10" s="73" customFormat="1" hidden="1" x14ac:dyDescent="0.3">
      <c r="A40" s="29" t="s">
        <v>20</v>
      </c>
      <c r="B40" s="29" t="s">
        <v>4</v>
      </c>
      <c r="C40" s="70">
        <v>0</v>
      </c>
      <c r="D40" s="39"/>
      <c r="E40" s="63"/>
    </row>
    <row r="41" spans="1:10" s="73" customFormat="1" x14ac:dyDescent="0.3">
      <c r="A41" s="29" t="s">
        <v>21</v>
      </c>
      <c r="B41" s="29" t="s">
        <v>4</v>
      </c>
      <c r="C41" s="39">
        <v>20</v>
      </c>
      <c r="D41" s="39">
        <f>VLOOKUP(A41,'10.11'!A41:D208,4,)</f>
        <v>8000</v>
      </c>
      <c r="E41" s="39">
        <f>+D41*C41</f>
        <v>160000</v>
      </c>
    </row>
    <row r="42" spans="1:10" s="73" customFormat="1" hidden="1" x14ac:dyDescent="0.3">
      <c r="A42" s="29" t="s">
        <v>21</v>
      </c>
      <c r="B42" s="29" t="s">
        <v>149</v>
      </c>
      <c r="C42" s="70">
        <v>0</v>
      </c>
      <c r="D42" s="39"/>
      <c r="E42" s="63"/>
    </row>
    <row r="43" spans="1:10" s="73" customFormat="1" hidden="1" x14ac:dyDescent="0.3">
      <c r="A43" s="29" t="s">
        <v>167</v>
      </c>
      <c r="B43" s="29" t="s">
        <v>53</v>
      </c>
      <c r="C43" s="70">
        <v>0</v>
      </c>
      <c r="D43" s="39"/>
      <c r="E43" s="63"/>
    </row>
    <row r="44" spans="1:10" s="73" customFormat="1" hidden="1" x14ac:dyDescent="0.3">
      <c r="A44" s="29" t="s">
        <v>132</v>
      </c>
      <c r="B44" s="29" t="s">
        <v>4</v>
      </c>
      <c r="C44" s="70">
        <v>0</v>
      </c>
      <c r="D44" s="39"/>
      <c r="E44" s="63"/>
    </row>
    <row r="45" spans="1:10" s="73" customFormat="1" hidden="1" x14ac:dyDescent="0.3">
      <c r="A45" s="29" t="s">
        <v>62</v>
      </c>
      <c r="B45" s="29" t="s">
        <v>4</v>
      </c>
      <c r="C45" s="70">
        <v>0</v>
      </c>
      <c r="D45" s="70"/>
      <c r="E45" s="75"/>
      <c r="F45" s="31"/>
      <c r="G45" s="31"/>
      <c r="H45" s="31"/>
      <c r="I45" s="31"/>
      <c r="J45" s="31"/>
    </row>
    <row r="46" spans="1:10" s="73" customFormat="1" x14ac:dyDescent="0.3">
      <c r="A46" s="29" t="s">
        <v>62</v>
      </c>
      <c r="B46" s="29" t="s">
        <v>31</v>
      </c>
      <c r="C46" s="39">
        <v>65</v>
      </c>
      <c r="D46" s="39">
        <f>VLOOKUP(A46,'10.11'!A46:D213,4,)</f>
        <v>11400</v>
      </c>
      <c r="E46" s="39">
        <f>+D46*C46</f>
        <v>741000</v>
      </c>
      <c r="F46" s="31"/>
      <c r="G46" s="31"/>
      <c r="H46" s="31"/>
      <c r="I46" s="31"/>
      <c r="J46" s="31"/>
    </row>
    <row r="47" spans="1:10" s="73" customFormat="1" hidden="1" x14ac:dyDescent="0.3">
      <c r="A47" s="29" t="s">
        <v>63</v>
      </c>
      <c r="B47" s="29" t="s">
        <v>4</v>
      </c>
      <c r="C47" s="70">
        <v>0</v>
      </c>
      <c r="D47" s="39"/>
      <c r="E47" s="63"/>
    </row>
    <row r="48" spans="1:10" s="73" customFormat="1" hidden="1" x14ac:dyDescent="0.3">
      <c r="A48" s="29" t="s">
        <v>63</v>
      </c>
      <c r="B48" s="29" t="s">
        <v>31</v>
      </c>
      <c r="C48" s="70">
        <v>0</v>
      </c>
      <c r="D48" s="39"/>
      <c r="E48" s="63"/>
    </row>
    <row r="49" spans="1:10" s="73" customFormat="1" hidden="1" x14ac:dyDescent="0.3">
      <c r="A49" s="29" t="s">
        <v>64</v>
      </c>
      <c r="B49" s="29" t="s">
        <v>4</v>
      </c>
      <c r="C49" s="70">
        <v>0</v>
      </c>
      <c r="D49" s="70"/>
      <c r="E49" s="75"/>
      <c r="F49" s="31"/>
      <c r="G49" s="31"/>
      <c r="H49" s="31"/>
      <c r="I49" s="31"/>
      <c r="J49" s="31"/>
    </row>
    <row r="50" spans="1:10" s="73" customFormat="1" hidden="1" x14ac:dyDescent="0.3">
      <c r="A50" s="29" t="s">
        <v>64</v>
      </c>
      <c r="B50" s="29" t="s">
        <v>31</v>
      </c>
      <c r="C50" s="70">
        <v>0</v>
      </c>
      <c r="D50" s="70"/>
      <c r="E50" s="75"/>
      <c r="F50" s="31"/>
      <c r="G50" s="31"/>
      <c r="H50" s="31"/>
      <c r="I50" s="31"/>
      <c r="J50" s="31"/>
    </row>
    <row r="51" spans="1:10" s="73" customFormat="1" hidden="1" x14ac:dyDescent="0.3">
      <c r="A51" s="29" t="s">
        <v>64</v>
      </c>
      <c r="B51" s="29" t="s">
        <v>65</v>
      </c>
      <c r="C51" s="70">
        <v>0</v>
      </c>
      <c r="D51" s="70"/>
      <c r="E51" s="75"/>
      <c r="F51" s="31"/>
      <c r="G51" s="31"/>
      <c r="H51" s="31"/>
      <c r="I51" s="31"/>
      <c r="J51" s="31"/>
    </row>
    <row r="52" spans="1:10" s="73" customFormat="1" x14ac:dyDescent="0.3">
      <c r="A52" s="29" t="s">
        <v>22</v>
      </c>
      <c r="B52" s="29" t="s">
        <v>4</v>
      </c>
      <c r="C52" s="39">
        <v>2100</v>
      </c>
      <c r="D52" s="39">
        <f>VLOOKUP(A52,'10.11'!A52:D219,4,)</f>
        <v>7500</v>
      </c>
      <c r="E52" s="39">
        <f>+D52*C52</f>
        <v>15750000</v>
      </c>
      <c r="F52" s="31"/>
      <c r="G52" s="31"/>
      <c r="H52" s="31"/>
      <c r="I52" s="31"/>
      <c r="J52" s="31"/>
    </row>
    <row r="53" spans="1:10" s="73" customFormat="1" hidden="1" x14ac:dyDescent="0.3">
      <c r="A53" s="29" t="s">
        <v>120</v>
      </c>
      <c r="B53" s="29" t="s">
        <v>4</v>
      </c>
      <c r="C53" s="70">
        <v>0</v>
      </c>
      <c r="D53" s="39"/>
      <c r="E53" s="63"/>
    </row>
    <row r="54" spans="1:10" s="73" customFormat="1" hidden="1" x14ac:dyDescent="0.3">
      <c r="A54" s="29" t="s">
        <v>24</v>
      </c>
      <c r="B54" s="29" t="s">
        <v>66</v>
      </c>
      <c r="C54" s="70">
        <v>0</v>
      </c>
      <c r="D54" s="70"/>
      <c r="E54" s="75"/>
      <c r="F54" s="31"/>
      <c r="G54" s="31"/>
      <c r="H54" s="31"/>
      <c r="I54" s="31"/>
      <c r="J54" s="31"/>
    </row>
    <row r="55" spans="1:10" s="73" customFormat="1" x14ac:dyDescent="0.3">
      <c r="A55" s="29" t="s">
        <v>24</v>
      </c>
      <c r="B55" s="29" t="s">
        <v>4</v>
      </c>
      <c r="C55" s="39">
        <v>105</v>
      </c>
      <c r="D55" s="39">
        <v>10000</v>
      </c>
      <c r="E55" s="39">
        <f>+D55*C55</f>
        <v>1050000</v>
      </c>
      <c r="F55" s="31"/>
      <c r="G55" s="31"/>
      <c r="H55" s="31"/>
      <c r="I55" s="31"/>
      <c r="J55" s="31"/>
    </row>
    <row r="56" spans="1:10" s="73" customFormat="1" hidden="1" x14ac:dyDescent="0.3">
      <c r="A56" s="29" t="s">
        <v>94</v>
      </c>
      <c r="B56" s="29" t="s">
        <v>4</v>
      </c>
      <c r="C56" s="70">
        <v>0</v>
      </c>
      <c r="D56" s="39"/>
      <c r="E56" s="63"/>
    </row>
    <row r="57" spans="1:10" s="73" customFormat="1" hidden="1" x14ac:dyDescent="0.3">
      <c r="A57" s="29" t="s">
        <v>94</v>
      </c>
      <c r="B57" s="29" t="s">
        <v>50</v>
      </c>
      <c r="C57" s="70">
        <v>0</v>
      </c>
      <c r="D57" s="39"/>
      <c r="E57" s="63"/>
    </row>
    <row r="58" spans="1:10" s="73" customFormat="1" hidden="1" x14ac:dyDescent="0.3">
      <c r="A58" s="29" t="s">
        <v>26</v>
      </c>
      <c r="B58" s="29" t="s">
        <v>4</v>
      </c>
      <c r="C58" s="70">
        <v>0</v>
      </c>
      <c r="D58" s="39"/>
      <c r="E58" s="63"/>
    </row>
    <row r="59" spans="1:10" s="73" customFormat="1" hidden="1" x14ac:dyDescent="0.3">
      <c r="A59" s="29" t="s">
        <v>51</v>
      </c>
      <c r="B59" s="29" t="s">
        <v>53</v>
      </c>
      <c r="C59" s="70">
        <v>0</v>
      </c>
      <c r="D59" s="70"/>
      <c r="E59" s="75"/>
      <c r="F59" s="31"/>
      <c r="G59" s="31"/>
      <c r="H59" s="31"/>
      <c r="I59" s="31"/>
      <c r="J59" s="31"/>
    </row>
    <row r="60" spans="1:10" s="73" customFormat="1" hidden="1" x14ac:dyDescent="0.3">
      <c r="A60" s="29" t="s">
        <v>51</v>
      </c>
      <c r="B60" s="29" t="s">
        <v>4</v>
      </c>
      <c r="C60" s="70">
        <v>0</v>
      </c>
      <c r="D60" s="70"/>
      <c r="E60" s="75"/>
      <c r="F60" s="31"/>
      <c r="G60" s="31"/>
      <c r="H60" s="31"/>
      <c r="I60" s="31"/>
      <c r="J60" s="31"/>
    </row>
    <row r="61" spans="1:10" s="73" customFormat="1" hidden="1" x14ac:dyDescent="0.3">
      <c r="A61" s="29" t="s">
        <v>27</v>
      </c>
      <c r="B61" s="29" t="s">
        <v>4</v>
      </c>
      <c r="C61" s="70">
        <v>0</v>
      </c>
      <c r="D61" s="39"/>
      <c r="E61" s="63"/>
    </row>
    <row r="62" spans="1:10" s="73" customFormat="1" x14ac:dyDescent="0.3">
      <c r="A62" s="29" t="s">
        <v>28</v>
      </c>
      <c r="B62" s="29" t="s">
        <v>4</v>
      </c>
      <c r="C62" s="39">
        <v>30</v>
      </c>
      <c r="D62" s="39">
        <f>VLOOKUP(A62,'10.11'!A62:D229,4,)</f>
        <v>17000</v>
      </c>
      <c r="E62" s="39">
        <f>+D62*C62</f>
        <v>510000</v>
      </c>
      <c r="F62" s="31"/>
      <c r="G62" s="31"/>
      <c r="H62" s="31"/>
      <c r="I62" s="31"/>
      <c r="J62" s="31"/>
    </row>
    <row r="63" spans="1:10" s="73" customFormat="1" hidden="1" x14ac:dyDescent="0.3">
      <c r="A63" s="29" t="s">
        <v>28</v>
      </c>
      <c r="B63" s="29" t="s">
        <v>31</v>
      </c>
      <c r="C63" s="70">
        <v>0</v>
      </c>
      <c r="D63" s="70"/>
      <c r="E63" s="75"/>
      <c r="F63" s="31"/>
      <c r="G63" s="31"/>
      <c r="H63" s="31"/>
      <c r="I63" s="31"/>
      <c r="J63" s="31"/>
    </row>
    <row r="64" spans="1:10" s="73" customFormat="1" x14ac:dyDescent="0.3">
      <c r="A64" s="29" t="s">
        <v>54</v>
      </c>
      <c r="B64" s="29" t="s">
        <v>4</v>
      </c>
      <c r="C64" s="39">
        <v>3</v>
      </c>
      <c r="D64" s="39">
        <v>45000</v>
      </c>
      <c r="E64" s="39">
        <f t="shared" ref="E64:E65" si="2">+D64*C64</f>
        <v>135000</v>
      </c>
    </row>
    <row r="65" spans="1:10" s="73" customFormat="1" x14ac:dyDescent="0.3">
      <c r="A65" s="29" t="s">
        <v>29</v>
      </c>
      <c r="B65" s="29" t="s">
        <v>4</v>
      </c>
      <c r="C65" s="39">
        <v>950</v>
      </c>
      <c r="D65" s="39">
        <f>VLOOKUP(A65,'10.11'!A65:D232,4,)</f>
        <v>21000</v>
      </c>
      <c r="E65" s="39">
        <f t="shared" si="2"/>
        <v>19950000</v>
      </c>
      <c r="F65" s="31"/>
      <c r="G65" s="31"/>
      <c r="H65" s="31"/>
      <c r="I65" s="31"/>
      <c r="J65" s="31"/>
    </row>
    <row r="66" spans="1:10" s="73" customFormat="1" hidden="1" x14ac:dyDescent="0.3">
      <c r="A66" s="29" t="s">
        <v>29</v>
      </c>
      <c r="B66" s="29" t="s">
        <v>150</v>
      </c>
      <c r="C66" s="70">
        <v>0</v>
      </c>
      <c r="D66" s="70"/>
      <c r="E66" s="75"/>
      <c r="F66" s="31"/>
      <c r="G66" s="31"/>
      <c r="H66" s="31"/>
      <c r="I66" s="31"/>
      <c r="J66" s="31"/>
    </row>
    <row r="67" spans="1:10" s="73" customFormat="1" x14ac:dyDescent="0.3">
      <c r="A67" s="29" t="s">
        <v>55</v>
      </c>
      <c r="B67" s="29" t="s">
        <v>4</v>
      </c>
      <c r="C67" s="39">
        <v>20</v>
      </c>
      <c r="D67" s="39">
        <v>20000</v>
      </c>
      <c r="E67" s="39">
        <f>+D67*C67</f>
        <v>400000</v>
      </c>
    </row>
    <row r="68" spans="1:10" s="73" customFormat="1" hidden="1" x14ac:dyDescent="0.3">
      <c r="A68" s="29" t="s">
        <v>55</v>
      </c>
      <c r="B68" s="29" t="s">
        <v>31</v>
      </c>
      <c r="C68" s="70">
        <v>0</v>
      </c>
      <c r="D68" s="39"/>
      <c r="E68" s="63"/>
    </row>
    <row r="69" spans="1:10" s="73" customFormat="1" x14ac:dyDescent="0.3">
      <c r="A69" s="29" t="s">
        <v>56</v>
      </c>
      <c r="B69" s="29" t="s">
        <v>31</v>
      </c>
      <c r="C69" s="39">
        <v>570</v>
      </c>
      <c r="D69" s="39">
        <f>15000*0.3</f>
        <v>4500</v>
      </c>
      <c r="E69" s="39">
        <f t="shared" ref="E69:E71" si="3">+D69*C69</f>
        <v>2565000</v>
      </c>
      <c r="F69" s="31"/>
      <c r="G69" s="31"/>
      <c r="H69" s="31"/>
      <c r="I69" s="31"/>
      <c r="J69" s="31"/>
    </row>
    <row r="70" spans="1:10" s="73" customFormat="1" x14ac:dyDescent="0.3">
      <c r="A70" s="29" t="s">
        <v>117</v>
      </c>
      <c r="B70" s="29" t="s">
        <v>4</v>
      </c>
      <c r="C70" s="39">
        <v>150</v>
      </c>
      <c r="D70" s="39">
        <f>VLOOKUP(A70,'10.11'!A70:D237,4,)</f>
        <v>22000</v>
      </c>
      <c r="E70" s="39">
        <f t="shared" si="3"/>
        <v>3300000</v>
      </c>
    </row>
    <row r="71" spans="1:10" s="73" customFormat="1" x14ac:dyDescent="0.3">
      <c r="A71" s="29" t="s">
        <v>57</v>
      </c>
      <c r="B71" s="29" t="s">
        <v>4</v>
      </c>
      <c r="C71" s="39">
        <v>740</v>
      </c>
      <c r="D71" s="39">
        <f>VLOOKUP(A71,'10.11'!A71:D238,4,)</f>
        <v>22000</v>
      </c>
      <c r="E71" s="39">
        <f t="shared" si="3"/>
        <v>16280000</v>
      </c>
      <c r="F71" s="31"/>
      <c r="G71" s="31"/>
      <c r="H71" s="31"/>
      <c r="I71" s="31"/>
      <c r="J71" s="31"/>
    </row>
    <row r="72" spans="1:10" s="73" customFormat="1" hidden="1" x14ac:dyDescent="0.3">
      <c r="A72" s="29" t="s">
        <v>57</v>
      </c>
      <c r="B72" s="29" t="s">
        <v>31</v>
      </c>
      <c r="C72" s="70">
        <v>0</v>
      </c>
      <c r="D72" s="70"/>
      <c r="E72" s="75"/>
      <c r="F72" s="31"/>
      <c r="G72" s="31"/>
      <c r="H72" s="31"/>
      <c r="I72" s="31"/>
      <c r="J72" s="31"/>
    </row>
    <row r="73" spans="1:10" s="73" customFormat="1" x14ac:dyDescent="0.3">
      <c r="A73" s="29" t="s">
        <v>135</v>
      </c>
      <c r="B73" s="29" t="s">
        <v>4</v>
      </c>
      <c r="C73" s="39">
        <v>710</v>
      </c>
      <c r="D73" s="39">
        <f>VLOOKUP(A73,'10.11'!A73:D240,4,)</f>
        <v>20000</v>
      </c>
      <c r="E73" s="39">
        <f>+D73*C73</f>
        <v>14200000</v>
      </c>
    </row>
    <row r="74" spans="1:10" s="73" customFormat="1" hidden="1" x14ac:dyDescent="0.3">
      <c r="A74" s="29" t="s">
        <v>155</v>
      </c>
      <c r="B74" s="29" t="s">
        <v>4</v>
      </c>
      <c r="C74" s="70">
        <v>0</v>
      </c>
      <c r="D74" s="39"/>
      <c r="E74" s="63"/>
    </row>
    <row r="75" spans="1:10" s="73" customFormat="1" x14ac:dyDescent="0.3">
      <c r="A75" s="29" t="s">
        <v>32</v>
      </c>
      <c r="B75" s="29" t="s">
        <v>4</v>
      </c>
      <c r="C75" s="39">
        <v>80</v>
      </c>
      <c r="D75" s="39">
        <f>VLOOKUP(A75,'10.11'!A75:D242,4,)</f>
        <v>19000</v>
      </c>
      <c r="E75" s="39">
        <f>+D75*C75</f>
        <v>1520000</v>
      </c>
      <c r="F75" s="31"/>
      <c r="G75" s="31"/>
      <c r="H75" s="31"/>
      <c r="I75" s="31"/>
      <c r="J75" s="31"/>
    </row>
    <row r="76" spans="1:10" s="73" customFormat="1" hidden="1" x14ac:dyDescent="0.3">
      <c r="A76" s="29" t="s">
        <v>32</v>
      </c>
      <c r="B76" s="29" t="s">
        <v>31</v>
      </c>
      <c r="C76" s="70">
        <v>0</v>
      </c>
      <c r="D76" s="70"/>
      <c r="E76" s="75"/>
      <c r="F76" s="31"/>
      <c r="G76" s="31"/>
      <c r="H76" s="31"/>
      <c r="I76" s="31"/>
      <c r="J76" s="31"/>
    </row>
    <row r="77" spans="1:10" s="73" customFormat="1" hidden="1" x14ac:dyDescent="0.3">
      <c r="A77" s="29" t="s">
        <v>58</v>
      </c>
      <c r="B77" s="29" t="s">
        <v>4</v>
      </c>
      <c r="C77" s="70">
        <v>0</v>
      </c>
      <c r="D77" s="39"/>
      <c r="E77" s="63"/>
    </row>
    <row r="78" spans="1:10" s="73" customFormat="1" hidden="1" x14ac:dyDescent="0.3">
      <c r="A78" s="29" t="s">
        <v>118</v>
      </c>
      <c r="B78" s="29" t="s">
        <v>4</v>
      </c>
      <c r="C78" s="70">
        <v>0</v>
      </c>
      <c r="D78" s="39"/>
      <c r="E78" s="63"/>
    </row>
    <row r="79" spans="1:10" s="73" customFormat="1" hidden="1" x14ac:dyDescent="0.3">
      <c r="A79" s="29" t="s">
        <v>33</v>
      </c>
      <c r="B79" s="29" t="s">
        <v>31</v>
      </c>
      <c r="C79" s="70">
        <v>0</v>
      </c>
      <c r="D79" s="39"/>
      <c r="E79" s="63"/>
    </row>
    <row r="80" spans="1:10" s="73" customFormat="1" x14ac:dyDescent="0.3">
      <c r="A80" s="29" t="s">
        <v>34</v>
      </c>
      <c r="B80" s="29" t="s">
        <v>4</v>
      </c>
      <c r="C80" s="39">
        <v>380</v>
      </c>
      <c r="D80" s="39">
        <f>VLOOKUP(A80,'10.11'!A80:D247,4,)</f>
        <v>15000</v>
      </c>
      <c r="E80" s="39">
        <f>+D80*C80</f>
        <v>5700000</v>
      </c>
      <c r="F80" s="31"/>
      <c r="G80" s="31"/>
      <c r="H80" s="31"/>
      <c r="I80" s="31"/>
      <c r="J80" s="31"/>
    </row>
    <row r="81" spans="1:10" s="73" customFormat="1" hidden="1" x14ac:dyDescent="0.3">
      <c r="A81" s="29" t="s">
        <v>34</v>
      </c>
      <c r="B81" s="29" t="s">
        <v>31</v>
      </c>
      <c r="C81" s="70">
        <v>0</v>
      </c>
      <c r="D81" s="70"/>
      <c r="E81" s="75"/>
      <c r="F81" s="31"/>
      <c r="G81" s="31"/>
      <c r="H81" s="31"/>
      <c r="I81" s="31"/>
      <c r="J81" s="31"/>
    </row>
    <row r="82" spans="1:10" s="73" customFormat="1" hidden="1" x14ac:dyDescent="0.3">
      <c r="A82" s="29" t="s">
        <v>142</v>
      </c>
      <c r="B82" s="29" t="s">
        <v>31</v>
      </c>
      <c r="C82" s="70">
        <v>0</v>
      </c>
      <c r="D82" s="39"/>
      <c r="E82" s="63"/>
    </row>
    <row r="83" spans="1:10" s="73" customFormat="1" x14ac:dyDescent="0.3">
      <c r="A83" s="29" t="s">
        <v>35</v>
      </c>
      <c r="B83" s="29" t="s">
        <v>4</v>
      </c>
      <c r="C83" s="39">
        <v>4</v>
      </c>
      <c r="D83" s="39">
        <f>VLOOKUP(A83,'10.11'!A83:D250,4,)</f>
        <v>18000</v>
      </c>
      <c r="E83" s="39">
        <f>+D83*C83</f>
        <v>72000</v>
      </c>
    </row>
    <row r="84" spans="1:10" s="73" customFormat="1" hidden="1" x14ac:dyDescent="0.3">
      <c r="A84" s="29" t="s">
        <v>123</v>
      </c>
      <c r="B84" s="29" t="s">
        <v>4</v>
      </c>
      <c r="C84" s="70">
        <v>0</v>
      </c>
      <c r="D84" s="39"/>
      <c r="E84" s="63"/>
    </row>
    <row r="85" spans="1:10" s="73" customFormat="1" hidden="1" x14ac:dyDescent="0.3">
      <c r="A85" s="29" t="s">
        <v>123</v>
      </c>
      <c r="B85" s="29" t="s">
        <v>31</v>
      </c>
      <c r="C85" s="70">
        <v>0</v>
      </c>
      <c r="D85" s="39"/>
      <c r="E85" s="63"/>
    </row>
    <row r="86" spans="1:10" s="73" customFormat="1" x14ac:dyDescent="0.3">
      <c r="A86" s="29" t="s">
        <v>37</v>
      </c>
      <c r="B86" s="29" t="s">
        <v>4</v>
      </c>
      <c r="C86" s="39">
        <v>16</v>
      </c>
      <c r="D86" s="39">
        <f>VLOOKUP(A86,'10.11'!A86:D253,4,)</f>
        <v>10000</v>
      </c>
      <c r="E86" s="39">
        <f>+D86*C86</f>
        <v>160000</v>
      </c>
    </row>
    <row r="87" spans="1:10" s="73" customFormat="1" hidden="1" x14ac:dyDescent="0.3">
      <c r="A87" s="29" t="s">
        <v>37</v>
      </c>
      <c r="B87" s="29" t="s">
        <v>150</v>
      </c>
      <c r="C87" s="70">
        <v>0</v>
      </c>
      <c r="D87" s="39"/>
      <c r="E87" s="63"/>
    </row>
    <row r="88" spans="1:10" s="73" customFormat="1" hidden="1" x14ac:dyDescent="0.3">
      <c r="A88" s="29" t="s">
        <v>37</v>
      </c>
      <c r="B88" s="29" t="s">
        <v>151</v>
      </c>
      <c r="C88" s="70">
        <v>0</v>
      </c>
      <c r="D88" s="39"/>
      <c r="E88" s="63"/>
    </row>
    <row r="89" spans="1:10" s="73" customFormat="1" hidden="1" x14ac:dyDescent="0.3">
      <c r="A89" s="29" t="s">
        <v>96</v>
      </c>
      <c r="B89" s="29" t="s">
        <v>4</v>
      </c>
      <c r="C89" s="70">
        <v>0</v>
      </c>
      <c r="D89" s="39"/>
      <c r="E89" s="63"/>
    </row>
    <row r="90" spans="1:10" s="73" customFormat="1" hidden="1" x14ac:dyDescent="0.3">
      <c r="A90" s="29" t="s">
        <v>96</v>
      </c>
      <c r="B90" s="29" t="s">
        <v>50</v>
      </c>
      <c r="C90" s="70">
        <v>0</v>
      </c>
      <c r="D90" s="39"/>
      <c r="E90" s="63"/>
    </row>
    <row r="91" spans="1:10" s="73" customFormat="1" hidden="1" x14ac:dyDescent="0.3">
      <c r="A91" s="29" t="s">
        <v>97</v>
      </c>
      <c r="B91" s="29" t="s">
        <v>4</v>
      </c>
      <c r="C91" s="70">
        <v>0</v>
      </c>
      <c r="D91" s="39"/>
      <c r="E91" s="63"/>
    </row>
    <row r="92" spans="1:10" s="73" customFormat="1" hidden="1" x14ac:dyDescent="0.3">
      <c r="A92" s="29" t="s">
        <v>105</v>
      </c>
      <c r="B92" s="29" t="s">
        <v>4</v>
      </c>
      <c r="C92" s="70">
        <v>0</v>
      </c>
      <c r="D92" s="39"/>
      <c r="E92" s="63"/>
    </row>
    <row r="93" spans="1:10" s="73" customFormat="1" hidden="1" x14ac:dyDescent="0.3">
      <c r="A93" s="29" t="s">
        <v>113</v>
      </c>
      <c r="B93" s="29" t="s">
        <v>31</v>
      </c>
      <c r="C93" s="70">
        <v>0</v>
      </c>
      <c r="D93" s="39"/>
      <c r="E93" s="63"/>
    </row>
    <row r="94" spans="1:10" s="73" customFormat="1" x14ac:dyDescent="0.3">
      <c r="A94" s="29" t="s">
        <v>39</v>
      </c>
      <c r="B94" s="29" t="s">
        <v>4</v>
      </c>
      <c r="C94" s="39">
        <v>35</v>
      </c>
      <c r="D94" s="39">
        <v>12000</v>
      </c>
      <c r="E94" s="39">
        <f t="shared" ref="E94:E95" si="4">+D94*C94</f>
        <v>420000</v>
      </c>
    </row>
    <row r="95" spans="1:10" s="73" customFormat="1" x14ac:dyDescent="0.3">
      <c r="A95" s="29" t="s">
        <v>39</v>
      </c>
      <c r="B95" s="29" t="s">
        <v>50</v>
      </c>
      <c r="C95" s="39">
        <v>530</v>
      </c>
      <c r="D95" s="39">
        <v>6000</v>
      </c>
      <c r="E95" s="39">
        <f t="shared" si="4"/>
        <v>3180000</v>
      </c>
    </row>
    <row r="96" spans="1:10" s="73" customFormat="1" hidden="1" x14ac:dyDescent="0.3">
      <c r="A96" s="29" t="s">
        <v>99</v>
      </c>
      <c r="B96" s="29" t="s">
        <v>4</v>
      </c>
      <c r="C96" s="70">
        <v>0</v>
      </c>
      <c r="D96" s="39"/>
      <c r="E96" s="63"/>
    </row>
    <row r="97" spans="1:6" s="73" customFormat="1" hidden="1" x14ac:dyDescent="0.3">
      <c r="A97" s="29" t="s">
        <v>99</v>
      </c>
      <c r="B97" s="29" t="s">
        <v>31</v>
      </c>
      <c r="C97" s="70">
        <v>0</v>
      </c>
      <c r="D97" s="39"/>
      <c r="E97" s="63"/>
    </row>
    <row r="98" spans="1:6" s="73" customFormat="1" x14ac:dyDescent="0.3">
      <c r="A98" s="29" t="s">
        <v>100</v>
      </c>
      <c r="B98" s="29" t="s">
        <v>4</v>
      </c>
      <c r="C98" s="39">
        <v>12</v>
      </c>
      <c r="D98" s="39">
        <f>VLOOKUP(A98,'10.11'!A98:D265,4,)</f>
        <v>9000</v>
      </c>
      <c r="E98" s="39">
        <f>+D98*C98</f>
        <v>108000</v>
      </c>
    </row>
    <row r="99" spans="1:6" s="73" customFormat="1" hidden="1" x14ac:dyDescent="0.3">
      <c r="A99" s="29" t="s">
        <v>40</v>
      </c>
      <c r="B99" s="29" t="s">
        <v>66</v>
      </c>
      <c r="C99" s="70">
        <v>0</v>
      </c>
      <c r="D99" s="39"/>
      <c r="E99" s="63"/>
    </row>
    <row r="100" spans="1:6" s="73" customFormat="1" hidden="1" x14ac:dyDescent="0.3">
      <c r="A100" s="29" t="s">
        <v>40</v>
      </c>
      <c r="B100" s="29" t="s">
        <v>4</v>
      </c>
      <c r="C100" s="70">
        <v>0</v>
      </c>
      <c r="D100" s="39"/>
      <c r="E100" s="63"/>
    </row>
    <row r="101" spans="1:6" s="73" customFormat="1" x14ac:dyDescent="0.3">
      <c r="A101" s="29" t="s">
        <v>41</v>
      </c>
      <c r="B101" s="29" t="s">
        <v>4</v>
      </c>
      <c r="C101" s="39">
        <v>1600</v>
      </c>
      <c r="D101" s="39">
        <f>VLOOKUP(A101,'10.11'!A101:D268,4,)</f>
        <v>28600</v>
      </c>
      <c r="E101" s="39">
        <f>+D101*C101</f>
        <v>45760000</v>
      </c>
      <c r="F101" s="73" t="s">
        <v>196</v>
      </c>
    </row>
    <row r="102" spans="1:6" s="73" customFormat="1" hidden="1" x14ac:dyDescent="0.3">
      <c r="A102" s="29" t="s">
        <v>124</v>
      </c>
      <c r="B102" s="29" t="s">
        <v>4</v>
      </c>
      <c r="C102" s="70">
        <v>0</v>
      </c>
      <c r="D102" s="39"/>
      <c r="E102" s="63"/>
    </row>
    <row r="103" spans="1:6" s="73" customFormat="1" hidden="1" x14ac:dyDescent="0.3">
      <c r="A103" s="29" t="s">
        <v>121</v>
      </c>
      <c r="B103" s="29" t="s">
        <v>53</v>
      </c>
      <c r="C103" s="70">
        <v>0</v>
      </c>
      <c r="D103" s="39"/>
      <c r="E103" s="63"/>
    </row>
    <row r="104" spans="1:6" s="73" customFormat="1" hidden="1" x14ac:dyDescent="0.3">
      <c r="A104" s="29" t="s">
        <v>121</v>
      </c>
      <c r="B104" s="29" t="s">
        <v>4</v>
      </c>
      <c r="C104" s="70">
        <v>0</v>
      </c>
      <c r="D104" s="39"/>
      <c r="E104" s="63"/>
    </row>
    <row r="105" spans="1:6" s="73" customFormat="1" hidden="1" x14ac:dyDescent="0.3">
      <c r="A105" s="29" t="s">
        <v>126</v>
      </c>
      <c r="B105" s="29" t="s">
        <v>73</v>
      </c>
      <c r="C105" s="70">
        <v>0</v>
      </c>
      <c r="D105" s="39"/>
      <c r="E105" s="63"/>
    </row>
    <row r="106" spans="1:6" s="73" customFormat="1" hidden="1" x14ac:dyDescent="0.3">
      <c r="A106" s="29" t="s">
        <v>69</v>
      </c>
      <c r="B106" s="29" t="s">
        <v>31</v>
      </c>
      <c r="C106" s="70">
        <v>0</v>
      </c>
      <c r="D106" s="39"/>
      <c r="E106" s="63"/>
    </row>
    <row r="107" spans="1:6" s="73" customFormat="1" hidden="1" x14ac:dyDescent="0.3">
      <c r="A107" s="29" t="s">
        <v>42</v>
      </c>
      <c r="B107" s="29" t="s">
        <v>4</v>
      </c>
      <c r="C107" s="70">
        <v>0</v>
      </c>
      <c r="D107" s="39"/>
      <c r="E107" s="63"/>
    </row>
    <row r="108" spans="1:6" s="73" customFormat="1" hidden="1" x14ac:dyDescent="0.3">
      <c r="A108" s="29" t="s">
        <v>42</v>
      </c>
      <c r="B108" s="29" t="s">
        <v>31</v>
      </c>
      <c r="C108" s="70">
        <v>0</v>
      </c>
      <c r="D108" s="39"/>
      <c r="E108" s="63"/>
    </row>
    <row r="109" spans="1:6" s="73" customFormat="1" x14ac:dyDescent="0.3">
      <c r="A109" s="29" t="s">
        <v>67</v>
      </c>
      <c r="B109" s="29" t="s">
        <v>4</v>
      </c>
      <c r="C109" s="39">
        <v>13</v>
      </c>
      <c r="D109" s="39">
        <v>1400</v>
      </c>
      <c r="E109" s="39">
        <f>+D109*C109</f>
        <v>18200</v>
      </c>
    </row>
    <row r="110" spans="1:6" s="73" customFormat="1" hidden="1" x14ac:dyDescent="0.3">
      <c r="A110" s="29" t="s">
        <v>141</v>
      </c>
      <c r="B110" s="29" t="s">
        <v>31</v>
      </c>
      <c r="C110" s="70">
        <v>0</v>
      </c>
      <c r="D110" s="39"/>
      <c r="E110" s="63"/>
    </row>
    <row r="111" spans="1:6" s="73" customFormat="1" hidden="1" x14ac:dyDescent="0.3">
      <c r="A111" s="29" t="s">
        <v>68</v>
      </c>
      <c r="B111" s="29" t="s">
        <v>31</v>
      </c>
      <c r="C111" s="70">
        <v>0</v>
      </c>
      <c r="D111" s="39"/>
      <c r="E111" s="63"/>
    </row>
    <row r="112" spans="1:6" s="73" customFormat="1" hidden="1" x14ac:dyDescent="0.3">
      <c r="A112" s="29" t="s">
        <v>70</v>
      </c>
      <c r="B112" s="29" t="s">
        <v>4</v>
      </c>
      <c r="C112" s="70">
        <v>0</v>
      </c>
      <c r="D112" s="39"/>
      <c r="E112" s="63"/>
    </row>
    <row r="113" spans="1:5" s="73" customFormat="1" hidden="1" x14ac:dyDescent="0.3">
      <c r="A113" s="29" t="s">
        <v>70</v>
      </c>
      <c r="B113" s="29" t="s">
        <v>71</v>
      </c>
      <c r="C113" s="70">
        <v>0</v>
      </c>
      <c r="D113" s="39"/>
      <c r="E113" s="63"/>
    </row>
    <row r="114" spans="1:5" s="73" customFormat="1" hidden="1" x14ac:dyDescent="0.3">
      <c r="A114" s="29" t="s">
        <v>125</v>
      </c>
      <c r="B114" s="29" t="s">
        <v>4</v>
      </c>
      <c r="C114" s="70">
        <v>0</v>
      </c>
      <c r="D114" s="39"/>
      <c r="E114" s="63"/>
    </row>
    <row r="115" spans="1:5" s="73" customFormat="1" hidden="1" x14ac:dyDescent="0.3">
      <c r="A115" s="29" t="s">
        <v>114</v>
      </c>
      <c r="B115" s="29" t="s">
        <v>31</v>
      </c>
      <c r="C115" s="70">
        <v>0</v>
      </c>
      <c r="D115" s="39"/>
      <c r="E115" s="63"/>
    </row>
    <row r="116" spans="1:5" s="73" customFormat="1" hidden="1" x14ac:dyDescent="0.3">
      <c r="A116" s="29" t="s">
        <v>116</v>
      </c>
      <c r="B116" s="29" t="s">
        <v>4</v>
      </c>
      <c r="C116" s="70">
        <v>0</v>
      </c>
      <c r="D116" s="39"/>
      <c r="E116" s="63"/>
    </row>
    <row r="117" spans="1:5" s="73" customFormat="1" hidden="1" x14ac:dyDescent="0.3">
      <c r="A117" s="29" t="s">
        <v>116</v>
      </c>
      <c r="B117" s="29" t="s">
        <v>50</v>
      </c>
      <c r="C117" s="70">
        <v>0</v>
      </c>
      <c r="D117" s="39"/>
      <c r="E117" s="63"/>
    </row>
    <row r="118" spans="1:5" s="73" customFormat="1" hidden="1" x14ac:dyDescent="0.3">
      <c r="A118" s="29" t="s">
        <v>101</v>
      </c>
      <c r="B118" s="29" t="s">
        <v>53</v>
      </c>
      <c r="C118" s="70">
        <v>0</v>
      </c>
      <c r="D118" s="39"/>
      <c r="E118" s="63"/>
    </row>
    <row r="119" spans="1:5" s="73" customFormat="1" hidden="1" x14ac:dyDescent="0.3">
      <c r="A119" s="29" t="s">
        <v>101</v>
      </c>
      <c r="B119" s="29" t="s">
        <v>4</v>
      </c>
      <c r="C119" s="70">
        <v>0</v>
      </c>
      <c r="D119" s="39"/>
      <c r="E119" s="63"/>
    </row>
    <row r="120" spans="1:5" s="73" customFormat="1" x14ac:dyDescent="0.3">
      <c r="A120" s="29" t="s">
        <v>43</v>
      </c>
      <c r="B120" s="29" t="s">
        <v>4</v>
      </c>
      <c r="C120" s="39">
        <v>80</v>
      </c>
      <c r="D120" s="39">
        <f>VLOOKUP(A120,'10.11'!A120:D287,4,)</f>
        <v>42000</v>
      </c>
      <c r="E120" s="39">
        <f>+D120*C120</f>
        <v>3360000</v>
      </c>
    </row>
    <row r="121" spans="1:5" s="73" customFormat="1" hidden="1" x14ac:dyDescent="0.3">
      <c r="A121" s="29" t="s">
        <v>43</v>
      </c>
      <c r="B121" s="29" t="s">
        <v>84</v>
      </c>
      <c r="C121" s="70">
        <v>0</v>
      </c>
      <c r="D121" s="39"/>
      <c r="E121" s="63"/>
    </row>
    <row r="122" spans="1:5" s="73" customFormat="1" x14ac:dyDescent="0.3">
      <c r="A122" s="29" t="s">
        <v>136</v>
      </c>
      <c r="B122" s="29" t="s">
        <v>4</v>
      </c>
      <c r="C122" s="39">
        <v>20</v>
      </c>
      <c r="D122" s="39">
        <f>VLOOKUP(A122,'10.11'!A122:D289,4,)</f>
        <v>37000</v>
      </c>
      <c r="E122" s="39">
        <f>+D122*C122</f>
        <v>740000</v>
      </c>
    </row>
    <row r="123" spans="1:5" s="73" customFormat="1" hidden="1" x14ac:dyDescent="0.3">
      <c r="A123" s="29" t="s">
        <v>102</v>
      </c>
      <c r="B123" s="29" t="s">
        <v>53</v>
      </c>
      <c r="C123" s="70">
        <v>0</v>
      </c>
      <c r="D123" s="39"/>
      <c r="E123" s="63"/>
    </row>
    <row r="124" spans="1:5" s="73" customFormat="1" hidden="1" x14ac:dyDescent="0.3">
      <c r="A124" s="29" t="s">
        <v>102</v>
      </c>
      <c r="B124" s="29" t="s">
        <v>4</v>
      </c>
      <c r="C124" s="70">
        <v>0</v>
      </c>
      <c r="D124" s="39"/>
      <c r="E124" s="63"/>
    </row>
    <row r="125" spans="1:5" s="73" customFormat="1" x14ac:dyDescent="0.3">
      <c r="A125" s="29" t="s">
        <v>44</v>
      </c>
      <c r="B125" s="29" t="s">
        <v>4</v>
      </c>
      <c r="C125" s="39">
        <v>90</v>
      </c>
      <c r="D125" s="39">
        <f>VLOOKUP(A125,'10.11'!A125:D292,4,)</f>
        <v>22000</v>
      </c>
      <c r="E125" s="39">
        <f>+D125*C125</f>
        <v>1980000</v>
      </c>
    </row>
    <row r="126" spans="1:5" s="73" customFormat="1" hidden="1" x14ac:dyDescent="0.3">
      <c r="A126" s="29" t="s">
        <v>44</v>
      </c>
      <c r="B126" s="29" t="s">
        <v>84</v>
      </c>
      <c r="C126" s="70">
        <v>0</v>
      </c>
      <c r="D126" s="39"/>
      <c r="E126" s="63"/>
    </row>
    <row r="127" spans="1:5" s="73" customFormat="1" x14ac:dyDescent="0.3">
      <c r="A127" s="29" t="s">
        <v>45</v>
      </c>
      <c r="B127" s="29" t="s">
        <v>4</v>
      </c>
      <c r="C127" s="39">
        <v>40</v>
      </c>
      <c r="D127" s="39">
        <f>VLOOKUP(A127,'10.11'!A127:D294,4,)</f>
        <v>30000</v>
      </c>
      <c r="E127" s="39">
        <f>+D127*C127</f>
        <v>1200000</v>
      </c>
    </row>
    <row r="128" spans="1:5" s="73" customFormat="1" hidden="1" x14ac:dyDescent="0.3">
      <c r="A128" s="29" t="s">
        <v>45</v>
      </c>
      <c r="B128" s="29" t="s">
        <v>84</v>
      </c>
      <c r="C128" s="70">
        <v>0</v>
      </c>
      <c r="D128" s="39"/>
      <c r="E128" s="63"/>
    </row>
    <row r="129" spans="1:5" s="73" customFormat="1" x14ac:dyDescent="0.3">
      <c r="A129" s="29" t="s">
        <v>161</v>
      </c>
      <c r="B129" s="29" t="s">
        <v>4</v>
      </c>
      <c r="C129" s="39">
        <v>26</v>
      </c>
      <c r="D129" s="39">
        <f>VLOOKUP(A129,'10.11'!A129:D296,4,)</f>
        <v>25000</v>
      </c>
      <c r="E129" s="39">
        <f>+D129*C129</f>
        <v>650000</v>
      </c>
    </row>
    <row r="130" spans="1:5" s="73" customFormat="1" hidden="1" x14ac:dyDescent="0.3">
      <c r="A130" s="29" t="s">
        <v>46</v>
      </c>
      <c r="B130" s="29" t="s">
        <v>4</v>
      </c>
      <c r="C130" s="70">
        <v>0</v>
      </c>
      <c r="D130" s="39"/>
      <c r="E130" s="63"/>
    </row>
    <row r="131" spans="1:5" s="73" customFormat="1" hidden="1" x14ac:dyDescent="0.3">
      <c r="A131" s="29" t="s">
        <v>46</v>
      </c>
      <c r="B131" s="29" t="s">
        <v>31</v>
      </c>
      <c r="C131" s="70">
        <v>0</v>
      </c>
      <c r="D131" s="39"/>
      <c r="E131" s="63"/>
    </row>
    <row r="132" spans="1:5" s="73" customFormat="1" x14ac:dyDescent="0.3">
      <c r="A132" s="29" t="s">
        <v>124</v>
      </c>
      <c r="B132" s="29" t="s">
        <v>4</v>
      </c>
      <c r="C132" s="39">
        <v>15</v>
      </c>
      <c r="D132" s="39">
        <v>28000</v>
      </c>
      <c r="E132" s="39">
        <f>+D132*C132</f>
        <v>420000</v>
      </c>
    </row>
    <row r="133" spans="1:5" s="73" customFormat="1" x14ac:dyDescent="0.3">
      <c r="A133" s="29" t="s">
        <v>133</v>
      </c>
      <c r="B133" s="29" t="s">
        <v>31</v>
      </c>
      <c r="C133" s="39">
        <v>12</v>
      </c>
      <c r="D133" s="39">
        <f>VLOOKUP(A133,'10.11'!A132:D299,4,)</f>
        <v>5300</v>
      </c>
      <c r="E133" s="39">
        <f>+D133*C133</f>
        <v>63600</v>
      </c>
    </row>
    <row r="134" spans="1:5" s="73" customFormat="1" hidden="1" x14ac:dyDescent="0.3">
      <c r="A134" s="29" t="s">
        <v>72</v>
      </c>
      <c r="B134" s="29" t="s">
        <v>4</v>
      </c>
      <c r="C134" s="70">
        <v>0</v>
      </c>
      <c r="D134" s="39"/>
      <c r="E134" s="63"/>
    </row>
    <row r="135" spans="1:5" s="73" customFormat="1" hidden="1" x14ac:dyDescent="0.3">
      <c r="A135" s="29" t="s">
        <v>72</v>
      </c>
      <c r="B135" s="29" t="s">
        <v>73</v>
      </c>
      <c r="C135" s="70">
        <v>0</v>
      </c>
      <c r="D135" s="39"/>
      <c r="E135" s="63"/>
    </row>
    <row r="136" spans="1:5" s="73" customFormat="1" hidden="1" x14ac:dyDescent="0.3">
      <c r="A136" s="29" t="s">
        <v>119</v>
      </c>
      <c r="B136" s="29" t="s">
        <v>31</v>
      </c>
      <c r="C136" s="70">
        <v>0</v>
      </c>
      <c r="D136" s="39"/>
      <c r="E136" s="63"/>
    </row>
    <row r="137" spans="1:5" s="73" customFormat="1" hidden="1" x14ac:dyDescent="0.3">
      <c r="A137" s="29" t="s">
        <v>115</v>
      </c>
      <c r="B137" s="29" t="s">
        <v>50</v>
      </c>
      <c r="C137" s="70">
        <v>0</v>
      </c>
      <c r="D137" s="39"/>
      <c r="E137" s="63"/>
    </row>
    <row r="138" spans="1:5" s="73" customFormat="1" hidden="1" x14ac:dyDescent="0.3">
      <c r="A138" s="29" t="s">
        <v>104</v>
      </c>
      <c r="B138" s="29" t="s">
        <v>4</v>
      </c>
      <c r="C138" s="70">
        <v>0</v>
      </c>
      <c r="D138" s="39"/>
      <c r="E138" s="63"/>
    </row>
    <row r="139" spans="1:5" s="73" customFormat="1" hidden="1" x14ac:dyDescent="0.3">
      <c r="A139" s="29" t="s">
        <v>104</v>
      </c>
      <c r="B139" s="29" t="s">
        <v>84</v>
      </c>
      <c r="C139" s="70">
        <v>0</v>
      </c>
      <c r="D139" s="39"/>
      <c r="E139" s="63"/>
    </row>
    <row r="140" spans="1:5" s="73" customFormat="1" hidden="1" x14ac:dyDescent="0.3">
      <c r="A140" s="29" t="s">
        <v>160</v>
      </c>
      <c r="B140" s="29" t="s">
        <v>50</v>
      </c>
      <c r="C140" s="70">
        <v>0</v>
      </c>
      <c r="D140" s="39"/>
      <c r="E140" s="63"/>
    </row>
    <row r="141" spans="1:5" s="73" customFormat="1" hidden="1" x14ac:dyDescent="0.3">
      <c r="A141" s="29" t="s">
        <v>107</v>
      </c>
      <c r="B141" s="29" t="s">
        <v>4</v>
      </c>
      <c r="C141" s="70">
        <v>0</v>
      </c>
      <c r="D141" s="39"/>
      <c r="E141" s="63"/>
    </row>
    <row r="142" spans="1:5" s="73" customFormat="1" hidden="1" x14ac:dyDescent="0.3">
      <c r="A142" s="29" t="s">
        <v>109</v>
      </c>
      <c r="B142" s="29" t="s">
        <v>53</v>
      </c>
      <c r="C142" s="70">
        <v>0</v>
      </c>
      <c r="D142" s="39"/>
      <c r="E142" s="63"/>
    </row>
    <row r="143" spans="1:5" s="73" customFormat="1" hidden="1" x14ac:dyDescent="0.3">
      <c r="A143" s="29" t="s">
        <v>110</v>
      </c>
      <c r="B143" s="29" t="s">
        <v>4</v>
      </c>
      <c r="C143" s="70">
        <v>0</v>
      </c>
      <c r="D143" s="39"/>
      <c r="E143" s="63"/>
    </row>
    <row r="144" spans="1:5" s="73" customFormat="1" hidden="1" x14ac:dyDescent="0.3">
      <c r="A144" s="29" t="s">
        <v>47</v>
      </c>
      <c r="B144" s="29" t="s">
        <v>4</v>
      </c>
      <c r="C144" s="70">
        <v>0</v>
      </c>
      <c r="D144" s="39"/>
      <c r="E144" s="63"/>
    </row>
    <row r="145" spans="1:10" s="73" customFormat="1" hidden="1" x14ac:dyDescent="0.3">
      <c r="A145" s="29" t="s">
        <v>158</v>
      </c>
      <c r="B145" s="29" t="s">
        <v>4</v>
      </c>
      <c r="C145" s="70">
        <v>0</v>
      </c>
      <c r="D145" s="39"/>
      <c r="E145" s="63"/>
    </row>
    <row r="146" spans="1:10" s="73" customFormat="1" hidden="1" x14ac:dyDescent="0.3">
      <c r="A146" s="29" t="s">
        <v>158</v>
      </c>
      <c r="B146" s="29" t="s">
        <v>31</v>
      </c>
      <c r="C146" s="70">
        <v>0</v>
      </c>
      <c r="D146" s="39"/>
      <c r="E146" s="63"/>
    </row>
    <row r="147" spans="1:10" s="73" customFormat="1" hidden="1" x14ac:dyDescent="0.3">
      <c r="A147" s="29" t="s">
        <v>74</v>
      </c>
      <c r="B147" s="29" t="s">
        <v>4</v>
      </c>
      <c r="C147" s="70">
        <v>0</v>
      </c>
      <c r="D147" s="39"/>
      <c r="E147" s="63"/>
    </row>
    <row r="148" spans="1:10" s="73" customFormat="1" hidden="1" x14ac:dyDescent="0.3">
      <c r="A148" s="29" t="s">
        <v>74</v>
      </c>
      <c r="B148" s="29" t="s">
        <v>31</v>
      </c>
      <c r="C148" s="70">
        <v>0</v>
      </c>
      <c r="D148" s="39"/>
      <c r="E148" s="63"/>
    </row>
    <row r="149" spans="1:10" s="73" customFormat="1" hidden="1" x14ac:dyDescent="0.3">
      <c r="A149" s="29" t="s">
        <v>75</v>
      </c>
      <c r="B149" s="29" t="s">
        <v>4</v>
      </c>
      <c r="C149" s="70">
        <v>0</v>
      </c>
      <c r="D149" s="74"/>
      <c r="E149" s="75"/>
      <c r="F149" s="31"/>
      <c r="G149" s="31"/>
      <c r="H149" s="31"/>
      <c r="I149" s="31"/>
      <c r="J149" s="31"/>
    </row>
    <row r="150" spans="1:10" s="73" customFormat="1" hidden="1" x14ac:dyDescent="0.3">
      <c r="A150" s="29" t="s">
        <v>76</v>
      </c>
      <c r="B150" s="29" t="s">
        <v>66</v>
      </c>
      <c r="C150" s="70">
        <v>0</v>
      </c>
      <c r="D150" s="39"/>
      <c r="E150" s="63"/>
    </row>
    <row r="151" spans="1:10" s="73" customFormat="1" hidden="1" x14ac:dyDescent="0.3">
      <c r="A151" s="29" t="s">
        <v>83</v>
      </c>
      <c r="B151" s="29" t="s">
        <v>4</v>
      </c>
      <c r="C151" s="70">
        <v>0</v>
      </c>
      <c r="D151" s="39"/>
      <c r="E151" s="63"/>
    </row>
    <row r="152" spans="1:10" s="73" customFormat="1" hidden="1" x14ac:dyDescent="0.3">
      <c r="A152" s="29" t="s">
        <v>48</v>
      </c>
      <c r="B152" s="29" t="s">
        <v>4</v>
      </c>
      <c r="C152" s="70">
        <v>0</v>
      </c>
      <c r="D152" s="39"/>
      <c r="E152" s="63"/>
    </row>
    <row r="153" spans="1:10" s="73" customFormat="1" hidden="1" x14ac:dyDescent="0.3">
      <c r="A153" s="29" t="s">
        <v>77</v>
      </c>
      <c r="B153" s="29" t="s">
        <v>66</v>
      </c>
      <c r="C153" s="70">
        <v>0</v>
      </c>
      <c r="D153" s="39"/>
      <c r="E153" s="63"/>
    </row>
    <row r="154" spans="1:10" s="73" customFormat="1" hidden="1" x14ac:dyDescent="0.3">
      <c r="A154" s="29" t="s">
        <v>78</v>
      </c>
      <c r="B154" s="29" t="s">
        <v>4</v>
      </c>
      <c r="C154" s="70">
        <v>0</v>
      </c>
      <c r="D154" s="39"/>
      <c r="E154" s="63"/>
    </row>
    <row r="155" spans="1:10" s="73" customFormat="1" hidden="1" x14ac:dyDescent="0.3">
      <c r="A155" s="29" t="s">
        <v>79</v>
      </c>
      <c r="B155" s="29" t="s">
        <v>4</v>
      </c>
      <c r="C155" s="70">
        <v>0</v>
      </c>
      <c r="D155" s="39"/>
      <c r="E155" s="63"/>
    </row>
    <row r="156" spans="1:10" s="73" customFormat="1" hidden="1" x14ac:dyDescent="0.3">
      <c r="A156" s="29" t="s">
        <v>79</v>
      </c>
      <c r="B156" s="29" t="s">
        <v>31</v>
      </c>
      <c r="C156" s="70">
        <v>0</v>
      </c>
      <c r="D156" s="39"/>
      <c r="E156" s="63"/>
    </row>
    <row r="157" spans="1:10" s="73" customFormat="1" hidden="1" x14ac:dyDescent="0.3">
      <c r="A157" s="29" t="s">
        <v>80</v>
      </c>
      <c r="B157" s="29" t="s">
        <v>4</v>
      </c>
      <c r="C157" s="70">
        <v>0</v>
      </c>
      <c r="D157" s="39"/>
      <c r="E157" s="63"/>
    </row>
    <row r="158" spans="1:10" s="73" customFormat="1" hidden="1" x14ac:dyDescent="0.3">
      <c r="A158" s="29" t="s">
        <v>80</v>
      </c>
      <c r="B158" s="29" t="s">
        <v>31</v>
      </c>
      <c r="C158" s="70">
        <v>0</v>
      </c>
      <c r="D158" s="39"/>
      <c r="E158" s="63"/>
    </row>
    <row r="159" spans="1:10" s="73" customFormat="1" hidden="1" x14ac:dyDescent="0.3">
      <c r="A159" s="29" t="s">
        <v>81</v>
      </c>
      <c r="B159" s="29" t="s">
        <v>4</v>
      </c>
      <c r="C159" s="70">
        <v>0</v>
      </c>
      <c r="D159" s="39"/>
      <c r="E159" s="63"/>
    </row>
    <row r="160" spans="1:10" s="73" customFormat="1" hidden="1" x14ac:dyDescent="0.3">
      <c r="A160" s="29" t="s">
        <v>82</v>
      </c>
      <c r="B160" s="29" t="s">
        <v>66</v>
      </c>
      <c r="C160" s="70">
        <v>0</v>
      </c>
      <c r="D160" s="39"/>
      <c r="E160" s="63"/>
    </row>
    <row r="161" spans="1:5" s="73" customFormat="1" x14ac:dyDescent="0.3">
      <c r="A161" s="34" t="s">
        <v>179</v>
      </c>
      <c r="B161" s="34">
        <v>0</v>
      </c>
      <c r="C161" s="40">
        <v>10323.5</v>
      </c>
      <c r="D161" s="40"/>
      <c r="E161" s="71">
        <f>SUBTOTAL(9,E2:E133)</f>
        <v>168821000</v>
      </c>
    </row>
    <row r="162" spans="1:5" ht="31.2" x14ac:dyDescent="0.3">
      <c r="A162" s="32" t="s">
        <v>0</v>
      </c>
      <c r="B162" s="32" t="s">
        <v>1</v>
      </c>
      <c r="C162" s="33" t="s">
        <v>2</v>
      </c>
      <c r="D162" s="33" t="s">
        <v>177</v>
      </c>
      <c r="E162" s="33" t="s">
        <v>178</v>
      </c>
    </row>
    <row r="163" spans="1:5" hidden="1" x14ac:dyDescent="0.3">
      <c r="A163" s="29" t="s">
        <v>3</v>
      </c>
      <c r="B163" s="29" t="s">
        <v>4</v>
      </c>
      <c r="C163" s="63"/>
      <c r="D163" s="75"/>
      <c r="E163" s="75"/>
    </row>
    <row r="164" spans="1:5" hidden="1" x14ac:dyDescent="0.3">
      <c r="A164" s="29" t="s">
        <v>5</v>
      </c>
      <c r="B164" s="29" t="s">
        <v>4</v>
      </c>
      <c r="C164" s="63"/>
      <c r="D164" s="75"/>
      <c r="E164" s="75"/>
    </row>
    <row r="165" spans="1:5" x14ac:dyDescent="0.3">
      <c r="A165" s="29" t="s">
        <v>6</v>
      </c>
      <c r="B165" s="29" t="s">
        <v>4</v>
      </c>
      <c r="C165" s="39">
        <v>60</v>
      </c>
      <c r="D165" s="41">
        <f>VLOOKUP(A165,'10.11'!A174:D210,4,)</f>
        <v>11000</v>
      </c>
      <c r="E165" s="41">
        <f>+D165*C165</f>
        <v>660000</v>
      </c>
    </row>
    <row r="166" spans="1:5" x14ac:dyDescent="0.3">
      <c r="A166" s="29" t="s">
        <v>7</v>
      </c>
      <c r="B166" s="29" t="s">
        <v>4</v>
      </c>
      <c r="C166" s="39">
        <v>20</v>
      </c>
      <c r="D166" s="41">
        <f>VLOOKUP(A166,'10.11'!A175:D211,4,)</f>
        <v>10000</v>
      </c>
      <c r="E166" s="41">
        <f t="shared" ref="E166:E167" si="5">+D166*C166</f>
        <v>200000</v>
      </c>
    </row>
    <row r="167" spans="1:5" x14ac:dyDescent="0.3">
      <c r="A167" s="29" t="s">
        <v>8</v>
      </c>
      <c r="B167" s="29" t="s">
        <v>4</v>
      </c>
      <c r="C167" s="39">
        <v>1000</v>
      </c>
      <c r="D167" s="41">
        <f>VLOOKUP(A167,'10.11'!A176:D212,4,)</f>
        <v>5200</v>
      </c>
      <c r="E167" s="41">
        <f t="shared" si="5"/>
        <v>5200000</v>
      </c>
    </row>
    <row r="168" spans="1:5" hidden="1" x14ac:dyDescent="0.3">
      <c r="A168" s="29" t="s">
        <v>9</v>
      </c>
      <c r="B168" s="29" t="s">
        <v>4</v>
      </c>
      <c r="C168" s="63"/>
      <c r="D168" s="75"/>
      <c r="E168" s="75"/>
    </row>
    <row r="169" spans="1:5" x14ac:dyDescent="0.3">
      <c r="A169" s="29" t="s">
        <v>10</v>
      </c>
      <c r="B169" s="29" t="s">
        <v>4</v>
      </c>
      <c r="C169" s="39">
        <v>50</v>
      </c>
      <c r="D169" s="41">
        <f>VLOOKUP(A169,'10.11'!A178:D214,4,)</f>
        <v>23000</v>
      </c>
      <c r="E169" s="41">
        <f>+D169*C169</f>
        <v>1150000</v>
      </c>
    </row>
    <row r="170" spans="1:5" hidden="1" x14ac:dyDescent="0.3">
      <c r="A170" s="29" t="s">
        <v>12</v>
      </c>
      <c r="B170" s="29" t="s">
        <v>4</v>
      </c>
      <c r="C170" s="63"/>
      <c r="D170" s="75"/>
      <c r="E170" s="75"/>
    </row>
    <row r="171" spans="1:5" hidden="1" x14ac:dyDescent="0.3">
      <c r="A171" s="29" t="s">
        <v>13</v>
      </c>
      <c r="B171" s="29" t="s">
        <v>4</v>
      </c>
      <c r="C171" s="63"/>
      <c r="D171" s="75"/>
      <c r="E171" s="75"/>
    </row>
    <row r="172" spans="1:5" hidden="1" x14ac:dyDescent="0.3">
      <c r="A172" s="29" t="s">
        <v>14</v>
      </c>
      <c r="B172" s="29" t="s">
        <v>4</v>
      </c>
      <c r="C172" s="63"/>
      <c r="D172" s="75"/>
      <c r="E172" s="75"/>
    </row>
    <row r="173" spans="1:5" x14ac:dyDescent="0.3">
      <c r="A173" s="29" t="s">
        <v>15</v>
      </c>
      <c r="B173" s="29" t="s">
        <v>4</v>
      </c>
      <c r="C173" s="39">
        <v>150</v>
      </c>
      <c r="D173" s="41">
        <f>VLOOKUP(A173,'10.11'!A182:D218,4,)</f>
        <v>24000</v>
      </c>
      <c r="E173" s="41">
        <f>+D173*C173</f>
        <v>3600000</v>
      </c>
    </row>
    <row r="174" spans="1:5" hidden="1" x14ac:dyDescent="0.3">
      <c r="A174" s="29" t="s">
        <v>17</v>
      </c>
      <c r="B174" s="29" t="s">
        <v>147</v>
      </c>
      <c r="C174" s="63"/>
      <c r="D174" s="75"/>
      <c r="E174" s="75"/>
    </row>
    <row r="175" spans="1:5" x14ac:dyDescent="0.3">
      <c r="A175" s="29" t="s">
        <v>18</v>
      </c>
      <c r="B175" s="29" t="s">
        <v>4</v>
      </c>
      <c r="C175" s="39">
        <v>160</v>
      </c>
      <c r="D175" s="41">
        <v>17000</v>
      </c>
      <c r="E175" s="41">
        <f t="shared" ref="E175:E176" si="6">+D175*C175</f>
        <v>2720000</v>
      </c>
    </row>
    <row r="176" spans="1:5" x14ac:dyDescent="0.3">
      <c r="A176" s="29" t="s">
        <v>20</v>
      </c>
      <c r="B176" s="29" t="s">
        <v>4</v>
      </c>
      <c r="C176" s="39">
        <v>50</v>
      </c>
      <c r="D176" s="41">
        <v>12000</v>
      </c>
      <c r="E176" s="41">
        <f t="shared" si="6"/>
        <v>600000</v>
      </c>
    </row>
    <row r="177" spans="1:5" hidden="1" x14ac:dyDescent="0.3">
      <c r="A177" s="29" t="s">
        <v>21</v>
      </c>
      <c r="B177" s="29" t="s">
        <v>4</v>
      </c>
      <c r="C177" s="63"/>
      <c r="D177" s="75"/>
      <c r="E177" s="75"/>
    </row>
    <row r="178" spans="1:5" x14ac:dyDescent="0.3">
      <c r="A178" s="29" t="s">
        <v>22</v>
      </c>
      <c r="B178" s="29" t="s">
        <v>4</v>
      </c>
      <c r="C178" s="39">
        <v>400</v>
      </c>
      <c r="D178" s="41">
        <v>7500</v>
      </c>
      <c r="E178" s="41">
        <f>+D178*C178</f>
        <v>3000000</v>
      </c>
    </row>
    <row r="179" spans="1:5" hidden="1" x14ac:dyDescent="0.3">
      <c r="A179" s="29" t="s">
        <v>23</v>
      </c>
      <c r="B179" s="29" t="s">
        <v>4</v>
      </c>
      <c r="C179" s="63"/>
      <c r="D179" s="75"/>
      <c r="E179" s="75"/>
    </row>
    <row r="180" spans="1:5" x14ac:dyDescent="0.3">
      <c r="A180" s="29" t="s">
        <v>145</v>
      </c>
      <c r="B180" s="29" t="s">
        <v>4</v>
      </c>
      <c r="C180" s="39">
        <v>2500</v>
      </c>
      <c r="D180" s="41">
        <v>5500</v>
      </c>
      <c r="E180" s="41">
        <f>+D180*C180</f>
        <v>13750000</v>
      </c>
    </row>
    <row r="181" spans="1:5" hidden="1" x14ac:dyDescent="0.3">
      <c r="A181" s="29" t="s">
        <v>24</v>
      </c>
      <c r="B181" s="29" t="s">
        <v>4</v>
      </c>
      <c r="C181" s="63"/>
      <c r="D181" s="75"/>
      <c r="E181" s="75"/>
    </row>
    <row r="182" spans="1:5" hidden="1" x14ac:dyDescent="0.3">
      <c r="A182" s="29" t="s">
        <v>25</v>
      </c>
      <c r="B182" s="29" t="s">
        <v>4</v>
      </c>
      <c r="C182" s="63"/>
      <c r="D182" s="75"/>
      <c r="E182" s="75"/>
    </row>
    <row r="183" spans="1:5" x14ac:dyDescent="0.3">
      <c r="A183" s="29" t="s">
        <v>26</v>
      </c>
      <c r="B183" s="29" t="s">
        <v>4</v>
      </c>
      <c r="C183" s="39">
        <v>60</v>
      </c>
      <c r="D183" s="41">
        <v>13000</v>
      </c>
      <c r="E183" s="41">
        <f>+D183*C183</f>
        <v>780000</v>
      </c>
    </row>
    <row r="184" spans="1:5" hidden="1" x14ac:dyDescent="0.3">
      <c r="A184" s="29" t="s">
        <v>27</v>
      </c>
      <c r="B184" s="29" t="s">
        <v>4</v>
      </c>
      <c r="C184" s="63"/>
      <c r="D184" s="75"/>
      <c r="E184" s="75"/>
    </row>
    <row r="185" spans="1:5" x14ac:dyDescent="0.3">
      <c r="A185" s="29" t="s">
        <v>28</v>
      </c>
      <c r="B185" s="29" t="s">
        <v>4</v>
      </c>
      <c r="C185" s="39">
        <v>60</v>
      </c>
      <c r="D185" s="41">
        <f>VLOOKUP(A185,'10.11'!A194:D230,4,)</f>
        <v>17000</v>
      </c>
      <c r="E185" s="41">
        <f>+D185*C185</f>
        <v>1020000</v>
      </c>
    </row>
    <row r="186" spans="1:5" hidden="1" x14ac:dyDescent="0.3">
      <c r="A186" s="29" t="s">
        <v>29</v>
      </c>
      <c r="B186" s="29" t="s">
        <v>4</v>
      </c>
      <c r="C186" s="63"/>
      <c r="D186" s="75"/>
      <c r="E186" s="75"/>
    </row>
    <row r="187" spans="1:5" hidden="1" x14ac:dyDescent="0.3">
      <c r="A187" s="29" t="s">
        <v>57</v>
      </c>
      <c r="B187" s="29" t="s">
        <v>31</v>
      </c>
      <c r="C187" s="63"/>
      <c r="D187" s="75"/>
      <c r="E187" s="75"/>
    </row>
    <row r="188" spans="1:5" x14ac:dyDescent="0.3">
      <c r="A188" s="29" t="s">
        <v>32</v>
      </c>
      <c r="B188" s="29" t="s">
        <v>4</v>
      </c>
      <c r="C188" s="39">
        <v>200</v>
      </c>
      <c r="D188" s="41">
        <f>VLOOKUP(A188,'10.11'!A197:D233,4,)</f>
        <v>19000</v>
      </c>
      <c r="E188" s="41">
        <f>+D188*C188</f>
        <v>3800000</v>
      </c>
    </row>
    <row r="189" spans="1:5" hidden="1" x14ac:dyDescent="0.3">
      <c r="A189" s="29" t="s">
        <v>33</v>
      </c>
      <c r="B189" s="29" t="s">
        <v>31</v>
      </c>
      <c r="C189" s="63"/>
      <c r="D189" s="75"/>
      <c r="E189" s="75"/>
    </row>
    <row r="190" spans="1:5" x14ac:dyDescent="0.3">
      <c r="A190" s="29" t="s">
        <v>34</v>
      </c>
      <c r="B190" s="29" t="s">
        <v>4</v>
      </c>
      <c r="C190" s="39">
        <v>100</v>
      </c>
      <c r="D190" s="41">
        <f>VLOOKUP(A190,'10.11'!A199:D235,4,)</f>
        <v>15000</v>
      </c>
      <c r="E190" s="41">
        <f>+D190*C190</f>
        <v>1500000</v>
      </c>
    </row>
    <row r="191" spans="1:5" hidden="1" x14ac:dyDescent="0.3">
      <c r="A191" s="29" t="s">
        <v>34</v>
      </c>
      <c r="B191" s="29" t="s">
        <v>194</v>
      </c>
      <c r="C191" s="63"/>
      <c r="D191" s="75"/>
      <c r="E191" s="75"/>
    </row>
    <row r="192" spans="1:5" hidden="1" x14ac:dyDescent="0.3">
      <c r="A192" s="29" t="s">
        <v>35</v>
      </c>
      <c r="B192" s="29" t="s">
        <v>4</v>
      </c>
      <c r="C192" s="63"/>
      <c r="D192" s="75"/>
      <c r="E192" s="75"/>
    </row>
    <row r="193" spans="1:6" hidden="1" x14ac:dyDescent="0.3">
      <c r="A193" s="29" t="s">
        <v>123</v>
      </c>
      <c r="B193" s="29" t="s">
        <v>31</v>
      </c>
      <c r="C193" s="63"/>
      <c r="D193" s="75"/>
      <c r="E193" s="75"/>
    </row>
    <row r="194" spans="1:6" x14ac:dyDescent="0.3">
      <c r="A194" s="29" t="s">
        <v>37</v>
      </c>
      <c r="B194" s="29" t="s">
        <v>151</v>
      </c>
      <c r="C194" s="39">
        <v>8</v>
      </c>
      <c r="D194" s="41">
        <v>10000</v>
      </c>
      <c r="E194" s="41">
        <f>+D194*C194</f>
        <v>80000</v>
      </c>
    </row>
    <row r="195" spans="1:6" hidden="1" x14ac:dyDescent="0.3">
      <c r="A195" s="29" t="s">
        <v>40</v>
      </c>
      <c r="B195" s="29" t="s">
        <v>4</v>
      </c>
      <c r="C195" s="63"/>
      <c r="D195" s="75"/>
      <c r="E195" s="75"/>
    </row>
    <row r="196" spans="1:6" x14ac:dyDescent="0.3">
      <c r="A196" s="29" t="s">
        <v>41</v>
      </c>
      <c r="B196" s="29" t="s">
        <v>4</v>
      </c>
      <c r="C196" s="39">
        <v>1000</v>
      </c>
      <c r="D196" s="41">
        <f>VLOOKUP(A196,'10.11'!A205:D241,4,)</f>
        <v>28600</v>
      </c>
      <c r="E196" s="41">
        <f>+D196*C196</f>
        <v>28600000</v>
      </c>
      <c r="F196" s="31" t="s">
        <v>195</v>
      </c>
    </row>
    <row r="197" spans="1:6" hidden="1" x14ac:dyDescent="0.3">
      <c r="A197" s="29" t="s">
        <v>124</v>
      </c>
      <c r="B197" s="29" t="s">
        <v>4</v>
      </c>
      <c r="C197" s="63"/>
      <c r="D197" s="75"/>
      <c r="E197" s="75"/>
    </row>
    <row r="198" spans="1:6" x14ac:dyDescent="0.3">
      <c r="A198" s="29" t="s">
        <v>43</v>
      </c>
      <c r="B198" s="29" t="s">
        <v>4</v>
      </c>
      <c r="C198" s="39">
        <v>40</v>
      </c>
      <c r="D198" s="41">
        <f>VLOOKUP(A198,'10.11'!A207:D243,4,)</f>
        <v>42000</v>
      </c>
      <c r="E198" s="41">
        <f t="shared" ref="E198:E200" si="7">+D198*C198</f>
        <v>1680000</v>
      </c>
    </row>
    <row r="199" spans="1:6" x14ac:dyDescent="0.3">
      <c r="A199" s="29" t="s">
        <v>44</v>
      </c>
      <c r="B199" s="29" t="s">
        <v>4</v>
      </c>
      <c r="C199" s="39">
        <v>20</v>
      </c>
      <c r="D199" s="41">
        <f>VLOOKUP(A199,'10.11'!A208:D244,4,)</f>
        <v>22000</v>
      </c>
      <c r="E199" s="41">
        <f t="shared" si="7"/>
        <v>440000</v>
      </c>
    </row>
    <row r="200" spans="1:6" x14ac:dyDescent="0.3">
      <c r="A200" s="29" t="s">
        <v>45</v>
      </c>
      <c r="B200" s="29" t="s">
        <v>4</v>
      </c>
      <c r="C200" s="39">
        <v>20</v>
      </c>
      <c r="D200" s="41">
        <f>VLOOKUP(A200,'10.11'!A209:D245,4,)</f>
        <v>30000</v>
      </c>
      <c r="E200" s="41">
        <f t="shared" si="7"/>
        <v>600000</v>
      </c>
    </row>
    <row r="201" spans="1:6" hidden="1" x14ac:dyDescent="0.3">
      <c r="A201" s="29" t="s">
        <v>47</v>
      </c>
      <c r="B201" s="29" t="s">
        <v>4</v>
      </c>
      <c r="C201" s="63"/>
      <c r="D201" s="75"/>
      <c r="E201" s="75"/>
    </row>
    <row r="202" spans="1:6" x14ac:dyDescent="0.3">
      <c r="A202" s="34" t="s">
        <v>180</v>
      </c>
      <c r="B202" s="34">
        <v>0</v>
      </c>
      <c r="C202" s="40">
        <v>0</v>
      </c>
      <c r="D202" s="76"/>
      <c r="E202" s="67">
        <f>SUBTOTAL(9,E165:E200)</f>
        <v>69380000</v>
      </c>
    </row>
    <row r="203" spans="1:6" x14ac:dyDescent="0.3">
      <c r="E203" s="69">
        <f>+E161+E202</f>
        <v>238201000</v>
      </c>
    </row>
  </sheetData>
  <autoFilter ref="A1:DA202" xr:uid="{00000000-0009-0000-0000-00000A000000}">
    <filterColumn colId="2">
      <filters>
        <filter val="0"/>
        <filter val="10"/>
        <filter val="10,324"/>
        <filter val="100"/>
        <filter val="1000"/>
        <filter val="105"/>
        <filter val="108"/>
        <filter val="12"/>
        <filter val="13"/>
        <filter val="150"/>
        <filter val="16"/>
        <filter val="160"/>
        <filter val="2,100"/>
        <filter val="2,420"/>
        <filter val="20"/>
        <filter val="200"/>
        <filter val="25"/>
        <filter val="2500"/>
        <filter val="26"/>
        <filter val="3"/>
        <filter val="30"/>
        <filter val="35"/>
        <filter val="380"/>
        <filter val="390"/>
        <filter val="4"/>
        <filter val="40"/>
        <filter val="400"/>
        <filter val="5"/>
        <filter val="50"/>
        <filter val="500"/>
        <filter val="530"/>
        <filter val="570"/>
        <filter val="60"/>
        <filter val="65"/>
        <filter val="710"/>
        <filter val="740"/>
        <filter val="8"/>
        <filter val="80"/>
        <filter val="90"/>
        <filter val="950"/>
        <filter val="Tồn_x000a_ĐL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E191"/>
  <sheetViews>
    <sheetView topLeftCell="A143" workbookViewId="0">
      <selection activeCell="E191" sqref="E191"/>
    </sheetView>
  </sheetViews>
  <sheetFormatPr defaultRowHeight="14.4" x14ac:dyDescent="0.3"/>
  <cols>
    <col min="1" max="1" width="29.44140625" customWidth="1"/>
    <col min="4" max="4" width="12.88671875" customWidth="1"/>
    <col min="5" max="5" width="16.88671875" customWidth="1"/>
  </cols>
  <sheetData>
    <row r="1" spans="1:5" ht="41.4" customHeight="1" x14ac:dyDescent="0.3">
      <c r="A1" s="22" t="s">
        <v>197</v>
      </c>
    </row>
    <row r="2" spans="1:5" ht="31.2" customHeight="1" x14ac:dyDescent="0.3">
      <c r="A2" s="22" t="s">
        <v>0</v>
      </c>
      <c r="B2" s="22" t="s">
        <v>1</v>
      </c>
      <c r="C2" s="22" t="s">
        <v>2</v>
      </c>
      <c r="D2" s="22" t="s">
        <v>137</v>
      </c>
      <c r="E2" s="22" t="s">
        <v>138</v>
      </c>
    </row>
    <row r="3" spans="1:5" x14ac:dyDescent="0.3">
      <c r="A3" t="s">
        <v>49</v>
      </c>
      <c r="B3" t="s">
        <v>4</v>
      </c>
      <c r="C3">
        <v>25</v>
      </c>
      <c r="D3">
        <v>15000</v>
      </c>
      <c r="E3">
        <f>C3*D3</f>
        <v>375000</v>
      </c>
    </row>
    <row r="4" spans="1:5" hidden="1" x14ac:dyDescent="0.3">
      <c r="A4" t="s">
        <v>49</v>
      </c>
      <c r="B4" t="s">
        <v>31</v>
      </c>
      <c r="C4">
        <v>0</v>
      </c>
      <c r="E4">
        <f t="shared" ref="E4:E67" si="0">C4*D4</f>
        <v>0</v>
      </c>
    </row>
    <row r="5" spans="1:5" hidden="1" x14ac:dyDescent="0.3">
      <c r="A5" t="s">
        <v>19</v>
      </c>
      <c r="B5" t="s">
        <v>4</v>
      </c>
      <c r="C5">
        <v>0</v>
      </c>
      <c r="E5">
        <f t="shared" si="0"/>
        <v>0</v>
      </c>
    </row>
    <row r="6" spans="1:5" hidden="1" x14ac:dyDescent="0.3">
      <c r="A6" t="s">
        <v>19</v>
      </c>
      <c r="B6" t="s">
        <v>50</v>
      </c>
      <c r="C6">
        <v>0</v>
      </c>
      <c r="E6">
        <f t="shared" si="0"/>
        <v>0</v>
      </c>
    </row>
    <row r="7" spans="1:5" hidden="1" x14ac:dyDescent="0.3">
      <c r="A7" t="s">
        <v>51</v>
      </c>
      <c r="B7" t="s">
        <v>53</v>
      </c>
      <c r="C7">
        <v>0</v>
      </c>
      <c r="E7">
        <f t="shared" si="0"/>
        <v>0</v>
      </c>
    </row>
    <row r="8" spans="1:5" hidden="1" x14ac:dyDescent="0.3">
      <c r="A8" t="s">
        <v>51</v>
      </c>
      <c r="B8" t="s">
        <v>4</v>
      </c>
      <c r="C8">
        <v>0</v>
      </c>
      <c r="E8">
        <f t="shared" si="0"/>
        <v>0</v>
      </c>
    </row>
    <row r="9" spans="1:5" x14ac:dyDescent="0.3">
      <c r="A9" t="s">
        <v>28</v>
      </c>
      <c r="B9" t="s">
        <v>4</v>
      </c>
      <c r="C9">
        <v>33</v>
      </c>
      <c r="D9">
        <v>17000</v>
      </c>
      <c r="E9">
        <f t="shared" si="0"/>
        <v>561000</v>
      </c>
    </row>
    <row r="10" spans="1:5" hidden="1" x14ac:dyDescent="0.3">
      <c r="A10" t="s">
        <v>28</v>
      </c>
      <c r="B10" t="s">
        <v>31</v>
      </c>
      <c r="C10">
        <v>0</v>
      </c>
      <c r="E10">
        <f t="shared" si="0"/>
        <v>0</v>
      </c>
    </row>
    <row r="11" spans="1:5" x14ac:dyDescent="0.3">
      <c r="A11" t="s">
        <v>29</v>
      </c>
      <c r="B11" t="s">
        <v>4</v>
      </c>
      <c r="C11">
        <v>965</v>
      </c>
      <c r="D11">
        <v>22000</v>
      </c>
      <c r="E11">
        <f t="shared" si="0"/>
        <v>21230000</v>
      </c>
    </row>
    <row r="12" spans="1:5" hidden="1" x14ac:dyDescent="0.3">
      <c r="A12" t="s">
        <v>29</v>
      </c>
      <c r="B12" t="s">
        <v>150</v>
      </c>
      <c r="C12">
        <v>0</v>
      </c>
      <c r="E12">
        <f t="shared" si="0"/>
        <v>0</v>
      </c>
    </row>
    <row r="13" spans="1:5" x14ac:dyDescent="0.3">
      <c r="A13" t="s">
        <v>56</v>
      </c>
      <c r="B13" t="s">
        <v>31</v>
      </c>
      <c r="C13">
        <v>1360</v>
      </c>
      <c r="D13">
        <v>4500</v>
      </c>
      <c r="E13">
        <f t="shared" si="0"/>
        <v>6120000</v>
      </c>
    </row>
    <row r="14" spans="1:5" x14ac:dyDescent="0.3">
      <c r="A14" t="s">
        <v>57</v>
      </c>
      <c r="B14" t="s">
        <v>4</v>
      </c>
      <c r="C14">
        <v>610</v>
      </c>
      <c r="D14">
        <v>21000</v>
      </c>
      <c r="E14">
        <f t="shared" si="0"/>
        <v>12810000</v>
      </c>
    </row>
    <row r="15" spans="1:5" x14ac:dyDescent="0.3">
      <c r="A15" t="s">
        <v>32</v>
      </c>
      <c r="B15" t="s">
        <v>4</v>
      </c>
      <c r="C15">
        <v>230</v>
      </c>
      <c r="D15">
        <v>19000</v>
      </c>
      <c r="E15">
        <f t="shared" si="0"/>
        <v>4370000</v>
      </c>
    </row>
    <row r="16" spans="1:5" x14ac:dyDescent="0.3">
      <c r="A16" t="s">
        <v>34</v>
      </c>
      <c r="B16" t="s">
        <v>4</v>
      </c>
      <c r="C16">
        <v>210</v>
      </c>
      <c r="D16">
        <v>15000</v>
      </c>
      <c r="E16">
        <f t="shared" si="0"/>
        <v>3150000</v>
      </c>
    </row>
    <row r="17" spans="1:5" hidden="1" x14ac:dyDescent="0.3">
      <c r="A17" t="s">
        <v>34</v>
      </c>
      <c r="B17" t="s">
        <v>31</v>
      </c>
      <c r="C17">
        <v>0</v>
      </c>
      <c r="E17">
        <f t="shared" si="0"/>
        <v>0</v>
      </c>
    </row>
    <row r="18" spans="1:5" hidden="1" x14ac:dyDescent="0.3">
      <c r="A18" t="s">
        <v>60</v>
      </c>
      <c r="B18" t="s">
        <v>4</v>
      </c>
      <c r="C18">
        <v>0</v>
      </c>
      <c r="E18">
        <f t="shared" si="0"/>
        <v>0</v>
      </c>
    </row>
    <row r="19" spans="1:5" hidden="1" x14ac:dyDescent="0.3">
      <c r="A19" t="s">
        <v>60</v>
      </c>
      <c r="B19" t="s">
        <v>50</v>
      </c>
      <c r="C19">
        <v>0</v>
      </c>
      <c r="E19">
        <f t="shared" si="0"/>
        <v>0</v>
      </c>
    </row>
    <row r="20" spans="1:5" x14ac:dyDescent="0.3">
      <c r="A20" t="s">
        <v>6</v>
      </c>
      <c r="B20" t="s">
        <v>4</v>
      </c>
      <c r="C20">
        <v>360</v>
      </c>
      <c r="D20">
        <v>11000</v>
      </c>
      <c r="E20">
        <f t="shared" si="0"/>
        <v>3960000</v>
      </c>
    </row>
    <row r="21" spans="1:5" hidden="1" x14ac:dyDescent="0.3">
      <c r="A21" t="s">
        <v>62</v>
      </c>
      <c r="B21" t="s">
        <v>4</v>
      </c>
      <c r="C21">
        <v>0</v>
      </c>
      <c r="E21">
        <f t="shared" si="0"/>
        <v>0</v>
      </c>
    </row>
    <row r="22" spans="1:5" x14ac:dyDescent="0.3">
      <c r="A22" t="s">
        <v>62</v>
      </c>
      <c r="B22" t="s">
        <v>31</v>
      </c>
      <c r="C22">
        <v>8</v>
      </c>
      <c r="D22">
        <v>10000</v>
      </c>
      <c r="E22">
        <f t="shared" si="0"/>
        <v>80000</v>
      </c>
    </row>
    <row r="23" spans="1:5" hidden="1" x14ac:dyDescent="0.3">
      <c r="A23" t="s">
        <v>64</v>
      </c>
      <c r="B23" t="s">
        <v>4</v>
      </c>
      <c r="C23">
        <v>0</v>
      </c>
      <c r="E23">
        <f t="shared" si="0"/>
        <v>0</v>
      </c>
    </row>
    <row r="24" spans="1:5" hidden="1" x14ac:dyDescent="0.3">
      <c r="A24" t="s">
        <v>64</v>
      </c>
      <c r="B24" t="s">
        <v>31</v>
      </c>
      <c r="C24">
        <v>0</v>
      </c>
      <c r="E24">
        <f t="shared" si="0"/>
        <v>0</v>
      </c>
    </row>
    <row r="25" spans="1:5" hidden="1" x14ac:dyDescent="0.3">
      <c r="A25" t="s">
        <v>64</v>
      </c>
      <c r="B25" t="s">
        <v>65</v>
      </c>
      <c r="C25">
        <v>0</v>
      </c>
      <c r="E25">
        <f t="shared" si="0"/>
        <v>0</v>
      </c>
    </row>
    <row r="26" spans="1:5" x14ac:dyDescent="0.3">
      <c r="A26" t="s">
        <v>22</v>
      </c>
      <c r="B26" t="s">
        <v>4</v>
      </c>
      <c r="C26">
        <v>3640</v>
      </c>
      <c r="D26">
        <v>7500</v>
      </c>
      <c r="E26">
        <f t="shared" si="0"/>
        <v>27300000</v>
      </c>
    </row>
    <row r="27" spans="1:5" hidden="1" x14ac:dyDescent="0.3">
      <c r="A27" t="s">
        <v>24</v>
      </c>
      <c r="B27" t="s">
        <v>66</v>
      </c>
      <c r="C27">
        <v>0</v>
      </c>
      <c r="E27">
        <f t="shared" si="0"/>
        <v>0</v>
      </c>
    </row>
    <row r="28" spans="1:5" x14ac:dyDescent="0.3">
      <c r="A28" t="s">
        <v>24</v>
      </c>
      <c r="B28" t="s">
        <v>4</v>
      </c>
      <c r="C28">
        <v>23</v>
      </c>
      <c r="D28">
        <v>10000</v>
      </c>
      <c r="E28">
        <f t="shared" si="0"/>
        <v>230000</v>
      </c>
    </row>
    <row r="29" spans="1:5" hidden="1" x14ac:dyDescent="0.3">
      <c r="A29" t="s">
        <v>24</v>
      </c>
      <c r="B29" t="s">
        <v>31</v>
      </c>
      <c r="C29">
        <v>0</v>
      </c>
      <c r="E29">
        <f t="shared" si="0"/>
        <v>0</v>
      </c>
    </row>
    <row r="30" spans="1:5" hidden="1" x14ac:dyDescent="0.3">
      <c r="A30" t="s">
        <v>75</v>
      </c>
      <c r="B30" t="s">
        <v>4</v>
      </c>
      <c r="C30">
        <v>0</v>
      </c>
      <c r="E30">
        <f t="shared" si="0"/>
        <v>0</v>
      </c>
    </row>
    <row r="31" spans="1:5" x14ac:dyDescent="0.3">
      <c r="A31" t="s">
        <v>8</v>
      </c>
      <c r="B31" t="s">
        <v>4</v>
      </c>
      <c r="C31">
        <v>1970</v>
      </c>
      <c r="D31">
        <v>5200</v>
      </c>
      <c r="E31">
        <f t="shared" si="0"/>
        <v>10244000</v>
      </c>
    </row>
    <row r="32" spans="1:5" x14ac:dyDescent="0.3">
      <c r="A32" t="s">
        <v>10</v>
      </c>
      <c r="B32" t="s">
        <v>4</v>
      </c>
      <c r="C32">
        <v>157</v>
      </c>
      <c r="D32">
        <v>14000</v>
      </c>
      <c r="E32">
        <f t="shared" si="0"/>
        <v>2198000</v>
      </c>
    </row>
    <row r="33" spans="1:5" hidden="1" x14ac:dyDescent="0.3">
      <c r="A33" t="s">
        <v>10</v>
      </c>
      <c r="B33" t="s">
        <v>84</v>
      </c>
      <c r="C33">
        <v>0</v>
      </c>
      <c r="E33">
        <f t="shared" si="0"/>
        <v>0</v>
      </c>
    </row>
    <row r="34" spans="1:5" x14ac:dyDescent="0.3">
      <c r="A34" t="s">
        <v>11</v>
      </c>
      <c r="B34" t="s">
        <v>4</v>
      </c>
      <c r="C34">
        <v>110</v>
      </c>
      <c r="D34">
        <v>14000</v>
      </c>
      <c r="E34">
        <f t="shared" si="0"/>
        <v>1540000</v>
      </c>
    </row>
    <row r="35" spans="1:5" hidden="1" x14ac:dyDescent="0.3">
      <c r="A35" t="s">
        <v>11</v>
      </c>
      <c r="B35" t="s">
        <v>84</v>
      </c>
      <c r="C35">
        <v>0</v>
      </c>
      <c r="E35">
        <f t="shared" si="0"/>
        <v>0</v>
      </c>
    </row>
    <row r="36" spans="1:5" x14ac:dyDescent="0.3">
      <c r="A36" t="s">
        <v>15</v>
      </c>
      <c r="B36" t="s">
        <v>4</v>
      </c>
      <c r="C36">
        <v>322</v>
      </c>
      <c r="D36">
        <v>25000</v>
      </c>
      <c r="E36">
        <f t="shared" si="0"/>
        <v>8050000</v>
      </c>
    </row>
    <row r="37" spans="1:5" hidden="1" x14ac:dyDescent="0.3">
      <c r="A37" t="s">
        <v>15</v>
      </c>
      <c r="B37" t="s">
        <v>50</v>
      </c>
      <c r="C37">
        <v>0</v>
      </c>
      <c r="E37">
        <f t="shared" si="0"/>
        <v>0</v>
      </c>
    </row>
    <row r="38" spans="1:5" hidden="1" x14ac:dyDescent="0.3">
      <c r="A38" t="s">
        <v>15</v>
      </c>
      <c r="B38" t="s">
        <v>164</v>
      </c>
      <c r="C38">
        <v>0</v>
      </c>
      <c r="E38">
        <f t="shared" si="0"/>
        <v>0</v>
      </c>
    </row>
    <row r="39" spans="1:5" x14ac:dyDescent="0.3">
      <c r="A39" t="s">
        <v>18</v>
      </c>
      <c r="B39" t="s">
        <v>4</v>
      </c>
      <c r="C39">
        <v>190</v>
      </c>
      <c r="D39">
        <v>19000</v>
      </c>
      <c r="E39">
        <f t="shared" si="0"/>
        <v>3610000</v>
      </c>
    </row>
    <row r="40" spans="1:5" hidden="1" x14ac:dyDescent="0.3">
      <c r="A40" t="s">
        <v>18</v>
      </c>
      <c r="B40" t="s">
        <v>50</v>
      </c>
      <c r="C40">
        <v>0</v>
      </c>
      <c r="E40">
        <f t="shared" si="0"/>
        <v>0</v>
      </c>
    </row>
    <row r="41" spans="1:5" x14ac:dyDescent="0.3">
      <c r="A41" t="s">
        <v>92</v>
      </c>
      <c r="B41" t="s">
        <v>4</v>
      </c>
      <c r="C41">
        <v>40</v>
      </c>
      <c r="D41">
        <v>16000</v>
      </c>
      <c r="E41">
        <f t="shared" si="0"/>
        <v>640000</v>
      </c>
    </row>
    <row r="42" spans="1:5" hidden="1" x14ac:dyDescent="0.3">
      <c r="A42" t="s">
        <v>92</v>
      </c>
      <c r="B42" t="s">
        <v>31</v>
      </c>
      <c r="C42">
        <v>0</v>
      </c>
      <c r="E42">
        <f t="shared" si="0"/>
        <v>0</v>
      </c>
    </row>
    <row r="43" spans="1:5" x14ac:dyDescent="0.3">
      <c r="A43" t="s">
        <v>39</v>
      </c>
      <c r="B43" t="s">
        <v>50</v>
      </c>
      <c r="C43">
        <v>550</v>
      </c>
      <c r="D43">
        <v>6000</v>
      </c>
      <c r="E43">
        <f t="shared" si="0"/>
        <v>3300000</v>
      </c>
    </row>
    <row r="44" spans="1:5" x14ac:dyDescent="0.3">
      <c r="A44" t="s">
        <v>100</v>
      </c>
      <c r="B44" t="s">
        <v>4</v>
      </c>
      <c r="C44">
        <v>33</v>
      </c>
      <c r="D44">
        <v>10000</v>
      </c>
      <c r="E44">
        <f t="shared" si="0"/>
        <v>330000</v>
      </c>
    </row>
    <row r="45" spans="1:5" x14ac:dyDescent="0.3">
      <c r="A45" t="s">
        <v>43</v>
      </c>
      <c r="B45" t="s">
        <v>4</v>
      </c>
      <c r="C45">
        <v>105</v>
      </c>
      <c r="D45">
        <v>40000</v>
      </c>
      <c r="E45">
        <f t="shared" si="0"/>
        <v>4200000</v>
      </c>
    </row>
    <row r="46" spans="1:5" hidden="1" x14ac:dyDescent="0.3">
      <c r="A46" t="s">
        <v>43</v>
      </c>
      <c r="B46" t="s">
        <v>84</v>
      </c>
      <c r="C46">
        <v>0</v>
      </c>
      <c r="E46">
        <f t="shared" si="0"/>
        <v>0</v>
      </c>
    </row>
    <row r="47" spans="1:5" x14ac:dyDescent="0.3">
      <c r="A47" t="s">
        <v>44</v>
      </c>
      <c r="B47" t="s">
        <v>4</v>
      </c>
      <c r="C47">
        <v>150</v>
      </c>
      <c r="D47">
        <v>19000</v>
      </c>
      <c r="E47">
        <f t="shared" si="0"/>
        <v>2850000</v>
      </c>
    </row>
    <row r="48" spans="1:5" hidden="1" x14ac:dyDescent="0.3">
      <c r="A48" t="s">
        <v>44</v>
      </c>
      <c r="B48" t="s">
        <v>84</v>
      </c>
      <c r="C48">
        <v>0</v>
      </c>
      <c r="E48">
        <f t="shared" si="0"/>
        <v>0</v>
      </c>
    </row>
    <row r="49" spans="1:5" x14ac:dyDescent="0.3">
      <c r="A49" t="s">
        <v>45</v>
      </c>
      <c r="B49" t="s">
        <v>4</v>
      </c>
      <c r="C49">
        <v>40</v>
      </c>
      <c r="D49">
        <v>27000</v>
      </c>
      <c r="E49">
        <f t="shared" si="0"/>
        <v>1080000</v>
      </c>
    </row>
    <row r="50" spans="1:5" hidden="1" x14ac:dyDescent="0.3">
      <c r="A50" t="s">
        <v>45</v>
      </c>
      <c r="B50" t="s">
        <v>84</v>
      </c>
      <c r="C50">
        <v>0</v>
      </c>
      <c r="E50">
        <f t="shared" si="0"/>
        <v>0</v>
      </c>
    </row>
    <row r="51" spans="1:5" x14ac:dyDescent="0.3">
      <c r="A51" t="s">
        <v>12</v>
      </c>
      <c r="B51" t="s">
        <v>4</v>
      </c>
      <c r="C51">
        <v>90</v>
      </c>
      <c r="D51">
        <v>28000</v>
      </c>
      <c r="E51">
        <f t="shared" si="0"/>
        <v>2520000</v>
      </c>
    </row>
    <row r="52" spans="1:5" hidden="1" x14ac:dyDescent="0.3">
      <c r="A52" t="s">
        <v>116</v>
      </c>
      <c r="B52" t="s">
        <v>50</v>
      </c>
      <c r="C52">
        <v>0</v>
      </c>
      <c r="E52">
        <f t="shared" si="0"/>
        <v>0</v>
      </c>
    </row>
    <row r="53" spans="1:5" hidden="1" x14ac:dyDescent="0.3">
      <c r="A53" t="s">
        <v>117</v>
      </c>
      <c r="B53" t="s">
        <v>4</v>
      </c>
      <c r="C53">
        <v>0</v>
      </c>
      <c r="E53">
        <f t="shared" si="0"/>
        <v>0</v>
      </c>
    </row>
    <row r="54" spans="1:5" x14ac:dyDescent="0.3">
      <c r="A54" t="s">
        <v>17</v>
      </c>
      <c r="B54" t="s">
        <v>4</v>
      </c>
      <c r="C54">
        <v>7</v>
      </c>
      <c r="D54">
        <v>33000</v>
      </c>
      <c r="E54">
        <f t="shared" si="0"/>
        <v>231000</v>
      </c>
    </row>
    <row r="55" spans="1:5" x14ac:dyDescent="0.3">
      <c r="A55" t="s">
        <v>17</v>
      </c>
      <c r="B55" t="s">
        <v>147</v>
      </c>
      <c r="C55">
        <v>121</v>
      </c>
      <c r="D55">
        <v>9900</v>
      </c>
      <c r="E55">
        <f t="shared" si="0"/>
        <v>1197900</v>
      </c>
    </row>
    <row r="56" spans="1:5" x14ac:dyDescent="0.3">
      <c r="A56" t="s">
        <v>41</v>
      </c>
      <c r="B56" t="s">
        <v>4</v>
      </c>
      <c r="C56">
        <v>1575</v>
      </c>
      <c r="D56">
        <v>28600</v>
      </c>
      <c r="E56">
        <f t="shared" si="0"/>
        <v>45045000</v>
      </c>
    </row>
    <row r="57" spans="1:5" hidden="1" x14ac:dyDescent="0.3">
      <c r="A57" t="s">
        <v>90</v>
      </c>
      <c r="B57" t="s">
        <v>53</v>
      </c>
      <c r="C57">
        <v>0</v>
      </c>
      <c r="E57">
        <f t="shared" si="0"/>
        <v>0</v>
      </c>
    </row>
    <row r="58" spans="1:5" x14ac:dyDescent="0.3">
      <c r="A58" t="s">
        <v>90</v>
      </c>
      <c r="B58" t="s">
        <v>4</v>
      </c>
      <c r="C58">
        <v>5</v>
      </c>
      <c r="D58">
        <v>48000</v>
      </c>
      <c r="E58">
        <f t="shared" si="0"/>
        <v>240000</v>
      </c>
    </row>
    <row r="59" spans="1:5" hidden="1" x14ac:dyDescent="0.3">
      <c r="A59" t="s">
        <v>90</v>
      </c>
      <c r="B59" t="s">
        <v>147</v>
      </c>
      <c r="C59">
        <v>0</v>
      </c>
      <c r="E59">
        <f t="shared" si="0"/>
        <v>0</v>
      </c>
    </row>
    <row r="60" spans="1:5" hidden="1" x14ac:dyDescent="0.3">
      <c r="A60" t="s">
        <v>90</v>
      </c>
      <c r="B60" t="s">
        <v>148</v>
      </c>
      <c r="C60">
        <v>0</v>
      </c>
      <c r="E60">
        <f t="shared" si="0"/>
        <v>0</v>
      </c>
    </row>
    <row r="61" spans="1:5" hidden="1" x14ac:dyDescent="0.3">
      <c r="A61" t="s">
        <v>46</v>
      </c>
      <c r="B61" t="s">
        <v>4</v>
      </c>
      <c r="C61">
        <v>0</v>
      </c>
      <c r="E61">
        <f t="shared" si="0"/>
        <v>0</v>
      </c>
    </row>
    <row r="62" spans="1:5" hidden="1" x14ac:dyDescent="0.3">
      <c r="A62" t="s">
        <v>46</v>
      </c>
      <c r="B62" t="s">
        <v>31</v>
      </c>
      <c r="C62">
        <v>0</v>
      </c>
      <c r="E62">
        <f t="shared" si="0"/>
        <v>0</v>
      </c>
    </row>
    <row r="63" spans="1:5" hidden="1" x14ac:dyDescent="0.3">
      <c r="A63" t="s">
        <v>7</v>
      </c>
      <c r="B63" t="s">
        <v>4</v>
      </c>
      <c r="C63">
        <v>0</v>
      </c>
      <c r="E63">
        <f t="shared" si="0"/>
        <v>0</v>
      </c>
    </row>
    <row r="64" spans="1:5" hidden="1" x14ac:dyDescent="0.3">
      <c r="A64" t="s">
        <v>7</v>
      </c>
      <c r="B64" t="s">
        <v>84</v>
      </c>
      <c r="C64">
        <v>0</v>
      </c>
      <c r="E64">
        <f t="shared" si="0"/>
        <v>0</v>
      </c>
    </row>
    <row r="65" spans="1:5" hidden="1" x14ac:dyDescent="0.3">
      <c r="A65" t="s">
        <v>158</v>
      </c>
      <c r="B65" t="s">
        <v>31</v>
      </c>
      <c r="C65">
        <v>0</v>
      </c>
      <c r="E65">
        <f t="shared" si="0"/>
        <v>0</v>
      </c>
    </row>
    <row r="66" spans="1:5" x14ac:dyDescent="0.3">
      <c r="A66" t="s">
        <v>3</v>
      </c>
      <c r="B66" t="s">
        <v>4</v>
      </c>
      <c r="C66">
        <v>7</v>
      </c>
      <c r="D66">
        <v>28000</v>
      </c>
      <c r="E66">
        <f t="shared" si="0"/>
        <v>196000</v>
      </c>
    </row>
    <row r="67" spans="1:5" hidden="1" x14ac:dyDescent="0.3">
      <c r="A67" t="s">
        <v>83</v>
      </c>
      <c r="B67" t="s">
        <v>4</v>
      </c>
      <c r="C67">
        <v>0</v>
      </c>
      <c r="E67">
        <f t="shared" si="0"/>
        <v>0</v>
      </c>
    </row>
    <row r="68" spans="1:5" hidden="1" x14ac:dyDescent="0.3">
      <c r="A68" t="s">
        <v>70</v>
      </c>
      <c r="B68" t="s">
        <v>4</v>
      </c>
      <c r="C68">
        <v>0</v>
      </c>
      <c r="E68">
        <f t="shared" ref="E68:E131" si="1">C68*D68</f>
        <v>0</v>
      </c>
    </row>
    <row r="69" spans="1:5" hidden="1" x14ac:dyDescent="0.3">
      <c r="A69" t="s">
        <v>70</v>
      </c>
      <c r="B69" t="s">
        <v>71</v>
      </c>
      <c r="C69">
        <v>0</v>
      </c>
      <c r="E69">
        <f t="shared" si="1"/>
        <v>0</v>
      </c>
    </row>
    <row r="70" spans="1:5" hidden="1" x14ac:dyDescent="0.3">
      <c r="A70" t="s">
        <v>37</v>
      </c>
      <c r="B70" t="s">
        <v>4</v>
      </c>
      <c r="C70">
        <v>0</v>
      </c>
      <c r="E70">
        <f t="shared" si="1"/>
        <v>0</v>
      </c>
    </row>
    <row r="71" spans="1:5" x14ac:dyDescent="0.3">
      <c r="A71" t="s">
        <v>37</v>
      </c>
      <c r="B71" t="s">
        <v>31</v>
      </c>
      <c r="C71">
        <v>10</v>
      </c>
      <c r="D71">
        <v>10000</v>
      </c>
      <c r="E71">
        <f t="shared" si="1"/>
        <v>100000</v>
      </c>
    </row>
    <row r="72" spans="1:5" hidden="1" x14ac:dyDescent="0.3">
      <c r="A72" t="s">
        <v>37</v>
      </c>
      <c r="B72" t="s">
        <v>151</v>
      </c>
      <c r="C72">
        <v>0</v>
      </c>
      <c r="E72">
        <f t="shared" si="1"/>
        <v>0</v>
      </c>
    </row>
    <row r="73" spans="1:5" hidden="1" x14ac:dyDescent="0.3">
      <c r="A73" t="s">
        <v>72</v>
      </c>
      <c r="B73" t="s">
        <v>31</v>
      </c>
      <c r="C73">
        <v>0</v>
      </c>
      <c r="E73">
        <f t="shared" si="1"/>
        <v>0</v>
      </c>
    </row>
    <row r="74" spans="1:5" hidden="1" x14ac:dyDescent="0.3">
      <c r="A74" t="s">
        <v>40</v>
      </c>
      <c r="B74" t="s">
        <v>66</v>
      </c>
      <c r="C74">
        <v>0</v>
      </c>
      <c r="E74">
        <f t="shared" si="1"/>
        <v>0</v>
      </c>
    </row>
    <row r="75" spans="1:5" hidden="1" x14ac:dyDescent="0.3">
      <c r="A75" t="s">
        <v>40</v>
      </c>
      <c r="B75" t="s">
        <v>4</v>
      </c>
      <c r="C75">
        <v>0</v>
      </c>
      <c r="E75">
        <f t="shared" si="1"/>
        <v>0</v>
      </c>
    </row>
    <row r="76" spans="1:5" hidden="1" x14ac:dyDescent="0.3">
      <c r="A76" t="s">
        <v>68</v>
      </c>
      <c r="B76" t="s">
        <v>31</v>
      </c>
      <c r="C76">
        <v>0</v>
      </c>
      <c r="E76">
        <f t="shared" si="1"/>
        <v>0</v>
      </c>
    </row>
    <row r="77" spans="1:5" hidden="1" x14ac:dyDescent="0.3">
      <c r="A77" t="s">
        <v>101</v>
      </c>
      <c r="B77" t="s">
        <v>53</v>
      </c>
      <c r="C77">
        <v>0</v>
      </c>
      <c r="E77">
        <f t="shared" si="1"/>
        <v>0</v>
      </c>
    </row>
    <row r="78" spans="1:5" hidden="1" x14ac:dyDescent="0.3">
      <c r="A78" t="s">
        <v>101</v>
      </c>
      <c r="B78" t="s">
        <v>4</v>
      </c>
      <c r="C78">
        <v>0</v>
      </c>
      <c r="E78">
        <f t="shared" si="1"/>
        <v>0</v>
      </c>
    </row>
    <row r="79" spans="1:5" hidden="1" x14ac:dyDescent="0.3">
      <c r="A79" t="s">
        <v>89</v>
      </c>
      <c r="B79" t="s">
        <v>53</v>
      </c>
      <c r="C79">
        <v>0</v>
      </c>
      <c r="E79">
        <f t="shared" si="1"/>
        <v>0</v>
      </c>
    </row>
    <row r="80" spans="1:5" hidden="1" x14ac:dyDescent="0.3">
      <c r="A80" t="s">
        <v>42</v>
      </c>
      <c r="B80" t="s">
        <v>31</v>
      </c>
      <c r="C80">
        <v>0</v>
      </c>
      <c r="E80">
        <f t="shared" si="1"/>
        <v>0</v>
      </c>
    </row>
    <row r="81" spans="1:5" hidden="1" x14ac:dyDescent="0.3">
      <c r="A81" t="s">
        <v>74</v>
      </c>
      <c r="B81" t="s">
        <v>4</v>
      </c>
      <c r="C81">
        <v>0</v>
      </c>
      <c r="E81">
        <f t="shared" si="1"/>
        <v>0</v>
      </c>
    </row>
    <row r="82" spans="1:5" hidden="1" x14ac:dyDescent="0.3">
      <c r="A82" t="s">
        <v>77</v>
      </c>
      <c r="B82" t="s">
        <v>66</v>
      </c>
      <c r="C82">
        <v>0</v>
      </c>
      <c r="E82">
        <f t="shared" si="1"/>
        <v>0</v>
      </c>
    </row>
    <row r="83" spans="1:5" hidden="1" x14ac:dyDescent="0.3">
      <c r="A83" t="s">
        <v>76</v>
      </c>
      <c r="B83" t="s">
        <v>66</v>
      </c>
      <c r="C83">
        <v>0</v>
      </c>
      <c r="E83">
        <f t="shared" si="1"/>
        <v>0</v>
      </c>
    </row>
    <row r="84" spans="1:5" x14ac:dyDescent="0.3">
      <c r="A84" t="s">
        <v>5</v>
      </c>
      <c r="B84" t="s">
        <v>4</v>
      </c>
      <c r="C84">
        <v>33</v>
      </c>
      <c r="D84">
        <v>18000</v>
      </c>
      <c r="E84">
        <f t="shared" si="1"/>
        <v>594000</v>
      </c>
    </row>
    <row r="85" spans="1:5" hidden="1" x14ac:dyDescent="0.3">
      <c r="A85" t="s">
        <v>106</v>
      </c>
      <c r="B85" t="s">
        <v>4</v>
      </c>
      <c r="C85">
        <v>0</v>
      </c>
      <c r="E85">
        <f t="shared" si="1"/>
        <v>0</v>
      </c>
    </row>
    <row r="86" spans="1:5" hidden="1" x14ac:dyDescent="0.3">
      <c r="A86" t="s">
        <v>9</v>
      </c>
      <c r="B86" t="s">
        <v>4</v>
      </c>
      <c r="C86">
        <v>0</v>
      </c>
      <c r="E86">
        <f t="shared" si="1"/>
        <v>0</v>
      </c>
    </row>
    <row r="87" spans="1:5" x14ac:dyDescent="0.3">
      <c r="A87" t="s">
        <v>59</v>
      </c>
      <c r="B87" t="s">
        <v>4</v>
      </c>
      <c r="C87">
        <v>8</v>
      </c>
      <c r="D87">
        <v>39000</v>
      </c>
      <c r="E87">
        <f t="shared" si="1"/>
        <v>312000</v>
      </c>
    </row>
    <row r="88" spans="1:5" hidden="1" x14ac:dyDescent="0.3">
      <c r="A88" t="s">
        <v>16</v>
      </c>
      <c r="B88" t="s">
        <v>4</v>
      </c>
      <c r="C88">
        <v>0</v>
      </c>
      <c r="E88">
        <f t="shared" si="1"/>
        <v>0</v>
      </c>
    </row>
    <row r="89" spans="1:5" hidden="1" x14ac:dyDescent="0.3">
      <c r="A89" t="s">
        <v>16</v>
      </c>
      <c r="B89" t="s">
        <v>165</v>
      </c>
      <c r="C89">
        <v>0</v>
      </c>
      <c r="E89">
        <f t="shared" si="1"/>
        <v>0</v>
      </c>
    </row>
    <row r="90" spans="1:5" hidden="1" x14ac:dyDescent="0.3">
      <c r="A90" t="s">
        <v>94</v>
      </c>
      <c r="B90" t="s">
        <v>50</v>
      </c>
      <c r="C90">
        <v>0</v>
      </c>
      <c r="E90">
        <f t="shared" si="1"/>
        <v>0</v>
      </c>
    </row>
    <row r="91" spans="1:5" hidden="1" x14ac:dyDescent="0.3">
      <c r="A91" t="s">
        <v>55</v>
      </c>
      <c r="B91" t="s">
        <v>4</v>
      </c>
      <c r="C91">
        <v>0</v>
      </c>
      <c r="E91">
        <f t="shared" si="1"/>
        <v>0</v>
      </c>
    </row>
    <row r="92" spans="1:5" x14ac:dyDescent="0.3">
      <c r="A92" t="s">
        <v>35</v>
      </c>
      <c r="B92" t="s">
        <v>4</v>
      </c>
      <c r="C92">
        <v>10</v>
      </c>
      <c r="D92">
        <v>18000</v>
      </c>
      <c r="E92">
        <f t="shared" si="1"/>
        <v>180000</v>
      </c>
    </row>
    <row r="93" spans="1:5" x14ac:dyDescent="0.3">
      <c r="A93" t="s">
        <v>96</v>
      </c>
      <c r="B93" t="s">
        <v>4</v>
      </c>
      <c r="C93">
        <v>4</v>
      </c>
      <c r="D93">
        <v>80000</v>
      </c>
      <c r="E93">
        <f t="shared" si="1"/>
        <v>320000</v>
      </c>
    </row>
    <row r="94" spans="1:5" hidden="1" x14ac:dyDescent="0.3">
      <c r="A94" t="s">
        <v>69</v>
      </c>
      <c r="B94" t="s">
        <v>31</v>
      </c>
      <c r="C94">
        <v>0</v>
      </c>
      <c r="E94">
        <f t="shared" si="1"/>
        <v>0</v>
      </c>
    </row>
    <row r="95" spans="1:5" hidden="1" x14ac:dyDescent="0.3">
      <c r="A95" t="s">
        <v>141</v>
      </c>
      <c r="B95" t="s">
        <v>31</v>
      </c>
      <c r="C95">
        <v>0</v>
      </c>
      <c r="E95">
        <f t="shared" si="1"/>
        <v>0</v>
      </c>
    </row>
    <row r="96" spans="1:5" hidden="1" x14ac:dyDescent="0.3">
      <c r="A96" t="s">
        <v>102</v>
      </c>
      <c r="B96" t="s">
        <v>4</v>
      </c>
      <c r="C96">
        <v>0</v>
      </c>
      <c r="E96">
        <f t="shared" si="1"/>
        <v>0</v>
      </c>
    </row>
    <row r="97" spans="1:5" hidden="1" x14ac:dyDescent="0.3">
      <c r="A97" t="s">
        <v>109</v>
      </c>
      <c r="B97" t="s">
        <v>53</v>
      </c>
      <c r="C97">
        <v>0</v>
      </c>
      <c r="E97">
        <f t="shared" si="1"/>
        <v>0</v>
      </c>
    </row>
    <row r="98" spans="1:5" hidden="1" x14ac:dyDescent="0.3">
      <c r="A98" t="s">
        <v>78</v>
      </c>
      <c r="B98" t="s">
        <v>4</v>
      </c>
      <c r="C98">
        <v>0</v>
      </c>
      <c r="E98">
        <f t="shared" si="1"/>
        <v>0</v>
      </c>
    </row>
    <row r="99" spans="1:5" hidden="1" x14ac:dyDescent="0.3">
      <c r="A99" t="s">
        <v>82</v>
      </c>
      <c r="B99" t="s">
        <v>66</v>
      </c>
      <c r="C99">
        <v>0</v>
      </c>
      <c r="E99">
        <f t="shared" si="1"/>
        <v>0</v>
      </c>
    </row>
    <row r="100" spans="1:5" hidden="1" x14ac:dyDescent="0.3">
      <c r="A100" t="s">
        <v>58</v>
      </c>
      <c r="B100" t="s">
        <v>4</v>
      </c>
      <c r="C100">
        <v>0</v>
      </c>
      <c r="E100">
        <f t="shared" si="1"/>
        <v>0</v>
      </c>
    </row>
    <row r="101" spans="1:5" hidden="1" x14ac:dyDescent="0.3">
      <c r="A101" t="s">
        <v>99</v>
      </c>
      <c r="B101" t="s">
        <v>4</v>
      </c>
      <c r="C101">
        <v>0</v>
      </c>
      <c r="E101">
        <f t="shared" si="1"/>
        <v>0</v>
      </c>
    </row>
    <row r="102" spans="1:5" hidden="1" x14ac:dyDescent="0.3">
      <c r="A102" t="s">
        <v>99</v>
      </c>
      <c r="B102" t="s">
        <v>31</v>
      </c>
      <c r="C102">
        <v>0</v>
      </c>
      <c r="E102">
        <f t="shared" si="1"/>
        <v>0</v>
      </c>
    </row>
    <row r="103" spans="1:5" hidden="1" x14ac:dyDescent="0.3">
      <c r="A103" t="s">
        <v>79</v>
      </c>
      <c r="B103" t="s">
        <v>4</v>
      </c>
      <c r="C103">
        <v>0</v>
      </c>
      <c r="E103">
        <f t="shared" si="1"/>
        <v>0</v>
      </c>
    </row>
    <row r="104" spans="1:5" x14ac:dyDescent="0.3">
      <c r="A104" t="s">
        <v>13</v>
      </c>
      <c r="B104" t="s">
        <v>4</v>
      </c>
      <c r="C104">
        <v>5</v>
      </c>
      <c r="D104">
        <v>27000</v>
      </c>
      <c r="E104">
        <f t="shared" si="1"/>
        <v>135000</v>
      </c>
    </row>
    <row r="105" spans="1:5" hidden="1" x14ac:dyDescent="0.3">
      <c r="A105" t="s">
        <v>105</v>
      </c>
      <c r="B105" t="s">
        <v>4</v>
      </c>
      <c r="C105">
        <v>0</v>
      </c>
      <c r="E105">
        <f t="shared" si="1"/>
        <v>0</v>
      </c>
    </row>
    <row r="106" spans="1:5" x14ac:dyDescent="0.3">
      <c r="A106" t="s">
        <v>48</v>
      </c>
      <c r="B106" t="s">
        <v>4</v>
      </c>
      <c r="C106">
        <v>2</v>
      </c>
      <c r="D106">
        <v>28000</v>
      </c>
      <c r="E106">
        <f t="shared" si="1"/>
        <v>56000</v>
      </c>
    </row>
    <row r="107" spans="1:5" hidden="1" x14ac:dyDescent="0.3">
      <c r="A107" t="s">
        <v>21</v>
      </c>
      <c r="B107" t="s">
        <v>4</v>
      </c>
      <c r="C107">
        <v>0</v>
      </c>
      <c r="E107">
        <f t="shared" si="1"/>
        <v>0</v>
      </c>
    </row>
    <row r="108" spans="1:5" hidden="1" x14ac:dyDescent="0.3">
      <c r="A108" t="s">
        <v>21</v>
      </c>
      <c r="B108" t="s">
        <v>149</v>
      </c>
      <c r="C108">
        <v>0</v>
      </c>
      <c r="E108">
        <f t="shared" si="1"/>
        <v>0</v>
      </c>
    </row>
    <row r="109" spans="1:5" hidden="1" x14ac:dyDescent="0.3">
      <c r="A109" t="s">
        <v>127</v>
      </c>
      <c r="B109" t="s">
        <v>4</v>
      </c>
      <c r="C109">
        <v>0</v>
      </c>
      <c r="E109">
        <f t="shared" si="1"/>
        <v>0</v>
      </c>
    </row>
    <row r="110" spans="1:5" hidden="1" x14ac:dyDescent="0.3">
      <c r="A110" t="s">
        <v>47</v>
      </c>
      <c r="B110" t="s">
        <v>4</v>
      </c>
      <c r="C110">
        <v>0</v>
      </c>
      <c r="E110">
        <f t="shared" si="1"/>
        <v>0</v>
      </c>
    </row>
    <row r="111" spans="1:5" x14ac:dyDescent="0.3">
      <c r="A111" t="s">
        <v>54</v>
      </c>
      <c r="B111" t="s">
        <v>4</v>
      </c>
      <c r="C111">
        <v>2</v>
      </c>
      <c r="D111">
        <v>45000</v>
      </c>
      <c r="E111">
        <f t="shared" si="1"/>
        <v>90000</v>
      </c>
    </row>
    <row r="112" spans="1:5" hidden="1" x14ac:dyDescent="0.3">
      <c r="A112" t="s">
        <v>157</v>
      </c>
      <c r="B112" t="s">
        <v>4</v>
      </c>
      <c r="C112">
        <v>0</v>
      </c>
      <c r="E112">
        <f t="shared" si="1"/>
        <v>0</v>
      </c>
    </row>
    <row r="113" spans="1:5" hidden="1" x14ac:dyDescent="0.3">
      <c r="A113" t="s">
        <v>81</v>
      </c>
      <c r="B113" t="s">
        <v>4</v>
      </c>
      <c r="C113">
        <v>0</v>
      </c>
      <c r="E113">
        <f t="shared" si="1"/>
        <v>0</v>
      </c>
    </row>
    <row r="114" spans="1:5" hidden="1" x14ac:dyDescent="0.3">
      <c r="A114" t="s">
        <v>27</v>
      </c>
      <c r="B114" t="s">
        <v>4</v>
      </c>
      <c r="C114">
        <v>0</v>
      </c>
      <c r="E114">
        <f t="shared" si="1"/>
        <v>0</v>
      </c>
    </row>
    <row r="115" spans="1:5" hidden="1" x14ac:dyDescent="0.3">
      <c r="A115" t="s">
        <v>67</v>
      </c>
      <c r="B115" t="s">
        <v>4</v>
      </c>
      <c r="C115">
        <v>0</v>
      </c>
      <c r="E115">
        <f t="shared" si="1"/>
        <v>0</v>
      </c>
    </row>
    <row r="116" spans="1:5" hidden="1" x14ac:dyDescent="0.3">
      <c r="A116" t="s">
        <v>63</v>
      </c>
      <c r="B116" t="s">
        <v>4</v>
      </c>
      <c r="C116">
        <v>0</v>
      </c>
      <c r="E116">
        <f t="shared" si="1"/>
        <v>0</v>
      </c>
    </row>
    <row r="117" spans="1:5" hidden="1" x14ac:dyDescent="0.3">
      <c r="A117" t="s">
        <v>63</v>
      </c>
      <c r="B117" t="s">
        <v>31</v>
      </c>
      <c r="C117">
        <v>0</v>
      </c>
      <c r="E117">
        <f t="shared" si="1"/>
        <v>0</v>
      </c>
    </row>
    <row r="118" spans="1:5" hidden="1" x14ac:dyDescent="0.3">
      <c r="A118" t="s">
        <v>33</v>
      </c>
      <c r="B118" t="s">
        <v>4</v>
      </c>
      <c r="C118">
        <v>0</v>
      </c>
      <c r="E118">
        <f t="shared" si="1"/>
        <v>0</v>
      </c>
    </row>
    <row r="119" spans="1:5" hidden="1" x14ac:dyDescent="0.3">
      <c r="A119" t="s">
        <v>33</v>
      </c>
      <c r="B119" t="s">
        <v>31</v>
      </c>
      <c r="C119">
        <v>0</v>
      </c>
      <c r="E119">
        <f t="shared" si="1"/>
        <v>0</v>
      </c>
    </row>
    <row r="120" spans="1:5" hidden="1" x14ac:dyDescent="0.3">
      <c r="A120" t="s">
        <v>156</v>
      </c>
      <c r="B120" t="s">
        <v>4</v>
      </c>
      <c r="C120">
        <v>0</v>
      </c>
      <c r="E120">
        <f t="shared" si="1"/>
        <v>0</v>
      </c>
    </row>
    <row r="121" spans="1:5" hidden="1" x14ac:dyDescent="0.3">
      <c r="A121" t="s">
        <v>85</v>
      </c>
      <c r="B121" t="s">
        <v>4</v>
      </c>
      <c r="C121">
        <v>0</v>
      </c>
      <c r="E121">
        <f t="shared" si="1"/>
        <v>0</v>
      </c>
    </row>
    <row r="122" spans="1:5" x14ac:dyDescent="0.3">
      <c r="A122" t="s">
        <v>142</v>
      </c>
      <c r="B122" t="s">
        <v>4</v>
      </c>
      <c r="C122">
        <v>35</v>
      </c>
      <c r="D122">
        <v>12000</v>
      </c>
      <c r="E122">
        <f t="shared" si="1"/>
        <v>420000</v>
      </c>
    </row>
    <row r="123" spans="1:5" hidden="1" x14ac:dyDescent="0.3">
      <c r="A123" t="s">
        <v>142</v>
      </c>
      <c r="B123" t="s">
        <v>31</v>
      </c>
      <c r="C123">
        <v>0</v>
      </c>
      <c r="E123">
        <f t="shared" si="1"/>
        <v>0</v>
      </c>
    </row>
    <row r="124" spans="1:5" hidden="1" x14ac:dyDescent="0.3">
      <c r="A124" t="s">
        <v>104</v>
      </c>
      <c r="B124" t="s">
        <v>4</v>
      </c>
      <c r="C124">
        <v>0</v>
      </c>
      <c r="E124">
        <f t="shared" si="1"/>
        <v>0</v>
      </c>
    </row>
    <row r="125" spans="1:5" hidden="1" x14ac:dyDescent="0.3">
      <c r="A125" t="s">
        <v>123</v>
      </c>
      <c r="B125" t="s">
        <v>4</v>
      </c>
      <c r="C125">
        <v>0</v>
      </c>
      <c r="E125">
        <f t="shared" si="1"/>
        <v>0</v>
      </c>
    </row>
    <row r="126" spans="1:5" hidden="1" x14ac:dyDescent="0.3">
      <c r="A126" t="s">
        <v>123</v>
      </c>
      <c r="B126" t="s">
        <v>31</v>
      </c>
      <c r="C126">
        <v>0</v>
      </c>
      <c r="E126">
        <f t="shared" si="1"/>
        <v>0</v>
      </c>
    </row>
    <row r="127" spans="1:5" hidden="1" x14ac:dyDescent="0.3">
      <c r="A127" t="s">
        <v>183</v>
      </c>
      <c r="B127" t="s">
        <v>4</v>
      </c>
      <c r="C127">
        <v>0</v>
      </c>
      <c r="E127">
        <f t="shared" si="1"/>
        <v>0</v>
      </c>
    </row>
    <row r="128" spans="1:5" hidden="1" x14ac:dyDescent="0.3">
      <c r="A128" t="s">
        <v>107</v>
      </c>
      <c r="B128" t="s">
        <v>4</v>
      </c>
      <c r="C128">
        <v>0</v>
      </c>
      <c r="E128">
        <f t="shared" si="1"/>
        <v>0</v>
      </c>
    </row>
    <row r="129" spans="1:5" hidden="1" x14ac:dyDescent="0.3">
      <c r="A129" t="s">
        <v>175</v>
      </c>
      <c r="B129" t="s">
        <v>4</v>
      </c>
      <c r="C129">
        <v>0</v>
      </c>
      <c r="E129">
        <f t="shared" si="1"/>
        <v>0</v>
      </c>
    </row>
    <row r="130" spans="1:5" hidden="1" x14ac:dyDescent="0.3">
      <c r="A130" t="s">
        <v>97</v>
      </c>
      <c r="B130" t="s">
        <v>4</v>
      </c>
      <c r="C130">
        <v>0</v>
      </c>
      <c r="E130">
        <f t="shared" si="1"/>
        <v>0</v>
      </c>
    </row>
    <row r="131" spans="1:5" hidden="1" x14ac:dyDescent="0.3">
      <c r="A131" t="s">
        <v>124</v>
      </c>
      <c r="B131" t="s">
        <v>4</v>
      </c>
      <c r="C131">
        <v>0</v>
      </c>
      <c r="E131">
        <f t="shared" si="1"/>
        <v>0</v>
      </c>
    </row>
    <row r="132" spans="1:5" x14ac:dyDescent="0.3">
      <c r="A132" t="s">
        <v>26</v>
      </c>
      <c r="B132" t="s">
        <v>4</v>
      </c>
      <c r="C132">
        <v>30</v>
      </c>
      <c r="D132">
        <v>13000</v>
      </c>
      <c r="E132">
        <f t="shared" ref="E132:E189" si="2">C132*D132</f>
        <v>390000</v>
      </c>
    </row>
    <row r="133" spans="1:5" hidden="1" x14ac:dyDescent="0.3">
      <c r="A133" t="s">
        <v>23</v>
      </c>
      <c r="B133" t="s">
        <v>4</v>
      </c>
      <c r="C133">
        <v>0</v>
      </c>
      <c r="E133">
        <f t="shared" si="2"/>
        <v>0</v>
      </c>
    </row>
    <row r="134" spans="1:5" x14ac:dyDescent="0.3">
      <c r="A134" t="s">
        <v>135</v>
      </c>
      <c r="B134" t="s">
        <v>4</v>
      </c>
      <c r="C134">
        <v>280</v>
      </c>
      <c r="D134">
        <v>20000</v>
      </c>
      <c r="E134">
        <f t="shared" si="2"/>
        <v>5600000</v>
      </c>
    </row>
    <row r="135" spans="1:5" x14ac:dyDescent="0.3">
      <c r="A135" t="s">
        <v>121</v>
      </c>
      <c r="B135" t="s">
        <v>31</v>
      </c>
      <c r="C135">
        <v>4</v>
      </c>
      <c r="D135">
        <v>100000</v>
      </c>
      <c r="E135">
        <f t="shared" si="2"/>
        <v>400000</v>
      </c>
    </row>
    <row r="136" spans="1:5" x14ac:dyDescent="0.3">
      <c r="A136" t="s">
        <v>136</v>
      </c>
      <c r="B136" t="s">
        <v>4</v>
      </c>
      <c r="C136">
        <v>18</v>
      </c>
      <c r="D136">
        <v>35000</v>
      </c>
      <c r="E136">
        <f t="shared" si="2"/>
        <v>630000</v>
      </c>
    </row>
    <row r="137" spans="1:5" hidden="1" x14ac:dyDescent="0.3">
      <c r="E137">
        <f t="shared" si="2"/>
        <v>0</v>
      </c>
    </row>
    <row r="138" spans="1:5" ht="15.6" hidden="1" x14ac:dyDescent="0.3">
      <c r="A138" s="15"/>
      <c r="B138" s="15"/>
      <c r="C138" s="15"/>
      <c r="D138" s="15"/>
      <c r="E138">
        <f t="shared" si="2"/>
        <v>0</v>
      </c>
    </row>
    <row r="139" spans="1:5" ht="15.6" x14ac:dyDescent="0.3">
      <c r="A139" s="15"/>
      <c r="B139" s="15"/>
      <c r="C139" s="15"/>
      <c r="D139" s="15"/>
      <c r="E139" s="23">
        <f>SUM(E3:E136)</f>
        <v>176884900</v>
      </c>
    </row>
    <row r="140" spans="1:5" ht="15.6" x14ac:dyDescent="0.3">
      <c r="A140" s="15" t="s">
        <v>139</v>
      </c>
      <c r="B140" s="15"/>
      <c r="C140" s="15"/>
      <c r="D140" s="15"/>
    </row>
    <row r="141" spans="1:5" ht="31.2" x14ac:dyDescent="0.3">
      <c r="A141" s="77" t="s">
        <v>0</v>
      </c>
      <c r="B141" s="77" t="s">
        <v>1</v>
      </c>
      <c r="C141" s="45" t="s">
        <v>2</v>
      </c>
      <c r="D141" s="18" t="s">
        <v>137</v>
      </c>
      <c r="E141" t="s">
        <v>138</v>
      </c>
    </row>
    <row r="142" spans="1:5" ht="15.6" hidden="1" x14ac:dyDescent="0.3">
      <c r="A142" s="19" t="s">
        <v>27</v>
      </c>
      <c r="B142" s="19" t="s">
        <v>4</v>
      </c>
      <c r="C142" s="46"/>
      <c r="D142" s="21"/>
      <c r="E142">
        <f t="shared" si="2"/>
        <v>0</v>
      </c>
    </row>
    <row r="143" spans="1:5" ht="15.6" x14ac:dyDescent="0.3">
      <c r="A143" s="19" t="s">
        <v>28</v>
      </c>
      <c r="B143" s="19" t="s">
        <v>4</v>
      </c>
      <c r="C143" s="46">
        <v>60</v>
      </c>
      <c r="D143" s="21">
        <v>17000</v>
      </c>
      <c r="E143">
        <f t="shared" si="2"/>
        <v>1020000</v>
      </c>
    </row>
    <row r="144" spans="1:5" ht="15.6" x14ac:dyDescent="0.3">
      <c r="A144" s="19" t="s">
        <v>29</v>
      </c>
      <c r="B144" s="19" t="s">
        <v>4</v>
      </c>
      <c r="C144" s="46">
        <v>100</v>
      </c>
      <c r="D144" s="21">
        <v>22000</v>
      </c>
      <c r="E144">
        <f t="shared" si="2"/>
        <v>2200000</v>
      </c>
    </row>
    <row r="145" spans="1:5" ht="15.6" hidden="1" x14ac:dyDescent="0.3">
      <c r="A145" s="19" t="s">
        <v>57</v>
      </c>
      <c r="B145" s="19" t="s">
        <v>31</v>
      </c>
      <c r="C145" s="46"/>
      <c r="D145" s="21"/>
      <c r="E145">
        <f t="shared" si="2"/>
        <v>0</v>
      </c>
    </row>
    <row r="146" spans="1:5" ht="15.6" x14ac:dyDescent="0.3">
      <c r="A146" s="19" t="s">
        <v>32</v>
      </c>
      <c r="B146" s="19" t="s">
        <v>4</v>
      </c>
      <c r="C146" s="46">
        <v>200</v>
      </c>
      <c r="D146" s="21">
        <v>19000</v>
      </c>
      <c r="E146">
        <f t="shared" si="2"/>
        <v>3800000</v>
      </c>
    </row>
    <row r="147" spans="1:5" ht="15.6" hidden="1" x14ac:dyDescent="0.3">
      <c r="A147" s="19" t="s">
        <v>33</v>
      </c>
      <c r="B147" s="19" t="s">
        <v>31</v>
      </c>
      <c r="C147" s="46"/>
      <c r="D147" s="21"/>
      <c r="E147">
        <f t="shared" si="2"/>
        <v>0</v>
      </c>
    </row>
    <row r="148" spans="1:5" ht="15.6" x14ac:dyDescent="0.3">
      <c r="A148" s="19" t="s">
        <v>34</v>
      </c>
      <c r="B148" s="19" t="s">
        <v>4</v>
      </c>
      <c r="C148" s="46">
        <v>100</v>
      </c>
      <c r="D148" s="21">
        <v>15000</v>
      </c>
      <c r="E148">
        <f t="shared" si="2"/>
        <v>1500000</v>
      </c>
    </row>
    <row r="149" spans="1:5" ht="15.6" hidden="1" x14ac:dyDescent="0.3">
      <c r="A149" s="19" t="s">
        <v>34</v>
      </c>
      <c r="B149" s="19" t="s">
        <v>194</v>
      </c>
      <c r="C149" s="46"/>
      <c r="D149" s="21"/>
      <c r="E149">
        <f t="shared" si="2"/>
        <v>0</v>
      </c>
    </row>
    <row r="150" spans="1:5" ht="15.6" hidden="1" x14ac:dyDescent="0.3">
      <c r="A150" s="19" t="s">
        <v>35</v>
      </c>
      <c r="B150" s="19" t="s">
        <v>4</v>
      </c>
      <c r="C150" s="46"/>
      <c r="D150" s="21"/>
      <c r="E150">
        <f t="shared" si="2"/>
        <v>0</v>
      </c>
    </row>
    <row r="151" spans="1:5" ht="15.6" hidden="1" x14ac:dyDescent="0.3">
      <c r="A151" s="19" t="s">
        <v>13</v>
      </c>
      <c r="B151" s="19" t="s">
        <v>4</v>
      </c>
      <c r="C151" s="46"/>
      <c r="D151" s="21"/>
      <c r="E151">
        <f t="shared" si="2"/>
        <v>0</v>
      </c>
    </row>
    <row r="152" spans="1:5" ht="15.6" hidden="1" x14ac:dyDescent="0.3">
      <c r="A152" s="19" t="s">
        <v>14</v>
      </c>
      <c r="B152" s="19" t="s">
        <v>4</v>
      </c>
      <c r="C152" s="46"/>
      <c r="D152" s="21"/>
      <c r="E152">
        <f t="shared" si="2"/>
        <v>0</v>
      </c>
    </row>
    <row r="153" spans="1:5" ht="15.6" hidden="1" x14ac:dyDescent="0.3">
      <c r="A153" s="19" t="s">
        <v>3</v>
      </c>
      <c r="B153" s="19" t="s">
        <v>4</v>
      </c>
      <c r="C153" s="46"/>
      <c r="D153" s="21"/>
      <c r="E153">
        <f t="shared" si="2"/>
        <v>0</v>
      </c>
    </row>
    <row r="154" spans="1:5" ht="15.6" hidden="1" x14ac:dyDescent="0.3">
      <c r="A154" s="19" t="s">
        <v>5</v>
      </c>
      <c r="B154" s="19" t="s">
        <v>4</v>
      </c>
      <c r="C154" s="46"/>
      <c r="D154" s="21"/>
      <c r="E154">
        <f t="shared" si="2"/>
        <v>0</v>
      </c>
    </row>
    <row r="155" spans="1:5" ht="15.6" x14ac:dyDescent="0.3">
      <c r="A155" s="19" t="s">
        <v>6</v>
      </c>
      <c r="B155" s="19" t="s">
        <v>4</v>
      </c>
      <c r="C155" s="46">
        <v>60</v>
      </c>
      <c r="D155" s="21">
        <v>11000</v>
      </c>
      <c r="E155">
        <f t="shared" si="2"/>
        <v>660000</v>
      </c>
    </row>
    <row r="156" spans="1:5" ht="15.6" x14ac:dyDescent="0.3">
      <c r="A156" s="19" t="s">
        <v>22</v>
      </c>
      <c r="B156" s="19" t="s">
        <v>4</v>
      </c>
      <c r="C156" s="46">
        <v>950</v>
      </c>
      <c r="D156" s="21">
        <v>7500</v>
      </c>
      <c r="E156">
        <f t="shared" si="2"/>
        <v>7125000</v>
      </c>
    </row>
    <row r="157" spans="1:5" ht="15.6" hidden="1" x14ac:dyDescent="0.3">
      <c r="A157" s="19" t="s">
        <v>24</v>
      </c>
      <c r="B157" s="19" t="s">
        <v>4</v>
      </c>
      <c r="C157" s="46"/>
      <c r="D157" s="21"/>
      <c r="E157">
        <f t="shared" si="2"/>
        <v>0</v>
      </c>
    </row>
    <row r="158" spans="1:5" ht="15.6" hidden="1" x14ac:dyDescent="0.3">
      <c r="A158" s="19" t="s">
        <v>40</v>
      </c>
      <c r="B158" s="19" t="s">
        <v>4</v>
      </c>
      <c r="C158" s="46"/>
      <c r="D158" s="21"/>
      <c r="E158">
        <f t="shared" si="2"/>
        <v>0</v>
      </c>
    </row>
    <row r="159" spans="1:5" ht="15.6" x14ac:dyDescent="0.3">
      <c r="A159" s="19" t="s">
        <v>7</v>
      </c>
      <c r="B159" s="19" t="s">
        <v>4</v>
      </c>
      <c r="C159" s="46">
        <v>28</v>
      </c>
      <c r="D159" s="21">
        <v>10000</v>
      </c>
      <c r="E159">
        <f t="shared" si="2"/>
        <v>280000</v>
      </c>
    </row>
    <row r="160" spans="1:5" ht="15.6" x14ac:dyDescent="0.3">
      <c r="A160" s="19" t="s">
        <v>8</v>
      </c>
      <c r="B160" s="19" t="s">
        <v>4</v>
      </c>
      <c r="C160" s="46">
        <v>1000</v>
      </c>
      <c r="D160" s="21">
        <v>5200</v>
      </c>
      <c r="E160">
        <f t="shared" si="2"/>
        <v>5200000</v>
      </c>
    </row>
    <row r="161" spans="1:5" ht="15.6" x14ac:dyDescent="0.3">
      <c r="A161" s="19" t="s">
        <v>10</v>
      </c>
      <c r="B161" s="19" t="s">
        <v>4</v>
      </c>
      <c r="C161" s="46">
        <v>50</v>
      </c>
      <c r="D161" s="21">
        <v>14000</v>
      </c>
      <c r="E161">
        <f t="shared" si="2"/>
        <v>700000</v>
      </c>
    </row>
    <row r="162" spans="1:5" ht="15.6" x14ac:dyDescent="0.3">
      <c r="A162" s="19" t="s">
        <v>15</v>
      </c>
      <c r="B162" s="19" t="s">
        <v>4</v>
      </c>
      <c r="C162" s="46">
        <v>200</v>
      </c>
      <c r="D162" s="21">
        <v>25000</v>
      </c>
      <c r="E162">
        <f t="shared" si="2"/>
        <v>5000000</v>
      </c>
    </row>
    <row r="163" spans="1:5" ht="15.6" x14ac:dyDescent="0.3">
      <c r="A163" s="19" t="s">
        <v>18</v>
      </c>
      <c r="B163" s="19" t="s">
        <v>4</v>
      </c>
      <c r="C163" s="46">
        <v>160</v>
      </c>
      <c r="D163" s="21">
        <v>19000</v>
      </c>
      <c r="E163">
        <f t="shared" si="2"/>
        <v>3040000</v>
      </c>
    </row>
    <row r="164" spans="1:5" ht="15.6" hidden="1" x14ac:dyDescent="0.3">
      <c r="A164" s="19" t="s">
        <v>21</v>
      </c>
      <c r="B164" s="19" t="s">
        <v>4</v>
      </c>
      <c r="C164" s="46"/>
      <c r="D164" s="21"/>
      <c r="E164">
        <f t="shared" si="2"/>
        <v>0</v>
      </c>
    </row>
    <row r="165" spans="1:5" ht="15.6" x14ac:dyDescent="0.3">
      <c r="A165" s="19" t="s">
        <v>43</v>
      </c>
      <c r="B165" s="19" t="s">
        <v>4</v>
      </c>
      <c r="C165" s="46">
        <v>40</v>
      </c>
      <c r="D165" s="21">
        <v>40000</v>
      </c>
      <c r="E165">
        <f t="shared" si="2"/>
        <v>1600000</v>
      </c>
    </row>
    <row r="166" spans="1:5" ht="15.6" x14ac:dyDescent="0.3">
      <c r="A166" s="19" t="s">
        <v>44</v>
      </c>
      <c r="B166" s="19" t="s">
        <v>4</v>
      </c>
      <c r="C166" s="46">
        <v>20</v>
      </c>
      <c r="D166" s="21">
        <v>19000</v>
      </c>
      <c r="E166">
        <f t="shared" si="2"/>
        <v>380000</v>
      </c>
    </row>
    <row r="167" spans="1:5" ht="15.6" x14ac:dyDescent="0.3">
      <c r="A167" s="19" t="s">
        <v>45</v>
      </c>
      <c r="B167" s="19" t="s">
        <v>4</v>
      </c>
      <c r="C167" s="46">
        <v>20</v>
      </c>
      <c r="D167" s="21">
        <v>27000</v>
      </c>
      <c r="E167">
        <f t="shared" si="2"/>
        <v>540000</v>
      </c>
    </row>
    <row r="168" spans="1:5" ht="15.6" hidden="1" x14ac:dyDescent="0.3">
      <c r="A168" s="19" t="s">
        <v>47</v>
      </c>
      <c r="B168" s="19" t="s">
        <v>4</v>
      </c>
      <c r="C168" s="46"/>
      <c r="D168" s="21"/>
      <c r="E168">
        <f t="shared" si="2"/>
        <v>0</v>
      </c>
    </row>
    <row r="169" spans="1:5" ht="15.6" x14ac:dyDescent="0.3">
      <c r="A169" s="19" t="s">
        <v>26</v>
      </c>
      <c r="B169" s="19" t="s">
        <v>4</v>
      </c>
      <c r="C169" s="46">
        <v>100</v>
      </c>
      <c r="D169" s="21">
        <v>13000</v>
      </c>
      <c r="E169">
        <f t="shared" si="2"/>
        <v>1300000</v>
      </c>
    </row>
    <row r="170" spans="1:5" ht="15.6" hidden="1" x14ac:dyDescent="0.3">
      <c r="A170" s="19" t="s">
        <v>25</v>
      </c>
      <c r="B170" s="19" t="s">
        <v>4</v>
      </c>
      <c r="C170" s="46"/>
      <c r="D170" s="21"/>
      <c r="E170">
        <f t="shared" si="2"/>
        <v>0</v>
      </c>
    </row>
    <row r="171" spans="1:5" ht="15.6" hidden="1" x14ac:dyDescent="0.3">
      <c r="A171" s="19" t="s">
        <v>23</v>
      </c>
      <c r="B171" s="19" t="s">
        <v>4</v>
      </c>
      <c r="C171" s="46"/>
      <c r="D171" s="21"/>
      <c r="E171">
        <f t="shared" si="2"/>
        <v>0</v>
      </c>
    </row>
    <row r="172" spans="1:5" ht="15.6" hidden="1" x14ac:dyDescent="0.3">
      <c r="A172" s="19" t="s">
        <v>9</v>
      </c>
      <c r="B172" s="19" t="s">
        <v>4</v>
      </c>
      <c r="C172" s="46"/>
      <c r="D172" s="21"/>
      <c r="E172">
        <f t="shared" si="2"/>
        <v>0</v>
      </c>
    </row>
    <row r="173" spans="1:5" ht="15.6" hidden="1" x14ac:dyDescent="0.3">
      <c r="A173" s="19" t="s">
        <v>39</v>
      </c>
      <c r="B173" s="19" t="s">
        <v>4</v>
      </c>
      <c r="C173" s="46"/>
      <c r="D173" s="21"/>
      <c r="E173">
        <f t="shared" si="2"/>
        <v>0</v>
      </c>
    </row>
    <row r="174" spans="1:5" ht="15.6" x14ac:dyDescent="0.3">
      <c r="A174" s="19" t="s">
        <v>41</v>
      </c>
      <c r="B174" s="19" t="s">
        <v>4</v>
      </c>
      <c r="C174" s="46">
        <v>500</v>
      </c>
      <c r="D174" s="21">
        <v>28600</v>
      </c>
      <c r="E174">
        <f t="shared" si="2"/>
        <v>14300000</v>
      </c>
    </row>
    <row r="175" spans="1:5" ht="15.6" hidden="1" x14ac:dyDescent="0.3">
      <c r="A175" s="19" t="s">
        <v>20</v>
      </c>
      <c r="B175" s="19" t="s">
        <v>4</v>
      </c>
      <c r="C175" s="46"/>
      <c r="D175" s="21"/>
      <c r="E175">
        <f t="shared" si="2"/>
        <v>0</v>
      </c>
    </row>
    <row r="176" spans="1:5" ht="15.6" hidden="1" x14ac:dyDescent="0.3">
      <c r="A176" s="19" t="s">
        <v>123</v>
      </c>
      <c r="B176" s="19" t="s">
        <v>31</v>
      </c>
      <c r="C176" s="46"/>
      <c r="D176" s="21"/>
      <c r="E176">
        <f t="shared" si="2"/>
        <v>0</v>
      </c>
    </row>
    <row r="177" spans="1:5" ht="15.6" hidden="1" x14ac:dyDescent="0.3">
      <c r="A177" s="19" t="s">
        <v>37</v>
      </c>
      <c r="B177" s="19" t="s">
        <v>4</v>
      </c>
      <c r="C177" s="46"/>
      <c r="D177" s="21"/>
      <c r="E177">
        <f t="shared" si="2"/>
        <v>0</v>
      </c>
    </row>
    <row r="178" spans="1:5" ht="15.6" hidden="1" x14ac:dyDescent="0.3">
      <c r="A178" s="19" t="s">
        <v>37</v>
      </c>
      <c r="B178" s="19" t="s">
        <v>151</v>
      </c>
      <c r="C178" s="46"/>
      <c r="D178" s="21"/>
      <c r="E178">
        <f t="shared" si="2"/>
        <v>0</v>
      </c>
    </row>
    <row r="179" spans="1:5" ht="15.6" x14ac:dyDescent="0.3">
      <c r="A179" s="19" t="s">
        <v>12</v>
      </c>
      <c r="B179" s="19" t="s">
        <v>4</v>
      </c>
      <c r="C179" s="46">
        <v>55</v>
      </c>
      <c r="D179" s="21">
        <v>28000</v>
      </c>
      <c r="E179">
        <f t="shared" si="2"/>
        <v>1540000</v>
      </c>
    </row>
    <row r="180" spans="1:5" ht="15.6" hidden="1" x14ac:dyDescent="0.3">
      <c r="A180" s="19" t="s">
        <v>124</v>
      </c>
      <c r="B180" s="19" t="s">
        <v>4</v>
      </c>
      <c r="C180" s="46"/>
      <c r="D180" s="21"/>
      <c r="E180">
        <f t="shared" si="2"/>
        <v>0</v>
      </c>
    </row>
    <row r="181" spans="1:5" ht="15.6" x14ac:dyDescent="0.3">
      <c r="A181" s="19" t="s">
        <v>145</v>
      </c>
      <c r="B181" s="19" t="s">
        <v>4</v>
      </c>
      <c r="C181" s="46">
        <v>350</v>
      </c>
      <c r="D181" s="21">
        <v>5500</v>
      </c>
      <c r="E181">
        <f t="shared" si="2"/>
        <v>1925000</v>
      </c>
    </row>
    <row r="182" spans="1:5" ht="15.6" hidden="1" x14ac:dyDescent="0.3">
      <c r="A182" s="19" t="s">
        <v>16</v>
      </c>
      <c r="B182" s="19" t="s">
        <v>4</v>
      </c>
      <c r="C182" s="46"/>
      <c r="D182" s="21"/>
      <c r="E182">
        <f t="shared" si="2"/>
        <v>0</v>
      </c>
    </row>
    <row r="183" spans="1:5" ht="15.6" hidden="1" x14ac:dyDescent="0.3">
      <c r="A183" s="19" t="s">
        <v>17</v>
      </c>
      <c r="B183" s="19" t="s">
        <v>4</v>
      </c>
      <c r="C183" s="46"/>
      <c r="D183" s="21"/>
      <c r="E183">
        <f t="shared" si="2"/>
        <v>0</v>
      </c>
    </row>
    <row r="184" spans="1:5" ht="15.6" hidden="1" x14ac:dyDescent="0.3">
      <c r="A184" s="19" t="s">
        <v>17</v>
      </c>
      <c r="B184" s="19" t="s">
        <v>147</v>
      </c>
      <c r="C184" s="46"/>
      <c r="D184" s="21"/>
      <c r="E184">
        <f t="shared" si="2"/>
        <v>0</v>
      </c>
    </row>
    <row r="185" spans="1:5" ht="15.6" hidden="1" x14ac:dyDescent="0.3">
      <c r="A185" s="19" t="s">
        <v>46</v>
      </c>
      <c r="B185" s="19" t="s">
        <v>4</v>
      </c>
      <c r="C185" s="46"/>
      <c r="D185" s="21"/>
      <c r="E185">
        <f t="shared" si="2"/>
        <v>0</v>
      </c>
    </row>
    <row r="186" spans="1:5" ht="15.6" hidden="1" x14ac:dyDescent="0.3">
      <c r="A186" s="19" t="s">
        <v>11</v>
      </c>
      <c r="B186" s="19" t="s">
        <v>4</v>
      </c>
      <c r="C186" s="46"/>
      <c r="D186" s="21"/>
      <c r="E186">
        <f t="shared" si="2"/>
        <v>0</v>
      </c>
    </row>
    <row r="187" spans="1:5" ht="15.6" hidden="1" x14ac:dyDescent="0.3">
      <c r="A187" s="19" t="s">
        <v>42</v>
      </c>
      <c r="B187" s="19" t="s">
        <v>4</v>
      </c>
      <c r="C187" s="46"/>
      <c r="D187" s="21"/>
      <c r="E187">
        <f t="shared" si="2"/>
        <v>0</v>
      </c>
    </row>
    <row r="188" spans="1:5" ht="15.6" hidden="1" x14ac:dyDescent="0.3">
      <c r="A188" s="19" t="s">
        <v>19</v>
      </c>
      <c r="B188" s="19" t="s">
        <v>4</v>
      </c>
      <c r="C188" s="46"/>
      <c r="D188" s="21"/>
      <c r="E188">
        <f t="shared" si="2"/>
        <v>0</v>
      </c>
    </row>
    <row r="189" spans="1:5" ht="15.6" hidden="1" x14ac:dyDescent="0.3">
      <c r="A189" s="19" t="s">
        <v>48</v>
      </c>
      <c r="B189" s="19" t="s">
        <v>4</v>
      </c>
      <c r="C189" s="46"/>
      <c r="D189" s="21"/>
      <c r="E189">
        <f t="shared" si="2"/>
        <v>0</v>
      </c>
    </row>
    <row r="190" spans="1:5" x14ac:dyDescent="0.3">
      <c r="E190" s="23">
        <f>SUM(E143:E181)</f>
        <v>52110000</v>
      </c>
    </row>
    <row r="191" spans="1:5" x14ac:dyDescent="0.3">
      <c r="E191" s="14">
        <f>SUM(E139,E190)</f>
        <v>228994900</v>
      </c>
    </row>
  </sheetData>
  <autoFilter ref="A2:E189" xr:uid="{00000000-0009-0000-0000-00000B000000}">
    <filterColumn colId="2">
      <filters>
        <filter val="10"/>
        <filter val="100"/>
        <filter val="1000"/>
        <filter val="105"/>
        <filter val="110"/>
        <filter val="121"/>
        <filter val="1360"/>
        <filter val="150"/>
        <filter val="157"/>
        <filter val="1575"/>
        <filter val="160"/>
        <filter val="18"/>
        <filter val="190"/>
        <filter val="1970"/>
        <filter val="2"/>
        <filter val="20"/>
        <filter val="200"/>
        <filter val="210"/>
        <filter val="23"/>
        <filter val="230"/>
        <filter val="25"/>
        <filter val="28"/>
        <filter val="280"/>
        <filter val="30"/>
        <filter val="322"/>
        <filter val="33"/>
        <filter val="35"/>
        <filter val="350"/>
        <filter val="360"/>
        <filter val="3640"/>
        <filter val="4"/>
        <filter val="40"/>
        <filter val="5"/>
        <filter val="50"/>
        <filter val="500"/>
        <filter val="55"/>
        <filter val="550"/>
        <filter val="60"/>
        <filter val="610"/>
        <filter val="7"/>
        <filter val="8"/>
        <filter val="90"/>
        <filter val="950"/>
        <filter val="965"/>
        <filter val="Tồn_x000a_ĐL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2:F211"/>
  <sheetViews>
    <sheetView topLeftCell="A181" workbookViewId="0">
      <selection activeCell="E211" sqref="E211"/>
    </sheetView>
  </sheetViews>
  <sheetFormatPr defaultRowHeight="14.4" x14ac:dyDescent="0.3"/>
  <cols>
    <col min="1" max="1" width="28.109375" customWidth="1"/>
    <col min="3" max="3" width="10.33203125" customWidth="1"/>
    <col min="4" max="4" width="10.88671875" customWidth="1"/>
    <col min="5" max="5" width="18.88671875" customWidth="1"/>
  </cols>
  <sheetData>
    <row r="2" spans="1:5" x14ac:dyDescent="0.3">
      <c r="A2" t="s">
        <v>198</v>
      </c>
    </row>
    <row r="3" spans="1:5" x14ac:dyDescent="0.3">
      <c r="A3" t="s">
        <v>0</v>
      </c>
      <c r="B3" t="s">
        <v>1</v>
      </c>
      <c r="C3" t="s">
        <v>2</v>
      </c>
      <c r="D3" t="s">
        <v>137</v>
      </c>
      <c r="E3" t="s">
        <v>138</v>
      </c>
    </row>
    <row r="4" spans="1:5" x14ac:dyDescent="0.3">
      <c r="A4" t="s">
        <v>49</v>
      </c>
      <c r="B4" t="s">
        <v>4</v>
      </c>
      <c r="C4">
        <v>140</v>
      </c>
      <c r="D4">
        <v>15000</v>
      </c>
      <c r="E4">
        <f>C4*D4</f>
        <v>2100000</v>
      </c>
    </row>
    <row r="5" spans="1:5" hidden="1" x14ac:dyDescent="0.3">
      <c r="A5" t="s">
        <v>49</v>
      </c>
      <c r="B5" t="s">
        <v>31</v>
      </c>
      <c r="C5">
        <v>0</v>
      </c>
      <c r="E5">
        <f t="shared" ref="E5:E68" si="0">C5*D5</f>
        <v>0</v>
      </c>
    </row>
    <row r="6" spans="1:5" hidden="1" x14ac:dyDescent="0.3">
      <c r="A6" t="s">
        <v>19</v>
      </c>
      <c r="B6" t="s">
        <v>50</v>
      </c>
      <c r="C6">
        <v>0</v>
      </c>
      <c r="E6">
        <f t="shared" si="0"/>
        <v>0</v>
      </c>
    </row>
    <row r="7" spans="1:5" hidden="1" x14ac:dyDescent="0.3">
      <c r="A7" t="s">
        <v>51</v>
      </c>
      <c r="B7" t="s">
        <v>53</v>
      </c>
      <c r="C7">
        <v>0</v>
      </c>
      <c r="E7">
        <f t="shared" si="0"/>
        <v>0</v>
      </c>
    </row>
    <row r="8" spans="1:5" hidden="1" x14ac:dyDescent="0.3">
      <c r="A8" t="s">
        <v>51</v>
      </c>
      <c r="B8" t="s">
        <v>4</v>
      </c>
      <c r="C8">
        <v>0</v>
      </c>
      <c r="E8">
        <f t="shared" si="0"/>
        <v>0</v>
      </c>
    </row>
    <row r="9" spans="1:5" x14ac:dyDescent="0.3">
      <c r="A9" t="s">
        <v>28</v>
      </c>
      <c r="B9" t="s">
        <v>4</v>
      </c>
      <c r="C9">
        <v>85</v>
      </c>
      <c r="D9">
        <v>17000</v>
      </c>
      <c r="E9">
        <f t="shared" si="0"/>
        <v>1445000</v>
      </c>
    </row>
    <row r="10" spans="1:5" hidden="1" x14ac:dyDescent="0.3">
      <c r="A10" t="s">
        <v>28</v>
      </c>
      <c r="B10" t="s">
        <v>31</v>
      </c>
      <c r="C10">
        <v>0</v>
      </c>
      <c r="E10">
        <f t="shared" si="0"/>
        <v>0</v>
      </c>
    </row>
    <row r="11" spans="1:5" x14ac:dyDescent="0.3">
      <c r="A11" t="s">
        <v>29</v>
      </c>
      <c r="B11" t="s">
        <v>4</v>
      </c>
      <c r="C11">
        <v>665</v>
      </c>
      <c r="D11">
        <v>22000</v>
      </c>
      <c r="E11">
        <f t="shared" si="0"/>
        <v>14630000</v>
      </c>
    </row>
    <row r="12" spans="1:5" hidden="1" x14ac:dyDescent="0.3">
      <c r="A12" t="s">
        <v>29</v>
      </c>
      <c r="B12" t="s">
        <v>150</v>
      </c>
      <c r="C12">
        <v>0</v>
      </c>
      <c r="E12">
        <f t="shared" si="0"/>
        <v>0</v>
      </c>
    </row>
    <row r="13" spans="1:5" x14ac:dyDescent="0.3">
      <c r="A13" t="s">
        <v>56</v>
      </c>
      <c r="B13" t="s">
        <v>31</v>
      </c>
      <c r="C13">
        <v>1433.3333333333335</v>
      </c>
      <c r="D13">
        <v>4500</v>
      </c>
      <c r="E13">
        <f t="shared" si="0"/>
        <v>6450000.0000000009</v>
      </c>
    </row>
    <row r="14" spans="1:5" x14ac:dyDescent="0.3">
      <c r="A14" t="s">
        <v>57</v>
      </c>
      <c r="B14" t="s">
        <v>4</v>
      </c>
      <c r="C14">
        <v>180</v>
      </c>
      <c r="D14">
        <v>21000</v>
      </c>
      <c r="E14">
        <f t="shared" si="0"/>
        <v>3780000</v>
      </c>
    </row>
    <row r="15" spans="1:5" hidden="1" x14ac:dyDescent="0.3">
      <c r="A15" t="s">
        <v>57</v>
      </c>
      <c r="B15" t="s">
        <v>31</v>
      </c>
      <c r="C15">
        <v>0</v>
      </c>
      <c r="E15">
        <f t="shared" si="0"/>
        <v>0</v>
      </c>
    </row>
    <row r="16" spans="1:5" x14ac:dyDescent="0.3">
      <c r="A16" t="s">
        <v>32</v>
      </c>
      <c r="B16" t="s">
        <v>4</v>
      </c>
      <c r="C16">
        <v>420</v>
      </c>
      <c r="D16">
        <v>19000</v>
      </c>
      <c r="E16">
        <f t="shared" si="0"/>
        <v>7980000</v>
      </c>
    </row>
    <row r="17" spans="1:5" hidden="1" x14ac:dyDescent="0.3">
      <c r="A17" t="s">
        <v>32</v>
      </c>
      <c r="B17" t="s">
        <v>31</v>
      </c>
      <c r="C17">
        <v>0</v>
      </c>
      <c r="E17">
        <f t="shared" si="0"/>
        <v>0</v>
      </c>
    </row>
    <row r="18" spans="1:5" x14ac:dyDescent="0.3">
      <c r="A18" t="s">
        <v>34</v>
      </c>
      <c r="B18" t="s">
        <v>4</v>
      </c>
      <c r="C18">
        <v>365</v>
      </c>
      <c r="D18">
        <v>15000</v>
      </c>
      <c r="E18">
        <f t="shared" si="0"/>
        <v>5475000</v>
      </c>
    </row>
    <row r="19" spans="1:5" hidden="1" x14ac:dyDescent="0.3">
      <c r="A19" t="s">
        <v>34</v>
      </c>
      <c r="B19" t="s">
        <v>31</v>
      </c>
      <c r="C19">
        <v>0</v>
      </c>
      <c r="E19">
        <f t="shared" si="0"/>
        <v>0</v>
      </c>
    </row>
    <row r="20" spans="1:5" hidden="1" x14ac:dyDescent="0.3">
      <c r="A20" t="s">
        <v>60</v>
      </c>
      <c r="B20" t="s">
        <v>4</v>
      </c>
      <c r="C20">
        <v>0</v>
      </c>
      <c r="E20">
        <f t="shared" si="0"/>
        <v>0</v>
      </c>
    </row>
    <row r="21" spans="1:5" hidden="1" x14ac:dyDescent="0.3">
      <c r="A21" t="s">
        <v>60</v>
      </c>
      <c r="B21" t="s">
        <v>50</v>
      </c>
      <c r="C21">
        <v>0</v>
      </c>
      <c r="E21">
        <f t="shared" si="0"/>
        <v>0</v>
      </c>
    </row>
    <row r="22" spans="1:5" x14ac:dyDescent="0.3">
      <c r="A22" t="s">
        <v>6</v>
      </c>
      <c r="B22" t="s">
        <v>4</v>
      </c>
      <c r="C22">
        <v>488</v>
      </c>
      <c r="D22">
        <v>11000</v>
      </c>
      <c r="E22">
        <f t="shared" si="0"/>
        <v>5368000</v>
      </c>
    </row>
    <row r="23" spans="1:5" hidden="1" x14ac:dyDescent="0.3">
      <c r="A23" t="s">
        <v>62</v>
      </c>
      <c r="B23" t="s">
        <v>4</v>
      </c>
      <c r="C23">
        <v>0</v>
      </c>
      <c r="E23">
        <f t="shared" si="0"/>
        <v>0</v>
      </c>
    </row>
    <row r="24" spans="1:5" x14ac:dyDescent="0.3">
      <c r="A24" t="s">
        <v>62</v>
      </c>
      <c r="B24" t="s">
        <v>31</v>
      </c>
      <c r="C24">
        <v>25</v>
      </c>
      <c r="D24">
        <v>12000</v>
      </c>
      <c r="E24">
        <f t="shared" si="0"/>
        <v>300000</v>
      </c>
    </row>
    <row r="25" spans="1:5" hidden="1" x14ac:dyDescent="0.3">
      <c r="A25" t="s">
        <v>64</v>
      </c>
      <c r="B25" t="s">
        <v>4</v>
      </c>
      <c r="C25">
        <v>0</v>
      </c>
      <c r="E25">
        <f t="shared" si="0"/>
        <v>0</v>
      </c>
    </row>
    <row r="26" spans="1:5" hidden="1" x14ac:dyDescent="0.3">
      <c r="A26" t="s">
        <v>64</v>
      </c>
      <c r="B26" t="s">
        <v>31</v>
      </c>
      <c r="C26">
        <v>0</v>
      </c>
      <c r="E26">
        <f t="shared" si="0"/>
        <v>0</v>
      </c>
    </row>
    <row r="27" spans="1:5" hidden="1" x14ac:dyDescent="0.3">
      <c r="A27" t="s">
        <v>64</v>
      </c>
      <c r="B27" t="s">
        <v>65</v>
      </c>
      <c r="C27">
        <v>0</v>
      </c>
      <c r="E27">
        <f t="shared" si="0"/>
        <v>0</v>
      </c>
    </row>
    <row r="28" spans="1:5" x14ac:dyDescent="0.3">
      <c r="A28" t="s">
        <v>22</v>
      </c>
      <c r="B28" t="s">
        <v>4</v>
      </c>
      <c r="C28">
        <v>5475</v>
      </c>
      <c r="D28">
        <v>7500</v>
      </c>
      <c r="E28">
        <f t="shared" si="0"/>
        <v>41062500</v>
      </c>
    </row>
    <row r="29" spans="1:5" hidden="1" x14ac:dyDescent="0.3">
      <c r="A29" t="s">
        <v>24</v>
      </c>
      <c r="B29" t="s">
        <v>66</v>
      </c>
      <c r="C29">
        <v>0</v>
      </c>
      <c r="E29">
        <f t="shared" si="0"/>
        <v>0</v>
      </c>
    </row>
    <row r="30" spans="1:5" x14ac:dyDescent="0.3">
      <c r="A30" t="s">
        <v>24</v>
      </c>
      <c r="B30" t="s">
        <v>4</v>
      </c>
      <c r="C30">
        <v>115</v>
      </c>
      <c r="D30">
        <v>10000</v>
      </c>
      <c r="E30">
        <f t="shared" si="0"/>
        <v>1150000</v>
      </c>
    </row>
    <row r="31" spans="1:5" hidden="1" x14ac:dyDescent="0.3">
      <c r="A31" t="s">
        <v>24</v>
      </c>
      <c r="B31" t="s">
        <v>31</v>
      </c>
      <c r="C31">
        <v>0</v>
      </c>
      <c r="E31">
        <f t="shared" si="0"/>
        <v>0</v>
      </c>
    </row>
    <row r="32" spans="1:5" hidden="1" x14ac:dyDescent="0.3">
      <c r="A32" t="s">
        <v>75</v>
      </c>
      <c r="B32" t="s">
        <v>4</v>
      </c>
      <c r="C32">
        <v>0</v>
      </c>
      <c r="E32">
        <f t="shared" si="0"/>
        <v>0</v>
      </c>
    </row>
    <row r="33" spans="1:5" x14ac:dyDescent="0.3">
      <c r="A33" t="s">
        <v>8</v>
      </c>
      <c r="B33" t="s">
        <v>4</v>
      </c>
      <c r="C33">
        <v>1560</v>
      </c>
      <c r="D33">
        <v>5200</v>
      </c>
      <c r="E33">
        <f t="shared" si="0"/>
        <v>8112000</v>
      </c>
    </row>
    <row r="34" spans="1:5" x14ac:dyDescent="0.3">
      <c r="A34" t="s">
        <v>10</v>
      </c>
      <c r="B34" t="s">
        <v>4</v>
      </c>
      <c r="C34">
        <v>245</v>
      </c>
      <c r="D34">
        <v>14000</v>
      </c>
      <c r="E34">
        <f t="shared" si="0"/>
        <v>3430000</v>
      </c>
    </row>
    <row r="35" spans="1:5" hidden="1" x14ac:dyDescent="0.3">
      <c r="A35" t="s">
        <v>10</v>
      </c>
      <c r="B35" t="s">
        <v>84</v>
      </c>
      <c r="C35">
        <v>0</v>
      </c>
      <c r="E35">
        <f t="shared" si="0"/>
        <v>0</v>
      </c>
    </row>
    <row r="36" spans="1:5" x14ac:dyDescent="0.3">
      <c r="A36" t="s">
        <v>11</v>
      </c>
      <c r="B36" t="s">
        <v>4</v>
      </c>
      <c r="C36">
        <v>90</v>
      </c>
      <c r="D36">
        <v>14000</v>
      </c>
      <c r="E36">
        <f t="shared" si="0"/>
        <v>1260000</v>
      </c>
    </row>
    <row r="37" spans="1:5" hidden="1" x14ac:dyDescent="0.3">
      <c r="A37" t="s">
        <v>11</v>
      </c>
      <c r="B37" t="s">
        <v>84</v>
      </c>
      <c r="C37">
        <v>0</v>
      </c>
      <c r="E37">
        <f t="shared" si="0"/>
        <v>0</v>
      </c>
    </row>
    <row r="38" spans="1:5" x14ac:dyDescent="0.3">
      <c r="A38" t="s">
        <v>15</v>
      </c>
      <c r="B38" t="s">
        <v>4</v>
      </c>
      <c r="C38">
        <v>245</v>
      </c>
      <c r="D38">
        <v>24000</v>
      </c>
      <c r="E38">
        <f t="shared" si="0"/>
        <v>5880000</v>
      </c>
    </row>
    <row r="39" spans="1:5" hidden="1" x14ac:dyDescent="0.3">
      <c r="A39" t="s">
        <v>15</v>
      </c>
      <c r="B39" t="s">
        <v>50</v>
      </c>
      <c r="C39">
        <v>0</v>
      </c>
      <c r="E39">
        <f t="shared" si="0"/>
        <v>0</v>
      </c>
    </row>
    <row r="40" spans="1:5" hidden="1" x14ac:dyDescent="0.3">
      <c r="A40" t="s">
        <v>15</v>
      </c>
      <c r="B40" t="s">
        <v>164</v>
      </c>
      <c r="C40">
        <v>0</v>
      </c>
      <c r="E40">
        <f t="shared" si="0"/>
        <v>0</v>
      </c>
    </row>
    <row r="41" spans="1:5" x14ac:dyDescent="0.3">
      <c r="A41" t="s">
        <v>18</v>
      </c>
      <c r="B41" t="s">
        <v>4</v>
      </c>
      <c r="C41">
        <v>337</v>
      </c>
      <c r="D41">
        <v>18000</v>
      </c>
      <c r="E41">
        <f t="shared" si="0"/>
        <v>6066000</v>
      </c>
    </row>
    <row r="42" spans="1:5" hidden="1" x14ac:dyDescent="0.3">
      <c r="A42" t="s">
        <v>18</v>
      </c>
      <c r="B42" t="s">
        <v>50</v>
      </c>
      <c r="C42">
        <v>0</v>
      </c>
      <c r="E42">
        <f t="shared" si="0"/>
        <v>0</v>
      </c>
    </row>
    <row r="43" spans="1:5" hidden="1" x14ac:dyDescent="0.3">
      <c r="A43" t="s">
        <v>92</v>
      </c>
      <c r="B43" t="s">
        <v>4</v>
      </c>
      <c r="E43">
        <f t="shared" si="0"/>
        <v>0</v>
      </c>
    </row>
    <row r="44" spans="1:5" x14ac:dyDescent="0.3">
      <c r="A44" t="s">
        <v>92</v>
      </c>
      <c r="B44" t="s">
        <v>31</v>
      </c>
      <c r="C44">
        <v>145</v>
      </c>
      <c r="D44">
        <v>15000</v>
      </c>
      <c r="E44">
        <f t="shared" si="0"/>
        <v>2175000</v>
      </c>
    </row>
    <row r="45" spans="1:5" x14ac:dyDescent="0.3">
      <c r="A45" t="s">
        <v>39</v>
      </c>
      <c r="B45" t="s">
        <v>4</v>
      </c>
      <c r="C45">
        <v>65</v>
      </c>
      <c r="D45">
        <v>7500</v>
      </c>
      <c r="E45">
        <f t="shared" si="0"/>
        <v>487500</v>
      </c>
    </row>
    <row r="46" spans="1:5" x14ac:dyDescent="0.3">
      <c r="A46" t="s">
        <v>39</v>
      </c>
      <c r="B46" t="s">
        <v>50</v>
      </c>
      <c r="C46">
        <v>370</v>
      </c>
      <c r="D46">
        <v>6000</v>
      </c>
      <c r="E46">
        <f t="shared" si="0"/>
        <v>2220000</v>
      </c>
    </row>
    <row r="47" spans="1:5" x14ac:dyDescent="0.3">
      <c r="A47" t="s">
        <v>100</v>
      </c>
      <c r="B47" t="s">
        <v>4</v>
      </c>
      <c r="C47">
        <v>43</v>
      </c>
      <c r="D47">
        <v>10000</v>
      </c>
      <c r="E47">
        <f t="shared" si="0"/>
        <v>430000</v>
      </c>
    </row>
    <row r="48" spans="1:5" x14ac:dyDescent="0.3">
      <c r="A48" t="s">
        <v>43</v>
      </c>
      <c r="B48" t="s">
        <v>4</v>
      </c>
      <c r="C48">
        <v>141</v>
      </c>
      <c r="D48">
        <v>38000</v>
      </c>
      <c r="E48">
        <f t="shared" si="0"/>
        <v>5358000</v>
      </c>
    </row>
    <row r="49" spans="1:6" hidden="1" x14ac:dyDescent="0.3">
      <c r="A49" t="s">
        <v>43</v>
      </c>
      <c r="B49" t="s">
        <v>84</v>
      </c>
      <c r="C49">
        <v>0</v>
      </c>
      <c r="E49">
        <f t="shared" si="0"/>
        <v>0</v>
      </c>
    </row>
    <row r="50" spans="1:6" x14ac:dyDescent="0.3">
      <c r="A50" t="s">
        <v>44</v>
      </c>
      <c r="B50" t="s">
        <v>4</v>
      </c>
      <c r="C50">
        <v>73</v>
      </c>
      <c r="D50">
        <v>18000</v>
      </c>
      <c r="E50">
        <f t="shared" si="0"/>
        <v>1314000</v>
      </c>
    </row>
    <row r="51" spans="1:6" hidden="1" x14ac:dyDescent="0.3">
      <c r="A51" t="s">
        <v>44</v>
      </c>
      <c r="B51" t="s">
        <v>84</v>
      </c>
      <c r="C51">
        <v>0</v>
      </c>
      <c r="E51">
        <f t="shared" si="0"/>
        <v>0</v>
      </c>
    </row>
    <row r="52" spans="1:6" hidden="1" x14ac:dyDescent="0.3">
      <c r="A52" t="s">
        <v>45</v>
      </c>
      <c r="B52" t="s">
        <v>4</v>
      </c>
      <c r="C52">
        <v>0</v>
      </c>
      <c r="E52">
        <f t="shared" si="0"/>
        <v>0</v>
      </c>
    </row>
    <row r="53" spans="1:6" hidden="1" x14ac:dyDescent="0.3">
      <c r="A53" t="s">
        <v>45</v>
      </c>
      <c r="B53" t="s">
        <v>84</v>
      </c>
      <c r="C53">
        <v>0</v>
      </c>
      <c r="E53">
        <f t="shared" si="0"/>
        <v>0</v>
      </c>
    </row>
    <row r="54" spans="1:6" hidden="1" x14ac:dyDescent="0.3">
      <c r="A54" t="s">
        <v>12</v>
      </c>
      <c r="B54" t="s">
        <v>4</v>
      </c>
      <c r="C54">
        <v>0</v>
      </c>
      <c r="E54">
        <f t="shared" si="0"/>
        <v>0</v>
      </c>
    </row>
    <row r="55" spans="1:6" hidden="1" x14ac:dyDescent="0.3">
      <c r="A55" t="s">
        <v>116</v>
      </c>
      <c r="B55" t="s">
        <v>50</v>
      </c>
      <c r="C55">
        <v>0</v>
      </c>
      <c r="E55">
        <f t="shared" si="0"/>
        <v>0</v>
      </c>
    </row>
    <row r="56" spans="1:6" hidden="1" x14ac:dyDescent="0.3">
      <c r="A56" t="s">
        <v>117</v>
      </c>
      <c r="B56" t="s">
        <v>4</v>
      </c>
      <c r="C56">
        <v>0</v>
      </c>
      <c r="E56">
        <f t="shared" si="0"/>
        <v>0</v>
      </c>
    </row>
    <row r="57" spans="1:6" hidden="1" x14ac:dyDescent="0.3">
      <c r="A57" t="s">
        <v>17</v>
      </c>
      <c r="B57" t="s">
        <v>4</v>
      </c>
      <c r="C57">
        <v>0</v>
      </c>
      <c r="E57">
        <f t="shared" si="0"/>
        <v>0</v>
      </c>
    </row>
    <row r="58" spans="1:6" hidden="1" x14ac:dyDescent="0.3">
      <c r="A58" t="s">
        <v>17</v>
      </c>
      <c r="B58" t="s">
        <v>147</v>
      </c>
      <c r="C58">
        <v>0</v>
      </c>
      <c r="E58">
        <f t="shared" si="0"/>
        <v>0</v>
      </c>
    </row>
    <row r="59" spans="1:6" hidden="1" x14ac:dyDescent="0.3">
      <c r="A59" t="s">
        <v>118</v>
      </c>
      <c r="B59" t="s">
        <v>4</v>
      </c>
      <c r="C59">
        <v>0</v>
      </c>
      <c r="E59">
        <f t="shared" si="0"/>
        <v>0</v>
      </c>
    </row>
    <row r="60" spans="1:6" x14ac:dyDescent="0.3">
      <c r="A60" t="s">
        <v>41</v>
      </c>
      <c r="B60" t="s">
        <v>4</v>
      </c>
      <c r="C60">
        <f>1165+1500</f>
        <v>2665</v>
      </c>
      <c r="D60">
        <v>28600</v>
      </c>
      <c r="E60">
        <f t="shared" si="0"/>
        <v>76219000</v>
      </c>
      <c r="F60" t="s">
        <v>212</v>
      </c>
    </row>
    <row r="61" spans="1:6" x14ac:dyDescent="0.3">
      <c r="A61" t="s">
        <v>3</v>
      </c>
      <c r="B61" t="s">
        <v>4</v>
      </c>
      <c r="C61">
        <v>37</v>
      </c>
      <c r="D61">
        <v>30000</v>
      </c>
      <c r="E61">
        <f t="shared" si="0"/>
        <v>1110000</v>
      </c>
    </row>
    <row r="62" spans="1:6" hidden="1" x14ac:dyDescent="0.3">
      <c r="A62" t="s">
        <v>74</v>
      </c>
      <c r="B62" t="s">
        <v>4</v>
      </c>
      <c r="C62">
        <v>0</v>
      </c>
      <c r="E62">
        <f t="shared" si="0"/>
        <v>0</v>
      </c>
    </row>
    <row r="63" spans="1:6" hidden="1" x14ac:dyDescent="0.3">
      <c r="A63" t="s">
        <v>74</v>
      </c>
      <c r="B63" t="s">
        <v>31</v>
      </c>
      <c r="C63">
        <v>0</v>
      </c>
      <c r="E63">
        <f t="shared" si="0"/>
        <v>0</v>
      </c>
    </row>
    <row r="64" spans="1:6" hidden="1" x14ac:dyDescent="0.3">
      <c r="A64" t="s">
        <v>83</v>
      </c>
      <c r="B64" t="s">
        <v>4</v>
      </c>
      <c r="C64">
        <v>0</v>
      </c>
      <c r="E64">
        <f t="shared" si="0"/>
        <v>0</v>
      </c>
    </row>
    <row r="65" spans="1:5" hidden="1" x14ac:dyDescent="0.3">
      <c r="A65" t="s">
        <v>78</v>
      </c>
      <c r="B65" t="s">
        <v>4</v>
      </c>
      <c r="C65">
        <v>0</v>
      </c>
      <c r="E65">
        <f t="shared" si="0"/>
        <v>0</v>
      </c>
    </row>
    <row r="66" spans="1:5" x14ac:dyDescent="0.3">
      <c r="A66" t="s">
        <v>58</v>
      </c>
      <c r="B66" t="s">
        <v>4</v>
      </c>
      <c r="C66">
        <v>3</v>
      </c>
      <c r="D66">
        <v>30000</v>
      </c>
      <c r="E66">
        <f t="shared" si="0"/>
        <v>90000</v>
      </c>
    </row>
    <row r="67" spans="1:5" hidden="1" x14ac:dyDescent="0.3">
      <c r="A67" t="s">
        <v>167</v>
      </c>
      <c r="B67" t="s">
        <v>53</v>
      </c>
      <c r="C67">
        <v>0</v>
      </c>
      <c r="E67">
        <f t="shared" si="0"/>
        <v>0</v>
      </c>
    </row>
    <row r="68" spans="1:5" hidden="1" x14ac:dyDescent="0.3">
      <c r="A68" t="s">
        <v>40</v>
      </c>
      <c r="B68" t="s">
        <v>66</v>
      </c>
      <c r="C68">
        <v>0</v>
      </c>
      <c r="E68">
        <f t="shared" si="0"/>
        <v>0</v>
      </c>
    </row>
    <row r="69" spans="1:5" x14ac:dyDescent="0.3">
      <c r="A69" t="s">
        <v>40</v>
      </c>
      <c r="B69" t="s">
        <v>4</v>
      </c>
      <c r="C69">
        <v>10</v>
      </c>
      <c r="D69">
        <v>38000</v>
      </c>
      <c r="E69">
        <f t="shared" ref="E69:E132" si="1">C69*D69</f>
        <v>380000</v>
      </c>
    </row>
    <row r="70" spans="1:5" hidden="1" x14ac:dyDescent="0.3">
      <c r="A70" t="s">
        <v>40</v>
      </c>
      <c r="B70" t="s">
        <v>174</v>
      </c>
      <c r="C70">
        <v>0</v>
      </c>
      <c r="E70">
        <f t="shared" si="1"/>
        <v>0</v>
      </c>
    </row>
    <row r="71" spans="1:5" hidden="1" x14ac:dyDescent="0.3">
      <c r="A71" t="s">
        <v>101</v>
      </c>
      <c r="B71" t="s">
        <v>53</v>
      </c>
      <c r="C71">
        <v>0</v>
      </c>
      <c r="E71">
        <f t="shared" si="1"/>
        <v>0</v>
      </c>
    </row>
    <row r="72" spans="1:5" hidden="1" x14ac:dyDescent="0.3">
      <c r="A72" t="s">
        <v>101</v>
      </c>
      <c r="B72" t="s">
        <v>4</v>
      </c>
      <c r="C72">
        <v>0</v>
      </c>
      <c r="E72">
        <f t="shared" si="1"/>
        <v>0</v>
      </c>
    </row>
    <row r="73" spans="1:5" hidden="1" x14ac:dyDescent="0.3">
      <c r="A73" t="s">
        <v>42</v>
      </c>
      <c r="B73" t="s">
        <v>31</v>
      </c>
      <c r="C73">
        <v>0</v>
      </c>
      <c r="E73">
        <f t="shared" si="1"/>
        <v>0</v>
      </c>
    </row>
    <row r="74" spans="1:5" hidden="1" x14ac:dyDescent="0.3">
      <c r="A74" t="s">
        <v>46</v>
      </c>
      <c r="B74" t="s">
        <v>4</v>
      </c>
      <c r="C74">
        <v>0</v>
      </c>
      <c r="E74">
        <f t="shared" si="1"/>
        <v>0</v>
      </c>
    </row>
    <row r="75" spans="1:5" x14ac:dyDescent="0.3">
      <c r="A75" t="s">
        <v>46</v>
      </c>
      <c r="B75" t="s">
        <v>31</v>
      </c>
      <c r="C75">
        <v>31</v>
      </c>
      <c r="D75">
        <v>22000</v>
      </c>
      <c r="E75">
        <f t="shared" si="1"/>
        <v>682000</v>
      </c>
    </row>
    <row r="76" spans="1:5" hidden="1" x14ac:dyDescent="0.3">
      <c r="A76" t="s">
        <v>70</v>
      </c>
      <c r="B76" t="s">
        <v>4</v>
      </c>
      <c r="C76">
        <v>0</v>
      </c>
      <c r="E76">
        <f t="shared" si="1"/>
        <v>0</v>
      </c>
    </row>
    <row r="77" spans="1:5" hidden="1" x14ac:dyDescent="0.3">
      <c r="A77" t="s">
        <v>70</v>
      </c>
      <c r="B77" t="s">
        <v>71</v>
      </c>
      <c r="C77">
        <v>0</v>
      </c>
      <c r="E77">
        <f t="shared" si="1"/>
        <v>0</v>
      </c>
    </row>
    <row r="78" spans="1:5" hidden="1" x14ac:dyDescent="0.3">
      <c r="A78" t="s">
        <v>37</v>
      </c>
      <c r="B78" t="s">
        <v>4</v>
      </c>
      <c r="C78">
        <v>0</v>
      </c>
      <c r="E78">
        <f t="shared" si="1"/>
        <v>0</v>
      </c>
    </row>
    <row r="79" spans="1:5" hidden="1" x14ac:dyDescent="0.3">
      <c r="A79" t="s">
        <v>37</v>
      </c>
      <c r="B79" t="s">
        <v>150</v>
      </c>
      <c r="C79">
        <v>0</v>
      </c>
      <c r="E79">
        <f t="shared" si="1"/>
        <v>0</v>
      </c>
    </row>
    <row r="80" spans="1:5" x14ac:dyDescent="0.3">
      <c r="A80" t="s">
        <v>37</v>
      </c>
      <c r="B80" t="s">
        <v>151</v>
      </c>
      <c r="C80">
        <v>9</v>
      </c>
      <c r="D80">
        <v>13000</v>
      </c>
      <c r="E80">
        <f t="shared" si="1"/>
        <v>117000</v>
      </c>
    </row>
    <row r="81" spans="1:5" hidden="1" x14ac:dyDescent="0.3">
      <c r="A81" t="s">
        <v>72</v>
      </c>
      <c r="B81" t="s">
        <v>31</v>
      </c>
      <c r="C81">
        <v>0</v>
      </c>
      <c r="E81">
        <f t="shared" si="1"/>
        <v>0</v>
      </c>
    </row>
    <row r="82" spans="1:5" hidden="1" x14ac:dyDescent="0.3">
      <c r="A82" t="s">
        <v>72</v>
      </c>
      <c r="B82" t="s">
        <v>73</v>
      </c>
      <c r="C82">
        <v>0</v>
      </c>
      <c r="E82">
        <f t="shared" si="1"/>
        <v>0</v>
      </c>
    </row>
    <row r="83" spans="1:5" hidden="1" x14ac:dyDescent="0.3">
      <c r="A83" t="s">
        <v>68</v>
      </c>
      <c r="B83" t="s">
        <v>4</v>
      </c>
      <c r="C83">
        <v>0</v>
      </c>
      <c r="E83">
        <f t="shared" si="1"/>
        <v>0</v>
      </c>
    </row>
    <row r="84" spans="1:5" hidden="1" x14ac:dyDescent="0.3">
      <c r="A84" t="s">
        <v>68</v>
      </c>
      <c r="B84" t="s">
        <v>31</v>
      </c>
      <c r="C84">
        <v>0</v>
      </c>
      <c r="E84">
        <f t="shared" si="1"/>
        <v>0</v>
      </c>
    </row>
    <row r="85" spans="1:5" hidden="1" x14ac:dyDescent="0.3">
      <c r="A85" t="s">
        <v>89</v>
      </c>
      <c r="B85" t="s">
        <v>53</v>
      </c>
      <c r="C85">
        <v>0</v>
      </c>
      <c r="E85">
        <f t="shared" si="1"/>
        <v>0</v>
      </c>
    </row>
    <row r="86" spans="1:5" hidden="1" x14ac:dyDescent="0.3">
      <c r="A86" t="s">
        <v>90</v>
      </c>
      <c r="B86" t="s">
        <v>53</v>
      </c>
      <c r="C86">
        <v>0</v>
      </c>
      <c r="E86">
        <f t="shared" si="1"/>
        <v>0</v>
      </c>
    </row>
    <row r="87" spans="1:5" x14ac:dyDescent="0.3">
      <c r="A87" t="s">
        <v>90</v>
      </c>
      <c r="B87" t="s">
        <v>4</v>
      </c>
      <c r="C87">
        <v>2.5</v>
      </c>
      <c r="D87">
        <v>44000</v>
      </c>
      <c r="E87">
        <f t="shared" si="1"/>
        <v>110000</v>
      </c>
    </row>
    <row r="88" spans="1:5" hidden="1" x14ac:dyDescent="0.3">
      <c r="A88" t="s">
        <v>90</v>
      </c>
      <c r="B88" t="s">
        <v>147</v>
      </c>
      <c r="C88">
        <v>0</v>
      </c>
      <c r="E88">
        <f t="shared" si="1"/>
        <v>0</v>
      </c>
    </row>
    <row r="89" spans="1:5" hidden="1" x14ac:dyDescent="0.3">
      <c r="A89" t="s">
        <v>90</v>
      </c>
      <c r="B89" t="s">
        <v>148</v>
      </c>
      <c r="C89">
        <v>0</v>
      </c>
      <c r="E89">
        <f t="shared" si="1"/>
        <v>0</v>
      </c>
    </row>
    <row r="90" spans="1:5" hidden="1" x14ac:dyDescent="0.3">
      <c r="A90" t="s">
        <v>7</v>
      </c>
      <c r="B90" t="s">
        <v>4</v>
      </c>
      <c r="C90">
        <v>0</v>
      </c>
      <c r="E90">
        <f t="shared" si="1"/>
        <v>0</v>
      </c>
    </row>
    <row r="91" spans="1:5" hidden="1" x14ac:dyDescent="0.3">
      <c r="A91" t="s">
        <v>7</v>
      </c>
      <c r="B91" t="s">
        <v>84</v>
      </c>
      <c r="C91">
        <v>0</v>
      </c>
      <c r="E91">
        <f t="shared" si="1"/>
        <v>0</v>
      </c>
    </row>
    <row r="92" spans="1:5" x14ac:dyDescent="0.3">
      <c r="A92" t="s">
        <v>5</v>
      </c>
      <c r="B92" t="s">
        <v>4</v>
      </c>
      <c r="C92">
        <v>320</v>
      </c>
      <c r="D92">
        <v>15000</v>
      </c>
      <c r="E92">
        <f t="shared" si="1"/>
        <v>4800000</v>
      </c>
    </row>
    <row r="93" spans="1:5" hidden="1" x14ac:dyDescent="0.3">
      <c r="A93" t="s">
        <v>106</v>
      </c>
      <c r="B93" t="s">
        <v>4</v>
      </c>
      <c r="C93">
        <v>0</v>
      </c>
      <c r="E93">
        <f t="shared" si="1"/>
        <v>0</v>
      </c>
    </row>
    <row r="94" spans="1:5" hidden="1" x14ac:dyDescent="0.3">
      <c r="A94" t="s">
        <v>59</v>
      </c>
      <c r="B94" t="s">
        <v>4</v>
      </c>
      <c r="C94">
        <v>0</v>
      </c>
      <c r="E94">
        <f t="shared" si="1"/>
        <v>0</v>
      </c>
    </row>
    <row r="95" spans="1:5" x14ac:dyDescent="0.3">
      <c r="A95" t="s">
        <v>16</v>
      </c>
      <c r="B95" t="s">
        <v>4</v>
      </c>
      <c r="C95">
        <v>70</v>
      </c>
      <c r="D95">
        <v>17000</v>
      </c>
      <c r="E95">
        <f t="shared" si="1"/>
        <v>1190000</v>
      </c>
    </row>
    <row r="96" spans="1:5" hidden="1" x14ac:dyDescent="0.3">
      <c r="A96" t="s">
        <v>16</v>
      </c>
      <c r="B96" t="s">
        <v>165</v>
      </c>
      <c r="C96">
        <v>0</v>
      </c>
      <c r="E96">
        <f t="shared" si="1"/>
        <v>0</v>
      </c>
    </row>
    <row r="97" spans="1:5" hidden="1" x14ac:dyDescent="0.3">
      <c r="A97" t="s">
        <v>94</v>
      </c>
      <c r="B97" t="s">
        <v>50</v>
      </c>
      <c r="C97">
        <v>0</v>
      </c>
      <c r="E97">
        <f t="shared" si="1"/>
        <v>0</v>
      </c>
    </row>
    <row r="98" spans="1:5" x14ac:dyDescent="0.3">
      <c r="A98" t="s">
        <v>35</v>
      </c>
      <c r="B98" t="s">
        <v>4</v>
      </c>
      <c r="C98">
        <v>44</v>
      </c>
      <c r="D98">
        <v>18000</v>
      </c>
      <c r="E98">
        <f t="shared" si="1"/>
        <v>792000</v>
      </c>
    </row>
    <row r="99" spans="1:5" x14ac:dyDescent="0.3">
      <c r="A99" t="s">
        <v>96</v>
      </c>
      <c r="B99" t="s">
        <v>4</v>
      </c>
      <c r="C99">
        <v>1</v>
      </c>
      <c r="D99">
        <v>80000</v>
      </c>
      <c r="E99">
        <f t="shared" si="1"/>
        <v>80000</v>
      </c>
    </row>
    <row r="100" spans="1:5" hidden="1" x14ac:dyDescent="0.3">
      <c r="A100" t="s">
        <v>96</v>
      </c>
      <c r="B100" t="s">
        <v>50</v>
      </c>
      <c r="C100">
        <v>0</v>
      </c>
      <c r="E100">
        <f t="shared" si="1"/>
        <v>0</v>
      </c>
    </row>
    <row r="101" spans="1:5" hidden="1" x14ac:dyDescent="0.3">
      <c r="A101" t="s">
        <v>99</v>
      </c>
      <c r="B101" t="s">
        <v>4</v>
      </c>
      <c r="C101">
        <v>0</v>
      </c>
      <c r="E101">
        <f t="shared" si="1"/>
        <v>0</v>
      </c>
    </row>
    <row r="102" spans="1:5" hidden="1" x14ac:dyDescent="0.3">
      <c r="A102" t="s">
        <v>99</v>
      </c>
      <c r="B102" t="s">
        <v>31</v>
      </c>
      <c r="C102">
        <v>0</v>
      </c>
      <c r="E102">
        <f t="shared" si="1"/>
        <v>0</v>
      </c>
    </row>
    <row r="103" spans="1:5" hidden="1" x14ac:dyDescent="0.3">
      <c r="A103" t="s">
        <v>126</v>
      </c>
      <c r="B103" t="s">
        <v>73</v>
      </c>
      <c r="C103">
        <v>0</v>
      </c>
      <c r="E103">
        <f t="shared" si="1"/>
        <v>0</v>
      </c>
    </row>
    <row r="104" spans="1:5" hidden="1" x14ac:dyDescent="0.3">
      <c r="A104" t="s">
        <v>69</v>
      </c>
      <c r="B104" t="s">
        <v>31</v>
      </c>
      <c r="C104">
        <v>0</v>
      </c>
      <c r="E104">
        <f t="shared" si="1"/>
        <v>0</v>
      </c>
    </row>
    <row r="105" spans="1:5" hidden="1" x14ac:dyDescent="0.3">
      <c r="A105" t="s">
        <v>141</v>
      </c>
      <c r="B105" t="s">
        <v>4</v>
      </c>
      <c r="C105">
        <v>0</v>
      </c>
      <c r="E105">
        <f t="shared" si="1"/>
        <v>0</v>
      </c>
    </row>
    <row r="106" spans="1:5" hidden="1" x14ac:dyDescent="0.3">
      <c r="A106" t="s">
        <v>141</v>
      </c>
      <c r="B106" t="s">
        <v>31</v>
      </c>
      <c r="C106">
        <v>0</v>
      </c>
      <c r="E106">
        <f t="shared" si="1"/>
        <v>0</v>
      </c>
    </row>
    <row r="107" spans="1:5" hidden="1" x14ac:dyDescent="0.3">
      <c r="A107" t="s">
        <v>102</v>
      </c>
      <c r="B107" t="s">
        <v>53</v>
      </c>
      <c r="C107">
        <v>0</v>
      </c>
      <c r="E107">
        <f t="shared" si="1"/>
        <v>0</v>
      </c>
    </row>
    <row r="108" spans="1:5" hidden="1" x14ac:dyDescent="0.3">
      <c r="A108" t="s">
        <v>102</v>
      </c>
      <c r="B108" t="s">
        <v>4</v>
      </c>
      <c r="C108">
        <v>0</v>
      </c>
      <c r="E108">
        <f t="shared" si="1"/>
        <v>0</v>
      </c>
    </row>
    <row r="109" spans="1:5" hidden="1" x14ac:dyDescent="0.3">
      <c r="A109" t="s">
        <v>109</v>
      </c>
      <c r="B109" t="s">
        <v>53</v>
      </c>
      <c r="C109">
        <v>0</v>
      </c>
      <c r="E109">
        <f t="shared" si="1"/>
        <v>0</v>
      </c>
    </row>
    <row r="110" spans="1:5" hidden="1" x14ac:dyDescent="0.3">
      <c r="A110" t="s">
        <v>110</v>
      </c>
      <c r="B110" t="s">
        <v>4</v>
      </c>
      <c r="C110">
        <v>0</v>
      </c>
      <c r="E110">
        <f t="shared" si="1"/>
        <v>0</v>
      </c>
    </row>
    <row r="111" spans="1:5" hidden="1" x14ac:dyDescent="0.3">
      <c r="A111" t="s">
        <v>76</v>
      </c>
      <c r="B111" t="s">
        <v>66</v>
      </c>
      <c r="C111">
        <v>0</v>
      </c>
      <c r="E111">
        <f t="shared" si="1"/>
        <v>0</v>
      </c>
    </row>
    <row r="112" spans="1:5" hidden="1" x14ac:dyDescent="0.3">
      <c r="A112" t="s">
        <v>77</v>
      </c>
      <c r="B112" t="s">
        <v>66</v>
      </c>
      <c r="C112">
        <v>0</v>
      </c>
      <c r="E112">
        <f t="shared" si="1"/>
        <v>0</v>
      </c>
    </row>
    <row r="113" spans="1:5" hidden="1" x14ac:dyDescent="0.3">
      <c r="A113" t="s">
        <v>79</v>
      </c>
      <c r="B113" t="s">
        <v>4</v>
      </c>
      <c r="C113">
        <v>0</v>
      </c>
      <c r="E113">
        <f t="shared" si="1"/>
        <v>0</v>
      </c>
    </row>
    <row r="114" spans="1:5" hidden="1" x14ac:dyDescent="0.3">
      <c r="A114" t="s">
        <v>79</v>
      </c>
      <c r="B114" t="s">
        <v>31</v>
      </c>
      <c r="C114">
        <v>0</v>
      </c>
      <c r="E114">
        <f t="shared" si="1"/>
        <v>0</v>
      </c>
    </row>
    <row r="115" spans="1:5" x14ac:dyDescent="0.3">
      <c r="A115" t="s">
        <v>82</v>
      </c>
      <c r="B115" t="s">
        <v>66</v>
      </c>
      <c r="C115">
        <v>20</v>
      </c>
      <c r="D115">
        <v>6800</v>
      </c>
      <c r="E115">
        <f t="shared" si="1"/>
        <v>136000</v>
      </c>
    </row>
    <row r="116" spans="1:5" hidden="1" x14ac:dyDescent="0.3">
      <c r="A116" t="s">
        <v>158</v>
      </c>
      <c r="B116" t="s">
        <v>31</v>
      </c>
      <c r="C116">
        <v>0</v>
      </c>
      <c r="E116">
        <f t="shared" si="1"/>
        <v>0</v>
      </c>
    </row>
    <row r="117" spans="1:5" hidden="1" x14ac:dyDescent="0.3">
      <c r="A117" t="s">
        <v>183</v>
      </c>
      <c r="B117" t="s">
        <v>4</v>
      </c>
      <c r="C117">
        <v>0</v>
      </c>
      <c r="E117">
        <f t="shared" si="1"/>
        <v>0</v>
      </c>
    </row>
    <row r="118" spans="1:5" hidden="1" x14ac:dyDescent="0.3">
      <c r="A118" t="s">
        <v>33</v>
      </c>
      <c r="B118" t="s">
        <v>4</v>
      </c>
      <c r="C118">
        <v>0</v>
      </c>
      <c r="E118">
        <f t="shared" si="1"/>
        <v>0</v>
      </c>
    </row>
    <row r="119" spans="1:5" hidden="1" x14ac:dyDescent="0.3">
      <c r="A119" t="s">
        <v>33</v>
      </c>
      <c r="B119" t="s">
        <v>31</v>
      </c>
      <c r="C119">
        <v>0</v>
      </c>
      <c r="E119">
        <f t="shared" si="1"/>
        <v>0</v>
      </c>
    </row>
    <row r="120" spans="1:5" hidden="1" x14ac:dyDescent="0.3">
      <c r="A120" t="s">
        <v>123</v>
      </c>
      <c r="B120" t="s">
        <v>4</v>
      </c>
      <c r="C120">
        <v>0</v>
      </c>
      <c r="E120">
        <f t="shared" si="1"/>
        <v>0</v>
      </c>
    </row>
    <row r="121" spans="1:5" hidden="1" x14ac:dyDescent="0.3">
      <c r="A121" t="s">
        <v>123</v>
      </c>
      <c r="B121" t="s">
        <v>31</v>
      </c>
      <c r="C121">
        <v>0</v>
      </c>
      <c r="E121">
        <f t="shared" si="1"/>
        <v>0</v>
      </c>
    </row>
    <row r="122" spans="1:5" x14ac:dyDescent="0.3">
      <c r="A122" t="s">
        <v>67</v>
      </c>
      <c r="B122" t="s">
        <v>4</v>
      </c>
      <c r="C122">
        <v>2</v>
      </c>
      <c r="D122">
        <v>14000</v>
      </c>
      <c r="E122">
        <f t="shared" si="1"/>
        <v>28000</v>
      </c>
    </row>
    <row r="123" spans="1:5" hidden="1" x14ac:dyDescent="0.3">
      <c r="A123" t="s">
        <v>104</v>
      </c>
      <c r="B123" t="s">
        <v>4</v>
      </c>
      <c r="C123">
        <v>0</v>
      </c>
      <c r="E123">
        <f t="shared" si="1"/>
        <v>0</v>
      </c>
    </row>
    <row r="124" spans="1:5" hidden="1" x14ac:dyDescent="0.3">
      <c r="A124" t="s">
        <v>104</v>
      </c>
      <c r="B124" t="s">
        <v>84</v>
      </c>
      <c r="C124">
        <v>0</v>
      </c>
      <c r="E124">
        <f t="shared" si="1"/>
        <v>0</v>
      </c>
    </row>
    <row r="125" spans="1:5" hidden="1" x14ac:dyDescent="0.3">
      <c r="A125" t="s">
        <v>48</v>
      </c>
      <c r="B125" t="s">
        <v>4</v>
      </c>
      <c r="C125">
        <v>0</v>
      </c>
      <c r="E125">
        <f t="shared" si="1"/>
        <v>0</v>
      </c>
    </row>
    <row r="126" spans="1:5" x14ac:dyDescent="0.3">
      <c r="A126" t="s">
        <v>27</v>
      </c>
      <c r="B126" t="s">
        <v>4</v>
      </c>
      <c r="C126">
        <v>75</v>
      </c>
      <c r="D126">
        <v>6500</v>
      </c>
      <c r="E126">
        <f t="shared" si="1"/>
        <v>487500</v>
      </c>
    </row>
    <row r="127" spans="1:5" x14ac:dyDescent="0.3">
      <c r="A127" t="s">
        <v>47</v>
      </c>
      <c r="B127" t="s">
        <v>4</v>
      </c>
      <c r="C127">
        <v>110</v>
      </c>
      <c r="D127">
        <v>7500</v>
      </c>
      <c r="E127">
        <f t="shared" si="1"/>
        <v>825000</v>
      </c>
    </row>
    <row r="128" spans="1:5" hidden="1" x14ac:dyDescent="0.3">
      <c r="A128" t="s">
        <v>133</v>
      </c>
      <c r="B128" t="s">
        <v>31</v>
      </c>
      <c r="C128">
        <v>0</v>
      </c>
      <c r="E128">
        <f t="shared" si="1"/>
        <v>0</v>
      </c>
    </row>
    <row r="129" spans="1:5" x14ac:dyDescent="0.3">
      <c r="A129" t="s">
        <v>85</v>
      </c>
      <c r="B129" t="s">
        <v>4</v>
      </c>
      <c r="C129">
        <v>3</v>
      </c>
      <c r="D129">
        <v>13000</v>
      </c>
      <c r="E129">
        <f t="shared" si="1"/>
        <v>39000</v>
      </c>
    </row>
    <row r="130" spans="1:5" hidden="1" x14ac:dyDescent="0.3">
      <c r="A130" t="s">
        <v>121</v>
      </c>
      <c r="B130" t="s">
        <v>53</v>
      </c>
      <c r="C130">
        <v>0</v>
      </c>
      <c r="E130">
        <f t="shared" si="1"/>
        <v>0</v>
      </c>
    </row>
    <row r="131" spans="1:5" x14ac:dyDescent="0.3">
      <c r="A131" t="s">
        <v>121</v>
      </c>
      <c r="B131" t="s">
        <v>31</v>
      </c>
      <c r="C131">
        <v>4</v>
      </c>
      <c r="D131">
        <v>10000</v>
      </c>
      <c r="E131">
        <f t="shared" si="1"/>
        <v>40000</v>
      </c>
    </row>
    <row r="132" spans="1:5" hidden="1" x14ac:dyDescent="0.3">
      <c r="A132" t="s">
        <v>13</v>
      </c>
      <c r="B132" t="s">
        <v>4</v>
      </c>
      <c r="C132">
        <v>0</v>
      </c>
      <c r="E132">
        <f t="shared" si="1"/>
        <v>0</v>
      </c>
    </row>
    <row r="133" spans="1:5" x14ac:dyDescent="0.3">
      <c r="A133" t="s">
        <v>142</v>
      </c>
      <c r="B133" t="s">
        <v>4</v>
      </c>
      <c r="C133">
        <v>30</v>
      </c>
      <c r="D133">
        <v>12000</v>
      </c>
      <c r="E133">
        <f t="shared" ref="E133:E198" si="2">C133*D133</f>
        <v>360000</v>
      </c>
    </row>
    <row r="134" spans="1:5" hidden="1" x14ac:dyDescent="0.3">
      <c r="A134" t="s">
        <v>142</v>
      </c>
      <c r="B134" t="s">
        <v>31</v>
      </c>
      <c r="C134">
        <v>0</v>
      </c>
      <c r="E134">
        <f t="shared" si="2"/>
        <v>0</v>
      </c>
    </row>
    <row r="135" spans="1:5" hidden="1" x14ac:dyDescent="0.3">
      <c r="A135" t="s">
        <v>130</v>
      </c>
      <c r="B135" t="s">
        <v>4</v>
      </c>
      <c r="C135">
        <v>0</v>
      </c>
      <c r="E135">
        <f t="shared" si="2"/>
        <v>0</v>
      </c>
    </row>
    <row r="136" spans="1:5" hidden="1" x14ac:dyDescent="0.3">
      <c r="A136" t="s">
        <v>80</v>
      </c>
      <c r="B136" t="s">
        <v>31</v>
      </c>
      <c r="C136">
        <v>0</v>
      </c>
      <c r="E136">
        <f t="shared" si="2"/>
        <v>0</v>
      </c>
    </row>
    <row r="137" spans="1:5" x14ac:dyDescent="0.3">
      <c r="A137" t="s">
        <v>21</v>
      </c>
      <c r="B137" t="s">
        <v>4</v>
      </c>
      <c r="C137">
        <v>30</v>
      </c>
      <c r="D137">
        <v>9500</v>
      </c>
      <c r="E137">
        <f t="shared" si="2"/>
        <v>285000</v>
      </c>
    </row>
    <row r="138" spans="1:5" hidden="1" x14ac:dyDescent="0.3">
      <c r="A138" t="s">
        <v>21</v>
      </c>
      <c r="B138" t="s">
        <v>149</v>
      </c>
      <c r="C138">
        <v>0</v>
      </c>
      <c r="E138">
        <f t="shared" si="2"/>
        <v>0</v>
      </c>
    </row>
    <row r="139" spans="1:5" hidden="1" x14ac:dyDescent="0.3">
      <c r="A139" t="s">
        <v>107</v>
      </c>
      <c r="B139" t="s">
        <v>4</v>
      </c>
      <c r="C139">
        <v>0</v>
      </c>
      <c r="E139">
        <f t="shared" si="2"/>
        <v>0</v>
      </c>
    </row>
    <row r="140" spans="1:5" x14ac:dyDescent="0.3">
      <c r="A140" t="s">
        <v>97</v>
      </c>
      <c r="B140" t="s">
        <v>4</v>
      </c>
      <c r="C140">
        <v>2</v>
      </c>
      <c r="D140">
        <v>70000</v>
      </c>
      <c r="E140">
        <f t="shared" si="2"/>
        <v>140000</v>
      </c>
    </row>
    <row r="141" spans="1:5" hidden="1" x14ac:dyDescent="0.3">
      <c r="A141" t="s">
        <v>105</v>
      </c>
      <c r="B141" t="s">
        <v>4</v>
      </c>
      <c r="C141">
        <v>0</v>
      </c>
      <c r="E141">
        <f t="shared" si="2"/>
        <v>0</v>
      </c>
    </row>
    <row r="142" spans="1:5" x14ac:dyDescent="0.3">
      <c r="A142" t="s">
        <v>175</v>
      </c>
      <c r="B142" t="s">
        <v>4</v>
      </c>
      <c r="C142">
        <v>6</v>
      </c>
      <c r="D142">
        <v>33000</v>
      </c>
      <c r="E142">
        <f t="shared" si="2"/>
        <v>198000</v>
      </c>
    </row>
    <row r="143" spans="1:5" x14ac:dyDescent="0.3">
      <c r="A143" t="s">
        <v>54</v>
      </c>
      <c r="B143" t="s">
        <v>4</v>
      </c>
      <c r="C143">
        <v>1</v>
      </c>
      <c r="D143">
        <v>45000</v>
      </c>
      <c r="E143">
        <f t="shared" si="2"/>
        <v>45000</v>
      </c>
    </row>
    <row r="144" spans="1:5" hidden="1" x14ac:dyDescent="0.3">
      <c r="A144" t="s">
        <v>81</v>
      </c>
      <c r="B144" t="s">
        <v>4</v>
      </c>
      <c r="C144">
        <v>0</v>
      </c>
      <c r="E144">
        <f t="shared" si="2"/>
        <v>0</v>
      </c>
    </row>
    <row r="145" spans="1:5" x14ac:dyDescent="0.3">
      <c r="A145" t="s">
        <v>26</v>
      </c>
      <c r="B145" t="s">
        <v>4</v>
      </c>
      <c r="C145">
        <v>50</v>
      </c>
      <c r="D145">
        <v>13000</v>
      </c>
      <c r="E145">
        <f t="shared" si="2"/>
        <v>650000</v>
      </c>
    </row>
    <row r="146" spans="1:5" hidden="1" x14ac:dyDescent="0.3">
      <c r="A146" t="s">
        <v>63</v>
      </c>
      <c r="B146" t="s">
        <v>31</v>
      </c>
      <c r="C146">
        <v>0</v>
      </c>
      <c r="E146">
        <f t="shared" si="2"/>
        <v>0</v>
      </c>
    </row>
    <row r="147" spans="1:5" hidden="1" x14ac:dyDescent="0.3">
      <c r="A147" t="s">
        <v>124</v>
      </c>
      <c r="B147" t="s">
        <v>4</v>
      </c>
      <c r="C147">
        <v>0</v>
      </c>
      <c r="E147">
        <f t="shared" si="2"/>
        <v>0</v>
      </c>
    </row>
    <row r="148" spans="1:5" hidden="1" x14ac:dyDescent="0.3">
      <c r="A148" t="s">
        <v>152</v>
      </c>
      <c r="B148" t="s">
        <v>4</v>
      </c>
      <c r="C148">
        <v>0</v>
      </c>
      <c r="E148">
        <f t="shared" si="2"/>
        <v>0</v>
      </c>
    </row>
    <row r="149" spans="1:5" hidden="1" x14ac:dyDescent="0.3">
      <c r="A149" t="s">
        <v>125</v>
      </c>
      <c r="B149" t="s">
        <v>31</v>
      </c>
      <c r="C149">
        <v>0</v>
      </c>
      <c r="E149">
        <f t="shared" si="2"/>
        <v>0</v>
      </c>
    </row>
    <row r="150" spans="1:5" hidden="1" x14ac:dyDescent="0.3">
      <c r="A150" t="s">
        <v>120</v>
      </c>
      <c r="B150" t="s">
        <v>31</v>
      </c>
      <c r="C150">
        <v>0</v>
      </c>
      <c r="E150">
        <f t="shared" si="2"/>
        <v>0</v>
      </c>
    </row>
    <row r="151" spans="1:5" hidden="1" x14ac:dyDescent="0.3">
      <c r="A151" t="s">
        <v>119</v>
      </c>
      <c r="B151" t="s">
        <v>31</v>
      </c>
      <c r="C151">
        <v>0</v>
      </c>
      <c r="E151">
        <f t="shared" si="2"/>
        <v>0</v>
      </c>
    </row>
    <row r="152" spans="1:5" hidden="1" x14ac:dyDescent="0.3">
      <c r="A152" t="s">
        <v>114</v>
      </c>
      <c r="B152" t="s">
        <v>31</v>
      </c>
      <c r="C152">
        <v>0</v>
      </c>
      <c r="E152">
        <f t="shared" si="2"/>
        <v>0</v>
      </c>
    </row>
    <row r="153" spans="1:5" hidden="1" x14ac:dyDescent="0.3">
      <c r="A153" t="s">
        <v>113</v>
      </c>
      <c r="B153" t="s">
        <v>31</v>
      </c>
      <c r="C153">
        <v>0</v>
      </c>
      <c r="E153">
        <f t="shared" si="2"/>
        <v>0</v>
      </c>
    </row>
    <row r="154" spans="1:5" x14ac:dyDescent="0.3">
      <c r="A154" t="s">
        <v>55</v>
      </c>
      <c r="B154" t="s">
        <v>4</v>
      </c>
      <c r="C154">
        <v>20</v>
      </c>
      <c r="D154">
        <v>20000</v>
      </c>
      <c r="E154">
        <f t="shared" si="2"/>
        <v>400000</v>
      </c>
    </row>
    <row r="155" spans="1:5" hidden="1" x14ac:dyDescent="0.3">
      <c r="A155" t="s">
        <v>55</v>
      </c>
      <c r="B155" t="s">
        <v>31</v>
      </c>
      <c r="C155">
        <v>0</v>
      </c>
      <c r="E155">
        <f t="shared" si="2"/>
        <v>0</v>
      </c>
    </row>
    <row r="156" spans="1:5" hidden="1" x14ac:dyDescent="0.3">
      <c r="A156" t="s">
        <v>115</v>
      </c>
      <c r="B156" t="s">
        <v>50</v>
      </c>
      <c r="C156">
        <v>0</v>
      </c>
      <c r="E156">
        <f t="shared" si="2"/>
        <v>0</v>
      </c>
    </row>
    <row r="157" spans="1:5" x14ac:dyDescent="0.3">
      <c r="A157" t="s">
        <v>135</v>
      </c>
      <c r="B157" t="s">
        <v>4</v>
      </c>
      <c r="C157">
        <v>260</v>
      </c>
      <c r="D157">
        <v>20000</v>
      </c>
      <c r="E157">
        <f t="shared" si="2"/>
        <v>5200000</v>
      </c>
    </row>
    <row r="158" spans="1:5" x14ac:dyDescent="0.3">
      <c r="A158" t="s">
        <v>136</v>
      </c>
      <c r="B158" t="s">
        <v>4</v>
      </c>
      <c r="C158">
        <v>6</v>
      </c>
      <c r="D158">
        <v>33000</v>
      </c>
      <c r="E158">
        <f t="shared" si="2"/>
        <v>198000</v>
      </c>
    </row>
    <row r="159" spans="1:5" x14ac:dyDescent="0.3">
      <c r="E159">
        <f>SUM(E4:E158)</f>
        <v>221074500</v>
      </c>
    </row>
    <row r="160" spans="1:5" hidden="1" x14ac:dyDescent="0.3"/>
    <row r="161" spans="1:5" ht="31.2" x14ac:dyDescent="0.3">
      <c r="A161" s="77" t="s">
        <v>0</v>
      </c>
      <c r="B161" s="77" t="s">
        <v>1</v>
      </c>
      <c r="C161" s="45" t="s">
        <v>2</v>
      </c>
      <c r="D161" s="18" t="s">
        <v>199</v>
      </c>
      <c r="E161" t="s">
        <v>138</v>
      </c>
    </row>
    <row r="162" spans="1:5" ht="15.6" hidden="1" x14ac:dyDescent="0.3">
      <c r="A162" s="19" t="s">
        <v>27</v>
      </c>
      <c r="B162" s="19" t="s">
        <v>4</v>
      </c>
      <c r="C162" s="46"/>
      <c r="D162" s="21"/>
      <c r="E162">
        <f t="shared" si="2"/>
        <v>0</v>
      </c>
    </row>
    <row r="163" spans="1:5" ht="15.6" x14ac:dyDescent="0.3">
      <c r="A163" s="19" t="s">
        <v>28</v>
      </c>
      <c r="B163" s="19" t="s">
        <v>4</v>
      </c>
      <c r="C163" s="46">
        <v>70</v>
      </c>
      <c r="D163" s="21">
        <v>17000</v>
      </c>
      <c r="E163">
        <f t="shared" si="2"/>
        <v>1190000</v>
      </c>
    </row>
    <row r="164" spans="1:5" ht="15.6" x14ac:dyDescent="0.3">
      <c r="A164" s="19" t="s">
        <v>29</v>
      </c>
      <c r="B164" s="19" t="s">
        <v>4</v>
      </c>
      <c r="C164" s="46">
        <v>100</v>
      </c>
      <c r="D164" s="21">
        <v>22000</v>
      </c>
      <c r="E164">
        <f t="shared" si="2"/>
        <v>2200000</v>
      </c>
    </row>
    <row r="165" spans="1:5" ht="15.6" hidden="1" x14ac:dyDescent="0.3">
      <c r="A165" s="19" t="s">
        <v>57</v>
      </c>
      <c r="B165" s="19" t="s">
        <v>31</v>
      </c>
      <c r="C165" s="46"/>
      <c r="D165" s="21"/>
      <c r="E165">
        <f t="shared" si="2"/>
        <v>0</v>
      </c>
    </row>
    <row r="166" spans="1:5" ht="15.6" x14ac:dyDescent="0.3">
      <c r="A166" s="19" t="s">
        <v>32</v>
      </c>
      <c r="B166" s="19" t="s">
        <v>4</v>
      </c>
      <c r="C166" s="46">
        <v>200</v>
      </c>
      <c r="D166" s="21">
        <v>19000</v>
      </c>
      <c r="E166">
        <f t="shared" si="2"/>
        <v>3800000</v>
      </c>
    </row>
    <row r="167" spans="1:5" ht="15.6" hidden="1" x14ac:dyDescent="0.3">
      <c r="A167" s="19" t="s">
        <v>33</v>
      </c>
      <c r="B167" s="19" t="s">
        <v>31</v>
      </c>
      <c r="C167" s="46"/>
      <c r="D167" s="21"/>
      <c r="E167">
        <f t="shared" si="2"/>
        <v>0</v>
      </c>
    </row>
    <row r="168" spans="1:5" ht="15.6" x14ac:dyDescent="0.3">
      <c r="A168" s="19" t="s">
        <v>34</v>
      </c>
      <c r="B168" s="19" t="s">
        <v>4</v>
      </c>
      <c r="C168" s="46">
        <v>100</v>
      </c>
      <c r="D168" s="21">
        <v>15000</v>
      </c>
      <c r="E168">
        <f t="shared" si="2"/>
        <v>1500000</v>
      </c>
    </row>
    <row r="169" spans="1:5" ht="15.6" hidden="1" x14ac:dyDescent="0.3">
      <c r="A169" s="19" t="s">
        <v>35</v>
      </c>
      <c r="B169" s="19" t="s">
        <v>4</v>
      </c>
      <c r="C169" s="46"/>
      <c r="D169" s="21"/>
      <c r="E169">
        <f t="shared" si="2"/>
        <v>0</v>
      </c>
    </row>
    <row r="170" spans="1:5" ht="15.6" x14ac:dyDescent="0.3">
      <c r="A170" s="19" t="s">
        <v>13</v>
      </c>
      <c r="B170" s="19" t="s">
        <v>4</v>
      </c>
      <c r="C170" s="46">
        <v>6</v>
      </c>
      <c r="D170" s="21">
        <v>27000</v>
      </c>
      <c r="E170">
        <f t="shared" si="2"/>
        <v>162000</v>
      </c>
    </row>
    <row r="171" spans="1:5" ht="15.6" hidden="1" x14ac:dyDescent="0.3">
      <c r="A171" s="19" t="s">
        <v>14</v>
      </c>
      <c r="B171" s="19" t="s">
        <v>4</v>
      </c>
      <c r="C171" s="46"/>
      <c r="D171" s="21"/>
      <c r="E171">
        <f t="shared" si="2"/>
        <v>0</v>
      </c>
    </row>
    <row r="172" spans="1:5" ht="15.6" hidden="1" x14ac:dyDescent="0.3">
      <c r="A172" s="19" t="s">
        <v>3</v>
      </c>
      <c r="B172" s="19" t="s">
        <v>4</v>
      </c>
      <c r="C172" s="46"/>
      <c r="D172" s="21"/>
      <c r="E172">
        <f t="shared" si="2"/>
        <v>0</v>
      </c>
    </row>
    <row r="173" spans="1:5" ht="15.6" x14ac:dyDescent="0.3">
      <c r="A173" s="19" t="s">
        <v>5</v>
      </c>
      <c r="B173" s="19" t="s">
        <v>4</v>
      </c>
      <c r="C173" s="46">
        <v>80</v>
      </c>
      <c r="D173" s="21">
        <v>15000</v>
      </c>
      <c r="E173">
        <f t="shared" si="2"/>
        <v>1200000</v>
      </c>
    </row>
    <row r="174" spans="1:5" ht="15.6" x14ac:dyDescent="0.3">
      <c r="A174" s="19" t="s">
        <v>6</v>
      </c>
      <c r="B174" s="19" t="s">
        <v>4</v>
      </c>
      <c r="C174" s="46">
        <v>450</v>
      </c>
      <c r="D174" s="21">
        <v>11000</v>
      </c>
      <c r="E174">
        <f t="shared" si="2"/>
        <v>4950000</v>
      </c>
    </row>
    <row r="175" spans="1:5" ht="15.6" x14ac:dyDescent="0.3">
      <c r="A175" s="19" t="s">
        <v>22</v>
      </c>
      <c r="B175" s="19" t="s">
        <v>4</v>
      </c>
      <c r="C175" s="46">
        <v>450</v>
      </c>
      <c r="D175" s="21">
        <v>7500</v>
      </c>
      <c r="E175">
        <f t="shared" si="2"/>
        <v>3375000</v>
      </c>
    </row>
    <row r="176" spans="1:5" ht="15.6" hidden="1" x14ac:dyDescent="0.3">
      <c r="A176" s="19" t="s">
        <v>24</v>
      </c>
      <c r="B176" s="19" t="s">
        <v>4</v>
      </c>
      <c r="C176" s="46"/>
      <c r="D176" s="21"/>
      <c r="E176">
        <f t="shared" si="2"/>
        <v>0</v>
      </c>
    </row>
    <row r="177" spans="1:5" ht="15.6" hidden="1" x14ac:dyDescent="0.3">
      <c r="A177" s="19" t="s">
        <v>40</v>
      </c>
      <c r="B177" s="19" t="s">
        <v>4</v>
      </c>
      <c r="C177" s="46"/>
      <c r="D177" s="21"/>
      <c r="E177">
        <f t="shared" si="2"/>
        <v>0</v>
      </c>
    </row>
    <row r="178" spans="1:5" ht="15.6" x14ac:dyDescent="0.3">
      <c r="A178" s="19" t="s">
        <v>7</v>
      </c>
      <c r="B178" s="19" t="s">
        <v>4</v>
      </c>
      <c r="C178" s="46">
        <v>108</v>
      </c>
      <c r="D178" s="21">
        <v>10000</v>
      </c>
      <c r="E178">
        <f t="shared" si="2"/>
        <v>1080000</v>
      </c>
    </row>
    <row r="179" spans="1:5" ht="15.6" x14ac:dyDescent="0.3">
      <c r="A179" s="19" t="s">
        <v>8</v>
      </c>
      <c r="B179" s="19" t="s">
        <v>4</v>
      </c>
      <c r="C179" s="46">
        <v>1000</v>
      </c>
      <c r="D179" s="21">
        <v>5200</v>
      </c>
      <c r="E179">
        <f t="shared" si="2"/>
        <v>5200000</v>
      </c>
    </row>
    <row r="180" spans="1:5" ht="15.6" x14ac:dyDescent="0.3">
      <c r="A180" s="19" t="s">
        <v>10</v>
      </c>
      <c r="B180" s="19" t="s">
        <v>4</v>
      </c>
      <c r="C180" s="46">
        <v>100</v>
      </c>
      <c r="D180" s="21">
        <v>14000</v>
      </c>
      <c r="E180">
        <f t="shared" si="2"/>
        <v>1400000</v>
      </c>
    </row>
    <row r="181" spans="1:5" ht="15.6" x14ac:dyDescent="0.3">
      <c r="A181" s="19" t="s">
        <v>15</v>
      </c>
      <c r="B181" s="19" t="s">
        <v>4</v>
      </c>
      <c r="C181" s="46">
        <v>200</v>
      </c>
      <c r="D181" s="21">
        <v>24000</v>
      </c>
      <c r="E181">
        <f t="shared" si="2"/>
        <v>4800000</v>
      </c>
    </row>
    <row r="182" spans="1:5" ht="15.6" x14ac:dyDescent="0.3">
      <c r="A182" s="19" t="s">
        <v>18</v>
      </c>
      <c r="B182" s="19" t="s">
        <v>4</v>
      </c>
      <c r="C182" s="46">
        <v>200</v>
      </c>
      <c r="D182" s="21">
        <v>18000</v>
      </c>
      <c r="E182">
        <f t="shared" si="2"/>
        <v>3600000</v>
      </c>
    </row>
    <row r="183" spans="1:5" ht="15.6" hidden="1" x14ac:dyDescent="0.3">
      <c r="A183" s="19" t="s">
        <v>21</v>
      </c>
      <c r="B183" s="19" t="s">
        <v>4</v>
      </c>
      <c r="C183" s="46"/>
      <c r="D183" s="21"/>
      <c r="E183">
        <f t="shared" si="2"/>
        <v>0</v>
      </c>
    </row>
    <row r="184" spans="1:5" ht="15.6" x14ac:dyDescent="0.3">
      <c r="A184" s="19" t="s">
        <v>43</v>
      </c>
      <c r="B184" s="19" t="s">
        <v>4</v>
      </c>
      <c r="C184" s="46">
        <v>40</v>
      </c>
      <c r="D184" s="21">
        <v>38000</v>
      </c>
      <c r="E184">
        <f t="shared" si="2"/>
        <v>1520000</v>
      </c>
    </row>
    <row r="185" spans="1:5" ht="15.6" x14ac:dyDescent="0.3">
      <c r="A185" s="19" t="s">
        <v>44</v>
      </c>
      <c r="B185" s="19" t="s">
        <v>4</v>
      </c>
      <c r="C185" s="46">
        <v>20</v>
      </c>
      <c r="D185" s="21">
        <v>18000</v>
      </c>
      <c r="E185">
        <f t="shared" si="2"/>
        <v>360000</v>
      </c>
    </row>
    <row r="186" spans="1:5" ht="15.6" x14ac:dyDescent="0.3">
      <c r="A186" s="19" t="s">
        <v>45</v>
      </c>
      <c r="B186" s="19" t="s">
        <v>4</v>
      </c>
      <c r="C186" s="46">
        <v>20</v>
      </c>
      <c r="D186" s="21">
        <v>27000</v>
      </c>
      <c r="E186">
        <f t="shared" si="2"/>
        <v>540000</v>
      </c>
    </row>
    <row r="187" spans="1:5" ht="15.6" hidden="1" x14ac:dyDescent="0.3">
      <c r="A187" s="19" t="s">
        <v>47</v>
      </c>
      <c r="B187" s="19" t="s">
        <v>4</v>
      </c>
      <c r="C187" s="46"/>
      <c r="D187" s="21"/>
      <c r="E187">
        <f t="shared" si="2"/>
        <v>0</v>
      </c>
    </row>
    <row r="188" spans="1:5" ht="15.6" x14ac:dyDescent="0.3">
      <c r="A188" s="19" t="s">
        <v>26</v>
      </c>
      <c r="B188" s="19" t="s">
        <v>4</v>
      </c>
      <c r="C188" s="46">
        <v>100</v>
      </c>
      <c r="D188" s="21">
        <v>13000</v>
      </c>
      <c r="E188">
        <f t="shared" si="2"/>
        <v>1300000</v>
      </c>
    </row>
    <row r="189" spans="1:5" ht="15.6" x14ac:dyDescent="0.3">
      <c r="A189" s="19" t="s">
        <v>25</v>
      </c>
      <c r="B189" s="19" t="s">
        <v>4</v>
      </c>
      <c r="C189" s="46">
        <v>35</v>
      </c>
      <c r="D189" s="21">
        <v>31000</v>
      </c>
      <c r="E189">
        <f t="shared" si="2"/>
        <v>1085000</v>
      </c>
    </row>
    <row r="190" spans="1:5" ht="15.6" hidden="1" x14ac:dyDescent="0.3">
      <c r="A190" s="19" t="s">
        <v>23</v>
      </c>
      <c r="B190" s="19" t="s">
        <v>4</v>
      </c>
      <c r="C190" s="46"/>
      <c r="D190" s="21"/>
      <c r="E190">
        <f t="shared" si="2"/>
        <v>0</v>
      </c>
    </row>
    <row r="191" spans="1:5" ht="15.6" hidden="1" x14ac:dyDescent="0.3">
      <c r="A191" s="19" t="s">
        <v>9</v>
      </c>
      <c r="B191" s="19" t="s">
        <v>4</v>
      </c>
      <c r="C191" s="46"/>
      <c r="D191" s="21"/>
      <c r="E191">
        <f t="shared" si="2"/>
        <v>0</v>
      </c>
    </row>
    <row r="192" spans="1:5" ht="15.6" hidden="1" x14ac:dyDescent="0.3">
      <c r="A192" s="19" t="s">
        <v>171</v>
      </c>
      <c r="B192" s="19" t="s">
        <v>4</v>
      </c>
      <c r="C192" s="46"/>
      <c r="D192" s="21"/>
      <c r="E192">
        <f t="shared" si="2"/>
        <v>0</v>
      </c>
    </row>
    <row r="193" spans="1:6" ht="15.6" hidden="1" x14ac:dyDescent="0.3">
      <c r="A193" s="19" t="s">
        <v>39</v>
      </c>
      <c r="B193" s="19" t="s">
        <v>4</v>
      </c>
      <c r="C193" s="46"/>
      <c r="D193" s="21"/>
      <c r="E193">
        <f t="shared" si="2"/>
        <v>0</v>
      </c>
    </row>
    <row r="194" spans="1:6" ht="15.6" x14ac:dyDescent="0.3">
      <c r="A194" s="19" t="s">
        <v>41</v>
      </c>
      <c r="B194" s="19" t="s">
        <v>4</v>
      </c>
      <c r="C194" s="46">
        <v>1000</v>
      </c>
      <c r="D194" s="21">
        <v>28600</v>
      </c>
      <c r="E194">
        <f t="shared" si="2"/>
        <v>28600000</v>
      </c>
      <c r="F194" t="s">
        <v>213</v>
      </c>
    </row>
    <row r="195" spans="1:6" ht="15.6" x14ac:dyDescent="0.3">
      <c r="A195" s="19" t="s">
        <v>20</v>
      </c>
      <c r="B195" s="19" t="s">
        <v>4</v>
      </c>
      <c r="C195" s="46">
        <v>180</v>
      </c>
      <c r="D195" s="21">
        <v>12000</v>
      </c>
      <c r="E195">
        <f t="shared" si="2"/>
        <v>2160000</v>
      </c>
    </row>
    <row r="196" spans="1:6" ht="15.6" x14ac:dyDescent="0.3">
      <c r="A196" s="19" t="s">
        <v>123</v>
      </c>
      <c r="B196" s="19" t="s">
        <v>31</v>
      </c>
      <c r="C196" s="46">
        <v>30</v>
      </c>
      <c r="D196" s="21">
        <v>9000</v>
      </c>
      <c r="E196">
        <f t="shared" si="2"/>
        <v>270000</v>
      </c>
    </row>
    <row r="197" spans="1:6" ht="15.6" x14ac:dyDescent="0.3">
      <c r="A197" s="19" t="s">
        <v>37</v>
      </c>
      <c r="B197" s="19" t="s">
        <v>151</v>
      </c>
      <c r="C197" s="46">
        <v>160</v>
      </c>
      <c r="D197" s="21">
        <v>13000</v>
      </c>
      <c r="E197">
        <f t="shared" si="2"/>
        <v>2080000</v>
      </c>
    </row>
    <row r="198" spans="1:6" ht="15.6" hidden="1" x14ac:dyDescent="0.3">
      <c r="A198" s="19" t="s">
        <v>12</v>
      </c>
      <c r="B198" s="19" t="s">
        <v>4</v>
      </c>
      <c r="C198" s="46"/>
      <c r="D198" s="21"/>
      <c r="E198">
        <f t="shared" si="2"/>
        <v>0</v>
      </c>
    </row>
    <row r="199" spans="1:6" ht="15.6" hidden="1" x14ac:dyDescent="0.3">
      <c r="A199" s="19" t="s">
        <v>124</v>
      </c>
      <c r="B199" s="19" t="s">
        <v>4</v>
      </c>
      <c r="C199" s="46"/>
      <c r="D199" s="21"/>
      <c r="E199">
        <f t="shared" ref="E199:E209" si="3">C199*D199</f>
        <v>0</v>
      </c>
    </row>
    <row r="200" spans="1:6" ht="15.6" x14ac:dyDescent="0.3">
      <c r="A200" s="19" t="s">
        <v>145</v>
      </c>
      <c r="B200" s="19" t="s">
        <v>4</v>
      </c>
      <c r="C200" s="46">
        <v>350</v>
      </c>
      <c r="D200" s="21">
        <v>5500</v>
      </c>
      <c r="E200">
        <f t="shared" si="3"/>
        <v>1925000</v>
      </c>
    </row>
    <row r="201" spans="1:6" ht="15.6" hidden="1" x14ac:dyDescent="0.3">
      <c r="A201" s="19" t="s">
        <v>16</v>
      </c>
      <c r="B201" s="19" t="s">
        <v>4</v>
      </c>
      <c r="C201" s="46"/>
      <c r="D201" s="21"/>
      <c r="E201">
        <f t="shared" si="3"/>
        <v>0</v>
      </c>
    </row>
    <row r="202" spans="1:6" ht="15.6" hidden="1" x14ac:dyDescent="0.3">
      <c r="A202" s="19" t="s">
        <v>17</v>
      </c>
      <c r="B202" s="19" t="s">
        <v>4</v>
      </c>
      <c r="C202" s="46"/>
      <c r="D202" s="21"/>
      <c r="E202">
        <f t="shared" si="3"/>
        <v>0</v>
      </c>
    </row>
    <row r="203" spans="1:6" ht="15.6" hidden="1" x14ac:dyDescent="0.3">
      <c r="A203" s="19" t="s">
        <v>17</v>
      </c>
      <c r="B203" s="19" t="s">
        <v>147</v>
      </c>
      <c r="C203" s="46"/>
      <c r="D203" s="21"/>
      <c r="E203">
        <f t="shared" si="3"/>
        <v>0</v>
      </c>
    </row>
    <row r="204" spans="1:6" ht="15.6" hidden="1" x14ac:dyDescent="0.3">
      <c r="A204" s="19" t="s">
        <v>46</v>
      </c>
      <c r="B204" s="19" t="s">
        <v>4</v>
      </c>
      <c r="C204" s="46"/>
      <c r="D204" s="21"/>
      <c r="E204">
        <f t="shared" si="3"/>
        <v>0</v>
      </c>
    </row>
    <row r="205" spans="1:6" ht="15.6" hidden="1" x14ac:dyDescent="0.3">
      <c r="A205" s="19" t="s">
        <v>11</v>
      </c>
      <c r="B205" s="19" t="s">
        <v>4</v>
      </c>
      <c r="C205" s="46"/>
      <c r="D205" s="21"/>
      <c r="E205">
        <f t="shared" si="3"/>
        <v>0</v>
      </c>
    </row>
    <row r="206" spans="1:6" ht="15.6" hidden="1" x14ac:dyDescent="0.3">
      <c r="A206" s="19" t="s">
        <v>42</v>
      </c>
      <c r="B206" s="19" t="s">
        <v>4</v>
      </c>
      <c r="C206" s="46"/>
      <c r="D206" s="21"/>
      <c r="E206">
        <f t="shared" si="3"/>
        <v>0</v>
      </c>
    </row>
    <row r="207" spans="1:6" ht="15.6" hidden="1" x14ac:dyDescent="0.3">
      <c r="A207" s="19" t="s">
        <v>19</v>
      </c>
      <c r="B207" s="19" t="s">
        <v>4</v>
      </c>
      <c r="C207" s="46"/>
      <c r="D207" s="21"/>
      <c r="E207">
        <f t="shared" si="3"/>
        <v>0</v>
      </c>
    </row>
    <row r="208" spans="1:6" ht="15.6" hidden="1" x14ac:dyDescent="0.3">
      <c r="A208" s="19" t="s">
        <v>48</v>
      </c>
      <c r="B208" s="19" t="s">
        <v>4</v>
      </c>
      <c r="C208" s="46"/>
      <c r="D208" s="21"/>
      <c r="E208">
        <f t="shared" si="3"/>
        <v>0</v>
      </c>
    </row>
    <row r="209" spans="1:5" ht="15.6" hidden="1" x14ac:dyDescent="0.3">
      <c r="A209" s="19" t="s">
        <v>121</v>
      </c>
      <c r="B209" s="19" t="s">
        <v>53</v>
      </c>
      <c r="C209" s="46"/>
      <c r="D209" s="21"/>
      <c r="E209">
        <f t="shared" si="3"/>
        <v>0</v>
      </c>
    </row>
    <row r="210" spans="1:5" x14ac:dyDescent="0.3">
      <c r="E210">
        <f>SUM(E163:E200)</f>
        <v>74297000</v>
      </c>
    </row>
    <row r="211" spans="1:5" x14ac:dyDescent="0.3">
      <c r="E211">
        <f>SUM(E210,E159)</f>
        <v>295371500</v>
      </c>
    </row>
  </sheetData>
  <autoFilter ref="A3:E211" xr:uid="{00000000-0009-0000-0000-00000C000000}">
    <filterColumn colId="4">
      <filters>
        <filter val="1080000"/>
        <filter val="1085000"/>
        <filter val="110000"/>
        <filter val="1110000"/>
        <filter val="1150000"/>
        <filter val="117000"/>
        <filter val="1190000"/>
        <filter val="1200000"/>
        <filter val="1260000"/>
        <filter val="1300000"/>
        <filter val="1314000"/>
        <filter val="136000"/>
        <filter val="140000"/>
        <filter val="1400000"/>
        <filter val="1445000"/>
        <filter val="14630000"/>
        <filter val="1500000"/>
        <filter val="1520000"/>
        <filter val="162000"/>
        <filter val="1925000"/>
        <filter val="198000"/>
        <filter val="2080000"/>
        <filter val="2100000"/>
        <filter val="2160000"/>
        <filter val="2175000"/>
        <filter val="2200000"/>
        <filter val="221074500"/>
        <filter val="2220000"/>
        <filter val="270000"/>
        <filter val="28000"/>
        <filter val="285000"/>
        <filter val="28600000"/>
        <filter val="295371500"/>
        <filter val="300000"/>
        <filter val="3375000"/>
        <filter val="3430000"/>
        <filter val="360000"/>
        <filter val="3600000"/>
        <filter val="3780000"/>
        <filter val="380000"/>
        <filter val="3800000"/>
        <filter val="39000"/>
        <filter val="40000"/>
        <filter val="400000"/>
        <filter val="41062500"/>
        <filter val="430000"/>
        <filter val="45000"/>
        <filter val="4800000"/>
        <filter val="487500"/>
        <filter val="4950000"/>
        <filter val="5200000"/>
        <filter val="5358000"/>
        <filter val="5368000"/>
        <filter val="540000"/>
        <filter val="5475000"/>
        <filter val="5880000"/>
        <filter val="6066000"/>
        <filter val="6450000"/>
        <filter val="650000"/>
        <filter val="682000"/>
        <filter val="74297000"/>
        <filter val="76219000"/>
        <filter val="792000"/>
        <filter val="7980000"/>
        <filter val="80000"/>
        <filter val="8112000"/>
        <filter val="825000"/>
        <filter val="90000"/>
        <filter val="thành tiền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2:E173"/>
  <sheetViews>
    <sheetView workbookViewId="0">
      <selection activeCell="C57" sqref="C57:C164"/>
    </sheetView>
  </sheetViews>
  <sheetFormatPr defaultRowHeight="14.4" x14ac:dyDescent="0.3"/>
  <cols>
    <col min="1" max="1" width="33.109375" customWidth="1"/>
    <col min="3" max="3" width="11.77734375" customWidth="1"/>
    <col min="4" max="4" width="12.44140625" customWidth="1"/>
    <col min="5" max="5" width="20.109375" customWidth="1"/>
  </cols>
  <sheetData>
    <row r="2" spans="1:5" x14ac:dyDescent="0.3">
      <c r="A2" t="s">
        <v>200</v>
      </c>
    </row>
    <row r="3" spans="1:5" x14ac:dyDescent="0.3">
      <c r="A3" t="s">
        <v>0</v>
      </c>
      <c r="B3" t="s">
        <v>1</v>
      </c>
      <c r="C3" t="s">
        <v>2</v>
      </c>
      <c r="D3" t="s">
        <v>137</v>
      </c>
      <c r="E3" t="s">
        <v>138</v>
      </c>
    </row>
    <row r="4" spans="1:5" hidden="1" x14ac:dyDescent="0.3">
      <c r="A4" t="s">
        <v>49</v>
      </c>
      <c r="B4" t="s">
        <v>4</v>
      </c>
      <c r="C4">
        <v>18</v>
      </c>
      <c r="D4">
        <v>15000</v>
      </c>
      <c r="E4">
        <f>C4*D4</f>
        <v>270000</v>
      </c>
    </row>
    <row r="5" spans="1:5" hidden="1" x14ac:dyDescent="0.3">
      <c r="A5" t="s">
        <v>49</v>
      </c>
      <c r="B5" t="s">
        <v>31</v>
      </c>
      <c r="C5">
        <v>0</v>
      </c>
      <c r="E5">
        <f t="shared" ref="E5:E68" si="0">C5*D5</f>
        <v>0</v>
      </c>
    </row>
    <row r="6" spans="1:5" hidden="1" x14ac:dyDescent="0.3">
      <c r="A6" t="s">
        <v>19</v>
      </c>
      <c r="B6" t="s">
        <v>50</v>
      </c>
      <c r="C6">
        <v>0</v>
      </c>
      <c r="E6">
        <f t="shared" si="0"/>
        <v>0</v>
      </c>
    </row>
    <row r="7" spans="1:5" hidden="1" x14ac:dyDescent="0.3">
      <c r="A7" t="s">
        <v>51</v>
      </c>
      <c r="B7" t="s">
        <v>53</v>
      </c>
      <c r="C7">
        <v>0</v>
      </c>
      <c r="E7">
        <f t="shared" si="0"/>
        <v>0</v>
      </c>
    </row>
    <row r="8" spans="1:5" hidden="1" x14ac:dyDescent="0.3">
      <c r="A8" t="s">
        <v>51</v>
      </c>
      <c r="B8" t="s">
        <v>4</v>
      </c>
      <c r="C8">
        <v>0</v>
      </c>
      <c r="E8">
        <f t="shared" si="0"/>
        <v>0</v>
      </c>
    </row>
    <row r="9" spans="1:5" hidden="1" x14ac:dyDescent="0.3">
      <c r="A9" t="s">
        <v>28</v>
      </c>
      <c r="B9" t="s">
        <v>4</v>
      </c>
      <c r="C9">
        <v>25</v>
      </c>
      <c r="D9">
        <v>17000</v>
      </c>
      <c r="E9">
        <f t="shared" si="0"/>
        <v>425000</v>
      </c>
    </row>
    <row r="10" spans="1:5" hidden="1" x14ac:dyDescent="0.3">
      <c r="A10" t="s">
        <v>28</v>
      </c>
      <c r="B10" t="s">
        <v>31</v>
      </c>
      <c r="C10">
        <v>0</v>
      </c>
      <c r="E10">
        <f t="shared" si="0"/>
        <v>0</v>
      </c>
    </row>
    <row r="11" spans="1:5" hidden="1" x14ac:dyDescent="0.3">
      <c r="A11" t="s">
        <v>29</v>
      </c>
      <c r="B11" t="s">
        <v>4</v>
      </c>
      <c r="C11">
        <v>480</v>
      </c>
      <c r="D11">
        <v>22000</v>
      </c>
      <c r="E11">
        <f t="shared" si="0"/>
        <v>10560000</v>
      </c>
    </row>
    <row r="12" spans="1:5" hidden="1" x14ac:dyDescent="0.3">
      <c r="A12" t="s">
        <v>29</v>
      </c>
      <c r="B12" t="s">
        <v>150</v>
      </c>
      <c r="C12">
        <v>0</v>
      </c>
      <c r="E12">
        <f t="shared" si="0"/>
        <v>0</v>
      </c>
    </row>
    <row r="13" spans="1:5" hidden="1" x14ac:dyDescent="0.3">
      <c r="A13" t="s">
        <v>56</v>
      </c>
      <c r="B13" t="s">
        <v>31</v>
      </c>
      <c r="C13">
        <v>1337</v>
      </c>
      <c r="D13">
        <v>4500</v>
      </c>
      <c r="E13">
        <f t="shared" si="0"/>
        <v>6016500</v>
      </c>
    </row>
    <row r="14" spans="1:5" hidden="1" x14ac:dyDescent="0.3">
      <c r="A14" t="s">
        <v>57</v>
      </c>
      <c r="B14" t="s">
        <v>4</v>
      </c>
      <c r="C14">
        <v>620</v>
      </c>
      <c r="D14">
        <v>23000</v>
      </c>
      <c r="E14">
        <f t="shared" si="0"/>
        <v>14260000</v>
      </c>
    </row>
    <row r="15" spans="1:5" hidden="1" x14ac:dyDescent="0.3">
      <c r="A15" t="s">
        <v>57</v>
      </c>
      <c r="B15" t="s">
        <v>31</v>
      </c>
      <c r="C15">
        <v>0</v>
      </c>
      <c r="E15">
        <f t="shared" si="0"/>
        <v>0</v>
      </c>
    </row>
    <row r="16" spans="1:5" hidden="1" x14ac:dyDescent="0.3">
      <c r="A16" t="s">
        <v>32</v>
      </c>
      <c r="B16" t="s">
        <v>4</v>
      </c>
      <c r="C16">
        <v>520</v>
      </c>
      <c r="D16">
        <v>19000</v>
      </c>
      <c r="E16">
        <f t="shared" si="0"/>
        <v>9880000</v>
      </c>
    </row>
    <row r="17" spans="1:5" hidden="1" x14ac:dyDescent="0.3">
      <c r="A17" t="s">
        <v>34</v>
      </c>
      <c r="B17" t="s">
        <v>4</v>
      </c>
      <c r="C17">
        <v>265</v>
      </c>
      <c r="D17">
        <v>15000</v>
      </c>
      <c r="E17">
        <f t="shared" si="0"/>
        <v>3975000</v>
      </c>
    </row>
    <row r="18" spans="1:5" hidden="1" x14ac:dyDescent="0.3">
      <c r="A18" t="s">
        <v>34</v>
      </c>
      <c r="B18" t="s">
        <v>31</v>
      </c>
      <c r="C18">
        <v>0</v>
      </c>
      <c r="E18">
        <f t="shared" si="0"/>
        <v>0</v>
      </c>
    </row>
    <row r="19" spans="1:5" hidden="1" x14ac:dyDescent="0.3">
      <c r="A19" t="s">
        <v>60</v>
      </c>
      <c r="B19" t="s">
        <v>4</v>
      </c>
      <c r="C19">
        <v>0</v>
      </c>
      <c r="E19">
        <f t="shared" si="0"/>
        <v>0</v>
      </c>
    </row>
    <row r="20" spans="1:5" hidden="1" x14ac:dyDescent="0.3">
      <c r="A20" t="s">
        <v>60</v>
      </c>
      <c r="B20" t="s">
        <v>50</v>
      </c>
      <c r="C20">
        <v>0</v>
      </c>
      <c r="E20">
        <f t="shared" si="0"/>
        <v>0</v>
      </c>
    </row>
    <row r="21" spans="1:5" hidden="1" x14ac:dyDescent="0.3">
      <c r="A21" t="s">
        <v>6</v>
      </c>
      <c r="B21" t="s">
        <v>4</v>
      </c>
      <c r="C21">
        <v>650</v>
      </c>
      <c r="D21">
        <v>11000</v>
      </c>
      <c r="E21">
        <f t="shared" si="0"/>
        <v>7150000</v>
      </c>
    </row>
    <row r="22" spans="1:5" hidden="1" x14ac:dyDescent="0.3">
      <c r="A22" t="s">
        <v>62</v>
      </c>
      <c r="B22" t="s">
        <v>4</v>
      </c>
      <c r="C22">
        <v>0</v>
      </c>
      <c r="E22">
        <f t="shared" si="0"/>
        <v>0</v>
      </c>
    </row>
    <row r="23" spans="1:5" hidden="1" x14ac:dyDescent="0.3">
      <c r="A23" t="s">
        <v>62</v>
      </c>
      <c r="B23" t="s">
        <v>31</v>
      </c>
      <c r="C23">
        <v>20</v>
      </c>
      <c r="D23">
        <v>12000</v>
      </c>
      <c r="E23">
        <f t="shared" si="0"/>
        <v>240000</v>
      </c>
    </row>
    <row r="24" spans="1:5" hidden="1" x14ac:dyDescent="0.3">
      <c r="A24" t="s">
        <v>64</v>
      </c>
      <c r="B24" t="s">
        <v>4</v>
      </c>
      <c r="C24">
        <v>0</v>
      </c>
      <c r="E24">
        <f t="shared" si="0"/>
        <v>0</v>
      </c>
    </row>
    <row r="25" spans="1:5" hidden="1" x14ac:dyDescent="0.3">
      <c r="A25" t="s">
        <v>64</v>
      </c>
      <c r="B25" t="s">
        <v>31</v>
      </c>
      <c r="C25">
        <v>0</v>
      </c>
      <c r="E25">
        <f t="shared" si="0"/>
        <v>0</v>
      </c>
    </row>
    <row r="26" spans="1:5" hidden="1" x14ac:dyDescent="0.3">
      <c r="A26" t="s">
        <v>22</v>
      </c>
      <c r="B26" t="s">
        <v>4</v>
      </c>
      <c r="C26">
        <v>3380</v>
      </c>
      <c r="D26">
        <v>7500</v>
      </c>
      <c r="E26">
        <f t="shared" si="0"/>
        <v>25350000</v>
      </c>
    </row>
    <row r="27" spans="1:5" hidden="1" x14ac:dyDescent="0.3">
      <c r="A27" t="s">
        <v>24</v>
      </c>
      <c r="B27" t="s">
        <v>66</v>
      </c>
      <c r="C27">
        <v>0</v>
      </c>
      <c r="E27">
        <f t="shared" si="0"/>
        <v>0</v>
      </c>
    </row>
    <row r="28" spans="1:5" hidden="1" x14ac:dyDescent="0.3">
      <c r="A28" t="s">
        <v>24</v>
      </c>
      <c r="B28" t="s">
        <v>4</v>
      </c>
      <c r="C28">
        <v>150</v>
      </c>
      <c r="D28">
        <v>10000</v>
      </c>
      <c r="E28">
        <f t="shared" si="0"/>
        <v>1500000</v>
      </c>
    </row>
    <row r="29" spans="1:5" hidden="1" x14ac:dyDescent="0.3">
      <c r="A29" t="s">
        <v>75</v>
      </c>
      <c r="B29" t="s">
        <v>4</v>
      </c>
      <c r="C29">
        <v>54</v>
      </c>
      <c r="D29">
        <v>28000</v>
      </c>
      <c r="E29">
        <f t="shared" si="0"/>
        <v>1512000</v>
      </c>
    </row>
    <row r="30" spans="1:5" hidden="1" x14ac:dyDescent="0.3">
      <c r="A30" t="s">
        <v>8</v>
      </c>
      <c r="B30" t="s">
        <v>4</v>
      </c>
      <c r="C30">
        <v>900</v>
      </c>
      <c r="D30">
        <v>5200</v>
      </c>
      <c r="E30">
        <f t="shared" si="0"/>
        <v>4680000</v>
      </c>
    </row>
    <row r="31" spans="1:5" hidden="1" x14ac:dyDescent="0.3">
      <c r="A31" t="s">
        <v>10</v>
      </c>
      <c r="B31" t="s">
        <v>4</v>
      </c>
      <c r="C31">
        <v>262</v>
      </c>
      <c r="D31">
        <v>11000</v>
      </c>
      <c r="E31">
        <f t="shared" si="0"/>
        <v>2882000</v>
      </c>
    </row>
    <row r="32" spans="1:5" hidden="1" x14ac:dyDescent="0.3">
      <c r="A32" t="s">
        <v>10</v>
      </c>
      <c r="B32" t="s">
        <v>84</v>
      </c>
      <c r="C32">
        <v>0</v>
      </c>
      <c r="E32">
        <f t="shared" si="0"/>
        <v>0</v>
      </c>
    </row>
    <row r="33" spans="1:5" hidden="1" x14ac:dyDescent="0.3">
      <c r="A33" t="s">
        <v>11</v>
      </c>
      <c r="B33" t="s">
        <v>4</v>
      </c>
      <c r="C33">
        <v>383</v>
      </c>
      <c r="D33">
        <v>11000</v>
      </c>
      <c r="E33">
        <f t="shared" si="0"/>
        <v>4213000</v>
      </c>
    </row>
    <row r="34" spans="1:5" hidden="1" x14ac:dyDescent="0.3">
      <c r="A34" t="s">
        <v>11</v>
      </c>
      <c r="B34" t="s">
        <v>84</v>
      </c>
      <c r="C34">
        <v>0</v>
      </c>
      <c r="E34">
        <f t="shared" si="0"/>
        <v>0</v>
      </c>
    </row>
    <row r="35" spans="1:5" hidden="1" x14ac:dyDescent="0.3">
      <c r="A35" t="s">
        <v>15</v>
      </c>
      <c r="B35" t="s">
        <v>4</v>
      </c>
      <c r="C35">
        <v>230</v>
      </c>
      <c r="D35">
        <v>24000</v>
      </c>
      <c r="E35">
        <f t="shared" si="0"/>
        <v>5520000</v>
      </c>
    </row>
    <row r="36" spans="1:5" hidden="1" x14ac:dyDescent="0.3">
      <c r="A36" t="s">
        <v>15</v>
      </c>
      <c r="B36" t="s">
        <v>50</v>
      </c>
      <c r="C36">
        <v>0</v>
      </c>
      <c r="E36">
        <f t="shared" si="0"/>
        <v>0</v>
      </c>
    </row>
    <row r="37" spans="1:5" hidden="1" x14ac:dyDescent="0.3">
      <c r="A37" t="s">
        <v>15</v>
      </c>
      <c r="B37" t="s">
        <v>164</v>
      </c>
      <c r="C37">
        <v>0</v>
      </c>
      <c r="E37">
        <f t="shared" si="0"/>
        <v>0</v>
      </c>
    </row>
    <row r="38" spans="1:5" hidden="1" x14ac:dyDescent="0.3">
      <c r="A38" t="s">
        <v>18</v>
      </c>
      <c r="B38" t="s">
        <v>4</v>
      </c>
      <c r="C38">
        <v>750</v>
      </c>
      <c r="D38">
        <v>18000</v>
      </c>
      <c r="E38">
        <f t="shared" si="0"/>
        <v>13500000</v>
      </c>
    </row>
    <row r="39" spans="1:5" hidden="1" x14ac:dyDescent="0.3">
      <c r="A39" t="s">
        <v>18</v>
      </c>
      <c r="B39" t="s">
        <v>50</v>
      </c>
      <c r="C39">
        <v>0</v>
      </c>
      <c r="E39">
        <f t="shared" si="0"/>
        <v>0</v>
      </c>
    </row>
    <row r="40" spans="1:5" hidden="1" x14ac:dyDescent="0.3">
      <c r="A40" t="s">
        <v>92</v>
      </c>
      <c r="B40" t="s">
        <v>31</v>
      </c>
      <c r="C40">
        <v>0</v>
      </c>
      <c r="E40">
        <f t="shared" si="0"/>
        <v>0</v>
      </c>
    </row>
    <row r="41" spans="1:5" hidden="1" x14ac:dyDescent="0.3">
      <c r="A41" t="s">
        <v>39</v>
      </c>
      <c r="B41" t="s">
        <v>4</v>
      </c>
      <c r="C41">
        <v>0</v>
      </c>
      <c r="E41">
        <f t="shared" si="0"/>
        <v>0</v>
      </c>
    </row>
    <row r="42" spans="1:5" hidden="1" x14ac:dyDescent="0.3">
      <c r="A42" t="s">
        <v>39</v>
      </c>
      <c r="B42" t="s">
        <v>50</v>
      </c>
      <c r="C42">
        <v>0</v>
      </c>
      <c r="E42">
        <f t="shared" si="0"/>
        <v>0</v>
      </c>
    </row>
    <row r="43" spans="1:5" hidden="1" x14ac:dyDescent="0.3">
      <c r="A43" t="s">
        <v>100</v>
      </c>
      <c r="B43" t="s">
        <v>4</v>
      </c>
      <c r="C43">
        <v>0</v>
      </c>
      <c r="E43">
        <f t="shared" si="0"/>
        <v>0</v>
      </c>
    </row>
    <row r="44" spans="1:5" hidden="1" x14ac:dyDescent="0.3">
      <c r="A44" t="s">
        <v>100</v>
      </c>
      <c r="B44" t="s">
        <v>50</v>
      </c>
      <c r="C44">
        <v>48</v>
      </c>
      <c r="D44">
        <v>4800</v>
      </c>
      <c r="E44">
        <f t="shared" si="0"/>
        <v>230400</v>
      </c>
    </row>
    <row r="45" spans="1:5" hidden="1" x14ac:dyDescent="0.3">
      <c r="A45" t="s">
        <v>43</v>
      </c>
      <c r="B45" t="s">
        <v>4</v>
      </c>
      <c r="C45">
        <v>165</v>
      </c>
      <c r="D45">
        <v>37000</v>
      </c>
      <c r="E45">
        <f t="shared" si="0"/>
        <v>6105000</v>
      </c>
    </row>
    <row r="46" spans="1:5" hidden="1" x14ac:dyDescent="0.3">
      <c r="A46" t="s">
        <v>43</v>
      </c>
      <c r="B46" t="s">
        <v>84</v>
      </c>
      <c r="C46">
        <v>0</v>
      </c>
      <c r="E46">
        <f t="shared" si="0"/>
        <v>0</v>
      </c>
    </row>
    <row r="47" spans="1:5" hidden="1" x14ac:dyDescent="0.3">
      <c r="A47" t="s">
        <v>44</v>
      </c>
      <c r="B47" t="s">
        <v>4</v>
      </c>
      <c r="C47">
        <v>100</v>
      </c>
      <c r="D47">
        <v>17000</v>
      </c>
      <c r="E47">
        <f t="shared" si="0"/>
        <v>1700000</v>
      </c>
    </row>
    <row r="48" spans="1:5" hidden="1" x14ac:dyDescent="0.3">
      <c r="A48" t="s">
        <v>44</v>
      </c>
      <c r="B48" t="s">
        <v>84</v>
      </c>
      <c r="C48">
        <v>0</v>
      </c>
      <c r="E48">
        <f t="shared" si="0"/>
        <v>0</v>
      </c>
    </row>
    <row r="49" spans="1:5" hidden="1" x14ac:dyDescent="0.3">
      <c r="A49" t="s">
        <v>45</v>
      </c>
      <c r="B49" t="s">
        <v>4</v>
      </c>
      <c r="C49">
        <v>0</v>
      </c>
      <c r="E49">
        <f t="shared" si="0"/>
        <v>0</v>
      </c>
    </row>
    <row r="50" spans="1:5" hidden="1" x14ac:dyDescent="0.3">
      <c r="A50" t="s">
        <v>45</v>
      </c>
      <c r="B50" t="s">
        <v>84</v>
      </c>
      <c r="C50">
        <v>0</v>
      </c>
      <c r="E50">
        <f t="shared" si="0"/>
        <v>0</v>
      </c>
    </row>
    <row r="51" spans="1:5" hidden="1" x14ac:dyDescent="0.3">
      <c r="A51" t="s">
        <v>12</v>
      </c>
      <c r="B51" t="s">
        <v>4</v>
      </c>
      <c r="C51">
        <v>0</v>
      </c>
      <c r="E51">
        <f t="shared" si="0"/>
        <v>0</v>
      </c>
    </row>
    <row r="52" spans="1:5" hidden="1" x14ac:dyDescent="0.3">
      <c r="A52" t="s">
        <v>116</v>
      </c>
      <c r="B52" t="s">
        <v>50</v>
      </c>
      <c r="C52">
        <v>0</v>
      </c>
      <c r="E52">
        <f t="shared" si="0"/>
        <v>0</v>
      </c>
    </row>
    <row r="53" spans="1:5" hidden="1" x14ac:dyDescent="0.3">
      <c r="A53" t="s">
        <v>117</v>
      </c>
      <c r="B53" t="s">
        <v>4</v>
      </c>
      <c r="C53">
        <v>955</v>
      </c>
      <c r="D53">
        <v>23000</v>
      </c>
      <c r="E53">
        <f t="shared" si="0"/>
        <v>21965000</v>
      </c>
    </row>
    <row r="54" spans="1:5" hidden="1" x14ac:dyDescent="0.3">
      <c r="A54" t="s">
        <v>17</v>
      </c>
      <c r="B54" t="s">
        <v>4</v>
      </c>
      <c r="C54">
        <v>38.5</v>
      </c>
      <c r="D54">
        <v>33000</v>
      </c>
      <c r="E54">
        <f t="shared" si="0"/>
        <v>1270500</v>
      </c>
    </row>
    <row r="55" spans="1:5" hidden="1" x14ac:dyDescent="0.3">
      <c r="A55" t="s">
        <v>17</v>
      </c>
      <c r="B55" t="s">
        <v>147</v>
      </c>
      <c r="C55">
        <v>100</v>
      </c>
      <c r="D55">
        <v>9900</v>
      </c>
      <c r="E55">
        <f t="shared" si="0"/>
        <v>990000</v>
      </c>
    </row>
    <row r="56" spans="1:5" hidden="1" x14ac:dyDescent="0.3">
      <c r="A56" t="s">
        <v>118</v>
      </c>
      <c r="B56" t="s">
        <v>4</v>
      </c>
      <c r="C56">
        <v>0</v>
      </c>
      <c r="E56">
        <f t="shared" si="0"/>
        <v>0</v>
      </c>
    </row>
    <row r="57" spans="1:5" x14ac:dyDescent="0.3">
      <c r="A57" t="s">
        <v>41</v>
      </c>
      <c r="B57" t="s">
        <v>4</v>
      </c>
      <c r="C57">
        <v>2350</v>
      </c>
      <c r="D57">
        <v>28600</v>
      </c>
      <c r="E57">
        <f t="shared" si="0"/>
        <v>67210000</v>
      </c>
    </row>
    <row r="58" spans="1:5" hidden="1" x14ac:dyDescent="0.3">
      <c r="A58" t="s">
        <v>7</v>
      </c>
      <c r="B58" t="s">
        <v>84</v>
      </c>
      <c r="C58">
        <v>0</v>
      </c>
      <c r="E58">
        <f t="shared" si="0"/>
        <v>0</v>
      </c>
    </row>
    <row r="59" spans="1:5" hidden="1" x14ac:dyDescent="0.3">
      <c r="A59" t="s">
        <v>89</v>
      </c>
      <c r="B59" t="s">
        <v>53</v>
      </c>
      <c r="C59">
        <v>24</v>
      </c>
      <c r="D59">
        <v>17000</v>
      </c>
      <c r="E59">
        <f t="shared" si="0"/>
        <v>408000</v>
      </c>
    </row>
    <row r="60" spans="1:5" hidden="1" x14ac:dyDescent="0.3">
      <c r="A60" t="s">
        <v>90</v>
      </c>
      <c r="B60" t="s">
        <v>4</v>
      </c>
      <c r="C60">
        <v>8</v>
      </c>
      <c r="D60">
        <v>45000</v>
      </c>
      <c r="E60">
        <f t="shared" si="0"/>
        <v>360000</v>
      </c>
    </row>
    <row r="61" spans="1:5" hidden="1" x14ac:dyDescent="0.3">
      <c r="A61" t="s">
        <v>90</v>
      </c>
      <c r="B61" t="s">
        <v>148</v>
      </c>
      <c r="C61">
        <v>0</v>
      </c>
      <c r="E61">
        <f t="shared" si="0"/>
        <v>0</v>
      </c>
    </row>
    <row r="62" spans="1:5" hidden="1" x14ac:dyDescent="0.3">
      <c r="A62" t="s">
        <v>37</v>
      </c>
      <c r="B62" t="s">
        <v>4</v>
      </c>
      <c r="C62">
        <v>12</v>
      </c>
      <c r="D62">
        <v>11500</v>
      </c>
      <c r="E62">
        <f t="shared" si="0"/>
        <v>138000</v>
      </c>
    </row>
    <row r="63" spans="1:5" hidden="1" x14ac:dyDescent="0.3">
      <c r="A63" t="s">
        <v>37</v>
      </c>
      <c r="B63" t="s">
        <v>150</v>
      </c>
      <c r="C63">
        <v>0</v>
      </c>
      <c r="E63">
        <f t="shared" si="0"/>
        <v>0</v>
      </c>
    </row>
    <row r="64" spans="1:5" hidden="1" x14ac:dyDescent="0.3">
      <c r="A64" t="s">
        <v>37</v>
      </c>
      <c r="B64" t="s">
        <v>151</v>
      </c>
      <c r="C64">
        <v>0</v>
      </c>
      <c r="E64">
        <f t="shared" si="0"/>
        <v>0</v>
      </c>
    </row>
    <row r="65" spans="1:5" hidden="1" x14ac:dyDescent="0.3">
      <c r="A65" t="s">
        <v>40</v>
      </c>
      <c r="B65" t="s">
        <v>66</v>
      </c>
      <c r="C65">
        <v>0</v>
      </c>
      <c r="E65">
        <f t="shared" si="0"/>
        <v>0</v>
      </c>
    </row>
    <row r="66" spans="1:5" hidden="1" x14ac:dyDescent="0.3">
      <c r="A66" t="s">
        <v>40</v>
      </c>
      <c r="B66" t="s">
        <v>4</v>
      </c>
      <c r="C66">
        <v>13</v>
      </c>
      <c r="D66">
        <v>38000</v>
      </c>
      <c r="E66">
        <f t="shared" si="0"/>
        <v>494000</v>
      </c>
    </row>
    <row r="67" spans="1:5" hidden="1" x14ac:dyDescent="0.3">
      <c r="A67" t="s">
        <v>42</v>
      </c>
      <c r="B67" t="s">
        <v>31</v>
      </c>
      <c r="C67">
        <v>0</v>
      </c>
      <c r="E67">
        <f t="shared" si="0"/>
        <v>0</v>
      </c>
    </row>
    <row r="68" spans="1:5" hidden="1" x14ac:dyDescent="0.3">
      <c r="A68" t="s">
        <v>68</v>
      </c>
      <c r="B68" t="s">
        <v>31</v>
      </c>
      <c r="C68">
        <v>0</v>
      </c>
      <c r="E68">
        <f t="shared" si="0"/>
        <v>0</v>
      </c>
    </row>
    <row r="69" spans="1:5" hidden="1" x14ac:dyDescent="0.3">
      <c r="A69" t="s">
        <v>70</v>
      </c>
      <c r="B69" t="s">
        <v>71</v>
      </c>
      <c r="C69">
        <v>0</v>
      </c>
      <c r="E69">
        <f t="shared" ref="E69:E134" si="1">C69*D69</f>
        <v>0</v>
      </c>
    </row>
    <row r="70" spans="1:5" hidden="1" x14ac:dyDescent="0.3">
      <c r="A70" t="s">
        <v>101</v>
      </c>
      <c r="B70" t="s">
        <v>53</v>
      </c>
      <c r="C70">
        <v>0</v>
      </c>
      <c r="E70">
        <f t="shared" si="1"/>
        <v>0</v>
      </c>
    </row>
    <row r="71" spans="1:5" hidden="1" x14ac:dyDescent="0.3">
      <c r="A71" t="s">
        <v>101</v>
      </c>
      <c r="B71" t="s">
        <v>4</v>
      </c>
      <c r="C71">
        <v>0</v>
      </c>
      <c r="E71">
        <f t="shared" si="1"/>
        <v>0</v>
      </c>
    </row>
    <row r="72" spans="1:5" hidden="1" x14ac:dyDescent="0.3">
      <c r="A72" t="s">
        <v>46</v>
      </c>
      <c r="B72" t="s">
        <v>31</v>
      </c>
      <c r="C72">
        <v>0</v>
      </c>
      <c r="E72">
        <f t="shared" si="1"/>
        <v>0</v>
      </c>
    </row>
    <row r="73" spans="1:5" hidden="1" x14ac:dyDescent="0.3">
      <c r="A73" t="s">
        <v>72</v>
      </c>
      <c r="B73" t="s">
        <v>73</v>
      </c>
      <c r="C73">
        <v>0</v>
      </c>
      <c r="E73">
        <f t="shared" si="1"/>
        <v>0</v>
      </c>
    </row>
    <row r="74" spans="1:5" hidden="1" x14ac:dyDescent="0.3">
      <c r="A74" t="s">
        <v>3</v>
      </c>
      <c r="B74" t="s">
        <v>4</v>
      </c>
      <c r="C74">
        <v>17</v>
      </c>
      <c r="D74">
        <v>30000</v>
      </c>
      <c r="E74">
        <f t="shared" si="1"/>
        <v>510000</v>
      </c>
    </row>
    <row r="75" spans="1:5" hidden="1" x14ac:dyDescent="0.3">
      <c r="A75" t="s">
        <v>74</v>
      </c>
      <c r="B75" t="s">
        <v>4</v>
      </c>
      <c r="C75">
        <v>0</v>
      </c>
      <c r="E75">
        <f t="shared" si="1"/>
        <v>0</v>
      </c>
    </row>
    <row r="76" spans="1:5" hidden="1" x14ac:dyDescent="0.3">
      <c r="A76" t="s">
        <v>83</v>
      </c>
      <c r="B76" t="s">
        <v>4</v>
      </c>
      <c r="C76">
        <v>0</v>
      </c>
      <c r="E76">
        <f t="shared" si="1"/>
        <v>0</v>
      </c>
    </row>
    <row r="77" spans="1:5" hidden="1" x14ac:dyDescent="0.3">
      <c r="A77" t="s">
        <v>5</v>
      </c>
      <c r="B77" t="s">
        <v>4</v>
      </c>
      <c r="C77">
        <v>245</v>
      </c>
      <c r="D77">
        <v>15000</v>
      </c>
      <c r="E77">
        <f t="shared" si="1"/>
        <v>3675000</v>
      </c>
    </row>
    <row r="78" spans="1:5" hidden="1" x14ac:dyDescent="0.3">
      <c r="A78" t="s">
        <v>59</v>
      </c>
      <c r="B78" t="s">
        <v>4</v>
      </c>
      <c r="C78">
        <v>0</v>
      </c>
      <c r="E78">
        <f t="shared" si="1"/>
        <v>0</v>
      </c>
    </row>
    <row r="79" spans="1:5" hidden="1" x14ac:dyDescent="0.3">
      <c r="A79" t="s">
        <v>16</v>
      </c>
      <c r="B79" t="s">
        <v>4</v>
      </c>
      <c r="C79">
        <v>0</v>
      </c>
      <c r="E79">
        <f t="shared" si="1"/>
        <v>0</v>
      </c>
    </row>
    <row r="80" spans="1:5" hidden="1" x14ac:dyDescent="0.3">
      <c r="A80" t="s">
        <v>16</v>
      </c>
      <c r="B80" t="s">
        <v>165</v>
      </c>
      <c r="C80">
        <v>0</v>
      </c>
      <c r="E80">
        <f t="shared" si="1"/>
        <v>0</v>
      </c>
    </row>
    <row r="81" spans="1:5" hidden="1" x14ac:dyDescent="0.3">
      <c r="A81" t="s">
        <v>94</v>
      </c>
      <c r="B81" t="s">
        <v>50</v>
      </c>
      <c r="C81">
        <v>0</v>
      </c>
      <c r="E81">
        <f t="shared" si="1"/>
        <v>0</v>
      </c>
    </row>
    <row r="82" spans="1:5" hidden="1" x14ac:dyDescent="0.3">
      <c r="A82" t="s">
        <v>33</v>
      </c>
      <c r="B82" t="s">
        <v>31</v>
      </c>
      <c r="C82">
        <v>0</v>
      </c>
      <c r="E82">
        <f t="shared" si="1"/>
        <v>0</v>
      </c>
    </row>
    <row r="83" spans="1:5" hidden="1" x14ac:dyDescent="0.3">
      <c r="A83" t="s">
        <v>123</v>
      </c>
      <c r="B83" t="s">
        <v>31</v>
      </c>
      <c r="C83">
        <v>0</v>
      </c>
      <c r="E83">
        <f t="shared" si="1"/>
        <v>0</v>
      </c>
    </row>
    <row r="84" spans="1:5" hidden="1" x14ac:dyDescent="0.3">
      <c r="A84" t="s">
        <v>99</v>
      </c>
      <c r="B84" t="s">
        <v>4</v>
      </c>
      <c r="C84">
        <v>0</v>
      </c>
      <c r="E84">
        <f t="shared" si="1"/>
        <v>0</v>
      </c>
    </row>
    <row r="85" spans="1:5" hidden="1" x14ac:dyDescent="0.3">
      <c r="A85" t="s">
        <v>99</v>
      </c>
      <c r="B85" t="s">
        <v>31</v>
      </c>
      <c r="C85">
        <v>0</v>
      </c>
      <c r="E85">
        <f t="shared" si="1"/>
        <v>0</v>
      </c>
    </row>
    <row r="86" spans="1:5" hidden="1" x14ac:dyDescent="0.3">
      <c r="A86" t="s">
        <v>69</v>
      </c>
      <c r="B86" t="s">
        <v>31</v>
      </c>
      <c r="C86">
        <v>0</v>
      </c>
      <c r="E86">
        <f t="shared" si="1"/>
        <v>0</v>
      </c>
    </row>
    <row r="87" spans="1:5" hidden="1" x14ac:dyDescent="0.3">
      <c r="A87" t="s">
        <v>67</v>
      </c>
      <c r="B87" t="s">
        <v>4</v>
      </c>
      <c r="C87">
        <v>7</v>
      </c>
      <c r="D87">
        <v>14000</v>
      </c>
      <c r="E87">
        <f t="shared" si="1"/>
        <v>98000</v>
      </c>
    </row>
    <row r="88" spans="1:5" hidden="1" x14ac:dyDescent="0.3">
      <c r="A88" t="s">
        <v>102</v>
      </c>
      <c r="B88" t="s">
        <v>4</v>
      </c>
      <c r="C88">
        <v>0</v>
      </c>
      <c r="E88">
        <f t="shared" si="1"/>
        <v>0</v>
      </c>
    </row>
    <row r="89" spans="1:5" hidden="1" x14ac:dyDescent="0.3">
      <c r="A89" t="s">
        <v>76</v>
      </c>
      <c r="B89" t="s">
        <v>66</v>
      </c>
      <c r="C89">
        <v>120</v>
      </c>
      <c r="D89">
        <v>6800</v>
      </c>
      <c r="E89">
        <f t="shared" si="1"/>
        <v>816000</v>
      </c>
    </row>
    <row r="90" spans="1:5" hidden="1" x14ac:dyDescent="0.3">
      <c r="A90" t="s">
        <v>48</v>
      </c>
      <c r="B90" t="s">
        <v>4</v>
      </c>
      <c r="C90">
        <v>0</v>
      </c>
      <c r="E90">
        <f t="shared" si="1"/>
        <v>0</v>
      </c>
    </row>
    <row r="91" spans="1:5" hidden="1" x14ac:dyDescent="0.3">
      <c r="A91" t="s">
        <v>77</v>
      </c>
      <c r="B91" t="s">
        <v>66</v>
      </c>
      <c r="C91">
        <v>0</v>
      </c>
      <c r="E91">
        <f t="shared" si="1"/>
        <v>0</v>
      </c>
    </row>
    <row r="92" spans="1:5" hidden="1" x14ac:dyDescent="0.3">
      <c r="A92" t="s">
        <v>82</v>
      </c>
      <c r="B92" t="s">
        <v>66</v>
      </c>
      <c r="C92">
        <v>0</v>
      </c>
      <c r="E92">
        <f t="shared" si="1"/>
        <v>0</v>
      </c>
    </row>
    <row r="93" spans="1:5" hidden="1" x14ac:dyDescent="0.3">
      <c r="A93" t="s">
        <v>121</v>
      </c>
      <c r="B93" t="s">
        <v>53</v>
      </c>
      <c r="C93">
        <v>0</v>
      </c>
      <c r="E93">
        <f t="shared" si="1"/>
        <v>0</v>
      </c>
    </row>
    <row r="94" spans="1:5" hidden="1" x14ac:dyDescent="0.3">
      <c r="A94" t="s">
        <v>121</v>
      </c>
      <c r="B94" t="s">
        <v>31</v>
      </c>
      <c r="C94">
        <v>46</v>
      </c>
      <c r="D94">
        <v>100000</v>
      </c>
      <c r="E94">
        <f t="shared" si="1"/>
        <v>4600000</v>
      </c>
    </row>
    <row r="95" spans="1:5" hidden="1" x14ac:dyDescent="0.3">
      <c r="A95" t="s">
        <v>58</v>
      </c>
      <c r="B95" t="s">
        <v>4</v>
      </c>
      <c r="C95">
        <v>0</v>
      </c>
      <c r="E95">
        <f t="shared" si="1"/>
        <v>0</v>
      </c>
    </row>
    <row r="96" spans="1:5" hidden="1" x14ac:dyDescent="0.3">
      <c r="A96" t="s">
        <v>79</v>
      </c>
      <c r="B96" t="s">
        <v>4</v>
      </c>
      <c r="C96">
        <v>0</v>
      </c>
      <c r="E96">
        <f t="shared" si="1"/>
        <v>0</v>
      </c>
    </row>
    <row r="97" spans="1:5" hidden="1" x14ac:dyDescent="0.3">
      <c r="A97" t="s">
        <v>79</v>
      </c>
      <c r="B97" t="s">
        <v>31</v>
      </c>
      <c r="C97">
        <v>0</v>
      </c>
      <c r="E97">
        <f t="shared" si="1"/>
        <v>0</v>
      </c>
    </row>
    <row r="98" spans="1:5" hidden="1" x14ac:dyDescent="0.3">
      <c r="A98" t="s">
        <v>80</v>
      </c>
      <c r="B98" t="s">
        <v>31</v>
      </c>
      <c r="C98">
        <v>0</v>
      </c>
      <c r="E98">
        <f t="shared" si="1"/>
        <v>0</v>
      </c>
    </row>
    <row r="99" spans="1:5" hidden="1" x14ac:dyDescent="0.3">
      <c r="A99" t="s">
        <v>27</v>
      </c>
      <c r="B99" t="s">
        <v>4</v>
      </c>
      <c r="C99">
        <v>0</v>
      </c>
      <c r="E99">
        <f t="shared" si="1"/>
        <v>0</v>
      </c>
    </row>
    <row r="100" spans="1:5" hidden="1" x14ac:dyDescent="0.3">
      <c r="A100" t="s">
        <v>35</v>
      </c>
      <c r="B100" t="s">
        <v>4</v>
      </c>
      <c r="C100">
        <v>40</v>
      </c>
      <c r="D100">
        <v>18000</v>
      </c>
      <c r="E100">
        <f t="shared" si="1"/>
        <v>720000</v>
      </c>
    </row>
    <row r="101" spans="1:5" hidden="1" x14ac:dyDescent="0.3">
      <c r="A101" t="s">
        <v>96</v>
      </c>
      <c r="B101" t="s">
        <v>4</v>
      </c>
      <c r="C101">
        <v>0</v>
      </c>
      <c r="E101">
        <f t="shared" si="1"/>
        <v>0</v>
      </c>
    </row>
    <row r="102" spans="1:5" hidden="1" x14ac:dyDescent="0.3">
      <c r="A102" t="s">
        <v>105</v>
      </c>
      <c r="B102" t="s">
        <v>4</v>
      </c>
      <c r="C102">
        <v>0</v>
      </c>
      <c r="E102">
        <f t="shared" si="1"/>
        <v>0</v>
      </c>
    </row>
    <row r="103" spans="1:5" hidden="1" x14ac:dyDescent="0.3">
      <c r="A103" t="s">
        <v>63</v>
      </c>
      <c r="B103" t="s">
        <v>4</v>
      </c>
      <c r="C103">
        <v>0</v>
      </c>
      <c r="E103">
        <f t="shared" si="1"/>
        <v>0</v>
      </c>
    </row>
    <row r="104" spans="1:5" hidden="1" x14ac:dyDescent="0.3">
      <c r="A104" t="s">
        <v>63</v>
      </c>
      <c r="B104" t="s">
        <v>31</v>
      </c>
      <c r="C104">
        <v>0</v>
      </c>
      <c r="E104">
        <f t="shared" si="1"/>
        <v>0</v>
      </c>
    </row>
    <row r="105" spans="1:5" hidden="1" x14ac:dyDescent="0.3">
      <c r="A105" t="s">
        <v>81</v>
      </c>
      <c r="B105" t="s">
        <v>4</v>
      </c>
      <c r="C105">
        <v>0</v>
      </c>
      <c r="E105">
        <f t="shared" si="1"/>
        <v>0</v>
      </c>
    </row>
    <row r="106" spans="1:5" hidden="1" x14ac:dyDescent="0.3">
      <c r="A106" t="s">
        <v>9</v>
      </c>
      <c r="B106" t="s">
        <v>4</v>
      </c>
      <c r="C106">
        <v>0</v>
      </c>
      <c r="E106">
        <f t="shared" si="1"/>
        <v>0</v>
      </c>
    </row>
    <row r="107" spans="1:5" hidden="1" x14ac:dyDescent="0.3">
      <c r="A107" t="s">
        <v>21</v>
      </c>
      <c r="B107" t="s">
        <v>4</v>
      </c>
      <c r="C107">
        <v>46</v>
      </c>
      <c r="D107">
        <v>9000</v>
      </c>
      <c r="E107">
        <f t="shared" si="1"/>
        <v>414000</v>
      </c>
    </row>
    <row r="108" spans="1:5" hidden="1" x14ac:dyDescent="0.3">
      <c r="A108" t="s">
        <v>21</v>
      </c>
      <c r="B108" t="s">
        <v>149</v>
      </c>
      <c r="C108">
        <v>0</v>
      </c>
      <c r="E108">
        <f t="shared" si="1"/>
        <v>0</v>
      </c>
    </row>
    <row r="109" spans="1:5" hidden="1" x14ac:dyDescent="0.3">
      <c r="A109" t="s">
        <v>127</v>
      </c>
      <c r="B109" t="s">
        <v>4</v>
      </c>
      <c r="C109">
        <v>0</v>
      </c>
      <c r="E109">
        <f t="shared" si="1"/>
        <v>0</v>
      </c>
    </row>
    <row r="110" spans="1:5" hidden="1" x14ac:dyDescent="0.3">
      <c r="A110" t="s">
        <v>47</v>
      </c>
      <c r="B110" t="s">
        <v>4</v>
      </c>
      <c r="C110">
        <v>150</v>
      </c>
      <c r="D110">
        <v>8500</v>
      </c>
      <c r="E110">
        <f t="shared" si="1"/>
        <v>1275000</v>
      </c>
    </row>
    <row r="111" spans="1:5" hidden="1" x14ac:dyDescent="0.3">
      <c r="A111" t="s">
        <v>157</v>
      </c>
      <c r="B111" t="s">
        <v>4</v>
      </c>
      <c r="C111">
        <v>0</v>
      </c>
      <c r="E111">
        <f t="shared" si="1"/>
        <v>0</v>
      </c>
    </row>
    <row r="112" spans="1:5" hidden="1" x14ac:dyDescent="0.3">
      <c r="A112" t="s">
        <v>55</v>
      </c>
      <c r="B112" t="s">
        <v>4</v>
      </c>
      <c r="C112">
        <v>20</v>
      </c>
      <c r="D112">
        <v>31000</v>
      </c>
      <c r="E112">
        <f t="shared" si="1"/>
        <v>620000</v>
      </c>
    </row>
    <row r="113" spans="1:5" hidden="1" x14ac:dyDescent="0.3">
      <c r="A113" t="s">
        <v>133</v>
      </c>
      <c r="B113" t="s">
        <v>31</v>
      </c>
      <c r="C113">
        <v>0</v>
      </c>
      <c r="E113">
        <f t="shared" si="1"/>
        <v>0</v>
      </c>
    </row>
    <row r="114" spans="1:5" hidden="1" x14ac:dyDescent="0.3">
      <c r="A114" t="s">
        <v>13</v>
      </c>
      <c r="B114" t="s">
        <v>4</v>
      </c>
      <c r="C114">
        <v>0</v>
      </c>
      <c r="E114">
        <f t="shared" si="1"/>
        <v>0</v>
      </c>
    </row>
    <row r="115" spans="1:5" hidden="1" x14ac:dyDescent="0.3">
      <c r="A115" t="s">
        <v>85</v>
      </c>
      <c r="B115" t="s">
        <v>4</v>
      </c>
      <c r="C115">
        <v>0</v>
      </c>
      <c r="E115">
        <f t="shared" si="1"/>
        <v>0</v>
      </c>
    </row>
    <row r="116" spans="1:5" hidden="1" x14ac:dyDescent="0.3">
      <c r="A116" t="s">
        <v>142</v>
      </c>
      <c r="B116" t="s">
        <v>31</v>
      </c>
      <c r="C116">
        <v>0</v>
      </c>
      <c r="E116">
        <f t="shared" si="1"/>
        <v>0</v>
      </c>
    </row>
    <row r="117" spans="1:5" hidden="1" x14ac:dyDescent="0.3">
      <c r="A117" t="s">
        <v>129</v>
      </c>
      <c r="B117" t="s">
        <v>4</v>
      </c>
      <c r="C117">
        <v>0</v>
      </c>
      <c r="E117">
        <f t="shared" si="1"/>
        <v>0</v>
      </c>
    </row>
    <row r="118" spans="1:5" hidden="1" x14ac:dyDescent="0.3">
      <c r="A118" t="s">
        <v>113</v>
      </c>
      <c r="B118" t="s">
        <v>31</v>
      </c>
      <c r="C118">
        <v>0</v>
      </c>
      <c r="E118">
        <f t="shared" si="1"/>
        <v>0</v>
      </c>
    </row>
    <row r="119" spans="1:5" hidden="1" x14ac:dyDescent="0.3">
      <c r="A119" t="s">
        <v>119</v>
      </c>
      <c r="B119" t="s">
        <v>31</v>
      </c>
      <c r="C119">
        <v>0</v>
      </c>
      <c r="E119">
        <f t="shared" si="1"/>
        <v>0</v>
      </c>
    </row>
    <row r="120" spans="1:5" hidden="1" x14ac:dyDescent="0.3">
      <c r="A120" t="s">
        <v>109</v>
      </c>
      <c r="B120" t="s">
        <v>53</v>
      </c>
      <c r="C120">
        <v>0</v>
      </c>
      <c r="E120">
        <f t="shared" si="1"/>
        <v>0</v>
      </c>
    </row>
    <row r="121" spans="1:5" hidden="1" x14ac:dyDescent="0.3">
      <c r="A121" t="s">
        <v>107</v>
      </c>
      <c r="B121" t="s">
        <v>4</v>
      </c>
      <c r="C121">
        <v>0</v>
      </c>
      <c r="E121">
        <f t="shared" si="1"/>
        <v>0</v>
      </c>
    </row>
    <row r="122" spans="1:5" hidden="1" x14ac:dyDescent="0.3">
      <c r="A122" t="s">
        <v>97</v>
      </c>
      <c r="B122" t="s">
        <v>4</v>
      </c>
      <c r="C122">
        <v>0</v>
      </c>
      <c r="E122">
        <f t="shared" si="1"/>
        <v>0</v>
      </c>
    </row>
    <row r="123" spans="1:5" hidden="1" x14ac:dyDescent="0.3">
      <c r="A123" t="s">
        <v>175</v>
      </c>
      <c r="B123" t="s">
        <v>4</v>
      </c>
      <c r="C123">
        <v>0</v>
      </c>
      <c r="E123">
        <f t="shared" si="1"/>
        <v>0</v>
      </c>
    </row>
    <row r="124" spans="1:5" hidden="1" x14ac:dyDescent="0.3">
      <c r="A124" t="s">
        <v>54</v>
      </c>
      <c r="B124" t="s">
        <v>4</v>
      </c>
      <c r="C124">
        <v>0</v>
      </c>
      <c r="E124">
        <f t="shared" si="1"/>
        <v>0</v>
      </c>
    </row>
    <row r="125" spans="1:5" hidden="1" x14ac:dyDescent="0.3">
      <c r="A125" t="s">
        <v>23</v>
      </c>
      <c r="B125" t="s">
        <v>4</v>
      </c>
      <c r="C125">
        <v>0</v>
      </c>
      <c r="E125">
        <f t="shared" si="1"/>
        <v>0</v>
      </c>
    </row>
    <row r="126" spans="1:5" hidden="1" x14ac:dyDescent="0.3">
      <c r="A126" t="s">
        <v>26</v>
      </c>
      <c r="B126" t="s">
        <v>4</v>
      </c>
      <c r="C126">
        <v>100</v>
      </c>
      <c r="D126">
        <v>13000</v>
      </c>
      <c r="E126">
        <f t="shared" si="1"/>
        <v>1300000</v>
      </c>
    </row>
    <row r="127" spans="1:5" hidden="1" x14ac:dyDescent="0.3">
      <c r="A127" t="s">
        <v>152</v>
      </c>
      <c r="B127" t="s">
        <v>4</v>
      </c>
      <c r="C127">
        <v>0</v>
      </c>
      <c r="E127">
        <f t="shared" si="1"/>
        <v>0</v>
      </c>
    </row>
    <row r="128" spans="1:5" hidden="1" x14ac:dyDescent="0.3">
      <c r="A128" t="s">
        <v>124</v>
      </c>
      <c r="B128" t="s">
        <v>4</v>
      </c>
      <c r="C128">
        <v>0</v>
      </c>
      <c r="E128">
        <f t="shared" si="1"/>
        <v>0</v>
      </c>
    </row>
    <row r="129" spans="1:5" hidden="1" x14ac:dyDescent="0.3">
      <c r="A129" t="s">
        <v>135</v>
      </c>
      <c r="B129" t="s">
        <v>4</v>
      </c>
      <c r="C129">
        <v>65</v>
      </c>
      <c r="D129">
        <v>20000</v>
      </c>
      <c r="E129">
        <f t="shared" si="1"/>
        <v>1300000</v>
      </c>
    </row>
    <row r="130" spans="1:5" ht="15.6" hidden="1" x14ac:dyDescent="0.3">
      <c r="A130" s="15"/>
      <c r="B130" s="15"/>
      <c r="C130" s="15"/>
      <c r="D130" s="15"/>
      <c r="E130">
        <f t="shared" si="1"/>
        <v>0</v>
      </c>
    </row>
    <row r="131" spans="1:5" ht="15.6" hidden="1" x14ac:dyDescent="0.3">
      <c r="A131" s="15"/>
      <c r="B131" s="15"/>
      <c r="C131" s="15"/>
      <c r="D131" s="15"/>
      <c r="E131">
        <f>SUM(E4:E129)</f>
        <v>228132400</v>
      </c>
    </row>
    <row r="132" spans="1:5" ht="15.6" hidden="1" x14ac:dyDescent="0.3">
      <c r="A132" s="15"/>
      <c r="B132" s="15"/>
      <c r="C132" s="15"/>
      <c r="D132" s="15"/>
    </row>
    <row r="133" spans="1:5" ht="31.2" hidden="1" x14ac:dyDescent="0.3">
      <c r="A133" s="77" t="s">
        <v>0</v>
      </c>
      <c r="B133" s="77" t="s">
        <v>1</v>
      </c>
      <c r="C133" s="45" t="s">
        <v>2</v>
      </c>
      <c r="D133" s="18" t="s">
        <v>137</v>
      </c>
      <c r="E133" t="s">
        <v>138</v>
      </c>
    </row>
    <row r="134" spans="1:5" ht="15.6" hidden="1" x14ac:dyDescent="0.3">
      <c r="A134" s="19" t="s">
        <v>27</v>
      </c>
      <c r="B134" s="19" t="s">
        <v>4</v>
      </c>
      <c r="C134" s="46">
        <v>130</v>
      </c>
      <c r="D134" s="21">
        <v>7000</v>
      </c>
      <c r="E134">
        <f t="shared" si="1"/>
        <v>910000</v>
      </c>
    </row>
    <row r="135" spans="1:5" ht="15.6" hidden="1" x14ac:dyDescent="0.3">
      <c r="A135" s="19" t="s">
        <v>28</v>
      </c>
      <c r="B135" s="19" t="s">
        <v>4</v>
      </c>
      <c r="C135" s="46">
        <v>60</v>
      </c>
      <c r="D135" s="21">
        <v>17000</v>
      </c>
      <c r="E135">
        <f t="shared" ref="E135:E171" si="2">C135*D135</f>
        <v>1020000</v>
      </c>
    </row>
    <row r="136" spans="1:5" ht="15.6" hidden="1" x14ac:dyDescent="0.3">
      <c r="A136" s="19" t="s">
        <v>29</v>
      </c>
      <c r="B136" s="19" t="s">
        <v>4</v>
      </c>
      <c r="C136" s="46">
        <v>100</v>
      </c>
      <c r="D136" s="21">
        <v>22000</v>
      </c>
      <c r="E136">
        <f t="shared" si="2"/>
        <v>2200000</v>
      </c>
    </row>
    <row r="137" spans="1:5" ht="15.6" hidden="1" x14ac:dyDescent="0.3">
      <c r="A137" s="19" t="s">
        <v>32</v>
      </c>
      <c r="B137" s="19" t="s">
        <v>4</v>
      </c>
      <c r="C137" s="46">
        <v>200</v>
      </c>
      <c r="D137" s="21">
        <v>19000</v>
      </c>
      <c r="E137">
        <f t="shared" si="2"/>
        <v>3800000</v>
      </c>
    </row>
    <row r="138" spans="1:5" ht="15.6" hidden="1" x14ac:dyDescent="0.3">
      <c r="A138" s="19" t="s">
        <v>33</v>
      </c>
      <c r="B138" s="19" t="s">
        <v>31</v>
      </c>
      <c r="C138" s="46"/>
      <c r="D138" s="21"/>
      <c r="E138">
        <f t="shared" si="2"/>
        <v>0</v>
      </c>
    </row>
    <row r="139" spans="1:5" ht="15.6" hidden="1" x14ac:dyDescent="0.3">
      <c r="A139" s="19" t="s">
        <v>34</v>
      </c>
      <c r="B139" s="19" t="s">
        <v>4</v>
      </c>
      <c r="C139" s="46">
        <v>100</v>
      </c>
      <c r="D139" s="21">
        <v>15000</v>
      </c>
      <c r="E139">
        <f t="shared" si="2"/>
        <v>1500000</v>
      </c>
    </row>
    <row r="140" spans="1:5" ht="15.6" hidden="1" x14ac:dyDescent="0.3">
      <c r="A140" s="19" t="s">
        <v>34</v>
      </c>
      <c r="B140" s="19" t="s">
        <v>194</v>
      </c>
      <c r="C140" s="46"/>
      <c r="D140" s="21"/>
      <c r="E140">
        <f t="shared" si="2"/>
        <v>0</v>
      </c>
    </row>
    <row r="141" spans="1:5" ht="15.6" hidden="1" x14ac:dyDescent="0.3">
      <c r="A141" s="19" t="s">
        <v>35</v>
      </c>
      <c r="B141" s="19" t="s">
        <v>4</v>
      </c>
      <c r="C141" s="46"/>
      <c r="D141" s="21"/>
      <c r="E141">
        <f t="shared" si="2"/>
        <v>0</v>
      </c>
    </row>
    <row r="142" spans="1:5" ht="15.6" hidden="1" x14ac:dyDescent="0.3">
      <c r="A142" s="19" t="s">
        <v>13</v>
      </c>
      <c r="B142" s="19" t="s">
        <v>4</v>
      </c>
      <c r="C142" s="46"/>
      <c r="D142" s="21"/>
      <c r="E142">
        <f t="shared" si="2"/>
        <v>0</v>
      </c>
    </row>
    <row r="143" spans="1:5" ht="15.6" hidden="1" x14ac:dyDescent="0.3">
      <c r="A143" s="19" t="s">
        <v>14</v>
      </c>
      <c r="B143" s="19" t="s">
        <v>4</v>
      </c>
      <c r="C143" s="46"/>
      <c r="D143" s="21"/>
      <c r="E143">
        <f t="shared" si="2"/>
        <v>0</v>
      </c>
    </row>
    <row r="144" spans="1:5" ht="15.6" hidden="1" x14ac:dyDescent="0.3">
      <c r="A144" s="19" t="s">
        <v>3</v>
      </c>
      <c r="B144" s="19" t="s">
        <v>4</v>
      </c>
      <c r="C144" s="46"/>
      <c r="D144" s="21"/>
      <c r="E144">
        <f t="shared" si="2"/>
        <v>0</v>
      </c>
    </row>
    <row r="145" spans="1:5" ht="15.6" hidden="1" x14ac:dyDescent="0.3">
      <c r="A145" s="19" t="s">
        <v>5</v>
      </c>
      <c r="B145" s="19" t="s">
        <v>4</v>
      </c>
      <c r="C145" s="46"/>
      <c r="D145" s="21"/>
      <c r="E145">
        <f t="shared" si="2"/>
        <v>0</v>
      </c>
    </row>
    <row r="146" spans="1:5" ht="15.6" hidden="1" x14ac:dyDescent="0.3">
      <c r="A146" s="19" t="s">
        <v>6</v>
      </c>
      <c r="B146" s="19" t="s">
        <v>4</v>
      </c>
      <c r="C146" s="46">
        <v>750</v>
      </c>
      <c r="D146" s="21">
        <v>11000</v>
      </c>
      <c r="E146">
        <f t="shared" si="2"/>
        <v>8250000</v>
      </c>
    </row>
    <row r="147" spans="1:5" ht="15.6" hidden="1" x14ac:dyDescent="0.3">
      <c r="A147" s="19" t="s">
        <v>22</v>
      </c>
      <c r="B147" s="19" t="s">
        <v>4</v>
      </c>
      <c r="C147" s="46">
        <v>550</v>
      </c>
      <c r="D147" s="21">
        <v>7500</v>
      </c>
      <c r="E147">
        <f t="shared" si="2"/>
        <v>4125000</v>
      </c>
    </row>
    <row r="148" spans="1:5" ht="15.6" hidden="1" x14ac:dyDescent="0.3">
      <c r="A148" s="19" t="s">
        <v>24</v>
      </c>
      <c r="B148" s="19" t="s">
        <v>4</v>
      </c>
      <c r="C148" s="46"/>
      <c r="D148" s="21"/>
      <c r="E148">
        <f t="shared" si="2"/>
        <v>0</v>
      </c>
    </row>
    <row r="149" spans="1:5" ht="15.6" hidden="1" x14ac:dyDescent="0.3">
      <c r="A149" s="19" t="s">
        <v>40</v>
      </c>
      <c r="B149" s="19" t="s">
        <v>4</v>
      </c>
      <c r="C149" s="46"/>
      <c r="D149" s="21"/>
      <c r="E149">
        <f t="shared" si="2"/>
        <v>0</v>
      </c>
    </row>
    <row r="150" spans="1:5" ht="15.6" hidden="1" x14ac:dyDescent="0.3">
      <c r="A150" s="19" t="s">
        <v>7</v>
      </c>
      <c r="B150" s="19" t="s">
        <v>4</v>
      </c>
      <c r="C150" s="46">
        <v>55</v>
      </c>
      <c r="D150" s="21">
        <v>10000</v>
      </c>
      <c r="E150">
        <f t="shared" si="2"/>
        <v>550000</v>
      </c>
    </row>
    <row r="151" spans="1:5" ht="15.6" hidden="1" x14ac:dyDescent="0.3">
      <c r="A151" s="19" t="s">
        <v>8</v>
      </c>
      <c r="B151" s="19" t="s">
        <v>4</v>
      </c>
      <c r="C151" s="46">
        <v>1000</v>
      </c>
      <c r="D151" s="21">
        <v>5200</v>
      </c>
      <c r="E151">
        <f t="shared" si="2"/>
        <v>5200000</v>
      </c>
    </row>
    <row r="152" spans="1:5" ht="15.6" hidden="1" x14ac:dyDescent="0.3">
      <c r="A152" s="19" t="s">
        <v>10</v>
      </c>
      <c r="B152" s="19" t="s">
        <v>4</v>
      </c>
      <c r="C152" s="46">
        <v>60</v>
      </c>
      <c r="D152" s="21">
        <v>11000</v>
      </c>
      <c r="E152">
        <f t="shared" si="2"/>
        <v>660000</v>
      </c>
    </row>
    <row r="153" spans="1:5" ht="15.6" hidden="1" x14ac:dyDescent="0.3">
      <c r="A153" s="19" t="s">
        <v>15</v>
      </c>
      <c r="B153" s="19" t="s">
        <v>4</v>
      </c>
      <c r="C153" s="46">
        <v>200</v>
      </c>
      <c r="D153" s="21">
        <v>24000</v>
      </c>
      <c r="E153">
        <f t="shared" si="2"/>
        <v>4800000</v>
      </c>
    </row>
    <row r="154" spans="1:5" ht="15.6" hidden="1" x14ac:dyDescent="0.3">
      <c r="A154" s="19" t="s">
        <v>18</v>
      </c>
      <c r="B154" s="19" t="s">
        <v>4</v>
      </c>
      <c r="C154" s="46">
        <v>160</v>
      </c>
      <c r="D154" s="21">
        <v>18000</v>
      </c>
      <c r="E154">
        <f t="shared" si="2"/>
        <v>2880000</v>
      </c>
    </row>
    <row r="155" spans="1:5" ht="15.6" hidden="1" x14ac:dyDescent="0.3">
      <c r="A155" s="19" t="s">
        <v>21</v>
      </c>
      <c r="B155" s="19" t="s">
        <v>4</v>
      </c>
      <c r="C155" s="46">
        <v>40</v>
      </c>
      <c r="D155" s="21">
        <v>9000</v>
      </c>
      <c r="E155">
        <f t="shared" si="2"/>
        <v>360000</v>
      </c>
    </row>
    <row r="156" spans="1:5" ht="15.6" hidden="1" x14ac:dyDescent="0.3">
      <c r="A156" s="19" t="s">
        <v>43</v>
      </c>
      <c r="B156" s="19" t="s">
        <v>4</v>
      </c>
      <c r="C156" s="46">
        <v>40</v>
      </c>
      <c r="D156" s="21">
        <v>27000</v>
      </c>
      <c r="E156">
        <f t="shared" si="2"/>
        <v>1080000</v>
      </c>
    </row>
    <row r="157" spans="1:5" ht="15.6" hidden="1" x14ac:dyDescent="0.3">
      <c r="A157" s="19" t="s">
        <v>44</v>
      </c>
      <c r="B157" s="19" t="s">
        <v>4</v>
      </c>
      <c r="C157" s="46">
        <v>20</v>
      </c>
      <c r="D157" s="21">
        <v>18000</v>
      </c>
      <c r="E157">
        <f t="shared" si="2"/>
        <v>360000</v>
      </c>
    </row>
    <row r="158" spans="1:5" ht="15.6" hidden="1" x14ac:dyDescent="0.3">
      <c r="A158" s="19" t="s">
        <v>45</v>
      </c>
      <c r="B158" s="19" t="s">
        <v>4</v>
      </c>
      <c r="C158" s="46"/>
      <c r="D158" s="21"/>
      <c r="E158">
        <f t="shared" si="2"/>
        <v>0</v>
      </c>
    </row>
    <row r="159" spans="1:5" ht="15.6" hidden="1" x14ac:dyDescent="0.3">
      <c r="A159" s="19" t="s">
        <v>47</v>
      </c>
      <c r="B159" s="19" t="s">
        <v>4</v>
      </c>
      <c r="C159" s="46">
        <v>30</v>
      </c>
      <c r="D159" s="21">
        <v>8500</v>
      </c>
      <c r="E159">
        <f t="shared" si="2"/>
        <v>255000</v>
      </c>
    </row>
    <row r="160" spans="1:5" ht="15.6" hidden="1" x14ac:dyDescent="0.3">
      <c r="A160" s="19" t="s">
        <v>26</v>
      </c>
      <c r="B160" s="19" t="s">
        <v>4</v>
      </c>
      <c r="C160" s="46">
        <v>100</v>
      </c>
      <c r="D160" s="21">
        <v>13000</v>
      </c>
      <c r="E160">
        <f t="shared" si="2"/>
        <v>1300000</v>
      </c>
    </row>
    <row r="161" spans="1:5" ht="15.6" hidden="1" x14ac:dyDescent="0.3">
      <c r="A161" s="19" t="s">
        <v>25</v>
      </c>
      <c r="B161" s="19" t="s">
        <v>4</v>
      </c>
      <c r="C161" s="46">
        <v>28</v>
      </c>
      <c r="D161" s="21">
        <v>31000</v>
      </c>
      <c r="E161">
        <f t="shared" si="2"/>
        <v>868000</v>
      </c>
    </row>
    <row r="162" spans="1:5" ht="15.6" hidden="1" x14ac:dyDescent="0.3">
      <c r="A162" s="19" t="s">
        <v>23</v>
      </c>
      <c r="B162" s="19" t="s">
        <v>4</v>
      </c>
      <c r="C162" s="46"/>
      <c r="D162" s="21"/>
      <c r="E162">
        <f t="shared" si="2"/>
        <v>0</v>
      </c>
    </row>
    <row r="163" spans="1:5" ht="15.6" hidden="1" x14ac:dyDescent="0.3">
      <c r="A163" s="19" t="s">
        <v>9</v>
      </c>
      <c r="B163" s="19" t="s">
        <v>4</v>
      </c>
      <c r="C163" s="46"/>
      <c r="D163" s="21"/>
      <c r="E163">
        <f t="shared" si="2"/>
        <v>0</v>
      </c>
    </row>
    <row r="164" spans="1:5" ht="15.6" x14ac:dyDescent="0.3">
      <c r="A164" s="19" t="s">
        <v>41</v>
      </c>
      <c r="B164" s="19" t="s">
        <v>4</v>
      </c>
      <c r="C164" s="46">
        <v>500</v>
      </c>
      <c r="D164" s="21">
        <v>28600</v>
      </c>
      <c r="E164">
        <f t="shared" si="2"/>
        <v>14300000</v>
      </c>
    </row>
    <row r="165" spans="1:5" ht="15.6" hidden="1" x14ac:dyDescent="0.3">
      <c r="A165" s="19" t="s">
        <v>20</v>
      </c>
      <c r="B165" s="19" t="s">
        <v>4</v>
      </c>
      <c r="C165" s="46">
        <v>320</v>
      </c>
      <c r="D165" s="21">
        <v>12000</v>
      </c>
      <c r="E165">
        <f t="shared" si="2"/>
        <v>3840000</v>
      </c>
    </row>
    <row r="166" spans="1:5" ht="15.6" hidden="1" x14ac:dyDescent="0.3">
      <c r="A166" s="19" t="s">
        <v>123</v>
      </c>
      <c r="B166" s="19" t="s">
        <v>31</v>
      </c>
      <c r="C166" s="46"/>
      <c r="D166" s="21"/>
      <c r="E166">
        <f t="shared" si="2"/>
        <v>0</v>
      </c>
    </row>
    <row r="167" spans="1:5" ht="15.6" hidden="1" x14ac:dyDescent="0.3">
      <c r="A167" s="19" t="s">
        <v>37</v>
      </c>
      <c r="B167" s="19" t="s">
        <v>151</v>
      </c>
      <c r="C167" s="46">
        <v>80</v>
      </c>
      <c r="D167" s="21">
        <v>11500</v>
      </c>
      <c r="E167">
        <f t="shared" si="2"/>
        <v>920000</v>
      </c>
    </row>
    <row r="168" spans="1:5" ht="15.6" hidden="1" x14ac:dyDescent="0.3">
      <c r="A168" s="19" t="s">
        <v>12</v>
      </c>
      <c r="B168" s="19" t="s">
        <v>4</v>
      </c>
      <c r="C168" s="46"/>
      <c r="D168" s="21"/>
      <c r="E168">
        <f t="shared" si="2"/>
        <v>0</v>
      </c>
    </row>
    <row r="169" spans="1:5" ht="15.6" hidden="1" x14ac:dyDescent="0.3">
      <c r="A169" s="19" t="s">
        <v>124</v>
      </c>
      <c r="B169" s="19" t="s">
        <v>4</v>
      </c>
      <c r="C169" s="46"/>
      <c r="D169" s="21"/>
      <c r="E169">
        <f t="shared" si="2"/>
        <v>0</v>
      </c>
    </row>
    <row r="170" spans="1:5" ht="15.6" hidden="1" x14ac:dyDescent="0.3">
      <c r="A170" s="19" t="s">
        <v>17</v>
      </c>
      <c r="B170" s="19" t="s">
        <v>147</v>
      </c>
      <c r="C170" s="46">
        <v>3</v>
      </c>
      <c r="D170" s="21">
        <v>9900</v>
      </c>
      <c r="E170">
        <f t="shared" si="2"/>
        <v>29700</v>
      </c>
    </row>
    <row r="171" spans="1:5" ht="15.6" hidden="1" x14ac:dyDescent="0.3">
      <c r="A171" s="19" t="s">
        <v>121</v>
      </c>
      <c r="B171" s="19" t="s">
        <v>53</v>
      </c>
      <c r="C171" s="46"/>
      <c r="D171" s="21"/>
      <c r="E171">
        <f t="shared" si="2"/>
        <v>0</v>
      </c>
    </row>
    <row r="172" spans="1:5" hidden="1" x14ac:dyDescent="0.3">
      <c r="E172">
        <f>SUM(E134:E170)</f>
        <v>59207700</v>
      </c>
    </row>
    <row r="173" spans="1:5" hidden="1" x14ac:dyDescent="0.3">
      <c r="E173">
        <f>SUM(E172,E131)</f>
        <v>287340100</v>
      </c>
    </row>
  </sheetData>
  <autoFilter ref="A3:E173" xr:uid="{00000000-0009-0000-0000-00000D000000}">
    <filterColumn colId="0">
      <filters>
        <filter val="Hạt Dẻ Ngố"/>
      </filters>
    </filterColumn>
    <filterColumn colId="2">
      <filters>
        <filter val="100"/>
        <filter val="1000"/>
        <filter val="12"/>
        <filter val="120"/>
        <filter val="13"/>
        <filter val="130"/>
        <filter val="1337"/>
        <filter val="150"/>
        <filter val="160"/>
        <filter val="165"/>
        <filter val="17"/>
        <filter val="18"/>
        <filter val="20"/>
        <filter val="200"/>
        <filter val="230"/>
        <filter val="2350"/>
        <filter val="24"/>
        <filter val="245"/>
        <filter val="25"/>
        <filter val="262"/>
        <filter val="265"/>
        <filter val="28"/>
        <filter val="3"/>
        <filter val="30"/>
        <filter val="320"/>
        <filter val="3380"/>
        <filter val="38.5"/>
        <filter val="383"/>
        <filter val="40"/>
        <filter val="46"/>
        <filter val="48"/>
        <filter val="480"/>
        <filter val="500"/>
        <filter val="520"/>
        <filter val="54"/>
        <filter val="55"/>
        <filter val="550"/>
        <filter val="60"/>
        <filter val="620"/>
        <filter val="65"/>
        <filter val="650"/>
        <filter val="7"/>
        <filter val="750"/>
        <filter val="8"/>
        <filter val="80"/>
        <filter val="900"/>
        <filter val="955"/>
        <filter val="Tồn_x000a_ĐL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19" sqref="C219"/>
    </sheetView>
  </sheetViews>
  <sheetFormatPr defaultRowHeight="13.8" x14ac:dyDescent="0.25"/>
  <cols>
    <col min="1" max="1" width="43.77734375" style="78" bestFit="1" customWidth="1"/>
    <col min="2" max="2" width="8.88671875" style="78"/>
    <col min="3" max="3" width="12.109375" style="78" customWidth="1"/>
    <col min="4" max="4" width="20" style="83" customWidth="1"/>
    <col min="5" max="5" width="21.33203125" style="83" customWidth="1"/>
    <col min="6" max="16384" width="8.88671875" style="78"/>
  </cols>
  <sheetData>
    <row r="1" spans="1:5" ht="31.2" x14ac:dyDescent="0.25">
      <c r="A1" s="32" t="s">
        <v>0</v>
      </c>
      <c r="B1" s="32" t="s">
        <v>1</v>
      </c>
      <c r="C1" s="33" t="s">
        <v>2</v>
      </c>
      <c r="D1" s="33" t="s">
        <v>177</v>
      </c>
      <c r="E1" s="33" t="s">
        <v>178</v>
      </c>
    </row>
    <row r="2" spans="1:5" x14ac:dyDescent="0.25">
      <c r="A2" s="79" t="s">
        <v>3</v>
      </c>
      <c r="B2" s="79" t="s">
        <v>4</v>
      </c>
      <c r="C2" s="80">
        <v>66</v>
      </c>
      <c r="D2" s="82">
        <f>VLOOKUP(A2,'14.11'!A4:D129,4,)</f>
        <v>30000</v>
      </c>
      <c r="E2" s="82">
        <f>+D2*C2</f>
        <v>1980000</v>
      </c>
    </row>
    <row r="3" spans="1:5" x14ac:dyDescent="0.25">
      <c r="A3" s="79" t="s">
        <v>5</v>
      </c>
      <c r="B3" s="79" t="s">
        <v>4</v>
      </c>
      <c r="C3" s="80">
        <v>128</v>
      </c>
      <c r="D3" s="82">
        <f>VLOOKUP(A3,'14.11'!A5:D130,4,)</f>
        <v>15000</v>
      </c>
      <c r="E3" s="82">
        <f t="shared" ref="E3:E4" si="0">+D3*C3</f>
        <v>1920000</v>
      </c>
    </row>
    <row r="4" spans="1:5" x14ac:dyDescent="0.25">
      <c r="A4" s="79" t="s">
        <v>6</v>
      </c>
      <c r="B4" s="79" t="s">
        <v>4</v>
      </c>
      <c r="C4" s="80">
        <v>477</v>
      </c>
      <c r="D4" s="82">
        <f>VLOOKUP(A4,'14.11'!A6:D131,4,)</f>
        <v>11000</v>
      </c>
      <c r="E4" s="82">
        <f t="shared" si="0"/>
        <v>5247000</v>
      </c>
    </row>
    <row r="5" spans="1:5" x14ac:dyDescent="0.25">
      <c r="A5" s="79" t="s">
        <v>7</v>
      </c>
      <c r="B5" s="79" t="s">
        <v>4</v>
      </c>
      <c r="C5" s="80">
        <v>0</v>
      </c>
      <c r="D5" s="81"/>
      <c r="E5" s="81"/>
    </row>
    <row r="6" spans="1:5" x14ac:dyDescent="0.25">
      <c r="A6" s="79" t="s">
        <v>7</v>
      </c>
      <c r="B6" s="79" t="s">
        <v>84</v>
      </c>
      <c r="C6" s="80">
        <v>0</v>
      </c>
      <c r="D6" s="81"/>
      <c r="E6" s="81"/>
    </row>
    <row r="7" spans="1:5" x14ac:dyDescent="0.25">
      <c r="A7" s="79" t="s">
        <v>85</v>
      </c>
      <c r="B7" s="79" t="s">
        <v>4</v>
      </c>
      <c r="C7" s="80">
        <v>0</v>
      </c>
      <c r="D7" s="81"/>
      <c r="E7" s="81"/>
    </row>
    <row r="8" spans="1:5" x14ac:dyDescent="0.25">
      <c r="A8" s="79" t="s">
        <v>8</v>
      </c>
      <c r="B8" s="79" t="s">
        <v>4</v>
      </c>
      <c r="C8" s="80">
        <v>0</v>
      </c>
      <c r="D8" s="81"/>
      <c r="E8" s="81"/>
    </row>
    <row r="9" spans="1:5" x14ac:dyDescent="0.25">
      <c r="A9" s="79" t="s">
        <v>106</v>
      </c>
      <c r="B9" s="79" t="s">
        <v>4</v>
      </c>
      <c r="C9" s="80">
        <v>0</v>
      </c>
      <c r="D9" s="81"/>
      <c r="E9" s="81"/>
    </row>
    <row r="10" spans="1:5" x14ac:dyDescent="0.25">
      <c r="A10" s="79" t="s">
        <v>9</v>
      </c>
      <c r="B10" s="79" t="s">
        <v>4</v>
      </c>
      <c r="C10" s="80">
        <v>0</v>
      </c>
      <c r="D10" s="81"/>
      <c r="E10" s="81"/>
    </row>
    <row r="11" spans="1:5" x14ac:dyDescent="0.25">
      <c r="A11" s="79" t="s">
        <v>10</v>
      </c>
      <c r="B11" s="79" t="s">
        <v>4</v>
      </c>
      <c r="C11" s="80">
        <v>117</v>
      </c>
      <c r="D11" s="82">
        <f>VLOOKUP(A11,'14.11'!A13:D138,4,)</f>
        <v>11000</v>
      </c>
      <c r="E11" s="82">
        <f>+D11*C11</f>
        <v>1287000</v>
      </c>
    </row>
    <row r="12" spans="1:5" x14ac:dyDescent="0.25">
      <c r="A12" s="79" t="s">
        <v>10</v>
      </c>
      <c r="B12" s="79" t="s">
        <v>84</v>
      </c>
      <c r="C12" s="80">
        <v>0</v>
      </c>
      <c r="D12" s="81"/>
      <c r="E12" s="81"/>
    </row>
    <row r="13" spans="1:5" x14ac:dyDescent="0.25">
      <c r="A13" s="79" t="s">
        <v>11</v>
      </c>
      <c r="B13" s="79" t="s">
        <v>4</v>
      </c>
      <c r="C13" s="80">
        <v>0</v>
      </c>
      <c r="D13" s="81"/>
      <c r="E13" s="81"/>
    </row>
    <row r="14" spans="1:5" x14ac:dyDescent="0.25">
      <c r="A14" s="79" t="s">
        <v>11</v>
      </c>
      <c r="B14" s="79" t="s">
        <v>84</v>
      </c>
      <c r="C14" s="80">
        <v>0</v>
      </c>
      <c r="D14" s="81"/>
      <c r="E14" s="81"/>
    </row>
    <row r="15" spans="1:5" x14ac:dyDescent="0.25">
      <c r="A15" s="79" t="s">
        <v>12</v>
      </c>
      <c r="B15" s="79" t="s">
        <v>4</v>
      </c>
      <c r="C15" s="80">
        <v>0</v>
      </c>
      <c r="D15" s="81"/>
      <c r="E15" s="81"/>
    </row>
    <row r="16" spans="1:5" x14ac:dyDescent="0.25">
      <c r="A16" s="79" t="s">
        <v>13</v>
      </c>
      <c r="B16" s="79" t="s">
        <v>4</v>
      </c>
      <c r="C16" s="80">
        <v>25</v>
      </c>
      <c r="D16" s="82">
        <v>40000</v>
      </c>
      <c r="E16" s="82">
        <f>+D16*C16</f>
        <v>1000000</v>
      </c>
    </row>
    <row r="17" spans="1:5" x14ac:dyDescent="0.25">
      <c r="A17" s="79" t="s">
        <v>175</v>
      </c>
      <c r="B17" s="79" t="s">
        <v>4</v>
      </c>
      <c r="C17" s="80">
        <v>0</v>
      </c>
      <c r="D17" s="81"/>
      <c r="E17" s="81"/>
    </row>
    <row r="18" spans="1:5" x14ac:dyDescent="0.25">
      <c r="A18" s="79" t="s">
        <v>59</v>
      </c>
      <c r="B18" s="79" t="s">
        <v>4</v>
      </c>
      <c r="C18" s="80">
        <v>0</v>
      </c>
      <c r="D18" s="81"/>
      <c r="E18" s="81"/>
    </row>
    <row r="19" spans="1:5" x14ac:dyDescent="0.25">
      <c r="A19" s="79" t="s">
        <v>60</v>
      </c>
      <c r="B19" s="79" t="s">
        <v>4</v>
      </c>
      <c r="C19" s="80">
        <v>0</v>
      </c>
      <c r="D19" s="81"/>
      <c r="E19" s="81"/>
    </row>
    <row r="20" spans="1:5" x14ac:dyDescent="0.25">
      <c r="A20" s="79" t="s">
        <v>60</v>
      </c>
      <c r="B20" s="79" t="s">
        <v>50</v>
      </c>
      <c r="C20" s="80">
        <v>0</v>
      </c>
      <c r="D20" s="81"/>
      <c r="E20" s="81"/>
    </row>
    <row r="21" spans="1:5" x14ac:dyDescent="0.25">
      <c r="A21" s="79" t="s">
        <v>15</v>
      </c>
      <c r="B21" s="79" t="s">
        <v>4</v>
      </c>
      <c r="C21" s="80">
        <v>46</v>
      </c>
      <c r="D21" s="82">
        <f>VLOOKUP(A21,'14.11'!A23:D148,4,)</f>
        <v>24000</v>
      </c>
      <c r="E21" s="82">
        <f>+D21*C21</f>
        <v>1104000</v>
      </c>
    </row>
    <row r="22" spans="1:5" x14ac:dyDescent="0.25">
      <c r="A22" s="79" t="s">
        <v>15</v>
      </c>
      <c r="B22" s="79" t="s">
        <v>50</v>
      </c>
      <c r="C22" s="80">
        <v>0</v>
      </c>
      <c r="D22" s="81"/>
      <c r="E22" s="81"/>
    </row>
    <row r="23" spans="1:5" x14ac:dyDescent="0.25">
      <c r="A23" s="79" t="s">
        <v>15</v>
      </c>
      <c r="B23" s="79" t="s">
        <v>164</v>
      </c>
      <c r="C23" s="80">
        <v>42</v>
      </c>
      <c r="D23" s="82">
        <f>VLOOKUP(A23,'14.11'!A25:D150,4,)</f>
        <v>24000</v>
      </c>
      <c r="E23" s="82">
        <f>+D23*C23</f>
        <v>1008000</v>
      </c>
    </row>
    <row r="24" spans="1:5" x14ac:dyDescent="0.25">
      <c r="A24" s="79" t="s">
        <v>16</v>
      </c>
      <c r="B24" s="79" t="s">
        <v>4</v>
      </c>
      <c r="C24" s="80">
        <v>0</v>
      </c>
      <c r="D24" s="81"/>
      <c r="E24" s="81"/>
    </row>
    <row r="25" spans="1:5" x14ac:dyDescent="0.25">
      <c r="A25" s="79" t="s">
        <v>16</v>
      </c>
      <c r="B25" s="79" t="s">
        <v>165</v>
      </c>
      <c r="C25" s="80">
        <v>0</v>
      </c>
      <c r="D25" s="81"/>
      <c r="E25" s="81"/>
    </row>
    <row r="26" spans="1:5" x14ac:dyDescent="0.25">
      <c r="A26" s="79" t="s">
        <v>17</v>
      </c>
      <c r="B26" s="79" t="s">
        <v>4</v>
      </c>
      <c r="C26" s="80">
        <v>30</v>
      </c>
      <c r="D26" s="82">
        <f>VLOOKUP(A26,'14.11'!A28:D153,4,)</f>
        <v>33000</v>
      </c>
      <c r="E26" s="82">
        <f t="shared" ref="E26:E28" si="1">+D26*C26</f>
        <v>990000</v>
      </c>
    </row>
    <row r="27" spans="1:5" x14ac:dyDescent="0.25">
      <c r="A27" s="79" t="s">
        <v>17</v>
      </c>
      <c r="B27" s="79" t="s">
        <v>147</v>
      </c>
      <c r="C27" s="80">
        <v>79</v>
      </c>
      <c r="D27" s="82">
        <f>VLOOKUP(A27,'14.11'!A29:D154,4,)</f>
        <v>33000</v>
      </c>
      <c r="E27" s="82">
        <f t="shared" si="1"/>
        <v>2607000</v>
      </c>
    </row>
    <row r="28" spans="1:5" x14ac:dyDescent="0.25">
      <c r="A28" s="79" t="s">
        <v>89</v>
      </c>
      <c r="B28" s="79" t="s">
        <v>53</v>
      </c>
      <c r="C28" s="80">
        <v>9</v>
      </c>
      <c r="D28" s="82">
        <f>VLOOKUP(A28,'14.11'!A30:D155,4,)</f>
        <v>17000</v>
      </c>
      <c r="E28" s="82">
        <f t="shared" si="1"/>
        <v>153000</v>
      </c>
    </row>
    <row r="29" spans="1:5" x14ac:dyDescent="0.25">
      <c r="A29" s="79" t="s">
        <v>89</v>
      </c>
      <c r="B29" s="79" t="s">
        <v>4</v>
      </c>
      <c r="C29" s="80">
        <v>0</v>
      </c>
      <c r="D29" s="81"/>
      <c r="E29" s="81"/>
    </row>
    <row r="30" spans="1:5" x14ac:dyDescent="0.25">
      <c r="A30" s="79" t="s">
        <v>90</v>
      </c>
      <c r="B30" s="79" t="s">
        <v>4</v>
      </c>
      <c r="C30" s="80">
        <v>13.5</v>
      </c>
      <c r="D30" s="82">
        <f>VLOOKUP(A30,'14.11'!A32:D157,4,)</f>
        <v>45000</v>
      </c>
      <c r="E30" s="82">
        <f>+D30*C30</f>
        <v>607500</v>
      </c>
    </row>
    <row r="31" spans="1:5" x14ac:dyDescent="0.25">
      <c r="A31" s="79" t="s">
        <v>90</v>
      </c>
      <c r="B31" s="79" t="s">
        <v>147</v>
      </c>
      <c r="C31" s="80">
        <v>0</v>
      </c>
      <c r="D31" s="81"/>
      <c r="E31" s="81"/>
    </row>
    <row r="32" spans="1:5" x14ac:dyDescent="0.25">
      <c r="A32" s="79" t="s">
        <v>90</v>
      </c>
      <c r="B32" s="79" t="s">
        <v>148</v>
      </c>
      <c r="C32" s="80">
        <v>0</v>
      </c>
      <c r="D32" s="81"/>
      <c r="E32" s="81"/>
    </row>
    <row r="33" spans="1:5" x14ac:dyDescent="0.25">
      <c r="A33" s="79" t="s">
        <v>18</v>
      </c>
      <c r="B33" s="79" t="s">
        <v>4</v>
      </c>
      <c r="C33" s="80">
        <v>342</v>
      </c>
      <c r="D33" s="82">
        <f>VLOOKUP(A33,'14.11'!A35:D160,4,)</f>
        <v>18000</v>
      </c>
      <c r="E33" s="82">
        <f>+D33*C33</f>
        <v>6156000</v>
      </c>
    </row>
    <row r="34" spans="1:5" x14ac:dyDescent="0.25">
      <c r="A34" s="79" t="s">
        <v>18</v>
      </c>
      <c r="B34" s="79" t="s">
        <v>50</v>
      </c>
      <c r="C34" s="80">
        <v>0</v>
      </c>
      <c r="D34" s="81"/>
      <c r="E34" s="81"/>
    </row>
    <row r="35" spans="1:5" x14ac:dyDescent="0.25">
      <c r="A35" s="79" t="s">
        <v>92</v>
      </c>
      <c r="B35" s="79" t="s">
        <v>31</v>
      </c>
      <c r="C35" s="80">
        <v>200</v>
      </c>
      <c r="D35" s="82">
        <v>16000</v>
      </c>
      <c r="E35" s="82">
        <f t="shared" ref="E35:E36" si="2">+D35*C35</f>
        <v>3200000</v>
      </c>
    </row>
    <row r="36" spans="1:5" x14ac:dyDescent="0.25">
      <c r="A36" s="79" t="s">
        <v>49</v>
      </c>
      <c r="B36" s="79" t="s">
        <v>4</v>
      </c>
      <c r="C36" s="80">
        <v>144</v>
      </c>
      <c r="D36" s="82">
        <v>15000</v>
      </c>
      <c r="E36" s="82">
        <f t="shared" si="2"/>
        <v>2160000</v>
      </c>
    </row>
    <row r="37" spans="1:5" x14ac:dyDescent="0.25">
      <c r="A37" s="79" t="s">
        <v>49</v>
      </c>
      <c r="B37" s="79" t="s">
        <v>31</v>
      </c>
      <c r="C37" s="80">
        <v>0</v>
      </c>
      <c r="D37" s="81"/>
      <c r="E37" s="81"/>
    </row>
    <row r="38" spans="1:5" x14ac:dyDescent="0.25">
      <c r="A38" s="79" t="s">
        <v>19</v>
      </c>
      <c r="B38" s="79" t="s">
        <v>4</v>
      </c>
      <c r="C38" s="80">
        <v>0</v>
      </c>
      <c r="D38" s="81"/>
      <c r="E38" s="81"/>
    </row>
    <row r="39" spans="1:5" x14ac:dyDescent="0.25">
      <c r="A39" s="79" t="s">
        <v>19</v>
      </c>
      <c r="B39" s="79" t="s">
        <v>50</v>
      </c>
      <c r="C39" s="80">
        <v>0</v>
      </c>
      <c r="D39" s="81"/>
      <c r="E39" s="81"/>
    </row>
    <row r="40" spans="1:5" x14ac:dyDescent="0.25">
      <c r="A40" s="79" t="s">
        <v>21</v>
      </c>
      <c r="B40" s="79" t="s">
        <v>4</v>
      </c>
      <c r="C40" s="80">
        <v>60</v>
      </c>
      <c r="D40" s="82">
        <f>VLOOKUP(A40,'14.11'!A42:D167,4,)</f>
        <v>9000</v>
      </c>
      <c r="E40" s="82">
        <f>+D40*C40</f>
        <v>540000</v>
      </c>
    </row>
    <row r="41" spans="1:5" x14ac:dyDescent="0.25">
      <c r="A41" s="79" t="s">
        <v>21</v>
      </c>
      <c r="B41" s="79" t="s">
        <v>149</v>
      </c>
      <c r="C41" s="80">
        <v>0</v>
      </c>
      <c r="D41" s="81"/>
      <c r="E41" s="81"/>
    </row>
    <row r="42" spans="1:5" x14ac:dyDescent="0.25">
      <c r="A42" s="79" t="s">
        <v>132</v>
      </c>
      <c r="B42" s="79" t="s">
        <v>31</v>
      </c>
      <c r="C42" s="80">
        <v>0</v>
      </c>
      <c r="D42" s="81"/>
      <c r="E42" s="81"/>
    </row>
    <row r="43" spans="1:5" x14ac:dyDescent="0.25">
      <c r="A43" s="79" t="s">
        <v>62</v>
      </c>
      <c r="B43" s="79" t="s">
        <v>4</v>
      </c>
      <c r="C43" s="80">
        <v>0</v>
      </c>
      <c r="D43" s="81"/>
      <c r="E43" s="81"/>
    </row>
    <row r="44" spans="1:5" x14ac:dyDescent="0.25">
      <c r="A44" s="79" t="s">
        <v>62</v>
      </c>
      <c r="B44" s="79" t="s">
        <v>31</v>
      </c>
      <c r="C44" s="80">
        <v>72</v>
      </c>
      <c r="D44" s="82">
        <f>36000*0.3</f>
        <v>10800</v>
      </c>
      <c r="E44" s="82">
        <f>+D44*C44</f>
        <v>777600</v>
      </c>
    </row>
    <row r="45" spans="1:5" x14ac:dyDescent="0.25">
      <c r="A45" s="79" t="s">
        <v>63</v>
      </c>
      <c r="B45" s="79" t="s">
        <v>4</v>
      </c>
      <c r="C45" s="80">
        <v>0</v>
      </c>
      <c r="D45" s="81"/>
      <c r="E45" s="81"/>
    </row>
    <row r="46" spans="1:5" x14ac:dyDescent="0.25">
      <c r="A46" s="79" t="s">
        <v>63</v>
      </c>
      <c r="B46" s="79" t="s">
        <v>31</v>
      </c>
      <c r="C46" s="80">
        <v>0</v>
      </c>
      <c r="D46" s="81"/>
      <c r="E46" s="81"/>
    </row>
    <row r="47" spans="1:5" x14ac:dyDescent="0.25">
      <c r="A47" s="79" t="s">
        <v>64</v>
      </c>
      <c r="B47" s="79" t="s">
        <v>4</v>
      </c>
      <c r="C47" s="80">
        <v>0</v>
      </c>
      <c r="D47" s="81"/>
      <c r="E47" s="81"/>
    </row>
    <row r="48" spans="1:5" x14ac:dyDescent="0.25">
      <c r="A48" s="79" t="s">
        <v>64</v>
      </c>
      <c r="B48" s="79" t="s">
        <v>31</v>
      </c>
      <c r="C48" s="80">
        <v>0</v>
      </c>
      <c r="D48" s="81"/>
      <c r="E48" s="81"/>
    </row>
    <row r="49" spans="1:5" x14ac:dyDescent="0.25">
      <c r="A49" s="79" t="s">
        <v>64</v>
      </c>
      <c r="B49" s="79" t="s">
        <v>65</v>
      </c>
      <c r="C49" s="80">
        <v>0</v>
      </c>
      <c r="D49" s="81"/>
      <c r="E49" s="81"/>
    </row>
    <row r="50" spans="1:5" x14ac:dyDescent="0.25">
      <c r="A50" s="79" t="s">
        <v>22</v>
      </c>
      <c r="B50" s="79" t="s">
        <v>4</v>
      </c>
      <c r="C50" s="80">
        <v>4380</v>
      </c>
      <c r="D50" s="82">
        <f>VLOOKUP(A50,'14.11'!A52:D177,4,)</f>
        <v>7500</v>
      </c>
      <c r="E50" s="82">
        <f>+D50*C50</f>
        <v>32850000</v>
      </c>
    </row>
    <row r="51" spans="1:5" x14ac:dyDescent="0.25">
      <c r="A51" s="79" t="s">
        <v>23</v>
      </c>
      <c r="B51" s="79" t="s">
        <v>4</v>
      </c>
      <c r="C51" s="80">
        <v>0</v>
      </c>
      <c r="D51" s="81"/>
      <c r="E51" s="81"/>
    </row>
    <row r="52" spans="1:5" x14ac:dyDescent="0.25">
      <c r="A52" s="79" t="s">
        <v>120</v>
      </c>
      <c r="B52" s="79" t="s">
        <v>4</v>
      </c>
      <c r="C52" s="80">
        <v>0</v>
      </c>
      <c r="D52" s="81"/>
      <c r="E52" s="81"/>
    </row>
    <row r="53" spans="1:5" x14ac:dyDescent="0.25">
      <c r="A53" s="79" t="s">
        <v>24</v>
      </c>
      <c r="B53" s="79" t="s">
        <v>66</v>
      </c>
      <c r="C53" s="80">
        <v>0</v>
      </c>
      <c r="D53" s="81"/>
      <c r="E53" s="81"/>
    </row>
    <row r="54" spans="1:5" x14ac:dyDescent="0.25">
      <c r="A54" s="79" t="s">
        <v>24</v>
      </c>
      <c r="B54" s="79" t="s">
        <v>4</v>
      </c>
      <c r="C54" s="80">
        <v>155</v>
      </c>
      <c r="D54" s="82">
        <v>11000</v>
      </c>
      <c r="E54" s="82">
        <f>+D54*C54</f>
        <v>1705000</v>
      </c>
    </row>
    <row r="55" spans="1:5" x14ac:dyDescent="0.25">
      <c r="A55" s="79" t="s">
        <v>94</v>
      </c>
      <c r="B55" s="79" t="s">
        <v>4</v>
      </c>
      <c r="C55" s="80">
        <v>0</v>
      </c>
      <c r="D55" s="81"/>
      <c r="E55" s="81"/>
    </row>
    <row r="56" spans="1:5" x14ac:dyDescent="0.25">
      <c r="A56" s="79" t="s">
        <v>94</v>
      </c>
      <c r="B56" s="79" t="s">
        <v>50</v>
      </c>
      <c r="C56" s="80">
        <v>0</v>
      </c>
      <c r="D56" s="81"/>
      <c r="E56" s="81"/>
    </row>
    <row r="57" spans="1:5" x14ac:dyDescent="0.25">
      <c r="A57" s="79" t="s">
        <v>26</v>
      </c>
      <c r="B57" s="79" t="s">
        <v>4</v>
      </c>
      <c r="C57" s="80">
        <v>70</v>
      </c>
      <c r="D57" s="82">
        <f>VLOOKUP(A57,'14.11'!A59:D184,4,)</f>
        <v>13000</v>
      </c>
      <c r="E57" s="82">
        <f>+D57*C57</f>
        <v>910000</v>
      </c>
    </row>
    <row r="58" spans="1:5" x14ac:dyDescent="0.25">
      <c r="A58" s="79" t="s">
        <v>51</v>
      </c>
      <c r="B58" s="79" t="s">
        <v>53</v>
      </c>
      <c r="C58" s="80">
        <v>0</v>
      </c>
      <c r="D58" s="81"/>
      <c r="E58" s="81"/>
    </row>
    <row r="59" spans="1:5" x14ac:dyDescent="0.25">
      <c r="A59" s="79" t="s">
        <v>27</v>
      </c>
      <c r="B59" s="79" t="s">
        <v>4</v>
      </c>
      <c r="C59" s="80">
        <v>110</v>
      </c>
      <c r="D59" s="82">
        <v>7000</v>
      </c>
      <c r="E59" s="82">
        <f t="shared" ref="E59:E60" si="3">+D59*C59</f>
        <v>770000</v>
      </c>
    </row>
    <row r="60" spans="1:5" x14ac:dyDescent="0.25">
      <c r="A60" s="79" t="s">
        <v>28</v>
      </c>
      <c r="B60" s="79" t="s">
        <v>4</v>
      </c>
      <c r="C60" s="80">
        <v>46</v>
      </c>
      <c r="D60" s="82">
        <v>18000</v>
      </c>
      <c r="E60" s="82">
        <f t="shared" si="3"/>
        <v>828000</v>
      </c>
    </row>
    <row r="61" spans="1:5" x14ac:dyDescent="0.25">
      <c r="A61" s="79" t="s">
        <v>28</v>
      </c>
      <c r="B61" s="79" t="s">
        <v>31</v>
      </c>
      <c r="C61" s="80">
        <v>0</v>
      </c>
      <c r="D61" s="81"/>
      <c r="E61" s="81"/>
    </row>
    <row r="62" spans="1:5" x14ac:dyDescent="0.25">
      <c r="A62" s="79" t="s">
        <v>54</v>
      </c>
      <c r="B62" s="79" t="s">
        <v>4</v>
      </c>
      <c r="C62" s="80">
        <v>4</v>
      </c>
      <c r="D62" s="82">
        <v>45000</v>
      </c>
      <c r="E62" s="82">
        <f>+D62*C62</f>
        <v>180000</v>
      </c>
    </row>
    <row r="63" spans="1:5" x14ac:dyDescent="0.25">
      <c r="A63" s="79" t="s">
        <v>29</v>
      </c>
      <c r="B63" s="79" t="s">
        <v>4</v>
      </c>
      <c r="C63" s="80">
        <v>0</v>
      </c>
      <c r="D63" s="81"/>
      <c r="E63" s="81"/>
    </row>
    <row r="64" spans="1:5" x14ac:dyDescent="0.25">
      <c r="A64" s="79" t="s">
        <v>29</v>
      </c>
      <c r="B64" s="79" t="s">
        <v>150</v>
      </c>
      <c r="C64" s="80">
        <v>0</v>
      </c>
      <c r="D64" s="81"/>
      <c r="E64" s="81"/>
    </row>
    <row r="65" spans="1:5" x14ac:dyDescent="0.25">
      <c r="A65" s="79" t="s">
        <v>55</v>
      </c>
      <c r="B65" s="79" t="s">
        <v>4</v>
      </c>
      <c r="C65" s="80">
        <v>17</v>
      </c>
      <c r="D65" s="82">
        <f>VLOOKUP(A65,'14.11'!A67:D192,4,)</f>
        <v>31000</v>
      </c>
      <c r="E65" s="82">
        <f>+D65*C65</f>
        <v>527000</v>
      </c>
    </row>
    <row r="66" spans="1:5" x14ac:dyDescent="0.25">
      <c r="A66" s="79" t="s">
        <v>55</v>
      </c>
      <c r="B66" s="79" t="s">
        <v>31</v>
      </c>
      <c r="C66" s="80">
        <v>0</v>
      </c>
      <c r="D66" s="81"/>
      <c r="E66" s="81"/>
    </row>
    <row r="67" spans="1:5" x14ac:dyDescent="0.25">
      <c r="A67" s="79" t="s">
        <v>56</v>
      </c>
      <c r="B67" s="79" t="s">
        <v>4</v>
      </c>
      <c r="C67" s="80">
        <v>0</v>
      </c>
      <c r="D67" s="81"/>
      <c r="E67" s="81"/>
    </row>
    <row r="68" spans="1:5" x14ac:dyDescent="0.25">
      <c r="A68" s="79" t="s">
        <v>56</v>
      </c>
      <c r="B68" s="79" t="s">
        <v>31</v>
      </c>
      <c r="C68" s="80">
        <v>1307</v>
      </c>
      <c r="D68" s="82">
        <f>15000*0.3</f>
        <v>4500</v>
      </c>
      <c r="E68" s="82">
        <f t="shared" ref="E68:E70" si="4">+D68*C68</f>
        <v>5881500</v>
      </c>
    </row>
    <row r="69" spans="1:5" x14ac:dyDescent="0.25">
      <c r="A69" s="79" t="s">
        <v>117</v>
      </c>
      <c r="B69" s="79" t="s">
        <v>4</v>
      </c>
      <c r="C69" s="80">
        <v>160</v>
      </c>
      <c r="D69" s="82">
        <v>26000</v>
      </c>
      <c r="E69" s="82">
        <f t="shared" si="4"/>
        <v>4160000</v>
      </c>
    </row>
    <row r="70" spans="1:5" x14ac:dyDescent="0.25">
      <c r="A70" s="79" t="s">
        <v>57</v>
      </c>
      <c r="B70" s="79" t="s">
        <v>4</v>
      </c>
      <c r="C70" s="80">
        <v>280</v>
      </c>
      <c r="D70" s="82">
        <v>23000</v>
      </c>
      <c r="E70" s="82">
        <f t="shared" si="4"/>
        <v>6440000</v>
      </c>
    </row>
    <row r="71" spans="1:5" x14ac:dyDescent="0.25">
      <c r="A71" s="79" t="s">
        <v>57</v>
      </c>
      <c r="B71" s="79" t="s">
        <v>31</v>
      </c>
      <c r="C71" s="80">
        <v>0</v>
      </c>
      <c r="D71" s="81"/>
      <c r="E71" s="81"/>
    </row>
    <row r="72" spans="1:5" x14ac:dyDescent="0.25">
      <c r="A72" s="79" t="s">
        <v>135</v>
      </c>
      <c r="B72" s="79" t="s">
        <v>4</v>
      </c>
      <c r="C72" s="80">
        <v>0</v>
      </c>
      <c r="D72" s="81"/>
      <c r="E72" s="81"/>
    </row>
    <row r="73" spans="1:5" x14ac:dyDescent="0.25">
      <c r="A73" s="79" t="s">
        <v>32</v>
      </c>
      <c r="B73" s="79" t="s">
        <v>4</v>
      </c>
      <c r="C73" s="80">
        <v>270</v>
      </c>
      <c r="D73" s="82">
        <f>VLOOKUP(A73,'14.11'!A75:D200,4,)</f>
        <v>19000</v>
      </c>
      <c r="E73" s="82">
        <f>+D73*C73</f>
        <v>5130000</v>
      </c>
    </row>
    <row r="74" spans="1:5" x14ac:dyDescent="0.25">
      <c r="A74" s="79" t="s">
        <v>32</v>
      </c>
      <c r="B74" s="79" t="s">
        <v>31</v>
      </c>
      <c r="C74" s="80">
        <v>0</v>
      </c>
      <c r="D74" s="81"/>
      <c r="E74" s="81"/>
    </row>
    <row r="75" spans="1:5" x14ac:dyDescent="0.25">
      <c r="A75" s="79" t="s">
        <v>58</v>
      </c>
      <c r="B75" s="79" t="s">
        <v>4</v>
      </c>
      <c r="C75" s="80">
        <v>2</v>
      </c>
      <c r="D75" s="82">
        <v>30000</v>
      </c>
      <c r="E75" s="82">
        <f>+D75*C75</f>
        <v>60000</v>
      </c>
    </row>
    <row r="76" spans="1:5" x14ac:dyDescent="0.25">
      <c r="A76" s="79" t="s">
        <v>118</v>
      </c>
      <c r="B76" s="79" t="s">
        <v>4</v>
      </c>
      <c r="C76" s="80">
        <v>0</v>
      </c>
      <c r="D76" s="81"/>
      <c r="E76" s="81"/>
    </row>
    <row r="77" spans="1:5" x14ac:dyDescent="0.25">
      <c r="A77" s="79" t="s">
        <v>33</v>
      </c>
      <c r="B77" s="79" t="s">
        <v>31</v>
      </c>
      <c r="C77" s="80">
        <v>0</v>
      </c>
      <c r="D77" s="81"/>
      <c r="E77" s="81"/>
    </row>
    <row r="78" spans="1:5" x14ac:dyDescent="0.25">
      <c r="A78" s="79" t="s">
        <v>34</v>
      </c>
      <c r="B78" s="79" t="s">
        <v>4</v>
      </c>
      <c r="C78" s="80">
        <v>330</v>
      </c>
      <c r="D78" s="82">
        <f>VLOOKUP(A78,'14.11'!A80:D205,4,)</f>
        <v>15000</v>
      </c>
      <c r="E78" s="82">
        <f>+D78*C78</f>
        <v>4950000</v>
      </c>
    </row>
    <row r="79" spans="1:5" x14ac:dyDescent="0.25">
      <c r="A79" s="79" t="s">
        <v>34</v>
      </c>
      <c r="B79" s="79" t="s">
        <v>31</v>
      </c>
      <c r="C79" s="80">
        <v>0</v>
      </c>
      <c r="D79" s="81"/>
      <c r="E79" s="81"/>
    </row>
    <row r="80" spans="1:5" x14ac:dyDescent="0.25">
      <c r="A80" s="79" t="s">
        <v>142</v>
      </c>
      <c r="B80" s="79" t="s">
        <v>4</v>
      </c>
      <c r="C80" s="80">
        <v>55</v>
      </c>
      <c r="D80" s="82">
        <v>12000</v>
      </c>
      <c r="E80" s="82">
        <f>+D80*C80</f>
        <v>660000</v>
      </c>
    </row>
    <row r="81" spans="1:5" x14ac:dyDescent="0.25">
      <c r="A81" s="79" t="s">
        <v>142</v>
      </c>
      <c r="B81" s="79" t="s">
        <v>31</v>
      </c>
      <c r="C81" s="80">
        <v>0</v>
      </c>
      <c r="D81" s="81"/>
      <c r="E81" s="81"/>
    </row>
    <row r="82" spans="1:5" x14ac:dyDescent="0.25">
      <c r="A82" s="79" t="s">
        <v>35</v>
      </c>
      <c r="B82" s="79" t="s">
        <v>4</v>
      </c>
      <c r="C82" s="80">
        <v>77</v>
      </c>
      <c r="D82" s="82">
        <f>VLOOKUP(A82,'14.11'!A84:D209,4,)</f>
        <v>18000</v>
      </c>
      <c r="E82" s="82">
        <f>+D82*C82</f>
        <v>1386000</v>
      </c>
    </row>
    <row r="83" spans="1:5" x14ac:dyDescent="0.25">
      <c r="A83" s="79" t="s">
        <v>123</v>
      </c>
      <c r="B83" s="79" t="s">
        <v>4</v>
      </c>
      <c r="C83" s="80">
        <v>0</v>
      </c>
      <c r="D83" s="81"/>
      <c r="E83" s="81"/>
    </row>
    <row r="84" spans="1:5" x14ac:dyDescent="0.25">
      <c r="A84" s="79" t="s">
        <v>123</v>
      </c>
      <c r="B84" s="79" t="s">
        <v>31</v>
      </c>
      <c r="C84" s="80">
        <v>55</v>
      </c>
      <c r="D84" s="82">
        <v>6000</v>
      </c>
      <c r="E84" s="82">
        <f>+D84*C84</f>
        <v>330000</v>
      </c>
    </row>
    <row r="85" spans="1:5" x14ac:dyDescent="0.25">
      <c r="A85" s="79" t="s">
        <v>37</v>
      </c>
      <c r="B85" s="79" t="s">
        <v>4</v>
      </c>
      <c r="C85" s="80">
        <v>0</v>
      </c>
      <c r="D85" s="81"/>
      <c r="E85" s="81"/>
    </row>
    <row r="86" spans="1:5" x14ac:dyDescent="0.25">
      <c r="A86" s="79" t="s">
        <v>37</v>
      </c>
      <c r="B86" s="79" t="s">
        <v>150</v>
      </c>
      <c r="C86" s="80">
        <v>0</v>
      </c>
      <c r="D86" s="81"/>
      <c r="E86" s="81"/>
    </row>
    <row r="87" spans="1:5" x14ac:dyDescent="0.25">
      <c r="A87" s="79" t="s">
        <v>37</v>
      </c>
      <c r="B87" s="79" t="s">
        <v>151</v>
      </c>
      <c r="C87" s="80">
        <v>45</v>
      </c>
      <c r="D87" s="82">
        <v>10000</v>
      </c>
      <c r="E87" s="82">
        <f t="shared" ref="E87:E88" si="5">+D87*C87</f>
        <v>450000</v>
      </c>
    </row>
    <row r="88" spans="1:5" x14ac:dyDescent="0.25">
      <c r="A88" s="79" t="s">
        <v>96</v>
      </c>
      <c r="B88" s="79" t="s">
        <v>4</v>
      </c>
      <c r="C88" s="80">
        <v>1</v>
      </c>
      <c r="D88" s="82">
        <v>8000</v>
      </c>
      <c r="E88" s="82">
        <f t="shared" si="5"/>
        <v>8000</v>
      </c>
    </row>
    <row r="89" spans="1:5" x14ac:dyDescent="0.25">
      <c r="A89" s="79" t="s">
        <v>96</v>
      </c>
      <c r="B89" s="79" t="s">
        <v>50</v>
      </c>
      <c r="C89" s="80">
        <v>0</v>
      </c>
      <c r="D89" s="81"/>
      <c r="E89" s="81"/>
    </row>
    <row r="90" spans="1:5" x14ac:dyDescent="0.25">
      <c r="A90" s="79" t="s">
        <v>97</v>
      </c>
      <c r="B90" s="79" t="s">
        <v>4</v>
      </c>
      <c r="C90" s="80">
        <v>0.5</v>
      </c>
      <c r="D90" s="82">
        <v>70000</v>
      </c>
      <c r="E90" s="82">
        <f t="shared" ref="E90:E91" si="6">+D90*C90</f>
        <v>35000</v>
      </c>
    </row>
    <row r="91" spans="1:5" x14ac:dyDescent="0.25">
      <c r="A91" s="79" t="s">
        <v>105</v>
      </c>
      <c r="B91" s="79" t="s">
        <v>4</v>
      </c>
      <c r="C91" s="80">
        <v>3</v>
      </c>
      <c r="D91" s="82">
        <v>70000</v>
      </c>
      <c r="E91" s="82">
        <f t="shared" si="6"/>
        <v>210000</v>
      </c>
    </row>
    <row r="92" spans="1:5" x14ac:dyDescent="0.25">
      <c r="A92" s="79" t="s">
        <v>113</v>
      </c>
      <c r="B92" s="79" t="s">
        <v>31</v>
      </c>
      <c r="C92" s="80">
        <v>0</v>
      </c>
      <c r="D92" s="81"/>
      <c r="E92" s="81"/>
    </row>
    <row r="93" spans="1:5" x14ac:dyDescent="0.25">
      <c r="A93" s="79" t="s">
        <v>39</v>
      </c>
      <c r="B93" s="79" t="s">
        <v>4</v>
      </c>
      <c r="C93" s="80">
        <v>9</v>
      </c>
      <c r="D93" s="82">
        <v>6000</v>
      </c>
      <c r="E93" s="82">
        <f>+D93*C93</f>
        <v>54000</v>
      </c>
    </row>
    <row r="94" spans="1:5" x14ac:dyDescent="0.25">
      <c r="A94" s="79" t="s">
        <v>39</v>
      </c>
      <c r="B94" s="79" t="s">
        <v>50</v>
      </c>
      <c r="C94" s="80">
        <v>0</v>
      </c>
      <c r="D94" s="81"/>
      <c r="E94" s="81"/>
    </row>
    <row r="95" spans="1:5" x14ac:dyDescent="0.25">
      <c r="A95" s="79" t="s">
        <v>99</v>
      </c>
      <c r="B95" s="79" t="s">
        <v>4</v>
      </c>
      <c r="C95" s="80">
        <v>7</v>
      </c>
      <c r="D95" s="82">
        <v>10000</v>
      </c>
      <c r="E95" s="82">
        <f>+D95*C95</f>
        <v>70000</v>
      </c>
    </row>
    <row r="96" spans="1:5" x14ac:dyDescent="0.25">
      <c r="A96" s="79" t="s">
        <v>99</v>
      </c>
      <c r="B96" s="79" t="s">
        <v>31</v>
      </c>
      <c r="C96" s="80">
        <v>0</v>
      </c>
      <c r="D96" s="81"/>
      <c r="E96" s="81"/>
    </row>
    <row r="97" spans="1:5" x14ac:dyDescent="0.25">
      <c r="A97" s="79" t="s">
        <v>100</v>
      </c>
      <c r="B97" s="79" t="s">
        <v>4</v>
      </c>
      <c r="C97" s="80">
        <v>78</v>
      </c>
      <c r="D97" s="82">
        <v>7000</v>
      </c>
      <c r="E97" s="82">
        <f>+D97*C97</f>
        <v>546000</v>
      </c>
    </row>
    <row r="98" spans="1:5" x14ac:dyDescent="0.25">
      <c r="A98" s="79" t="s">
        <v>40</v>
      </c>
      <c r="B98" s="79" t="s">
        <v>66</v>
      </c>
      <c r="C98" s="80">
        <v>0</v>
      </c>
      <c r="D98" s="81"/>
      <c r="E98" s="81"/>
    </row>
    <row r="99" spans="1:5" x14ac:dyDescent="0.25">
      <c r="A99" s="79" t="s">
        <v>40</v>
      </c>
      <c r="B99" s="79" t="s">
        <v>4</v>
      </c>
      <c r="C99" s="80">
        <v>65</v>
      </c>
      <c r="D99" s="82">
        <v>38000</v>
      </c>
      <c r="E99" s="82">
        <f t="shared" ref="E99:E100" si="7">+D99*C99</f>
        <v>2470000</v>
      </c>
    </row>
    <row r="100" spans="1:5" x14ac:dyDescent="0.25">
      <c r="A100" s="79" t="s">
        <v>41</v>
      </c>
      <c r="B100" s="79" t="s">
        <v>4</v>
      </c>
      <c r="C100" s="80">
        <f>1150+2000</f>
        <v>3150</v>
      </c>
      <c r="D100" s="82">
        <f>VLOOKUP(A100,'14.11'!A102:D227,4,)</f>
        <v>28600</v>
      </c>
      <c r="E100" s="82">
        <f t="shared" si="7"/>
        <v>90090000</v>
      </c>
    </row>
    <row r="101" spans="1:5" x14ac:dyDescent="0.25">
      <c r="A101" s="79" t="s">
        <v>124</v>
      </c>
      <c r="B101" s="79" t="s">
        <v>4</v>
      </c>
      <c r="C101" s="80">
        <v>0</v>
      </c>
      <c r="D101" s="81"/>
      <c r="E101" s="81"/>
    </row>
    <row r="102" spans="1:5" x14ac:dyDescent="0.25">
      <c r="A102" s="79" t="s">
        <v>121</v>
      </c>
      <c r="B102" s="79" t="s">
        <v>53</v>
      </c>
      <c r="C102" s="80">
        <v>21</v>
      </c>
      <c r="D102" s="82">
        <v>100000</v>
      </c>
      <c r="E102" s="82">
        <f>+D102*C102</f>
        <v>2100000</v>
      </c>
    </row>
    <row r="103" spans="1:5" x14ac:dyDescent="0.25">
      <c r="A103" s="79" t="s">
        <v>126</v>
      </c>
      <c r="B103" s="79" t="s">
        <v>73</v>
      </c>
      <c r="C103" s="80">
        <v>0</v>
      </c>
      <c r="D103" s="81"/>
      <c r="E103" s="81"/>
    </row>
    <row r="104" spans="1:5" x14ac:dyDescent="0.25">
      <c r="A104" s="79" t="s">
        <v>121</v>
      </c>
      <c r="B104" s="79" t="s">
        <v>4</v>
      </c>
      <c r="C104" s="80">
        <v>0</v>
      </c>
      <c r="D104" s="81"/>
      <c r="E104" s="81"/>
    </row>
    <row r="105" spans="1:5" x14ac:dyDescent="0.25">
      <c r="A105" s="79" t="s">
        <v>126</v>
      </c>
      <c r="B105" s="79" t="s">
        <v>4</v>
      </c>
      <c r="C105" s="80">
        <v>0</v>
      </c>
      <c r="D105" s="81"/>
      <c r="E105" s="81"/>
    </row>
    <row r="106" spans="1:5" x14ac:dyDescent="0.25">
      <c r="A106" s="79" t="s">
        <v>69</v>
      </c>
      <c r="B106" s="79" t="s">
        <v>31</v>
      </c>
      <c r="C106" s="80">
        <v>0</v>
      </c>
      <c r="D106" s="81"/>
      <c r="E106" s="81"/>
    </row>
    <row r="107" spans="1:5" x14ac:dyDescent="0.25">
      <c r="A107" s="79" t="s">
        <v>69</v>
      </c>
      <c r="B107" s="79" t="s">
        <v>4</v>
      </c>
      <c r="C107" s="80">
        <v>0</v>
      </c>
      <c r="D107" s="81"/>
      <c r="E107" s="81"/>
    </row>
    <row r="108" spans="1:5" x14ac:dyDescent="0.25">
      <c r="A108" s="79" t="s">
        <v>42</v>
      </c>
      <c r="B108" s="79" t="s">
        <v>31</v>
      </c>
      <c r="C108" s="80">
        <v>0</v>
      </c>
      <c r="D108" s="81"/>
      <c r="E108" s="81"/>
    </row>
    <row r="109" spans="1:5" x14ac:dyDescent="0.25">
      <c r="A109" s="79" t="s">
        <v>42</v>
      </c>
      <c r="B109" s="79" t="s">
        <v>4</v>
      </c>
      <c r="C109" s="80">
        <v>0</v>
      </c>
      <c r="D109" s="81"/>
      <c r="E109" s="81"/>
    </row>
    <row r="110" spans="1:5" x14ac:dyDescent="0.25">
      <c r="A110" s="79" t="s">
        <v>67</v>
      </c>
      <c r="B110" s="79" t="s">
        <v>4</v>
      </c>
      <c r="C110" s="80">
        <v>7</v>
      </c>
      <c r="D110" s="82">
        <v>14000</v>
      </c>
      <c r="E110" s="82">
        <f>+D110*C110</f>
        <v>98000</v>
      </c>
    </row>
    <row r="111" spans="1:5" x14ac:dyDescent="0.25">
      <c r="A111" s="79" t="s">
        <v>141</v>
      </c>
      <c r="B111" s="79" t="s">
        <v>31</v>
      </c>
      <c r="C111" s="80">
        <v>0</v>
      </c>
      <c r="D111" s="81"/>
      <c r="E111" s="81"/>
    </row>
    <row r="112" spans="1:5" x14ac:dyDescent="0.25">
      <c r="A112" s="79" t="s">
        <v>70</v>
      </c>
      <c r="B112" s="79" t="s">
        <v>71</v>
      </c>
      <c r="C112" s="80">
        <v>0</v>
      </c>
      <c r="D112" s="81"/>
      <c r="E112" s="81"/>
    </row>
    <row r="113" spans="1:5" x14ac:dyDescent="0.25">
      <c r="A113" s="79" t="s">
        <v>68</v>
      </c>
      <c r="B113" s="79" t="s">
        <v>4</v>
      </c>
      <c r="C113" s="80">
        <v>0</v>
      </c>
      <c r="D113" s="81"/>
      <c r="E113" s="81"/>
    </row>
    <row r="114" spans="1:5" x14ac:dyDescent="0.25">
      <c r="A114" s="79" t="s">
        <v>68</v>
      </c>
      <c r="B114" s="79" t="s">
        <v>31</v>
      </c>
      <c r="C114" s="80">
        <v>0</v>
      </c>
      <c r="D114" s="81"/>
      <c r="E114" s="81"/>
    </row>
    <row r="115" spans="1:5" x14ac:dyDescent="0.25">
      <c r="A115" s="79" t="s">
        <v>70</v>
      </c>
      <c r="B115" s="79" t="s">
        <v>4</v>
      </c>
      <c r="C115" s="80">
        <v>0</v>
      </c>
      <c r="D115" s="81"/>
      <c r="E115" s="81"/>
    </row>
    <row r="116" spans="1:5" x14ac:dyDescent="0.25">
      <c r="A116" s="79" t="s">
        <v>125</v>
      </c>
      <c r="B116" s="79" t="s">
        <v>4</v>
      </c>
      <c r="C116" s="80">
        <v>0</v>
      </c>
      <c r="D116" s="81"/>
      <c r="E116" s="81"/>
    </row>
    <row r="117" spans="1:5" x14ac:dyDescent="0.25">
      <c r="A117" s="79" t="s">
        <v>114</v>
      </c>
      <c r="B117" s="79" t="s">
        <v>31</v>
      </c>
      <c r="C117" s="80">
        <v>0</v>
      </c>
      <c r="D117" s="81"/>
      <c r="E117" s="81"/>
    </row>
    <row r="118" spans="1:5" x14ac:dyDescent="0.25">
      <c r="A118" s="79" t="s">
        <v>116</v>
      </c>
      <c r="B118" s="79" t="s">
        <v>50</v>
      </c>
      <c r="C118" s="80">
        <v>0</v>
      </c>
      <c r="D118" s="81"/>
      <c r="E118" s="81"/>
    </row>
    <row r="119" spans="1:5" x14ac:dyDescent="0.25">
      <c r="A119" s="79" t="s">
        <v>101</v>
      </c>
      <c r="B119" s="79" t="s">
        <v>53</v>
      </c>
      <c r="C119" s="80">
        <v>0</v>
      </c>
      <c r="D119" s="81"/>
      <c r="E119" s="81"/>
    </row>
    <row r="120" spans="1:5" x14ac:dyDescent="0.25">
      <c r="A120" s="79" t="s">
        <v>43</v>
      </c>
      <c r="B120" s="79" t="s">
        <v>4</v>
      </c>
      <c r="C120" s="80">
        <v>125</v>
      </c>
      <c r="D120" s="82">
        <f>VLOOKUP(A120,'14.11'!A122:D247,4,)</f>
        <v>27000</v>
      </c>
      <c r="E120" s="82">
        <f>+D120*C120</f>
        <v>3375000</v>
      </c>
    </row>
    <row r="121" spans="1:5" x14ac:dyDescent="0.25">
      <c r="A121" s="79" t="s">
        <v>101</v>
      </c>
      <c r="B121" s="79" t="s">
        <v>4</v>
      </c>
      <c r="C121" s="80">
        <v>0</v>
      </c>
      <c r="D121" s="81"/>
      <c r="E121" s="81"/>
    </row>
    <row r="122" spans="1:5" x14ac:dyDescent="0.25">
      <c r="A122" s="79" t="s">
        <v>43</v>
      </c>
      <c r="B122" s="79" t="s">
        <v>84</v>
      </c>
      <c r="C122" s="80">
        <v>0</v>
      </c>
      <c r="D122" s="81"/>
      <c r="E122" s="81"/>
    </row>
    <row r="123" spans="1:5" x14ac:dyDescent="0.25">
      <c r="A123" s="79" t="s">
        <v>102</v>
      </c>
      <c r="B123" s="79" t="s">
        <v>53</v>
      </c>
      <c r="C123" s="80">
        <v>0</v>
      </c>
      <c r="D123" s="81"/>
      <c r="E123" s="81"/>
    </row>
    <row r="124" spans="1:5" x14ac:dyDescent="0.25">
      <c r="A124" s="79" t="s">
        <v>44</v>
      </c>
      <c r="B124" s="79" t="s">
        <v>4</v>
      </c>
      <c r="C124" s="80">
        <v>110</v>
      </c>
      <c r="D124" s="82">
        <f>VLOOKUP(A124,'14.11'!A126:D251,4,)</f>
        <v>18000</v>
      </c>
      <c r="E124" s="82">
        <f>+D124*C124</f>
        <v>1980000</v>
      </c>
    </row>
    <row r="125" spans="1:5" x14ac:dyDescent="0.25">
      <c r="A125" s="79" t="s">
        <v>102</v>
      </c>
      <c r="B125" s="79" t="s">
        <v>4</v>
      </c>
      <c r="C125" s="80">
        <v>0</v>
      </c>
      <c r="D125" s="81"/>
      <c r="E125" s="81"/>
    </row>
    <row r="126" spans="1:5" x14ac:dyDescent="0.25">
      <c r="A126" s="79" t="s">
        <v>44</v>
      </c>
      <c r="B126" s="79" t="s">
        <v>84</v>
      </c>
      <c r="C126" s="80">
        <v>0</v>
      </c>
      <c r="D126" s="81"/>
      <c r="E126" s="81"/>
    </row>
    <row r="127" spans="1:5" x14ac:dyDescent="0.25">
      <c r="A127" s="79" t="s">
        <v>45</v>
      </c>
      <c r="B127" s="79" t="s">
        <v>4</v>
      </c>
      <c r="C127" s="80">
        <v>60</v>
      </c>
      <c r="D127" s="82">
        <v>30000</v>
      </c>
      <c r="E127" s="82">
        <f>+D127*C127</f>
        <v>1800000</v>
      </c>
    </row>
    <row r="128" spans="1:5" x14ac:dyDescent="0.25">
      <c r="A128" s="79" t="s">
        <v>45</v>
      </c>
      <c r="B128" s="79" t="s">
        <v>84</v>
      </c>
      <c r="C128" s="80">
        <v>0</v>
      </c>
      <c r="D128" s="81"/>
      <c r="E128" s="81"/>
    </row>
    <row r="129" spans="1:5" x14ac:dyDescent="0.25">
      <c r="A129" s="79" t="s">
        <v>46</v>
      </c>
      <c r="B129" s="79" t="s">
        <v>31</v>
      </c>
      <c r="C129" s="80">
        <v>0</v>
      </c>
      <c r="D129" s="81"/>
      <c r="E129" s="81"/>
    </row>
    <row r="130" spans="1:5" x14ac:dyDescent="0.25">
      <c r="A130" s="79" t="s">
        <v>46</v>
      </c>
      <c r="B130" s="79" t="s">
        <v>4</v>
      </c>
      <c r="C130" s="80">
        <v>0</v>
      </c>
      <c r="D130" s="81"/>
      <c r="E130" s="81"/>
    </row>
    <row r="131" spans="1:5" x14ac:dyDescent="0.25">
      <c r="A131" s="79" t="s">
        <v>133</v>
      </c>
      <c r="B131" s="79" t="s">
        <v>31</v>
      </c>
      <c r="C131" s="80">
        <v>0</v>
      </c>
      <c r="D131" s="81"/>
      <c r="E131" s="81"/>
    </row>
    <row r="132" spans="1:5" x14ac:dyDescent="0.25">
      <c r="A132" s="79" t="s">
        <v>72</v>
      </c>
      <c r="B132" s="79" t="s">
        <v>73</v>
      </c>
      <c r="C132" s="80">
        <v>0</v>
      </c>
      <c r="D132" s="81"/>
      <c r="E132" s="81"/>
    </row>
    <row r="133" spans="1:5" x14ac:dyDescent="0.25">
      <c r="A133" s="79" t="s">
        <v>115</v>
      </c>
      <c r="B133" s="79" t="s">
        <v>50</v>
      </c>
      <c r="C133" s="80">
        <v>0</v>
      </c>
      <c r="D133" s="81"/>
      <c r="E133" s="81"/>
    </row>
    <row r="134" spans="1:5" x14ac:dyDescent="0.25">
      <c r="A134" s="79" t="s">
        <v>119</v>
      </c>
      <c r="B134" s="79" t="s">
        <v>31</v>
      </c>
      <c r="C134" s="80">
        <v>0</v>
      </c>
      <c r="D134" s="81"/>
      <c r="E134" s="81"/>
    </row>
    <row r="135" spans="1:5" x14ac:dyDescent="0.25">
      <c r="A135" s="79" t="s">
        <v>104</v>
      </c>
      <c r="B135" s="79" t="s">
        <v>4</v>
      </c>
      <c r="C135" s="80">
        <v>0</v>
      </c>
      <c r="D135" s="81"/>
      <c r="E135" s="81"/>
    </row>
    <row r="136" spans="1:5" x14ac:dyDescent="0.25">
      <c r="A136" s="79" t="s">
        <v>104</v>
      </c>
      <c r="B136" s="79" t="s">
        <v>84</v>
      </c>
      <c r="C136" s="80">
        <v>0</v>
      </c>
      <c r="D136" s="81"/>
      <c r="E136" s="81"/>
    </row>
    <row r="137" spans="1:5" x14ac:dyDescent="0.25">
      <c r="A137" s="79" t="s">
        <v>107</v>
      </c>
      <c r="B137" s="79" t="s">
        <v>4</v>
      </c>
      <c r="C137" s="80">
        <v>0</v>
      </c>
      <c r="D137" s="81"/>
      <c r="E137" s="81"/>
    </row>
    <row r="138" spans="1:5" x14ac:dyDescent="0.25">
      <c r="A138" s="79" t="s">
        <v>109</v>
      </c>
      <c r="B138" s="79" t="s">
        <v>53</v>
      </c>
      <c r="C138" s="80">
        <v>0</v>
      </c>
      <c r="D138" s="81"/>
      <c r="E138" s="81"/>
    </row>
    <row r="139" spans="1:5" x14ac:dyDescent="0.25">
      <c r="A139" s="79" t="s">
        <v>110</v>
      </c>
      <c r="B139" s="79" t="s">
        <v>4</v>
      </c>
      <c r="C139" s="80">
        <v>0</v>
      </c>
      <c r="D139" s="81"/>
      <c r="E139" s="81"/>
    </row>
    <row r="140" spans="1:5" x14ac:dyDescent="0.25">
      <c r="A140" s="79" t="s">
        <v>47</v>
      </c>
      <c r="B140" s="79" t="s">
        <v>4</v>
      </c>
      <c r="C140" s="80">
        <v>215</v>
      </c>
      <c r="D140" s="82">
        <f>VLOOKUP(A140,'14.11'!A142:D267,4,)</f>
        <v>8500</v>
      </c>
      <c r="E140" s="82">
        <f>+D140*C140</f>
        <v>1827500</v>
      </c>
    </row>
    <row r="141" spans="1:5" x14ac:dyDescent="0.25">
      <c r="A141" s="79" t="s">
        <v>74</v>
      </c>
      <c r="B141" s="79" t="s">
        <v>4</v>
      </c>
      <c r="C141" s="80">
        <v>0</v>
      </c>
      <c r="D141" s="81"/>
      <c r="E141" s="81"/>
    </row>
    <row r="142" spans="1:5" x14ac:dyDescent="0.25">
      <c r="A142" s="79" t="s">
        <v>158</v>
      </c>
      <c r="B142" s="79" t="s">
        <v>31</v>
      </c>
      <c r="C142" s="80">
        <v>0</v>
      </c>
      <c r="D142" s="81"/>
      <c r="E142" s="81"/>
    </row>
    <row r="143" spans="1:5" x14ac:dyDescent="0.25">
      <c r="A143" s="79" t="s">
        <v>74</v>
      </c>
      <c r="B143" s="79" t="s">
        <v>31</v>
      </c>
      <c r="C143" s="80">
        <v>0</v>
      </c>
      <c r="D143" s="81"/>
      <c r="E143" s="81"/>
    </row>
    <row r="144" spans="1:5" x14ac:dyDescent="0.25">
      <c r="A144" s="79" t="s">
        <v>129</v>
      </c>
      <c r="B144" s="79" t="s">
        <v>4</v>
      </c>
      <c r="C144" s="80">
        <v>0</v>
      </c>
      <c r="D144" s="81"/>
      <c r="E144" s="81"/>
    </row>
    <row r="145" spans="1:5" x14ac:dyDescent="0.25">
      <c r="A145" s="79" t="s">
        <v>75</v>
      </c>
      <c r="B145" s="79" t="s">
        <v>4</v>
      </c>
      <c r="C145" s="80">
        <v>0</v>
      </c>
      <c r="D145" s="81"/>
      <c r="E145" s="81"/>
    </row>
    <row r="146" spans="1:5" x14ac:dyDescent="0.25">
      <c r="A146" s="79" t="s">
        <v>76</v>
      </c>
      <c r="B146" s="79" t="s">
        <v>66</v>
      </c>
      <c r="C146" s="80">
        <v>0</v>
      </c>
      <c r="D146" s="81"/>
      <c r="E146" s="81"/>
    </row>
    <row r="147" spans="1:5" x14ac:dyDescent="0.25">
      <c r="A147" s="79" t="s">
        <v>83</v>
      </c>
      <c r="B147" s="79" t="s">
        <v>4</v>
      </c>
      <c r="C147" s="80">
        <v>0</v>
      </c>
      <c r="D147" s="81"/>
      <c r="E147" s="81"/>
    </row>
    <row r="148" spans="1:5" x14ac:dyDescent="0.25">
      <c r="A148" s="79" t="s">
        <v>48</v>
      </c>
      <c r="B148" s="79" t="s">
        <v>4</v>
      </c>
      <c r="C148" s="80">
        <v>0</v>
      </c>
      <c r="D148" s="81"/>
      <c r="E148" s="81"/>
    </row>
    <row r="149" spans="1:5" x14ac:dyDescent="0.25">
      <c r="A149" s="79" t="s">
        <v>77</v>
      </c>
      <c r="B149" s="79" t="s">
        <v>66</v>
      </c>
      <c r="C149" s="80">
        <v>0</v>
      </c>
      <c r="D149" s="81"/>
      <c r="E149" s="81"/>
    </row>
    <row r="150" spans="1:5" x14ac:dyDescent="0.25">
      <c r="A150" s="79" t="s">
        <v>78</v>
      </c>
      <c r="B150" s="79" t="s">
        <v>4</v>
      </c>
      <c r="C150" s="80">
        <v>0</v>
      </c>
      <c r="D150" s="81"/>
      <c r="E150" s="81"/>
    </row>
    <row r="151" spans="1:5" x14ac:dyDescent="0.25">
      <c r="A151" s="79" t="s">
        <v>79</v>
      </c>
      <c r="B151" s="79" t="s">
        <v>31</v>
      </c>
      <c r="C151" s="80">
        <v>0</v>
      </c>
      <c r="D151" s="81"/>
      <c r="E151" s="81"/>
    </row>
    <row r="152" spans="1:5" x14ac:dyDescent="0.25">
      <c r="A152" s="79" t="s">
        <v>79</v>
      </c>
      <c r="B152" s="79" t="s">
        <v>4</v>
      </c>
      <c r="C152" s="80">
        <v>0</v>
      </c>
      <c r="D152" s="81"/>
      <c r="E152" s="81"/>
    </row>
    <row r="153" spans="1:5" x14ac:dyDescent="0.25">
      <c r="A153" s="79" t="s">
        <v>80</v>
      </c>
      <c r="B153" s="79" t="s">
        <v>31</v>
      </c>
      <c r="C153" s="80">
        <v>0</v>
      </c>
      <c r="D153" s="81"/>
      <c r="E153" s="81"/>
    </row>
    <row r="154" spans="1:5" x14ac:dyDescent="0.25">
      <c r="A154" s="79" t="s">
        <v>152</v>
      </c>
      <c r="B154" s="79" t="s">
        <v>4</v>
      </c>
      <c r="C154" s="80">
        <v>0</v>
      </c>
      <c r="D154" s="81"/>
      <c r="E154" s="81"/>
    </row>
    <row r="155" spans="1:5" x14ac:dyDescent="0.25">
      <c r="A155" s="79" t="s">
        <v>81</v>
      </c>
      <c r="B155" s="79" t="s">
        <v>4</v>
      </c>
      <c r="C155" s="80">
        <v>9</v>
      </c>
      <c r="D155" s="82">
        <v>30000</v>
      </c>
      <c r="E155" s="82">
        <f>+D155*C155</f>
        <v>270000</v>
      </c>
    </row>
    <row r="156" spans="1:5" x14ac:dyDescent="0.25">
      <c r="A156" s="79" t="s">
        <v>82</v>
      </c>
      <c r="B156" s="79" t="s">
        <v>66</v>
      </c>
      <c r="C156" s="80">
        <v>0</v>
      </c>
      <c r="D156" s="81"/>
      <c r="E156" s="81"/>
    </row>
    <row r="157" spans="1:5" ht="15.6" x14ac:dyDescent="0.25">
      <c r="A157" s="34" t="s">
        <v>179</v>
      </c>
      <c r="B157" s="84">
        <v>0</v>
      </c>
      <c r="C157" s="85">
        <v>11074</v>
      </c>
      <c r="D157" s="86"/>
      <c r="E157" s="86">
        <f>SUBTOTAL(9,E2:E155)</f>
        <v>202888100</v>
      </c>
    </row>
    <row r="158" spans="1:5" ht="31.2" x14ac:dyDescent="0.25">
      <c r="A158" s="32" t="s">
        <v>0</v>
      </c>
      <c r="B158" s="32" t="s">
        <v>1</v>
      </c>
      <c r="C158" s="33" t="s">
        <v>2</v>
      </c>
      <c r="D158" s="33" t="s">
        <v>177</v>
      </c>
      <c r="E158" s="33" t="s">
        <v>178</v>
      </c>
    </row>
    <row r="159" spans="1:5" ht="15.6" x14ac:dyDescent="0.25">
      <c r="A159" s="29" t="s">
        <v>3</v>
      </c>
      <c r="B159" s="29" t="s">
        <v>4</v>
      </c>
      <c r="C159" s="63">
        <v>0</v>
      </c>
      <c r="D159" s="81"/>
      <c r="E159" s="81"/>
    </row>
    <row r="160" spans="1:5" ht="15.6" x14ac:dyDescent="0.25">
      <c r="A160" s="29" t="s">
        <v>5</v>
      </c>
      <c r="B160" s="29" t="s">
        <v>4</v>
      </c>
      <c r="C160" s="63">
        <v>0</v>
      </c>
      <c r="D160" s="81"/>
      <c r="E160" s="81"/>
    </row>
    <row r="161" spans="1:5" ht="15.6" x14ac:dyDescent="0.25">
      <c r="A161" s="29" t="s">
        <v>6</v>
      </c>
      <c r="B161" s="29" t="s">
        <v>4</v>
      </c>
      <c r="C161" s="63">
        <v>0</v>
      </c>
      <c r="D161" s="81"/>
      <c r="E161" s="81"/>
    </row>
    <row r="162" spans="1:5" ht="15.6" x14ac:dyDescent="0.25">
      <c r="A162" s="29" t="s">
        <v>7</v>
      </c>
      <c r="B162" s="29" t="s">
        <v>4</v>
      </c>
      <c r="C162" s="63">
        <v>150</v>
      </c>
      <c r="D162" s="82">
        <f>VLOOKUP(A162,'14.11'!A134:D170,4,)</f>
        <v>10000</v>
      </c>
      <c r="E162" s="82">
        <f>+D162*C162</f>
        <v>1500000</v>
      </c>
    </row>
    <row r="163" spans="1:5" ht="15.6" x14ac:dyDescent="0.25">
      <c r="A163" s="29" t="s">
        <v>8</v>
      </c>
      <c r="B163" s="29" t="s">
        <v>4</v>
      </c>
      <c r="C163" s="63">
        <v>385</v>
      </c>
      <c r="D163" s="82">
        <f>VLOOKUP(A163,'14.11'!A135:D171,4,)</f>
        <v>5200</v>
      </c>
      <c r="E163" s="82">
        <f>+D163*C163</f>
        <v>2002000</v>
      </c>
    </row>
    <row r="164" spans="1:5" ht="15.6" x14ac:dyDescent="0.25">
      <c r="A164" s="29" t="s">
        <v>9</v>
      </c>
      <c r="B164" s="29" t="s">
        <v>4</v>
      </c>
      <c r="C164" s="63">
        <v>0</v>
      </c>
      <c r="D164" s="81"/>
      <c r="E164" s="81"/>
    </row>
    <row r="165" spans="1:5" ht="15.6" x14ac:dyDescent="0.25">
      <c r="A165" s="29" t="s">
        <v>10</v>
      </c>
      <c r="B165" s="29" t="s">
        <v>4</v>
      </c>
      <c r="C165" s="63">
        <v>60</v>
      </c>
      <c r="D165" s="82">
        <f>VLOOKUP(A165,'14.11'!A137:D173,4,)</f>
        <v>11000</v>
      </c>
      <c r="E165" s="82">
        <f>+D165*C165</f>
        <v>660000</v>
      </c>
    </row>
    <row r="166" spans="1:5" ht="15.6" x14ac:dyDescent="0.25">
      <c r="A166" s="29" t="s">
        <v>11</v>
      </c>
      <c r="B166" s="29" t="s">
        <v>4</v>
      </c>
      <c r="C166" s="63">
        <v>0</v>
      </c>
      <c r="D166" s="81"/>
      <c r="E166" s="81"/>
    </row>
    <row r="167" spans="1:5" ht="15.6" x14ac:dyDescent="0.25">
      <c r="A167" s="29" t="s">
        <v>12</v>
      </c>
      <c r="B167" s="29" t="s">
        <v>4</v>
      </c>
      <c r="C167" s="63">
        <v>0</v>
      </c>
      <c r="D167" s="81"/>
      <c r="E167" s="81"/>
    </row>
    <row r="168" spans="1:5" ht="15.6" x14ac:dyDescent="0.25">
      <c r="A168" s="29" t="s">
        <v>13</v>
      </c>
      <c r="B168" s="29" t="s">
        <v>4</v>
      </c>
      <c r="C168" s="63">
        <v>0</v>
      </c>
      <c r="D168" s="81"/>
      <c r="E168" s="81"/>
    </row>
    <row r="169" spans="1:5" ht="15.6" x14ac:dyDescent="0.25">
      <c r="A169" s="29" t="s">
        <v>14</v>
      </c>
      <c r="B169" s="29" t="s">
        <v>4</v>
      </c>
      <c r="C169" s="63">
        <v>83</v>
      </c>
      <c r="D169" s="82">
        <v>30000</v>
      </c>
      <c r="E169" s="82">
        <f t="shared" ref="E169:E170" si="8">+D169*C169</f>
        <v>2490000</v>
      </c>
    </row>
    <row r="170" spans="1:5" ht="15.6" x14ac:dyDescent="0.25">
      <c r="A170" s="29" t="s">
        <v>15</v>
      </c>
      <c r="B170" s="29" t="s">
        <v>4</v>
      </c>
      <c r="C170" s="63">
        <v>200</v>
      </c>
      <c r="D170" s="82">
        <v>23000</v>
      </c>
      <c r="E170" s="82">
        <f t="shared" si="8"/>
        <v>4600000</v>
      </c>
    </row>
    <row r="171" spans="1:5" ht="15.6" x14ac:dyDescent="0.25">
      <c r="A171" s="29" t="s">
        <v>16</v>
      </c>
      <c r="B171" s="29" t="s">
        <v>4</v>
      </c>
      <c r="C171" s="63">
        <v>0</v>
      </c>
      <c r="D171" s="81"/>
      <c r="E171" s="81"/>
    </row>
    <row r="172" spans="1:5" ht="15.6" x14ac:dyDescent="0.25">
      <c r="A172" s="29" t="s">
        <v>17</v>
      </c>
      <c r="B172" s="29" t="s">
        <v>4</v>
      </c>
      <c r="C172" s="63">
        <v>0</v>
      </c>
      <c r="D172" s="81"/>
      <c r="E172" s="81"/>
    </row>
    <row r="173" spans="1:5" ht="15.6" x14ac:dyDescent="0.25">
      <c r="A173" s="29" t="s">
        <v>17</v>
      </c>
      <c r="B173" s="29" t="s">
        <v>147</v>
      </c>
      <c r="C173" s="63">
        <v>45</v>
      </c>
      <c r="D173" s="82">
        <f>VLOOKUP(A173,'14.11'!A145:D181,4,)</f>
        <v>9900</v>
      </c>
      <c r="E173" s="82">
        <f t="shared" ref="E173:E174" si="9">+D173*C173</f>
        <v>445500</v>
      </c>
    </row>
    <row r="174" spans="1:5" ht="15.6" x14ac:dyDescent="0.25">
      <c r="A174" s="29" t="s">
        <v>18</v>
      </c>
      <c r="B174" s="29" t="s">
        <v>4</v>
      </c>
      <c r="C174" s="63">
        <v>200</v>
      </c>
      <c r="D174" s="82">
        <f>VLOOKUP(A174,'14.11'!A146:D182,4,)</f>
        <v>18000</v>
      </c>
      <c r="E174" s="82">
        <f t="shared" si="9"/>
        <v>3600000</v>
      </c>
    </row>
    <row r="175" spans="1:5" ht="15.6" x14ac:dyDescent="0.25">
      <c r="A175" s="29" t="s">
        <v>19</v>
      </c>
      <c r="B175" s="29" t="s">
        <v>4</v>
      </c>
      <c r="C175" s="63">
        <v>0</v>
      </c>
      <c r="D175" s="81"/>
      <c r="E175" s="81"/>
    </row>
    <row r="176" spans="1:5" ht="15.6" x14ac:dyDescent="0.25">
      <c r="A176" s="29" t="s">
        <v>20</v>
      </c>
      <c r="B176" s="29" t="s">
        <v>4</v>
      </c>
      <c r="C176" s="63">
        <v>408</v>
      </c>
      <c r="D176" s="82">
        <f>VLOOKUP(A176,'14.11'!A148:D184,4,)</f>
        <v>12000</v>
      </c>
      <c r="E176" s="82">
        <f>+D176*C176</f>
        <v>4896000</v>
      </c>
    </row>
    <row r="177" spans="1:5" ht="15.6" x14ac:dyDescent="0.25">
      <c r="A177" s="29" t="s">
        <v>21</v>
      </c>
      <c r="B177" s="29" t="s">
        <v>4</v>
      </c>
      <c r="C177" s="63">
        <v>0</v>
      </c>
      <c r="D177" s="81"/>
      <c r="E177" s="81"/>
    </row>
    <row r="178" spans="1:5" ht="15.6" x14ac:dyDescent="0.25">
      <c r="A178" s="29" t="s">
        <v>22</v>
      </c>
      <c r="B178" s="29" t="s">
        <v>4</v>
      </c>
      <c r="C178" s="63">
        <v>920</v>
      </c>
      <c r="D178" s="82">
        <v>7500</v>
      </c>
      <c r="E178" s="82">
        <f t="shared" ref="E178:E180" si="10">+D178*C178</f>
        <v>6900000</v>
      </c>
    </row>
    <row r="179" spans="1:5" ht="15.6" x14ac:dyDescent="0.25">
      <c r="A179" s="29" t="s">
        <v>23</v>
      </c>
      <c r="B179" s="29" t="s">
        <v>4</v>
      </c>
      <c r="C179" s="63">
        <v>73</v>
      </c>
      <c r="D179" s="82">
        <v>16000</v>
      </c>
      <c r="E179" s="82">
        <f t="shared" si="10"/>
        <v>1168000</v>
      </c>
    </row>
    <row r="180" spans="1:5" ht="15.6" x14ac:dyDescent="0.25">
      <c r="A180" s="29" t="s">
        <v>145</v>
      </c>
      <c r="B180" s="29" t="s">
        <v>4</v>
      </c>
      <c r="C180" s="63">
        <v>1130</v>
      </c>
      <c r="D180" s="82">
        <v>5500</v>
      </c>
      <c r="E180" s="82">
        <f t="shared" si="10"/>
        <v>6215000</v>
      </c>
    </row>
    <row r="181" spans="1:5" ht="15.6" x14ac:dyDescent="0.25">
      <c r="A181" s="29" t="s">
        <v>24</v>
      </c>
      <c r="B181" s="29" t="s">
        <v>4</v>
      </c>
      <c r="C181" s="63">
        <v>0</v>
      </c>
      <c r="D181" s="81"/>
      <c r="E181" s="81"/>
    </row>
    <row r="182" spans="1:5" ht="15.6" x14ac:dyDescent="0.25">
      <c r="A182" s="29" t="s">
        <v>25</v>
      </c>
      <c r="B182" s="29" t="s">
        <v>4</v>
      </c>
      <c r="C182" s="63">
        <v>0</v>
      </c>
      <c r="D182" s="81"/>
      <c r="E182" s="81"/>
    </row>
    <row r="183" spans="1:5" ht="15.6" x14ac:dyDescent="0.25">
      <c r="A183" s="29" t="s">
        <v>26</v>
      </c>
      <c r="B183" s="29" t="s">
        <v>4</v>
      </c>
      <c r="C183" s="63">
        <v>100</v>
      </c>
      <c r="D183" s="82">
        <f>VLOOKUP(A183,'14.11'!A155:D191,4,)</f>
        <v>13000</v>
      </c>
      <c r="E183" s="82">
        <f>+D183*C183</f>
        <v>1300000</v>
      </c>
    </row>
    <row r="184" spans="1:5" ht="15.6" x14ac:dyDescent="0.25">
      <c r="A184" s="29" t="s">
        <v>27</v>
      </c>
      <c r="B184" s="29" t="s">
        <v>4</v>
      </c>
      <c r="C184" s="63">
        <v>0</v>
      </c>
      <c r="D184" s="81"/>
      <c r="E184" s="81"/>
    </row>
    <row r="185" spans="1:5" ht="15.6" x14ac:dyDescent="0.25">
      <c r="A185" s="29" t="s">
        <v>28</v>
      </c>
      <c r="B185" s="29" t="s">
        <v>4</v>
      </c>
      <c r="C185" s="63">
        <v>60</v>
      </c>
      <c r="D185" s="82">
        <v>18000</v>
      </c>
      <c r="E185" s="82">
        <f>+D185*C185</f>
        <v>1080000</v>
      </c>
    </row>
    <row r="186" spans="1:5" ht="15.6" x14ac:dyDescent="0.25">
      <c r="A186" s="29" t="s">
        <v>29</v>
      </c>
      <c r="B186" s="29" t="s">
        <v>4</v>
      </c>
      <c r="C186" s="63">
        <v>0</v>
      </c>
      <c r="D186" s="81"/>
      <c r="E186" s="81"/>
    </row>
    <row r="187" spans="1:5" ht="15.6" x14ac:dyDescent="0.25">
      <c r="A187" s="29" t="s">
        <v>57</v>
      </c>
      <c r="B187" s="29" t="s">
        <v>31</v>
      </c>
      <c r="C187" s="63">
        <v>0</v>
      </c>
      <c r="D187" s="81"/>
      <c r="E187" s="81"/>
    </row>
    <row r="188" spans="1:5" ht="15.6" x14ac:dyDescent="0.25">
      <c r="A188" s="29" t="s">
        <v>32</v>
      </c>
      <c r="B188" s="29" t="s">
        <v>4</v>
      </c>
      <c r="C188" s="63">
        <v>200</v>
      </c>
      <c r="D188" s="82">
        <v>19000</v>
      </c>
      <c r="E188" s="82">
        <f>+D188*C188</f>
        <v>3800000</v>
      </c>
    </row>
    <row r="189" spans="1:5" ht="15.6" x14ac:dyDescent="0.25">
      <c r="A189" s="29" t="s">
        <v>33</v>
      </c>
      <c r="B189" s="29" t="s">
        <v>31</v>
      </c>
      <c r="C189" s="63">
        <v>0</v>
      </c>
      <c r="D189" s="81"/>
      <c r="E189" s="81"/>
    </row>
    <row r="190" spans="1:5" ht="15.6" x14ac:dyDescent="0.25">
      <c r="A190" s="29" t="s">
        <v>34</v>
      </c>
      <c r="B190" s="29" t="s">
        <v>4</v>
      </c>
      <c r="C190" s="63">
        <v>200</v>
      </c>
      <c r="D190" s="82">
        <v>15000</v>
      </c>
      <c r="E190" s="82">
        <f>+D190*C190</f>
        <v>3000000</v>
      </c>
    </row>
    <row r="191" spans="1:5" ht="15.6" x14ac:dyDescent="0.25">
      <c r="A191" s="29" t="s">
        <v>34</v>
      </c>
      <c r="B191" s="29" t="s">
        <v>31</v>
      </c>
      <c r="C191" s="63">
        <v>0</v>
      </c>
      <c r="D191" s="81"/>
      <c r="E191" s="81"/>
    </row>
    <row r="192" spans="1:5" ht="15.6" x14ac:dyDescent="0.25">
      <c r="A192" s="29" t="s">
        <v>35</v>
      </c>
      <c r="B192" s="29" t="s">
        <v>4</v>
      </c>
      <c r="C192" s="63">
        <v>0</v>
      </c>
      <c r="D192" s="81"/>
      <c r="E192" s="81"/>
    </row>
    <row r="193" spans="1:5" ht="15.6" x14ac:dyDescent="0.25">
      <c r="A193" s="29" t="s">
        <v>123</v>
      </c>
      <c r="B193" s="29" t="s">
        <v>31</v>
      </c>
      <c r="C193" s="63">
        <v>0</v>
      </c>
      <c r="D193" s="81"/>
      <c r="E193" s="81"/>
    </row>
    <row r="194" spans="1:5" ht="15.6" x14ac:dyDescent="0.25">
      <c r="A194" s="29" t="s">
        <v>37</v>
      </c>
      <c r="B194" s="29" t="s">
        <v>151</v>
      </c>
      <c r="C194" s="63">
        <v>124</v>
      </c>
      <c r="D194" s="82">
        <v>10000</v>
      </c>
      <c r="E194" s="82">
        <f>+D194*C194</f>
        <v>1240000</v>
      </c>
    </row>
    <row r="195" spans="1:5" ht="15.6" x14ac:dyDescent="0.25">
      <c r="A195" s="29" t="s">
        <v>39</v>
      </c>
      <c r="B195" s="29" t="s">
        <v>4</v>
      </c>
      <c r="C195" s="63">
        <v>0</v>
      </c>
      <c r="D195" s="81"/>
      <c r="E195" s="81"/>
    </row>
    <row r="196" spans="1:5" ht="15.6" x14ac:dyDescent="0.25">
      <c r="A196" s="29" t="s">
        <v>40</v>
      </c>
      <c r="B196" s="29" t="s">
        <v>4</v>
      </c>
      <c r="C196" s="63">
        <v>0</v>
      </c>
      <c r="D196" s="81"/>
      <c r="E196" s="81"/>
    </row>
    <row r="197" spans="1:5" ht="15.6" x14ac:dyDescent="0.25">
      <c r="A197" s="29" t="s">
        <v>41</v>
      </c>
      <c r="B197" s="29" t="s">
        <v>4</v>
      </c>
      <c r="C197" s="63">
        <v>500</v>
      </c>
      <c r="D197" s="82">
        <v>28600</v>
      </c>
      <c r="E197" s="82">
        <f t="shared" ref="E197:E199" si="11">+D197*C197</f>
        <v>14300000</v>
      </c>
    </row>
    <row r="198" spans="1:5" ht="15.6" x14ac:dyDescent="0.25">
      <c r="A198" s="29" t="s">
        <v>124</v>
      </c>
      <c r="B198" s="29" t="s">
        <v>4</v>
      </c>
      <c r="C198" s="63">
        <v>20</v>
      </c>
      <c r="D198" s="82">
        <v>28000</v>
      </c>
      <c r="E198" s="82">
        <f t="shared" si="11"/>
        <v>560000</v>
      </c>
    </row>
    <row r="199" spans="1:5" ht="15.6" x14ac:dyDescent="0.25">
      <c r="A199" s="29" t="s">
        <v>121</v>
      </c>
      <c r="B199" s="29" t="s">
        <v>53</v>
      </c>
      <c r="C199" s="63">
        <v>10</v>
      </c>
      <c r="D199" s="82">
        <v>100000</v>
      </c>
      <c r="E199" s="82">
        <f t="shared" si="11"/>
        <v>1000000</v>
      </c>
    </row>
    <row r="200" spans="1:5" ht="15.6" x14ac:dyDescent="0.25">
      <c r="A200" s="29" t="s">
        <v>42</v>
      </c>
      <c r="B200" s="29" t="s">
        <v>4</v>
      </c>
      <c r="C200" s="63">
        <v>0</v>
      </c>
      <c r="D200" s="81"/>
      <c r="E200" s="81"/>
    </row>
    <row r="201" spans="1:5" ht="15.6" x14ac:dyDescent="0.25">
      <c r="A201" s="29" t="s">
        <v>43</v>
      </c>
      <c r="B201" s="29" t="s">
        <v>4</v>
      </c>
      <c r="C201" s="63">
        <v>40</v>
      </c>
      <c r="D201" s="82">
        <v>27000</v>
      </c>
      <c r="E201" s="82">
        <f t="shared" ref="E201:E203" si="12">+D201*C201</f>
        <v>1080000</v>
      </c>
    </row>
    <row r="202" spans="1:5" ht="15.6" x14ac:dyDescent="0.25">
      <c r="A202" s="29" t="s">
        <v>44</v>
      </c>
      <c r="B202" s="29" t="s">
        <v>4</v>
      </c>
      <c r="C202" s="63">
        <v>20</v>
      </c>
      <c r="D202" s="82">
        <v>18000</v>
      </c>
      <c r="E202" s="82">
        <f t="shared" si="12"/>
        <v>360000</v>
      </c>
    </row>
    <row r="203" spans="1:5" ht="15.6" x14ac:dyDescent="0.25">
      <c r="A203" s="29" t="s">
        <v>45</v>
      </c>
      <c r="B203" s="29" t="s">
        <v>4</v>
      </c>
      <c r="C203" s="63">
        <v>20</v>
      </c>
      <c r="D203" s="82">
        <v>30000</v>
      </c>
      <c r="E203" s="82">
        <f t="shared" si="12"/>
        <v>600000</v>
      </c>
    </row>
    <row r="204" spans="1:5" ht="15.6" x14ac:dyDescent="0.25">
      <c r="A204" s="29" t="s">
        <v>46</v>
      </c>
      <c r="B204" s="29" t="s">
        <v>4</v>
      </c>
      <c r="C204" s="63">
        <v>0</v>
      </c>
      <c r="D204" s="81"/>
      <c r="E204" s="81"/>
    </row>
    <row r="205" spans="1:5" ht="15.6" x14ac:dyDescent="0.25">
      <c r="A205" s="29" t="s">
        <v>47</v>
      </c>
      <c r="B205" s="29" t="s">
        <v>4</v>
      </c>
      <c r="C205" s="63">
        <v>0</v>
      </c>
      <c r="D205" s="81"/>
      <c r="E205" s="81"/>
    </row>
    <row r="206" spans="1:5" ht="15.6" x14ac:dyDescent="0.25">
      <c r="A206" s="29" t="s">
        <v>48</v>
      </c>
      <c r="B206" s="29" t="s">
        <v>4</v>
      </c>
      <c r="C206" s="63">
        <v>0</v>
      </c>
      <c r="D206" s="81"/>
      <c r="E206" s="81"/>
    </row>
    <row r="207" spans="1:5" ht="15.6" x14ac:dyDescent="0.25">
      <c r="A207" s="34" t="s">
        <v>180</v>
      </c>
      <c r="B207" s="34">
        <v>0</v>
      </c>
      <c r="C207" s="87">
        <v>4948</v>
      </c>
      <c r="D207" s="86"/>
      <c r="E207" s="86">
        <f>SUBTOTAL(9,E162:E203)</f>
        <v>62796500</v>
      </c>
    </row>
    <row r="208" spans="1:5" x14ac:dyDescent="0.25">
      <c r="E208" s="88">
        <f>+E157+E207</f>
        <v>265684600</v>
      </c>
    </row>
  </sheetData>
  <autoFilter ref="A1:E208" xr:uid="{00000000-0009-0000-0000-00000E000000}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F165"/>
  <sheetViews>
    <sheetView workbookViewId="0">
      <selection activeCell="C83" sqref="C83:C157"/>
    </sheetView>
  </sheetViews>
  <sheetFormatPr defaultRowHeight="14.4" x14ac:dyDescent="0.3"/>
  <cols>
    <col min="1" max="1" width="29.6640625" customWidth="1"/>
    <col min="3" max="3" width="10.5546875" customWidth="1"/>
    <col min="4" max="4" width="11.5546875" customWidth="1"/>
    <col min="5" max="5" width="18.21875" customWidth="1"/>
  </cols>
  <sheetData>
    <row r="1" spans="1:5" ht="28.8" customHeight="1" x14ac:dyDescent="0.3">
      <c r="A1" t="s">
        <v>201</v>
      </c>
    </row>
    <row r="2" spans="1:5" x14ac:dyDescent="0.3">
      <c r="A2" t="s">
        <v>0</v>
      </c>
      <c r="B2" t="s">
        <v>1</v>
      </c>
      <c r="C2" t="s">
        <v>2</v>
      </c>
      <c r="D2" t="s">
        <v>137</v>
      </c>
      <c r="E2" t="s">
        <v>138</v>
      </c>
    </row>
    <row r="3" spans="1:5" hidden="1" x14ac:dyDescent="0.3">
      <c r="A3" t="s">
        <v>3</v>
      </c>
      <c r="B3" t="s">
        <v>4</v>
      </c>
      <c r="C3">
        <v>12</v>
      </c>
      <c r="D3">
        <v>30000</v>
      </c>
      <c r="E3">
        <f>C3*D3</f>
        <v>360000</v>
      </c>
    </row>
    <row r="4" spans="1:5" hidden="1" x14ac:dyDescent="0.3">
      <c r="A4" t="s">
        <v>5</v>
      </c>
      <c r="B4" t="s">
        <v>4</v>
      </c>
      <c r="C4">
        <v>0</v>
      </c>
      <c r="E4">
        <f t="shared" ref="E4:E67" si="0">C4*D4</f>
        <v>0</v>
      </c>
    </row>
    <row r="5" spans="1:5" hidden="1" x14ac:dyDescent="0.3">
      <c r="A5" t="s">
        <v>6</v>
      </c>
      <c r="B5" t="s">
        <v>4</v>
      </c>
      <c r="C5">
        <v>370</v>
      </c>
      <c r="D5">
        <v>11000</v>
      </c>
      <c r="E5">
        <f t="shared" si="0"/>
        <v>4070000</v>
      </c>
    </row>
    <row r="6" spans="1:5" hidden="1" x14ac:dyDescent="0.3">
      <c r="A6" t="s">
        <v>7</v>
      </c>
      <c r="B6" t="s">
        <v>84</v>
      </c>
      <c r="C6">
        <v>0</v>
      </c>
      <c r="E6">
        <f t="shared" si="0"/>
        <v>0</v>
      </c>
    </row>
    <row r="7" spans="1:5" hidden="1" x14ac:dyDescent="0.3">
      <c r="A7" t="s">
        <v>85</v>
      </c>
      <c r="B7" t="s">
        <v>4</v>
      </c>
      <c r="C7">
        <v>0</v>
      </c>
      <c r="E7">
        <f t="shared" si="0"/>
        <v>0</v>
      </c>
    </row>
    <row r="8" spans="1:5" hidden="1" x14ac:dyDescent="0.3">
      <c r="A8" t="s">
        <v>8</v>
      </c>
      <c r="B8" t="s">
        <v>4</v>
      </c>
      <c r="C8">
        <v>960</v>
      </c>
      <c r="D8">
        <v>5200</v>
      </c>
      <c r="E8">
        <f t="shared" si="0"/>
        <v>4992000</v>
      </c>
    </row>
    <row r="9" spans="1:5" hidden="1" x14ac:dyDescent="0.3">
      <c r="A9" t="s">
        <v>106</v>
      </c>
      <c r="B9" t="s">
        <v>4</v>
      </c>
      <c r="C9">
        <v>0</v>
      </c>
      <c r="E9">
        <f t="shared" si="0"/>
        <v>0</v>
      </c>
    </row>
    <row r="10" spans="1:5" hidden="1" x14ac:dyDescent="0.3">
      <c r="A10" t="s">
        <v>10</v>
      </c>
      <c r="B10" t="s">
        <v>4</v>
      </c>
      <c r="C10">
        <v>110</v>
      </c>
      <c r="D10">
        <v>11000</v>
      </c>
      <c r="E10">
        <f t="shared" si="0"/>
        <v>1210000</v>
      </c>
    </row>
    <row r="11" spans="1:5" hidden="1" x14ac:dyDescent="0.3">
      <c r="A11" t="s">
        <v>10</v>
      </c>
      <c r="B11" t="s">
        <v>84</v>
      </c>
      <c r="C11">
        <v>0</v>
      </c>
      <c r="E11">
        <f t="shared" si="0"/>
        <v>0</v>
      </c>
    </row>
    <row r="12" spans="1:5" hidden="1" x14ac:dyDescent="0.3">
      <c r="A12" t="s">
        <v>11</v>
      </c>
      <c r="B12" t="s">
        <v>4</v>
      </c>
      <c r="C12">
        <v>50</v>
      </c>
      <c r="D12">
        <v>12000</v>
      </c>
      <c r="E12">
        <f t="shared" si="0"/>
        <v>600000</v>
      </c>
    </row>
    <row r="13" spans="1:5" hidden="1" x14ac:dyDescent="0.3">
      <c r="A13" t="s">
        <v>11</v>
      </c>
      <c r="B13" t="s">
        <v>84</v>
      </c>
      <c r="C13">
        <v>0</v>
      </c>
      <c r="E13">
        <f t="shared" si="0"/>
        <v>0</v>
      </c>
    </row>
    <row r="14" spans="1:5" hidden="1" x14ac:dyDescent="0.3">
      <c r="A14" t="s">
        <v>12</v>
      </c>
      <c r="B14" t="s">
        <v>4</v>
      </c>
      <c r="C14">
        <v>0</v>
      </c>
      <c r="E14">
        <f t="shared" si="0"/>
        <v>0</v>
      </c>
    </row>
    <row r="15" spans="1:5" hidden="1" x14ac:dyDescent="0.3">
      <c r="A15" t="s">
        <v>13</v>
      </c>
      <c r="B15" t="s">
        <v>4</v>
      </c>
      <c r="C15">
        <v>0</v>
      </c>
      <c r="E15">
        <f t="shared" si="0"/>
        <v>0</v>
      </c>
    </row>
    <row r="16" spans="1:5" hidden="1" x14ac:dyDescent="0.3">
      <c r="A16" t="s">
        <v>175</v>
      </c>
      <c r="B16" t="s">
        <v>4</v>
      </c>
      <c r="C16">
        <v>0</v>
      </c>
      <c r="E16">
        <f t="shared" si="0"/>
        <v>0</v>
      </c>
    </row>
    <row r="17" spans="1:5" hidden="1" x14ac:dyDescent="0.3">
      <c r="A17" t="s">
        <v>59</v>
      </c>
      <c r="B17" t="s">
        <v>4</v>
      </c>
      <c r="C17">
        <v>0</v>
      </c>
      <c r="E17">
        <f t="shared" si="0"/>
        <v>0</v>
      </c>
    </row>
    <row r="18" spans="1:5" hidden="1" x14ac:dyDescent="0.3">
      <c r="A18" t="s">
        <v>60</v>
      </c>
      <c r="B18" t="s">
        <v>50</v>
      </c>
      <c r="C18">
        <v>0</v>
      </c>
      <c r="E18">
        <f t="shared" si="0"/>
        <v>0</v>
      </c>
    </row>
    <row r="19" spans="1:5" hidden="1" x14ac:dyDescent="0.3">
      <c r="A19" t="s">
        <v>15</v>
      </c>
      <c r="B19" t="s">
        <v>4</v>
      </c>
      <c r="C19">
        <v>242</v>
      </c>
      <c r="D19">
        <v>24000</v>
      </c>
      <c r="E19">
        <f t="shared" si="0"/>
        <v>5808000</v>
      </c>
    </row>
    <row r="20" spans="1:5" hidden="1" x14ac:dyDescent="0.3">
      <c r="A20" t="s">
        <v>15</v>
      </c>
      <c r="B20" t="s">
        <v>50</v>
      </c>
      <c r="C20">
        <v>0</v>
      </c>
      <c r="E20">
        <f t="shared" si="0"/>
        <v>0</v>
      </c>
    </row>
    <row r="21" spans="1:5" hidden="1" x14ac:dyDescent="0.3">
      <c r="A21" t="s">
        <v>15</v>
      </c>
      <c r="B21" t="s">
        <v>164</v>
      </c>
      <c r="C21">
        <v>0</v>
      </c>
      <c r="E21">
        <f t="shared" si="0"/>
        <v>0</v>
      </c>
    </row>
    <row r="22" spans="1:5" hidden="1" x14ac:dyDescent="0.3">
      <c r="A22" t="s">
        <v>86</v>
      </c>
      <c r="B22" t="s">
        <v>50</v>
      </c>
      <c r="C22">
        <v>0</v>
      </c>
      <c r="E22">
        <f t="shared" si="0"/>
        <v>0</v>
      </c>
    </row>
    <row r="23" spans="1:5" hidden="1" x14ac:dyDescent="0.3">
      <c r="A23" t="s">
        <v>16</v>
      </c>
      <c r="B23" t="s">
        <v>4</v>
      </c>
      <c r="C23">
        <v>0</v>
      </c>
      <c r="E23">
        <f t="shared" si="0"/>
        <v>0</v>
      </c>
    </row>
    <row r="24" spans="1:5" hidden="1" x14ac:dyDescent="0.3">
      <c r="A24" t="s">
        <v>16</v>
      </c>
      <c r="B24" t="s">
        <v>165</v>
      </c>
      <c r="C24">
        <v>80</v>
      </c>
      <c r="D24">
        <v>10500</v>
      </c>
      <c r="E24">
        <f t="shared" si="0"/>
        <v>840000</v>
      </c>
    </row>
    <row r="25" spans="1:5" hidden="1" x14ac:dyDescent="0.3">
      <c r="A25" t="s">
        <v>17</v>
      </c>
      <c r="B25" t="s">
        <v>4</v>
      </c>
      <c r="C25">
        <v>30</v>
      </c>
      <c r="D25">
        <v>33000</v>
      </c>
      <c r="E25">
        <f t="shared" si="0"/>
        <v>990000</v>
      </c>
    </row>
    <row r="26" spans="1:5" hidden="1" x14ac:dyDescent="0.3">
      <c r="A26" t="s">
        <v>17</v>
      </c>
      <c r="B26" t="s">
        <v>147</v>
      </c>
      <c r="C26">
        <v>110</v>
      </c>
      <c r="D26">
        <v>9900</v>
      </c>
      <c r="E26">
        <f t="shared" si="0"/>
        <v>1089000</v>
      </c>
    </row>
    <row r="27" spans="1:5" hidden="1" x14ac:dyDescent="0.3">
      <c r="A27" t="s">
        <v>89</v>
      </c>
      <c r="B27" t="s">
        <v>53</v>
      </c>
      <c r="C27">
        <v>0</v>
      </c>
      <c r="E27">
        <f t="shared" si="0"/>
        <v>0</v>
      </c>
    </row>
    <row r="28" spans="1:5" hidden="1" x14ac:dyDescent="0.3">
      <c r="A28" t="s">
        <v>90</v>
      </c>
      <c r="B28" t="s">
        <v>4</v>
      </c>
      <c r="C28">
        <v>11</v>
      </c>
      <c r="D28">
        <v>44000</v>
      </c>
      <c r="E28">
        <f t="shared" si="0"/>
        <v>484000</v>
      </c>
    </row>
    <row r="29" spans="1:5" hidden="1" x14ac:dyDescent="0.3">
      <c r="A29" t="s">
        <v>90</v>
      </c>
      <c r="B29" t="s">
        <v>147</v>
      </c>
      <c r="C29">
        <v>0</v>
      </c>
      <c r="E29">
        <f t="shared" si="0"/>
        <v>0</v>
      </c>
    </row>
    <row r="30" spans="1:5" hidden="1" x14ac:dyDescent="0.3">
      <c r="A30" t="s">
        <v>90</v>
      </c>
      <c r="B30" t="s">
        <v>148</v>
      </c>
      <c r="C30">
        <v>0</v>
      </c>
      <c r="E30">
        <f t="shared" si="0"/>
        <v>0</v>
      </c>
    </row>
    <row r="31" spans="1:5" hidden="1" x14ac:dyDescent="0.3">
      <c r="A31" t="s">
        <v>18</v>
      </c>
      <c r="B31" t="s">
        <v>4</v>
      </c>
      <c r="C31">
        <v>280</v>
      </c>
      <c r="D31">
        <v>18000</v>
      </c>
      <c r="E31">
        <f t="shared" si="0"/>
        <v>5040000</v>
      </c>
    </row>
    <row r="32" spans="1:5" hidden="1" x14ac:dyDescent="0.3">
      <c r="A32" t="s">
        <v>18</v>
      </c>
      <c r="B32" t="s">
        <v>50</v>
      </c>
      <c r="C32">
        <v>0</v>
      </c>
      <c r="E32">
        <f t="shared" si="0"/>
        <v>0</v>
      </c>
    </row>
    <row r="33" spans="1:5" hidden="1" x14ac:dyDescent="0.3">
      <c r="A33" t="s">
        <v>92</v>
      </c>
      <c r="B33" t="s">
        <v>31</v>
      </c>
      <c r="C33">
        <v>60</v>
      </c>
      <c r="D33">
        <v>15000</v>
      </c>
      <c r="E33">
        <f t="shared" si="0"/>
        <v>900000</v>
      </c>
    </row>
    <row r="34" spans="1:5" hidden="1" x14ac:dyDescent="0.3">
      <c r="A34" t="s">
        <v>49</v>
      </c>
      <c r="B34" t="s">
        <v>4</v>
      </c>
      <c r="C34">
        <v>240</v>
      </c>
      <c r="D34">
        <v>15000</v>
      </c>
      <c r="E34">
        <f t="shared" si="0"/>
        <v>3600000</v>
      </c>
    </row>
    <row r="35" spans="1:5" hidden="1" x14ac:dyDescent="0.3">
      <c r="A35" t="s">
        <v>49</v>
      </c>
      <c r="B35" t="s">
        <v>31</v>
      </c>
      <c r="C35">
        <v>0</v>
      </c>
      <c r="E35">
        <f t="shared" si="0"/>
        <v>0</v>
      </c>
    </row>
    <row r="36" spans="1:5" hidden="1" x14ac:dyDescent="0.3">
      <c r="A36" t="s">
        <v>19</v>
      </c>
      <c r="B36" t="s">
        <v>50</v>
      </c>
      <c r="C36">
        <v>0</v>
      </c>
      <c r="E36">
        <f t="shared" si="0"/>
        <v>0</v>
      </c>
    </row>
    <row r="37" spans="1:5" hidden="1" x14ac:dyDescent="0.3">
      <c r="A37" t="s">
        <v>21</v>
      </c>
      <c r="B37" t="s">
        <v>4</v>
      </c>
      <c r="C37">
        <v>130</v>
      </c>
      <c r="D37">
        <v>10000</v>
      </c>
      <c r="E37">
        <f t="shared" si="0"/>
        <v>1300000</v>
      </c>
    </row>
    <row r="38" spans="1:5" hidden="1" x14ac:dyDescent="0.3">
      <c r="A38" t="s">
        <v>21</v>
      </c>
      <c r="B38" t="s">
        <v>149</v>
      </c>
      <c r="C38">
        <v>0</v>
      </c>
      <c r="E38">
        <f t="shared" si="0"/>
        <v>0</v>
      </c>
    </row>
    <row r="39" spans="1:5" hidden="1" x14ac:dyDescent="0.3">
      <c r="A39" t="s">
        <v>62</v>
      </c>
      <c r="B39" t="s">
        <v>4</v>
      </c>
      <c r="C39">
        <v>0</v>
      </c>
      <c r="E39">
        <f t="shared" si="0"/>
        <v>0</v>
      </c>
    </row>
    <row r="40" spans="1:5" hidden="1" x14ac:dyDescent="0.3">
      <c r="A40" t="s">
        <v>62</v>
      </c>
      <c r="B40" t="s">
        <v>31</v>
      </c>
      <c r="C40">
        <v>0</v>
      </c>
      <c r="E40">
        <f t="shared" si="0"/>
        <v>0</v>
      </c>
    </row>
    <row r="41" spans="1:5" hidden="1" x14ac:dyDescent="0.3">
      <c r="A41" t="s">
        <v>63</v>
      </c>
      <c r="B41" t="s">
        <v>31</v>
      </c>
      <c r="C41">
        <v>0</v>
      </c>
      <c r="E41">
        <f t="shared" si="0"/>
        <v>0</v>
      </c>
    </row>
    <row r="42" spans="1:5" hidden="1" x14ac:dyDescent="0.3">
      <c r="A42" t="s">
        <v>64</v>
      </c>
      <c r="B42" t="s">
        <v>31</v>
      </c>
      <c r="C42">
        <v>0</v>
      </c>
      <c r="E42">
        <f t="shared" si="0"/>
        <v>0</v>
      </c>
    </row>
    <row r="43" spans="1:5" hidden="1" x14ac:dyDescent="0.3">
      <c r="A43" t="s">
        <v>64</v>
      </c>
      <c r="B43" t="s">
        <v>65</v>
      </c>
      <c r="C43">
        <v>0</v>
      </c>
      <c r="E43">
        <f t="shared" si="0"/>
        <v>0</v>
      </c>
    </row>
    <row r="44" spans="1:5" hidden="1" x14ac:dyDescent="0.3">
      <c r="A44" t="s">
        <v>22</v>
      </c>
      <c r="B44" t="s">
        <v>4</v>
      </c>
      <c r="C44">
        <v>3310</v>
      </c>
      <c r="D44">
        <v>7500</v>
      </c>
      <c r="E44">
        <f t="shared" si="0"/>
        <v>24825000</v>
      </c>
    </row>
    <row r="45" spans="1:5" hidden="1" x14ac:dyDescent="0.3">
      <c r="A45" t="s">
        <v>23</v>
      </c>
      <c r="B45" t="s">
        <v>4</v>
      </c>
      <c r="C45">
        <v>0</v>
      </c>
      <c r="E45">
        <f t="shared" si="0"/>
        <v>0</v>
      </c>
    </row>
    <row r="46" spans="1:5" hidden="1" x14ac:dyDescent="0.3">
      <c r="A46" t="s">
        <v>24</v>
      </c>
      <c r="B46" t="s">
        <v>66</v>
      </c>
      <c r="C46">
        <v>0</v>
      </c>
      <c r="E46">
        <f t="shared" si="0"/>
        <v>0</v>
      </c>
    </row>
    <row r="47" spans="1:5" hidden="1" x14ac:dyDescent="0.3">
      <c r="A47" t="s">
        <v>24</v>
      </c>
      <c r="B47" t="s">
        <v>4</v>
      </c>
      <c r="C47">
        <v>110</v>
      </c>
      <c r="D47">
        <v>10000</v>
      </c>
      <c r="E47">
        <f t="shared" si="0"/>
        <v>1100000</v>
      </c>
    </row>
    <row r="48" spans="1:5" hidden="1" x14ac:dyDescent="0.3">
      <c r="A48" t="s">
        <v>94</v>
      </c>
      <c r="B48" t="s">
        <v>50</v>
      </c>
      <c r="C48">
        <v>0</v>
      </c>
      <c r="E48">
        <f t="shared" si="0"/>
        <v>0</v>
      </c>
    </row>
    <row r="49" spans="1:5" hidden="1" x14ac:dyDescent="0.3">
      <c r="A49" t="s">
        <v>26</v>
      </c>
      <c r="B49" t="s">
        <v>4</v>
      </c>
      <c r="C49">
        <v>0</v>
      </c>
      <c r="E49">
        <f t="shared" si="0"/>
        <v>0</v>
      </c>
    </row>
    <row r="50" spans="1:5" hidden="1" x14ac:dyDescent="0.3">
      <c r="A50" t="s">
        <v>51</v>
      </c>
      <c r="B50" t="s">
        <v>53</v>
      </c>
      <c r="C50">
        <v>0</v>
      </c>
      <c r="E50">
        <f t="shared" si="0"/>
        <v>0</v>
      </c>
    </row>
    <row r="51" spans="1:5" hidden="1" x14ac:dyDescent="0.3">
      <c r="A51" t="s">
        <v>27</v>
      </c>
      <c r="B51" t="s">
        <v>4</v>
      </c>
      <c r="C51">
        <v>0</v>
      </c>
      <c r="E51">
        <f t="shared" si="0"/>
        <v>0</v>
      </c>
    </row>
    <row r="52" spans="1:5" hidden="1" x14ac:dyDescent="0.3">
      <c r="A52" t="s">
        <v>28</v>
      </c>
      <c r="B52" t="s">
        <v>4</v>
      </c>
      <c r="C52">
        <v>20</v>
      </c>
      <c r="D52">
        <v>18000</v>
      </c>
      <c r="E52">
        <f t="shared" si="0"/>
        <v>360000</v>
      </c>
    </row>
    <row r="53" spans="1:5" hidden="1" x14ac:dyDescent="0.3">
      <c r="A53" t="s">
        <v>28</v>
      </c>
      <c r="B53" t="s">
        <v>31</v>
      </c>
      <c r="C53">
        <v>0</v>
      </c>
      <c r="E53">
        <f t="shared" si="0"/>
        <v>0</v>
      </c>
    </row>
    <row r="54" spans="1:5" hidden="1" x14ac:dyDescent="0.3">
      <c r="A54" t="s">
        <v>54</v>
      </c>
      <c r="B54" t="s">
        <v>4</v>
      </c>
      <c r="C54">
        <v>0</v>
      </c>
      <c r="E54">
        <f t="shared" si="0"/>
        <v>0</v>
      </c>
    </row>
    <row r="55" spans="1:5" hidden="1" x14ac:dyDescent="0.3">
      <c r="A55" t="s">
        <v>29</v>
      </c>
      <c r="B55" t="s">
        <v>4</v>
      </c>
      <c r="C55">
        <v>0</v>
      </c>
      <c r="E55">
        <f t="shared" si="0"/>
        <v>0</v>
      </c>
    </row>
    <row r="56" spans="1:5" hidden="1" x14ac:dyDescent="0.3">
      <c r="A56" t="s">
        <v>29</v>
      </c>
      <c r="B56" t="s">
        <v>150</v>
      </c>
      <c r="C56">
        <v>0</v>
      </c>
      <c r="E56">
        <f t="shared" si="0"/>
        <v>0</v>
      </c>
    </row>
    <row r="57" spans="1:5" hidden="1" x14ac:dyDescent="0.3">
      <c r="A57" t="s">
        <v>55</v>
      </c>
      <c r="B57" t="s">
        <v>4</v>
      </c>
      <c r="C57">
        <v>4</v>
      </c>
      <c r="D57">
        <v>20000</v>
      </c>
      <c r="E57">
        <f t="shared" si="0"/>
        <v>80000</v>
      </c>
    </row>
    <row r="58" spans="1:5" hidden="1" x14ac:dyDescent="0.3">
      <c r="A58" t="s">
        <v>56</v>
      </c>
      <c r="B58" t="s">
        <v>31</v>
      </c>
      <c r="C58">
        <v>1118</v>
      </c>
      <c r="D58">
        <v>4500</v>
      </c>
      <c r="E58">
        <f t="shared" si="0"/>
        <v>5031000</v>
      </c>
    </row>
    <row r="59" spans="1:5" hidden="1" x14ac:dyDescent="0.3">
      <c r="A59" t="s">
        <v>117</v>
      </c>
      <c r="B59" t="s">
        <v>4</v>
      </c>
      <c r="C59">
        <v>570</v>
      </c>
      <c r="D59">
        <v>23000</v>
      </c>
      <c r="E59">
        <f t="shared" si="0"/>
        <v>13110000</v>
      </c>
    </row>
    <row r="60" spans="1:5" hidden="1" x14ac:dyDescent="0.3">
      <c r="A60" t="s">
        <v>57</v>
      </c>
      <c r="B60" t="s">
        <v>4</v>
      </c>
      <c r="C60">
        <v>70</v>
      </c>
      <c r="D60">
        <v>23000</v>
      </c>
      <c r="E60">
        <f t="shared" si="0"/>
        <v>1610000</v>
      </c>
    </row>
    <row r="61" spans="1:5" hidden="1" x14ac:dyDescent="0.3">
      <c r="A61" t="s">
        <v>57</v>
      </c>
      <c r="B61" t="s">
        <v>31</v>
      </c>
      <c r="C61">
        <v>0</v>
      </c>
      <c r="E61">
        <f t="shared" si="0"/>
        <v>0</v>
      </c>
    </row>
    <row r="62" spans="1:5" hidden="1" x14ac:dyDescent="0.3">
      <c r="A62" t="s">
        <v>32</v>
      </c>
      <c r="B62" t="s">
        <v>4</v>
      </c>
      <c r="C62">
        <v>270</v>
      </c>
      <c r="D62">
        <v>19000</v>
      </c>
      <c r="E62">
        <f t="shared" si="0"/>
        <v>5130000</v>
      </c>
    </row>
    <row r="63" spans="1:5" hidden="1" x14ac:dyDescent="0.3">
      <c r="A63" t="s">
        <v>58</v>
      </c>
      <c r="B63" t="s">
        <v>4</v>
      </c>
      <c r="C63">
        <v>3</v>
      </c>
      <c r="D63">
        <v>26000</v>
      </c>
      <c r="E63">
        <f t="shared" si="0"/>
        <v>78000</v>
      </c>
    </row>
    <row r="64" spans="1:5" hidden="1" x14ac:dyDescent="0.3">
      <c r="A64" t="s">
        <v>118</v>
      </c>
      <c r="B64" t="s">
        <v>4</v>
      </c>
      <c r="C64">
        <v>0</v>
      </c>
      <c r="E64">
        <f t="shared" si="0"/>
        <v>0</v>
      </c>
    </row>
    <row r="65" spans="1:6" hidden="1" x14ac:dyDescent="0.3">
      <c r="A65" t="s">
        <v>33</v>
      </c>
      <c r="B65" t="s">
        <v>31</v>
      </c>
      <c r="C65">
        <v>0</v>
      </c>
      <c r="E65">
        <f t="shared" si="0"/>
        <v>0</v>
      </c>
    </row>
    <row r="66" spans="1:6" hidden="1" x14ac:dyDescent="0.3">
      <c r="A66" t="s">
        <v>34</v>
      </c>
      <c r="B66" t="s">
        <v>4</v>
      </c>
      <c r="C66">
        <v>380</v>
      </c>
      <c r="D66">
        <v>15000</v>
      </c>
      <c r="E66">
        <f t="shared" si="0"/>
        <v>5700000</v>
      </c>
    </row>
    <row r="67" spans="1:6" hidden="1" x14ac:dyDescent="0.3">
      <c r="A67" t="s">
        <v>34</v>
      </c>
      <c r="B67" t="s">
        <v>31</v>
      </c>
      <c r="C67">
        <v>0</v>
      </c>
      <c r="E67">
        <f t="shared" si="0"/>
        <v>0</v>
      </c>
    </row>
    <row r="68" spans="1:6" hidden="1" x14ac:dyDescent="0.3">
      <c r="A68" t="s">
        <v>142</v>
      </c>
      <c r="B68" t="s">
        <v>31</v>
      </c>
      <c r="C68">
        <v>110</v>
      </c>
      <c r="D68">
        <v>6000</v>
      </c>
      <c r="E68">
        <f t="shared" ref="E68:E133" si="1">C68*D68</f>
        <v>660000</v>
      </c>
    </row>
    <row r="69" spans="1:6" hidden="1" x14ac:dyDescent="0.3">
      <c r="A69" t="s">
        <v>35</v>
      </c>
      <c r="B69" t="s">
        <v>4</v>
      </c>
      <c r="C69">
        <v>40</v>
      </c>
      <c r="D69">
        <v>18000</v>
      </c>
      <c r="E69">
        <f t="shared" si="1"/>
        <v>720000</v>
      </c>
    </row>
    <row r="70" spans="1:6" hidden="1" x14ac:dyDescent="0.3">
      <c r="A70" t="s">
        <v>123</v>
      </c>
      <c r="B70" t="s">
        <v>31</v>
      </c>
      <c r="C70">
        <v>40</v>
      </c>
      <c r="D70">
        <v>6000</v>
      </c>
      <c r="E70">
        <f t="shared" si="1"/>
        <v>240000</v>
      </c>
    </row>
    <row r="71" spans="1:6" hidden="1" x14ac:dyDescent="0.3">
      <c r="A71" t="s">
        <v>37</v>
      </c>
      <c r="B71" t="s">
        <v>4</v>
      </c>
      <c r="C71">
        <v>0</v>
      </c>
      <c r="E71">
        <f t="shared" si="1"/>
        <v>0</v>
      </c>
    </row>
    <row r="72" spans="1:6" hidden="1" x14ac:dyDescent="0.3">
      <c r="A72" t="s">
        <v>37</v>
      </c>
      <c r="B72" t="s">
        <v>150</v>
      </c>
      <c r="C72">
        <v>0</v>
      </c>
      <c r="E72">
        <f t="shared" si="1"/>
        <v>0</v>
      </c>
    </row>
    <row r="73" spans="1:6" hidden="1" x14ac:dyDescent="0.3">
      <c r="A73" t="s">
        <v>37</v>
      </c>
      <c r="B73" t="s">
        <v>151</v>
      </c>
      <c r="C73">
        <v>0</v>
      </c>
      <c r="E73">
        <f t="shared" si="1"/>
        <v>0</v>
      </c>
    </row>
    <row r="74" spans="1:6" hidden="1" x14ac:dyDescent="0.3">
      <c r="A74" t="s">
        <v>96</v>
      </c>
      <c r="B74" t="s">
        <v>4</v>
      </c>
      <c r="C74">
        <v>0.5</v>
      </c>
      <c r="D74">
        <v>80000</v>
      </c>
      <c r="E74">
        <f t="shared" si="1"/>
        <v>40000</v>
      </c>
    </row>
    <row r="75" spans="1:6" hidden="1" x14ac:dyDescent="0.3">
      <c r="A75" t="s">
        <v>97</v>
      </c>
      <c r="B75" t="s">
        <v>4</v>
      </c>
      <c r="C75">
        <v>0.5</v>
      </c>
      <c r="D75">
        <v>70000</v>
      </c>
      <c r="E75">
        <f t="shared" si="1"/>
        <v>35000</v>
      </c>
    </row>
    <row r="76" spans="1:6" hidden="1" x14ac:dyDescent="0.3">
      <c r="A76" t="s">
        <v>105</v>
      </c>
      <c r="B76" t="s">
        <v>4</v>
      </c>
      <c r="C76">
        <v>0.5</v>
      </c>
      <c r="D76">
        <v>70000</v>
      </c>
      <c r="E76">
        <f t="shared" si="1"/>
        <v>35000</v>
      </c>
    </row>
    <row r="77" spans="1:6" hidden="1" x14ac:dyDescent="0.3">
      <c r="A77" t="s">
        <v>39</v>
      </c>
      <c r="B77" t="s">
        <v>4</v>
      </c>
      <c r="C77">
        <v>0</v>
      </c>
      <c r="E77">
        <f t="shared" si="1"/>
        <v>0</v>
      </c>
    </row>
    <row r="78" spans="1:6" hidden="1" x14ac:dyDescent="0.3">
      <c r="A78" t="s">
        <v>39</v>
      </c>
      <c r="B78" t="s">
        <v>50</v>
      </c>
      <c r="C78">
        <v>0</v>
      </c>
      <c r="E78">
        <f t="shared" si="1"/>
        <v>0</v>
      </c>
    </row>
    <row r="79" spans="1:6" hidden="1" x14ac:dyDescent="0.3">
      <c r="A79" t="s">
        <v>99</v>
      </c>
      <c r="B79" t="s">
        <v>4</v>
      </c>
      <c r="C79">
        <v>0</v>
      </c>
      <c r="E79">
        <f t="shared" si="1"/>
        <v>0</v>
      </c>
    </row>
    <row r="80" spans="1:6" hidden="1" x14ac:dyDescent="0.3">
      <c r="A80" t="s">
        <v>100</v>
      </c>
      <c r="B80" t="s">
        <v>4</v>
      </c>
      <c r="C80">
        <v>50</v>
      </c>
      <c r="D80">
        <v>5000</v>
      </c>
      <c r="E80">
        <f t="shared" si="1"/>
        <v>250000</v>
      </c>
      <c r="F80" t="s">
        <v>202</v>
      </c>
    </row>
    <row r="81" spans="1:5" hidden="1" x14ac:dyDescent="0.3">
      <c r="A81" t="s">
        <v>40</v>
      </c>
      <c r="B81" t="s">
        <v>66</v>
      </c>
      <c r="C81">
        <v>0</v>
      </c>
      <c r="E81">
        <f t="shared" si="1"/>
        <v>0</v>
      </c>
    </row>
    <row r="82" spans="1:5" hidden="1" x14ac:dyDescent="0.3">
      <c r="A82" t="s">
        <v>40</v>
      </c>
      <c r="B82" t="s">
        <v>4</v>
      </c>
      <c r="C82">
        <v>15</v>
      </c>
      <c r="D82">
        <v>38000</v>
      </c>
      <c r="E82">
        <f t="shared" si="1"/>
        <v>570000</v>
      </c>
    </row>
    <row r="83" spans="1:5" x14ac:dyDescent="0.3">
      <c r="A83" t="s">
        <v>41</v>
      </c>
      <c r="B83" t="s">
        <v>4</v>
      </c>
      <c r="C83">
        <v>1840</v>
      </c>
      <c r="D83">
        <v>28600</v>
      </c>
      <c r="E83">
        <f t="shared" si="1"/>
        <v>52624000</v>
      </c>
    </row>
    <row r="84" spans="1:5" hidden="1" x14ac:dyDescent="0.3">
      <c r="A84" t="s">
        <v>124</v>
      </c>
      <c r="B84" t="s">
        <v>4</v>
      </c>
      <c r="C84">
        <v>0</v>
      </c>
      <c r="E84">
        <f t="shared" si="1"/>
        <v>0</v>
      </c>
    </row>
    <row r="85" spans="1:5" hidden="1" x14ac:dyDescent="0.3">
      <c r="A85" t="s">
        <v>121</v>
      </c>
      <c r="B85" t="s">
        <v>53</v>
      </c>
      <c r="C85">
        <v>15</v>
      </c>
      <c r="D85">
        <v>10000</v>
      </c>
      <c r="E85">
        <f t="shared" si="1"/>
        <v>150000</v>
      </c>
    </row>
    <row r="86" spans="1:5" hidden="1" x14ac:dyDescent="0.3">
      <c r="A86" t="s">
        <v>126</v>
      </c>
      <c r="B86" t="s">
        <v>73</v>
      </c>
      <c r="C86">
        <v>0</v>
      </c>
      <c r="E86">
        <f t="shared" si="1"/>
        <v>0</v>
      </c>
    </row>
    <row r="87" spans="1:5" hidden="1" x14ac:dyDescent="0.3">
      <c r="A87" t="s">
        <v>69</v>
      </c>
      <c r="B87" t="s">
        <v>31</v>
      </c>
      <c r="C87">
        <v>0</v>
      </c>
      <c r="E87">
        <f t="shared" si="1"/>
        <v>0</v>
      </c>
    </row>
    <row r="88" spans="1:5" hidden="1" x14ac:dyDescent="0.3">
      <c r="A88" t="s">
        <v>42</v>
      </c>
      <c r="B88" t="s">
        <v>31</v>
      </c>
      <c r="C88">
        <v>0</v>
      </c>
      <c r="E88">
        <f t="shared" si="1"/>
        <v>0</v>
      </c>
    </row>
    <row r="89" spans="1:5" hidden="1" x14ac:dyDescent="0.3">
      <c r="A89" t="s">
        <v>67</v>
      </c>
      <c r="B89" t="s">
        <v>4</v>
      </c>
      <c r="C89">
        <v>4</v>
      </c>
      <c r="D89">
        <v>15000</v>
      </c>
      <c r="E89">
        <f t="shared" si="1"/>
        <v>60000</v>
      </c>
    </row>
    <row r="90" spans="1:5" hidden="1" x14ac:dyDescent="0.3">
      <c r="A90" t="s">
        <v>70</v>
      </c>
      <c r="B90" t="s">
        <v>71</v>
      </c>
      <c r="C90">
        <v>0</v>
      </c>
      <c r="E90">
        <f t="shared" si="1"/>
        <v>0</v>
      </c>
    </row>
    <row r="91" spans="1:5" hidden="1" x14ac:dyDescent="0.3">
      <c r="A91" t="s">
        <v>116</v>
      </c>
      <c r="B91" t="s">
        <v>50</v>
      </c>
      <c r="C91">
        <v>0</v>
      </c>
      <c r="E91">
        <f t="shared" si="1"/>
        <v>0</v>
      </c>
    </row>
    <row r="92" spans="1:5" hidden="1" x14ac:dyDescent="0.3">
      <c r="A92" t="s">
        <v>101</v>
      </c>
      <c r="B92" t="s">
        <v>53</v>
      </c>
      <c r="C92">
        <v>0</v>
      </c>
      <c r="E92">
        <f t="shared" si="1"/>
        <v>0</v>
      </c>
    </row>
    <row r="93" spans="1:5" hidden="1" x14ac:dyDescent="0.3">
      <c r="A93" t="s">
        <v>101</v>
      </c>
      <c r="B93" t="s">
        <v>4</v>
      </c>
      <c r="C93">
        <v>0</v>
      </c>
      <c r="E93">
        <f t="shared" si="1"/>
        <v>0</v>
      </c>
    </row>
    <row r="94" spans="1:5" hidden="1" x14ac:dyDescent="0.3">
      <c r="A94" t="s">
        <v>43</v>
      </c>
      <c r="B94" t="s">
        <v>4</v>
      </c>
      <c r="C94">
        <v>90</v>
      </c>
      <c r="D94">
        <v>37000</v>
      </c>
      <c r="E94">
        <f t="shared" si="1"/>
        <v>3330000</v>
      </c>
    </row>
    <row r="95" spans="1:5" hidden="1" x14ac:dyDescent="0.3">
      <c r="A95" t="s">
        <v>43</v>
      </c>
      <c r="B95" t="s">
        <v>84</v>
      </c>
      <c r="C95">
        <v>0</v>
      </c>
      <c r="E95">
        <f t="shared" si="1"/>
        <v>0</v>
      </c>
    </row>
    <row r="96" spans="1:5" hidden="1" x14ac:dyDescent="0.3">
      <c r="A96" t="s">
        <v>44</v>
      </c>
      <c r="B96" t="s">
        <v>4</v>
      </c>
      <c r="C96">
        <v>85</v>
      </c>
      <c r="D96">
        <v>17000</v>
      </c>
      <c r="E96">
        <f t="shared" si="1"/>
        <v>1445000</v>
      </c>
    </row>
    <row r="97" spans="1:5" hidden="1" x14ac:dyDescent="0.3">
      <c r="A97" t="s">
        <v>44</v>
      </c>
      <c r="B97" t="s">
        <v>84</v>
      </c>
      <c r="C97">
        <v>0</v>
      </c>
      <c r="E97">
        <f t="shared" si="1"/>
        <v>0</v>
      </c>
    </row>
    <row r="98" spans="1:5" hidden="1" x14ac:dyDescent="0.3">
      <c r="A98" t="s">
        <v>45</v>
      </c>
      <c r="B98" t="s">
        <v>4</v>
      </c>
      <c r="C98">
        <v>0</v>
      </c>
      <c r="E98">
        <f t="shared" si="1"/>
        <v>0</v>
      </c>
    </row>
    <row r="99" spans="1:5" hidden="1" x14ac:dyDescent="0.3">
      <c r="A99" t="s">
        <v>45</v>
      </c>
      <c r="B99" t="s">
        <v>84</v>
      </c>
      <c r="C99">
        <v>0</v>
      </c>
      <c r="E99">
        <f t="shared" si="1"/>
        <v>0</v>
      </c>
    </row>
    <row r="100" spans="1:5" hidden="1" x14ac:dyDescent="0.3">
      <c r="A100" t="s">
        <v>46</v>
      </c>
      <c r="B100" t="s">
        <v>31</v>
      </c>
      <c r="C100">
        <v>110</v>
      </c>
      <c r="D100">
        <v>22000</v>
      </c>
      <c r="E100">
        <f t="shared" si="1"/>
        <v>2420000</v>
      </c>
    </row>
    <row r="101" spans="1:5" hidden="1" x14ac:dyDescent="0.3">
      <c r="A101" t="s">
        <v>133</v>
      </c>
      <c r="B101" t="s">
        <v>31</v>
      </c>
      <c r="C101">
        <v>0</v>
      </c>
      <c r="E101">
        <f t="shared" si="1"/>
        <v>0</v>
      </c>
    </row>
    <row r="102" spans="1:5" hidden="1" x14ac:dyDescent="0.3">
      <c r="A102" t="s">
        <v>72</v>
      </c>
      <c r="B102" t="s">
        <v>73</v>
      </c>
      <c r="C102">
        <v>0</v>
      </c>
      <c r="E102">
        <f t="shared" si="1"/>
        <v>0</v>
      </c>
    </row>
    <row r="103" spans="1:5" hidden="1" x14ac:dyDescent="0.3">
      <c r="A103" t="s">
        <v>128</v>
      </c>
      <c r="B103" t="s">
        <v>4</v>
      </c>
      <c r="C103">
        <v>0</v>
      </c>
      <c r="E103">
        <f t="shared" si="1"/>
        <v>0</v>
      </c>
    </row>
    <row r="104" spans="1:5" hidden="1" x14ac:dyDescent="0.3">
      <c r="A104" t="s">
        <v>160</v>
      </c>
      <c r="B104" t="s">
        <v>50</v>
      </c>
      <c r="C104">
        <v>0</v>
      </c>
      <c r="E104">
        <f t="shared" si="1"/>
        <v>0</v>
      </c>
    </row>
    <row r="105" spans="1:5" hidden="1" x14ac:dyDescent="0.3">
      <c r="A105" t="s">
        <v>107</v>
      </c>
      <c r="B105" t="s">
        <v>4</v>
      </c>
      <c r="C105">
        <v>0</v>
      </c>
      <c r="E105">
        <f t="shared" si="1"/>
        <v>0</v>
      </c>
    </row>
    <row r="106" spans="1:5" hidden="1" x14ac:dyDescent="0.3">
      <c r="A106" t="s">
        <v>109</v>
      </c>
      <c r="B106" t="s">
        <v>53</v>
      </c>
      <c r="C106">
        <v>0</v>
      </c>
      <c r="E106">
        <f t="shared" si="1"/>
        <v>0</v>
      </c>
    </row>
    <row r="107" spans="1:5" hidden="1" x14ac:dyDescent="0.3">
      <c r="A107" t="s">
        <v>47</v>
      </c>
      <c r="B107" t="s">
        <v>4</v>
      </c>
      <c r="C107">
        <v>140</v>
      </c>
      <c r="D107">
        <v>8000</v>
      </c>
      <c r="E107">
        <f t="shared" si="1"/>
        <v>1120000</v>
      </c>
    </row>
    <row r="108" spans="1:5" hidden="1" x14ac:dyDescent="0.3">
      <c r="A108" t="s">
        <v>74</v>
      </c>
      <c r="B108" t="s">
        <v>4</v>
      </c>
      <c r="C108">
        <v>0</v>
      </c>
      <c r="E108">
        <f t="shared" si="1"/>
        <v>0</v>
      </c>
    </row>
    <row r="109" spans="1:5" hidden="1" x14ac:dyDescent="0.3">
      <c r="A109" t="s">
        <v>129</v>
      </c>
      <c r="B109" t="s">
        <v>4</v>
      </c>
      <c r="C109">
        <v>0</v>
      </c>
      <c r="E109">
        <f t="shared" si="1"/>
        <v>0</v>
      </c>
    </row>
    <row r="110" spans="1:5" hidden="1" x14ac:dyDescent="0.3">
      <c r="A110" t="s">
        <v>75</v>
      </c>
      <c r="B110" t="s">
        <v>4</v>
      </c>
      <c r="C110">
        <v>5</v>
      </c>
      <c r="D110">
        <v>28000</v>
      </c>
      <c r="E110">
        <f t="shared" si="1"/>
        <v>140000</v>
      </c>
    </row>
    <row r="111" spans="1:5" hidden="1" x14ac:dyDescent="0.3">
      <c r="A111" t="s">
        <v>76</v>
      </c>
      <c r="B111" t="s">
        <v>66</v>
      </c>
      <c r="C111">
        <v>0</v>
      </c>
      <c r="E111">
        <f t="shared" si="1"/>
        <v>0</v>
      </c>
    </row>
    <row r="112" spans="1:5" hidden="1" x14ac:dyDescent="0.3">
      <c r="A112" t="s">
        <v>83</v>
      </c>
      <c r="B112" t="s">
        <v>4</v>
      </c>
      <c r="C112">
        <v>0</v>
      </c>
      <c r="E112">
        <f t="shared" si="1"/>
        <v>0</v>
      </c>
    </row>
    <row r="113" spans="1:5" hidden="1" x14ac:dyDescent="0.3">
      <c r="A113" t="s">
        <v>48</v>
      </c>
      <c r="B113" t="s">
        <v>4</v>
      </c>
      <c r="C113">
        <v>0</v>
      </c>
      <c r="E113">
        <f t="shared" si="1"/>
        <v>0</v>
      </c>
    </row>
    <row r="114" spans="1:5" hidden="1" x14ac:dyDescent="0.3">
      <c r="A114" t="s">
        <v>77</v>
      </c>
      <c r="B114" t="s">
        <v>66</v>
      </c>
      <c r="C114">
        <v>0</v>
      </c>
      <c r="E114">
        <f t="shared" si="1"/>
        <v>0</v>
      </c>
    </row>
    <row r="115" spans="1:5" hidden="1" x14ac:dyDescent="0.3">
      <c r="A115" t="s">
        <v>78</v>
      </c>
      <c r="B115" t="s">
        <v>4</v>
      </c>
      <c r="C115">
        <v>0</v>
      </c>
      <c r="E115">
        <f t="shared" si="1"/>
        <v>0</v>
      </c>
    </row>
    <row r="116" spans="1:5" hidden="1" x14ac:dyDescent="0.3">
      <c r="A116" t="s">
        <v>79</v>
      </c>
      <c r="B116" t="s">
        <v>31</v>
      </c>
      <c r="C116">
        <v>0</v>
      </c>
      <c r="E116">
        <f t="shared" si="1"/>
        <v>0</v>
      </c>
    </row>
    <row r="117" spans="1:5" hidden="1" x14ac:dyDescent="0.3">
      <c r="A117" t="s">
        <v>80</v>
      </c>
      <c r="B117" t="s">
        <v>31</v>
      </c>
      <c r="C117">
        <v>0</v>
      </c>
      <c r="E117">
        <f t="shared" si="1"/>
        <v>0</v>
      </c>
    </row>
    <row r="118" spans="1:5" hidden="1" x14ac:dyDescent="0.3">
      <c r="A118" t="s">
        <v>81</v>
      </c>
      <c r="B118" t="s">
        <v>4</v>
      </c>
      <c r="C118">
        <v>4</v>
      </c>
      <c r="D118">
        <v>30000</v>
      </c>
      <c r="E118">
        <f t="shared" si="1"/>
        <v>120000</v>
      </c>
    </row>
    <row r="119" spans="1:5" hidden="1" x14ac:dyDescent="0.3">
      <c r="A119" t="s">
        <v>82</v>
      </c>
      <c r="B119" t="s">
        <v>66</v>
      </c>
      <c r="C119">
        <v>0</v>
      </c>
      <c r="E119">
        <f t="shared" si="1"/>
        <v>0</v>
      </c>
    </row>
    <row r="120" spans="1:5" hidden="1" x14ac:dyDescent="0.3">
      <c r="E120">
        <f t="shared" si="1"/>
        <v>0</v>
      </c>
    </row>
    <row r="121" spans="1:5" hidden="1" x14ac:dyDescent="0.3">
      <c r="E121">
        <f>SUM(E3:E118)</f>
        <v>152266000</v>
      </c>
    </row>
    <row r="122" spans="1:5" hidden="1" x14ac:dyDescent="0.3">
      <c r="A122" t="s">
        <v>139</v>
      </c>
    </row>
    <row r="123" spans="1:5" hidden="1" x14ac:dyDescent="0.3">
      <c r="A123" t="s">
        <v>0</v>
      </c>
      <c r="B123" t="s">
        <v>1</v>
      </c>
      <c r="C123" t="s">
        <v>2</v>
      </c>
      <c r="D123" t="s">
        <v>137</v>
      </c>
      <c r="E123" t="s">
        <v>138</v>
      </c>
    </row>
    <row r="124" spans="1:5" hidden="1" x14ac:dyDescent="0.3">
      <c r="A124" t="s">
        <v>3</v>
      </c>
      <c r="B124" t="s">
        <v>4</v>
      </c>
      <c r="C124">
        <v>7</v>
      </c>
      <c r="D124">
        <v>30000</v>
      </c>
      <c r="E124">
        <f t="shared" si="1"/>
        <v>210000</v>
      </c>
    </row>
    <row r="125" spans="1:5" hidden="1" x14ac:dyDescent="0.3">
      <c r="A125" t="s">
        <v>5</v>
      </c>
      <c r="B125" t="s">
        <v>4</v>
      </c>
      <c r="C125">
        <v>0</v>
      </c>
      <c r="E125">
        <f t="shared" si="1"/>
        <v>0</v>
      </c>
    </row>
    <row r="126" spans="1:5" hidden="1" x14ac:dyDescent="0.3">
      <c r="A126" t="s">
        <v>6</v>
      </c>
      <c r="B126" t="s">
        <v>4</v>
      </c>
      <c r="C126">
        <v>0</v>
      </c>
      <c r="E126">
        <f t="shared" si="1"/>
        <v>0</v>
      </c>
    </row>
    <row r="127" spans="1:5" hidden="1" x14ac:dyDescent="0.3">
      <c r="A127" t="s">
        <v>7</v>
      </c>
      <c r="B127" t="s">
        <v>4</v>
      </c>
      <c r="C127">
        <v>20</v>
      </c>
      <c r="D127">
        <v>10000</v>
      </c>
      <c r="E127">
        <f t="shared" si="1"/>
        <v>200000</v>
      </c>
    </row>
    <row r="128" spans="1:5" hidden="1" x14ac:dyDescent="0.3">
      <c r="A128" t="s">
        <v>8</v>
      </c>
      <c r="B128" t="s">
        <v>4</v>
      </c>
      <c r="C128">
        <v>1000</v>
      </c>
      <c r="D128">
        <v>5200</v>
      </c>
      <c r="E128">
        <f t="shared" si="1"/>
        <v>5200000</v>
      </c>
    </row>
    <row r="129" spans="1:5" hidden="1" x14ac:dyDescent="0.3">
      <c r="A129" t="s">
        <v>9</v>
      </c>
      <c r="B129" t="s">
        <v>4</v>
      </c>
      <c r="C129">
        <v>0</v>
      </c>
      <c r="E129">
        <f t="shared" si="1"/>
        <v>0</v>
      </c>
    </row>
    <row r="130" spans="1:5" hidden="1" x14ac:dyDescent="0.3">
      <c r="A130" t="s">
        <v>10</v>
      </c>
      <c r="B130" t="s">
        <v>4</v>
      </c>
      <c r="C130">
        <v>60</v>
      </c>
      <c r="D130">
        <v>11000</v>
      </c>
      <c r="E130">
        <f t="shared" si="1"/>
        <v>660000</v>
      </c>
    </row>
    <row r="131" spans="1:5" hidden="1" x14ac:dyDescent="0.3">
      <c r="A131" t="s">
        <v>12</v>
      </c>
      <c r="B131" t="s">
        <v>4</v>
      </c>
      <c r="C131">
        <v>0</v>
      </c>
      <c r="E131">
        <f t="shared" si="1"/>
        <v>0</v>
      </c>
    </row>
    <row r="132" spans="1:5" hidden="1" x14ac:dyDescent="0.3">
      <c r="A132" t="s">
        <v>13</v>
      </c>
      <c r="B132" t="s">
        <v>4</v>
      </c>
      <c r="C132">
        <v>16</v>
      </c>
      <c r="D132">
        <v>27000</v>
      </c>
      <c r="E132">
        <f t="shared" si="1"/>
        <v>432000</v>
      </c>
    </row>
    <row r="133" spans="1:5" hidden="1" x14ac:dyDescent="0.3">
      <c r="A133" t="s">
        <v>14</v>
      </c>
      <c r="B133" t="s">
        <v>4</v>
      </c>
      <c r="C133">
        <v>0</v>
      </c>
      <c r="E133">
        <f t="shared" si="1"/>
        <v>0</v>
      </c>
    </row>
    <row r="134" spans="1:5" hidden="1" x14ac:dyDescent="0.3">
      <c r="A134" t="s">
        <v>15</v>
      </c>
      <c r="B134" t="s">
        <v>4</v>
      </c>
      <c r="C134">
        <v>200</v>
      </c>
      <c r="D134">
        <v>24000</v>
      </c>
      <c r="E134">
        <f t="shared" ref="E134:E163" si="2">C134*D134</f>
        <v>4800000</v>
      </c>
    </row>
    <row r="135" spans="1:5" hidden="1" x14ac:dyDescent="0.3">
      <c r="A135" t="s">
        <v>17</v>
      </c>
      <c r="B135" t="s">
        <v>147</v>
      </c>
      <c r="C135">
        <v>0</v>
      </c>
      <c r="E135">
        <f t="shared" si="2"/>
        <v>0</v>
      </c>
    </row>
    <row r="136" spans="1:5" hidden="1" x14ac:dyDescent="0.3">
      <c r="A136" t="s">
        <v>18</v>
      </c>
      <c r="B136" t="s">
        <v>4</v>
      </c>
      <c r="C136">
        <v>200</v>
      </c>
      <c r="D136">
        <v>18000</v>
      </c>
      <c r="E136">
        <f t="shared" si="2"/>
        <v>3600000</v>
      </c>
    </row>
    <row r="137" spans="1:5" hidden="1" x14ac:dyDescent="0.3">
      <c r="A137" t="s">
        <v>20</v>
      </c>
      <c r="B137" t="s">
        <v>4</v>
      </c>
      <c r="C137">
        <v>160</v>
      </c>
      <c r="D137">
        <v>11000</v>
      </c>
      <c r="E137">
        <f t="shared" si="2"/>
        <v>1760000</v>
      </c>
    </row>
    <row r="138" spans="1:5" hidden="1" x14ac:dyDescent="0.3">
      <c r="A138" t="s">
        <v>21</v>
      </c>
      <c r="B138" t="s">
        <v>4</v>
      </c>
      <c r="C138">
        <v>0</v>
      </c>
      <c r="E138">
        <f t="shared" si="2"/>
        <v>0</v>
      </c>
    </row>
    <row r="139" spans="1:5" hidden="1" x14ac:dyDescent="0.3">
      <c r="A139" t="s">
        <v>22</v>
      </c>
      <c r="B139" t="s">
        <v>4</v>
      </c>
      <c r="C139">
        <v>550</v>
      </c>
      <c r="D139">
        <v>7500</v>
      </c>
      <c r="E139">
        <f t="shared" si="2"/>
        <v>4125000</v>
      </c>
    </row>
    <row r="140" spans="1:5" hidden="1" x14ac:dyDescent="0.3">
      <c r="A140" t="s">
        <v>23</v>
      </c>
      <c r="B140" t="s">
        <v>4</v>
      </c>
      <c r="C140">
        <v>0</v>
      </c>
      <c r="E140">
        <f t="shared" si="2"/>
        <v>0</v>
      </c>
    </row>
    <row r="141" spans="1:5" hidden="1" x14ac:dyDescent="0.3">
      <c r="A141" t="s">
        <v>145</v>
      </c>
      <c r="B141" t="s">
        <v>4</v>
      </c>
      <c r="C141">
        <v>1200</v>
      </c>
      <c r="D141">
        <v>5500</v>
      </c>
      <c r="E141">
        <f t="shared" si="2"/>
        <v>6600000</v>
      </c>
    </row>
    <row r="142" spans="1:5" hidden="1" x14ac:dyDescent="0.3">
      <c r="A142" t="s">
        <v>24</v>
      </c>
      <c r="B142" t="s">
        <v>4</v>
      </c>
      <c r="C142">
        <v>0</v>
      </c>
      <c r="E142">
        <f t="shared" si="2"/>
        <v>0</v>
      </c>
    </row>
    <row r="143" spans="1:5" hidden="1" x14ac:dyDescent="0.3">
      <c r="A143" t="s">
        <v>25</v>
      </c>
      <c r="B143" t="s">
        <v>4</v>
      </c>
      <c r="C143">
        <v>66</v>
      </c>
      <c r="D143">
        <v>25000</v>
      </c>
      <c r="E143">
        <f t="shared" si="2"/>
        <v>1650000</v>
      </c>
    </row>
    <row r="144" spans="1:5" hidden="1" x14ac:dyDescent="0.3">
      <c r="A144" t="s">
        <v>26</v>
      </c>
      <c r="B144" t="s">
        <v>4</v>
      </c>
      <c r="C144">
        <v>50</v>
      </c>
      <c r="D144">
        <v>13000</v>
      </c>
      <c r="E144">
        <f t="shared" si="2"/>
        <v>650000</v>
      </c>
    </row>
    <row r="145" spans="1:5" hidden="1" x14ac:dyDescent="0.3">
      <c r="A145" t="s">
        <v>27</v>
      </c>
      <c r="B145" t="s">
        <v>4</v>
      </c>
      <c r="C145">
        <v>90</v>
      </c>
      <c r="D145">
        <v>6500</v>
      </c>
      <c r="E145">
        <f t="shared" si="2"/>
        <v>585000</v>
      </c>
    </row>
    <row r="146" spans="1:5" hidden="1" x14ac:dyDescent="0.3">
      <c r="A146" t="s">
        <v>28</v>
      </c>
      <c r="B146" t="s">
        <v>4</v>
      </c>
      <c r="C146">
        <v>60</v>
      </c>
      <c r="D146">
        <v>18000</v>
      </c>
      <c r="E146">
        <f t="shared" si="2"/>
        <v>1080000</v>
      </c>
    </row>
    <row r="147" spans="1:5" hidden="1" x14ac:dyDescent="0.3">
      <c r="A147" t="s">
        <v>29</v>
      </c>
      <c r="B147" t="s">
        <v>4</v>
      </c>
      <c r="C147">
        <v>0</v>
      </c>
      <c r="E147">
        <f t="shared" si="2"/>
        <v>0</v>
      </c>
    </row>
    <row r="148" spans="1:5" hidden="1" x14ac:dyDescent="0.3">
      <c r="A148" t="s">
        <v>57</v>
      </c>
      <c r="B148" t="s">
        <v>31</v>
      </c>
      <c r="C148">
        <v>0</v>
      </c>
      <c r="E148">
        <f t="shared" si="2"/>
        <v>0</v>
      </c>
    </row>
    <row r="149" spans="1:5" hidden="1" x14ac:dyDescent="0.3">
      <c r="A149" t="s">
        <v>32</v>
      </c>
      <c r="B149" t="s">
        <v>4</v>
      </c>
      <c r="C149">
        <v>200</v>
      </c>
      <c r="D149">
        <v>19000</v>
      </c>
      <c r="E149">
        <f t="shared" si="2"/>
        <v>3800000</v>
      </c>
    </row>
    <row r="150" spans="1:5" hidden="1" x14ac:dyDescent="0.3">
      <c r="A150" t="s">
        <v>33</v>
      </c>
      <c r="B150" t="s">
        <v>31</v>
      </c>
      <c r="C150">
        <v>0</v>
      </c>
      <c r="E150">
        <f t="shared" si="2"/>
        <v>0</v>
      </c>
    </row>
    <row r="151" spans="1:5" hidden="1" x14ac:dyDescent="0.3">
      <c r="A151" t="s">
        <v>34</v>
      </c>
      <c r="B151" t="s">
        <v>4</v>
      </c>
      <c r="C151">
        <v>200</v>
      </c>
      <c r="D151">
        <v>15000</v>
      </c>
      <c r="E151">
        <f t="shared" si="2"/>
        <v>3000000</v>
      </c>
    </row>
    <row r="152" spans="1:5" hidden="1" x14ac:dyDescent="0.3">
      <c r="A152" t="s">
        <v>34</v>
      </c>
      <c r="B152" t="s">
        <v>31</v>
      </c>
      <c r="C152">
        <v>0</v>
      </c>
      <c r="E152">
        <f t="shared" si="2"/>
        <v>0</v>
      </c>
    </row>
    <row r="153" spans="1:5" hidden="1" x14ac:dyDescent="0.3">
      <c r="A153" t="s">
        <v>35</v>
      </c>
      <c r="B153" t="s">
        <v>4</v>
      </c>
      <c r="C153">
        <v>0</v>
      </c>
      <c r="E153">
        <f t="shared" si="2"/>
        <v>0</v>
      </c>
    </row>
    <row r="154" spans="1:5" hidden="1" x14ac:dyDescent="0.3">
      <c r="A154" t="s">
        <v>123</v>
      </c>
      <c r="B154" t="s">
        <v>31</v>
      </c>
      <c r="C154">
        <v>6</v>
      </c>
      <c r="D154">
        <v>6000</v>
      </c>
      <c r="E154">
        <f t="shared" si="2"/>
        <v>36000</v>
      </c>
    </row>
    <row r="155" spans="1:5" hidden="1" x14ac:dyDescent="0.3">
      <c r="A155" t="s">
        <v>37</v>
      </c>
      <c r="B155" t="s">
        <v>151</v>
      </c>
      <c r="C155">
        <v>150</v>
      </c>
      <c r="D155">
        <v>10000</v>
      </c>
      <c r="E155">
        <f t="shared" si="2"/>
        <v>1500000</v>
      </c>
    </row>
    <row r="156" spans="1:5" hidden="1" x14ac:dyDescent="0.3">
      <c r="A156" t="s">
        <v>40</v>
      </c>
      <c r="B156" t="s">
        <v>4</v>
      </c>
      <c r="C156">
        <v>0</v>
      </c>
      <c r="E156">
        <f t="shared" si="2"/>
        <v>0</v>
      </c>
    </row>
    <row r="157" spans="1:5" x14ac:dyDescent="0.3">
      <c r="A157" t="s">
        <v>41</v>
      </c>
      <c r="B157" t="s">
        <v>4</v>
      </c>
      <c r="C157">
        <v>500</v>
      </c>
      <c r="D157">
        <v>28600</v>
      </c>
      <c r="E157">
        <f t="shared" si="2"/>
        <v>14300000</v>
      </c>
    </row>
    <row r="158" spans="1:5" hidden="1" x14ac:dyDescent="0.3">
      <c r="A158" t="s">
        <v>124</v>
      </c>
      <c r="B158" t="s">
        <v>4</v>
      </c>
      <c r="C158">
        <v>0</v>
      </c>
      <c r="E158">
        <f t="shared" si="2"/>
        <v>0</v>
      </c>
    </row>
    <row r="159" spans="1:5" hidden="1" x14ac:dyDescent="0.3">
      <c r="A159" t="s">
        <v>42</v>
      </c>
      <c r="B159" t="s">
        <v>4</v>
      </c>
      <c r="C159">
        <v>0</v>
      </c>
      <c r="E159">
        <f t="shared" si="2"/>
        <v>0</v>
      </c>
    </row>
    <row r="160" spans="1:5" hidden="1" x14ac:dyDescent="0.3">
      <c r="A160" t="s">
        <v>43</v>
      </c>
      <c r="B160" t="s">
        <v>4</v>
      </c>
      <c r="C160">
        <v>40</v>
      </c>
      <c r="D160">
        <v>37000</v>
      </c>
      <c r="E160">
        <f t="shared" si="2"/>
        <v>1480000</v>
      </c>
    </row>
    <row r="161" spans="1:5" hidden="1" x14ac:dyDescent="0.3">
      <c r="A161" t="s">
        <v>44</v>
      </c>
      <c r="B161" t="s">
        <v>4</v>
      </c>
      <c r="C161">
        <v>20</v>
      </c>
      <c r="D161">
        <v>17000</v>
      </c>
      <c r="E161">
        <f t="shared" si="2"/>
        <v>340000</v>
      </c>
    </row>
    <row r="162" spans="1:5" hidden="1" x14ac:dyDescent="0.3">
      <c r="A162" t="s">
        <v>45</v>
      </c>
      <c r="B162" t="s">
        <v>4</v>
      </c>
      <c r="C162">
        <v>20</v>
      </c>
      <c r="D162">
        <v>26000</v>
      </c>
      <c r="E162">
        <f t="shared" si="2"/>
        <v>520000</v>
      </c>
    </row>
    <row r="163" spans="1:5" hidden="1" x14ac:dyDescent="0.3">
      <c r="A163" t="s">
        <v>47</v>
      </c>
      <c r="B163" t="s">
        <v>4</v>
      </c>
      <c r="C163">
        <v>0</v>
      </c>
      <c r="E163">
        <f t="shared" si="2"/>
        <v>0</v>
      </c>
    </row>
    <row r="164" spans="1:5" hidden="1" x14ac:dyDescent="0.3">
      <c r="E164">
        <f>SUM(E124:E162)</f>
        <v>56528000</v>
      </c>
    </row>
    <row r="165" spans="1:5" hidden="1" x14ac:dyDescent="0.3">
      <c r="E165">
        <f>SUM(E164,E121)</f>
        <v>208794000</v>
      </c>
    </row>
  </sheetData>
  <autoFilter ref="A2:E165" xr:uid="{00000000-0009-0000-0000-00000F000000}">
    <filterColumn colId="0">
      <filters>
        <filter val="Hạt Dẻ Ngố"/>
      </filters>
    </filterColumn>
    <filterColumn colId="2">
      <filters>
        <filter val="0.5"/>
        <filter val="1000"/>
        <filter val="11"/>
        <filter val="110"/>
        <filter val="1118"/>
        <filter val="12"/>
        <filter val="1200"/>
        <filter val="130"/>
        <filter val="140"/>
        <filter val="15"/>
        <filter val="150"/>
        <filter val="16"/>
        <filter val="160"/>
        <filter val="1840"/>
        <filter val="20"/>
        <filter val="200"/>
        <filter val="240"/>
        <filter val="242"/>
        <filter val="270"/>
        <filter val="280"/>
        <filter val="3"/>
        <filter val="30"/>
        <filter val="3310"/>
        <filter val="370"/>
        <filter val="380"/>
        <filter val="4"/>
        <filter val="40"/>
        <filter val="5"/>
        <filter val="50"/>
        <filter val="500"/>
        <filter val="550"/>
        <filter val="570"/>
        <filter val="6"/>
        <filter val="60"/>
        <filter val="66"/>
        <filter val="7"/>
        <filter val="70"/>
        <filter val="80"/>
        <filter val="85"/>
        <filter val="90"/>
        <filter val="960"/>
        <filter val="Tồn_x000a_ĐL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E200"/>
  <sheetViews>
    <sheetView topLeftCell="A121" workbookViewId="0">
      <selection activeCell="E200" sqref="E200"/>
    </sheetView>
  </sheetViews>
  <sheetFormatPr defaultRowHeight="14.4" x14ac:dyDescent="0.3"/>
  <cols>
    <col min="1" max="1" width="27.109375" customWidth="1"/>
    <col min="5" max="5" width="16.77734375" customWidth="1"/>
  </cols>
  <sheetData>
    <row r="1" spans="1:5" x14ac:dyDescent="0.3">
      <c r="A1" t="s">
        <v>205</v>
      </c>
    </row>
    <row r="2" spans="1:5" x14ac:dyDescent="0.3">
      <c r="A2" t="s">
        <v>0</v>
      </c>
      <c r="B2" t="s">
        <v>1</v>
      </c>
      <c r="C2" t="s">
        <v>2</v>
      </c>
      <c r="D2" t="s">
        <v>137</v>
      </c>
      <c r="E2" t="s">
        <v>138</v>
      </c>
    </row>
    <row r="3" spans="1:5" x14ac:dyDescent="0.3">
      <c r="A3" t="s">
        <v>3</v>
      </c>
      <c r="B3" t="s">
        <v>4</v>
      </c>
      <c r="C3">
        <v>56</v>
      </c>
      <c r="D3">
        <v>30000</v>
      </c>
      <c r="E3">
        <f>C3*D3</f>
        <v>1680000</v>
      </c>
    </row>
    <row r="4" spans="1:5" x14ac:dyDescent="0.3">
      <c r="A4" t="s">
        <v>5</v>
      </c>
      <c r="B4" t="s">
        <v>4</v>
      </c>
      <c r="C4">
        <v>115</v>
      </c>
      <c r="D4">
        <v>17000</v>
      </c>
      <c r="E4">
        <f t="shared" ref="E4:E67" si="0">C4*D4</f>
        <v>1955000</v>
      </c>
    </row>
    <row r="5" spans="1:5" x14ac:dyDescent="0.3">
      <c r="A5" t="s">
        <v>6</v>
      </c>
      <c r="B5" t="s">
        <v>4</v>
      </c>
      <c r="C5">
        <v>949</v>
      </c>
      <c r="D5">
        <v>11000</v>
      </c>
      <c r="E5">
        <f t="shared" si="0"/>
        <v>10439000</v>
      </c>
    </row>
    <row r="6" spans="1:5" hidden="1" x14ac:dyDescent="0.3">
      <c r="A6" t="s">
        <v>7</v>
      </c>
      <c r="B6" t="s">
        <v>4</v>
      </c>
      <c r="C6">
        <v>0</v>
      </c>
      <c r="E6">
        <f t="shared" si="0"/>
        <v>0</v>
      </c>
    </row>
    <row r="7" spans="1:5" hidden="1" x14ac:dyDescent="0.3">
      <c r="A7" t="s">
        <v>7</v>
      </c>
      <c r="B7" t="s">
        <v>84</v>
      </c>
      <c r="C7">
        <v>0</v>
      </c>
      <c r="E7">
        <f t="shared" si="0"/>
        <v>0</v>
      </c>
    </row>
    <row r="8" spans="1:5" x14ac:dyDescent="0.3">
      <c r="A8" t="s">
        <v>85</v>
      </c>
      <c r="B8" t="s">
        <v>4</v>
      </c>
      <c r="C8">
        <v>10</v>
      </c>
      <c r="D8">
        <v>13000</v>
      </c>
      <c r="E8">
        <f t="shared" si="0"/>
        <v>130000</v>
      </c>
    </row>
    <row r="9" spans="1:5" x14ac:dyDescent="0.3">
      <c r="A9" t="s">
        <v>8</v>
      </c>
      <c r="B9" t="s">
        <v>4</v>
      </c>
      <c r="C9">
        <v>530</v>
      </c>
      <c r="D9">
        <v>5300</v>
      </c>
      <c r="E9">
        <f t="shared" si="0"/>
        <v>2809000</v>
      </c>
    </row>
    <row r="10" spans="1:5" hidden="1" x14ac:dyDescent="0.3">
      <c r="A10" t="s">
        <v>9</v>
      </c>
      <c r="B10" t="s">
        <v>4</v>
      </c>
      <c r="C10">
        <v>0</v>
      </c>
      <c r="E10">
        <f t="shared" si="0"/>
        <v>0</v>
      </c>
    </row>
    <row r="11" spans="1:5" x14ac:dyDescent="0.3">
      <c r="A11" t="s">
        <v>10</v>
      </c>
      <c r="B11" t="s">
        <v>4</v>
      </c>
      <c r="C11">
        <v>150</v>
      </c>
      <c r="D11">
        <v>10000</v>
      </c>
      <c r="E11">
        <f t="shared" si="0"/>
        <v>1500000</v>
      </c>
    </row>
    <row r="12" spans="1:5" hidden="1" x14ac:dyDescent="0.3">
      <c r="A12" t="s">
        <v>10</v>
      </c>
      <c r="B12" t="s">
        <v>84</v>
      </c>
      <c r="C12">
        <v>0</v>
      </c>
      <c r="E12">
        <f t="shared" si="0"/>
        <v>0</v>
      </c>
    </row>
    <row r="13" spans="1:5" x14ac:dyDescent="0.3">
      <c r="A13" t="s">
        <v>11</v>
      </c>
      <c r="B13" t="s">
        <v>4</v>
      </c>
      <c r="C13">
        <v>143</v>
      </c>
      <c r="D13">
        <v>11000</v>
      </c>
      <c r="E13">
        <f t="shared" si="0"/>
        <v>1573000</v>
      </c>
    </row>
    <row r="14" spans="1:5" hidden="1" x14ac:dyDescent="0.3">
      <c r="A14" t="s">
        <v>11</v>
      </c>
      <c r="B14" t="s">
        <v>84</v>
      </c>
      <c r="C14">
        <v>0</v>
      </c>
      <c r="E14">
        <f t="shared" si="0"/>
        <v>0</v>
      </c>
    </row>
    <row r="15" spans="1:5" hidden="1" x14ac:dyDescent="0.3">
      <c r="A15" t="s">
        <v>12</v>
      </c>
      <c r="B15" t="s">
        <v>4</v>
      </c>
      <c r="C15">
        <v>0</v>
      </c>
      <c r="E15">
        <f t="shared" si="0"/>
        <v>0</v>
      </c>
    </row>
    <row r="16" spans="1:5" hidden="1" x14ac:dyDescent="0.3">
      <c r="A16" t="s">
        <v>13</v>
      </c>
      <c r="B16" t="s">
        <v>4</v>
      </c>
      <c r="C16">
        <v>0</v>
      </c>
      <c r="E16">
        <f t="shared" si="0"/>
        <v>0</v>
      </c>
    </row>
    <row r="17" spans="1:5" x14ac:dyDescent="0.3">
      <c r="A17" t="s">
        <v>175</v>
      </c>
      <c r="B17" t="s">
        <v>4</v>
      </c>
      <c r="C17">
        <v>12</v>
      </c>
      <c r="D17">
        <v>33000</v>
      </c>
      <c r="E17">
        <f t="shared" si="0"/>
        <v>396000</v>
      </c>
    </row>
    <row r="18" spans="1:5" hidden="1" x14ac:dyDescent="0.3">
      <c r="A18" t="s">
        <v>59</v>
      </c>
      <c r="B18" t="s">
        <v>4</v>
      </c>
      <c r="C18">
        <v>0</v>
      </c>
      <c r="E18">
        <f t="shared" si="0"/>
        <v>0</v>
      </c>
    </row>
    <row r="19" spans="1:5" hidden="1" x14ac:dyDescent="0.3">
      <c r="A19" t="s">
        <v>60</v>
      </c>
      <c r="B19" t="s">
        <v>4</v>
      </c>
      <c r="C19">
        <v>0</v>
      </c>
      <c r="E19">
        <f t="shared" si="0"/>
        <v>0</v>
      </c>
    </row>
    <row r="20" spans="1:5" hidden="1" x14ac:dyDescent="0.3">
      <c r="A20" t="s">
        <v>60</v>
      </c>
      <c r="B20" t="s">
        <v>50</v>
      </c>
      <c r="C20">
        <v>0</v>
      </c>
      <c r="E20">
        <f t="shared" si="0"/>
        <v>0</v>
      </c>
    </row>
    <row r="21" spans="1:5" x14ac:dyDescent="0.3">
      <c r="A21" t="s">
        <v>15</v>
      </c>
      <c r="B21" t="s">
        <v>4</v>
      </c>
      <c r="C21">
        <v>773</v>
      </c>
      <c r="D21">
        <v>24000</v>
      </c>
      <c r="E21">
        <f t="shared" si="0"/>
        <v>18552000</v>
      </c>
    </row>
    <row r="22" spans="1:5" hidden="1" x14ac:dyDescent="0.3">
      <c r="A22" t="s">
        <v>15</v>
      </c>
      <c r="B22" t="s">
        <v>50</v>
      </c>
      <c r="C22">
        <v>0</v>
      </c>
      <c r="E22">
        <f t="shared" si="0"/>
        <v>0</v>
      </c>
    </row>
    <row r="23" spans="1:5" hidden="1" x14ac:dyDescent="0.3">
      <c r="A23" t="s">
        <v>15</v>
      </c>
      <c r="B23" t="s">
        <v>164</v>
      </c>
      <c r="C23">
        <v>0</v>
      </c>
      <c r="E23">
        <f t="shared" si="0"/>
        <v>0</v>
      </c>
    </row>
    <row r="24" spans="1:5" hidden="1" x14ac:dyDescent="0.3">
      <c r="A24" t="s">
        <v>16</v>
      </c>
      <c r="B24" t="s">
        <v>4</v>
      </c>
      <c r="C24">
        <v>0</v>
      </c>
      <c r="E24">
        <f t="shared" si="0"/>
        <v>0</v>
      </c>
    </row>
    <row r="25" spans="1:5" x14ac:dyDescent="0.3">
      <c r="A25" t="s">
        <v>16</v>
      </c>
      <c r="B25" t="s">
        <v>165</v>
      </c>
      <c r="C25">
        <v>114</v>
      </c>
      <c r="D25">
        <v>10500</v>
      </c>
      <c r="E25">
        <f t="shared" si="0"/>
        <v>1197000</v>
      </c>
    </row>
    <row r="26" spans="1:5" x14ac:dyDescent="0.3">
      <c r="A26" t="s">
        <v>17</v>
      </c>
      <c r="B26" t="s">
        <v>203</v>
      </c>
      <c r="C26">
        <v>19</v>
      </c>
      <c r="D26">
        <v>16500</v>
      </c>
      <c r="E26">
        <f t="shared" si="0"/>
        <v>313500</v>
      </c>
    </row>
    <row r="27" spans="1:5" x14ac:dyDescent="0.3">
      <c r="A27" t="s">
        <v>17</v>
      </c>
      <c r="B27" t="s">
        <v>147</v>
      </c>
      <c r="C27">
        <v>87</v>
      </c>
      <c r="D27">
        <v>9900</v>
      </c>
      <c r="E27">
        <f t="shared" si="0"/>
        <v>861300</v>
      </c>
    </row>
    <row r="28" spans="1:5" x14ac:dyDescent="0.3">
      <c r="A28" t="s">
        <v>89</v>
      </c>
      <c r="B28" t="s">
        <v>53</v>
      </c>
      <c r="C28">
        <v>10</v>
      </c>
      <c r="D28">
        <v>15000</v>
      </c>
      <c r="E28">
        <f t="shared" si="0"/>
        <v>150000</v>
      </c>
    </row>
    <row r="29" spans="1:5" x14ac:dyDescent="0.3">
      <c r="A29" t="s">
        <v>90</v>
      </c>
      <c r="B29" t="s">
        <v>4</v>
      </c>
      <c r="C29">
        <v>10.5</v>
      </c>
      <c r="D29">
        <v>34000</v>
      </c>
      <c r="E29">
        <f t="shared" si="0"/>
        <v>357000</v>
      </c>
    </row>
    <row r="30" spans="1:5" hidden="1" x14ac:dyDescent="0.3">
      <c r="A30" t="s">
        <v>90</v>
      </c>
      <c r="B30" t="s">
        <v>147</v>
      </c>
      <c r="C30">
        <v>0</v>
      </c>
      <c r="E30">
        <f t="shared" si="0"/>
        <v>0</v>
      </c>
    </row>
    <row r="31" spans="1:5" hidden="1" x14ac:dyDescent="0.3">
      <c r="A31" t="s">
        <v>90</v>
      </c>
      <c r="B31" t="s">
        <v>148</v>
      </c>
      <c r="C31">
        <v>0</v>
      </c>
      <c r="E31">
        <f t="shared" si="0"/>
        <v>0</v>
      </c>
    </row>
    <row r="32" spans="1:5" x14ac:dyDescent="0.3">
      <c r="A32" t="s">
        <v>18</v>
      </c>
      <c r="B32" t="s">
        <v>4</v>
      </c>
      <c r="C32">
        <v>620</v>
      </c>
      <c r="D32">
        <v>15500</v>
      </c>
      <c r="E32">
        <f t="shared" si="0"/>
        <v>9610000</v>
      </c>
    </row>
    <row r="33" spans="1:5" hidden="1" x14ac:dyDescent="0.3">
      <c r="A33" t="s">
        <v>18</v>
      </c>
      <c r="B33" t="s">
        <v>50</v>
      </c>
      <c r="C33">
        <v>0</v>
      </c>
      <c r="E33">
        <f t="shared" si="0"/>
        <v>0</v>
      </c>
    </row>
    <row r="34" spans="1:5" hidden="1" x14ac:dyDescent="0.3">
      <c r="A34" t="s">
        <v>92</v>
      </c>
      <c r="B34" t="s">
        <v>31</v>
      </c>
      <c r="C34">
        <v>0</v>
      </c>
      <c r="E34">
        <f t="shared" si="0"/>
        <v>0</v>
      </c>
    </row>
    <row r="35" spans="1:5" x14ac:dyDescent="0.3">
      <c r="A35" t="s">
        <v>49</v>
      </c>
      <c r="B35" t="s">
        <v>4</v>
      </c>
      <c r="C35">
        <v>20</v>
      </c>
      <c r="D35">
        <v>15000</v>
      </c>
      <c r="E35">
        <f t="shared" si="0"/>
        <v>300000</v>
      </c>
    </row>
    <row r="36" spans="1:5" hidden="1" x14ac:dyDescent="0.3">
      <c r="A36" t="s">
        <v>49</v>
      </c>
      <c r="B36" t="s">
        <v>31</v>
      </c>
      <c r="C36">
        <v>0</v>
      </c>
      <c r="E36">
        <f t="shared" si="0"/>
        <v>0</v>
      </c>
    </row>
    <row r="37" spans="1:5" hidden="1" x14ac:dyDescent="0.3">
      <c r="A37" t="s">
        <v>19</v>
      </c>
      <c r="B37" t="s">
        <v>4</v>
      </c>
      <c r="C37">
        <v>0</v>
      </c>
      <c r="E37">
        <f t="shared" si="0"/>
        <v>0</v>
      </c>
    </row>
    <row r="38" spans="1:5" hidden="1" x14ac:dyDescent="0.3">
      <c r="A38" t="s">
        <v>19</v>
      </c>
      <c r="B38" t="s">
        <v>50</v>
      </c>
      <c r="C38">
        <v>0</v>
      </c>
      <c r="E38">
        <f t="shared" si="0"/>
        <v>0</v>
      </c>
    </row>
    <row r="39" spans="1:5" hidden="1" x14ac:dyDescent="0.3">
      <c r="A39" t="s">
        <v>20</v>
      </c>
      <c r="B39" t="s">
        <v>4</v>
      </c>
      <c r="C39">
        <v>0</v>
      </c>
      <c r="E39">
        <f t="shared" si="0"/>
        <v>0</v>
      </c>
    </row>
    <row r="40" spans="1:5" x14ac:dyDescent="0.3">
      <c r="A40" t="s">
        <v>21</v>
      </c>
      <c r="B40" t="s">
        <v>4</v>
      </c>
      <c r="C40">
        <v>118</v>
      </c>
      <c r="D40">
        <v>10000</v>
      </c>
      <c r="E40">
        <f t="shared" si="0"/>
        <v>1180000</v>
      </c>
    </row>
    <row r="41" spans="1:5" hidden="1" x14ac:dyDescent="0.3">
      <c r="A41" t="s">
        <v>21</v>
      </c>
      <c r="B41" t="s">
        <v>149</v>
      </c>
      <c r="C41">
        <v>0</v>
      </c>
      <c r="E41">
        <f t="shared" si="0"/>
        <v>0</v>
      </c>
    </row>
    <row r="42" spans="1:5" hidden="1" x14ac:dyDescent="0.3">
      <c r="A42" t="s">
        <v>167</v>
      </c>
      <c r="B42" t="s">
        <v>53</v>
      </c>
      <c r="C42">
        <v>0</v>
      </c>
      <c r="E42">
        <f t="shared" si="0"/>
        <v>0</v>
      </c>
    </row>
    <row r="43" spans="1:5" hidden="1" x14ac:dyDescent="0.3">
      <c r="A43" t="s">
        <v>132</v>
      </c>
      <c r="B43" t="s">
        <v>31</v>
      </c>
      <c r="C43">
        <v>0</v>
      </c>
      <c r="E43">
        <f t="shared" si="0"/>
        <v>0</v>
      </c>
    </row>
    <row r="44" spans="1:5" hidden="1" x14ac:dyDescent="0.3">
      <c r="A44" t="s">
        <v>62</v>
      </c>
      <c r="B44" t="s">
        <v>4</v>
      </c>
      <c r="C44">
        <v>0</v>
      </c>
      <c r="E44">
        <f t="shared" si="0"/>
        <v>0</v>
      </c>
    </row>
    <row r="45" spans="1:5" x14ac:dyDescent="0.3">
      <c r="A45" t="s">
        <v>62</v>
      </c>
      <c r="B45" t="s">
        <v>31</v>
      </c>
      <c r="C45">
        <v>14</v>
      </c>
      <c r="D45">
        <v>12000</v>
      </c>
      <c r="E45">
        <f t="shared" si="0"/>
        <v>168000</v>
      </c>
    </row>
    <row r="46" spans="1:5" hidden="1" x14ac:dyDescent="0.3">
      <c r="A46" t="s">
        <v>63</v>
      </c>
      <c r="B46" t="s">
        <v>4</v>
      </c>
      <c r="C46">
        <v>0</v>
      </c>
      <c r="E46">
        <f t="shared" si="0"/>
        <v>0</v>
      </c>
    </row>
    <row r="47" spans="1:5" hidden="1" x14ac:dyDescent="0.3">
      <c r="A47" t="s">
        <v>63</v>
      </c>
      <c r="B47" t="s">
        <v>31</v>
      </c>
      <c r="C47">
        <v>0</v>
      </c>
      <c r="E47">
        <f t="shared" si="0"/>
        <v>0</v>
      </c>
    </row>
    <row r="48" spans="1:5" hidden="1" x14ac:dyDescent="0.3">
      <c r="A48" t="s">
        <v>64</v>
      </c>
      <c r="B48" t="s">
        <v>4</v>
      </c>
      <c r="C48">
        <v>0</v>
      </c>
      <c r="E48">
        <f t="shared" si="0"/>
        <v>0</v>
      </c>
    </row>
    <row r="49" spans="1:5" hidden="1" x14ac:dyDescent="0.3">
      <c r="A49" t="s">
        <v>64</v>
      </c>
      <c r="B49" t="s">
        <v>31</v>
      </c>
      <c r="C49">
        <v>0</v>
      </c>
      <c r="E49">
        <f t="shared" si="0"/>
        <v>0</v>
      </c>
    </row>
    <row r="50" spans="1:5" hidden="1" x14ac:dyDescent="0.3">
      <c r="A50" t="s">
        <v>64</v>
      </c>
      <c r="B50" t="s">
        <v>65</v>
      </c>
      <c r="C50">
        <v>0</v>
      </c>
      <c r="E50">
        <f t="shared" si="0"/>
        <v>0</v>
      </c>
    </row>
    <row r="51" spans="1:5" hidden="1" x14ac:dyDescent="0.3">
      <c r="A51" t="s">
        <v>176</v>
      </c>
      <c r="B51" t="s">
        <v>31</v>
      </c>
      <c r="C51">
        <v>0</v>
      </c>
      <c r="E51">
        <f t="shared" si="0"/>
        <v>0</v>
      </c>
    </row>
    <row r="52" spans="1:5" x14ac:dyDescent="0.3">
      <c r="A52" t="s">
        <v>22</v>
      </c>
      <c r="B52" t="s">
        <v>4</v>
      </c>
      <c r="C52">
        <v>1190</v>
      </c>
      <c r="D52">
        <v>7500</v>
      </c>
      <c r="E52">
        <f t="shared" si="0"/>
        <v>8925000</v>
      </c>
    </row>
    <row r="53" spans="1:5" hidden="1" x14ac:dyDescent="0.3">
      <c r="A53" t="s">
        <v>24</v>
      </c>
      <c r="B53" t="s">
        <v>66</v>
      </c>
      <c r="C53">
        <v>0</v>
      </c>
      <c r="E53">
        <f t="shared" si="0"/>
        <v>0</v>
      </c>
    </row>
    <row r="54" spans="1:5" x14ac:dyDescent="0.3">
      <c r="A54" t="s">
        <v>24</v>
      </c>
      <c r="B54" t="s">
        <v>4</v>
      </c>
      <c r="C54">
        <v>180</v>
      </c>
      <c r="D54">
        <v>10000</v>
      </c>
      <c r="E54">
        <f t="shared" si="0"/>
        <v>1800000</v>
      </c>
    </row>
    <row r="55" spans="1:5" hidden="1" x14ac:dyDescent="0.3">
      <c r="A55" t="s">
        <v>94</v>
      </c>
      <c r="B55" t="s">
        <v>50</v>
      </c>
      <c r="C55">
        <v>0</v>
      </c>
      <c r="E55">
        <f t="shared" si="0"/>
        <v>0</v>
      </c>
    </row>
    <row r="56" spans="1:5" hidden="1" x14ac:dyDescent="0.3">
      <c r="A56" t="s">
        <v>26</v>
      </c>
      <c r="B56" t="s">
        <v>4</v>
      </c>
      <c r="C56">
        <v>0</v>
      </c>
      <c r="E56">
        <f t="shared" si="0"/>
        <v>0</v>
      </c>
    </row>
    <row r="57" spans="1:5" x14ac:dyDescent="0.3">
      <c r="A57" t="s">
        <v>51</v>
      </c>
      <c r="B57" t="s">
        <v>53</v>
      </c>
      <c r="C57">
        <v>13</v>
      </c>
      <c r="D57">
        <v>14000</v>
      </c>
      <c r="E57">
        <f t="shared" si="0"/>
        <v>182000</v>
      </c>
    </row>
    <row r="58" spans="1:5" x14ac:dyDescent="0.3">
      <c r="A58" t="s">
        <v>27</v>
      </c>
      <c r="B58" t="s">
        <v>4</v>
      </c>
      <c r="C58">
        <v>115</v>
      </c>
      <c r="D58">
        <v>6500</v>
      </c>
      <c r="E58">
        <f t="shared" si="0"/>
        <v>747500</v>
      </c>
    </row>
    <row r="59" spans="1:5" x14ac:dyDescent="0.3">
      <c r="A59" t="s">
        <v>28</v>
      </c>
      <c r="B59" t="s">
        <v>4</v>
      </c>
      <c r="C59">
        <v>67</v>
      </c>
      <c r="D59">
        <v>18000</v>
      </c>
      <c r="E59">
        <f t="shared" si="0"/>
        <v>1206000</v>
      </c>
    </row>
    <row r="60" spans="1:5" hidden="1" x14ac:dyDescent="0.3">
      <c r="A60" t="s">
        <v>28</v>
      </c>
      <c r="B60" t="s">
        <v>31</v>
      </c>
      <c r="C60">
        <v>0</v>
      </c>
      <c r="E60">
        <f t="shared" si="0"/>
        <v>0</v>
      </c>
    </row>
    <row r="61" spans="1:5" hidden="1" x14ac:dyDescent="0.3">
      <c r="A61" t="s">
        <v>54</v>
      </c>
      <c r="B61" t="s">
        <v>4</v>
      </c>
      <c r="C61">
        <v>0</v>
      </c>
      <c r="E61">
        <f t="shared" si="0"/>
        <v>0</v>
      </c>
    </row>
    <row r="62" spans="1:5" x14ac:dyDescent="0.3">
      <c r="A62" t="s">
        <v>29</v>
      </c>
      <c r="B62" t="s">
        <v>4</v>
      </c>
      <c r="C62">
        <v>227</v>
      </c>
      <c r="D62">
        <v>21000</v>
      </c>
      <c r="E62">
        <f t="shared" si="0"/>
        <v>4767000</v>
      </c>
    </row>
    <row r="63" spans="1:5" hidden="1" x14ac:dyDescent="0.3">
      <c r="A63" t="s">
        <v>29</v>
      </c>
      <c r="B63" t="s">
        <v>150</v>
      </c>
      <c r="C63">
        <v>0</v>
      </c>
      <c r="E63">
        <f t="shared" si="0"/>
        <v>0</v>
      </c>
    </row>
    <row r="64" spans="1:5" x14ac:dyDescent="0.3">
      <c r="A64" t="s">
        <v>55</v>
      </c>
      <c r="B64" t="s">
        <v>4</v>
      </c>
      <c r="C64">
        <v>5</v>
      </c>
      <c r="D64">
        <v>20000</v>
      </c>
      <c r="E64">
        <f t="shared" si="0"/>
        <v>100000</v>
      </c>
    </row>
    <row r="65" spans="1:5" hidden="1" x14ac:dyDescent="0.3">
      <c r="A65" t="s">
        <v>55</v>
      </c>
      <c r="B65" t="s">
        <v>31</v>
      </c>
      <c r="C65">
        <v>0</v>
      </c>
      <c r="E65">
        <f t="shared" si="0"/>
        <v>0</v>
      </c>
    </row>
    <row r="66" spans="1:5" x14ac:dyDescent="0.3">
      <c r="A66" t="s">
        <v>56</v>
      </c>
      <c r="B66" t="s">
        <v>31</v>
      </c>
      <c r="C66">
        <v>1408</v>
      </c>
      <c r="D66">
        <v>4500</v>
      </c>
      <c r="E66">
        <f t="shared" si="0"/>
        <v>6336000</v>
      </c>
    </row>
    <row r="67" spans="1:5" x14ac:dyDescent="0.3">
      <c r="A67" t="s">
        <v>117</v>
      </c>
      <c r="B67" t="s">
        <v>4</v>
      </c>
      <c r="C67">
        <v>790</v>
      </c>
      <c r="D67">
        <v>25000</v>
      </c>
      <c r="E67">
        <f t="shared" si="0"/>
        <v>19750000</v>
      </c>
    </row>
    <row r="68" spans="1:5" x14ac:dyDescent="0.3">
      <c r="A68" t="s">
        <v>57</v>
      </c>
      <c r="B68" t="s">
        <v>4</v>
      </c>
      <c r="C68">
        <v>983</v>
      </c>
      <c r="D68">
        <v>25000</v>
      </c>
      <c r="E68">
        <f t="shared" ref="E68:E131" si="1">C68*D68</f>
        <v>24575000</v>
      </c>
    </row>
    <row r="69" spans="1:5" hidden="1" x14ac:dyDescent="0.3">
      <c r="A69" t="s">
        <v>57</v>
      </c>
      <c r="B69" t="s">
        <v>31</v>
      </c>
      <c r="C69">
        <v>0</v>
      </c>
      <c r="E69">
        <f t="shared" si="1"/>
        <v>0</v>
      </c>
    </row>
    <row r="70" spans="1:5" x14ac:dyDescent="0.3">
      <c r="A70" t="s">
        <v>32</v>
      </c>
      <c r="B70" t="s">
        <v>4</v>
      </c>
      <c r="C70">
        <v>260</v>
      </c>
      <c r="D70">
        <v>18000</v>
      </c>
      <c r="E70">
        <f t="shared" si="1"/>
        <v>4680000</v>
      </c>
    </row>
    <row r="71" spans="1:5" hidden="1" x14ac:dyDescent="0.3">
      <c r="A71" t="s">
        <v>32</v>
      </c>
      <c r="B71" t="s">
        <v>31</v>
      </c>
      <c r="C71">
        <v>0</v>
      </c>
      <c r="E71">
        <f t="shared" si="1"/>
        <v>0</v>
      </c>
    </row>
    <row r="72" spans="1:5" x14ac:dyDescent="0.3">
      <c r="A72" t="s">
        <v>58</v>
      </c>
      <c r="B72" t="s">
        <v>4</v>
      </c>
      <c r="C72">
        <v>3</v>
      </c>
      <c r="D72">
        <v>26000</v>
      </c>
      <c r="E72">
        <f t="shared" si="1"/>
        <v>78000</v>
      </c>
    </row>
    <row r="73" spans="1:5" hidden="1" x14ac:dyDescent="0.3">
      <c r="A73" t="s">
        <v>118</v>
      </c>
      <c r="B73" t="s">
        <v>4</v>
      </c>
      <c r="C73">
        <v>0</v>
      </c>
      <c r="E73">
        <f t="shared" si="1"/>
        <v>0</v>
      </c>
    </row>
    <row r="74" spans="1:5" hidden="1" x14ac:dyDescent="0.3">
      <c r="A74" t="s">
        <v>33</v>
      </c>
      <c r="B74" t="s">
        <v>31</v>
      </c>
      <c r="C74">
        <v>0</v>
      </c>
      <c r="E74">
        <f t="shared" si="1"/>
        <v>0</v>
      </c>
    </row>
    <row r="75" spans="1:5" hidden="1" x14ac:dyDescent="0.3">
      <c r="A75" t="s">
        <v>156</v>
      </c>
      <c r="B75" t="s">
        <v>4</v>
      </c>
      <c r="C75">
        <v>0</v>
      </c>
      <c r="E75">
        <f t="shared" si="1"/>
        <v>0</v>
      </c>
    </row>
    <row r="76" spans="1:5" x14ac:dyDescent="0.3">
      <c r="A76" t="s">
        <v>34</v>
      </c>
      <c r="B76" t="s">
        <v>4</v>
      </c>
      <c r="C76">
        <v>50</v>
      </c>
      <c r="D76">
        <v>15000</v>
      </c>
      <c r="E76">
        <f t="shared" si="1"/>
        <v>750000</v>
      </c>
    </row>
    <row r="77" spans="1:5" hidden="1" x14ac:dyDescent="0.3">
      <c r="A77" t="s">
        <v>34</v>
      </c>
      <c r="B77" t="s">
        <v>31</v>
      </c>
      <c r="C77">
        <v>0</v>
      </c>
      <c r="E77">
        <f t="shared" si="1"/>
        <v>0</v>
      </c>
    </row>
    <row r="78" spans="1:5" x14ac:dyDescent="0.3">
      <c r="A78" t="s">
        <v>142</v>
      </c>
      <c r="B78" t="s">
        <v>31</v>
      </c>
      <c r="C78">
        <v>220</v>
      </c>
      <c r="D78">
        <v>6000</v>
      </c>
      <c r="E78">
        <f t="shared" si="1"/>
        <v>1320000</v>
      </c>
    </row>
    <row r="79" spans="1:5" x14ac:dyDescent="0.3">
      <c r="A79" t="s">
        <v>35</v>
      </c>
      <c r="B79" t="s">
        <v>4</v>
      </c>
      <c r="C79">
        <v>100</v>
      </c>
      <c r="D79">
        <v>18000</v>
      </c>
      <c r="E79">
        <f t="shared" si="1"/>
        <v>1800000</v>
      </c>
    </row>
    <row r="80" spans="1:5" hidden="1" x14ac:dyDescent="0.3">
      <c r="A80" t="s">
        <v>123</v>
      </c>
      <c r="B80" t="s">
        <v>31</v>
      </c>
      <c r="C80">
        <v>0</v>
      </c>
      <c r="E80">
        <f t="shared" si="1"/>
        <v>0</v>
      </c>
    </row>
    <row r="81" spans="1:5" hidden="1" x14ac:dyDescent="0.3">
      <c r="A81" t="s">
        <v>37</v>
      </c>
      <c r="B81" t="s">
        <v>4</v>
      </c>
      <c r="C81">
        <v>0</v>
      </c>
      <c r="E81">
        <f t="shared" si="1"/>
        <v>0</v>
      </c>
    </row>
    <row r="82" spans="1:5" hidden="1" x14ac:dyDescent="0.3">
      <c r="A82" t="s">
        <v>37</v>
      </c>
      <c r="B82" t="s">
        <v>150</v>
      </c>
      <c r="C82">
        <v>0</v>
      </c>
      <c r="E82">
        <f t="shared" si="1"/>
        <v>0</v>
      </c>
    </row>
    <row r="83" spans="1:5" x14ac:dyDescent="0.3">
      <c r="A83" t="s">
        <v>37</v>
      </c>
      <c r="B83" t="s">
        <v>151</v>
      </c>
      <c r="C83">
        <v>20</v>
      </c>
      <c r="D83">
        <v>10000</v>
      </c>
      <c r="E83">
        <f t="shared" si="1"/>
        <v>200000</v>
      </c>
    </row>
    <row r="84" spans="1:5" hidden="1" x14ac:dyDescent="0.3">
      <c r="A84" t="s">
        <v>96</v>
      </c>
      <c r="B84" t="s">
        <v>4</v>
      </c>
      <c r="C84">
        <v>0</v>
      </c>
      <c r="E84">
        <f t="shared" si="1"/>
        <v>0</v>
      </c>
    </row>
    <row r="85" spans="1:5" hidden="1" x14ac:dyDescent="0.3">
      <c r="A85" t="s">
        <v>96</v>
      </c>
      <c r="B85" t="s">
        <v>50</v>
      </c>
      <c r="C85">
        <v>0</v>
      </c>
      <c r="E85">
        <f t="shared" si="1"/>
        <v>0</v>
      </c>
    </row>
    <row r="86" spans="1:5" hidden="1" x14ac:dyDescent="0.3">
      <c r="A86" t="s">
        <v>127</v>
      </c>
      <c r="B86" t="s">
        <v>4</v>
      </c>
      <c r="C86">
        <v>0</v>
      </c>
      <c r="E86">
        <f t="shared" si="1"/>
        <v>0</v>
      </c>
    </row>
    <row r="87" spans="1:5" hidden="1" x14ac:dyDescent="0.3">
      <c r="A87" t="s">
        <v>97</v>
      </c>
      <c r="B87" t="s">
        <v>4</v>
      </c>
      <c r="C87">
        <v>0</v>
      </c>
      <c r="E87">
        <f t="shared" si="1"/>
        <v>0</v>
      </c>
    </row>
    <row r="88" spans="1:5" hidden="1" x14ac:dyDescent="0.3">
      <c r="A88" t="s">
        <v>105</v>
      </c>
      <c r="B88" t="s">
        <v>4</v>
      </c>
      <c r="C88">
        <v>0</v>
      </c>
      <c r="E88">
        <f t="shared" si="1"/>
        <v>0</v>
      </c>
    </row>
    <row r="89" spans="1:5" hidden="1" x14ac:dyDescent="0.3">
      <c r="A89" t="s">
        <v>113</v>
      </c>
      <c r="B89" t="s">
        <v>31</v>
      </c>
      <c r="C89">
        <v>0</v>
      </c>
      <c r="E89">
        <f t="shared" si="1"/>
        <v>0</v>
      </c>
    </row>
    <row r="90" spans="1:5" x14ac:dyDescent="0.3">
      <c r="A90" t="s">
        <v>39</v>
      </c>
      <c r="B90" t="s">
        <v>4</v>
      </c>
      <c r="C90">
        <v>28</v>
      </c>
      <c r="D90">
        <v>7000</v>
      </c>
      <c r="E90">
        <f t="shared" si="1"/>
        <v>196000</v>
      </c>
    </row>
    <row r="91" spans="1:5" x14ac:dyDescent="0.3">
      <c r="A91" t="s">
        <v>39</v>
      </c>
      <c r="B91" t="s">
        <v>50</v>
      </c>
      <c r="C91">
        <v>794</v>
      </c>
      <c r="D91">
        <v>5000</v>
      </c>
      <c r="E91">
        <f t="shared" si="1"/>
        <v>3970000</v>
      </c>
    </row>
    <row r="92" spans="1:5" hidden="1" x14ac:dyDescent="0.3">
      <c r="A92" t="s">
        <v>99</v>
      </c>
      <c r="B92" t="s">
        <v>4</v>
      </c>
      <c r="C92">
        <v>0</v>
      </c>
      <c r="E92">
        <f t="shared" si="1"/>
        <v>0</v>
      </c>
    </row>
    <row r="93" spans="1:5" hidden="1" x14ac:dyDescent="0.3">
      <c r="A93" t="s">
        <v>99</v>
      </c>
      <c r="B93" t="s">
        <v>31</v>
      </c>
      <c r="C93">
        <v>0</v>
      </c>
      <c r="E93">
        <f t="shared" si="1"/>
        <v>0</v>
      </c>
    </row>
    <row r="94" spans="1:5" x14ac:dyDescent="0.3">
      <c r="A94" t="s">
        <v>100</v>
      </c>
      <c r="B94" t="s">
        <v>4</v>
      </c>
      <c r="C94">
        <v>22</v>
      </c>
      <c r="D94">
        <v>5000</v>
      </c>
      <c r="E94">
        <f t="shared" si="1"/>
        <v>110000</v>
      </c>
    </row>
    <row r="95" spans="1:5" hidden="1" x14ac:dyDescent="0.3">
      <c r="A95" t="s">
        <v>40</v>
      </c>
      <c r="B95" t="s">
        <v>66</v>
      </c>
      <c r="C95">
        <v>0</v>
      </c>
      <c r="E95">
        <f t="shared" si="1"/>
        <v>0</v>
      </c>
    </row>
    <row r="96" spans="1:5" x14ac:dyDescent="0.3">
      <c r="A96" t="s">
        <v>40</v>
      </c>
      <c r="B96" t="s">
        <v>4</v>
      </c>
      <c r="C96">
        <v>50</v>
      </c>
      <c r="D96">
        <v>38000</v>
      </c>
      <c r="E96">
        <f t="shared" si="1"/>
        <v>1900000</v>
      </c>
    </row>
    <row r="97" spans="1:5" x14ac:dyDescent="0.3">
      <c r="A97" t="s">
        <v>41</v>
      </c>
      <c r="B97" t="s">
        <v>4</v>
      </c>
      <c r="C97">
        <v>1500</v>
      </c>
      <c r="D97">
        <v>28600</v>
      </c>
      <c r="E97">
        <f t="shared" si="1"/>
        <v>42900000</v>
      </c>
    </row>
    <row r="98" spans="1:5" hidden="1" x14ac:dyDescent="0.3">
      <c r="A98" t="s">
        <v>124</v>
      </c>
      <c r="B98" t="s">
        <v>4</v>
      </c>
      <c r="C98">
        <v>0</v>
      </c>
      <c r="E98">
        <f t="shared" si="1"/>
        <v>0</v>
      </c>
    </row>
    <row r="99" spans="1:5" x14ac:dyDescent="0.3">
      <c r="A99" t="s">
        <v>121</v>
      </c>
      <c r="B99" t="s">
        <v>53</v>
      </c>
      <c r="C99">
        <v>21</v>
      </c>
      <c r="D99">
        <v>100000</v>
      </c>
      <c r="E99">
        <f t="shared" si="1"/>
        <v>2100000</v>
      </c>
    </row>
    <row r="100" spans="1:5" hidden="1" x14ac:dyDescent="0.3">
      <c r="A100" t="s">
        <v>126</v>
      </c>
      <c r="B100" t="s">
        <v>73</v>
      </c>
      <c r="C100">
        <v>0</v>
      </c>
      <c r="E100">
        <f t="shared" si="1"/>
        <v>0</v>
      </c>
    </row>
    <row r="101" spans="1:5" hidden="1" x14ac:dyDescent="0.3">
      <c r="A101" t="s">
        <v>69</v>
      </c>
      <c r="B101" t="s">
        <v>31</v>
      </c>
      <c r="C101">
        <v>0</v>
      </c>
      <c r="E101">
        <f t="shared" si="1"/>
        <v>0</v>
      </c>
    </row>
    <row r="102" spans="1:5" hidden="1" x14ac:dyDescent="0.3">
      <c r="A102" t="s">
        <v>42</v>
      </c>
      <c r="B102" t="s">
        <v>31</v>
      </c>
      <c r="C102">
        <v>0</v>
      </c>
      <c r="E102">
        <f t="shared" si="1"/>
        <v>0</v>
      </c>
    </row>
    <row r="103" spans="1:5" x14ac:dyDescent="0.3">
      <c r="A103" t="s">
        <v>67</v>
      </c>
      <c r="B103" t="s">
        <v>4</v>
      </c>
      <c r="C103">
        <v>17</v>
      </c>
      <c r="D103">
        <v>15000</v>
      </c>
      <c r="E103">
        <f t="shared" si="1"/>
        <v>255000</v>
      </c>
    </row>
    <row r="104" spans="1:5" hidden="1" x14ac:dyDescent="0.3">
      <c r="A104" t="s">
        <v>141</v>
      </c>
      <c r="B104" t="s">
        <v>31</v>
      </c>
      <c r="C104">
        <v>0</v>
      </c>
      <c r="E104">
        <f t="shared" si="1"/>
        <v>0</v>
      </c>
    </row>
    <row r="105" spans="1:5" hidden="1" x14ac:dyDescent="0.3">
      <c r="A105" t="s">
        <v>68</v>
      </c>
      <c r="B105" t="s">
        <v>31</v>
      </c>
      <c r="C105">
        <v>0</v>
      </c>
      <c r="E105">
        <f t="shared" si="1"/>
        <v>0</v>
      </c>
    </row>
    <row r="106" spans="1:5" hidden="1" x14ac:dyDescent="0.3">
      <c r="A106" t="s">
        <v>70</v>
      </c>
      <c r="B106" t="s">
        <v>71</v>
      </c>
      <c r="C106">
        <v>0</v>
      </c>
      <c r="E106">
        <f t="shared" si="1"/>
        <v>0</v>
      </c>
    </row>
    <row r="107" spans="1:5" hidden="1" x14ac:dyDescent="0.3">
      <c r="A107" t="s">
        <v>125</v>
      </c>
      <c r="B107" t="s">
        <v>4</v>
      </c>
      <c r="C107">
        <v>0</v>
      </c>
      <c r="E107">
        <f t="shared" si="1"/>
        <v>0</v>
      </c>
    </row>
    <row r="108" spans="1:5" hidden="1" x14ac:dyDescent="0.3">
      <c r="A108" t="s">
        <v>114</v>
      </c>
      <c r="B108" t="s">
        <v>31</v>
      </c>
      <c r="C108">
        <v>0</v>
      </c>
      <c r="E108">
        <f t="shared" si="1"/>
        <v>0</v>
      </c>
    </row>
    <row r="109" spans="1:5" hidden="1" x14ac:dyDescent="0.3">
      <c r="A109" t="s">
        <v>116</v>
      </c>
      <c r="B109" t="s">
        <v>4</v>
      </c>
      <c r="C109">
        <v>0</v>
      </c>
      <c r="E109">
        <f t="shared" si="1"/>
        <v>0</v>
      </c>
    </row>
    <row r="110" spans="1:5" hidden="1" x14ac:dyDescent="0.3">
      <c r="A110" t="s">
        <v>116</v>
      </c>
      <c r="B110" t="s">
        <v>50</v>
      </c>
      <c r="C110">
        <v>0</v>
      </c>
      <c r="E110">
        <f t="shared" si="1"/>
        <v>0</v>
      </c>
    </row>
    <row r="111" spans="1:5" hidden="1" x14ac:dyDescent="0.3">
      <c r="A111" t="s">
        <v>101</v>
      </c>
      <c r="B111" t="s">
        <v>53</v>
      </c>
      <c r="C111">
        <v>0</v>
      </c>
      <c r="E111">
        <f t="shared" si="1"/>
        <v>0</v>
      </c>
    </row>
    <row r="112" spans="1:5" x14ac:dyDescent="0.3">
      <c r="A112" t="s">
        <v>101</v>
      </c>
      <c r="B112" t="s">
        <v>4</v>
      </c>
      <c r="C112">
        <v>6</v>
      </c>
      <c r="D112">
        <v>48000</v>
      </c>
      <c r="E112">
        <f t="shared" si="1"/>
        <v>288000</v>
      </c>
    </row>
    <row r="113" spans="1:5" x14ac:dyDescent="0.3">
      <c r="A113" t="s">
        <v>43</v>
      </c>
      <c r="B113" t="s">
        <v>4</v>
      </c>
      <c r="C113">
        <v>55</v>
      </c>
      <c r="D113">
        <v>37000</v>
      </c>
      <c r="E113">
        <f t="shared" si="1"/>
        <v>2035000</v>
      </c>
    </row>
    <row r="114" spans="1:5" hidden="1" x14ac:dyDescent="0.3">
      <c r="A114" t="s">
        <v>43</v>
      </c>
      <c r="B114" t="s">
        <v>84</v>
      </c>
      <c r="C114">
        <v>0</v>
      </c>
      <c r="E114">
        <f t="shared" si="1"/>
        <v>0</v>
      </c>
    </row>
    <row r="115" spans="1:5" x14ac:dyDescent="0.3">
      <c r="A115" t="s">
        <v>136</v>
      </c>
      <c r="B115" t="s">
        <v>4</v>
      </c>
      <c r="C115">
        <v>28</v>
      </c>
      <c r="D115">
        <v>32000</v>
      </c>
      <c r="E115">
        <f t="shared" si="1"/>
        <v>896000</v>
      </c>
    </row>
    <row r="116" spans="1:5" hidden="1" x14ac:dyDescent="0.3">
      <c r="A116" t="s">
        <v>102</v>
      </c>
      <c r="B116" t="s">
        <v>53</v>
      </c>
      <c r="C116">
        <v>0</v>
      </c>
      <c r="E116">
        <f t="shared" si="1"/>
        <v>0</v>
      </c>
    </row>
    <row r="117" spans="1:5" x14ac:dyDescent="0.3">
      <c r="A117" t="s">
        <v>102</v>
      </c>
      <c r="B117" t="s">
        <v>4</v>
      </c>
      <c r="C117">
        <v>6</v>
      </c>
      <c r="D117">
        <v>58000</v>
      </c>
      <c r="E117">
        <f t="shared" si="1"/>
        <v>348000</v>
      </c>
    </row>
    <row r="118" spans="1:5" x14ac:dyDescent="0.3">
      <c r="A118" t="s">
        <v>44</v>
      </c>
      <c r="B118" t="s">
        <v>4</v>
      </c>
      <c r="C118">
        <v>55</v>
      </c>
      <c r="D118">
        <v>18000</v>
      </c>
      <c r="E118">
        <f t="shared" si="1"/>
        <v>990000</v>
      </c>
    </row>
    <row r="119" spans="1:5" hidden="1" x14ac:dyDescent="0.3">
      <c r="A119" t="s">
        <v>44</v>
      </c>
      <c r="B119" t="s">
        <v>84</v>
      </c>
      <c r="C119">
        <v>0</v>
      </c>
      <c r="E119">
        <f t="shared" si="1"/>
        <v>0</v>
      </c>
    </row>
    <row r="120" spans="1:5" x14ac:dyDescent="0.3">
      <c r="A120" t="s">
        <v>143</v>
      </c>
      <c r="B120" t="s">
        <v>4</v>
      </c>
      <c r="C120">
        <v>15</v>
      </c>
      <c r="D120">
        <v>12000</v>
      </c>
      <c r="E120">
        <f t="shared" si="1"/>
        <v>180000</v>
      </c>
    </row>
    <row r="121" spans="1:5" x14ac:dyDescent="0.3">
      <c r="A121" t="s">
        <v>45</v>
      </c>
      <c r="B121" t="s">
        <v>4</v>
      </c>
      <c r="C121">
        <v>30</v>
      </c>
      <c r="D121">
        <v>26000</v>
      </c>
      <c r="E121">
        <f t="shared" si="1"/>
        <v>780000</v>
      </c>
    </row>
    <row r="122" spans="1:5" hidden="1" x14ac:dyDescent="0.3">
      <c r="A122" t="s">
        <v>45</v>
      </c>
      <c r="B122" t="s">
        <v>84</v>
      </c>
      <c r="C122">
        <v>0</v>
      </c>
      <c r="E122">
        <f t="shared" si="1"/>
        <v>0</v>
      </c>
    </row>
    <row r="123" spans="1:5" x14ac:dyDescent="0.3">
      <c r="A123" t="s">
        <v>161</v>
      </c>
      <c r="B123" t="s">
        <v>4</v>
      </c>
      <c r="C123">
        <v>20</v>
      </c>
      <c r="D123">
        <v>21000</v>
      </c>
      <c r="E123">
        <f t="shared" si="1"/>
        <v>420000</v>
      </c>
    </row>
    <row r="124" spans="1:5" hidden="1" x14ac:dyDescent="0.3">
      <c r="A124" t="s">
        <v>154</v>
      </c>
      <c r="B124" t="s">
        <v>4</v>
      </c>
      <c r="C124">
        <v>0</v>
      </c>
      <c r="E124">
        <f t="shared" si="1"/>
        <v>0</v>
      </c>
    </row>
    <row r="125" spans="1:5" x14ac:dyDescent="0.3">
      <c r="A125" t="s">
        <v>46</v>
      </c>
      <c r="B125" t="s">
        <v>4</v>
      </c>
      <c r="C125">
        <v>10</v>
      </c>
      <c r="D125">
        <v>67000</v>
      </c>
      <c r="E125">
        <f t="shared" si="1"/>
        <v>670000</v>
      </c>
    </row>
    <row r="126" spans="1:5" x14ac:dyDescent="0.3">
      <c r="A126" t="s">
        <v>46</v>
      </c>
      <c r="B126" t="s">
        <v>31</v>
      </c>
      <c r="C126">
        <v>61</v>
      </c>
      <c r="D126">
        <v>22000</v>
      </c>
      <c r="E126">
        <f t="shared" si="1"/>
        <v>1342000</v>
      </c>
    </row>
    <row r="127" spans="1:5" hidden="1" x14ac:dyDescent="0.3">
      <c r="A127" t="s">
        <v>133</v>
      </c>
      <c r="B127" t="s">
        <v>31</v>
      </c>
      <c r="C127">
        <v>0</v>
      </c>
      <c r="E127">
        <f t="shared" si="1"/>
        <v>0</v>
      </c>
    </row>
    <row r="128" spans="1:5" hidden="1" x14ac:dyDescent="0.3">
      <c r="A128" t="s">
        <v>72</v>
      </c>
      <c r="B128" t="s">
        <v>73</v>
      </c>
      <c r="C128">
        <v>0</v>
      </c>
      <c r="E128">
        <f t="shared" si="1"/>
        <v>0</v>
      </c>
    </row>
    <row r="129" spans="1:5" hidden="1" x14ac:dyDescent="0.3">
      <c r="A129" t="s">
        <v>115</v>
      </c>
      <c r="B129" t="s">
        <v>50</v>
      </c>
      <c r="C129">
        <v>0</v>
      </c>
      <c r="E129">
        <f t="shared" si="1"/>
        <v>0</v>
      </c>
    </row>
    <row r="130" spans="1:5" x14ac:dyDescent="0.3">
      <c r="A130" t="s">
        <v>128</v>
      </c>
      <c r="B130" t="s">
        <v>4</v>
      </c>
      <c r="C130">
        <v>4</v>
      </c>
      <c r="D130">
        <v>12000</v>
      </c>
      <c r="E130">
        <f t="shared" si="1"/>
        <v>48000</v>
      </c>
    </row>
    <row r="131" spans="1:5" hidden="1" x14ac:dyDescent="0.3">
      <c r="A131" t="s">
        <v>104</v>
      </c>
      <c r="B131" t="s">
        <v>4</v>
      </c>
      <c r="C131">
        <v>0</v>
      </c>
      <c r="E131">
        <f t="shared" si="1"/>
        <v>0</v>
      </c>
    </row>
    <row r="132" spans="1:5" hidden="1" x14ac:dyDescent="0.3">
      <c r="A132" t="s">
        <v>104</v>
      </c>
      <c r="B132" t="s">
        <v>84</v>
      </c>
      <c r="C132">
        <v>0</v>
      </c>
      <c r="E132">
        <f t="shared" ref="E132:E197" si="2">C132*D132</f>
        <v>0</v>
      </c>
    </row>
    <row r="133" spans="1:5" hidden="1" x14ac:dyDescent="0.3">
      <c r="A133" t="s">
        <v>160</v>
      </c>
      <c r="B133" t="s">
        <v>50</v>
      </c>
      <c r="C133">
        <v>0</v>
      </c>
      <c r="E133">
        <f t="shared" si="2"/>
        <v>0</v>
      </c>
    </row>
    <row r="134" spans="1:5" hidden="1" x14ac:dyDescent="0.3">
      <c r="A134" t="s">
        <v>204</v>
      </c>
      <c r="B134" t="s">
        <v>4</v>
      </c>
      <c r="C134">
        <v>0</v>
      </c>
      <c r="E134">
        <f t="shared" si="2"/>
        <v>0</v>
      </c>
    </row>
    <row r="135" spans="1:5" hidden="1" x14ac:dyDescent="0.3">
      <c r="A135" t="s">
        <v>107</v>
      </c>
      <c r="B135" t="s">
        <v>4</v>
      </c>
      <c r="C135">
        <v>0</v>
      </c>
      <c r="E135">
        <f t="shared" si="2"/>
        <v>0</v>
      </c>
    </row>
    <row r="136" spans="1:5" hidden="1" x14ac:dyDescent="0.3">
      <c r="A136" t="s">
        <v>109</v>
      </c>
      <c r="B136" t="s">
        <v>53</v>
      </c>
      <c r="C136">
        <v>0</v>
      </c>
      <c r="E136">
        <f t="shared" si="2"/>
        <v>0</v>
      </c>
    </row>
    <row r="137" spans="1:5" hidden="1" x14ac:dyDescent="0.3">
      <c r="A137" t="s">
        <v>110</v>
      </c>
      <c r="B137" t="s">
        <v>4</v>
      </c>
      <c r="C137">
        <v>0</v>
      </c>
      <c r="E137">
        <f t="shared" si="2"/>
        <v>0</v>
      </c>
    </row>
    <row r="138" spans="1:5" x14ac:dyDescent="0.3">
      <c r="A138" t="s">
        <v>47</v>
      </c>
      <c r="B138" t="s">
        <v>4</v>
      </c>
      <c r="C138">
        <v>215</v>
      </c>
      <c r="D138">
        <v>8000</v>
      </c>
      <c r="E138">
        <f t="shared" si="2"/>
        <v>1720000</v>
      </c>
    </row>
    <row r="139" spans="1:5" hidden="1" x14ac:dyDescent="0.3">
      <c r="A139" t="s">
        <v>157</v>
      </c>
      <c r="B139" t="s">
        <v>4</v>
      </c>
      <c r="C139">
        <v>0</v>
      </c>
      <c r="E139">
        <f t="shared" si="2"/>
        <v>0</v>
      </c>
    </row>
    <row r="140" spans="1:5" hidden="1" x14ac:dyDescent="0.3">
      <c r="A140" t="s">
        <v>74</v>
      </c>
      <c r="B140" t="s">
        <v>4</v>
      </c>
      <c r="C140">
        <v>0</v>
      </c>
      <c r="E140">
        <f t="shared" si="2"/>
        <v>0</v>
      </c>
    </row>
    <row r="141" spans="1:5" hidden="1" x14ac:dyDescent="0.3">
      <c r="A141" t="s">
        <v>74</v>
      </c>
      <c r="B141" t="s">
        <v>31</v>
      </c>
      <c r="C141">
        <v>0</v>
      </c>
      <c r="E141">
        <f t="shared" si="2"/>
        <v>0</v>
      </c>
    </row>
    <row r="142" spans="1:5" hidden="1" x14ac:dyDescent="0.3">
      <c r="A142" t="s">
        <v>129</v>
      </c>
      <c r="B142" t="s">
        <v>4</v>
      </c>
      <c r="C142">
        <v>0</v>
      </c>
      <c r="E142">
        <f t="shared" si="2"/>
        <v>0</v>
      </c>
    </row>
    <row r="143" spans="1:5" hidden="1" x14ac:dyDescent="0.3">
      <c r="A143" t="s">
        <v>75</v>
      </c>
      <c r="B143" t="s">
        <v>4</v>
      </c>
      <c r="C143">
        <v>0</v>
      </c>
      <c r="E143">
        <f t="shared" si="2"/>
        <v>0</v>
      </c>
    </row>
    <row r="144" spans="1:5" hidden="1" x14ac:dyDescent="0.3">
      <c r="A144" t="s">
        <v>76</v>
      </c>
      <c r="B144" t="s">
        <v>66</v>
      </c>
      <c r="C144">
        <v>0</v>
      </c>
      <c r="E144">
        <f t="shared" si="2"/>
        <v>0</v>
      </c>
    </row>
    <row r="145" spans="1:5" hidden="1" x14ac:dyDescent="0.3">
      <c r="A145" t="s">
        <v>83</v>
      </c>
      <c r="B145" t="s">
        <v>4</v>
      </c>
      <c r="C145">
        <v>0</v>
      </c>
      <c r="E145">
        <f t="shared" si="2"/>
        <v>0</v>
      </c>
    </row>
    <row r="146" spans="1:5" hidden="1" x14ac:dyDescent="0.3">
      <c r="A146" t="s">
        <v>48</v>
      </c>
      <c r="B146" t="s">
        <v>4</v>
      </c>
      <c r="C146">
        <v>0</v>
      </c>
      <c r="E146">
        <f t="shared" si="2"/>
        <v>0</v>
      </c>
    </row>
    <row r="147" spans="1:5" x14ac:dyDescent="0.3">
      <c r="A147" t="s">
        <v>77</v>
      </c>
      <c r="B147" t="s">
        <v>66</v>
      </c>
      <c r="C147">
        <v>36</v>
      </c>
      <c r="D147">
        <v>6800</v>
      </c>
      <c r="E147">
        <f t="shared" si="2"/>
        <v>244800</v>
      </c>
    </row>
    <row r="148" spans="1:5" hidden="1" x14ac:dyDescent="0.3">
      <c r="A148" t="s">
        <v>78</v>
      </c>
      <c r="B148" t="s">
        <v>4</v>
      </c>
      <c r="C148">
        <v>0</v>
      </c>
      <c r="E148">
        <f t="shared" si="2"/>
        <v>0</v>
      </c>
    </row>
    <row r="149" spans="1:5" hidden="1" x14ac:dyDescent="0.3">
      <c r="A149" t="s">
        <v>79</v>
      </c>
      <c r="B149" t="s">
        <v>4</v>
      </c>
      <c r="C149">
        <v>0</v>
      </c>
      <c r="E149">
        <f t="shared" si="2"/>
        <v>0</v>
      </c>
    </row>
    <row r="150" spans="1:5" hidden="1" x14ac:dyDescent="0.3">
      <c r="A150" t="s">
        <v>79</v>
      </c>
      <c r="B150" t="s">
        <v>31</v>
      </c>
      <c r="C150">
        <v>0</v>
      </c>
      <c r="E150">
        <f t="shared" si="2"/>
        <v>0</v>
      </c>
    </row>
    <row r="151" spans="1:5" hidden="1" x14ac:dyDescent="0.3">
      <c r="A151" t="s">
        <v>80</v>
      </c>
      <c r="B151" t="s">
        <v>31</v>
      </c>
      <c r="C151">
        <v>0</v>
      </c>
      <c r="E151">
        <f t="shared" si="2"/>
        <v>0</v>
      </c>
    </row>
    <row r="152" spans="1:5" hidden="1" x14ac:dyDescent="0.3">
      <c r="A152" t="s">
        <v>152</v>
      </c>
      <c r="B152" t="s">
        <v>4</v>
      </c>
      <c r="C152">
        <v>0</v>
      </c>
      <c r="E152">
        <f t="shared" si="2"/>
        <v>0</v>
      </c>
    </row>
    <row r="153" spans="1:5" x14ac:dyDescent="0.3">
      <c r="A153" t="s">
        <v>81</v>
      </c>
      <c r="B153" t="s">
        <v>4</v>
      </c>
      <c r="C153">
        <v>4</v>
      </c>
      <c r="D153">
        <v>30000</v>
      </c>
      <c r="E153">
        <f t="shared" si="2"/>
        <v>120000</v>
      </c>
    </row>
    <row r="154" spans="1:5" hidden="1" x14ac:dyDescent="0.3">
      <c r="A154" t="s">
        <v>82</v>
      </c>
      <c r="B154" t="s">
        <v>66</v>
      </c>
      <c r="C154">
        <v>0</v>
      </c>
      <c r="E154">
        <f t="shared" si="2"/>
        <v>0</v>
      </c>
    </row>
    <row r="155" spans="1:5" hidden="1" x14ac:dyDescent="0.3">
      <c r="E155">
        <f t="shared" si="2"/>
        <v>0</v>
      </c>
    </row>
    <row r="156" spans="1:5" x14ac:dyDescent="0.3">
      <c r="E156">
        <f>SUM(E3:E153)</f>
        <v>191900100</v>
      </c>
    </row>
    <row r="157" spans="1:5" x14ac:dyDescent="0.3">
      <c r="A157" t="s">
        <v>139</v>
      </c>
    </row>
    <row r="158" spans="1:5" x14ac:dyDescent="0.3">
      <c r="A158" t="s">
        <v>0</v>
      </c>
      <c r="B158" t="s">
        <v>1</v>
      </c>
      <c r="C158" s="89" t="s">
        <v>206</v>
      </c>
      <c r="D158" t="s">
        <v>137</v>
      </c>
      <c r="E158" t="s">
        <v>138</v>
      </c>
    </row>
    <row r="159" spans="1:5" x14ac:dyDescent="0.3">
      <c r="A159" t="s">
        <v>3</v>
      </c>
      <c r="B159" t="s">
        <v>4</v>
      </c>
      <c r="C159">
        <v>15</v>
      </c>
      <c r="D159">
        <v>30000</v>
      </c>
      <c r="E159">
        <f t="shared" si="2"/>
        <v>450000</v>
      </c>
    </row>
    <row r="160" spans="1:5" hidden="1" x14ac:dyDescent="0.3">
      <c r="A160" t="s">
        <v>5</v>
      </c>
      <c r="B160" t="s">
        <v>4</v>
      </c>
      <c r="C160">
        <v>0</v>
      </c>
      <c r="E160">
        <f t="shared" si="2"/>
        <v>0</v>
      </c>
    </row>
    <row r="161" spans="1:5" hidden="1" x14ac:dyDescent="0.3">
      <c r="A161" t="s">
        <v>6</v>
      </c>
      <c r="B161" t="s">
        <v>4</v>
      </c>
      <c r="C161">
        <v>0</v>
      </c>
      <c r="E161">
        <f t="shared" si="2"/>
        <v>0</v>
      </c>
    </row>
    <row r="162" spans="1:5" x14ac:dyDescent="0.3">
      <c r="A162" t="s">
        <v>7</v>
      </c>
      <c r="B162" t="s">
        <v>4</v>
      </c>
      <c r="C162">
        <v>80</v>
      </c>
      <c r="D162">
        <v>7500</v>
      </c>
      <c r="E162">
        <f t="shared" si="2"/>
        <v>600000</v>
      </c>
    </row>
    <row r="163" spans="1:5" x14ac:dyDescent="0.3">
      <c r="A163" t="s">
        <v>8</v>
      </c>
      <c r="B163" t="s">
        <v>4</v>
      </c>
      <c r="C163">
        <v>1000</v>
      </c>
      <c r="D163">
        <v>5300</v>
      </c>
      <c r="E163">
        <f t="shared" si="2"/>
        <v>5300000</v>
      </c>
    </row>
    <row r="164" spans="1:5" hidden="1" x14ac:dyDescent="0.3">
      <c r="A164" t="s">
        <v>9</v>
      </c>
      <c r="B164" t="s">
        <v>4</v>
      </c>
      <c r="C164">
        <v>0</v>
      </c>
      <c r="E164">
        <f t="shared" si="2"/>
        <v>0</v>
      </c>
    </row>
    <row r="165" spans="1:5" x14ac:dyDescent="0.3">
      <c r="A165" t="s">
        <v>10</v>
      </c>
      <c r="B165" t="s">
        <v>4</v>
      </c>
      <c r="C165">
        <v>60</v>
      </c>
      <c r="D165">
        <v>10000</v>
      </c>
      <c r="E165">
        <f t="shared" si="2"/>
        <v>600000</v>
      </c>
    </row>
    <row r="166" spans="1:5" hidden="1" x14ac:dyDescent="0.3">
      <c r="A166" t="s">
        <v>12</v>
      </c>
      <c r="B166" t="s">
        <v>4</v>
      </c>
      <c r="C166">
        <v>0</v>
      </c>
      <c r="E166">
        <f t="shared" si="2"/>
        <v>0</v>
      </c>
    </row>
    <row r="167" spans="1:5" x14ac:dyDescent="0.3">
      <c r="A167" t="s">
        <v>13</v>
      </c>
      <c r="B167" t="s">
        <v>4</v>
      </c>
      <c r="C167">
        <v>12</v>
      </c>
      <c r="D167">
        <v>27000</v>
      </c>
      <c r="E167">
        <f t="shared" si="2"/>
        <v>324000</v>
      </c>
    </row>
    <row r="168" spans="1:5" hidden="1" x14ac:dyDescent="0.3">
      <c r="A168" t="s">
        <v>14</v>
      </c>
      <c r="B168" t="s">
        <v>4</v>
      </c>
      <c r="C168">
        <v>0</v>
      </c>
      <c r="E168">
        <f t="shared" si="2"/>
        <v>0</v>
      </c>
    </row>
    <row r="169" spans="1:5" x14ac:dyDescent="0.3">
      <c r="A169" t="s">
        <v>15</v>
      </c>
      <c r="B169" t="s">
        <v>4</v>
      </c>
      <c r="C169">
        <v>200</v>
      </c>
      <c r="D169">
        <v>23000</v>
      </c>
      <c r="E169">
        <f t="shared" si="2"/>
        <v>4600000</v>
      </c>
    </row>
    <row r="170" spans="1:5" x14ac:dyDescent="0.3">
      <c r="A170" t="s">
        <v>18</v>
      </c>
      <c r="B170" t="s">
        <v>4</v>
      </c>
      <c r="C170">
        <v>200</v>
      </c>
      <c r="D170">
        <v>15500</v>
      </c>
      <c r="E170">
        <f t="shared" si="2"/>
        <v>3100000</v>
      </c>
    </row>
    <row r="171" spans="1:5" x14ac:dyDescent="0.3">
      <c r="A171" t="s">
        <v>20</v>
      </c>
      <c r="B171" t="s">
        <v>4</v>
      </c>
      <c r="C171">
        <v>432</v>
      </c>
      <c r="D171">
        <v>12000</v>
      </c>
      <c r="E171">
        <f t="shared" si="2"/>
        <v>5184000</v>
      </c>
    </row>
    <row r="172" spans="1:5" x14ac:dyDescent="0.3">
      <c r="A172" t="s">
        <v>21</v>
      </c>
      <c r="B172" t="s">
        <v>4</v>
      </c>
      <c r="C172">
        <v>100</v>
      </c>
      <c r="D172">
        <v>10000</v>
      </c>
      <c r="E172">
        <f t="shared" si="2"/>
        <v>1000000</v>
      </c>
    </row>
    <row r="173" spans="1:5" x14ac:dyDescent="0.3">
      <c r="A173" t="s">
        <v>22</v>
      </c>
      <c r="B173" t="s">
        <v>4</v>
      </c>
      <c r="C173">
        <v>250</v>
      </c>
      <c r="D173">
        <v>7500</v>
      </c>
      <c r="E173">
        <f t="shared" si="2"/>
        <v>1875000</v>
      </c>
    </row>
    <row r="174" spans="1:5" x14ac:dyDescent="0.3">
      <c r="A174" t="s">
        <v>23</v>
      </c>
      <c r="B174" t="s">
        <v>4</v>
      </c>
      <c r="C174">
        <v>20</v>
      </c>
      <c r="D174">
        <v>16000</v>
      </c>
      <c r="E174">
        <f t="shared" si="2"/>
        <v>320000</v>
      </c>
    </row>
    <row r="175" spans="1:5" x14ac:dyDescent="0.3">
      <c r="A175" t="s">
        <v>145</v>
      </c>
      <c r="B175" t="s">
        <v>4</v>
      </c>
      <c r="C175">
        <v>2820</v>
      </c>
      <c r="D175">
        <v>5500</v>
      </c>
      <c r="E175">
        <f t="shared" si="2"/>
        <v>15510000</v>
      </c>
    </row>
    <row r="176" spans="1:5" hidden="1" x14ac:dyDescent="0.3">
      <c r="A176" t="s">
        <v>24</v>
      </c>
      <c r="B176" t="s">
        <v>4</v>
      </c>
      <c r="C176">
        <v>0</v>
      </c>
      <c r="E176">
        <f t="shared" si="2"/>
        <v>0</v>
      </c>
    </row>
    <row r="177" spans="1:5" x14ac:dyDescent="0.3">
      <c r="A177" t="s">
        <v>25</v>
      </c>
      <c r="B177" t="s">
        <v>4</v>
      </c>
      <c r="C177">
        <v>40</v>
      </c>
      <c r="D177">
        <v>25000</v>
      </c>
      <c r="E177">
        <f t="shared" si="2"/>
        <v>1000000</v>
      </c>
    </row>
    <row r="178" spans="1:5" x14ac:dyDescent="0.3">
      <c r="A178" t="s">
        <v>26</v>
      </c>
      <c r="B178" t="s">
        <v>4</v>
      </c>
      <c r="C178">
        <v>90</v>
      </c>
      <c r="D178">
        <v>13000</v>
      </c>
      <c r="E178">
        <f t="shared" si="2"/>
        <v>1170000</v>
      </c>
    </row>
    <row r="179" spans="1:5" hidden="1" x14ac:dyDescent="0.3">
      <c r="A179" t="s">
        <v>144</v>
      </c>
      <c r="B179" t="s">
        <v>50</v>
      </c>
      <c r="C179">
        <v>0</v>
      </c>
      <c r="E179">
        <f t="shared" si="2"/>
        <v>0</v>
      </c>
    </row>
    <row r="180" spans="1:5" hidden="1" x14ac:dyDescent="0.3">
      <c r="A180" t="s">
        <v>27</v>
      </c>
      <c r="B180" t="s">
        <v>4</v>
      </c>
      <c r="C180">
        <v>0</v>
      </c>
      <c r="E180">
        <f t="shared" si="2"/>
        <v>0</v>
      </c>
    </row>
    <row r="181" spans="1:5" x14ac:dyDescent="0.3">
      <c r="A181" t="s">
        <v>28</v>
      </c>
      <c r="B181" t="s">
        <v>4</v>
      </c>
      <c r="C181">
        <v>60</v>
      </c>
      <c r="D181">
        <v>18000</v>
      </c>
      <c r="E181">
        <f t="shared" si="2"/>
        <v>1080000</v>
      </c>
    </row>
    <row r="182" spans="1:5" x14ac:dyDescent="0.3">
      <c r="A182" t="s">
        <v>29</v>
      </c>
      <c r="B182" t="s">
        <v>4</v>
      </c>
      <c r="C182">
        <v>100</v>
      </c>
      <c r="D182">
        <v>21000</v>
      </c>
      <c r="E182">
        <f t="shared" si="2"/>
        <v>2100000</v>
      </c>
    </row>
    <row r="183" spans="1:5" hidden="1" x14ac:dyDescent="0.3">
      <c r="A183" t="s">
        <v>57</v>
      </c>
      <c r="B183" t="s">
        <v>31</v>
      </c>
      <c r="C183">
        <v>0</v>
      </c>
      <c r="E183">
        <f t="shared" si="2"/>
        <v>0</v>
      </c>
    </row>
    <row r="184" spans="1:5" x14ac:dyDescent="0.3">
      <c r="A184" t="s">
        <v>32</v>
      </c>
      <c r="B184" t="s">
        <v>4</v>
      </c>
      <c r="C184">
        <v>200</v>
      </c>
      <c r="D184">
        <v>19000</v>
      </c>
      <c r="E184">
        <f t="shared" si="2"/>
        <v>3800000</v>
      </c>
    </row>
    <row r="185" spans="1:5" hidden="1" x14ac:dyDescent="0.3">
      <c r="A185" t="s">
        <v>33</v>
      </c>
      <c r="B185" t="s">
        <v>31</v>
      </c>
      <c r="C185">
        <v>0</v>
      </c>
      <c r="E185">
        <f t="shared" si="2"/>
        <v>0</v>
      </c>
    </row>
    <row r="186" spans="1:5" hidden="1" x14ac:dyDescent="0.3">
      <c r="A186" t="s">
        <v>156</v>
      </c>
      <c r="B186" t="s">
        <v>4</v>
      </c>
      <c r="C186">
        <v>0</v>
      </c>
      <c r="E186">
        <f t="shared" si="2"/>
        <v>0</v>
      </c>
    </row>
    <row r="187" spans="1:5" x14ac:dyDescent="0.3">
      <c r="A187" t="s">
        <v>34</v>
      </c>
      <c r="B187" t="s">
        <v>4</v>
      </c>
      <c r="C187">
        <v>200</v>
      </c>
      <c r="D187">
        <v>15000</v>
      </c>
      <c r="E187">
        <f t="shared" si="2"/>
        <v>3000000</v>
      </c>
    </row>
    <row r="188" spans="1:5" hidden="1" x14ac:dyDescent="0.3">
      <c r="A188" t="s">
        <v>34</v>
      </c>
      <c r="B188" t="s">
        <v>31</v>
      </c>
      <c r="C188">
        <v>0</v>
      </c>
      <c r="E188">
        <f t="shared" si="2"/>
        <v>0</v>
      </c>
    </row>
    <row r="189" spans="1:5" hidden="1" x14ac:dyDescent="0.3">
      <c r="A189" t="s">
        <v>35</v>
      </c>
      <c r="B189" t="s">
        <v>4</v>
      </c>
      <c r="C189">
        <v>0</v>
      </c>
      <c r="E189">
        <f t="shared" si="2"/>
        <v>0</v>
      </c>
    </row>
    <row r="190" spans="1:5" x14ac:dyDescent="0.3">
      <c r="A190" t="s">
        <v>123</v>
      </c>
      <c r="B190" t="s">
        <v>31</v>
      </c>
      <c r="C190">
        <v>60</v>
      </c>
      <c r="D190">
        <v>6000</v>
      </c>
      <c r="E190">
        <f t="shared" si="2"/>
        <v>360000</v>
      </c>
    </row>
    <row r="191" spans="1:5" x14ac:dyDescent="0.3">
      <c r="A191" t="s">
        <v>37</v>
      </c>
      <c r="B191" t="s">
        <v>151</v>
      </c>
      <c r="C191">
        <v>174</v>
      </c>
      <c r="D191">
        <v>10000</v>
      </c>
      <c r="E191">
        <f t="shared" si="2"/>
        <v>1740000</v>
      </c>
    </row>
    <row r="192" spans="1:5" hidden="1" x14ac:dyDescent="0.3">
      <c r="A192" t="s">
        <v>40</v>
      </c>
      <c r="B192" t="s">
        <v>4</v>
      </c>
      <c r="C192">
        <v>0</v>
      </c>
      <c r="E192">
        <f t="shared" si="2"/>
        <v>0</v>
      </c>
    </row>
    <row r="193" spans="1:5" x14ac:dyDescent="0.3">
      <c r="A193" t="s">
        <v>41</v>
      </c>
      <c r="B193" t="s">
        <v>4</v>
      </c>
      <c r="C193">
        <v>500</v>
      </c>
      <c r="D193">
        <v>28600</v>
      </c>
      <c r="E193">
        <f t="shared" si="2"/>
        <v>14300000</v>
      </c>
    </row>
    <row r="194" spans="1:5" hidden="1" x14ac:dyDescent="0.3">
      <c r="A194" t="s">
        <v>124</v>
      </c>
      <c r="B194" t="s">
        <v>4</v>
      </c>
      <c r="C194">
        <v>0</v>
      </c>
      <c r="E194">
        <f t="shared" si="2"/>
        <v>0</v>
      </c>
    </row>
    <row r="195" spans="1:5" x14ac:dyDescent="0.3">
      <c r="A195" t="s">
        <v>43</v>
      </c>
      <c r="B195" t="s">
        <v>4</v>
      </c>
      <c r="C195">
        <v>40</v>
      </c>
      <c r="D195">
        <v>37000</v>
      </c>
      <c r="E195">
        <f t="shared" si="2"/>
        <v>1480000</v>
      </c>
    </row>
    <row r="196" spans="1:5" x14ac:dyDescent="0.3">
      <c r="A196" t="s">
        <v>44</v>
      </c>
      <c r="B196" t="s">
        <v>4</v>
      </c>
      <c r="C196">
        <v>20</v>
      </c>
      <c r="D196">
        <v>17000</v>
      </c>
      <c r="E196">
        <f t="shared" si="2"/>
        <v>340000</v>
      </c>
    </row>
    <row r="197" spans="1:5" x14ac:dyDescent="0.3">
      <c r="A197" t="s">
        <v>45</v>
      </c>
      <c r="B197" t="s">
        <v>4</v>
      </c>
      <c r="C197">
        <v>20</v>
      </c>
      <c r="D197">
        <v>26000</v>
      </c>
      <c r="E197">
        <f t="shared" si="2"/>
        <v>520000</v>
      </c>
    </row>
    <row r="198" spans="1:5" hidden="1" x14ac:dyDescent="0.3">
      <c r="A198" t="s">
        <v>47</v>
      </c>
      <c r="B198" t="s">
        <v>4</v>
      </c>
      <c r="C198">
        <v>0</v>
      </c>
      <c r="E198">
        <f t="shared" ref="E198" si="3">C198*D198</f>
        <v>0</v>
      </c>
    </row>
    <row r="199" spans="1:5" x14ac:dyDescent="0.3">
      <c r="E199">
        <f>SUM(E159:E197)</f>
        <v>69753000</v>
      </c>
    </row>
    <row r="200" spans="1:5" x14ac:dyDescent="0.3">
      <c r="E200">
        <f>SUM(E199,E156)</f>
        <v>261653100</v>
      </c>
    </row>
  </sheetData>
  <autoFilter ref="A2:I198" xr:uid="{00000000-0009-0000-0000-000010000000}">
    <filterColumn colId="2">
      <filters>
        <filter val="10"/>
        <filter val="10.5"/>
        <filter val="100"/>
        <filter val="1000"/>
        <filter val="114"/>
        <filter val="115"/>
        <filter val="118"/>
        <filter val="1190"/>
        <filter val="12"/>
        <filter val="13"/>
        <filter val="14"/>
        <filter val="1408"/>
        <filter val="143"/>
        <filter val="15"/>
        <filter val="150"/>
        <filter val="1500"/>
        <filter val="17"/>
        <filter val="174"/>
        <filter val="180"/>
        <filter val="19"/>
        <filter val="20"/>
        <filter val="200"/>
        <filter val="21"/>
        <filter val="215"/>
        <filter val="22"/>
        <filter val="220"/>
        <filter val="227"/>
        <filter val="250"/>
        <filter val="260"/>
        <filter val="28"/>
        <filter val="2820"/>
        <filter val="3"/>
        <filter val="30"/>
        <filter val="36"/>
        <filter val="4"/>
        <filter val="40"/>
        <filter val="432"/>
        <filter val="5"/>
        <filter val="50"/>
        <filter val="500"/>
        <filter val="530"/>
        <filter val="55"/>
        <filter val="56"/>
        <filter val="6"/>
        <filter val="60"/>
        <filter val="61"/>
        <filter val="620"/>
        <filter val="67"/>
        <filter val="773"/>
        <filter val="790"/>
        <filter val="794"/>
        <filter val="80"/>
        <filter val="87"/>
        <filter val="90"/>
        <filter val="949"/>
        <filter val="983"/>
        <filter val="Tồn_x000a_ĐL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2:E148"/>
  <sheetViews>
    <sheetView topLeftCell="A105" workbookViewId="0">
      <selection activeCell="E148" sqref="E148"/>
    </sheetView>
  </sheetViews>
  <sheetFormatPr defaultRowHeight="14.4" x14ac:dyDescent="0.3"/>
  <cols>
    <col min="1" max="1" width="24.21875" customWidth="1"/>
    <col min="4" max="4" width="12.33203125" customWidth="1"/>
    <col min="5" max="5" width="16.33203125" customWidth="1"/>
  </cols>
  <sheetData>
    <row r="2" spans="1:5" x14ac:dyDescent="0.3">
      <c r="A2" t="s">
        <v>207</v>
      </c>
    </row>
    <row r="3" spans="1:5" x14ac:dyDescent="0.3">
      <c r="A3" t="s">
        <v>0</v>
      </c>
      <c r="B3" t="s">
        <v>1</v>
      </c>
      <c r="C3" t="s">
        <v>2</v>
      </c>
      <c r="D3" t="s">
        <v>199</v>
      </c>
      <c r="E3" t="s">
        <v>138</v>
      </c>
    </row>
    <row r="4" spans="1:5" x14ac:dyDescent="0.3">
      <c r="A4" t="s">
        <v>49</v>
      </c>
      <c r="B4" t="s">
        <v>4</v>
      </c>
      <c r="C4">
        <v>390</v>
      </c>
      <c r="D4">
        <v>14000</v>
      </c>
      <c r="E4">
        <f>C4*D4</f>
        <v>5460000</v>
      </c>
    </row>
    <row r="5" spans="1:5" hidden="1" x14ac:dyDescent="0.3">
      <c r="A5" t="s">
        <v>49</v>
      </c>
      <c r="B5" t="s">
        <v>31</v>
      </c>
      <c r="C5">
        <v>0</v>
      </c>
      <c r="E5">
        <f t="shared" ref="E5:E68" si="0">C5*D5</f>
        <v>0</v>
      </c>
    </row>
    <row r="6" spans="1:5" x14ac:dyDescent="0.3">
      <c r="A6" t="s">
        <v>19</v>
      </c>
      <c r="B6" t="s">
        <v>50</v>
      </c>
      <c r="C6">
        <v>4</v>
      </c>
      <c r="D6">
        <v>11000</v>
      </c>
      <c r="E6">
        <f t="shared" si="0"/>
        <v>44000</v>
      </c>
    </row>
    <row r="7" spans="1:5" hidden="1" x14ac:dyDescent="0.3">
      <c r="A7" t="s">
        <v>51</v>
      </c>
      <c r="B7" t="s">
        <v>53</v>
      </c>
      <c r="C7">
        <v>0</v>
      </c>
      <c r="E7">
        <f t="shared" si="0"/>
        <v>0</v>
      </c>
    </row>
    <row r="8" spans="1:5" x14ac:dyDescent="0.3">
      <c r="A8" t="s">
        <v>28</v>
      </c>
      <c r="B8" t="s">
        <v>4</v>
      </c>
      <c r="C8">
        <v>78</v>
      </c>
      <c r="D8">
        <v>18000</v>
      </c>
      <c r="E8">
        <f t="shared" si="0"/>
        <v>1404000</v>
      </c>
    </row>
    <row r="9" spans="1:5" hidden="1" x14ac:dyDescent="0.3">
      <c r="A9" t="s">
        <v>28</v>
      </c>
      <c r="B9" t="s">
        <v>31</v>
      </c>
      <c r="C9">
        <v>0</v>
      </c>
      <c r="E9">
        <f t="shared" si="0"/>
        <v>0</v>
      </c>
    </row>
    <row r="10" spans="1:5" x14ac:dyDescent="0.3">
      <c r="A10" t="s">
        <v>29</v>
      </c>
      <c r="B10" t="s">
        <v>4</v>
      </c>
      <c r="C10">
        <v>20</v>
      </c>
      <c r="D10">
        <v>21000</v>
      </c>
      <c r="E10">
        <f t="shared" si="0"/>
        <v>420000</v>
      </c>
    </row>
    <row r="11" spans="1:5" hidden="1" x14ac:dyDescent="0.3">
      <c r="A11" t="s">
        <v>29</v>
      </c>
      <c r="B11" t="s">
        <v>150</v>
      </c>
      <c r="C11">
        <v>0</v>
      </c>
      <c r="E11">
        <f t="shared" si="0"/>
        <v>0</v>
      </c>
    </row>
    <row r="12" spans="1:5" x14ac:dyDescent="0.3">
      <c r="A12" t="s">
        <v>56</v>
      </c>
      <c r="B12" t="s">
        <v>31</v>
      </c>
      <c r="C12">
        <v>1387</v>
      </c>
      <c r="D12">
        <v>4500</v>
      </c>
      <c r="E12">
        <f t="shared" si="0"/>
        <v>6241500</v>
      </c>
    </row>
    <row r="13" spans="1:5" x14ac:dyDescent="0.3">
      <c r="A13" t="s">
        <v>57</v>
      </c>
      <c r="B13" t="s">
        <v>4</v>
      </c>
      <c r="C13">
        <v>759</v>
      </c>
      <c r="D13">
        <v>25000</v>
      </c>
      <c r="E13">
        <f t="shared" si="0"/>
        <v>18975000</v>
      </c>
    </row>
    <row r="14" spans="1:5" x14ac:dyDescent="0.3">
      <c r="A14" t="s">
        <v>32</v>
      </c>
      <c r="B14" t="s">
        <v>4</v>
      </c>
      <c r="C14">
        <v>160</v>
      </c>
      <c r="D14">
        <v>19000</v>
      </c>
      <c r="E14">
        <f t="shared" si="0"/>
        <v>3040000</v>
      </c>
    </row>
    <row r="15" spans="1:5" x14ac:dyDescent="0.3">
      <c r="A15" t="s">
        <v>34</v>
      </c>
      <c r="B15" t="s">
        <v>4</v>
      </c>
      <c r="C15">
        <v>250</v>
      </c>
      <c r="D15">
        <v>15000</v>
      </c>
      <c r="E15">
        <f t="shared" si="0"/>
        <v>3750000</v>
      </c>
    </row>
    <row r="16" spans="1:5" hidden="1" x14ac:dyDescent="0.3">
      <c r="A16" t="s">
        <v>34</v>
      </c>
      <c r="B16" t="s">
        <v>31</v>
      </c>
      <c r="C16">
        <v>0</v>
      </c>
      <c r="E16">
        <f t="shared" si="0"/>
        <v>0</v>
      </c>
    </row>
    <row r="17" spans="1:5" hidden="1" x14ac:dyDescent="0.3">
      <c r="A17" t="s">
        <v>60</v>
      </c>
      <c r="B17" t="s">
        <v>50</v>
      </c>
      <c r="C17">
        <v>0</v>
      </c>
      <c r="E17">
        <f t="shared" si="0"/>
        <v>0</v>
      </c>
    </row>
    <row r="18" spans="1:5" x14ac:dyDescent="0.3">
      <c r="A18" t="s">
        <v>6</v>
      </c>
      <c r="B18" t="s">
        <v>4</v>
      </c>
      <c r="C18">
        <v>404</v>
      </c>
      <c r="D18">
        <v>13500</v>
      </c>
      <c r="E18">
        <f t="shared" si="0"/>
        <v>5454000</v>
      </c>
    </row>
    <row r="19" spans="1:5" hidden="1" x14ac:dyDescent="0.3">
      <c r="A19" t="s">
        <v>62</v>
      </c>
      <c r="B19" t="s">
        <v>4</v>
      </c>
      <c r="C19">
        <v>0</v>
      </c>
      <c r="E19">
        <f t="shared" si="0"/>
        <v>0</v>
      </c>
    </row>
    <row r="20" spans="1:5" hidden="1" x14ac:dyDescent="0.3">
      <c r="A20" t="s">
        <v>62</v>
      </c>
      <c r="B20" t="s">
        <v>31</v>
      </c>
      <c r="C20">
        <v>0</v>
      </c>
      <c r="E20">
        <f t="shared" si="0"/>
        <v>0</v>
      </c>
    </row>
    <row r="21" spans="1:5" hidden="1" x14ac:dyDescent="0.3">
      <c r="A21" t="s">
        <v>64</v>
      </c>
      <c r="B21" t="s">
        <v>31</v>
      </c>
      <c r="C21">
        <v>0</v>
      </c>
      <c r="E21">
        <f t="shared" si="0"/>
        <v>0</v>
      </c>
    </row>
    <row r="22" spans="1:5" x14ac:dyDescent="0.3">
      <c r="A22" t="s">
        <v>22</v>
      </c>
      <c r="B22" t="s">
        <v>4</v>
      </c>
      <c r="C22">
        <v>850</v>
      </c>
      <c r="D22">
        <v>7500</v>
      </c>
      <c r="E22">
        <f t="shared" si="0"/>
        <v>6375000</v>
      </c>
    </row>
    <row r="23" spans="1:5" hidden="1" x14ac:dyDescent="0.3">
      <c r="A23" t="s">
        <v>24</v>
      </c>
      <c r="B23" t="s">
        <v>66</v>
      </c>
      <c r="C23">
        <v>0</v>
      </c>
      <c r="E23">
        <f t="shared" si="0"/>
        <v>0</v>
      </c>
    </row>
    <row r="24" spans="1:5" x14ac:dyDescent="0.3">
      <c r="A24" t="s">
        <v>24</v>
      </c>
      <c r="B24" t="s">
        <v>4</v>
      </c>
      <c r="C24">
        <v>188</v>
      </c>
      <c r="D24">
        <v>14000</v>
      </c>
      <c r="E24">
        <f t="shared" si="0"/>
        <v>2632000</v>
      </c>
    </row>
    <row r="25" spans="1:5" x14ac:dyDescent="0.3">
      <c r="A25" t="s">
        <v>75</v>
      </c>
      <c r="B25" t="s">
        <v>4</v>
      </c>
      <c r="C25">
        <v>70</v>
      </c>
      <c r="D25">
        <v>28000</v>
      </c>
      <c r="E25">
        <f t="shared" si="0"/>
        <v>1960000</v>
      </c>
    </row>
    <row r="26" spans="1:5" x14ac:dyDescent="0.3">
      <c r="A26" t="s">
        <v>8</v>
      </c>
      <c r="B26" t="s">
        <v>4</v>
      </c>
      <c r="C26">
        <v>260</v>
      </c>
      <c r="D26">
        <v>5300</v>
      </c>
      <c r="E26">
        <f t="shared" si="0"/>
        <v>1378000</v>
      </c>
    </row>
    <row r="27" spans="1:5" x14ac:dyDescent="0.3">
      <c r="A27" t="s">
        <v>10</v>
      </c>
      <c r="B27" t="s">
        <v>4</v>
      </c>
      <c r="C27">
        <v>300</v>
      </c>
      <c r="D27">
        <v>10000</v>
      </c>
      <c r="E27">
        <f t="shared" si="0"/>
        <v>3000000</v>
      </c>
    </row>
    <row r="28" spans="1:5" hidden="1" x14ac:dyDescent="0.3">
      <c r="A28" t="s">
        <v>10</v>
      </c>
      <c r="B28" t="s">
        <v>84</v>
      </c>
      <c r="C28">
        <v>0</v>
      </c>
      <c r="E28">
        <f t="shared" si="0"/>
        <v>0</v>
      </c>
    </row>
    <row r="29" spans="1:5" x14ac:dyDescent="0.3">
      <c r="A29" t="s">
        <v>11</v>
      </c>
      <c r="B29" t="s">
        <v>4</v>
      </c>
      <c r="C29">
        <v>51</v>
      </c>
      <c r="D29">
        <v>10000</v>
      </c>
      <c r="E29">
        <f t="shared" si="0"/>
        <v>510000</v>
      </c>
    </row>
    <row r="30" spans="1:5" hidden="1" x14ac:dyDescent="0.3">
      <c r="A30" t="s">
        <v>11</v>
      </c>
      <c r="B30" t="s">
        <v>84</v>
      </c>
      <c r="C30">
        <v>0</v>
      </c>
      <c r="E30">
        <f t="shared" si="0"/>
        <v>0</v>
      </c>
    </row>
    <row r="31" spans="1:5" x14ac:dyDescent="0.3">
      <c r="A31" t="s">
        <v>15</v>
      </c>
      <c r="B31" t="s">
        <v>4</v>
      </c>
      <c r="C31">
        <v>127</v>
      </c>
      <c r="D31">
        <v>21000</v>
      </c>
      <c r="E31">
        <f t="shared" si="0"/>
        <v>2667000</v>
      </c>
    </row>
    <row r="32" spans="1:5" hidden="1" x14ac:dyDescent="0.3">
      <c r="A32" t="s">
        <v>15</v>
      </c>
      <c r="B32" t="s">
        <v>164</v>
      </c>
      <c r="C32">
        <v>0</v>
      </c>
      <c r="E32">
        <f t="shared" si="0"/>
        <v>0</v>
      </c>
    </row>
    <row r="33" spans="1:5" x14ac:dyDescent="0.3">
      <c r="A33" t="s">
        <v>18</v>
      </c>
      <c r="B33" t="s">
        <v>4</v>
      </c>
      <c r="C33">
        <v>520</v>
      </c>
      <c r="D33">
        <v>15500</v>
      </c>
      <c r="E33">
        <f t="shared" si="0"/>
        <v>8060000</v>
      </c>
    </row>
    <row r="34" spans="1:5" hidden="1" x14ac:dyDescent="0.3">
      <c r="A34" t="s">
        <v>18</v>
      </c>
      <c r="B34" t="s">
        <v>50</v>
      </c>
      <c r="C34">
        <v>0</v>
      </c>
      <c r="E34">
        <f t="shared" si="0"/>
        <v>0</v>
      </c>
    </row>
    <row r="35" spans="1:5" x14ac:dyDescent="0.3">
      <c r="A35" t="s">
        <v>92</v>
      </c>
      <c r="B35" t="s">
        <v>31</v>
      </c>
      <c r="C35">
        <v>60</v>
      </c>
      <c r="D35">
        <v>12000</v>
      </c>
      <c r="E35">
        <f t="shared" si="0"/>
        <v>720000</v>
      </c>
    </row>
    <row r="36" spans="1:5" hidden="1" x14ac:dyDescent="0.3">
      <c r="A36" t="s">
        <v>39</v>
      </c>
      <c r="B36" t="s">
        <v>4</v>
      </c>
      <c r="C36">
        <v>0</v>
      </c>
      <c r="E36">
        <f t="shared" si="0"/>
        <v>0</v>
      </c>
    </row>
    <row r="37" spans="1:5" x14ac:dyDescent="0.3">
      <c r="A37" t="s">
        <v>39</v>
      </c>
      <c r="B37" t="s">
        <v>50</v>
      </c>
      <c r="C37">
        <v>892</v>
      </c>
      <c r="D37">
        <v>5000</v>
      </c>
      <c r="E37">
        <f t="shared" si="0"/>
        <v>4460000</v>
      </c>
    </row>
    <row r="38" spans="1:5" x14ac:dyDescent="0.3">
      <c r="A38" t="s">
        <v>100</v>
      </c>
      <c r="B38" t="s">
        <v>4</v>
      </c>
      <c r="C38">
        <v>18</v>
      </c>
      <c r="D38">
        <v>5000</v>
      </c>
      <c r="E38">
        <f t="shared" si="0"/>
        <v>90000</v>
      </c>
    </row>
    <row r="39" spans="1:5" x14ac:dyDescent="0.3">
      <c r="A39" t="s">
        <v>43</v>
      </c>
      <c r="B39" t="s">
        <v>4</v>
      </c>
      <c r="C39">
        <v>10</v>
      </c>
      <c r="D39">
        <v>37000</v>
      </c>
      <c r="E39">
        <f t="shared" si="0"/>
        <v>370000</v>
      </c>
    </row>
    <row r="40" spans="1:5" hidden="1" x14ac:dyDescent="0.3">
      <c r="A40" t="s">
        <v>43</v>
      </c>
      <c r="B40" t="s">
        <v>84</v>
      </c>
      <c r="C40">
        <v>0</v>
      </c>
      <c r="E40">
        <f t="shared" si="0"/>
        <v>0</v>
      </c>
    </row>
    <row r="41" spans="1:5" x14ac:dyDescent="0.3">
      <c r="A41" t="s">
        <v>44</v>
      </c>
      <c r="B41" t="s">
        <v>4</v>
      </c>
      <c r="C41">
        <v>83</v>
      </c>
      <c r="D41">
        <v>16000</v>
      </c>
      <c r="E41">
        <f t="shared" si="0"/>
        <v>1328000</v>
      </c>
    </row>
    <row r="42" spans="1:5" hidden="1" x14ac:dyDescent="0.3">
      <c r="A42" t="s">
        <v>44</v>
      </c>
      <c r="B42" t="s">
        <v>84</v>
      </c>
      <c r="C42">
        <v>0</v>
      </c>
      <c r="E42">
        <f t="shared" si="0"/>
        <v>0</v>
      </c>
    </row>
    <row r="43" spans="1:5" x14ac:dyDescent="0.3">
      <c r="A43" t="s">
        <v>45</v>
      </c>
      <c r="B43" t="s">
        <v>4</v>
      </c>
      <c r="C43">
        <v>40</v>
      </c>
      <c r="D43">
        <v>26000</v>
      </c>
      <c r="E43">
        <f t="shared" si="0"/>
        <v>1040000</v>
      </c>
    </row>
    <row r="44" spans="1:5" hidden="1" x14ac:dyDescent="0.3">
      <c r="A44" t="s">
        <v>45</v>
      </c>
      <c r="B44" t="s">
        <v>84</v>
      </c>
      <c r="C44">
        <v>0</v>
      </c>
      <c r="E44">
        <f t="shared" si="0"/>
        <v>0</v>
      </c>
    </row>
    <row r="45" spans="1:5" hidden="1" x14ac:dyDescent="0.3">
      <c r="A45" t="s">
        <v>12</v>
      </c>
      <c r="B45" t="s">
        <v>4</v>
      </c>
      <c r="C45">
        <v>0</v>
      </c>
      <c r="E45">
        <f t="shared" si="0"/>
        <v>0</v>
      </c>
    </row>
    <row r="46" spans="1:5" hidden="1" x14ac:dyDescent="0.3">
      <c r="A46" t="s">
        <v>116</v>
      </c>
      <c r="B46" t="s">
        <v>50</v>
      </c>
      <c r="C46">
        <v>0</v>
      </c>
      <c r="E46">
        <f t="shared" si="0"/>
        <v>0</v>
      </c>
    </row>
    <row r="47" spans="1:5" x14ac:dyDescent="0.3">
      <c r="A47" t="s">
        <v>117</v>
      </c>
      <c r="B47" t="s">
        <v>4</v>
      </c>
      <c r="C47">
        <v>640</v>
      </c>
      <c r="D47">
        <v>25000</v>
      </c>
      <c r="E47">
        <f t="shared" si="0"/>
        <v>16000000</v>
      </c>
    </row>
    <row r="48" spans="1:5" x14ac:dyDescent="0.3">
      <c r="A48" t="s">
        <v>17</v>
      </c>
      <c r="B48" t="s">
        <v>4</v>
      </c>
      <c r="C48">
        <v>30</v>
      </c>
      <c r="D48">
        <v>35000</v>
      </c>
      <c r="E48">
        <f t="shared" si="0"/>
        <v>1050000</v>
      </c>
    </row>
    <row r="49" spans="1:5" x14ac:dyDescent="0.3">
      <c r="A49" t="s">
        <v>17</v>
      </c>
      <c r="B49" t="s">
        <v>147</v>
      </c>
      <c r="C49">
        <v>113</v>
      </c>
      <c r="D49">
        <v>10500</v>
      </c>
      <c r="E49">
        <f t="shared" si="0"/>
        <v>1186500</v>
      </c>
    </row>
    <row r="50" spans="1:5" hidden="1" x14ac:dyDescent="0.3">
      <c r="A50" t="s">
        <v>17</v>
      </c>
      <c r="B50" t="s">
        <v>203</v>
      </c>
      <c r="C50">
        <v>0</v>
      </c>
      <c r="E50">
        <f t="shared" si="0"/>
        <v>0</v>
      </c>
    </row>
    <row r="51" spans="1:5" hidden="1" x14ac:dyDescent="0.3">
      <c r="A51" t="s">
        <v>118</v>
      </c>
      <c r="B51" t="s">
        <v>4</v>
      </c>
      <c r="C51">
        <v>0</v>
      </c>
      <c r="E51">
        <f t="shared" si="0"/>
        <v>0</v>
      </c>
    </row>
    <row r="52" spans="1:5" x14ac:dyDescent="0.3">
      <c r="A52" t="s">
        <v>41</v>
      </c>
      <c r="B52" t="s">
        <v>4</v>
      </c>
      <c r="C52">
        <v>1500</v>
      </c>
      <c r="D52">
        <v>28600</v>
      </c>
      <c r="E52">
        <f t="shared" si="0"/>
        <v>42900000</v>
      </c>
    </row>
    <row r="53" spans="1:5" x14ac:dyDescent="0.3">
      <c r="A53" t="s">
        <v>16</v>
      </c>
      <c r="B53" t="s">
        <v>4</v>
      </c>
      <c r="C53">
        <v>160</v>
      </c>
      <c r="D53">
        <v>15000</v>
      </c>
      <c r="E53">
        <f t="shared" si="0"/>
        <v>2400000</v>
      </c>
    </row>
    <row r="54" spans="1:5" hidden="1" x14ac:dyDescent="0.3">
      <c r="A54" t="s">
        <v>16</v>
      </c>
      <c r="B54" t="s">
        <v>165</v>
      </c>
      <c r="C54">
        <v>0</v>
      </c>
      <c r="E54">
        <f t="shared" si="0"/>
        <v>0</v>
      </c>
    </row>
    <row r="55" spans="1:5" x14ac:dyDescent="0.3">
      <c r="A55" t="s">
        <v>46</v>
      </c>
      <c r="B55" t="s">
        <v>4</v>
      </c>
      <c r="C55">
        <v>20</v>
      </c>
      <c r="D55">
        <v>60000</v>
      </c>
      <c r="E55">
        <f t="shared" si="0"/>
        <v>1200000</v>
      </c>
    </row>
    <row r="56" spans="1:5" x14ac:dyDescent="0.3">
      <c r="A56" t="s">
        <v>46</v>
      </c>
      <c r="B56" t="s">
        <v>31</v>
      </c>
      <c r="C56">
        <v>95</v>
      </c>
      <c r="D56">
        <v>22000</v>
      </c>
      <c r="E56">
        <f t="shared" si="0"/>
        <v>2090000</v>
      </c>
    </row>
    <row r="57" spans="1:5" x14ac:dyDescent="0.3">
      <c r="A57" t="s">
        <v>90</v>
      </c>
      <c r="B57" t="s">
        <v>4</v>
      </c>
      <c r="C57">
        <v>12</v>
      </c>
      <c r="D57">
        <v>44000</v>
      </c>
      <c r="E57">
        <f t="shared" si="0"/>
        <v>528000</v>
      </c>
    </row>
    <row r="58" spans="1:5" hidden="1" x14ac:dyDescent="0.3">
      <c r="A58" t="s">
        <v>90</v>
      </c>
      <c r="B58" t="s">
        <v>148</v>
      </c>
      <c r="C58">
        <v>0</v>
      </c>
      <c r="E58">
        <f t="shared" si="0"/>
        <v>0</v>
      </c>
    </row>
    <row r="59" spans="1:5" hidden="1" x14ac:dyDescent="0.3">
      <c r="A59" t="s">
        <v>37</v>
      </c>
      <c r="B59" t="s">
        <v>4</v>
      </c>
      <c r="C59">
        <v>0</v>
      </c>
      <c r="E59">
        <f t="shared" si="0"/>
        <v>0</v>
      </c>
    </row>
    <row r="60" spans="1:5" x14ac:dyDescent="0.3">
      <c r="A60" t="s">
        <v>37</v>
      </c>
      <c r="B60" t="s">
        <v>151</v>
      </c>
      <c r="C60">
        <v>65</v>
      </c>
      <c r="D60">
        <v>10000</v>
      </c>
      <c r="E60">
        <f t="shared" si="0"/>
        <v>650000</v>
      </c>
    </row>
    <row r="61" spans="1:5" hidden="1" x14ac:dyDescent="0.3">
      <c r="A61" t="s">
        <v>40</v>
      </c>
      <c r="B61" t="s">
        <v>66</v>
      </c>
      <c r="C61">
        <v>0</v>
      </c>
      <c r="E61">
        <f t="shared" si="0"/>
        <v>0</v>
      </c>
    </row>
    <row r="62" spans="1:5" x14ac:dyDescent="0.3">
      <c r="A62" t="s">
        <v>40</v>
      </c>
      <c r="B62" t="s">
        <v>4</v>
      </c>
      <c r="C62">
        <v>15</v>
      </c>
      <c r="D62">
        <v>38000</v>
      </c>
      <c r="E62">
        <f t="shared" si="0"/>
        <v>570000</v>
      </c>
    </row>
    <row r="63" spans="1:5" hidden="1" x14ac:dyDescent="0.3">
      <c r="A63" t="s">
        <v>42</v>
      </c>
      <c r="B63" t="s">
        <v>31</v>
      </c>
      <c r="C63">
        <v>0</v>
      </c>
      <c r="E63">
        <f t="shared" si="0"/>
        <v>0</v>
      </c>
    </row>
    <row r="64" spans="1:5" x14ac:dyDescent="0.3">
      <c r="A64" t="s">
        <v>5</v>
      </c>
      <c r="B64" t="s">
        <v>4</v>
      </c>
      <c r="C64">
        <v>84</v>
      </c>
      <c r="D64">
        <v>17000</v>
      </c>
      <c r="E64">
        <f t="shared" si="0"/>
        <v>1428000</v>
      </c>
    </row>
    <row r="65" spans="1:5" hidden="1" x14ac:dyDescent="0.3">
      <c r="A65" t="s">
        <v>27</v>
      </c>
      <c r="B65" t="s">
        <v>4</v>
      </c>
      <c r="C65">
        <v>0</v>
      </c>
      <c r="E65">
        <f t="shared" si="0"/>
        <v>0</v>
      </c>
    </row>
    <row r="66" spans="1:5" x14ac:dyDescent="0.3">
      <c r="A66" t="s">
        <v>99</v>
      </c>
      <c r="B66" t="s">
        <v>4</v>
      </c>
      <c r="C66">
        <v>7</v>
      </c>
      <c r="D66">
        <v>10000</v>
      </c>
      <c r="E66">
        <f t="shared" si="0"/>
        <v>70000</v>
      </c>
    </row>
    <row r="67" spans="1:5" hidden="1" x14ac:dyDescent="0.3">
      <c r="A67" t="s">
        <v>74</v>
      </c>
      <c r="B67" t="s">
        <v>4</v>
      </c>
      <c r="C67">
        <v>0</v>
      </c>
      <c r="E67">
        <f t="shared" si="0"/>
        <v>0</v>
      </c>
    </row>
    <row r="68" spans="1:5" hidden="1" x14ac:dyDescent="0.3">
      <c r="A68" t="s">
        <v>101</v>
      </c>
      <c r="B68" t="s">
        <v>53</v>
      </c>
      <c r="C68">
        <v>0</v>
      </c>
      <c r="E68">
        <f t="shared" si="0"/>
        <v>0</v>
      </c>
    </row>
    <row r="69" spans="1:5" hidden="1" x14ac:dyDescent="0.3">
      <c r="A69" t="s">
        <v>35</v>
      </c>
      <c r="B69" t="s">
        <v>4</v>
      </c>
      <c r="C69">
        <v>0</v>
      </c>
      <c r="E69">
        <f t="shared" ref="E69:E133" si="1">C69*D69</f>
        <v>0</v>
      </c>
    </row>
    <row r="70" spans="1:5" x14ac:dyDescent="0.3">
      <c r="A70" t="s">
        <v>47</v>
      </c>
      <c r="B70" t="s">
        <v>4</v>
      </c>
      <c r="C70">
        <v>126</v>
      </c>
      <c r="D70">
        <v>10500</v>
      </c>
      <c r="E70">
        <f t="shared" si="1"/>
        <v>1323000</v>
      </c>
    </row>
    <row r="71" spans="1:5" x14ac:dyDescent="0.3">
      <c r="A71" t="s">
        <v>96</v>
      </c>
      <c r="B71" t="s">
        <v>4</v>
      </c>
      <c r="C71">
        <v>4.8</v>
      </c>
      <c r="D71">
        <v>80000</v>
      </c>
      <c r="E71">
        <f t="shared" si="1"/>
        <v>384000</v>
      </c>
    </row>
    <row r="72" spans="1:5" hidden="1" x14ac:dyDescent="0.3">
      <c r="A72" t="s">
        <v>21</v>
      </c>
      <c r="B72" t="s">
        <v>149</v>
      </c>
      <c r="C72">
        <v>0</v>
      </c>
      <c r="E72">
        <f t="shared" si="1"/>
        <v>0</v>
      </c>
    </row>
    <row r="73" spans="1:5" x14ac:dyDescent="0.3">
      <c r="A73" t="s">
        <v>13</v>
      </c>
      <c r="B73" t="s">
        <v>4</v>
      </c>
      <c r="C73">
        <v>22</v>
      </c>
      <c r="D73">
        <v>27000</v>
      </c>
      <c r="E73">
        <f t="shared" si="1"/>
        <v>594000</v>
      </c>
    </row>
    <row r="74" spans="1:5" x14ac:dyDescent="0.3">
      <c r="A74" t="s">
        <v>175</v>
      </c>
      <c r="B74" t="s">
        <v>4</v>
      </c>
      <c r="C74">
        <v>34</v>
      </c>
      <c r="D74">
        <v>33000</v>
      </c>
      <c r="E74">
        <f t="shared" si="1"/>
        <v>1122000</v>
      </c>
    </row>
    <row r="75" spans="1:5" x14ac:dyDescent="0.3">
      <c r="A75" t="s">
        <v>67</v>
      </c>
      <c r="B75" t="s">
        <v>4</v>
      </c>
      <c r="C75">
        <v>12</v>
      </c>
      <c r="D75">
        <v>14000</v>
      </c>
      <c r="E75">
        <f t="shared" si="1"/>
        <v>168000</v>
      </c>
    </row>
    <row r="76" spans="1:5" hidden="1" x14ac:dyDescent="0.3">
      <c r="A76" t="s">
        <v>54</v>
      </c>
      <c r="B76" t="s">
        <v>4</v>
      </c>
      <c r="C76">
        <v>0</v>
      </c>
      <c r="E76">
        <f t="shared" si="1"/>
        <v>0</v>
      </c>
    </row>
    <row r="77" spans="1:5" hidden="1" x14ac:dyDescent="0.3">
      <c r="A77" t="s">
        <v>81</v>
      </c>
      <c r="B77" t="s">
        <v>4</v>
      </c>
      <c r="C77">
        <v>0</v>
      </c>
      <c r="E77">
        <f t="shared" si="1"/>
        <v>0</v>
      </c>
    </row>
    <row r="78" spans="1:5" hidden="1" x14ac:dyDescent="0.3">
      <c r="A78" t="s">
        <v>48</v>
      </c>
      <c r="B78" t="s">
        <v>4</v>
      </c>
      <c r="C78">
        <v>0</v>
      </c>
      <c r="E78">
        <f t="shared" si="1"/>
        <v>0</v>
      </c>
    </row>
    <row r="79" spans="1:5" x14ac:dyDescent="0.3">
      <c r="A79" t="s">
        <v>97</v>
      </c>
      <c r="B79" t="s">
        <v>4</v>
      </c>
      <c r="C79">
        <v>3</v>
      </c>
      <c r="D79">
        <v>70000</v>
      </c>
      <c r="E79">
        <f t="shared" si="1"/>
        <v>210000</v>
      </c>
    </row>
    <row r="80" spans="1:5" x14ac:dyDescent="0.3">
      <c r="A80" t="s">
        <v>63</v>
      </c>
      <c r="B80" t="s">
        <v>31</v>
      </c>
      <c r="C80">
        <v>5</v>
      </c>
      <c r="D80">
        <v>7000</v>
      </c>
      <c r="E80">
        <f t="shared" si="1"/>
        <v>35000</v>
      </c>
    </row>
    <row r="81" spans="1:5" x14ac:dyDescent="0.3">
      <c r="A81" t="s">
        <v>124</v>
      </c>
      <c r="B81" t="s">
        <v>4</v>
      </c>
      <c r="C81">
        <v>23</v>
      </c>
      <c r="D81">
        <v>28000</v>
      </c>
      <c r="E81">
        <f t="shared" si="1"/>
        <v>644000</v>
      </c>
    </row>
    <row r="82" spans="1:5" hidden="1" x14ac:dyDescent="0.3">
      <c r="A82" t="s">
        <v>26</v>
      </c>
      <c r="B82" t="s">
        <v>4</v>
      </c>
      <c r="C82">
        <v>0</v>
      </c>
      <c r="E82">
        <f t="shared" si="1"/>
        <v>0</v>
      </c>
    </row>
    <row r="83" spans="1:5" x14ac:dyDescent="0.3">
      <c r="A83" t="s">
        <v>3</v>
      </c>
      <c r="B83" t="s">
        <v>4</v>
      </c>
      <c r="C83">
        <v>34</v>
      </c>
      <c r="D83">
        <v>30000</v>
      </c>
      <c r="E83">
        <f t="shared" si="1"/>
        <v>1020000</v>
      </c>
    </row>
    <row r="84" spans="1:5" x14ac:dyDescent="0.3">
      <c r="A84" t="s">
        <v>89</v>
      </c>
      <c r="B84" t="s">
        <v>53</v>
      </c>
      <c r="C84">
        <v>6</v>
      </c>
      <c r="D84">
        <v>17000</v>
      </c>
      <c r="E84">
        <f t="shared" si="1"/>
        <v>102000</v>
      </c>
    </row>
    <row r="85" spans="1:5" x14ac:dyDescent="0.3">
      <c r="A85" t="s">
        <v>77</v>
      </c>
      <c r="B85" t="s">
        <v>66</v>
      </c>
      <c r="C85">
        <v>28</v>
      </c>
      <c r="D85">
        <v>6800</v>
      </c>
      <c r="E85">
        <f t="shared" si="1"/>
        <v>190400</v>
      </c>
    </row>
    <row r="86" spans="1:5" hidden="1" x14ac:dyDescent="0.3">
      <c r="A86" t="s">
        <v>76</v>
      </c>
      <c r="B86" t="s">
        <v>66</v>
      </c>
      <c r="C86">
        <v>0</v>
      </c>
      <c r="E86">
        <f t="shared" si="1"/>
        <v>0</v>
      </c>
    </row>
    <row r="87" spans="1:5" x14ac:dyDescent="0.3">
      <c r="A87" t="s">
        <v>59</v>
      </c>
      <c r="B87" t="s">
        <v>4</v>
      </c>
      <c r="C87">
        <v>17</v>
      </c>
      <c r="D87">
        <v>39000</v>
      </c>
      <c r="E87">
        <f t="shared" si="1"/>
        <v>663000</v>
      </c>
    </row>
    <row r="88" spans="1:5" hidden="1" x14ac:dyDescent="0.3">
      <c r="A88" t="s">
        <v>109</v>
      </c>
      <c r="B88" t="s">
        <v>53</v>
      </c>
      <c r="C88">
        <v>0</v>
      </c>
      <c r="E88">
        <f t="shared" si="1"/>
        <v>0</v>
      </c>
    </row>
    <row r="89" spans="1:5" hidden="1" x14ac:dyDescent="0.3">
      <c r="A89" t="s">
        <v>82</v>
      </c>
      <c r="B89" t="s">
        <v>66</v>
      </c>
      <c r="C89">
        <v>0</v>
      </c>
      <c r="E89">
        <f t="shared" si="1"/>
        <v>0</v>
      </c>
    </row>
    <row r="90" spans="1:5" hidden="1" x14ac:dyDescent="0.3">
      <c r="A90" t="s">
        <v>152</v>
      </c>
      <c r="B90" t="s">
        <v>4</v>
      </c>
      <c r="C90">
        <v>0</v>
      </c>
      <c r="E90">
        <f t="shared" si="1"/>
        <v>0</v>
      </c>
    </row>
    <row r="91" spans="1:5" hidden="1" x14ac:dyDescent="0.3">
      <c r="A91" t="s">
        <v>133</v>
      </c>
      <c r="B91" t="s">
        <v>31</v>
      </c>
      <c r="C91">
        <v>0</v>
      </c>
      <c r="E91">
        <f t="shared" si="1"/>
        <v>0</v>
      </c>
    </row>
    <row r="92" spans="1:5" hidden="1" x14ac:dyDescent="0.3">
      <c r="A92" t="s">
        <v>107</v>
      </c>
      <c r="B92" t="s">
        <v>4</v>
      </c>
      <c r="C92">
        <v>0</v>
      </c>
      <c r="E92">
        <f t="shared" si="1"/>
        <v>0</v>
      </c>
    </row>
    <row r="93" spans="1:5" hidden="1" x14ac:dyDescent="0.3">
      <c r="A93" t="s">
        <v>33</v>
      </c>
      <c r="B93" t="s">
        <v>31</v>
      </c>
      <c r="C93">
        <v>0</v>
      </c>
      <c r="E93">
        <f t="shared" si="1"/>
        <v>0</v>
      </c>
    </row>
    <row r="94" spans="1:5" x14ac:dyDescent="0.3">
      <c r="A94" t="s">
        <v>85</v>
      </c>
      <c r="B94" t="s">
        <v>4</v>
      </c>
      <c r="C94">
        <v>10</v>
      </c>
      <c r="D94">
        <v>13000</v>
      </c>
      <c r="E94">
        <f t="shared" si="1"/>
        <v>130000</v>
      </c>
    </row>
    <row r="95" spans="1:5" x14ac:dyDescent="0.3">
      <c r="A95" t="s">
        <v>23</v>
      </c>
      <c r="B95" t="s">
        <v>4</v>
      </c>
      <c r="C95">
        <v>17</v>
      </c>
      <c r="D95">
        <v>16000</v>
      </c>
      <c r="E95">
        <f t="shared" si="1"/>
        <v>272000</v>
      </c>
    </row>
    <row r="96" spans="1:5" x14ac:dyDescent="0.3">
      <c r="A96" t="s">
        <v>58</v>
      </c>
      <c r="B96" t="s">
        <v>4</v>
      </c>
      <c r="C96">
        <v>5</v>
      </c>
      <c r="D96">
        <v>30000</v>
      </c>
      <c r="E96">
        <f t="shared" si="1"/>
        <v>150000</v>
      </c>
    </row>
    <row r="97" spans="1:5" x14ac:dyDescent="0.3">
      <c r="A97" t="s">
        <v>142</v>
      </c>
      <c r="B97" t="s">
        <v>31</v>
      </c>
      <c r="C97">
        <v>150</v>
      </c>
      <c r="D97">
        <v>6000</v>
      </c>
      <c r="E97">
        <f t="shared" si="1"/>
        <v>900000</v>
      </c>
    </row>
    <row r="98" spans="1:5" x14ac:dyDescent="0.3">
      <c r="A98" t="s">
        <v>136</v>
      </c>
      <c r="B98" t="s">
        <v>4</v>
      </c>
      <c r="C98">
        <v>60</v>
      </c>
      <c r="D98">
        <v>32000</v>
      </c>
      <c r="E98">
        <f t="shared" si="1"/>
        <v>1920000</v>
      </c>
    </row>
    <row r="99" spans="1:5" x14ac:dyDescent="0.3">
      <c r="A99" t="s">
        <v>161</v>
      </c>
      <c r="B99" t="s">
        <v>4</v>
      </c>
      <c r="C99">
        <v>10</v>
      </c>
      <c r="D99">
        <v>21000</v>
      </c>
      <c r="E99">
        <f t="shared" si="1"/>
        <v>210000</v>
      </c>
    </row>
    <row r="100" spans="1:5" x14ac:dyDescent="0.3">
      <c r="A100" t="s">
        <v>128</v>
      </c>
      <c r="B100" t="s">
        <v>4</v>
      </c>
      <c r="C100">
        <v>3.5</v>
      </c>
      <c r="D100">
        <v>12000</v>
      </c>
      <c r="E100">
        <f t="shared" si="1"/>
        <v>42000</v>
      </c>
    </row>
    <row r="101" spans="1:5" x14ac:dyDescent="0.3">
      <c r="A101" t="s">
        <v>208</v>
      </c>
      <c r="B101" t="s">
        <v>209</v>
      </c>
      <c r="C101">
        <v>60</v>
      </c>
      <c r="D101">
        <v>13000</v>
      </c>
      <c r="E101">
        <f t="shared" si="1"/>
        <v>780000</v>
      </c>
    </row>
    <row r="102" spans="1:5" hidden="1" x14ac:dyDescent="0.3">
      <c r="E102">
        <f t="shared" si="1"/>
        <v>0</v>
      </c>
    </row>
    <row r="103" spans="1:5" hidden="1" x14ac:dyDescent="0.3">
      <c r="E103">
        <f t="shared" si="1"/>
        <v>0</v>
      </c>
    </row>
    <row r="104" spans="1:5" x14ac:dyDescent="0.3">
      <c r="E104">
        <f>SUM(E4:E101)</f>
        <v>160310400</v>
      </c>
    </row>
    <row r="105" spans="1:5" x14ac:dyDescent="0.3">
      <c r="A105" t="s">
        <v>0</v>
      </c>
      <c r="B105" t="s">
        <v>1</v>
      </c>
      <c r="C105" t="s">
        <v>2</v>
      </c>
      <c r="D105" t="s">
        <v>199</v>
      </c>
      <c r="E105" t="s">
        <v>138</v>
      </c>
    </row>
    <row r="106" spans="1:5" hidden="1" x14ac:dyDescent="0.3">
      <c r="A106" t="s">
        <v>144</v>
      </c>
      <c r="B106" t="s">
        <v>50</v>
      </c>
      <c r="E106">
        <f t="shared" si="1"/>
        <v>0</v>
      </c>
    </row>
    <row r="107" spans="1:5" x14ac:dyDescent="0.3">
      <c r="A107" t="s">
        <v>27</v>
      </c>
      <c r="B107" t="s">
        <v>4</v>
      </c>
      <c r="C107">
        <v>140</v>
      </c>
      <c r="D107">
        <v>6500</v>
      </c>
      <c r="E107">
        <f t="shared" si="1"/>
        <v>910000</v>
      </c>
    </row>
    <row r="108" spans="1:5" x14ac:dyDescent="0.3">
      <c r="A108" t="s">
        <v>28</v>
      </c>
      <c r="B108" t="s">
        <v>4</v>
      </c>
      <c r="C108">
        <v>40</v>
      </c>
      <c r="D108">
        <v>18000</v>
      </c>
      <c r="E108">
        <f t="shared" si="1"/>
        <v>720000</v>
      </c>
    </row>
    <row r="109" spans="1:5" hidden="1" x14ac:dyDescent="0.3">
      <c r="A109" t="s">
        <v>29</v>
      </c>
      <c r="B109" t="s">
        <v>4</v>
      </c>
      <c r="E109">
        <f t="shared" si="1"/>
        <v>0</v>
      </c>
    </row>
    <row r="110" spans="1:5" hidden="1" x14ac:dyDescent="0.3">
      <c r="A110" t="s">
        <v>57</v>
      </c>
      <c r="B110" t="s">
        <v>31</v>
      </c>
      <c r="E110">
        <f t="shared" si="1"/>
        <v>0</v>
      </c>
    </row>
    <row r="111" spans="1:5" x14ac:dyDescent="0.3">
      <c r="A111" t="s">
        <v>32</v>
      </c>
      <c r="B111" t="s">
        <v>4</v>
      </c>
      <c r="C111">
        <v>200</v>
      </c>
      <c r="D111">
        <v>19000</v>
      </c>
      <c r="E111">
        <f t="shared" si="1"/>
        <v>3800000</v>
      </c>
    </row>
    <row r="112" spans="1:5" hidden="1" x14ac:dyDescent="0.3">
      <c r="A112" t="s">
        <v>33</v>
      </c>
      <c r="B112" t="s">
        <v>31</v>
      </c>
      <c r="E112">
        <f t="shared" si="1"/>
        <v>0</v>
      </c>
    </row>
    <row r="113" spans="1:5" x14ac:dyDescent="0.3">
      <c r="A113" t="s">
        <v>34</v>
      </c>
      <c r="B113" t="s">
        <v>4</v>
      </c>
      <c r="C113">
        <v>200</v>
      </c>
      <c r="D113">
        <v>15000</v>
      </c>
      <c r="E113">
        <f t="shared" si="1"/>
        <v>3000000</v>
      </c>
    </row>
    <row r="114" spans="1:5" hidden="1" x14ac:dyDescent="0.3">
      <c r="A114" t="s">
        <v>34</v>
      </c>
      <c r="B114" t="s">
        <v>31</v>
      </c>
      <c r="E114">
        <f t="shared" si="1"/>
        <v>0</v>
      </c>
    </row>
    <row r="115" spans="1:5" x14ac:dyDescent="0.3">
      <c r="A115" t="s">
        <v>35</v>
      </c>
      <c r="B115" t="s">
        <v>4</v>
      </c>
      <c r="C115">
        <v>75</v>
      </c>
      <c r="D115">
        <v>18000</v>
      </c>
      <c r="E115">
        <f t="shared" si="1"/>
        <v>1350000</v>
      </c>
    </row>
    <row r="116" spans="1:5" hidden="1" x14ac:dyDescent="0.3">
      <c r="A116" t="s">
        <v>13</v>
      </c>
      <c r="B116" t="s">
        <v>4</v>
      </c>
      <c r="E116">
        <f t="shared" si="1"/>
        <v>0</v>
      </c>
    </row>
    <row r="117" spans="1:5" hidden="1" x14ac:dyDescent="0.3">
      <c r="A117" t="s">
        <v>14</v>
      </c>
      <c r="B117" t="s">
        <v>4</v>
      </c>
      <c r="E117">
        <f t="shared" si="1"/>
        <v>0</v>
      </c>
    </row>
    <row r="118" spans="1:5" x14ac:dyDescent="0.3">
      <c r="A118" t="s">
        <v>3</v>
      </c>
      <c r="B118" t="s">
        <v>4</v>
      </c>
      <c r="C118">
        <v>15</v>
      </c>
      <c r="D118">
        <v>30000</v>
      </c>
      <c r="E118">
        <f t="shared" si="1"/>
        <v>450000</v>
      </c>
    </row>
    <row r="119" spans="1:5" x14ac:dyDescent="0.3">
      <c r="A119" t="s">
        <v>5</v>
      </c>
      <c r="B119" t="s">
        <v>4</v>
      </c>
      <c r="C119">
        <v>50</v>
      </c>
      <c r="D119">
        <v>17000</v>
      </c>
      <c r="E119">
        <f t="shared" si="1"/>
        <v>850000</v>
      </c>
    </row>
    <row r="120" spans="1:5" x14ac:dyDescent="0.3">
      <c r="A120" t="s">
        <v>6</v>
      </c>
      <c r="B120" t="s">
        <v>4</v>
      </c>
      <c r="C120">
        <v>1200</v>
      </c>
      <c r="D120">
        <v>13500</v>
      </c>
      <c r="E120">
        <f t="shared" si="1"/>
        <v>16200000</v>
      </c>
    </row>
    <row r="121" spans="1:5" x14ac:dyDescent="0.3">
      <c r="A121" t="s">
        <v>22</v>
      </c>
      <c r="B121" t="s">
        <v>4</v>
      </c>
      <c r="C121">
        <v>500</v>
      </c>
      <c r="D121">
        <v>7500</v>
      </c>
      <c r="E121">
        <f t="shared" si="1"/>
        <v>3750000</v>
      </c>
    </row>
    <row r="122" spans="1:5" x14ac:dyDescent="0.3">
      <c r="A122" t="s">
        <v>24</v>
      </c>
      <c r="B122" t="s">
        <v>4</v>
      </c>
      <c r="C122">
        <v>70</v>
      </c>
      <c r="D122">
        <v>14000</v>
      </c>
      <c r="E122">
        <f t="shared" si="1"/>
        <v>980000</v>
      </c>
    </row>
    <row r="123" spans="1:5" hidden="1" x14ac:dyDescent="0.3">
      <c r="A123" t="s">
        <v>40</v>
      </c>
      <c r="B123" t="s">
        <v>4</v>
      </c>
      <c r="E123">
        <f t="shared" si="1"/>
        <v>0</v>
      </c>
    </row>
    <row r="124" spans="1:5" x14ac:dyDescent="0.3">
      <c r="A124" t="s">
        <v>7</v>
      </c>
      <c r="B124" t="s">
        <v>4</v>
      </c>
      <c r="C124">
        <v>8</v>
      </c>
      <c r="D124">
        <v>7500</v>
      </c>
      <c r="E124">
        <f t="shared" si="1"/>
        <v>60000</v>
      </c>
    </row>
    <row r="125" spans="1:5" x14ac:dyDescent="0.3">
      <c r="A125" t="s">
        <v>8</v>
      </c>
      <c r="B125" t="s">
        <v>4</v>
      </c>
      <c r="C125">
        <v>500</v>
      </c>
      <c r="D125">
        <v>5300</v>
      </c>
      <c r="E125">
        <f t="shared" si="1"/>
        <v>2650000</v>
      </c>
    </row>
    <row r="126" spans="1:5" x14ac:dyDescent="0.3">
      <c r="A126" t="s">
        <v>10</v>
      </c>
      <c r="B126" t="s">
        <v>4</v>
      </c>
      <c r="C126">
        <v>50</v>
      </c>
      <c r="D126">
        <v>10000</v>
      </c>
      <c r="E126">
        <f t="shared" si="1"/>
        <v>500000</v>
      </c>
    </row>
    <row r="127" spans="1:5" x14ac:dyDescent="0.3">
      <c r="A127" t="s">
        <v>15</v>
      </c>
      <c r="B127" t="s">
        <v>4</v>
      </c>
      <c r="C127">
        <v>200</v>
      </c>
      <c r="D127">
        <v>21000</v>
      </c>
      <c r="E127">
        <f t="shared" si="1"/>
        <v>4200000</v>
      </c>
    </row>
    <row r="128" spans="1:5" x14ac:dyDescent="0.3">
      <c r="A128" t="s">
        <v>18</v>
      </c>
      <c r="B128" t="s">
        <v>4</v>
      </c>
      <c r="C128">
        <v>300</v>
      </c>
      <c r="D128">
        <v>15500</v>
      </c>
      <c r="E128">
        <f t="shared" si="1"/>
        <v>4650000</v>
      </c>
    </row>
    <row r="129" spans="1:5" x14ac:dyDescent="0.3">
      <c r="A129" t="s">
        <v>21</v>
      </c>
      <c r="B129" t="s">
        <v>4</v>
      </c>
      <c r="C129">
        <v>40</v>
      </c>
      <c r="D129">
        <v>9000</v>
      </c>
      <c r="E129">
        <f t="shared" si="1"/>
        <v>360000</v>
      </c>
    </row>
    <row r="130" spans="1:5" hidden="1" x14ac:dyDescent="0.3">
      <c r="A130" t="s">
        <v>43</v>
      </c>
      <c r="B130" t="s">
        <v>4</v>
      </c>
      <c r="E130">
        <f t="shared" si="1"/>
        <v>0</v>
      </c>
    </row>
    <row r="131" spans="1:5" x14ac:dyDescent="0.3">
      <c r="A131" t="s">
        <v>44</v>
      </c>
      <c r="B131" t="s">
        <v>4</v>
      </c>
      <c r="C131">
        <v>20</v>
      </c>
      <c r="D131">
        <v>16000</v>
      </c>
      <c r="E131">
        <f t="shared" si="1"/>
        <v>320000</v>
      </c>
    </row>
    <row r="132" spans="1:5" x14ac:dyDescent="0.3">
      <c r="A132" t="s">
        <v>45</v>
      </c>
      <c r="B132" t="s">
        <v>4</v>
      </c>
      <c r="C132">
        <v>20</v>
      </c>
      <c r="D132">
        <v>26000</v>
      </c>
      <c r="E132">
        <f t="shared" si="1"/>
        <v>520000</v>
      </c>
    </row>
    <row r="133" spans="1:5" x14ac:dyDescent="0.3">
      <c r="A133" t="s">
        <v>47</v>
      </c>
      <c r="B133" t="s">
        <v>4</v>
      </c>
      <c r="C133">
        <v>100</v>
      </c>
      <c r="D133">
        <v>10500</v>
      </c>
      <c r="E133">
        <f t="shared" si="1"/>
        <v>1050000</v>
      </c>
    </row>
    <row r="134" spans="1:5" x14ac:dyDescent="0.3">
      <c r="A134" t="s">
        <v>26</v>
      </c>
      <c r="B134" t="s">
        <v>4</v>
      </c>
      <c r="C134">
        <v>100</v>
      </c>
      <c r="D134">
        <v>13000</v>
      </c>
      <c r="E134">
        <f t="shared" ref="E134:E146" si="2">C134*D134</f>
        <v>1300000</v>
      </c>
    </row>
    <row r="135" spans="1:5" x14ac:dyDescent="0.3">
      <c r="A135" t="s">
        <v>25</v>
      </c>
      <c r="B135" t="s">
        <v>4</v>
      </c>
      <c r="C135">
        <v>34</v>
      </c>
      <c r="D135">
        <v>25000</v>
      </c>
      <c r="E135">
        <f t="shared" si="2"/>
        <v>850000</v>
      </c>
    </row>
    <row r="136" spans="1:5" x14ac:dyDescent="0.3">
      <c r="A136" t="s">
        <v>23</v>
      </c>
      <c r="B136" t="s">
        <v>4</v>
      </c>
      <c r="C136">
        <v>30</v>
      </c>
      <c r="D136">
        <v>16000</v>
      </c>
      <c r="E136">
        <f t="shared" si="2"/>
        <v>480000</v>
      </c>
    </row>
    <row r="137" spans="1:5" hidden="1" x14ac:dyDescent="0.3">
      <c r="A137" t="s">
        <v>9</v>
      </c>
      <c r="B137" t="s">
        <v>4</v>
      </c>
      <c r="E137">
        <f t="shared" si="2"/>
        <v>0</v>
      </c>
    </row>
    <row r="138" spans="1:5" hidden="1" x14ac:dyDescent="0.3">
      <c r="A138" t="s">
        <v>156</v>
      </c>
      <c r="B138" t="s">
        <v>4</v>
      </c>
      <c r="E138">
        <f t="shared" si="2"/>
        <v>0</v>
      </c>
    </row>
    <row r="139" spans="1:5" hidden="1" x14ac:dyDescent="0.3">
      <c r="A139" t="s">
        <v>171</v>
      </c>
      <c r="B139" t="s">
        <v>4</v>
      </c>
      <c r="E139">
        <f t="shared" si="2"/>
        <v>0</v>
      </c>
    </row>
    <row r="140" spans="1:5" x14ac:dyDescent="0.3">
      <c r="A140" t="s">
        <v>41</v>
      </c>
      <c r="B140" t="s">
        <v>4</v>
      </c>
      <c r="C140">
        <v>240</v>
      </c>
      <c r="D140">
        <v>28600</v>
      </c>
      <c r="E140">
        <f t="shared" si="2"/>
        <v>6864000</v>
      </c>
    </row>
    <row r="141" spans="1:5" hidden="1" x14ac:dyDescent="0.3">
      <c r="A141" t="s">
        <v>20</v>
      </c>
      <c r="B141" t="s">
        <v>4</v>
      </c>
      <c r="E141">
        <f t="shared" si="2"/>
        <v>0</v>
      </c>
    </row>
    <row r="142" spans="1:5" hidden="1" x14ac:dyDescent="0.3">
      <c r="A142" t="s">
        <v>123</v>
      </c>
      <c r="B142" t="s">
        <v>31</v>
      </c>
      <c r="E142">
        <f t="shared" si="2"/>
        <v>0</v>
      </c>
    </row>
    <row r="143" spans="1:5" x14ac:dyDescent="0.3">
      <c r="A143" t="s">
        <v>37</v>
      </c>
      <c r="B143" t="s">
        <v>151</v>
      </c>
      <c r="C143">
        <v>126</v>
      </c>
      <c r="D143">
        <v>10000</v>
      </c>
      <c r="E143">
        <f t="shared" si="2"/>
        <v>1260000</v>
      </c>
    </row>
    <row r="144" spans="1:5" hidden="1" x14ac:dyDescent="0.3">
      <c r="A144" t="s">
        <v>12</v>
      </c>
      <c r="B144" t="s">
        <v>4</v>
      </c>
      <c r="E144">
        <f t="shared" si="2"/>
        <v>0</v>
      </c>
    </row>
    <row r="145" spans="1:5" hidden="1" x14ac:dyDescent="0.3">
      <c r="A145" t="s">
        <v>124</v>
      </c>
      <c r="B145" t="s">
        <v>4</v>
      </c>
      <c r="E145">
        <f t="shared" si="2"/>
        <v>0</v>
      </c>
    </row>
    <row r="146" spans="1:5" x14ac:dyDescent="0.3">
      <c r="A146" t="s">
        <v>145</v>
      </c>
      <c r="B146" t="s">
        <v>4</v>
      </c>
      <c r="C146">
        <v>1200</v>
      </c>
      <c r="D146">
        <v>5500</v>
      </c>
      <c r="E146">
        <f t="shared" si="2"/>
        <v>6600000</v>
      </c>
    </row>
    <row r="147" spans="1:5" x14ac:dyDescent="0.3">
      <c r="E147">
        <f>SUM(E107:E146)</f>
        <v>63674000</v>
      </c>
    </row>
    <row r="148" spans="1:5" x14ac:dyDescent="0.3">
      <c r="E148">
        <f>SUM(E104,E147)</f>
        <v>223984400</v>
      </c>
    </row>
  </sheetData>
  <autoFilter ref="A3:E146" xr:uid="{00000000-0009-0000-0000-000011000000}">
    <filterColumn colId="2">
      <filters>
        <filter val="10"/>
        <filter val="100"/>
        <filter val="113"/>
        <filter val="12"/>
        <filter val="1200"/>
        <filter val="126"/>
        <filter val="127"/>
        <filter val="1387"/>
        <filter val="140"/>
        <filter val="15"/>
        <filter val="150"/>
        <filter val="1500"/>
        <filter val="160"/>
        <filter val="17"/>
        <filter val="18"/>
        <filter val="188"/>
        <filter val="20"/>
        <filter val="200"/>
        <filter val="22"/>
        <filter val="23"/>
        <filter val="240"/>
        <filter val="250"/>
        <filter val="260"/>
        <filter val="28"/>
        <filter val="3"/>
        <filter val="3.5"/>
        <filter val="30"/>
        <filter val="300"/>
        <filter val="34"/>
        <filter val="390"/>
        <filter val="4"/>
        <filter val="4.8"/>
        <filter val="40"/>
        <filter val="404"/>
        <filter val="5"/>
        <filter val="50"/>
        <filter val="500"/>
        <filter val="51"/>
        <filter val="520"/>
        <filter val="6"/>
        <filter val="60"/>
        <filter val="640"/>
        <filter val="65"/>
        <filter val="7"/>
        <filter val="70"/>
        <filter val="75"/>
        <filter val="759"/>
        <filter val="78"/>
        <filter val="8"/>
        <filter val="83"/>
        <filter val="84"/>
        <filter val="850"/>
        <filter val="892"/>
        <filter val="95"/>
        <filter val="Tồn_x000a_ĐL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2:E166"/>
  <sheetViews>
    <sheetView topLeftCell="A139" workbookViewId="0">
      <selection activeCell="E166" sqref="E166"/>
    </sheetView>
  </sheetViews>
  <sheetFormatPr defaultRowHeight="14.4" x14ac:dyDescent="0.3"/>
  <cols>
    <col min="1" max="1" width="31" customWidth="1"/>
    <col min="3" max="3" width="11.77734375" customWidth="1"/>
    <col min="4" max="4" width="13.33203125" customWidth="1"/>
    <col min="5" max="5" width="15.88671875" customWidth="1"/>
  </cols>
  <sheetData>
    <row r="2" spans="1:5" x14ac:dyDescent="0.3">
      <c r="A2" t="s">
        <v>210</v>
      </c>
    </row>
    <row r="3" spans="1:5" x14ac:dyDescent="0.3">
      <c r="A3" t="s">
        <v>0</v>
      </c>
      <c r="B3" t="s">
        <v>1</v>
      </c>
      <c r="C3" t="s">
        <v>2</v>
      </c>
      <c r="D3" t="s">
        <v>211</v>
      </c>
      <c r="E3" t="s">
        <v>138</v>
      </c>
    </row>
    <row r="4" spans="1:5" x14ac:dyDescent="0.3">
      <c r="A4" t="s">
        <v>49</v>
      </c>
      <c r="B4" t="s">
        <v>4</v>
      </c>
      <c r="C4">
        <v>230</v>
      </c>
      <c r="D4">
        <v>14000</v>
      </c>
      <c r="E4">
        <f>C4*D4</f>
        <v>3220000</v>
      </c>
    </row>
    <row r="5" spans="1:5" hidden="1" x14ac:dyDescent="0.3">
      <c r="A5" t="s">
        <v>49</v>
      </c>
      <c r="B5" t="s">
        <v>31</v>
      </c>
      <c r="C5">
        <v>0</v>
      </c>
      <c r="E5">
        <f t="shared" ref="E5:E68" si="0">C5*D5</f>
        <v>0</v>
      </c>
    </row>
    <row r="6" spans="1:5" hidden="1" x14ac:dyDescent="0.3">
      <c r="A6" t="s">
        <v>19</v>
      </c>
      <c r="B6" t="s">
        <v>4</v>
      </c>
      <c r="E6">
        <f t="shared" si="0"/>
        <v>0</v>
      </c>
    </row>
    <row r="7" spans="1:5" x14ac:dyDescent="0.3">
      <c r="A7" t="s">
        <v>19</v>
      </c>
      <c r="B7" t="s">
        <v>50</v>
      </c>
      <c r="C7">
        <v>24</v>
      </c>
      <c r="D7">
        <v>11000</v>
      </c>
      <c r="E7">
        <f t="shared" si="0"/>
        <v>264000</v>
      </c>
    </row>
    <row r="8" spans="1:5" hidden="1" x14ac:dyDescent="0.3">
      <c r="A8" t="s">
        <v>51</v>
      </c>
      <c r="B8" t="s">
        <v>53</v>
      </c>
      <c r="C8">
        <v>0</v>
      </c>
      <c r="E8">
        <f t="shared" si="0"/>
        <v>0</v>
      </c>
    </row>
    <row r="9" spans="1:5" hidden="1" x14ac:dyDescent="0.3">
      <c r="A9" t="s">
        <v>51</v>
      </c>
      <c r="B9" t="s">
        <v>4</v>
      </c>
      <c r="C9">
        <v>0</v>
      </c>
      <c r="E9">
        <f t="shared" si="0"/>
        <v>0</v>
      </c>
    </row>
    <row r="10" spans="1:5" x14ac:dyDescent="0.3">
      <c r="A10" t="s">
        <v>28</v>
      </c>
      <c r="B10" t="s">
        <v>4</v>
      </c>
      <c r="C10">
        <v>30</v>
      </c>
      <c r="D10">
        <v>18000</v>
      </c>
      <c r="E10">
        <f t="shared" si="0"/>
        <v>540000</v>
      </c>
    </row>
    <row r="11" spans="1:5" hidden="1" x14ac:dyDescent="0.3">
      <c r="A11" t="s">
        <v>28</v>
      </c>
      <c r="B11" t="s">
        <v>31</v>
      </c>
      <c r="C11">
        <v>0</v>
      </c>
      <c r="E11">
        <f t="shared" si="0"/>
        <v>0</v>
      </c>
    </row>
    <row r="12" spans="1:5" x14ac:dyDescent="0.3">
      <c r="A12" t="s">
        <v>29</v>
      </c>
      <c r="B12" t="s">
        <v>4</v>
      </c>
      <c r="C12">
        <v>1615</v>
      </c>
      <c r="D12">
        <v>22000</v>
      </c>
      <c r="E12">
        <f t="shared" si="0"/>
        <v>35530000</v>
      </c>
    </row>
    <row r="13" spans="1:5" hidden="1" x14ac:dyDescent="0.3">
      <c r="A13" t="s">
        <v>29</v>
      </c>
      <c r="B13" t="s">
        <v>150</v>
      </c>
      <c r="C13">
        <v>0</v>
      </c>
      <c r="E13">
        <f t="shared" si="0"/>
        <v>0</v>
      </c>
    </row>
    <row r="14" spans="1:5" x14ac:dyDescent="0.3">
      <c r="A14" t="s">
        <v>56</v>
      </c>
      <c r="B14" t="s">
        <v>31</v>
      </c>
      <c r="C14">
        <v>1347</v>
      </c>
      <c r="D14">
        <v>4500</v>
      </c>
      <c r="E14">
        <f t="shared" si="0"/>
        <v>6061500</v>
      </c>
    </row>
    <row r="15" spans="1:5" x14ac:dyDescent="0.3">
      <c r="A15" t="s">
        <v>57</v>
      </c>
      <c r="B15" t="s">
        <v>4</v>
      </c>
      <c r="C15">
        <v>729</v>
      </c>
      <c r="D15">
        <v>25000</v>
      </c>
      <c r="E15">
        <f t="shared" si="0"/>
        <v>18225000</v>
      </c>
    </row>
    <row r="16" spans="1:5" hidden="1" x14ac:dyDescent="0.3">
      <c r="A16" t="s">
        <v>57</v>
      </c>
      <c r="B16" t="s">
        <v>31</v>
      </c>
      <c r="C16">
        <v>0</v>
      </c>
      <c r="E16">
        <f t="shared" si="0"/>
        <v>0</v>
      </c>
    </row>
    <row r="17" spans="1:5" x14ac:dyDescent="0.3">
      <c r="A17" t="s">
        <v>32</v>
      </c>
      <c r="B17" t="s">
        <v>4</v>
      </c>
      <c r="C17">
        <v>120</v>
      </c>
      <c r="D17">
        <v>18000</v>
      </c>
      <c r="E17">
        <f t="shared" si="0"/>
        <v>2160000</v>
      </c>
    </row>
    <row r="18" spans="1:5" x14ac:dyDescent="0.3">
      <c r="A18" t="s">
        <v>34</v>
      </c>
      <c r="B18" t="s">
        <v>4</v>
      </c>
      <c r="C18">
        <v>245</v>
      </c>
      <c r="D18">
        <v>15000</v>
      </c>
      <c r="E18">
        <f t="shared" si="0"/>
        <v>3675000</v>
      </c>
    </row>
    <row r="19" spans="1:5" hidden="1" x14ac:dyDescent="0.3">
      <c r="A19" t="s">
        <v>34</v>
      </c>
      <c r="B19" t="s">
        <v>31</v>
      </c>
      <c r="C19">
        <v>0</v>
      </c>
      <c r="E19">
        <f t="shared" si="0"/>
        <v>0</v>
      </c>
    </row>
    <row r="20" spans="1:5" hidden="1" x14ac:dyDescent="0.3">
      <c r="A20" t="s">
        <v>60</v>
      </c>
      <c r="B20" t="s">
        <v>50</v>
      </c>
      <c r="C20">
        <v>0</v>
      </c>
      <c r="E20">
        <f t="shared" si="0"/>
        <v>0</v>
      </c>
    </row>
    <row r="21" spans="1:5" x14ac:dyDescent="0.3">
      <c r="A21" t="s">
        <v>6</v>
      </c>
      <c r="B21" t="s">
        <v>4</v>
      </c>
      <c r="C21">
        <v>442</v>
      </c>
      <c r="D21">
        <v>13500</v>
      </c>
      <c r="E21">
        <f t="shared" si="0"/>
        <v>5967000</v>
      </c>
    </row>
    <row r="22" spans="1:5" hidden="1" x14ac:dyDescent="0.3">
      <c r="A22" t="s">
        <v>62</v>
      </c>
      <c r="B22" t="s">
        <v>4</v>
      </c>
      <c r="C22">
        <v>0</v>
      </c>
      <c r="E22">
        <f t="shared" si="0"/>
        <v>0</v>
      </c>
    </row>
    <row r="23" spans="1:5" x14ac:dyDescent="0.3">
      <c r="A23" t="s">
        <v>62</v>
      </c>
      <c r="B23" t="s">
        <v>31</v>
      </c>
      <c r="C23">
        <v>9</v>
      </c>
      <c r="D23">
        <v>12000</v>
      </c>
      <c r="E23">
        <f t="shared" si="0"/>
        <v>108000</v>
      </c>
    </row>
    <row r="24" spans="1:5" hidden="1" x14ac:dyDescent="0.3">
      <c r="A24" t="s">
        <v>64</v>
      </c>
      <c r="B24" t="s">
        <v>4</v>
      </c>
      <c r="C24">
        <v>0</v>
      </c>
      <c r="E24">
        <f t="shared" si="0"/>
        <v>0</v>
      </c>
    </row>
    <row r="25" spans="1:5" x14ac:dyDescent="0.3">
      <c r="A25" t="s">
        <v>64</v>
      </c>
      <c r="B25" t="s">
        <v>31</v>
      </c>
      <c r="C25">
        <v>4</v>
      </c>
      <c r="D25">
        <v>10000</v>
      </c>
      <c r="E25">
        <f t="shared" si="0"/>
        <v>40000</v>
      </c>
    </row>
    <row r="26" spans="1:5" x14ac:dyDescent="0.3">
      <c r="A26" t="s">
        <v>22</v>
      </c>
      <c r="B26" t="s">
        <v>4</v>
      </c>
      <c r="C26">
        <v>660</v>
      </c>
      <c r="D26">
        <v>5000</v>
      </c>
      <c r="E26">
        <f t="shared" si="0"/>
        <v>3300000</v>
      </c>
    </row>
    <row r="27" spans="1:5" hidden="1" x14ac:dyDescent="0.3">
      <c r="A27" t="s">
        <v>24</v>
      </c>
      <c r="B27" t="s">
        <v>66</v>
      </c>
      <c r="C27">
        <v>0</v>
      </c>
      <c r="E27">
        <f t="shared" si="0"/>
        <v>0</v>
      </c>
    </row>
    <row r="28" spans="1:5" hidden="1" x14ac:dyDescent="0.3">
      <c r="A28" t="s">
        <v>24</v>
      </c>
      <c r="B28" t="s">
        <v>4</v>
      </c>
      <c r="C28">
        <v>0</v>
      </c>
      <c r="E28">
        <f t="shared" si="0"/>
        <v>0</v>
      </c>
    </row>
    <row r="29" spans="1:5" hidden="1" x14ac:dyDescent="0.3">
      <c r="A29" t="s">
        <v>75</v>
      </c>
      <c r="B29" t="s">
        <v>4</v>
      </c>
      <c r="C29">
        <v>0</v>
      </c>
      <c r="E29">
        <f t="shared" si="0"/>
        <v>0</v>
      </c>
    </row>
    <row r="30" spans="1:5" x14ac:dyDescent="0.3">
      <c r="A30" t="s">
        <v>8</v>
      </c>
      <c r="B30" t="s">
        <v>4</v>
      </c>
      <c r="C30">
        <v>200</v>
      </c>
      <c r="D30">
        <v>5000</v>
      </c>
      <c r="E30">
        <f t="shared" si="0"/>
        <v>1000000</v>
      </c>
    </row>
    <row r="31" spans="1:5" x14ac:dyDescent="0.3">
      <c r="A31" t="s">
        <v>10</v>
      </c>
      <c r="B31" t="s">
        <v>4</v>
      </c>
      <c r="C31">
        <v>22</v>
      </c>
      <c r="D31">
        <v>10000</v>
      </c>
      <c r="E31">
        <f t="shared" si="0"/>
        <v>220000</v>
      </c>
    </row>
    <row r="32" spans="1:5" hidden="1" x14ac:dyDescent="0.3">
      <c r="A32" t="s">
        <v>10</v>
      </c>
      <c r="B32" t="s">
        <v>84</v>
      </c>
      <c r="C32">
        <v>0</v>
      </c>
      <c r="E32">
        <f t="shared" si="0"/>
        <v>0</v>
      </c>
    </row>
    <row r="33" spans="1:5" hidden="1" x14ac:dyDescent="0.3">
      <c r="A33" t="s">
        <v>10</v>
      </c>
      <c r="B33" t="s">
        <v>192</v>
      </c>
      <c r="C33">
        <v>0</v>
      </c>
      <c r="E33">
        <f t="shared" si="0"/>
        <v>0</v>
      </c>
    </row>
    <row r="34" spans="1:5" x14ac:dyDescent="0.3">
      <c r="A34" t="s">
        <v>11</v>
      </c>
      <c r="B34" t="s">
        <v>4</v>
      </c>
      <c r="C34">
        <v>38</v>
      </c>
      <c r="D34">
        <v>10000</v>
      </c>
      <c r="E34">
        <f t="shared" si="0"/>
        <v>380000</v>
      </c>
    </row>
    <row r="35" spans="1:5" hidden="1" x14ac:dyDescent="0.3">
      <c r="A35" t="s">
        <v>11</v>
      </c>
      <c r="B35" t="s">
        <v>84</v>
      </c>
      <c r="C35">
        <v>0</v>
      </c>
      <c r="E35">
        <f t="shared" si="0"/>
        <v>0</v>
      </c>
    </row>
    <row r="36" spans="1:5" x14ac:dyDescent="0.3">
      <c r="A36" t="s">
        <v>15</v>
      </c>
      <c r="B36" t="s">
        <v>4</v>
      </c>
      <c r="C36">
        <v>140</v>
      </c>
      <c r="D36">
        <v>21000</v>
      </c>
      <c r="E36">
        <f t="shared" si="0"/>
        <v>2940000</v>
      </c>
    </row>
    <row r="37" spans="1:5" hidden="1" x14ac:dyDescent="0.3">
      <c r="A37" t="s">
        <v>15</v>
      </c>
      <c r="B37" t="s">
        <v>50</v>
      </c>
      <c r="C37">
        <v>0</v>
      </c>
      <c r="E37">
        <f t="shared" si="0"/>
        <v>0</v>
      </c>
    </row>
    <row r="38" spans="1:5" hidden="1" x14ac:dyDescent="0.3">
      <c r="A38" t="s">
        <v>15</v>
      </c>
      <c r="B38" t="s">
        <v>164</v>
      </c>
      <c r="C38">
        <v>0</v>
      </c>
      <c r="E38">
        <f t="shared" si="0"/>
        <v>0</v>
      </c>
    </row>
    <row r="39" spans="1:5" x14ac:dyDescent="0.3">
      <c r="A39" t="s">
        <v>18</v>
      </c>
      <c r="B39" t="s">
        <v>4</v>
      </c>
      <c r="C39">
        <v>175</v>
      </c>
      <c r="D39">
        <v>16000</v>
      </c>
      <c r="E39">
        <f t="shared" si="0"/>
        <v>2800000</v>
      </c>
    </row>
    <row r="40" spans="1:5" hidden="1" x14ac:dyDescent="0.3">
      <c r="A40" t="s">
        <v>18</v>
      </c>
      <c r="B40" t="s">
        <v>50</v>
      </c>
      <c r="C40">
        <v>0</v>
      </c>
      <c r="E40">
        <f t="shared" si="0"/>
        <v>0</v>
      </c>
    </row>
    <row r="41" spans="1:5" x14ac:dyDescent="0.3">
      <c r="A41" t="s">
        <v>92</v>
      </c>
      <c r="B41" t="s">
        <v>31</v>
      </c>
      <c r="C41">
        <v>160</v>
      </c>
      <c r="D41">
        <v>11000</v>
      </c>
      <c r="E41">
        <f t="shared" si="0"/>
        <v>1760000</v>
      </c>
    </row>
    <row r="42" spans="1:5" x14ac:dyDescent="0.3">
      <c r="A42" t="s">
        <v>39</v>
      </c>
      <c r="B42" t="s">
        <v>4</v>
      </c>
      <c r="C42">
        <v>40</v>
      </c>
      <c r="D42">
        <v>6000</v>
      </c>
      <c r="E42">
        <f t="shared" si="0"/>
        <v>240000</v>
      </c>
    </row>
    <row r="43" spans="1:5" x14ac:dyDescent="0.3">
      <c r="A43" t="s">
        <v>39</v>
      </c>
      <c r="B43" t="s">
        <v>50</v>
      </c>
      <c r="C43">
        <v>252</v>
      </c>
      <c r="D43">
        <v>5000</v>
      </c>
      <c r="E43">
        <f t="shared" si="0"/>
        <v>1260000</v>
      </c>
    </row>
    <row r="44" spans="1:5" x14ac:dyDescent="0.3">
      <c r="A44" t="s">
        <v>100</v>
      </c>
      <c r="B44" t="s">
        <v>4</v>
      </c>
      <c r="C44">
        <v>30</v>
      </c>
      <c r="D44">
        <v>5000</v>
      </c>
      <c r="E44">
        <f t="shared" si="0"/>
        <v>150000</v>
      </c>
    </row>
    <row r="45" spans="1:5" x14ac:dyDescent="0.3">
      <c r="A45" t="s">
        <v>43</v>
      </c>
      <c r="B45" t="s">
        <v>4</v>
      </c>
      <c r="C45">
        <v>281</v>
      </c>
      <c r="D45">
        <v>37000</v>
      </c>
      <c r="E45">
        <f t="shared" si="0"/>
        <v>10397000</v>
      </c>
    </row>
    <row r="46" spans="1:5" hidden="1" x14ac:dyDescent="0.3">
      <c r="A46" t="s">
        <v>43</v>
      </c>
      <c r="B46" t="s">
        <v>84</v>
      </c>
      <c r="C46">
        <v>0</v>
      </c>
      <c r="E46">
        <f t="shared" si="0"/>
        <v>0</v>
      </c>
    </row>
    <row r="47" spans="1:5" hidden="1" x14ac:dyDescent="0.3">
      <c r="A47" t="s">
        <v>43</v>
      </c>
      <c r="B47" t="s">
        <v>193</v>
      </c>
      <c r="C47">
        <v>0</v>
      </c>
      <c r="E47">
        <f t="shared" si="0"/>
        <v>0</v>
      </c>
    </row>
    <row r="48" spans="1:5" x14ac:dyDescent="0.3">
      <c r="A48" t="s">
        <v>44</v>
      </c>
      <c r="B48" t="s">
        <v>4</v>
      </c>
      <c r="C48">
        <v>188</v>
      </c>
      <c r="D48">
        <v>18000</v>
      </c>
      <c r="E48">
        <f t="shared" si="0"/>
        <v>3384000</v>
      </c>
    </row>
    <row r="49" spans="1:5" hidden="1" x14ac:dyDescent="0.3">
      <c r="A49" t="s">
        <v>44</v>
      </c>
      <c r="B49" t="s">
        <v>84</v>
      </c>
      <c r="C49">
        <v>0</v>
      </c>
      <c r="E49">
        <f t="shared" si="0"/>
        <v>0</v>
      </c>
    </row>
    <row r="50" spans="1:5" hidden="1" x14ac:dyDescent="0.3">
      <c r="A50" t="s">
        <v>44</v>
      </c>
      <c r="B50" t="s">
        <v>193</v>
      </c>
      <c r="C50">
        <v>0</v>
      </c>
      <c r="E50">
        <f t="shared" si="0"/>
        <v>0</v>
      </c>
    </row>
    <row r="51" spans="1:5" x14ac:dyDescent="0.3">
      <c r="A51" t="s">
        <v>45</v>
      </c>
      <c r="B51" t="s">
        <v>4</v>
      </c>
      <c r="C51">
        <v>139</v>
      </c>
      <c r="D51">
        <v>26000</v>
      </c>
      <c r="E51">
        <f t="shared" si="0"/>
        <v>3614000</v>
      </c>
    </row>
    <row r="52" spans="1:5" hidden="1" x14ac:dyDescent="0.3">
      <c r="A52" t="s">
        <v>45</v>
      </c>
      <c r="B52" t="s">
        <v>84</v>
      </c>
      <c r="C52">
        <v>0</v>
      </c>
      <c r="E52">
        <f t="shared" si="0"/>
        <v>0</v>
      </c>
    </row>
    <row r="53" spans="1:5" hidden="1" x14ac:dyDescent="0.3">
      <c r="A53" t="s">
        <v>45</v>
      </c>
      <c r="B53" t="s">
        <v>193</v>
      </c>
      <c r="C53">
        <v>0</v>
      </c>
      <c r="E53">
        <f t="shared" si="0"/>
        <v>0</v>
      </c>
    </row>
    <row r="54" spans="1:5" hidden="1" x14ac:dyDescent="0.3">
      <c r="A54" t="s">
        <v>12</v>
      </c>
      <c r="B54" t="s">
        <v>4</v>
      </c>
      <c r="C54">
        <v>0</v>
      </c>
      <c r="E54">
        <f t="shared" si="0"/>
        <v>0</v>
      </c>
    </row>
    <row r="55" spans="1:5" hidden="1" x14ac:dyDescent="0.3">
      <c r="A55" t="s">
        <v>116</v>
      </c>
      <c r="B55" t="s">
        <v>50</v>
      </c>
      <c r="C55">
        <v>0</v>
      </c>
      <c r="E55">
        <f t="shared" si="0"/>
        <v>0</v>
      </c>
    </row>
    <row r="56" spans="1:5" x14ac:dyDescent="0.3">
      <c r="A56" t="s">
        <v>117</v>
      </c>
      <c r="B56" t="s">
        <v>4</v>
      </c>
      <c r="C56">
        <v>440</v>
      </c>
      <c r="D56">
        <v>25000</v>
      </c>
      <c r="E56">
        <f t="shared" si="0"/>
        <v>11000000</v>
      </c>
    </row>
    <row r="57" spans="1:5" x14ac:dyDescent="0.3">
      <c r="A57" t="s">
        <v>17</v>
      </c>
      <c r="B57" t="s">
        <v>4</v>
      </c>
      <c r="C57">
        <v>24</v>
      </c>
      <c r="D57">
        <v>35000</v>
      </c>
      <c r="E57">
        <f t="shared" si="0"/>
        <v>840000</v>
      </c>
    </row>
    <row r="58" spans="1:5" x14ac:dyDescent="0.3">
      <c r="A58" t="s">
        <v>17</v>
      </c>
      <c r="B58" t="s">
        <v>147</v>
      </c>
      <c r="C58">
        <v>80</v>
      </c>
      <c r="D58">
        <v>10500</v>
      </c>
      <c r="E58">
        <f t="shared" si="0"/>
        <v>840000</v>
      </c>
    </row>
    <row r="59" spans="1:5" hidden="1" x14ac:dyDescent="0.3">
      <c r="A59" t="s">
        <v>17</v>
      </c>
      <c r="B59" t="s">
        <v>203</v>
      </c>
      <c r="C59">
        <v>0</v>
      </c>
      <c r="E59">
        <f t="shared" si="0"/>
        <v>0</v>
      </c>
    </row>
    <row r="60" spans="1:5" hidden="1" x14ac:dyDescent="0.3">
      <c r="A60" t="s">
        <v>118</v>
      </c>
      <c r="B60" t="s">
        <v>4</v>
      </c>
      <c r="C60">
        <v>0</v>
      </c>
      <c r="E60">
        <f t="shared" si="0"/>
        <v>0</v>
      </c>
    </row>
    <row r="61" spans="1:5" x14ac:dyDescent="0.3">
      <c r="A61" t="s">
        <v>41</v>
      </c>
      <c r="B61" t="s">
        <v>4</v>
      </c>
      <c r="C61">
        <v>1000</v>
      </c>
      <c r="D61">
        <v>28600</v>
      </c>
      <c r="E61">
        <f t="shared" si="0"/>
        <v>28600000</v>
      </c>
    </row>
    <row r="62" spans="1:5" x14ac:dyDescent="0.3">
      <c r="A62" t="s">
        <v>3</v>
      </c>
      <c r="B62" t="s">
        <v>4</v>
      </c>
      <c r="C62">
        <v>31</v>
      </c>
      <c r="D62">
        <v>30000</v>
      </c>
      <c r="E62">
        <f t="shared" si="0"/>
        <v>930000</v>
      </c>
    </row>
    <row r="63" spans="1:5" x14ac:dyDescent="0.3">
      <c r="A63" t="s">
        <v>5</v>
      </c>
      <c r="B63" t="s">
        <v>4</v>
      </c>
      <c r="C63">
        <v>165</v>
      </c>
      <c r="D63">
        <v>17000</v>
      </c>
      <c r="E63">
        <f t="shared" si="0"/>
        <v>2805000</v>
      </c>
    </row>
    <row r="64" spans="1:5" x14ac:dyDescent="0.3">
      <c r="A64" t="s">
        <v>13</v>
      </c>
      <c r="B64" t="s">
        <v>4</v>
      </c>
      <c r="C64">
        <v>14</v>
      </c>
      <c r="D64">
        <v>27000</v>
      </c>
      <c r="E64">
        <f t="shared" si="0"/>
        <v>378000</v>
      </c>
    </row>
    <row r="65" spans="1:5" hidden="1" x14ac:dyDescent="0.3">
      <c r="A65" t="s">
        <v>175</v>
      </c>
      <c r="B65" t="s">
        <v>4</v>
      </c>
      <c r="C65">
        <v>0</v>
      </c>
      <c r="E65">
        <f t="shared" si="0"/>
        <v>0</v>
      </c>
    </row>
    <row r="66" spans="1:5" x14ac:dyDescent="0.3">
      <c r="A66" t="s">
        <v>16</v>
      </c>
      <c r="B66" t="s">
        <v>4</v>
      </c>
      <c r="C66">
        <v>37</v>
      </c>
      <c r="D66">
        <v>15000</v>
      </c>
      <c r="E66">
        <f t="shared" si="0"/>
        <v>555000</v>
      </c>
    </row>
    <row r="67" spans="1:5" hidden="1" x14ac:dyDescent="0.3">
      <c r="A67" t="s">
        <v>16</v>
      </c>
      <c r="B67" t="s">
        <v>165</v>
      </c>
      <c r="C67">
        <v>0</v>
      </c>
      <c r="E67">
        <f t="shared" si="0"/>
        <v>0</v>
      </c>
    </row>
    <row r="68" spans="1:5" hidden="1" x14ac:dyDescent="0.3">
      <c r="A68" t="s">
        <v>89</v>
      </c>
      <c r="B68" t="s">
        <v>53</v>
      </c>
      <c r="C68">
        <v>0</v>
      </c>
      <c r="E68">
        <f t="shared" si="0"/>
        <v>0</v>
      </c>
    </row>
    <row r="69" spans="1:5" hidden="1" x14ac:dyDescent="0.3">
      <c r="A69" t="s">
        <v>90</v>
      </c>
      <c r="B69" t="s">
        <v>4</v>
      </c>
      <c r="C69">
        <v>0</v>
      </c>
      <c r="E69">
        <f t="shared" ref="E69:E133" si="1">C69*D69</f>
        <v>0</v>
      </c>
    </row>
    <row r="70" spans="1:5" x14ac:dyDescent="0.3">
      <c r="A70" t="s">
        <v>90</v>
      </c>
      <c r="B70" t="s">
        <v>147</v>
      </c>
      <c r="C70">
        <v>29</v>
      </c>
      <c r="D70">
        <v>11300</v>
      </c>
      <c r="E70">
        <f t="shared" si="1"/>
        <v>327700</v>
      </c>
    </row>
    <row r="71" spans="1:5" hidden="1" x14ac:dyDescent="0.3">
      <c r="A71" t="s">
        <v>90</v>
      </c>
      <c r="B71" t="s">
        <v>148</v>
      </c>
      <c r="C71">
        <v>0</v>
      </c>
      <c r="E71">
        <f t="shared" si="1"/>
        <v>0</v>
      </c>
    </row>
    <row r="72" spans="1:5" x14ac:dyDescent="0.3">
      <c r="A72" t="s">
        <v>21</v>
      </c>
      <c r="B72" t="s">
        <v>4</v>
      </c>
      <c r="C72">
        <v>65</v>
      </c>
      <c r="D72">
        <v>9000</v>
      </c>
      <c r="E72">
        <f t="shared" si="1"/>
        <v>585000</v>
      </c>
    </row>
    <row r="73" spans="1:5" hidden="1" x14ac:dyDescent="0.3">
      <c r="A73" t="s">
        <v>21</v>
      </c>
      <c r="B73" t="s">
        <v>149</v>
      </c>
      <c r="C73">
        <v>0</v>
      </c>
      <c r="E73">
        <f t="shared" si="1"/>
        <v>0</v>
      </c>
    </row>
    <row r="74" spans="1:5" hidden="1" x14ac:dyDescent="0.3">
      <c r="A74" t="s">
        <v>63</v>
      </c>
      <c r="B74" t="s">
        <v>4</v>
      </c>
      <c r="C74">
        <v>0</v>
      </c>
      <c r="E74">
        <f t="shared" si="1"/>
        <v>0</v>
      </c>
    </row>
    <row r="75" spans="1:5" x14ac:dyDescent="0.3">
      <c r="A75" t="s">
        <v>63</v>
      </c>
      <c r="B75" t="s">
        <v>31</v>
      </c>
      <c r="C75">
        <v>18</v>
      </c>
      <c r="D75">
        <v>6000</v>
      </c>
      <c r="E75">
        <f t="shared" si="1"/>
        <v>108000</v>
      </c>
    </row>
    <row r="76" spans="1:5" hidden="1" x14ac:dyDescent="0.3">
      <c r="A76" t="s">
        <v>26</v>
      </c>
      <c r="B76" t="s">
        <v>4</v>
      </c>
      <c r="C76">
        <v>0</v>
      </c>
      <c r="E76">
        <f t="shared" si="1"/>
        <v>0</v>
      </c>
    </row>
    <row r="77" spans="1:5" x14ac:dyDescent="0.3">
      <c r="A77" t="s">
        <v>27</v>
      </c>
      <c r="B77" t="s">
        <v>4</v>
      </c>
      <c r="C77">
        <v>75</v>
      </c>
      <c r="D77">
        <v>6500</v>
      </c>
      <c r="E77">
        <f t="shared" si="1"/>
        <v>487500</v>
      </c>
    </row>
    <row r="78" spans="1:5" x14ac:dyDescent="0.3">
      <c r="A78" t="s">
        <v>54</v>
      </c>
      <c r="B78" t="s">
        <v>4</v>
      </c>
      <c r="C78">
        <v>9</v>
      </c>
      <c r="D78">
        <v>45000</v>
      </c>
      <c r="E78">
        <f t="shared" si="1"/>
        <v>405000</v>
      </c>
    </row>
    <row r="79" spans="1:5" x14ac:dyDescent="0.3">
      <c r="A79" t="s">
        <v>35</v>
      </c>
      <c r="B79" t="s">
        <v>4</v>
      </c>
      <c r="C79">
        <v>37</v>
      </c>
      <c r="D79">
        <v>18000</v>
      </c>
      <c r="E79">
        <f t="shared" si="1"/>
        <v>666000</v>
      </c>
    </row>
    <row r="80" spans="1:5" hidden="1" x14ac:dyDescent="0.3">
      <c r="A80" t="s">
        <v>123</v>
      </c>
      <c r="B80" t="s">
        <v>31</v>
      </c>
      <c r="C80">
        <v>0</v>
      </c>
      <c r="E80">
        <f t="shared" si="1"/>
        <v>0</v>
      </c>
    </row>
    <row r="81" spans="1:5" x14ac:dyDescent="0.3">
      <c r="A81" t="s">
        <v>37</v>
      </c>
      <c r="B81" t="s">
        <v>4</v>
      </c>
      <c r="C81">
        <v>10</v>
      </c>
      <c r="D81">
        <v>10000</v>
      </c>
      <c r="E81">
        <f t="shared" si="1"/>
        <v>100000</v>
      </c>
    </row>
    <row r="82" spans="1:5" hidden="1" x14ac:dyDescent="0.3">
      <c r="A82" t="s">
        <v>37</v>
      </c>
      <c r="B82" t="s">
        <v>151</v>
      </c>
      <c r="C82">
        <v>0</v>
      </c>
      <c r="E82">
        <f t="shared" si="1"/>
        <v>0</v>
      </c>
    </row>
    <row r="83" spans="1:5" hidden="1" x14ac:dyDescent="0.3">
      <c r="A83" t="s">
        <v>96</v>
      </c>
      <c r="B83" t="s">
        <v>4</v>
      </c>
      <c r="C83">
        <v>0</v>
      </c>
      <c r="E83">
        <f t="shared" si="1"/>
        <v>0</v>
      </c>
    </row>
    <row r="84" spans="1:5" hidden="1" x14ac:dyDescent="0.3">
      <c r="A84" t="s">
        <v>97</v>
      </c>
      <c r="B84" t="s">
        <v>4</v>
      </c>
      <c r="C84">
        <v>0</v>
      </c>
      <c r="E84">
        <f t="shared" si="1"/>
        <v>0</v>
      </c>
    </row>
    <row r="85" spans="1:5" hidden="1" x14ac:dyDescent="0.3">
      <c r="A85" t="s">
        <v>105</v>
      </c>
      <c r="B85" t="s">
        <v>4</v>
      </c>
      <c r="C85">
        <v>0</v>
      </c>
      <c r="E85">
        <f t="shared" si="1"/>
        <v>0</v>
      </c>
    </row>
    <row r="86" spans="1:5" hidden="1" x14ac:dyDescent="0.3">
      <c r="A86" t="s">
        <v>40</v>
      </c>
      <c r="B86" t="s">
        <v>66</v>
      </c>
      <c r="C86">
        <v>0</v>
      </c>
      <c r="E86">
        <f t="shared" si="1"/>
        <v>0</v>
      </c>
    </row>
    <row r="87" spans="1:5" x14ac:dyDescent="0.3">
      <c r="A87" t="s">
        <v>40</v>
      </c>
      <c r="B87" t="s">
        <v>4</v>
      </c>
      <c r="C87">
        <v>92</v>
      </c>
      <c r="D87">
        <v>37000</v>
      </c>
      <c r="E87">
        <f t="shared" si="1"/>
        <v>3404000</v>
      </c>
    </row>
    <row r="88" spans="1:5" x14ac:dyDescent="0.3">
      <c r="A88" t="s">
        <v>124</v>
      </c>
      <c r="B88" t="s">
        <v>4</v>
      </c>
      <c r="C88">
        <v>20</v>
      </c>
      <c r="D88">
        <v>30000</v>
      </c>
      <c r="E88">
        <f t="shared" si="1"/>
        <v>600000</v>
      </c>
    </row>
    <row r="89" spans="1:5" x14ac:dyDescent="0.3">
      <c r="A89" t="s">
        <v>42</v>
      </c>
      <c r="B89" t="s">
        <v>31</v>
      </c>
      <c r="C89">
        <v>80</v>
      </c>
      <c r="D89">
        <v>2000</v>
      </c>
      <c r="E89">
        <f t="shared" si="1"/>
        <v>160000</v>
      </c>
    </row>
    <row r="90" spans="1:5" x14ac:dyDescent="0.3">
      <c r="A90" t="s">
        <v>67</v>
      </c>
      <c r="B90" t="s">
        <v>4</v>
      </c>
      <c r="C90">
        <v>5</v>
      </c>
      <c r="D90">
        <v>13000</v>
      </c>
      <c r="E90">
        <f t="shared" si="1"/>
        <v>65000</v>
      </c>
    </row>
    <row r="91" spans="1:5" hidden="1" x14ac:dyDescent="0.3">
      <c r="A91" t="s">
        <v>101</v>
      </c>
      <c r="B91" t="s">
        <v>53</v>
      </c>
      <c r="C91">
        <v>0</v>
      </c>
      <c r="E91">
        <f t="shared" si="1"/>
        <v>0</v>
      </c>
    </row>
    <row r="92" spans="1:5" hidden="1" x14ac:dyDescent="0.3">
      <c r="A92" t="s">
        <v>101</v>
      </c>
      <c r="B92" t="s">
        <v>4</v>
      </c>
      <c r="C92">
        <v>0</v>
      </c>
      <c r="E92">
        <f t="shared" si="1"/>
        <v>0</v>
      </c>
    </row>
    <row r="93" spans="1:5" x14ac:dyDescent="0.3">
      <c r="A93" t="s">
        <v>46</v>
      </c>
      <c r="B93" t="s">
        <v>4</v>
      </c>
      <c r="C93">
        <v>5</v>
      </c>
      <c r="D93">
        <v>60000</v>
      </c>
      <c r="E93">
        <f t="shared" si="1"/>
        <v>300000</v>
      </c>
    </row>
    <row r="94" spans="1:5" x14ac:dyDescent="0.3">
      <c r="A94" t="s">
        <v>46</v>
      </c>
      <c r="B94" t="s">
        <v>31</v>
      </c>
      <c r="C94">
        <v>177</v>
      </c>
      <c r="D94">
        <v>22000</v>
      </c>
      <c r="E94">
        <f t="shared" si="1"/>
        <v>3894000</v>
      </c>
    </row>
    <row r="95" spans="1:5" x14ac:dyDescent="0.3">
      <c r="A95" t="s">
        <v>47</v>
      </c>
      <c r="B95" t="s">
        <v>4</v>
      </c>
      <c r="C95">
        <v>270</v>
      </c>
      <c r="D95">
        <v>9500</v>
      </c>
      <c r="E95">
        <f t="shared" si="1"/>
        <v>2565000</v>
      </c>
    </row>
    <row r="96" spans="1:5" hidden="1" x14ac:dyDescent="0.3">
      <c r="A96" t="s">
        <v>74</v>
      </c>
      <c r="B96" t="s">
        <v>4</v>
      </c>
      <c r="C96">
        <v>0</v>
      </c>
      <c r="E96">
        <f t="shared" si="1"/>
        <v>0</v>
      </c>
    </row>
    <row r="97" spans="1:5" x14ac:dyDescent="0.3">
      <c r="A97" t="s">
        <v>48</v>
      </c>
      <c r="B97" t="s">
        <v>4</v>
      </c>
      <c r="C97">
        <v>13</v>
      </c>
      <c r="D97">
        <v>28000</v>
      </c>
      <c r="E97">
        <f t="shared" si="1"/>
        <v>364000</v>
      </c>
    </row>
    <row r="98" spans="1:5" hidden="1" x14ac:dyDescent="0.3">
      <c r="A98" t="s">
        <v>152</v>
      </c>
      <c r="B98" t="s">
        <v>4</v>
      </c>
      <c r="C98">
        <v>0</v>
      </c>
      <c r="E98">
        <f t="shared" si="1"/>
        <v>0</v>
      </c>
    </row>
    <row r="99" spans="1:5" x14ac:dyDescent="0.3">
      <c r="A99" t="s">
        <v>81</v>
      </c>
      <c r="B99" t="s">
        <v>4</v>
      </c>
      <c r="C99">
        <v>18</v>
      </c>
      <c r="D99">
        <v>30000</v>
      </c>
      <c r="E99">
        <f t="shared" si="1"/>
        <v>540000</v>
      </c>
    </row>
    <row r="100" spans="1:5" hidden="1" x14ac:dyDescent="0.3">
      <c r="A100" t="s">
        <v>59</v>
      </c>
      <c r="B100" t="s">
        <v>4</v>
      </c>
      <c r="C100">
        <v>0</v>
      </c>
      <c r="E100">
        <f t="shared" si="1"/>
        <v>0</v>
      </c>
    </row>
    <row r="101" spans="1:5" hidden="1" x14ac:dyDescent="0.3">
      <c r="A101" t="s">
        <v>79</v>
      </c>
      <c r="B101" t="s">
        <v>4</v>
      </c>
      <c r="C101">
        <v>0</v>
      </c>
      <c r="E101">
        <f t="shared" si="1"/>
        <v>0</v>
      </c>
    </row>
    <row r="102" spans="1:5" hidden="1" x14ac:dyDescent="0.3">
      <c r="A102" t="s">
        <v>127</v>
      </c>
      <c r="B102" t="s">
        <v>4</v>
      </c>
      <c r="C102">
        <v>0</v>
      </c>
      <c r="E102">
        <f t="shared" si="1"/>
        <v>0</v>
      </c>
    </row>
    <row r="103" spans="1:5" hidden="1" x14ac:dyDescent="0.3">
      <c r="A103" t="s">
        <v>99</v>
      </c>
      <c r="B103" t="s">
        <v>4</v>
      </c>
      <c r="C103">
        <v>0</v>
      </c>
      <c r="E103">
        <f t="shared" si="1"/>
        <v>0</v>
      </c>
    </row>
    <row r="104" spans="1:5" hidden="1" x14ac:dyDescent="0.3">
      <c r="A104" t="s">
        <v>9</v>
      </c>
      <c r="B104" t="s">
        <v>4</v>
      </c>
      <c r="C104">
        <v>0</v>
      </c>
      <c r="E104">
        <f t="shared" si="1"/>
        <v>0</v>
      </c>
    </row>
    <row r="105" spans="1:5" hidden="1" x14ac:dyDescent="0.3">
      <c r="A105" t="s">
        <v>55</v>
      </c>
      <c r="B105" t="s">
        <v>4</v>
      </c>
      <c r="C105">
        <v>0</v>
      </c>
      <c r="E105">
        <f t="shared" si="1"/>
        <v>0</v>
      </c>
    </row>
    <row r="106" spans="1:5" hidden="1" x14ac:dyDescent="0.3">
      <c r="A106" t="s">
        <v>33</v>
      </c>
      <c r="B106" t="s">
        <v>4</v>
      </c>
      <c r="C106">
        <v>0</v>
      </c>
      <c r="E106">
        <f t="shared" si="1"/>
        <v>0</v>
      </c>
    </row>
    <row r="107" spans="1:5" hidden="1" x14ac:dyDescent="0.3">
      <c r="A107" t="s">
        <v>33</v>
      </c>
      <c r="B107" t="s">
        <v>31</v>
      </c>
      <c r="C107">
        <v>0</v>
      </c>
      <c r="E107">
        <f t="shared" si="1"/>
        <v>0</v>
      </c>
    </row>
    <row r="108" spans="1:5" hidden="1" x14ac:dyDescent="0.3">
      <c r="A108" t="s">
        <v>156</v>
      </c>
      <c r="B108" t="s">
        <v>4</v>
      </c>
      <c r="C108">
        <v>0</v>
      </c>
      <c r="E108">
        <f t="shared" si="1"/>
        <v>0</v>
      </c>
    </row>
    <row r="109" spans="1:5" x14ac:dyDescent="0.3">
      <c r="A109" t="s">
        <v>128</v>
      </c>
      <c r="B109" t="s">
        <v>4</v>
      </c>
      <c r="C109">
        <v>4</v>
      </c>
      <c r="D109">
        <v>12000</v>
      </c>
      <c r="E109">
        <f t="shared" si="1"/>
        <v>48000</v>
      </c>
    </row>
    <row r="110" spans="1:5" hidden="1" x14ac:dyDescent="0.3">
      <c r="A110" t="s">
        <v>7</v>
      </c>
      <c r="B110" t="s">
        <v>4</v>
      </c>
      <c r="C110">
        <v>0</v>
      </c>
      <c r="E110">
        <f t="shared" si="1"/>
        <v>0</v>
      </c>
    </row>
    <row r="111" spans="1:5" hidden="1" x14ac:dyDescent="0.3">
      <c r="A111" t="s">
        <v>133</v>
      </c>
      <c r="B111" t="s">
        <v>31</v>
      </c>
      <c r="C111">
        <v>0</v>
      </c>
      <c r="E111">
        <f t="shared" si="1"/>
        <v>0</v>
      </c>
    </row>
    <row r="112" spans="1:5" x14ac:dyDescent="0.3">
      <c r="A112" t="s">
        <v>76</v>
      </c>
      <c r="B112" t="s">
        <v>66</v>
      </c>
      <c r="C112">
        <v>151</v>
      </c>
      <c r="D112">
        <v>6800</v>
      </c>
      <c r="E112">
        <f t="shared" si="1"/>
        <v>1026800</v>
      </c>
    </row>
    <row r="113" spans="1:5" hidden="1" x14ac:dyDescent="0.3">
      <c r="A113" t="s">
        <v>82</v>
      </c>
      <c r="B113" t="s">
        <v>66</v>
      </c>
      <c r="C113">
        <v>0</v>
      </c>
      <c r="E113">
        <f t="shared" si="1"/>
        <v>0</v>
      </c>
    </row>
    <row r="114" spans="1:5" x14ac:dyDescent="0.3">
      <c r="A114" t="s">
        <v>77</v>
      </c>
      <c r="B114" t="s">
        <v>66</v>
      </c>
      <c r="C114">
        <v>29</v>
      </c>
      <c r="D114">
        <v>6800</v>
      </c>
      <c r="E114">
        <f t="shared" si="1"/>
        <v>197200</v>
      </c>
    </row>
    <row r="115" spans="1:5" hidden="1" x14ac:dyDescent="0.3">
      <c r="A115" t="s">
        <v>85</v>
      </c>
      <c r="B115" t="s">
        <v>4</v>
      </c>
      <c r="C115">
        <v>0</v>
      </c>
      <c r="E115">
        <f t="shared" si="1"/>
        <v>0</v>
      </c>
    </row>
    <row r="116" spans="1:5" x14ac:dyDescent="0.3">
      <c r="A116" t="s">
        <v>142</v>
      </c>
      <c r="B116" t="s">
        <v>31</v>
      </c>
      <c r="C116">
        <v>200</v>
      </c>
      <c r="D116">
        <v>6000</v>
      </c>
      <c r="E116">
        <f t="shared" si="1"/>
        <v>1200000</v>
      </c>
    </row>
    <row r="117" spans="1:5" hidden="1" x14ac:dyDescent="0.3">
      <c r="A117" t="s">
        <v>113</v>
      </c>
      <c r="B117" t="s">
        <v>31</v>
      </c>
      <c r="C117">
        <v>0</v>
      </c>
      <c r="E117">
        <f t="shared" si="1"/>
        <v>0</v>
      </c>
    </row>
    <row r="118" spans="1:5" hidden="1" x14ac:dyDescent="0.3">
      <c r="A118" t="s">
        <v>107</v>
      </c>
      <c r="B118" t="s">
        <v>4</v>
      </c>
      <c r="C118">
        <v>0</v>
      </c>
      <c r="E118">
        <f t="shared" si="1"/>
        <v>0</v>
      </c>
    </row>
    <row r="119" spans="1:5" hidden="1" x14ac:dyDescent="0.3">
      <c r="A119" t="s">
        <v>58</v>
      </c>
      <c r="B119" t="s">
        <v>4</v>
      </c>
      <c r="C119">
        <v>0</v>
      </c>
      <c r="E119">
        <f t="shared" si="1"/>
        <v>0</v>
      </c>
    </row>
    <row r="120" spans="1:5" hidden="1" x14ac:dyDescent="0.3">
      <c r="A120" t="s">
        <v>23</v>
      </c>
      <c r="B120" t="s">
        <v>4</v>
      </c>
      <c r="C120">
        <v>0</v>
      </c>
      <c r="E120">
        <f t="shared" si="1"/>
        <v>0</v>
      </c>
    </row>
    <row r="121" spans="1:5" x14ac:dyDescent="0.3">
      <c r="A121" t="s">
        <v>136</v>
      </c>
      <c r="B121" t="s">
        <v>4</v>
      </c>
      <c r="C121">
        <v>7</v>
      </c>
      <c r="D121">
        <v>32000</v>
      </c>
      <c r="E121">
        <f t="shared" si="1"/>
        <v>224000</v>
      </c>
    </row>
    <row r="122" spans="1:5" x14ac:dyDescent="0.3">
      <c r="E122">
        <f>SUM(E4:E121)</f>
        <v>170450700</v>
      </c>
    </row>
    <row r="124" spans="1:5" x14ac:dyDescent="0.3">
      <c r="A124" t="s">
        <v>0</v>
      </c>
      <c r="B124" t="s">
        <v>1</v>
      </c>
      <c r="C124" t="s">
        <v>2</v>
      </c>
      <c r="D124" t="s">
        <v>137</v>
      </c>
      <c r="E124" t="s">
        <v>138</v>
      </c>
    </row>
    <row r="125" spans="1:5" hidden="1" x14ac:dyDescent="0.3">
      <c r="A125" t="s">
        <v>144</v>
      </c>
      <c r="B125" t="s">
        <v>50</v>
      </c>
      <c r="E125">
        <f t="shared" si="1"/>
        <v>0</v>
      </c>
    </row>
    <row r="126" spans="1:5" hidden="1" x14ac:dyDescent="0.3">
      <c r="A126" t="s">
        <v>27</v>
      </c>
      <c r="B126" t="s">
        <v>4</v>
      </c>
      <c r="E126">
        <f t="shared" si="1"/>
        <v>0</v>
      </c>
    </row>
    <row r="127" spans="1:5" x14ac:dyDescent="0.3">
      <c r="A127" t="s">
        <v>28</v>
      </c>
      <c r="B127" t="s">
        <v>4</v>
      </c>
      <c r="C127">
        <v>60</v>
      </c>
      <c r="D127">
        <v>18000</v>
      </c>
      <c r="E127">
        <f t="shared" si="1"/>
        <v>1080000</v>
      </c>
    </row>
    <row r="128" spans="1:5" hidden="1" x14ac:dyDescent="0.3">
      <c r="A128" t="s">
        <v>29</v>
      </c>
      <c r="B128" t="s">
        <v>4</v>
      </c>
      <c r="E128">
        <f t="shared" si="1"/>
        <v>0</v>
      </c>
    </row>
    <row r="129" spans="1:5" hidden="1" x14ac:dyDescent="0.3">
      <c r="A129" t="s">
        <v>57</v>
      </c>
      <c r="B129" t="s">
        <v>31</v>
      </c>
      <c r="E129">
        <f t="shared" si="1"/>
        <v>0</v>
      </c>
    </row>
    <row r="130" spans="1:5" x14ac:dyDescent="0.3">
      <c r="A130" t="s">
        <v>32</v>
      </c>
      <c r="B130" t="s">
        <v>4</v>
      </c>
      <c r="C130">
        <v>200</v>
      </c>
      <c r="D130">
        <v>18000</v>
      </c>
      <c r="E130">
        <f t="shared" si="1"/>
        <v>3600000</v>
      </c>
    </row>
    <row r="131" spans="1:5" hidden="1" x14ac:dyDescent="0.3">
      <c r="A131" t="s">
        <v>33</v>
      </c>
      <c r="B131" t="s">
        <v>31</v>
      </c>
      <c r="E131">
        <f t="shared" si="1"/>
        <v>0</v>
      </c>
    </row>
    <row r="132" spans="1:5" x14ac:dyDescent="0.3">
      <c r="A132" t="s">
        <v>34</v>
      </c>
      <c r="B132" t="s">
        <v>4</v>
      </c>
      <c r="C132">
        <v>200</v>
      </c>
      <c r="D132">
        <v>15000</v>
      </c>
      <c r="E132">
        <f t="shared" si="1"/>
        <v>3000000</v>
      </c>
    </row>
    <row r="133" spans="1:5" hidden="1" x14ac:dyDescent="0.3">
      <c r="A133" t="s">
        <v>34</v>
      </c>
      <c r="B133" t="s">
        <v>31</v>
      </c>
      <c r="E133">
        <f t="shared" si="1"/>
        <v>0</v>
      </c>
    </row>
    <row r="134" spans="1:5" hidden="1" x14ac:dyDescent="0.3">
      <c r="A134" t="s">
        <v>35</v>
      </c>
      <c r="B134" t="s">
        <v>4</v>
      </c>
      <c r="E134">
        <f t="shared" ref="E134:E164" si="2">C134*D134</f>
        <v>0</v>
      </c>
    </row>
    <row r="135" spans="1:5" hidden="1" x14ac:dyDescent="0.3">
      <c r="A135" t="s">
        <v>13</v>
      </c>
      <c r="B135" t="s">
        <v>4</v>
      </c>
      <c r="E135">
        <f t="shared" si="2"/>
        <v>0</v>
      </c>
    </row>
    <row r="136" spans="1:5" x14ac:dyDescent="0.3">
      <c r="A136" t="s">
        <v>14</v>
      </c>
      <c r="B136" t="s">
        <v>4</v>
      </c>
      <c r="C136">
        <v>10</v>
      </c>
      <c r="D136">
        <v>30000</v>
      </c>
      <c r="E136">
        <f t="shared" si="2"/>
        <v>300000</v>
      </c>
    </row>
    <row r="137" spans="1:5" hidden="1" x14ac:dyDescent="0.3">
      <c r="A137" t="s">
        <v>3</v>
      </c>
      <c r="B137" t="s">
        <v>4</v>
      </c>
      <c r="E137">
        <f t="shared" si="2"/>
        <v>0</v>
      </c>
    </row>
    <row r="138" spans="1:5" hidden="1" x14ac:dyDescent="0.3">
      <c r="A138" t="s">
        <v>5</v>
      </c>
      <c r="B138" t="s">
        <v>4</v>
      </c>
      <c r="E138">
        <f t="shared" si="2"/>
        <v>0</v>
      </c>
    </row>
    <row r="139" spans="1:5" x14ac:dyDescent="0.3">
      <c r="A139" t="s">
        <v>6</v>
      </c>
      <c r="B139" t="s">
        <v>4</v>
      </c>
      <c r="C139">
        <v>504</v>
      </c>
      <c r="D139">
        <v>13500</v>
      </c>
      <c r="E139">
        <f t="shared" si="2"/>
        <v>6804000</v>
      </c>
    </row>
    <row r="140" spans="1:5" x14ac:dyDescent="0.3">
      <c r="A140" t="s">
        <v>22</v>
      </c>
      <c r="B140" t="s">
        <v>4</v>
      </c>
      <c r="C140">
        <v>2000</v>
      </c>
      <c r="D140">
        <v>7500</v>
      </c>
      <c r="E140">
        <f t="shared" si="2"/>
        <v>15000000</v>
      </c>
    </row>
    <row r="141" spans="1:5" hidden="1" x14ac:dyDescent="0.3">
      <c r="A141" t="s">
        <v>24</v>
      </c>
      <c r="B141" t="s">
        <v>4</v>
      </c>
      <c r="E141">
        <f t="shared" si="2"/>
        <v>0</v>
      </c>
    </row>
    <row r="142" spans="1:5" hidden="1" x14ac:dyDescent="0.3">
      <c r="A142" t="s">
        <v>40</v>
      </c>
      <c r="B142" t="s">
        <v>4</v>
      </c>
      <c r="E142">
        <f t="shared" si="2"/>
        <v>0</v>
      </c>
    </row>
    <row r="143" spans="1:5" x14ac:dyDescent="0.3">
      <c r="A143" t="s">
        <v>7</v>
      </c>
      <c r="B143" t="s">
        <v>4</v>
      </c>
      <c r="C143">
        <v>43</v>
      </c>
      <c r="D143">
        <v>7500</v>
      </c>
      <c r="E143">
        <f t="shared" si="2"/>
        <v>322500</v>
      </c>
    </row>
    <row r="144" spans="1:5" x14ac:dyDescent="0.3">
      <c r="A144" t="s">
        <v>8</v>
      </c>
      <c r="B144" t="s">
        <v>4</v>
      </c>
      <c r="C144">
        <v>1000</v>
      </c>
      <c r="D144">
        <v>5300</v>
      </c>
      <c r="E144">
        <f t="shared" si="2"/>
        <v>5300000</v>
      </c>
    </row>
    <row r="145" spans="1:5" x14ac:dyDescent="0.3">
      <c r="A145" t="s">
        <v>10</v>
      </c>
      <c r="B145" t="s">
        <v>4</v>
      </c>
      <c r="C145">
        <v>50</v>
      </c>
      <c r="D145">
        <v>10000</v>
      </c>
      <c r="E145">
        <f t="shared" si="2"/>
        <v>500000</v>
      </c>
    </row>
    <row r="146" spans="1:5" hidden="1" x14ac:dyDescent="0.3">
      <c r="A146" t="s">
        <v>15</v>
      </c>
      <c r="B146" t="s">
        <v>4</v>
      </c>
      <c r="E146">
        <f t="shared" si="2"/>
        <v>0</v>
      </c>
    </row>
    <row r="147" spans="1:5" x14ac:dyDescent="0.3">
      <c r="A147" t="s">
        <v>18</v>
      </c>
      <c r="B147" t="s">
        <v>4</v>
      </c>
      <c r="C147">
        <v>300</v>
      </c>
      <c r="D147">
        <v>15000</v>
      </c>
      <c r="E147">
        <f t="shared" si="2"/>
        <v>4500000</v>
      </c>
    </row>
    <row r="148" spans="1:5" hidden="1" x14ac:dyDescent="0.3">
      <c r="A148" t="s">
        <v>21</v>
      </c>
      <c r="B148" t="s">
        <v>4</v>
      </c>
      <c r="E148">
        <f t="shared" si="2"/>
        <v>0</v>
      </c>
    </row>
    <row r="149" spans="1:5" x14ac:dyDescent="0.3">
      <c r="A149" t="s">
        <v>43</v>
      </c>
      <c r="B149" t="s">
        <v>4</v>
      </c>
      <c r="C149">
        <v>20</v>
      </c>
      <c r="D149">
        <v>37000</v>
      </c>
      <c r="E149">
        <f t="shared" si="2"/>
        <v>740000</v>
      </c>
    </row>
    <row r="150" spans="1:5" x14ac:dyDescent="0.3">
      <c r="A150" t="s">
        <v>44</v>
      </c>
      <c r="B150" t="s">
        <v>4</v>
      </c>
      <c r="C150">
        <v>20</v>
      </c>
      <c r="D150">
        <v>18000</v>
      </c>
      <c r="E150">
        <f t="shared" si="2"/>
        <v>360000</v>
      </c>
    </row>
    <row r="151" spans="1:5" x14ac:dyDescent="0.3">
      <c r="A151" t="s">
        <v>45</v>
      </c>
      <c r="B151" t="s">
        <v>4</v>
      </c>
      <c r="C151">
        <v>20</v>
      </c>
      <c r="D151">
        <v>26000</v>
      </c>
      <c r="E151">
        <f t="shared" si="2"/>
        <v>520000</v>
      </c>
    </row>
    <row r="152" spans="1:5" hidden="1" x14ac:dyDescent="0.3">
      <c r="A152" t="s">
        <v>47</v>
      </c>
      <c r="B152" t="s">
        <v>4</v>
      </c>
      <c r="E152">
        <f t="shared" si="2"/>
        <v>0</v>
      </c>
    </row>
    <row r="153" spans="1:5" x14ac:dyDescent="0.3">
      <c r="A153" t="s">
        <v>26</v>
      </c>
      <c r="B153" t="s">
        <v>4</v>
      </c>
      <c r="C153">
        <v>90</v>
      </c>
      <c r="D153">
        <v>13000</v>
      </c>
      <c r="E153">
        <f t="shared" si="2"/>
        <v>1170000</v>
      </c>
    </row>
    <row r="154" spans="1:5" x14ac:dyDescent="0.3">
      <c r="A154" t="s">
        <v>25</v>
      </c>
      <c r="B154" t="s">
        <v>4</v>
      </c>
      <c r="C154">
        <v>20</v>
      </c>
      <c r="D154">
        <v>25000</v>
      </c>
      <c r="E154">
        <f t="shared" si="2"/>
        <v>500000</v>
      </c>
    </row>
    <row r="155" spans="1:5" x14ac:dyDescent="0.3">
      <c r="A155" t="s">
        <v>23</v>
      </c>
      <c r="B155" t="s">
        <v>4</v>
      </c>
      <c r="C155">
        <v>20</v>
      </c>
      <c r="D155">
        <v>16000</v>
      </c>
      <c r="E155">
        <f t="shared" si="2"/>
        <v>320000</v>
      </c>
    </row>
    <row r="156" spans="1:5" hidden="1" x14ac:dyDescent="0.3">
      <c r="A156" t="s">
        <v>9</v>
      </c>
      <c r="B156" t="s">
        <v>4</v>
      </c>
      <c r="E156">
        <f t="shared" si="2"/>
        <v>0</v>
      </c>
    </row>
    <row r="157" spans="1:5" hidden="1" x14ac:dyDescent="0.3">
      <c r="A157" t="s">
        <v>156</v>
      </c>
      <c r="B157" t="s">
        <v>4</v>
      </c>
      <c r="E157">
        <f t="shared" si="2"/>
        <v>0</v>
      </c>
    </row>
    <row r="158" spans="1:5" x14ac:dyDescent="0.3">
      <c r="A158" t="s">
        <v>41</v>
      </c>
      <c r="B158" t="s">
        <v>4</v>
      </c>
      <c r="C158">
        <v>205</v>
      </c>
      <c r="D158">
        <v>28600</v>
      </c>
      <c r="E158">
        <f t="shared" si="2"/>
        <v>5863000</v>
      </c>
    </row>
    <row r="159" spans="1:5" hidden="1" x14ac:dyDescent="0.3">
      <c r="A159" t="s">
        <v>20</v>
      </c>
      <c r="B159" t="s">
        <v>4</v>
      </c>
      <c r="E159">
        <f t="shared" si="2"/>
        <v>0</v>
      </c>
    </row>
    <row r="160" spans="1:5" x14ac:dyDescent="0.3">
      <c r="A160" t="s">
        <v>123</v>
      </c>
      <c r="B160" t="s">
        <v>31</v>
      </c>
      <c r="C160">
        <v>60</v>
      </c>
      <c r="D160">
        <v>6000</v>
      </c>
      <c r="E160">
        <f t="shared" si="2"/>
        <v>360000</v>
      </c>
    </row>
    <row r="161" spans="1:5" x14ac:dyDescent="0.3">
      <c r="A161" t="s">
        <v>37</v>
      </c>
      <c r="B161" t="s">
        <v>151</v>
      </c>
      <c r="C161">
        <v>137</v>
      </c>
      <c r="D161">
        <v>10000</v>
      </c>
      <c r="E161">
        <f t="shared" si="2"/>
        <v>1370000</v>
      </c>
    </row>
    <row r="162" spans="1:5" hidden="1" x14ac:dyDescent="0.3">
      <c r="A162" t="s">
        <v>12</v>
      </c>
      <c r="B162" t="s">
        <v>4</v>
      </c>
      <c r="E162">
        <f t="shared" si="2"/>
        <v>0</v>
      </c>
    </row>
    <row r="163" spans="1:5" hidden="1" x14ac:dyDescent="0.3">
      <c r="A163" t="s">
        <v>124</v>
      </c>
      <c r="B163" t="s">
        <v>4</v>
      </c>
      <c r="E163">
        <f t="shared" si="2"/>
        <v>0</v>
      </c>
    </row>
    <row r="164" spans="1:5" hidden="1" x14ac:dyDescent="0.3">
      <c r="A164" t="s">
        <v>145</v>
      </c>
      <c r="B164" t="s">
        <v>4</v>
      </c>
      <c r="E164">
        <f t="shared" si="2"/>
        <v>0</v>
      </c>
    </row>
    <row r="165" spans="1:5" x14ac:dyDescent="0.3">
      <c r="E165">
        <f>SUM(E127:E161)</f>
        <v>51609500</v>
      </c>
    </row>
    <row r="166" spans="1:5" x14ac:dyDescent="0.3">
      <c r="E166">
        <f>E165+E122</f>
        <v>222060200</v>
      </c>
    </row>
  </sheetData>
  <autoFilter ref="A3:E164" xr:uid="{00000000-0009-0000-0000-000012000000}">
    <filterColumn colId="2">
      <filters>
        <filter val="10"/>
        <filter val="1000"/>
        <filter val="120"/>
        <filter val="13"/>
        <filter val="1347"/>
        <filter val="137"/>
        <filter val="139"/>
        <filter val="14"/>
        <filter val="140"/>
        <filter val="151"/>
        <filter val="16"/>
        <filter val="160"/>
        <filter val="1615"/>
        <filter val="165"/>
        <filter val="175"/>
        <filter val="177"/>
        <filter val="18"/>
        <filter val="188"/>
        <filter val="20"/>
        <filter val="200"/>
        <filter val="2000"/>
        <filter val="205"/>
        <filter val="22"/>
        <filter val="230"/>
        <filter val="24"/>
        <filter val="245"/>
        <filter val="252"/>
        <filter val="270"/>
        <filter val="281"/>
        <filter val="29"/>
        <filter val="30"/>
        <filter val="300"/>
        <filter val="31"/>
        <filter val="37"/>
        <filter val="38"/>
        <filter val="4"/>
        <filter val="40"/>
        <filter val="43"/>
        <filter val="440"/>
        <filter val="442"/>
        <filter val="5"/>
        <filter val="50"/>
        <filter val="504"/>
        <filter val="60"/>
        <filter val="65"/>
        <filter val="660"/>
        <filter val="7"/>
        <filter val="729"/>
        <filter val="75"/>
        <filter val="80"/>
        <filter val="9"/>
        <filter val="90"/>
        <filter val="92"/>
        <filter val="Tồn_x000a_ĐL"/>
      </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2:E155"/>
  <sheetViews>
    <sheetView topLeftCell="A99" workbookViewId="0">
      <selection activeCell="E155" sqref="E155"/>
    </sheetView>
  </sheetViews>
  <sheetFormatPr defaultRowHeight="14.4" x14ac:dyDescent="0.3"/>
  <cols>
    <col min="1" max="1" width="23.44140625" customWidth="1"/>
    <col min="4" max="4" width="10.88671875" customWidth="1"/>
    <col min="5" max="5" width="16.109375" customWidth="1"/>
  </cols>
  <sheetData>
    <row r="2" spans="1:5" x14ac:dyDescent="0.3">
      <c r="A2" t="s">
        <v>216</v>
      </c>
    </row>
    <row r="3" spans="1:5" x14ac:dyDescent="0.3">
      <c r="A3" t="s">
        <v>0</v>
      </c>
      <c r="B3" t="s">
        <v>1</v>
      </c>
      <c r="C3" t="s">
        <v>2</v>
      </c>
      <c r="D3" t="s">
        <v>137</v>
      </c>
      <c r="E3" t="s">
        <v>138</v>
      </c>
    </row>
    <row r="4" spans="1:5" x14ac:dyDescent="0.3">
      <c r="A4" t="s">
        <v>49</v>
      </c>
      <c r="B4" t="s">
        <v>4</v>
      </c>
      <c r="C4">
        <v>225</v>
      </c>
      <c r="D4">
        <v>14000</v>
      </c>
      <c r="E4">
        <f>C4*D4</f>
        <v>3150000</v>
      </c>
    </row>
    <row r="5" spans="1:5" hidden="1" x14ac:dyDescent="0.3">
      <c r="A5" t="s">
        <v>49</v>
      </c>
      <c r="B5" t="s">
        <v>31</v>
      </c>
      <c r="C5">
        <v>0</v>
      </c>
      <c r="E5">
        <f t="shared" ref="E5:E68" si="0">C5*D5</f>
        <v>0</v>
      </c>
    </row>
    <row r="6" spans="1:5" x14ac:dyDescent="0.3">
      <c r="A6" t="s">
        <v>19</v>
      </c>
      <c r="B6" t="s">
        <v>50</v>
      </c>
      <c r="C6">
        <v>8</v>
      </c>
      <c r="D6">
        <v>11000</v>
      </c>
      <c r="E6">
        <f t="shared" si="0"/>
        <v>88000</v>
      </c>
    </row>
    <row r="7" spans="1:5" hidden="1" x14ac:dyDescent="0.3">
      <c r="A7" t="s">
        <v>51</v>
      </c>
      <c r="B7" t="s">
        <v>53</v>
      </c>
      <c r="C7">
        <v>0</v>
      </c>
      <c r="E7">
        <f t="shared" si="0"/>
        <v>0</v>
      </c>
    </row>
    <row r="8" spans="1:5" hidden="1" x14ac:dyDescent="0.3">
      <c r="A8" t="s">
        <v>51</v>
      </c>
      <c r="B8" t="s">
        <v>4</v>
      </c>
      <c r="C8">
        <v>0</v>
      </c>
      <c r="E8">
        <f t="shared" si="0"/>
        <v>0</v>
      </c>
    </row>
    <row r="9" spans="1:5" x14ac:dyDescent="0.3">
      <c r="A9" t="s">
        <v>28</v>
      </c>
      <c r="B9" t="s">
        <v>4</v>
      </c>
      <c r="C9">
        <v>33</v>
      </c>
      <c r="D9">
        <v>18000</v>
      </c>
      <c r="E9">
        <f t="shared" si="0"/>
        <v>594000</v>
      </c>
    </row>
    <row r="10" spans="1:5" hidden="1" x14ac:dyDescent="0.3">
      <c r="A10" t="s">
        <v>28</v>
      </c>
      <c r="B10" t="s">
        <v>31</v>
      </c>
      <c r="C10">
        <v>0</v>
      </c>
      <c r="E10">
        <f t="shared" si="0"/>
        <v>0</v>
      </c>
    </row>
    <row r="11" spans="1:5" x14ac:dyDescent="0.3">
      <c r="A11" t="s">
        <v>29</v>
      </c>
      <c r="B11" t="s">
        <v>4</v>
      </c>
      <c r="C11">
        <v>1326</v>
      </c>
      <c r="D11">
        <v>22000</v>
      </c>
      <c r="E11">
        <f t="shared" si="0"/>
        <v>29172000</v>
      </c>
    </row>
    <row r="12" spans="1:5" hidden="1" x14ac:dyDescent="0.3">
      <c r="A12" t="s">
        <v>29</v>
      </c>
      <c r="B12" t="s">
        <v>150</v>
      </c>
      <c r="C12">
        <v>0</v>
      </c>
      <c r="E12">
        <f t="shared" si="0"/>
        <v>0</v>
      </c>
    </row>
    <row r="13" spans="1:5" x14ac:dyDescent="0.3">
      <c r="A13" t="s">
        <v>56</v>
      </c>
      <c r="B13" t="s">
        <v>31</v>
      </c>
      <c r="C13">
        <v>2220</v>
      </c>
      <c r="D13">
        <v>4500</v>
      </c>
      <c r="E13">
        <f t="shared" si="0"/>
        <v>9990000</v>
      </c>
    </row>
    <row r="14" spans="1:5" x14ac:dyDescent="0.3">
      <c r="A14" t="s">
        <v>57</v>
      </c>
      <c r="B14" t="s">
        <v>4</v>
      </c>
      <c r="C14">
        <v>671</v>
      </c>
      <c r="D14">
        <v>25000</v>
      </c>
      <c r="E14">
        <f t="shared" si="0"/>
        <v>16775000</v>
      </c>
    </row>
    <row r="15" spans="1:5" hidden="1" x14ac:dyDescent="0.3">
      <c r="A15" t="s">
        <v>57</v>
      </c>
      <c r="B15" t="s">
        <v>31</v>
      </c>
      <c r="C15">
        <v>0</v>
      </c>
      <c r="E15">
        <f t="shared" si="0"/>
        <v>0</v>
      </c>
    </row>
    <row r="16" spans="1:5" x14ac:dyDescent="0.3">
      <c r="A16" t="s">
        <v>32</v>
      </c>
      <c r="B16" t="s">
        <v>4</v>
      </c>
      <c r="C16">
        <v>50</v>
      </c>
      <c r="D16">
        <v>17500</v>
      </c>
      <c r="E16">
        <f t="shared" si="0"/>
        <v>875000</v>
      </c>
    </row>
    <row r="17" spans="1:5" x14ac:dyDescent="0.3">
      <c r="A17" t="s">
        <v>34</v>
      </c>
      <c r="B17" t="s">
        <v>4</v>
      </c>
      <c r="C17">
        <v>260</v>
      </c>
      <c r="D17">
        <v>15000</v>
      </c>
      <c r="E17">
        <f t="shared" si="0"/>
        <v>3900000</v>
      </c>
    </row>
    <row r="18" spans="1:5" hidden="1" x14ac:dyDescent="0.3">
      <c r="A18" t="s">
        <v>34</v>
      </c>
      <c r="B18" t="s">
        <v>31</v>
      </c>
      <c r="C18">
        <v>0</v>
      </c>
      <c r="E18">
        <f t="shared" si="0"/>
        <v>0</v>
      </c>
    </row>
    <row r="19" spans="1:5" hidden="1" x14ac:dyDescent="0.3">
      <c r="A19" t="s">
        <v>60</v>
      </c>
      <c r="B19" t="s">
        <v>50</v>
      </c>
      <c r="C19">
        <v>0</v>
      </c>
      <c r="E19">
        <f t="shared" si="0"/>
        <v>0</v>
      </c>
    </row>
    <row r="20" spans="1:5" x14ac:dyDescent="0.3">
      <c r="A20" t="s">
        <v>6</v>
      </c>
      <c r="B20" t="s">
        <v>4</v>
      </c>
      <c r="C20">
        <v>408</v>
      </c>
      <c r="D20">
        <v>13500</v>
      </c>
      <c r="E20">
        <f t="shared" si="0"/>
        <v>5508000</v>
      </c>
    </row>
    <row r="21" spans="1:5" hidden="1" x14ac:dyDescent="0.3">
      <c r="A21" t="s">
        <v>62</v>
      </c>
      <c r="B21" t="s">
        <v>4</v>
      </c>
      <c r="C21">
        <v>0</v>
      </c>
      <c r="E21">
        <f t="shared" si="0"/>
        <v>0</v>
      </c>
    </row>
    <row r="22" spans="1:5" x14ac:dyDescent="0.3">
      <c r="A22" t="s">
        <v>62</v>
      </c>
      <c r="B22" t="s">
        <v>31</v>
      </c>
      <c r="C22">
        <v>45</v>
      </c>
      <c r="D22">
        <v>10000</v>
      </c>
      <c r="E22">
        <f t="shared" si="0"/>
        <v>450000</v>
      </c>
    </row>
    <row r="23" spans="1:5" hidden="1" x14ac:dyDescent="0.3">
      <c r="A23" t="s">
        <v>64</v>
      </c>
      <c r="B23" t="s">
        <v>31</v>
      </c>
      <c r="C23">
        <v>0</v>
      </c>
      <c r="E23">
        <f t="shared" si="0"/>
        <v>0</v>
      </c>
    </row>
    <row r="24" spans="1:5" hidden="1" x14ac:dyDescent="0.3">
      <c r="A24" t="s">
        <v>22</v>
      </c>
      <c r="B24" t="s">
        <v>4</v>
      </c>
      <c r="C24">
        <v>0</v>
      </c>
      <c r="E24">
        <f t="shared" si="0"/>
        <v>0</v>
      </c>
    </row>
    <row r="25" spans="1:5" hidden="1" x14ac:dyDescent="0.3">
      <c r="A25" t="s">
        <v>24</v>
      </c>
      <c r="B25" t="s">
        <v>66</v>
      </c>
      <c r="C25">
        <v>0</v>
      </c>
      <c r="E25">
        <f t="shared" si="0"/>
        <v>0</v>
      </c>
    </row>
    <row r="26" spans="1:5" x14ac:dyDescent="0.3">
      <c r="A26" t="s">
        <v>24</v>
      </c>
      <c r="B26" t="s">
        <v>4</v>
      </c>
      <c r="C26">
        <v>50</v>
      </c>
      <c r="D26">
        <v>14000</v>
      </c>
      <c r="E26">
        <f t="shared" si="0"/>
        <v>700000</v>
      </c>
    </row>
    <row r="27" spans="1:5" x14ac:dyDescent="0.3">
      <c r="A27" t="s">
        <v>75</v>
      </c>
      <c r="B27" t="s">
        <v>4</v>
      </c>
      <c r="C27">
        <v>43</v>
      </c>
      <c r="D27">
        <v>28000</v>
      </c>
      <c r="E27">
        <f t="shared" si="0"/>
        <v>1204000</v>
      </c>
    </row>
    <row r="28" spans="1:5" x14ac:dyDescent="0.3">
      <c r="A28" t="s">
        <v>8</v>
      </c>
      <c r="B28" t="s">
        <v>4</v>
      </c>
      <c r="C28">
        <v>270</v>
      </c>
      <c r="D28">
        <v>5000</v>
      </c>
      <c r="E28">
        <f t="shared" si="0"/>
        <v>1350000</v>
      </c>
    </row>
    <row r="29" spans="1:5" hidden="1" x14ac:dyDescent="0.3">
      <c r="A29" t="s">
        <v>10</v>
      </c>
      <c r="B29" t="s">
        <v>4</v>
      </c>
      <c r="C29">
        <v>0</v>
      </c>
      <c r="E29">
        <f t="shared" si="0"/>
        <v>0</v>
      </c>
    </row>
    <row r="30" spans="1:5" hidden="1" x14ac:dyDescent="0.3">
      <c r="A30" t="s">
        <v>10</v>
      </c>
      <c r="B30" t="s">
        <v>84</v>
      </c>
      <c r="C30">
        <v>0</v>
      </c>
      <c r="E30">
        <f t="shared" si="0"/>
        <v>0</v>
      </c>
    </row>
    <row r="31" spans="1:5" hidden="1" x14ac:dyDescent="0.3">
      <c r="A31" t="s">
        <v>10</v>
      </c>
      <c r="B31" t="s">
        <v>192</v>
      </c>
      <c r="C31">
        <v>0</v>
      </c>
      <c r="E31">
        <f t="shared" si="0"/>
        <v>0</v>
      </c>
    </row>
    <row r="32" spans="1:5" x14ac:dyDescent="0.3">
      <c r="A32" t="s">
        <v>11</v>
      </c>
      <c r="B32" t="s">
        <v>4</v>
      </c>
      <c r="C32">
        <v>90</v>
      </c>
      <c r="D32">
        <v>10000</v>
      </c>
      <c r="E32">
        <f t="shared" si="0"/>
        <v>900000</v>
      </c>
    </row>
    <row r="33" spans="1:5" hidden="1" x14ac:dyDescent="0.3">
      <c r="A33" t="s">
        <v>11</v>
      </c>
      <c r="B33" t="s">
        <v>84</v>
      </c>
      <c r="C33">
        <v>0</v>
      </c>
      <c r="E33">
        <f t="shared" si="0"/>
        <v>0</v>
      </c>
    </row>
    <row r="34" spans="1:5" hidden="1" x14ac:dyDescent="0.3">
      <c r="A34" t="s">
        <v>15</v>
      </c>
      <c r="B34" t="s">
        <v>4</v>
      </c>
      <c r="C34">
        <v>0</v>
      </c>
      <c r="E34">
        <f t="shared" si="0"/>
        <v>0</v>
      </c>
    </row>
    <row r="35" spans="1:5" hidden="1" x14ac:dyDescent="0.3">
      <c r="A35" t="s">
        <v>15</v>
      </c>
      <c r="B35" t="s">
        <v>50</v>
      </c>
      <c r="C35">
        <v>0</v>
      </c>
      <c r="E35">
        <f t="shared" si="0"/>
        <v>0</v>
      </c>
    </row>
    <row r="36" spans="1:5" hidden="1" x14ac:dyDescent="0.3">
      <c r="A36" t="s">
        <v>15</v>
      </c>
      <c r="B36" t="s">
        <v>164</v>
      </c>
      <c r="C36">
        <v>0</v>
      </c>
      <c r="E36">
        <f t="shared" si="0"/>
        <v>0</v>
      </c>
    </row>
    <row r="37" spans="1:5" hidden="1" x14ac:dyDescent="0.3">
      <c r="A37" t="s">
        <v>18</v>
      </c>
      <c r="B37" t="s">
        <v>4</v>
      </c>
      <c r="C37">
        <v>0</v>
      </c>
      <c r="E37">
        <f t="shared" si="0"/>
        <v>0</v>
      </c>
    </row>
    <row r="38" spans="1:5" hidden="1" x14ac:dyDescent="0.3">
      <c r="A38" t="s">
        <v>18</v>
      </c>
      <c r="B38" t="s">
        <v>50</v>
      </c>
      <c r="C38">
        <v>0</v>
      </c>
      <c r="E38">
        <f t="shared" si="0"/>
        <v>0</v>
      </c>
    </row>
    <row r="39" spans="1:5" x14ac:dyDescent="0.3">
      <c r="A39" t="s">
        <v>92</v>
      </c>
      <c r="B39" t="s">
        <v>31</v>
      </c>
      <c r="C39">
        <v>50</v>
      </c>
      <c r="D39">
        <v>11000</v>
      </c>
      <c r="E39">
        <f t="shared" si="0"/>
        <v>550000</v>
      </c>
    </row>
    <row r="40" spans="1:5" x14ac:dyDescent="0.3">
      <c r="A40" t="s">
        <v>39</v>
      </c>
      <c r="B40" t="s">
        <v>4</v>
      </c>
      <c r="C40">
        <v>55</v>
      </c>
      <c r="D40">
        <v>6000</v>
      </c>
      <c r="E40">
        <f t="shared" si="0"/>
        <v>330000</v>
      </c>
    </row>
    <row r="41" spans="1:5" x14ac:dyDescent="0.3">
      <c r="A41" t="s">
        <v>39</v>
      </c>
      <c r="B41" t="s">
        <v>50</v>
      </c>
      <c r="C41">
        <v>85</v>
      </c>
      <c r="D41">
        <v>5000</v>
      </c>
      <c r="E41">
        <f t="shared" si="0"/>
        <v>425000</v>
      </c>
    </row>
    <row r="42" spans="1:5" x14ac:dyDescent="0.3">
      <c r="A42" t="s">
        <v>100</v>
      </c>
      <c r="B42" t="s">
        <v>4</v>
      </c>
      <c r="C42">
        <v>52</v>
      </c>
      <c r="D42">
        <v>5000</v>
      </c>
      <c r="E42">
        <f t="shared" si="0"/>
        <v>260000</v>
      </c>
    </row>
    <row r="43" spans="1:5" x14ac:dyDescent="0.3">
      <c r="A43" t="s">
        <v>43</v>
      </c>
      <c r="B43" t="s">
        <v>4</v>
      </c>
      <c r="C43">
        <v>138</v>
      </c>
      <c r="D43">
        <v>37000</v>
      </c>
      <c r="E43">
        <f t="shared" si="0"/>
        <v>5106000</v>
      </c>
    </row>
    <row r="44" spans="1:5" hidden="1" x14ac:dyDescent="0.3">
      <c r="A44" t="s">
        <v>43</v>
      </c>
      <c r="B44" t="s">
        <v>84</v>
      </c>
      <c r="C44">
        <v>0</v>
      </c>
      <c r="E44">
        <f t="shared" si="0"/>
        <v>0</v>
      </c>
    </row>
    <row r="45" spans="1:5" hidden="1" x14ac:dyDescent="0.3">
      <c r="A45" t="s">
        <v>43</v>
      </c>
      <c r="B45" t="s">
        <v>193</v>
      </c>
      <c r="C45">
        <v>0</v>
      </c>
      <c r="E45">
        <f t="shared" si="0"/>
        <v>0</v>
      </c>
    </row>
    <row r="46" spans="1:5" x14ac:dyDescent="0.3">
      <c r="A46" t="s">
        <v>44</v>
      </c>
      <c r="B46" t="s">
        <v>4</v>
      </c>
      <c r="C46">
        <v>113</v>
      </c>
      <c r="D46">
        <v>18000</v>
      </c>
      <c r="E46">
        <f t="shared" si="0"/>
        <v>2034000</v>
      </c>
    </row>
    <row r="47" spans="1:5" hidden="1" x14ac:dyDescent="0.3">
      <c r="A47" t="s">
        <v>44</v>
      </c>
      <c r="B47" t="s">
        <v>84</v>
      </c>
      <c r="C47">
        <v>0</v>
      </c>
      <c r="E47">
        <f t="shared" si="0"/>
        <v>0</v>
      </c>
    </row>
    <row r="48" spans="1:5" hidden="1" x14ac:dyDescent="0.3">
      <c r="A48" t="s">
        <v>44</v>
      </c>
      <c r="B48" t="s">
        <v>193</v>
      </c>
      <c r="C48">
        <v>0</v>
      </c>
      <c r="E48">
        <f t="shared" si="0"/>
        <v>0</v>
      </c>
    </row>
    <row r="49" spans="1:5" x14ac:dyDescent="0.3">
      <c r="A49" t="s">
        <v>45</v>
      </c>
      <c r="B49" t="s">
        <v>4</v>
      </c>
      <c r="C49">
        <v>100</v>
      </c>
      <c r="D49">
        <v>26000</v>
      </c>
      <c r="E49">
        <f t="shared" si="0"/>
        <v>2600000</v>
      </c>
    </row>
    <row r="50" spans="1:5" hidden="1" x14ac:dyDescent="0.3">
      <c r="A50" t="s">
        <v>45</v>
      </c>
      <c r="B50" t="s">
        <v>84</v>
      </c>
      <c r="C50">
        <v>0</v>
      </c>
      <c r="E50">
        <f t="shared" si="0"/>
        <v>0</v>
      </c>
    </row>
    <row r="51" spans="1:5" hidden="1" x14ac:dyDescent="0.3">
      <c r="A51" t="s">
        <v>45</v>
      </c>
      <c r="B51" t="s">
        <v>193</v>
      </c>
      <c r="C51">
        <v>0</v>
      </c>
      <c r="E51">
        <f t="shared" si="0"/>
        <v>0</v>
      </c>
    </row>
    <row r="52" spans="1:5" x14ac:dyDescent="0.3">
      <c r="A52" t="s">
        <v>12</v>
      </c>
      <c r="B52" t="s">
        <v>4</v>
      </c>
      <c r="C52">
        <v>6</v>
      </c>
      <c r="D52">
        <v>30000</v>
      </c>
      <c r="E52">
        <f t="shared" si="0"/>
        <v>180000</v>
      </c>
    </row>
    <row r="53" spans="1:5" hidden="1" x14ac:dyDescent="0.3">
      <c r="A53" t="s">
        <v>116</v>
      </c>
      <c r="B53" t="s">
        <v>50</v>
      </c>
      <c r="C53">
        <v>0</v>
      </c>
      <c r="E53">
        <f t="shared" si="0"/>
        <v>0</v>
      </c>
    </row>
    <row r="54" spans="1:5" x14ac:dyDescent="0.3">
      <c r="A54" t="s">
        <v>117</v>
      </c>
      <c r="B54" t="s">
        <v>4</v>
      </c>
      <c r="C54">
        <v>520</v>
      </c>
      <c r="D54">
        <v>25000</v>
      </c>
      <c r="E54">
        <f t="shared" si="0"/>
        <v>13000000</v>
      </c>
    </row>
    <row r="55" spans="1:5" x14ac:dyDescent="0.3">
      <c r="A55" t="s">
        <v>17</v>
      </c>
      <c r="B55" t="s">
        <v>4</v>
      </c>
      <c r="C55">
        <v>4</v>
      </c>
      <c r="D55">
        <v>35000</v>
      </c>
      <c r="E55">
        <f t="shared" si="0"/>
        <v>140000</v>
      </c>
    </row>
    <row r="56" spans="1:5" x14ac:dyDescent="0.3">
      <c r="A56" t="s">
        <v>17</v>
      </c>
      <c r="B56" t="s">
        <v>147</v>
      </c>
      <c r="C56">
        <v>100</v>
      </c>
      <c r="D56">
        <v>10500</v>
      </c>
      <c r="E56">
        <f t="shared" si="0"/>
        <v>1050000</v>
      </c>
    </row>
    <row r="57" spans="1:5" hidden="1" x14ac:dyDescent="0.3">
      <c r="A57" t="s">
        <v>17</v>
      </c>
      <c r="B57" t="s">
        <v>203</v>
      </c>
      <c r="C57">
        <v>0</v>
      </c>
      <c r="E57">
        <f t="shared" si="0"/>
        <v>0</v>
      </c>
    </row>
    <row r="58" spans="1:5" hidden="1" x14ac:dyDescent="0.3">
      <c r="A58" t="s">
        <v>118</v>
      </c>
      <c r="B58" t="s">
        <v>4</v>
      </c>
      <c r="C58">
        <v>0</v>
      </c>
      <c r="E58">
        <f t="shared" si="0"/>
        <v>0</v>
      </c>
    </row>
    <row r="59" spans="1:5" x14ac:dyDescent="0.3">
      <c r="A59" t="s">
        <v>41</v>
      </c>
      <c r="B59" t="s">
        <v>4</v>
      </c>
      <c r="C59">
        <v>535</v>
      </c>
      <c r="D59">
        <v>28600</v>
      </c>
      <c r="E59">
        <f t="shared" si="0"/>
        <v>15301000</v>
      </c>
    </row>
    <row r="60" spans="1:5" x14ac:dyDescent="0.3">
      <c r="A60" t="s">
        <v>3</v>
      </c>
      <c r="B60" t="s">
        <v>4</v>
      </c>
      <c r="C60">
        <v>40</v>
      </c>
      <c r="D60">
        <v>30000</v>
      </c>
      <c r="E60">
        <f t="shared" si="0"/>
        <v>1200000</v>
      </c>
    </row>
    <row r="61" spans="1:5" hidden="1" x14ac:dyDescent="0.3">
      <c r="A61" t="s">
        <v>5</v>
      </c>
      <c r="B61" t="s">
        <v>4</v>
      </c>
      <c r="C61">
        <v>0</v>
      </c>
      <c r="E61">
        <f t="shared" si="0"/>
        <v>0</v>
      </c>
    </row>
    <row r="62" spans="1:5" x14ac:dyDescent="0.3">
      <c r="A62" t="s">
        <v>13</v>
      </c>
      <c r="B62" t="s">
        <v>4</v>
      </c>
      <c r="C62">
        <v>10</v>
      </c>
      <c r="D62">
        <v>27000</v>
      </c>
      <c r="E62">
        <f t="shared" si="0"/>
        <v>270000</v>
      </c>
    </row>
    <row r="63" spans="1:5" x14ac:dyDescent="0.3">
      <c r="A63" t="s">
        <v>175</v>
      </c>
      <c r="B63" t="s">
        <v>4</v>
      </c>
      <c r="C63">
        <v>18</v>
      </c>
      <c r="D63">
        <v>31000</v>
      </c>
      <c r="E63">
        <f t="shared" si="0"/>
        <v>558000</v>
      </c>
    </row>
    <row r="64" spans="1:5" x14ac:dyDescent="0.3">
      <c r="A64" t="s">
        <v>16</v>
      </c>
      <c r="B64" t="s">
        <v>4</v>
      </c>
      <c r="C64">
        <v>53</v>
      </c>
      <c r="D64">
        <v>15000</v>
      </c>
      <c r="E64">
        <f t="shared" si="0"/>
        <v>795000</v>
      </c>
    </row>
    <row r="65" spans="1:5" hidden="1" x14ac:dyDescent="0.3">
      <c r="A65" t="s">
        <v>16</v>
      </c>
      <c r="B65" t="s">
        <v>165</v>
      </c>
      <c r="C65">
        <v>0</v>
      </c>
      <c r="E65">
        <f t="shared" si="0"/>
        <v>0</v>
      </c>
    </row>
    <row r="66" spans="1:5" hidden="1" x14ac:dyDescent="0.3">
      <c r="A66" t="s">
        <v>89</v>
      </c>
      <c r="B66" t="s">
        <v>53</v>
      </c>
      <c r="C66">
        <v>0</v>
      </c>
      <c r="E66">
        <f t="shared" si="0"/>
        <v>0</v>
      </c>
    </row>
    <row r="67" spans="1:5" hidden="1" x14ac:dyDescent="0.3">
      <c r="A67" t="s">
        <v>90</v>
      </c>
      <c r="B67" t="s">
        <v>4</v>
      </c>
      <c r="C67">
        <v>0</v>
      </c>
      <c r="E67">
        <f t="shared" si="0"/>
        <v>0</v>
      </c>
    </row>
    <row r="68" spans="1:5" x14ac:dyDescent="0.3">
      <c r="A68" t="s">
        <v>90</v>
      </c>
      <c r="B68" t="s">
        <v>148</v>
      </c>
      <c r="C68">
        <v>103</v>
      </c>
      <c r="D68">
        <v>10500</v>
      </c>
      <c r="E68">
        <f t="shared" si="0"/>
        <v>1081500</v>
      </c>
    </row>
    <row r="69" spans="1:5" hidden="1" x14ac:dyDescent="0.3">
      <c r="A69" t="s">
        <v>21</v>
      </c>
      <c r="B69" t="s">
        <v>4</v>
      </c>
      <c r="C69">
        <v>0</v>
      </c>
      <c r="E69">
        <f t="shared" ref="E69:E134" si="1">C69*D69</f>
        <v>0</v>
      </c>
    </row>
    <row r="70" spans="1:5" hidden="1" x14ac:dyDescent="0.3">
      <c r="A70" t="s">
        <v>21</v>
      </c>
      <c r="B70" t="s">
        <v>149</v>
      </c>
      <c r="C70">
        <v>0</v>
      </c>
      <c r="E70">
        <f t="shared" si="1"/>
        <v>0</v>
      </c>
    </row>
    <row r="71" spans="1:5" x14ac:dyDescent="0.3">
      <c r="A71" t="s">
        <v>63</v>
      </c>
      <c r="B71" t="s">
        <v>31</v>
      </c>
      <c r="C71">
        <v>4</v>
      </c>
      <c r="D71">
        <v>6000</v>
      </c>
      <c r="E71">
        <f t="shared" si="1"/>
        <v>24000</v>
      </c>
    </row>
    <row r="72" spans="1:5" hidden="1" x14ac:dyDescent="0.3">
      <c r="A72" t="s">
        <v>26</v>
      </c>
      <c r="B72" t="s">
        <v>4</v>
      </c>
      <c r="C72">
        <v>0</v>
      </c>
      <c r="E72">
        <f t="shared" si="1"/>
        <v>0</v>
      </c>
    </row>
    <row r="73" spans="1:5" hidden="1" x14ac:dyDescent="0.3">
      <c r="A73" t="s">
        <v>27</v>
      </c>
      <c r="B73" t="s">
        <v>4</v>
      </c>
      <c r="C73">
        <v>0</v>
      </c>
      <c r="E73">
        <f t="shared" si="1"/>
        <v>0</v>
      </c>
    </row>
    <row r="74" spans="1:5" x14ac:dyDescent="0.3">
      <c r="A74" t="s">
        <v>54</v>
      </c>
      <c r="B74" t="s">
        <v>4</v>
      </c>
      <c r="C74">
        <v>5</v>
      </c>
      <c r="D74">
        <v>45000</v>
      </c>
      <c r="E74">
        <f t="shared" si="1"/>
        <v>225000</v>
      </c>
    </row>
    <row r="75" spans="1:5" x14ac:dyDescent="0.3">
      <c r="A75" t="s">
        <v>35</v>
      </c>
      <c r="B75" t="s">
        <v>4</v>
      </c>
      <c r="C75">
        <v>84</v>
      </c>
      <c r="D75">
        <v>18000</v>
      </c>
      <c r="E75">
        <f t="shared" si="1"/>
        <v>1512000</v>
      </c>
    </row>
    <row r="76" spans="1:5" x14ac:dyDescent="0.3">
      <c r="A76" t="s">
        <v>123</v>
      </c>
      <c r="B76" t="s">
        <v>31</v>
      </c>
      <c r="C76">
        <v>10</v>
      </c>
      <c r="D76">
        <v>6000</v>
      </c>
      <c r="E76">
        <f t="shared" si="1"/>
        <v>60000</v>
      </c>
    </row>
    <row r="77" spans="1:5" hidden="1" x14ac:dyDescent="0.3">
      <c r="A77" t="s">
        <v>37</v>
      </c>
      <c r="B77" t="s">
        <v>4</v>
      </c>
      <c r="C77">
        <v>0</v>
      </c>
      <c r="E77">
        <f t="shared" si="1"/>
        <v>0</v>
      </c>
    </row>
    <row r="78" spans="1:5" hidden="1" x14ac:dyDescent="0.3">
      <c r="A78" t="s">
        <v>37</v>
      </c>
      <c r="B78" t="s">
        <v>151</v>
      </c>
      <c r="C78">
        <v>0</v>
      </c>
      <c r="E78">
        <f t="shared" si="1"/>
        <v>0</v>
      </c>
    </row>
    <row r="79" spans="1:5" x14ac:dyDescent="0.3">
      <c r="A79" t="s">
        <v>96</v>
      </c>
      <c r="B79" t="s">
        <v>4</v>
      </c>
      <c r="C79">
        <v>2.5</v>
      </c>
      <c r="D79">
        <v>80000</v>
      </c>
      <c r="E79">
        <f t="shared" si="1"/>
        <v>200000</v>
      </c>
    </row>
    <row r="80" spans="1:5" x14ac:dyDescent="0.3">
      <c r="A80" t="s">
        <v>97</v>
      </c>
      <c r="B80" t="s">
        <v>4</v>
      </c>
      <c r="C80">
        <v>5</v>
      </c>
      <c r="D80">
        <v>70000</v>
      </c>
      <c r="E80">
        <f t="shared" si="1"/>
        <v>350000</v>
      </c>
    </row>
    <row r="81" spans="1:5" x14ac:dyDescent="0.3">
      <c r="A81" t="s">
        <v>105</v>
      </c>
      <c r="B81" t="s">
        <v>4</v>
      </c>
      <c r="C81">
        <v>3.5</v>
      </c>
      <c r="D81">
        <v>70000</v>
      </c>
      <c r="E81">
        <f t="shared" si="1"/>
        <v>245000</v>
      </c>
    </row>
    <row r="82" spans="1:5" hidden="1" x14ac:dyDescent="0.3">
      <c r="A82" t="s">
        <v>40</v>
      </c>
      <c r="B82" t="s">
        <v>66</v>
      </c>
      <c r="C82">
        <v>0</v>
      </c>
      <c r="E82">
        <f t="shared" si="1"/>
        <v>0</v>
      </c>
    </row>
    <row r="83" spans="1:5" x14ac:dyDescent="0.3">
      <c r="A83" t="s">
        <v>40</v>
      </c>
      <c r="B83" t="s">
        <v>4</v>
      </c>
      <c r="C83">
        <v>92</v>
      </c>
      <c r="D83">
        <v>36000</v>
      </c>
      <c r="E83">
        <f t="shared" si="1"/>
        <v>3312000</v>
      </c>
    </row>
    <row r="84" spans="1:5" x14ac:dyDescent="0.3">
      <c r="A84" t="s">
        <v>124</v>
      </c>
      <c r="B84" t="s">
        <v>4</v>
      </c>
      <c r="C84">
        <v>25</v>
      </c>
      <c r="D84">
        <v>30000</v>
      </c>
      <c r="E84">
        <f t="shared" si="1"/>
        <v>750000</v>
      </c>
    </row>
    <row r="85" spans="1:5" hidden="1" x14ac:dyDescent="0.3">
      <c r="A85" t="s">
        <v>42</v>
      </c>
      <c r="B85" t="s">
        <v>31</v>
      </c>
      <c r="C85">
        <v>0</v>
      </c>
      <c r="E85">
        <f t="shared" si="1"/>
        <v>0</v>
      </c>
    </row>
    <row r="86" spans="1:5" x14ac:dyDescent="0.3">
      <c r="A86" t="s">
        <v>67</v>
      </c>
      <c r="B86" t="s">
        <v>4</v>
      </c>
      <c r="C86">
        <v>7</v>
      </c>
      <c r="D86">
        <v>14000</v>
      </c>
      <c r="E86">
        <f t="shared" si="1"/>
        <v>98000</v>
      </c>
    </row>
    <row r="87" spans="1:5" hidden="1" x14ac:dyDescent="0.3">
      <c r="A87" t="s">
        <v>101</v>
      </c>
      <c r="B87" t="s">
        <v>53</v>
      </c>
      <c r="C87">
        <v>0</v>
      </c>
      <c r="E87">
        <f t="shared" si="1"/>
        <v>0</v>
      </c>
    </row>
    <row r="88" spans="1:5" x14ac:dyDescent="0.3">
      <c r="A88" t="s">
        <v>46</v>
      </c>
      <c r="B88" t="s">
        <v>4</v>
      </c>
      <c r="C88">
        <v>4</v>
      </c>
      <c r="D88">
        <v>60000</v>
      </c>
      <c r="E88">
        <f t="shared" si="1"/>
        <v>240000</v>
      </c>
    </row>
    <row r="89" spans="1:5" x14ac:dyDescent="0.3">
      <c r="A89" t="s">
        <v>46</v>
      </c>
      <c r="B89" t="s">
        <v>31</v>
      </c>
      <c r="C89">
        <v>84</v>
      </c>
      <c r="D89">
        <v>21000</v>
      </c>
      <c r="E89">
        <f t="shared" si="1"/>
        <v>1764000</v>
      </c>
    </row>
    <row r="90" spans="1:5" x14ac:dyDescent="0.3">
      <c r="A90" t="s">
        <v>47</v>
      </c>
      <c r="B90" t="s">
        <v>4</v>
      </c>
      <c r="C90">
        <v>175</v>
      </c>
      <c r="D90">
        <v>9500</v>
      </c>
      <c r="E90">
        <f t="shared" si="1"/>
        <v>1662500</v>
      </c>
    </row>
    <row r="91" spans="1:5" hidden="1" x14ac:dyDescent="0.3">
      <c r="A91" t="s">
        <v>74</v>
      </c>
      <c r="B91" t="s">
        <v>4</v>
      </c>
      <c r="C91">
        <v>0</v>
      </c>
      <c r="E91">
        <f t="shared" si="1"/>
        <v>0</v>
      </c>
    </row>
    <row r="92" spans="1:5" hidden="1" x14ac:dyDescent="0.3">
      <c r="A92" t="s">
        <v>48</v>
      </c>
      <c r="B92" t="s">
        <v>4</v>
      </c>
      <c r="C92">
        <v>0</v>
      </c>
      <c r="E92">
        <f t="shared" si="1"/>
        <v>0</v>
      </c>
    </row>
    <row r="93" spans="1:5" hidden="1" x14ac:dyDescent="0.3">
      <c r="A93" t="s">
        <v>152</v>
      </c>
      <c r="B93" t="s">
        <v>4</v>
      </c>
      <c r="C93">
        <v>0</v>
      </c>
      <c r="E93">
        <f t="shared" si="1"/>
        <v>0</v>
      </c>
    </row>
    <row r="94" spans="1:5" x14ac:dyDescent="0.3">
      <c r="A94" t="s">
        <v>81</v>
      </c>
      <c r="B94" t="s">
        <v>4</v>
      </c>
      <c r="C94">
        <v>11</v>
      </c>
      <c r="D94">
        <v>30000</v>
      </c>
      <c r="E94">
        <f t="shared" si="1"/>
        <v>330000</v>
      </c>
    </row>
    <row r="95" spans="1:5" x14ac:dyDescent="0.3">
      <c r="A95" t="s">
        <v>59</v>
      </c>
      <c r="B95" t="s">
        <v>4</v>
      </c>
      <c r="C95">
        <v>8</v>
      </c>
      <c r="D95">
        <v>37000</v>
      </c>
      <c r="E95">
        <f t="shared" si="1"/>
        <v>296000</v>
      </c>
    </row>
    <row r="96" spans="1:5" hidden="1" x14ac:dyDescent="0.3">
      <c r="A96" t="s">
        <v>133</v>
      </c>
      <c r="B96" t="s">
        <v>31</v>
      </c>
      <c r="C96">
        <v>0</v>
      </c>
      <c r="E96">
        <f t="shared" si="1"/>
        <v>0</v>
      </c>
    </row>
    <row r="97" spans="1:5" hidden="1" x14ac:dyDescent="0.3">
      <c r="A97" t="s">
        <v>76</v>
      </c>
      <c r="B97" t="s">
        <v>66</v>
      </c>
      <c r="C97">
        <v>0</v>
      </c>
      <c r="E97">
        <f t="shared" si="1"/>
        <v>0</v>
      </c>
    </row>
    <row r="98" spans="1:5" hidden="1" x14ac:dyDescent="0.3">
      <c r="A98" t="s">
        <v>82</v>
      </c>
      <c r="B98" t="s">
        <v>66</v>
      </c>
      <c r="C98">
        <v>0</v>
      </c>
      <c r="E98">
        <f t="shared" si="1"/>
        <v>0</v>
      </c>
    </row>
    <row r="99" spans="1:5" x14ac:dyDescent="0.3">
      <c r="A99" t="s">
        <v>77</v>
      </c>
      <c r="B99" t="s">
        <v>66</v>
      </c>
      <c r="C99">
        <v>129</v>
      </c>
      <c r="D99">
        <v>6800</v>
      </c>
      <c r="E99">
        <f t="shared" si="1"/>
        <v>877200</v>
      </c>
    </row>
    <row r="100" spans="1:5" x14ac:dyDescent="0.3">
      <c r="A100" t="s">
        <v>142</v>
      </c>
      <c r="B100" t="s">
        <v>31</v>
      </c>
      <c r="C100">
        <v>200</v>
      </c>
      <c r="D100">
        <v>6000</v>
      </c>
      <c r="E100">
        <f t="shared" si="1"/>
        <v>1200000</v>
      </c>
    </row>
    <row r="101" spans="1:5" hidden="1" x14ac:dyDescent="0.3">
      <c r="A101" t="s">
        <v>217</v>
      </c>
      <c r="B101" t="s">
        <v>4</v>
      </c>
      <c r="C101">
        <v>0</v>
      </c>
      <c r="E101">
        <f t="shared" si="1"/>
        <v>0</v>
      </c>
    </row>
    <row r="102" spans="1:5" hidden="1" x14ac:dyDescent="0.3">
      <c r="A102" t="s">
        <v>129</v>
      </c>
      <c r="B102" t="s">
        <v>4</v>
      </c>
      <c r="C102">
        <v>0</v>
      </c>
      <c r="E102">
        <f t="shared" si="1"/>
        <v>0</v>
      </c>
    </row>
    <row r="103" spans="1:5" x14ac:dyDescent="0.3">
      <c r="A103" t="s">
        <v>33</v>
      </c>
      <c r="B103" t="s">
        <v>4</v>
      </c>
      <c r="C103">
        <v>20</v>
      </c>
      <c r="D103">
        <v>12000</v>
      </c>
      <c r="E103">
        <f t="shared" si="1"/>
        <v>240000</v>
      </c>
    </row>
    <row r="104" spans="1:5" hidden="1" x14ac:dyDescent="0.3">
      <c r="A104" t="s">
        <v>33</v>
      </c>
      <c r="B104" t="s">
        <v>31</v>
      </c>
      <c r="C104">
        <v>0</v>
      </c>
      <c r="E104">
        <f t="shared" si="1"/>
        <v>0</v>
      </c>
    </row>
    <row r="105" spans="1:5" hidden="1" x14ac:dyDescent="0.3">
      <c r="A105" t="s">
        <v>107</v>
      </c>
      <c r="B105" t="s">
        <v>4</v>
      </c>
      <c r="C105">
        <v>0</v>
      </c>
      <c r="E105">
        <f t="shared" si="1"/>
        <v>0</v>
      </c>
    </row>
    <row r="106" spans="1:5" x14ac:dyDescent="0.3">
      <c r="A106" t="s">
        <v>99</v>
      </c>
      <c r="B106" t="s">
        <v>4</v>
      </c>
      <c r="C106">
        <v>10</v>
      </c>
      <c r="D106">
        <v>10000</v>
      </c>
      <c r="E106">
        <f t="shared" si="1"/>
        <v>100000</v>
      </c>
    </row>
    <row r="107" spans="1:5" hidden="1" x14ac:dyDescent="0.3">
      <c r="A107" t="s">
        <v>58</v>
      </c>
      <c r="B107" t="s">
        <v>4</v>
      </c>
      <c r="C107">
        <v>0</v>
      </c>
      <c r="E107">
        <f t="shared" si="1"/>
        <v>0</v>
      </c>
    </row>
    <row r="108" spans="1:5" x14ac:dyDescent="0.3">
      <c r="A108" t="s">
        <v>85</v>
      </c>
      <c r="B108" t="s">
        <v>4</v>
      </c>
      <c r="C108">
        <v>15</v>
      </c>
      <c r="D108">
        <v>13000</v>
      </c>
      <c r="E108">
        <f t="shared" si="1"/>
        <v>195000</v>
      </c>
    </row>
    <row r="109" spans="1:5" hidden="1" x14ac:dyDescent="0.3">
      <c r="E109">
        <f t="shared" si="1"/>
        <v>0</v>
      </c>
    </row>
    <row r="110" spans="1:5" x14ac:dyDescent="0.3">
      <c r="E110">
        <f>SUM(E4:E108)</f>
        <v>133217200</v>
      </c>
    </row>
    <row r="111" spans="1:5" x14ac:dyDescent="0.3">
      <c r="A111" t="s">
        <v>139</v>
      </c>
    </row>
    <row r="112" spans="1:5" x14ac:dyDescent="0.3">
      <c r="A112" t="s">
        <v>0</v>
      </c>
      <c r="B112" t="s">
        <v>1</v>
      </c>
      <c r="C112" t="s">
        <v>2</v>
      </c>
      <c r="D112" t="s">
        <v>137</v>
      </c>
      <c r="E112" t="s">
        <v>138</v>
      </c>
    </row>
    <row r="113" spans="1:5" hidden="1" x14ac:dyDescent="0.3">
      <c r="A113" t="s">
        <v>49</v>
      </c>
      <c r="B113" t="s">
        <v>4</v>
      </c>
      <c r="E113">
        <f t="shared" si="1"/>
        <v>0</v>
      </c>
    </row>
    <row r="114" spans="1:5" hidden="1" x14ac:dyDescent="0.3">
      <c r="A114" t="s">
        <v>144</v>
      </c>
      <c r="B114" t="s">
        <v>50</v>
      </c>
      <c r="E114">
        <f t="shared" si="1"/>
        <v>0</v>
      </c>
    </row>
    <row r="115" spans="1:5" x14ac:dyDescent="0.3">
      <c r="A115" t="s">
        <v>27</v>
      </c>
      <c r="B115" t="s">
        <v>4</v>
      </c>
      <c r="C115">
        <v>175</v>
      </c>
      <c r="D115">
        <v>6500</v>
      </c>
      <c r="E115">
        <f t="shared" si="1"/>
        <v>1137500</v>
      </c>
    </row>
    <row r="116" spans="1:5" x14ac:dyDescent="0.3">
      <c r="A116" t="s">
        <v>28</v>
      </c>
      <c r="B116" t="s">
        <v>4</v>
      </c>
      <c r="C116">
        <v>40</v>
      </c>
      <c r="D116">
        <v>18000</v>
      </c>
      <c r="E116">
        <f t="shared" si="1"/>
        <v>720000</v>
      </c>
    </row>
    <row r="117" spans="1:5" hidden="1" x14ac:dyDescent="0.3">
      <c r="A117" t="s">
        <v>29</v>
      </c>
      <c r="B117" t="s">
        <v>4</v>
      </c>
      <c r="E117">
        <f t="shared" si="1"/>
        <v>0</v>
      </c>
    </row>
    <row r="118" spans="1:5" hidden="1" x14ac:dyDescent="0.3">
      <c r="A118" t="s">
        <v>57</v>
      </c>
      <c r="B118" t="s">
        <v>31</v>
      </c>
      <c r="E118">
        <f t="shared" si="1"/>
        <v>0</v>
      </c>
    </row>
    <row r="119" spans="1:5" x14ac:dyDescent="0.3">
      <c r="A119" t="s">
        <v>32</v>
      </c>
      <c r="B119" t="s">
        <v>4</v>
      </c>
      <c r="C119">
        <v>200</v>
      </c>
      <c r="D119">
        <v>17500</v>
      </c>
      <c r="E119">
        <f t="shared" si="1"/>
        <v>3500000</v>
      </c>
    </row>
    <row r="120" spans="1:5" hidden="1" x14ac:dyDescent="0.3">
      <c r="A120" t="s">
        <v>33</v>
      </c>
      <c r="B120" t="s">
        <v>31</v>
      </c>
      <c r="E120">
        <f t="shared" si="1"/>
        <v>0</v>
      </c>
    </row>
    <row r="121" spans="1:5" x14ac:dyDescent="0.3">
      <c r="A121" t="s">
        <v>34</v>
      </c>
      <c r="B121" t="s">
        <v>4</v>
      </c>
      <c r="C121">
        <v>200</v>
      </c>
      <c r="D121">
        <v>15000</v>
      </c>
      <c r="E121">
        <f t="shared" si="1"/>
        <v>3000000</v>
      </c>
    </row>
    <row r="122" spans="1:5" hidden="1" x14ac:dyDescent="0.3">
      <c r="A122" t="s">
        <v>35</v>
      </c>
      <c r="B122" t="s">
        <v>4</v>
      </c>
      <c r="E122">
        <f t="shared" si="1"/>
        <v>0</v>
      </c>
    </row>
    <row r="123" spans="1:5" hidden="1" x14ac:dyDescent="0.3">
      <c r="A123" t="s">
        <v>13</v>
      </c>
      <c r="B123" t="s">
        <v>4</v>
      </c>
      <c r="E123">
        <f t="shared" si="1"/>
        <v>0</v>
      </c>
    </row>
    <row r="124" spans="1:5" hidden="1" x14ac:dyDescent="0.3">
      <c r="A124" t="s">
        <v>14</v>
      </c>
      <c r="B124" t="s">
        <v>4</v>
      </c>
      <c r="E124">
        <f t="shared" si="1"/>
        <v>0</v>
      </c>
    </row>
    <row r="125" spans="1:5" hidden="1" x14ac:dyDescent="0.3">
      <c r="A125" t="s">
        <v>3</v>
      </c>
      <c r="B125" t="s">
        <v>4</v>
      </c>
      <c r="E125">
        <f t="shared" si="1"/>
        <v>0</v>
      </c>
    </row>
    <row r="126" spans="1:5" hidden="1" x14ac:dyDescent="0.3">
      <c r="A126" t="s">
        <v>5</v>
      </c>
      <c r="B126" t="s">
        <v>4</v>
      </c>
      <c r="E126">
        <f t="shared" si="1"/>
        <v>0</v>
      </c>
    </row>
    <row r="127" spans="1:5" x14ac:dyDescent="0.3">
      <c r="A127" t="s">
        <v>6</v>
      </c>
      <c r="B127" t="s">
        <v>4</v>
      </c>
      <c r="C127">
        <v>600</v>
      </c>
      <c r="D127">
        <v>13500</v>
      </c>
      <c r="E127">
        <f t="shared" si="1"/>
        <v>8100000</v>
      </c>
    </row>
    <row r="128" spans="1:5" hidden="1" x14ac:dyDescent="0.3">
      <c r="A128" t="s">
        <v>22</v>
      </c>
      <c r="B128" t="s">
        <v>4</v>
      </c>
      <c r="E128">
        <f t="shared" si="1"/>
        <v>0</v>
      </c>
    </row>
    <row r="129" spans="1:5" x14ac:dyDescent="0.3">
      <c r="A129" t="s">
        <v>24</v>
      </c>
      <c r="B129" t="s">
        <v>4</v>
      </c>
      <c r="C129">
        <v>70</v>
      </c>
      <c r="D129">
        <v>14000</v>
      </c>
      <c r="E129">
        <f t="shared" si="1"/>
        <v>980000</v>
      </c>
    </row>
    <row r="130" spans="1:5" hidden="1" x14ac:dyDescent="0.3">
      <c r="A130" t="s">
        <v>40</v>
      </c>
      <c r="B130" t="s">
        <v>4</v>
      </c>
      <c r="E130">
        <f t="shared" si="1"/>
        <v>0</v>
      </c>
    </row>
    <row r="131" spans="1:5" x14ac:dyDescent="0.3">
      <c r="A131" t="s">
        <v>7</v>
      </c>
      <c r="B131" t="s">
        <v>4</v>
      </c>
      <c r="C131">
        <v>25</v>
      </c>
      <c r="D131">
        <v>7500</v>
      </c>
      <c r="E131">
        <f t="shared" si="1"/>
        <v>187500</v>
      </c>
    </row>
    <row r="132" spans="1:5" x14ac:dyDescent="0.3">
      <c r="A132" t="s">
        <v>8</v>
      </c>
      <c r="B132" t="s">
        <v>4</v>
      </c>
      <c r="C132">
        <v>800</v>
      </c>
      <c r="D132">
        <v>5000</v>
      </c>
      <c r="E132">
        <f t="shared" si="1"/>
        <v>4000000</v>
      </c>
    </row>
    <row r="133" spans="1:5" x14ac:dyDescent="0.3">
      <c r="A133" t="s">
        <v>10</v>
      </c>
      <c r="B133" t="s">
        <v>4</v>
      </c>
      <c r="C133">
        <v>65</v>
      </c>
      <c r="D133">
        <v>10000</v>
      </c>
      <c r="E133">
        <f t="shared" si="1"/>
        <v>650000</v>
      </c>
    </row>
    <row r="134" spans="1:5" hidden="1" x14ac:dyDescent="0.3">
      <c r="A134" t="s">
        <v>15</v>
      </c>
      <c r="B134" t="s">
        <v>4</v>
      </c>
      <c r="E134">
        <f t="shared" si="1"/>
        <v>0</v>
      </c>
    </row>
    <row r="135" spans="1:5" x14ac:dyDescent="0.3">
      <c r="A135" t="s">
        <v>18</v>
      </c>
      <c r="B135" t="s">
        <v>4</v>
      </c>
      <c r="C135">
        <v>280</v>
      </c>
      <c r="D135">
        <v>15000</v>
      </c>
      <c r="E135">
        <f t="shared" ref="E135:E153" si="2">C135*D135</f>
        <v>4200000</v>
      </c>
    </row>
    <row r="136" spans="1:5" x14ac:dyDescent="0.3">
      <c r="A136" t="s">
        <v>21</v>
      </c>
      <c r="B136" t="s">
        <v>4</v>
      </c>
      <c r="C136">
        <v>45</v>
      </c>
      <c r="D136">
        <v>9000</v>
      </c>
      <c r="E136">
        <f t="shared" si="2"/>
        <v>405000</v>
      </c>
    </row>
    <row r="137" spans="1:5" x14ac:dyDescent="0.3">
      <c r="A137" t="s">
        <v>43</v>
      </c>
      <c r="B137" t="s">
        <v>4</v>
      </c>
      <c r="C137">
        <v>20</v>
      </c>
      <c r="D137">
        <v>37000</v>
      </c>
      <c r="E137">
        <f t="shared" si="2"/>
        <v>740000</v>
      </c>
    </row>
    <row r="138" spans="1:5" x14ac:dyDescent="0.3">
      <c r="A138" t="s">
        <v>44</v>
      </c>
      <c r="B138" t="s">
        <v>4</v>
      </c>
      <c r="C138">
        <v>20</v>
      </c>
      <c r="D138">
        <v>18000</v>
      </c>
      <c r="E138">
        <f t="shared" si="2"/>
        <v>360000</v>
      </c>
    </row>
    <row r="139" spans="1:5" x14ac:dyDescent="0.3">
      <c r="A139" t="s">
        <v>45</v>
      </c>
      <c r="B139" t="s">
        <v>4</v>
      </c>
      <c r="C139">
        <v>20</v>
      </c>
      <c r="D139">
        <v>26000</v>
      </c>
      <c r="E139">
        <f t="shared" si="2"/>
        <v>520000</v>
      </c>
    </row>
    <row r="140" spans="1:5" hidden="1" x14ac:dyDescent="0.3">
      <c r="A140" t="s">
        <v>47</v>
      </c>
      <c r="B140" t="s">
        <v>4</v>
      </c>
      <c r="E140">
        <f t="shared" si="2"/>
        <v>0</v>
      </c>
    </row>
    <row r="141" spans="1:5" x14ac:dyDescent="0.3">
      <c r="A141" t="s">
        <v>26</v>
      </c>
      <c r="B141" t="s">
        <v>4</v>
      </c>
      <c r="C141">
        <v>30</v>
      </c>
      <c r="D141">
        <v>13000</v>
      </c>
      <c r="E141">
        <f t="shared" si="2"/>
        <v>390000</v>
      </c>
    </row>
    <row r="142" spans="1:5" x14ac:dyDescent="0.3">
      <c r="A142" t="s">
        <v>25</v>
      </c>
      <c r="B142" t="s">
        <v>4</v>
      </c>
      <c r="C142">
        <v>9</v>
      </c>
      <c r="D142">
        <v>25000</v>
      </c>
      <c r="E142">
        <f t="shared" si="2"/>
        <v>225000</v>
      </c>
    </row>
    <row r="143" spans="1:5" x14ac:dyDescent="0.3">
      <c r="A143" t="s">
        <v>23</v>
      </c>
      <c r="B143" t="s">
        <v>4</v>
      </c>
      <c r="C143">
        <v>12</v>
      </c>
      <c r="D143">
        <v>16000</v>
      </c>
      <c r="E143">
        <f t="shared" si="2"/>
        <v>192000</v>
      </c>
    </row>
    <row r="144" spans="1:5" hidden="1" x14ac:dyDescent="0.3">
      <c r="A144" t="s">
        <v>9</v>
      </c>
      <c r="B144" t="s">
        <v>4</v>
      </c>
      <c r="E144">
        <f t="shared" si="2"/>
        <v>0</v>
      </c>
    </row>
    <row r="145" spans="1:5" hidden="1" x14ac:dyDescent="0.3">
      <c r="A145" t="s">
        <v>156</v>
      </c>
      <c r="B145" t="s">
        <v>4</v>
      </c>
      <c r="E145">
        <f t="shared" si="2"/>
        <v>0</v>
      </c>
    </row>
    <row r="146" spans="1:5" x14ac:dyDescent="0.3">
      <c r="A146" t="s">
        <v>39</v>
      </c>
      <c r="B146" t="s">
        <v>50</v>
      </c>
      <c r="C146">
        <v>60</v>
      </c>
      <c r="D146">
        <v>5000</v>
      </c>
      <c r="E146">
        <f t="shared" si="2"/>
        <v>300000</v>
      </c>
    </row>
    <row r="147" spans="1:5" x14ac:dyDescent="0.3">
      <c r="A147" t="s">
        <v>41</v>
      </c>
      <c r="B147" t="s">
        <v>4</v>
      </c>
      <c r="C147">
        <v>200</v>
      </c>
      <c r="D147">
        <v>28600</v>
      </c>
      <c r="E147">
        <f t="shared" si="2"/>
        <v>5720000</v>
      </c>
    </row>
    <row r="148" spans="1:5" x14ac:dyDescent="0.3">
      <c r="A148" t="s">
        <v>123</v>
      </c>
      <c r="B148" t="s">
        <v>31</v>
      </c>
      <c r="C148">
        <v>36</v>
      </c>
      <c r="D148">
        <v>6000</v>
      </c>
      <c r="E148">
        <f t="shared" si="2"/>
        <v>216000</v>
      </c>
    </row>
    <row r="149" spans="1:5" x14ac:dyDescent="0.3">
      <c r="A149" t="s">
        <v>37</v>
      </c>
      <c r="B149" t="s">
        <v>31</v>
      </c>
      <c r="C149">
        <v>140</v>
      </c>
      <c r="D149">
        <v>10000</v>
      </c>
      <c r="E149">
        <f t="shared" si="2"/>
        <v>1400000</v>
      </c>
    </row>
    <row r="150" spans="1:5" hidden="1" x14ac:dyDescent="0.3">
      <c r="A150" t="s">
        <v>12</v>
      </c>
      <c r="B150" t="s">
        <v>4</v>
      </c>
      <c r="E150">
        <f t="shared" si="2"/>
        <v>0</v>
      </c>
    </row>
    <row r="151" spans="1:5" hidden="1" x14ac:dyDescent="0.3">
      <c r="A151" t="s">
        <v>124</v>
      </c>
      <c r="B151" t="s">
        <v>4</v>
      </c>
      <c r="E151">
        <f t="shared" si="2"/>
        <v>0</v>
      </c>
    </row>
    <row r="152" spans="1:5" hidden="1" x14ac:dyDescent="0.3">
      <c r="A152" t="s">
        <v>145</v>
      </c>
      <c r="B152" t="s">
        <v>4</v>
      </c>
      <c r="E152">
        <f t="shared" si="2"/>
        <v>0</v>
      </c>
    </row>
    <row r="153" spans="1:5" hidden="1" x14ac:dyDescent="0.3">
      <c r="A153" t="s">
        <v>75</v>
      </c>
      <c r="B153" t="s">
        <v>66</v>
      </c>
      <c r="E153">
        <f t="shared" si="2"/>
        <v>0</v>
      </c>
    </row>
    <row r="154" spans="1:5" x14ac:dyDescent="0.3">
      <c r="E154">
        <f>SUM(E115:E149)</f>
        <v>36943000</v>
      </c>
    </row>
    <row r="155" spans="1:5" x14ac:dyDescent="0.3">
      <c r="E155">
        <f>E154+E110</f>
        <v>170160200</v>
      </c>
    </row>
  </sheetData>
  <autoFilter ref="A3:E153" xr:uid="{00000000-0009-0000-0000-000013000000}">
    <filterColumn colId="2">
      <filters>
        <filter val="10"/>
        <filter val="100"/>
        <filter val="103"/>
        <filter val="11"/>
        <filter val="113"/>
        <filter val="12"/>
        <filter val="129"/>
        <filter val="1326"/>
        <filter val="138"/>
        <filter val="140"/>
        <filter val="15"/>
        <filter val="175"/>
        <filter val="18"/>
        <filter val="2.5"/>
        <filter val="20"/>
        <filter val="200"/>
        <filter val="2220"/>
        <filter val="225"/>
        <filter val="25"/>
        <filter val="260"/>
        <filter val="270"/>
        <filter val="280"/>
        <filter val="3.5"/>
        <filter val="30"/>
        <filter val="33"/>
        <filter val="36"/>
        <filter val="4"/>
        <filter val="40"/>
        <filter val="408"/>
        <filter val="43"/>
        <filter val="45"/>
        <filter val="5"/>
        <filter val="50"/>
        <filter val="52"/>
        <filter val="520"/>
        <filter val="53"/>
        <filter val="535"/>
        <filter val="55"/>
        <filter val="6"/>
        <filter val="60"/>
        <filter val="600"/>
        <filter val="65"/>
        <filter val="671"/>
        <filter val="7"/>
        <filter val="70"/>
        <filter val="8"/>
        <filter val="800"/>
        <filter val="84"/>
        <filter val="85"/>
        <filter val="9"/>
        <filter val="90"/>
        <filter val="92"/>
        <filter val="Tồn_x000a_ĐL"/>
      </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F93"/>
  <sheetViews>
    <sheetView topLeftCell="A69" workbookViewId="0">
      <selection activeCell="E93" sqref="E93"/>
    </sheetView>
  </sheetViews>
  <sheetFormatPr defaultRowHeight="14.4" x14ac:dyDescent="0.3"/>
  <cols>
    <col min="1" max="1" width="29.33203125" customWidth="1"/>
    <col min="3" max="3" width="10.5546875" customWidth="1"/>
    <col min="4" max="4" width="15.5546875" customWidth="1"/>
    <col min="5" max="5" width="18.5546875" customWidth="1"/>
  </cols>
  <sheetData>
    <row r="2" spans="1:5" x14ac:dyDescent="0.3">
      <c r="A2" t="s">
        <v>218</v>
      </c>
    </row>
    <row r="3" spans="1:5" x14ac:dyDescent="0.3">
      <c r="A3" t="s">
        <v>0</v>
      </c>
      <c r="B3" t="s">
        <v>1</v>
      </c>
      <c r="C3" t="s">
        <v>2</v>
      </c>
      <c r="D3" t="s">
        <v>137</v>
      </c>
      <c r="E3" t="s">
        <v>138</v>
      </c>
    </row>
    <row r="4" spans="1:5" x14ac:dyDescent="0.3">
      <c r="A4" t="s">
        <v>49</v>
      </c>
      <c r="B4" t="s">
        <v>4</v>
      </c>
      <c r="C4">
        <v>49</v>
      </c>
      <c r="D4">
        <v>14000</v>
      </c>
      <c r="E4">
        <f>C4*D4</f>
        <v>686000</v>
      </c>
    </row>
    <row r="5" spans="1:5" x14ac:dyDescent="0.3">
      <c r="A5" t="s">
        <v>19</v>
      </c>
      <c r="B5" t="s">
        <v>50</v>
      </c>
      <c r="C5">
        <v>20</v>
      </c>
      <c r="D5">
        <v>10000</v>
      </c>
      <c r="E5">
        <f t="shared" ref="E5:E62" si="0">C5*D5</f>
        <v>200000</v>
      </c>
    </row>
    <row r="6" spans="1:5" x14ac:dyDescent="0.3">
      <c r="A6" t="s">
        <v>51</v>
      </c>
      <c r="B6" t="s">
        <v>53</v>
      </c>
      <c r="C6">
        <v>50</v>
      </c>
      <c r="D6">
        <v>13000</v>
      </c>
      <c r="E6">
        <f t="shared" si="0"/>
        <v>650000</v>
      </c>
    </row>
    <row r="7" spans="1:5" x14ac:dyDescent="0.3">
      <c r="A7" t="s">
        <v>28</v>
      </c>
      <c r="B7" t="s">
        <v>4</v>
      </c>
      <c r="C7">
        <v>75</v>
      </c>
      <c r="D7">
        <v>18000</v>
      </c>
      <c r="E7">
        <f t="shared" si="0"/>
        <v>1350000</v>
      </c>
    </row>
    <row r="8" spans="1:5" x14ac:dyDescent="0.3">
      <c r="A8" t="s">
        <v>29</v>
      </c>
      <c r="B8" t="s">
        <v>4</v>
      </c>
      <c r="C8">
        <v>706</v>
      </c>
      <c r="D8">
        <v>22000</v>
      </c>
      <c r="E8">
        <f t="shared" si="0"/>
        <v>15532000</v>
      </c>
    </row>
    <row r="9" spans="1:5" x14ac:dyDescent="0.3">
      <c r="A9" t="s">
        <v>56</v>
      </c>
      <c r="B9" t="s">
        <v>31</v>
      </c>
      <c r="C9">
        <v>2147</v>
      </c>
      <c r="D9">
        <v>4500</v>
      </c>
      <c r="E9">
        <f t="shared" si="0"/>
        <v>9661500</v>
      </c>
    </row>
    <row r="10" spans="1:5" x14ac:dyDescent="0.3">
      <c r="A10" t="s">
        <v>57</v>
      </c>
      <c r="B10" t="s">
        <v>4</v>
      </c>
      <c r="C10">
        <v>521</v>
      </c>
      <c r="D10">
        <v>25000</v>
      </c>
      <c r="E10">
        <f t="shared" si="0"/>
        <v>13025000</v>
      </c>
    </row>
    <row r="11" spans="1:5" x14ac:dyDescent="0.3">
      <c r="A11" t="s">
        <v>32</v>
      </c>
      <c r="B11" t="s">
        <v>4</v>
      </c>
      <c r="C11">
        <v>150</v>
      </c>
      <c r="D11">
        <v>25000</v>
      </c>
      <c r="E11">
        <f t="shared" si="0"/>
        <v>3750000</v>
      </c>
    </row>
    <row r="12" spans="1:5" x14ac:dyDescent="0.3">
      <c r="A12" t="s">
        <v>34</v>
      </c>
      <c r="B12" t="s">
        <v>4</v>
      </c>
      <c r="C12">
        <v>55</v>
      </c>
      <c r="D12">
        <v>15000</v>
      </c>
      <c r="E12">
        <f t="shared" si="0"/>
        <v>825000</v>
      </c>
    </row>
    <row r="13" spans="1:5" x14ac:dyDescent="0.3">
      <c r="A13" t="s">
        <v>60</v>
      </c>
      <c r="B13" t="s">
        <v>50</v>
      </c>
      <c r="C13">
        <v>10</v>
      </c>
      <c r="D13">
        <v>11400</v>
      </c>
      <c r="E13">
        <f t="shared" si="0"/>
        <v>114000</v>
      </c>
    </row>
    <row r="14" spans="1:5" x14ac:dyDescent="0.3">
      <c r="A14" t="s">
        <v>6</v>
      </c>
      <c r="B14" t="s">
        <v>4</v>
      </c>
      <c r="C14">
        <v>680</v>
      </c>
      <c r="D14">
        <v>13500</v>
      </c>
      <c r="E14">
        <f t="shared" si="0"/>
        <v>9180000</v>
      </c>
    </row>
    <row r="15" spans="1:5" x14ac:dyDescent="0.3">
      <c r="A15" t="s">
        <v>62</v>
      </c>
      <c r="B15" t="s">
        <v>4</v>
      </c>
      <c r="C15">
        <v>15</v>
      </c>
      <c r="D15">
        <v>28000</v>
      </c>
      <c r="E15">
        <f t="shared" si="0"/>
        <v>420000</v>
      </c>
    </row>
    <row r="16" spans="1:5" x14ac:dyDescent="0.3">
      <c r="A16" t="s">
        <v>62</v>
      </c>
      <c r="B16" t="s">
        <v>31</v>
      </c>
      <c r="C16">
        <v>35</v>
      </c>
      <c r="D16">
        <v>10000</v>
      </c>
      <c r="E16">
        <f t="shared" si="0"/>
        <v>350000</v>
      </c>
    </row>
    <row r="17" spans="1:5" x14ac:dyDescent="0.3">
      <c r="A17" t="s">
        <v>64</v>
      </c>
      <c r="B17" t="s">
        <v>31</v>
      </c>
      <c r="C17">
        <v>8</v>
      </c>
      <c r="D17">
        <v>9000</v>
      </c>
      <c r="E17">
        <f t="shared" si="0"/>
        <v>72000</v>
      </c>
    </row>
    <row r="18" spans="1:5" x14ac:dyDescent="0.3">
      <c r="A18" t="s">
        <v>22</v>
      </c>
      <c r="B18" t="s">
        <v>4</v>
      </c>
      <c r="C18">
        <v>855</v>
      </c>
      <c r="D18">
        <v>7000</v>
      </c>
      <c r="E18">
        <f t="shared" si="0"/>
        <v>5985000</v>
      </c>
    </row>
    <row r="19" spans="1:5" x14ac:dyDescent="0.3">
      <c r="A19" t="s">
        <v>24</v>
      </c>
      <c r="B19" t="s">
        <v>4</v>
      </c>
      <c r="C19">
        <v>180</v>
      </c>
      <c r="D19">
        <v>14000</v>
      </c>
      <c r="E19">
        <f t="shared" si="0"/>
        <v>2520000</v>
      </c>
    </row>
    <row r="20" spans="1:5" x14ac:dyDescent="0.3">
      <c r="A20" t="s">
        <v>8</v>
      </c>
      <c r="B20" t="s">
        <v>4</v>
      </c>
      <c r="C20">
        <v>220</v>
      </c>
      <c r="D20">
        <v>5000</v>
      </c>
      <c r="E20">
        <f t="shared" si="0"/>
        <v>1100000</v>
      </c>
    </row>
    <row r="21" spans="1:5" x14ac:dyDescent="0.3">
      <c r="A21" t="s">
        <v>10</v>
      </c>
      <c r="B21" t="s">
        <v>4</v>
      </c>
      <c r="C21">
        <v>160</v>
      </c>
      <c r="D21">
        <v>10000</v>
      </c>
      <c r="E21">
        <f t="shared" si="0"/>
        <v>1600000</v>
      </c>
    </row>
    <row r="22" spans="1:5" x14ac:dyDescent="0.3">
      <c r="A22" t="s">
        <v>11</v>
      </c>
      <c r="B22" t="s">
        <v>4</v>
      </c>
      <c r="C22">
        <v>25</v>
      </c>
      <c r="D22">
        <v>10000</v>
      </c>
      <c r="E22">
        <f t="shared" si="0"/>
        <v>250000</v>
      </c>
    </row>
    <row r="23" spans="1:5" x14ac:dyDescent="0.3">
      <c r="A23" t="s">
        <v>15</v>
      </c>
      <c r="B23" t="s">
        <v>4</v>
      </c>
      <c r="C23">
        <v>260</v>
      </c>
      <c r="D23">
        <v>21000</v>
      </c>
      <c r="E23">
        <f t="shared" si="0"/>
        <v>5460000</v>
      </c>
    </row>
    <row r="24" spans="1:5" x14ac:dyDescent="0.3">
      <c r="A24" t="s">
        <v>92</v>
      </c>
      <c r="B24" t="s">
        <v>31</v>
      </c>
      <c r="C24">
        <v>180</v>
      </c>
      <c r="D24">
        <v>11000</v>
      </c>
      <c r="E24">
        <f t="shared" si="0"/>
        <v>1980000</v>
      </c>
    </row>
    <row r="25" spans="1:5" x14ac:dyDescent="0.3">
      <c r="A25" t="s">
        <v>39</v>
      </c>
      <c r="B25" t="s">
        <v>4</v>
      </c>
      <c r="C25">
        <v>45</v>
      </c>
      <c r="D25">
        <v>6000</v>
      </c>
      <c r="E25">
        <f t="shared" si="0"/>
        <v>270000</v>
      </c>
    </row>
    <row r="26" spans="1:5" x14ac:dyDescent="0.3">
      <c r="A26" t="s">
        <v>39</v>
      </c>
      <c r="B26" t="s">
        <v>50</v>
      </c>
      <c r="C26">
        <v>947</v>
      </c>
      <c r="D26">
        <v>5000</v>
      </c>
      <c r="E26">
        <f t="shared" si="0"/>
        <v>4735000</v>
      </c>
    </row>
    <row r="27" spans="1:5" x14ac:dyDescent="0.3">
      <c r="A27" t="s">
        <v>100</v>
      </c>
      <c r="B27" t="s">
        <v>4</v>
      </c>
      <c r="C27">
        <v>32</v>
      </c>
      <c r="D27">
        <v>5000</v>
      </c>
      <c r="E27">
        <f t="shared" si="0"/>
        <v>160000</v>
      </c>
    </row>
    <row r="28" spans="1:5" x14ac:dyDescent="0.3">
      <c r="A28" t="s">
        <v>43</v>
      </c>
      <c r="B28" t="s">
        <v>4</v>
      </c>
      <c r="C28">
        <v>57</v>
      </c>
      <c r="D28">
        <v>37000</v>
      </c>
      <c r="E28">
        <f t="shared" si="0"/>
        <v>2109000</v>
      </c>
    </row>
    <row r="29" spans="1:5" x14ac:dyDescent="0.3">
      <c r="A29" t="s">
        <v>44</v>
      </c>
      <c r="B29" t="s">
        <v>4</v>
      </c>
      <c r="C29">
        <v>15</v>
      </c>
      <c r="D29">
        <v>18000</v>
      </c>
      <c r="E29">
        <f t="shared" si="0"/>
        <v>270000</v>
      </c>
    </row>
    <row r="30" spans="1:5" x14ac:dyDescent="0.3">
      <c r="A30" t="s">
        <v>45</v>
      </c>
      <c r="B30" t="s">
        <v>4</v>
      </c>
      <c r="C30">
        <v>27</v>
      </c>
      <c r="D30">
        <v>26000</v>
      </c>
      <c r="E30">
        <f t="shared" si="0"/>
        <v>702000</v>
      </c>
    </row>
    <row r="31" spans="1:5" x14ac:dyDescent="0.3">
      <c r="A31" t="s">
        <v>117</v>
      </c>
      <c r="B31" t="s">
        <v>4</v>
      </c>
      <c r="C31">
        <v>320</v>
      </c>
      <c r="D31">
        <v>25000</v>
      </c>
      <c r="E31">
        <f t="shared" si="0"/>
        <v>8000000</v>
      </c>
    </row>
    <row r="32" spans="1:5" x14ac:dyDescent="0.3">
      <c r="A32" t="s">
        <v>17</v>
      </c>
      <c r="B32" t="s">
        <v>4</v>
      </c>
      <c r="C32">
        <v>11</v>
      </c>
      <c r="D32">
        <v>35000</v>
      </c>
      <c r="E32">
        <f t="shared" si="0"/>
        <v>385000</v>
      </c>
    </row>
    <row r="33" spans="1:5" x14ac:dyDescent="0.3">
      <c r="A33" t="s">
        <v>17</v>
      </c>
      <c r="B33" t="s">
        <v>147</v>
      </c>
      <c r="C33">
        <v>150</v>
      </c>
      <c r="D33">
        <v>10500</v>
      </c>
      <c r="E33">
        <f t="shared" si="0"/>
        <v>1575000</v>
      </c>
    </row>
    <row r="34" spans="1:5" x14ac:dyDescent="0.3">
      <c r="A34" t="s">
        <v>3</v>
      </c>
      <c r="B34" t="s">
        <v>4</v>
      </c>
      <c r="C34">
        <v>14</v>
      </c>
      <c r="D34">
        <v>30000</v>
      </c>
      <c r="E34">
        <f t="shared" si="0"/>
        <v>420000</v>
      </c>
    </row>
    <row r="35" spans="1:5" x14ac:dyDescent="0.3">
      <c r="A35" t="s">
        <v>5</v>
      </c>
      <c r="B35" t="s">
        <v>4</v>
      </c>
      <c r="C35">
        <v>85</v>
      </c>
      <c r="D35">
        <v>17000</v>
      </c>
      <c r="E35">
        <f t="shared" si="0"/>
        <v>1445000</v>
      </c>
    </row>
    <row r="36" spans="1:5" x14ac:dyDescent="0.3">
      <c r="A36" t="s">
        <v>13</v>
      </c>
      <c r="B36" t="s">
        <v>4</v>
      </c>
      <c r="C36">
        <v>22</v>
      </c>
      <c r="D36">
        <v>27000</v>
      </c>
      <c r="E36">
        <f t="shared" si="0"/>
        <v>594000</v>
      </c>
    </row>
    <row r="37" spans="1:5" x14ac:dyDescent="0.3">
      <c r="A37" t="s">
        <v>175</v>
      </c>
      <c r="B37" t="s">
        <v>4</v>
      </c>
      <c r="C37">
        <v>13</v>
      </c>
      <c r="D37">
        <v>31000</v>
      </c>
      <c r="E37">
        <f t="shared" si="0"/>
        <v>403000</v>
      </c>
    </row>
    <row r="38" spans="1:5" x14ac:dyDescent="0.3">
      <c r="A38" t="s">
        <v>16</v>
      </c>
      <c r="B38" t="s">
        <v>4</v>
      </c>
      <c r="C38">
        <v>124</v>
      </c>
      <c r="D38">
        <v>15000</v>
      </c>
      <c r="E38">
        <f t="shared" si="0"/>
        <v>1860000</v>
      </c>
    </row>
    <row r="39" spans="1:5" x14ac:dyDescent="0.3">
      <c r="A39" t="s">
        <v>90</v>
      </c>
      <c r="B39" t="s">
        <v>147</v>
      </c>
      <c r="C39">
        <v>191</v>
      </c>
      <c r="D39">
        <v>12000</v>
      </c>
      <c r="E39">
        <f t="shared" si="0"/>
        <v>2292000</v>
      </c>
    </row>
    <row r="40" spans="1:5" x14ac:dyDescent="0.3">
      <c r="A40" t="s">
        <v>90</v>
      </c>
      <c r="B40" t="s">
        <v>148</v>
      </c>
      <c r="C40">
        <v>133</v>
      </c>
      <c r="D40">
        <v>10000</v>
      </c>
      <c r="E40">
        <f t="shared" si="0"/>
        <v>1330000</v>
      </c>
    </row>
    <row r="41" spans="1:5" x14ac:dyDescent="0.3">
      <c r="A41" t="s">
        <v>63</v>
      </c>
      <c r="B41" t="s">
        <v>31</v>
      </c>
      <c r="C41">
        <v>5</v>
      </c>
      <c r="D41">
        <v>4000</v>
      </c>
      <c r="E41">
        <f t="shared" si="0"/>
        <v>20000</v>
      </c>
    </row>
    <row r="42" spans="1:5" x14ac:dyDescent="0.3">
      <c r="A42" t="s">
        <v>35</v>
      </c>
      <c r="B42" t="s">
        <v>4</v>
      </c>
      <c r="C42">
        <v>83</v>
      </c>
      <c r="D42">
        <v>18000</v>
      </c>
      <c r="E42">
        <f t="shared" si="0"/>
        <v>1494000</v>
      </c>
    </row>
    <row r="43" spans="1:5" x14ac:dyDescent="0.3">
      <c r="A43" t="s">
        <v>123</v>
      </c>
      <c r="B43" t="s">
        <v>31</v>
      </c>
      <c r="C43">
        <v>15</v>
      </c>
      <c r="D43">
        <v>6000</v>
      </c>
      <c r="E43">
        <f t="shared" si="0"/>
        <v>90000</v>
      </c>
    </row>
    <row r="44" spans="1:5" x14ac:dyDescent="0.3">
      <c r="A44" t="s">
        <v>37</v>
      </c>
      <c r="B44" t="s">
        <v>4</v>
      </c>
      <c r="C44">
        <v>35</v>
      </c>
      <c r="D44">
        <v>20000</v>
      </c>
      <c r="E44">
        <f t="shared" si="0"/>
        <v>700000</v>
      </c>
    </row>
    <row r="45" spans="1:5" x14ac:dyDescent="0.3">
      <c r="A45" t="s">
        <v>96</v>
      </c>
      <c r="B45" t="s">
        <v>4</v>
      </c>
      <c r="C45">
        <v>2</v>
      </c>
      <c r="D45">
        <v>80000</v>
      </c>
      <c r="E45">
        <f t="shared" si="0"/>
        <v>160000</v>
      </c>
    </row>
    <row r="46" spans="1:5" x14ac:dyDescent="0.3">
      <c r="A46" t="s">
        <v>97</v>
      </c>
      <c r="B46" t="s">
        <v>4</v>
      </c>
      <c r="C46">
        <v>2.5</v>
      </c>
      <c r="D46">
        <v>70000</v>
      </c>
      <c r="E46">
        <f t="shared" si="0"/>
        <v>175000</v>
      </c>
    </row>
    <row r="47" spans="1:5" x14ac:dyDescent="0.3">
      <c r="A47" t="s">
        <v>105</v>
      </c>
      <c r="B47" t="s">
        <v>4</v>
      </c>
      <c r="C47">
        <v>3.5</v>
      </c>
      <c r="D47">
        <v>70000</v>
      </c>
      <c r="E47">
        <f t="shared" si="0"/>
        <v>245000</v>
      </c>
    </row>
    <row r="48" spans="1:5" x14ac:dyDescent="0.3">
      <c r="A48" t="s">
        <v>40</v>
      </c>
      <c r="B48" t="s">
        <v>4</v>
      </c>
      <c r="C48">
        <v>80</v>
      </c>
      <c r="D48">
        <v>36000</v>
      </c>
      <c r="E48">
        <f t="shared" si="0"/>
        <v>2880000</v>
      </c>
    </row>
    <row r="49" spans="1:6" x14ac:dyDescent="0.3">
      <c r="A49" t="s">
        <v>124</v>
      </c>
      <c r="B49" t="s">
        <v>4</v>
      </c>
      <c r="C49">
        <v>15</v>
      </c>
      <c r="D49">
        <v>30000</v>
      </c>
      <c r="E49">
        <f t="shared" si="0"/>
        <v>450000</v>
      </c>
    </row>
    <row r="50" spans="1:6" x14ac:dyDescent="0.3">
      <c r="A50" t="s">
        <v>67</v>
      </c>
      <c r="B50" t="s">
        <v>4</v>
      </c>
      <c r="C50">
        <v>11</v>
      </c>
      <c r="D50">
        <v>14000</v>
      </c>
      <c r="E50">
        <f t="shared" si="0"/>
        <v>154000</v>
      </c>
    </row>
    <row r="51" spans="1:6" x14ac:dyDescent="0.3">
      <c r="A51" t="s">
        <v>46</v>
      </c>
      <c r="B51" t="s">
        <v>4</v>
      </c>
      <c r="C51">
        <v>5</v>
      </c>
      <c r="D51">
        <v>60000</v>
      </c>
      <c r="E51">
        <f t="shared" si="0"/>
        <v>300000</v>
      </c>
    </row>
    <row r="52" spans="1:6" x14ac:dyDescent="0.3">
      <c r="A52" t="s">
        <v>47</v>
      </c>
      <c r="B52" t="s">
        <v>4</v>
      </c>
      <c r="C52">
        <v>157</v>
      </c>
      <c r="D52">
        <v>9500</v>
      </c>
      <c r="E52">
        <f t="shared" si="0"/>
        <v>1491500</v>
      </c>
    </row>
    <row r="53" spans="1:6" x14ac:dyDescent="0.3">
      <c r="A53" t="s">
        <v>74</v>
      </c>
      <c r="B53" t="s">
        <v>4</v>
      </c>
      <c r="C53">
        <v>63</v>
      </c>
      <c r="D53">
        <v>26000</v>
      </c>
      <c r="E53">
        <f t="shared" si="0"/>
        <v>1638000</v>
      </c>
    </row>
    <row r="54" spans="1:6" x14ac:dyDescent="0.3">
      <c r="A54" t="s">
        <v>76</v>
      </c>
      <c r="B54" t="s">
        <v>66</v>
      </c>
      <c r="C54">
        <v>440</v>
      </c>
      <c r="D54">
        <v>6800</v>
      </c>
      <c r="E54">
        <f t="shared" si="0"/>
        <v>2992000</v>
      </c>
    </row>
    <row r="55" spans="1:6" x14ac:dyDescent="0.3">
      <c r="A55" t="s">
        <v>77</v>
      </c>
      <c r="B55" t="s">
        <v>66</v>
      </c>
      <c r="C55">
        <v>63</v>
      </c>
      <c r="D55">
        <v>6800</v>
      </c>
      <c r="E55">
        <f t="shared" si="0"/>
        <v>428400</v>
      </c>
    </row>
    <row r="56" spans="1:6" x14ac:dyDescent="0.3">
      <c r="A56" t="s">
        <v>85</v>
      </c>
      <c r="B56" t="s">
        <v>4</v>
      </c>
      <c r="C56">
        <v>8</v>
      </c>
      <c r="D56">
        <v>13000</v>
      </c>
      <c r="E56">
        <f t="shared" si="0"/>
        <v>104000</v>
      </c>
    </row>
    <row r="57" spans="1:6" x14ac:dyDescent="0.3">
      <c r="A57" t="s">
        <v>142</v>
      </c>
      <c r="B57" t="s">
        <v>31</v>
      </c>
      <c r="C57">
        <v>222</v>
      </c>
      <c r="D57">
        <v>6000</v>
      </c>
      <c r="E57">
        <f t="shared" si="0"/>
        <v>1332000</v>
      </c>
    </row>
    <row r="58" spans="1:6" x14ac:dyDescent="0.3">
      <c r="A58" t="s">
        <v>121</v>
      </c>
      <c r="B58" t="s">
        <v>31</v>
      </c>
      <c r="C58">
        <v>49</v>
      </c>
      <c r="D58">
        <v>100000</v>
      </c>
      <c r="E58">
        <f t="shared" si="0"/>
        <v>4900000</v>
      </c>
    </row>
    <row r="59" spans="1:6" x14ac:dyDescent="0.3">
      <c r="A59" t="s">
        <v>111</v>
      </c>
      <c r="B59" t="s">
        <v>4</v>
      </c>
      <c r="C59">
        <f>103+1000</f>
        <v>1103</v>
      </c>
      <c r="D59">
        <v>28600</v>
      </c>
      <c r="E59">
        <f t="shared" si="0"/>
        <v>31545800</v>
      </c>
      <c r="F59" t="s">
        <v>228</v>
      </c>
    </row>
    <row r="60" spans="1:6" x14ac:dyDescent="0.3">
      <c r="A60" t="s">
        <v>136</v>
      </c>
      <c r="B60" t="s">
        <v>4</v>
      </c>
      <c r="C60">
        <v>20</v>
      </c>
      <c r="D60">
        <v>32000</v>
      </c>
      <c r="E60">
        <f t="shared" si="0"/>
        <v>640000</v>
      </c>
    </row>
    <row r="61" spans="1:6" x14ac:dyDescent="0.3">
      <c r="A61" t="s">
        <v>143</v>
      </c>
      <c r="B61" t="s">
        <v>4</v>
      </c>
      <c r="C61">
        <v>20</v>
      </c>
      <c r="D61">
        <v>13000</v>
      </c>
      <c r="E61">
        <f t="shared" si="0"/>
        <v>260000</v>
      </c>
    </row>
    <row r="62" spans="1:6" x14ac:dyDescent="0.3">
      <c r="A62" t="s">
        <v>161</v>
      </c>
      <c r="B62" t="s">
        <v>4</v>
      </c>
      <c r="C62">
        <v>10</v>
      </c>
      <c r="D62">
        <v>21000</v>
      </c>
      <c r="E62">
        <f t="shared" si="0"/>
        <v>210000</v>
      </c>
    </row>
    <row r="63" spans="1:6" x14ac:dyDescent="0.3">
      <c r="E63">
        <f>SUM(E4:E62)</f>
        <v>153470200</v>
      </c>
    </row>
    <row r="64" spans="1:6" x14ac:dyDescent="0.3">
      <c r="A64" t="s">
        <v>139</v>
      </c>
    </row>
    <row r="65" spans="1:5" x14ac:dyDescent="0.3">
      <c r="A65" t="s">
        <v>0</v>
      </c>
      <c r="B65" t="s">
        <v>1</v>
      </c>
      <c r="C65" t="s">
        <v>2</v>
      </c>
      <c r="D65" t="s">
        <v>137</v>
      </c>
      <c r="E65" t="s">
        <v>138</v>
      </c>
    </row>
    <row r="66" spans="1:5" x14ac:dyDescent="0.3">
      <c r="A66" t="s">
        <v>27</v>
      </c>
      <c r="B66" t="s">
        <v>4</v>
      </c>
      <c r="C66">
        <v>200</v>
      </c>
      <c r="D66">
        <v>6500</v>
      </c>
      <c r="E66">
        <f>C66*D66</f>
        <v>1300000</v>
      </c>
    </row>
    <row r="67" spans="1:5" x14ac:dyDescent="0.3">
      <c r="A67" t="s">
        <v>28</v>
      </c>
      <c r="B67" t="s">
        <v>4</v>
      </c>
      <c r="C67">
        <v>40</v>
      </c>
      <c r="D67">
        <v>18000</v>
      </c>
      <c r="E67">
        <f t="shared" ref="E67:E91" si="1">C67*D67</f>
        <v>720000</v>
      </c>
    </row>
    <row r="68" spans="1:5" x14ac:dyDescent="0.3">
      <c r="A68" t="s">
        <v>29</v>
      </c>
      <c r="B68" t="s">
        <v>4</v>
      </c>
      <c r="C68">
        <v>250</v>
      </c>
      <c r="D68">
        <v>22000</v>
      </c>
      <c r="E68">
        <f t="shared" si="1"/>
        <v>5500000</v>
      </c>
    </row>
    <row r="69" spans="1:5" x14ac:dyDescent="0.3">
      <c r="A69" t="s">
        <v>34</v>
      </c>
      <c r="B69" t="s">
        <v>4</v>
      </c>
      <c r="C69">
        <v>250</v>
      </c>
      <c r="D69">
        <v>15000</v>
      </c>
      <c r="E69">
        <f t="shared" si="1"/>
        <v>3750000</v>
      </c>
    </row>
    <row r="70" spans="1:5" x14ac:dyDescent="0.3">
      <c r="A70" t="s">
        <v>14</v>
      </c>
      <c r="B70" t="s">
        <v>4</v>
      </c>
      <c r="C70">
        <v>48</v>
      </c>
      <c r="D70">
        <v>28000</v>
      </c>
      <c r="E70">
        <f t="shared" si="1"/>
        <v>1344000</v>
      </c>
    </row>
    <row r="71" spans="1:5" x14ac:dyDescent="0.3">
      <c r="A71" t="s">
        <v>5</v>
      </c>
      <c r="B71" t="s">
        <v>4</v>
      </c>
      <c r="C71">
        <v>150</v>
      </c>
      <c r="D71">
        <v>17000</v>
      </c>
      <c r="E71">
        <f t="shared" si="1"/>
        <v>2550000</v>
      </c>
    </row>
    <row r="72" spans="1:5" x14ac:dyDescent="0.3">
      <c r="A72" t="s">
        <v>6</v>
      </c>
      <c r="B72" t="s">
        <v>4</v>
      </c>
      <c r="C72">
        <v>256</v>
      </c>
      <c r="D72">
        <v>13500</v>
      </c>
      <c r="E72">
        <f t="shared" si="1"/>
        <v>3456000</v>
      </c>
    </row>
    <row r="73" spans="1:5" x14ac:dyDescent="0.3">
      <c r="A73" t="s">
        <v>24</v>
      </c>
      <c r="B73" t="s">
        <v>4</v>
      </c>
      <c r="C73">
        <v>100</v>
      </c>
      <c r="D73">
        <v>10000</v>
      </c>
      <c r="E73">
        <f t="shared" si="1"/>
        <v>1000000</v>
      </c>
    </row>
    <row r="74" spans="1:5" x14ac:dyDescent="0.3">
      <c r="A74" t="s">
        <v>7</v>
      </c>
      <c r="B74" t="s">
        <v>4</v>
      </c>
      <c r="C74">
        <v>70</v>
      </c>
      <c r="D74">
        <v>7500</v>
      </c>
      <c r="E74">
        <f t="shared" si="1"/>
        <v>525000</v>
      </c>
    </row>
    <row r="75" spans="1:5" x14ac:dyDescent="0.3">
      <c r="A75" t="s">
        <v>8</v>
      </c>
      <c r="B75" t="s">
        <v>4</v>
      </c>
      <c r="C75">
        <v>600</v>
      </c>
      <c r="D75">
        <v>5000</v>
      </c>
      <c r="E75">
        <f t="shared" si="1"/>
        <v>3000000</v>
      </c>
    </row>
    <row r="76" spans="1:5" x14ac:dyDescent="0.3">
      <c r="A76" t="s">
        <v>10</v>
      </c>
      <c r="B76" t="s">
        <v>4</v>
      </c>
      <c r="C76">
        <v>75</v>
      </c>
      <c r="D76">
        <v>10000</v>
      </c>
      <c r="E76">
        <f t="shared" si="1"/>
        <v>750000</v>
      </c>
    </row>
    <row r="77" spans="1:5" x14ac:dyDescent="0.3">
      <c r="A77" t="s">
        <v>15</v>
      </c>
      <c r="B77" t="s">
        <v>4</v>
      </c>
      <c r="C77">
        <v>300</v>
      </c>
      <c r="D77">
        <v>21000</v>
      </c>
      <c r="E77">
        <f t="shared" si="1"/>
        <v>6300000</v>
      </c>
    </row>
    <row r="78" spans="1:5" x14ac:dyDescent="0.3">
      <c r="A78" t="s">
        <v>18</v>
      </c>
      <c r="B78" t="s">
        <v>4</v>
      </c>
      <c r="C78">
        <v>277</v>
      </c>
      <c r="D78">
        <v>16000</v>
      </c>
      <c r="E78">
        <f t="shared" si="1"/>
        <v>4432000</v>
      </c>
    </row>
    <row r="79" spans="1:5" x14ac:dyDescent="0.3">
      <c r="A79" t="s">
        <v>21</v>
      </c>
      <c r="B79" t="s">
        <v>4</v>
      </c>
      <c r="C79">
        <v>108</v>
      </c>
      <c r="D79">
        <v>9000</v>
      </c>
      <c r="E79">
        <f t="shared" si="1"/>
        <v>972000</v>
      </c>
    </row>
    <row r="80" spans="1:5" x14ac:dyDescent="0.3">
      <c r="A80" t="s">
        <v>43</v>
      </c>
      <c r="B80" t="s">
        <v>4</v>
      </c>
      <c r="C80">
        <v>20</v>
      </c>
      <c r="D80">
        <v>37000</v>
      </c>
      <c r="E80">
        <f t="shared" si="1"/>
        <v>740000</v>
      </c>
    </row>
    <row r="81" spans="1:5" x14ac:dyDescent="0.3">
      <c r="A81" t="s">
        <v>44</v>
      </c>
      <c r="B81" t="s">
        <v>4</v>
      </c>
      <c r="C81">
        <v>20</v>
      </c>
      <c r="D81">
        <v>18000</v>
      </c>
      <c r="E81">
        <f t="shared" si="1"/>
        <v>360000</v>
      </c>
    </row>
    <row r="82" spans="1:5" x14ac:dyDescent="0.3">
      <c r="A82" t="s">
        <v>45</v>
      </c>
      <c r="B82" t="s">
        <v>4</v>
      </c>
      <c r="C82">
        <v>20</v>
      </c>
      <c r="D82">
        <v>26000</v>
      </c>
      <c r="E82">
        <f t="shared" si="1"/>
        <v>520000</v>
      </c>
    </row>
    <row r="83" spans="1:5" x14ac:dyDescent="0.3">
      <c r="A83" t="s">
        <v>47</v>
      </c>
      <c r="B83" t="s">
        <v>4</v>
      </c>
      <c r="C83">
        <v>200</v>
      </c>
      <c r="D83">
        <v>9500</v>
      </c>
      <c r="E83">
        <f t="shared" si="1"/>
        <v>1900000</v>
      </c>
    </row>
    <row r="84" spans="1:5" x14ac:dyDescent="0.3">
      <c r="A84" t="s">
        <v>26</v>
      </c>
      <c r="B84" t="s">
        <v>4</v>
      </c>
      <c r="C84">
        <v>90</v>
      </c>
      <c r="D84">
        <v>13000</v>
      </c>
      <c r="E84">
        <f t="shared" si="1"/>
        <v>1170000</v>
      </c>
    </row>
    <row r="85" spans="1:5" x14ac:dyDescent="0.3">
      <c r="A85" t="s">
        <v>25</v>
      </c>
      <c r="B85" t="s">
        <v>4</v>
      </c>
      <c r="C85">
        <v>7</v>
      </c>
      <c r="D85">
        <v>25000</v>
      </c>
      <c r="E85">
        <f t="shared" si="1"/>
        <v>175000</v>
      </c>
    </row>
    <row r="86" spans="1:5" x14ac:dyDescent="0.3">
      <c r="A86" t="s">
        <v>23</v>
      </c>
      <c r="B86" t="s">
        <v>4</v>
      </c>
      <c r="C86">
        <v>10</v>
      </c>
      <c r="D86">
        <v>16000</v>
      </c>
      <c r="E86">
        <f t="shared" si="1"/>
        <v>160000</v>
      </c>
    </row>
    <row r="87" spans="1:5" x14ac:dyDescent="0.3">
      <c r="A87" t="s">
        <v>9</v>
      </c>
      <c r="B87" t="s">
        <v>4</v>
      </c>
      <c r="C87">
        <v>4</v>
      </c>
      <c r="D87">
        <v>45000</v>
      </c>
      <c r="E87">
        <f t="shared" si="1"/>
        <v>180000</v>
      </c>
    </row>
    <row r="88" spans="1:5" x14ac:dyDescent="0.3">
      <c r="A88" t="s">
        <v>123</v>
      </c>
      <c r="B88" t="s">
        <v>31</v>
      </c>
      <c r="C88">
        <v>80</v>
      </c>
      <c r="D88">
        <v>6000</v>
      </c>
      <c r="E88">
        <f t="shared" si="1"/>
        <v>480000</v>
      </c>
    </row>
    <row r="89" spans="1:5" x14ac:dyDescent="0.3">
      <c r="A89" t="s">
        <v>37</v>
      </c>
      <c r="B89" t="s">
        <v>31</v>
      </c>
      <c r="C89">
        <v>90</v>
      </c>
      <c r="D89">
        <v>10000</v>
      </c>
      <c r="E89">
        <f t="shared" si="1"/>
        <v>900000</v>
      </c>
    </row>
    <row r="90" spans="1:5" x14ac:dyDescent="0.3">
      <c r="A90" t="s">
        <v>214</v>
      </c>
      <c r="B90" t="s">
        <v>215</v>
      </c>
      <c r="C90">
        <v>2</v>
      </c>
      <c r="D90">
        <v>16000</v>
      </c>
      <c r="E90">
        <f t="shared" si="1"/>
        <v>32000</v>
      </c>
    </row>
    <row r="91" spans="1:5" x14ac:dyDescent="0.3">
      <c r="A91" t="s">
        <v>188</v>
      </c>
      <c r="B91" t="s">
        <v>215</v>
      </c>
      <c r="C91">
        <v>100</v>
      </c>
      <c r="D91">
        <v>5000</v>
      </c>
      <c r="E91">
        <f t="shared" si="1"/>
        <v>500000</v>
      </c>
    </row>
    <row r="92" spans="1:5" x14ac:dyDescent="0.3">
      <c r="E92">
        <f>SUM(E66:E91)</f>
        <v>42716000</v>
      </c>
    </row>
    <row r="93" spans="1:5" x14ac:dyDescent="0.3">
      <c r="E93">
        <f>E63+E92</f>
        <v>196186200</v>
      </c>
    </row>
  </sheetData>
  <autoFilter ref="A3:E93" xr:uid="{00000000-0009-0000-0000-0000140000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2:E159"/>
  <sheetViews>
    <sheetView workbookViewId="0">
      <selection activeCell="C55" sqref="C55"/>
    </sheetView>
  </sheetViews>
  <sheetFormatPr defaultRowHeight="14.4" x14ac:dyDescent="0.3"/>
  <cols>
    <col min="1" max="1" width="30.33203125" customWidth="1"/>
    <col min="3" max="3" width="13.33203125" customWidth="1"/>
    <col min="4" max="4" width="16" customWidth="1"/>
    <col min="5" max="5" width="15.21875" customWidth="1"/>
  </cols>
  <sheetData>
    <row r="2" spans="1:5" x14ac:dyDescent="0.3">
      <c r="A2" t="s">
        <v>220</v>
      </c>
    </row>
    <row r="3" spans="1:5" x14ac:dyDescent="0.3">
      <c r="A3" t="s">
        <v>0</v>
      </c>
      <c r="B3" t="s">
        <v>1</v>
      </c>
      <c r="C3" t="s">
        <v>190</v>
      </c>
      <c r="D3" t="s">
        <v>137</v>
      </c>
      <c r="E3" t="s">
        <v>138</v>
      </c>
    </row>
    <row r="4" spans="1:5" hidden="1" x14ac:dyDescent="0.3">
      <c r="A4" t="s">
        <v>49</v>
      </c>
      <c r="B4" t="s">
        <v>4</v>
      </c>
      <c r="C4">
        <v>350</v>
      </c>
      <c r="D4">
        <v>14000</v>
      </c>
      <c r="E4">
        <f>C4*D4</f>
        <v>4900000</v>
      </c>
    </row>
    <row r="5" spans="1:5" hidden="1" x14ac:dyDescent="0.3">
      <c r="A5" t="s">
        <v>49</v>
      </c>
      <c r="B5" t="s">
        <v>31</v>
      </c>
      <c r="C5">
        <v>0</v>
      </c>
      <c r="E5">
        <f t="shared" ref="E5:E68" si="0">C5*D5</f>
        <v>0</v>
      </c>
    </row>
    <row r="6" spans="1:5" hidden="1" x14ac:dyDescent="0.3">
      <c r="A6" t="s">
        <v>19</v>
      </c>
      <c r="B6" t="s">
        <v>50</v>
      </c>
      <c r="C6">
        <v>7</v>
      </c>
      <c r="D6">
        <v>10000</v>
      </c>
      <c r="E6">
        <f t="shared" si="0"/>
        <v>70000</v>
      </c>
    </row>
    <row r="7" spans="1:5" hidden="1" x14ac:dyDescent="0.3">
      <c r="A7" t="s">
        <v>51</v>
      </c>
      <c r="B7" t="s">
        <v>53</v>
      </c>
      <c r="C7">
        <v>0</v>
      </c>
      <c r="E7">
        <f t="shared" si="0"/>
        <v>0</v>
      </c>
    </row>
    <row r="8" spans="1:5" hidden="1" x14ac:dyDescent="0.3">
      <c r="A8" t="s">
        <v>51</v>
      </c>
      <c r="B8" t="s">
        <v>147</v>
      </c>
      <c r="C8">
        <v>42</v>
      </c>
      <c r="D8">
        <v>13000</v>
      </c>
      <c r="E8">
        <f t="shared" si="0"/>
        <v>546000</v>
      </c>
    </row>
    <row r="9" spans="1:5" hidden="1" x14ac:dyDescent="0.3">
      <c r="A9" t="s">
        <v>28</v>
      </c>
      <c r="B9" t="s">
        <v>4</v>
      </c>
      <c r="C9">
        <v>0</v>
      </c>
      <c r="E9">
        <f t="shared" si="0"/>
        <v>0</v>
      </c>
    </row>
    <row r="10" spans="1:5" hidden="1" x14ac:dyDescent="0.3">
      <c r="A10" t="s">
        <v>28</v>
      </c>
      <c r="B10" t="s">
        <v>31</v>
      </c>
      <c r="C10">
        <v>0</v>
      </c>
      <c r="E10">
        <f t="shared" si="0"/>
        <v>0</v>
      </c>
    </row>
    <row r="11" spans="1:5" hidden="1" x14ac:dyDescent="0.3">
      <c r="A11" t="s">
        <v>29</v>
      </c>
      <c r="B11" t="s">
        <v>4</v>
      </c>
      <c r="C11">
        <v>543</v>
      </c>
      <c r="D11">
        <v>22000</v>
      </c>
      <c r="E11">
        <f t="shared" si="0"/>
        <v>11946000</v>
      </c>
    </row>
    <row r="12" spans="1:5" hidden="1" x14ac:dyDescent="0.3">
      <c r="A12" t="s">
        <v>29</v>
      </c>
      <c r="B12" t="s">
        <v>150</v>
      </c>
      <c r="C12">
        <v>0</v>
      </c>
      <c r="E12">
        <f t="shared" si="0"/>
        <v>0</v>
      </c>
    </row>
    <row r="13" spans="1:5" hidden="1" x14ac:dyDescent="0.3">
      <c r="A13" t="s">
        <v>56</v>
      </c>
      <c r="B13" t="s">
        <v>31</v>
      </c>
      <c r="C13">
        <v>2004</v>
      </c>
      <c r="D13">
        <v>4500</v>
      </c>
      <c r="E13">
        <f t="shared" si="0"/>
        <v>9018000</v>
      </c>
    </row>
    <row r="14" spans="1:5" hidden="1" x14ac:dyDescent="0.3">
      <c r="A14" t="s">
        <v>57</v>
      </c>
      <c r="B14" t="s">
        <v>4</v>
      </c>
      <c r="C14">
        <v>805</v>
      </c>
      <c r="D14">
        <v>25000</v>
      </c>
      <c r="E14">
        <f t="shared" si="0"/>
        <v>20125000</v>
      </c>
    </row>
    <row r="15" spans="1:5" hidden="1" x14ac:dyDescent="0.3">
      <c r="A15" t="s">
        <v>57</v>
      </c>
      <c r="B15" t="s">
        <v>31</v>
      </c>
      <c r="C15">
        <v>0</v>
      </c>
      <c r="E15">
        <f t="shared" si="0"/>
        <v>0</v>
      </c>
    </row>
    <row r="16" spans="1:5" hidden="1" x14ac:dyDescent="0.3">
      <c r="A16" t="s">
        <v>32</v>
      </c>
      <c r="B16" t="s">
        <v>4</v>
      </c>
      <c r="C16">
        <v>270</v>
      </c>
      <c r="D16">
        <v>17500</v>
      </c>
      <c r="E16">
        <f t="shared" si="0"/>
        <v>4725000</v>
      </c>
    </row>
    <row r="17" spans="1:5" hidden="1" x14ac:dyDescent="0.3">
      <c r="A17" t="s">
        <v>34</v>
      </c>
      <c r="B17" t="s">
        <v>4</v>
      </c>
      <c r="C17">
        <v>180</v>
      </c>
      <c r="D17">
        <v>15000</v>
      </c>
      <c r="E17">
        <f t="shared" si="0"/>
        <v>2700000</v>
      </c>
    </row>
    <row r="18" spans="1:5" hidden="1" x14ac:dyDescent="0.3">
      <c r="A18" t="s">
        <v>34</v>
      </c>
      <c r="B18" t="s">
        <v>31</v>
      </c>
      <c r="C18">
        <v>0</v>
      </c>
      <c r="E18">
        <f t="shared" si="0"/>
        <v>0</v>
      </c>
    </row>
    <row r="19" spans="1:5" hidden="1" x14ac:dyDescent="0.3">
      <c r="A19" t="s">
        <v>60</v>
      </c>
      <c r="B19" t="s">
        <v>50</v>
      </c>
      <c r="C19">
        <v>21</v>
      </c>
      <c r="D19">
        <v>11400</v>
      </c>
      <c r="E19">
        <f t="shared" si="0"/>
        <v>239400</v>
      </c>
    </row>
    <row r="20" spans="1:5" hidden="1" x14ac:dyDescent="0.3">
      <c r="A20" t="s">
        <v>6</v>
      </c>
      <c r="B20" t="s">
        <v>4</v>
      </c>
      <c r="C20">
        <v>339</v>
      </c>
      <c r="D20">
        <v>13500</v>
      </c>
      <c r="E20">
        <f t="shared" si="0"/>
        <v>4576500</v>
      </c>
    </row>
    <row r="21" spans="1:5" hidden="1" x14ac:dyDescent="0.3">
      <c r="A21" t="s">
        <v>62</v>
      </c>
      <c r="B21" t="s">
        <v>4</v>
      </c>
      <c r="C21">
        <v>32</v>
      </c>
      <c r="D21">
        <v>22000</v>
      </c>
      <c r="E21">
        <f t="shared" si="0"/>
        <v>704000</v>
      </c>
    </row>
    <row r="22" spans="1:5" hidden="1" x14ac:dyDescent="0.3">
      <c r="A22" t="s">
        <v>62</v>
      </c>
      <c r="B22" t="s">
        <v>31</v>
      </c>
      <c r="C22">
        <v>6</v>
      </c>
      <c r="D22">
        <v>9000</v>
      </c>
      <c r="E22">
        <f t="shared" si="0"/>
        <v>54000</v>
      </c>
    </row>
    <row r="23" spans="1:5" hidden="1" x14ac:dyDescent="0.3">
      <c r="A23" t="s">
        <v>64</v>
      </c>
      <c r="B23" t="s">
        <v>31</v>
      </c>
      <c r="C23">
        <v>25</v>
      </c>
      <c r="D23">
        <v>9000</v>
      </c>
      <c r="E23">
        <f t="shared" si="0"/>
        <v>225000</v>
      </c>
    </row>
    <row r="24" spans="1:5" hidden="1" x14ac:dyDescent="0.3">
      <c r="A24" t="s">
        <v>22</v>
      </c>
      <c r="B24" t="s">
        <v>4</v>
      </c>
      <c r="C24">
        <v>240</v>
      </c>
      <c r="D24">
        <v>7000</v>
      </c>
      <c r="E24">
        <f t="shared" si="0"/>
        <v>1680000</v>
      </c>
    </row>
    <row r="25" spans="1:5" hidden="1" x14ac:dyDescent="0.3">
      <c r="A25" t="s">
        <v>24</v>
      </c>
      <c r="B25" t="s">
        <v>66</v>
      </c>
      <c r="C25">
        <v>0</v>
      </c>
      <c r="E25">
        <f t="shared" si="0"/>
        <v>0</v>
      </c>
    </row>
    <row r="26" spans="1:5" hidden="1" x14ac:dyDescent="0.3">
      <c r="A26" t="s">
        <v>24</v>
      </c>
      <c r="B26" t="s">
        <v>4</v>
      </c>
      <c r="C26">
        <v>135</v>
      </c>
      <c r="D26">
        <v>17000</v>
      </c>
      <c r="E26">
        <f t="shared" si="0"/>
        <v>2295000</v>
      </c>
    </row>
    <row r="27" spans="1:5" hidden="1" x14ac:dyDescent="0.3">
      <c r="A27" t="s">
        <v>75</v>
      </c>
      <c r="B27" t="s">
        <v>4</v>
      </c>
      <c r="C27">
        <v>0</v>
      </c>
      <c r="E27">
        <f t="shared" si="0"/>
        <v>0</v>
      </c>
    </row>
    <row r="28" spans="1:5" hidden="1" x14ac:dyDescent="0.3">
      <c r="A28" t="s">
        <v>8</v>
      </c>
      <c r="B28" t="s">
        <v>4</v>
      </c>
      <c r="C28">
        <v>0</v>
      </c>
      <c r="E28">
        <f t="shared" si="0"/>
        <v>0</v>
      </c>
    </row>
    <row r="29" spans="1:5" hidden="1" x14ac:dyDescent="0.3">
      <c r="A29" t="s">
        <v>10</v>
      </c>
      <c r="B29" t="s">
        <v>4</v>
      </c>
      <c r="C29">
        <v>90</v>
      </c>
      <c r="D29">
        <v>10000</v>
      </c>
      <c r="E29">
        <f t="shared" si="0"/>
        <v>900000</v>
      </c>
    </row>
    <row r="30" spans="1:5" hidden="1" x14ac:dyDescent="0.3">
      <c r="A30" t="s">
        <v>10</v>
      </c>
      <c r="B30" t="s">
        <v>84</v>
      </c>
      <c r="C30">
        <v>0</v>
      </c>
      <c r="E30">
        <f t="shared" si="0"/>
        <v>0</v>
      </c>
    </row>
    <row r="31" spans="1:5" hidden="1" x14ac:dyDescent="0.3">
      <c r="A31" t="s">
        <v>11</v>
      </c>
      <c r="B31" t="s">
        <v>4</v>
      </c>
      <c r="C31">
        <v>0</v>
      </c>
      <c r="E31">
        <f t="shared" si="0"/>
        <v>0</v>
      </c>
    </row>
    <row r="32" spans="1:5" hidden="1" x14ac:dyDescent="0.3">
      <c r="A32" t="s">
        <v>11</v>
      </c>
      <c r="B32" t="s">
        <v>84</v>
      </c>
      <c r="C32">
        <v>0</v>
      </c>
      <c r="E32">
        <f t="shared" si="0"/>
        <v>0</v>
      </c>
    </row>
    <row r="33" spans="1:5" hidden="1" x14ac:dyDescent="0.3">
      <c r="A33" t="s">
        <v>15</v>
      </c>
      <c r="B33" t="s">
        <v>4</v>
      </c>
      <c r="C33">
        <v>300</v>
      </c>
      <c r="D33">
        <v>19000</v>
      </c>
      <c r="E33">
        <f t="shared" si="0"/>
        <v>5700000</v>
      </c>
    </row>
    <row r="34" spans="1:5" hidden="1" x14ac:dyDescent="0.3">
      <c r="A34" t="s">
        <v>15</v>
      </c>
      <c r="B34" t="s">
        <v>50</v>
      </c>
      <c r="C34">
        <v>0</v>
      </c>
      <c r="E34">
        <f t="shared" si="0"/>
        <v>0</v>
      </c>
    </row>
    <row r="35" spans="1:5" hidden="1" x14ac:dyDescent="0.3">
      <c r="A35" t="s">
        <v>15</v>
      </c>
      <c r="B35" t="s">
        <v>164</v>
      </c>
      <c r="C35">
        <v>0</v>
      </c>
      <c r="E35">
        <f t="shared" si="0"/>
        <v>0</v>
      </c>
    </row>
    <row r="36" spans="1:5" hidden="1" x14ac:dyDescent="0.3">
      <c r="A36" t="s">
        <v>18</v>
      </c>
      <c r="B36" t="s">
        <v>4</v>
      </c>
      <c r="C36">
        <v>200</v>
      </c>
      <c r="D36">
        <v>17000</v>
      </c>
      <c r="E36">
        <f t="shared" si="0"/>
        <v>3400000</v>
      </c>
    </row>
    <row r="37" spans="1:5" hidden="1" x14ac:dyDescent="0.3">
      <c r="A37" t="s">
        <v>18</v>
      </c>
      <c r="B37" t="s">
        <v>50</v>
      </c>
      <c r="C37">
        <v>0</v>
      </c>
      <c r="E37">
        <f t="shared" si="0"/>
        <v>0</v>
      </c>
    </row>
    <row r="38" spans="1:5" hidden="1" x14ac:dyDescent="0.3">
      <c r="A38" t="s">
        <v>92</v>
      </c>
      <c r="B38" t="s">
        <v>31</v>
      </c>
      <c r="C38">
        <v>80</v>
      </c>
      <c r="D38">
        <v>11000</v>
      </c>
      <c r="E38">
        <f t="shared" si="0"/>
        <v>880000</v>
      </c>
    </row>
    <row r="39" spans="1:5" hidden="1" x14ac:dyDescent="0.3">
      <c r="A39" t="s">
        <v>39</v>
      </c>
      <c r="B39" t="s">
        <v>4</v>
      </c>
      <c r="C39">
        <v>45</v>
      </c>
      <c r="D39">
        <v>6000</v>
      </c>
      <c r="E39">
        <f t="shared" si="0"/>
        <v>270000</v>
      </c>
    </row>
    <row r="40" spans="1:5" hidden="1" x14ac:dyDescent="0.3">
      <c r="A40" t="s">
        <v>39</v>
      </c>
      <c r="B40" t="s">
        <v>50</v>
      </c>
      <c r="C40">
        <v>367</v>
      </c>
      <c r="D40">
        <v>5000</v>
      </c>
      <c r="E40">
        <f t="shared" si="0"/>
        <v>1835000</v>
      </c>
    </row>
    <row r="41" spans="1:5" hidden="1" x14ac:dyDescent="0.3">
      <c r="A41" t="s">
        <v>100</v>
      </c>
      <c r="B41" t="s">
        <v>4</v>
      </c>
      <c r="C41">
        <v>18</v>
      </c>
      <c r="D41">
        <v>5000</v>
      </c>
      <c r="E41">
        <f t="shared" si="0"/>
        <v>90000</v>
      </c>
    </row>
    <row r="42" spans="1:5" hidden="1" x14ac:dyDescent="0.3">
      <c r="A42" t="s">
        <v>43</v>
      </c>
      <c r="B42" t="s">
        <v>4</v>
      </c>
      <c r="C42">
        <v>40</v>
      </c>
      <c r="D42">
        <v>35000</v>
      </c>
      <c r="E42">
        <f t="shared" si="0"/>
        <v>1400000</v>
      </c>
    </row>
    <row r="43" spans="1:5" hidden="1" x14ac:dyDescent="0.3">
      <c r="A43" t="s">
        <v>43</v>
      </c>
      <c r="B43" t="s">
        <v>84</v>
      </c>
      <c r="C43">
        <v>0</v>
      </c>
      <c r="E43">
        <f t="shared" si="0"/>
        <v>0</v>
      </c>
    </row>
    <row r="44" spans="1:5" hidden="1" x14ac:dyDescent="0.3">
      <c r="A44" t="s">
        <v>44</v>
      </c>
      <c r="B44" t="s">
        <v>4</v>
      </c>
      <c r="C44">
        <v>70</v>
      </c>
      <c r="D44">
        <v>18000</v>
      </c>
      <c r="E44">
        <f t="shared" si="0"/>
        <v>1260000</v>
      </c>
    </row>
    <row r="45" spans="1:5" hidden="1" x14ac:dyDescent="0.3">
      <c r="A45" t="s">
        <v>44</v>
      </c>
      <c r="B45" t="s">
        <v>84</v>
      </c>
      <c r="C45">
        <v>0</v>
      </c>
      <c r="E45">
        <f t="shared" si="0"/>
        <v>0</v>
      </c>
    </row>
    <row r="46" spans="1:5" hidden="1" x14ac:dyDescent="0.3">
      <c r="A46" t="s">
        <v>45</v>
      </c>
      <c r="B46" t="s">
        <v>4</v>
      </c>
      <c r="C46">
        <v>8</v>
      </c>
      <c r="D46">
        <v>26000</v>
      </c>
      <c r="E46">
        <f t="shared" si="0"/>
        <v>208000</v>
      </c>
    </row>
    <row r="47" spans="1:5" hidden="1" x14ac:dyDescent="0.3">
      <c r="A47" t="s">
        <v>45</v>
      </c>
      <c r="B47" t="s">
        <v>84</v>
      </c>
      <c r="C47">
        <v>0</v>
      </c>
      <c r="E47">
        <f t="shared" si="0"/>
        <v>0</v>
      </c>
    </row>
    <row r="48" spans="1:5" hidden="1" x14ac:dyDescent="0.3">
      <c r="A48" t="s">
        <v>12</v>
      </c>
      <c r="B48" t="s">
        <v>4</v>
      </c>
      <c r="C48">
        <v>0</v>
      </c>
      <c r="E48">
        <f t="shared" si="0"/>
        <v>0</v>
      </c>
    </row>
    <row r="49" spans="1:5" hidden="1" x14ac:dyDescent="0.3">
      <c r="A49" t="s">
        <v>116</v>
      </c>
      <c r="B49" t="s">
        <v>50</v>
      </c>
      <c r="C49">
        <v>0</v>
      </c>
      <c r="E49">
        <f t="shared" si="0"/>
        <v>0</v>
      </c>
    </row>
    <row r="50" spans="1:5" hidden="1" x14ac:dyDescent="0.3">
      <c r="A50" t="s">
        <v>117</v>
      </c>
      <c r="B50" t="s">
        <v>4</v>
      </c>
      <c r="C50">
        <v>40</v>
      </c>
      <c r="D50">
        <v>25000</v>
      </c>
      <c r="E50">
        <f t="shared" si="0"/>
        <v>1000000</v>
      </c>
    </row>
    <row r="51" spans="1:5" hidden="1" x14ac:dyDescent="0.3">
      <c r="A51" t="s">
        <v>17</v>
      </c>
      <c r="B51" t="s">
        <v>4</v>
      </c>
      <c r="C51">
        <v>8</v>
      </c>
      <c r="D51">
        <v>35000</v>
      </c>
      <c r="E51">
        <f t="shared" si="0"/>
        <v>280000</v>
      </c>
    </row>
    <row r="52" spans="1:5" hidden="1" x14ac:dyDescent="0.3">
      <c r="A52" t="s">
        <v>17</v>
      </c>
      <c r="B52" t="s">
        <v>147</v>
      </c>
      <c r="C52">
        <v>65</v>
      </c>
      <c r="D52">
        <v>10500</v>
      </c>
      <c r="E52">
        <f t="shared" si="0"/>
        <v>682500</v>
      </c>
    </row>
    <row r="53" spans="1:5" hidden="1" x14ac:dyDescent="0.3">
      <c r="A53" t="s">
        <v>17</v>
      </c>
      <c r="B53" t="s">
        <v>203</v>
      </c>
      <c r="C53">
        <v>0</v>
      </c>
      <c r="E53">
        <f t="shared" si="0"/>
        <v>0</v>
      </c>
    </row>
    <row r="54" spans="1:5" hidden="1" x14ac:dyDescent="0.3">
      <c r="A54" t="s">
        <v>118</v>
      </c>
      <c r="B54" t="s">
        <v>4</v>
      </c>
      <c r="C54">
        <v>0</v>
      </c>
      <c r="E54">
        <f t="shared" si="0"/>
        <v>0</v>
      </c>
    </row>
    <row r="55" spans="1:5" x14ac:dyDescent="0.3">
      <c r="A55" t="s">
        <v>41</v>
      </c>
      <c r="B55" t="s">
        <v>4</v>
      </c>
      <c r="C55">
        <v>3000</v>
      </c>
      <c r="D55">
        <v>27600</v>
      </c>
      <c r="E55">
        <f t="shared" si="0"/>
        <v>82800000</v>
      </c>
    </row>
    <row r="56" spans="1:5" hidden="1" x14ac:dyDescent="0.3">
      <c r="A56" t="s">
        <v>3</v>
      </c>
      <c r="B56" t="s">
        <v>4</v>
      </c>
      <c r="C56">
        <v>30</v>
      </c>
      <c r="D56">
        <v>30000</v>
      </c>
      <c r="E56">
        <f t="shared" si="0"/>
        <v>900000</v>
      </c>
    </row>
    <row r="57" spans="1:5" hidden="1" x14ac:dyDescent="0.3">
      <c r="A57" t="s">
        <v>5</v>
      </c>
      <c r="B57" t="s">
        <v>4</v>
      </c>
      <c r="C57">
        <v>53</v>
      </c>
      <c r="D57">
        <v>17000</v>
      </c>
      <c r="E57">
        <f t="shared" si="0"/>
        <v>901000</v>
      </c>
    </row>
    <row r="58" spans="1:5" hidden="1" x14ac:dyDescent="0.3">
      <c r="A58" t="s">
        <v>13</v>
      </c>
      <c r="B58" t="s">
        <v>4</v>
      </c>
      <c r="C58">
        <v>17</v>
      </c>
      <c r="D58">
        <v>27000</v>
      </c>
      <c r="E58">
        <f t="shared" si="0"/>
        <v>459000</v>
      </c>
    </row>
    <row r="59" spans="1:5" hidden="1" x14ac:dyDescent="0.3">
      <c r="A59" t="s">
        <v>175</v>
      </c>
      <c r="B59" t="s">
        <v>4</v>
      </c>
      <c r="C59">
        <v>0</v>
      </c>
      <c r="E59">
        <f t="shared" si="0"/>
        <v>0</v>
      </c>
    </row>
    <row r="60" spans="1:5" hidden="1" x14ac:dyDescent="0.3">
      <c r="A60" t="s">
        <v>16</v>
      </c>
      <c r="B60" t="s">
        <v>4</v>
      </c>
      <c r="C60">
        <v>82</v>
      </c>
      <c r="D60">
        <v>15000</v>
      </c>
      <c r="E60">
        <f t="shared" si="0"/>
        <v>1230000</v>
      </c>
    </row>
    <row r="61" spans="1:5" hidden="1" x14ac:dyDescent="0.3">
      <c r="A61" t="s">
        <v>16</v>
      </c>
      <c r="B61" t="s">
        <v>165</v>
      </c>
      <c r="C61">
        <v>0</v>
      </c>
      <c r="E61">
        <f t="shared" si="0"/>
        <v>0</v>
      </c>
    </row>
    <row r="62" spans="1:5" hidden="1" x14ac:dyDescent="0.3">
      <c r="A62" t="s">
        <v>89</v>
      </c>
      <c r="B62" t="s">
        <v>53</v>
      </c>
      <c r="C62">
        <v>0</v>
      </c>
      <c r="E62">
        <f t="shared" si="0"/>
        <v>0</v>
      </c>
    </row>
    <row r="63" spans="1:5" hidden="1" x14ac:dyDescent="0.3">
      <c r="A63" t="s">
        <v>89</v>
      </c>
      <c r="B63" t="s">
        <v>147</v>
      </c>
      <c r="C63">
        <v>27</v>
      </c>
      <c r="D63">
        <v>14250</v>
      </c>
      <c r="E63">
        <f t="shared" si="0"/>
        <v>384750</v>
      </c>
    </row>
    <row r="64" spans="1:5" hidden="1" x14ac:dyDescent="0.3">
      <c r="A64" t="s">
        <v>90</v>
      </c>
      <c r="B64" t="s">
        <v>4</v>
      </c>
      <c r="C64">
        <v>0</v>
      </c>
      <c r="E64">
        <f t="shared" si="0"/>
        <v>0</v>
      </c>
    </row>
    <row r="65" spans="1:5" hidden="1" x14ac:dyDescent="0.3">
      <c r="A65" t="s">
        <v>90</v>
      </c>
      <c r="B65" t="s">
        <v>147</v>
      </c>
      <c r="C65">
        <v>183</v>
      </c>
      <c r="D65">
        <v>10000</v>
      </c>
      <c r="E65">
        <f t="shared" si="0"/>
        <v>1830000</v>
      </c>
    </row>
    <row r="66" spans="1:5" hidden="1" x14ac:dyDescent="0.3">
      <c r="A66" t="s">
        <v>90</v>
      </c>
      <c r="B66" t="s">
        <v>148</v>
      </c>
      <c r="C66">
        <v>65</v>
      </c>
      <c r="D66">
        <v>8000</v>
      </c>
      <c r="E66">
        <f t="shared" si="0"/>
        <v>520000</v>
      </c>
    </row>
    <row r="67" spans="1:5" hidden="1" x14ac:dyDescent="0.3">
      <c r="A67" t="s">
        <v>21</v>
      </c>
      <c r="B67" t="s">
        <v>4</v>
      </c>
      <c r="C67">
        <v>0</v>
      </c>
      <c r="E67">
        <f t="shared" si="0"/>
        <v>0</v>
      </c>
    </row>
    <row r="68" spans="1:5" hidden="1" x14ac:dyDescent="0.3">
      <c r="A68" t="s">
        <v>21</v>
      </c>
      <c r="B68" t="s">
        <v>149</v>
      </c>
      <c r="C68">
        <v>0</v>
      </c>
      <c r="E68">
        <f t="shared" si="0"/>
        <v>0</v>
      </c>
    </row>
    <row r="69" spans="1:5" hidden="1" x14ac:dyDescent="0.3">
      <c r="A69" t="s">
        <v>63</v>
      </c>
      <c r="B69" t="s">
        <v>31</v>
      </c>
      <c r="C69">
        <v>13</v>
      </c>
      <c r="D69">
        <v>6000</v>
      </c>
      <c r="E69">
        <f t="shared" ref="E69:E134" si="1">C69*D69</f>
        <v>78000</v>
      </c>
    </row>
    <row r="70" spans="1:5" hidden="1" x14ac:dyDescent="0.3">
      <c r="A70" t="s">
        <v>26</v>
      </c>
      <c r="B70" t="s">
        <v>4</v>
      </c>
      <c r="C70">
        <v>0</v>
      </c>
      <c r="E70">
        <f t="shared" si="1"/>
        <v>0</v>
      </c>
    </row>
    <row r="71" spans="1:5" hidden="1" x14ac:dyDescent="0.3">
      <c r="A71" t="s">
        <v>27</v>
      </c>
      <c r="B71" t="s">
        <v>4</v>
      </c>
      <c r="C71">
        <v>0</v>
      </c>
      <c r="E71">
        <f t="shared" si="1"/>
        <v>0</v>
      </c>
    </row>
    <row r="72" spans="1:5" hidden="1" x14ac:dyDescent="0.3">
      <c r="A72" t="s">
        <v>54</v>
      </c>
      <c r="B72" t="s">
        <v>4</v>
      </c>
      <c r="C72">
        <v>24</v>
      </c>
      <c r="D72">
        <v>39000</v>
      </c>
      <c r="E72">
        <f t="shared" si="1"/>
        <v>936000</v>
      </c>
    </row>
    <row r="73" spans="1:5" hidden="1" x14ac:dyDescent="0.3">
      <c r="A73" t="s">
        <v>35</v>
      </c>
      <c r="B73" t="s">
        <v>4</v>
      </c>
      <c r="C73">
        <v>53</v>
      </c>
      <c r="D73">
        <v>17000</v>
      </c>
      <c r="E73">
        <f t="shared" si="1"/>
        <v>901000</v>
      </c>
    </row>
    <row r="74" spans="1:5" hidden="1" x14ac:dyDescent="0.3">
      <c r="A74" t="s">
        <v>123</v>
      </c>
      <c r="B74" t="s">
        <v>31</v>
      </c>
      <c r="C74">
        <v>0</v>
      </c>
      <c r="E74">
        <f t="shared" si="1"/>
        <v>0</v>
      </c>
    </row>
    <row r="75" spans="1:5" hidden="1" x14ac:dyDescent="0.3">
      <c r="A75" t="s">
        <v>37</v>
      </c>
      <c r="B75" t="s">
        <v>4</v>
      </c>
      <c r="C75">
        <v>0</v>
      </c>
      <c r="E75">
        <f t="shared" si="1"/>
        <v>0</v>
      </c>
    </row>
    <row r="76" spans="1:5" hidden="1" x14ac:dyDescent="0.3">
      <c r="A76" t="s">
        <v>37</v>
      </c>
      <c r="B76" t="s">
        <v>151</v>
      </c>
      <c r="C76">
        <v>0</v>
      </c>
      <c r="E76">
        <f t="shared" si="1"/>
        <v>0</v>
      </c>
    </row>
    <row r="77" spans="1:5" hidden="1" x14ac:dyDescent="0.3">
      <c r="A77" t="s">
        <v>96</v>
      </c>
      <c r="B77" t="s">
        <v>4</v>
      </c>
      <c r="C77">
        <v>3</v>
      </c>
      <c r="D77">
        <v>80000</v>
      </c>
      <c r="E77">
        <f t="shared" si="1"/>
        <v>240000</v>
      </c>
    </row>
    <row r="78" spans="1:5" hidden="1" x14ac:dyDescent="0.3">
      <c r="A78" t="s">
        <v>97</v>
      </c>
      <c r="B78" t="s">
        <v>4</v>
      </c>
      <c r="C78">
        <v>5.5</v>
      </c>
      <c r="D78">
        <v>70000</v>
      </c>
      <c r="E78">
        <f t="shared" si="1"/>
        <v>385000</v>
      </c>
    </row>
    <row r="79" spans="1:5" hidden="1" x14ac:dyDescent="0.3">
      <c r="A79" t="s">
        <v>105</v>
      </c>
      <c r="B79" t="s">
        <v>4</v>
      </c>
      <c r="C79">
        <v>1.8</v>
      </c>
      <c r="D79">
        <v>70000</v>
      </c>
      <c r="E79">
        <f t="shared" si="1"/>
        <v>126000</v>
      </c>
    </row>
    <row r="80" spans="1:5" hidden="1" x14ac:dyDescent="0.3">
      <c r="A80" t="s">
        <v>40</v>
      </c>
      <c r="B80" t="s">
        <v>66</v>
      </c>
      <c r="C80">
        <v>0</v>
      </c>
      <c r="E80">
        <f t="shared" si="1"/>
        <v>0</v>
      </c>
    </row>
    <row r="81" spans="1:5" hidden="1" x14ac:dyDescent="0.3">
      <c r="A81" t="s">
        <v>40</v>
      </c>
      <c r="B81" t="s">
        <v>4</v>
      </c>
      <c r="C81">
        <v>33</v>
      </c>
      <c r="D81">
        <v>32000</v>
      </c>
      <c r="E81">
        <f t="shared" si="1"/>
        <v>1056000</v>
      </c>
    </row>
    <row r="82" spans="1:5" hidden="1" x14ac:dyDescent="0.3">
      <c r="A82" t="s">
        <v>124</v>
      </c>
      <c r="B82" t="s">
        <v>4</v>
      </c>
      <c r="C82">
        <v>18</v>
      </c>
      <c r="D82">
        <v>30000</v>
      </c>
      <c r="E82">
        <f t="shared" si="1"/>
        <v>540000</v>
      </c>
    </row>
    <row r="83" spans="1:5" hidden="1" x14ac:dyDescent="0.3">
      <c r="A83" t="s">
        <v>42</v>
      </c>
      <c r="B83" t="s">
        <v>31</v>
      </c>
      <c r="C83">
        <v>5</v>
      </c>
      <c r="D83">
        <v>2000</v>
      </c>
      <c r="E83">
        <f t="shared" si="1"/>
        <v>10000</v>
      </c>
    </row>
    <row r="84" spans="1:5" hidden="1" x14ac:dyDescent="0.3">
      <c r="A84" t="s">
        <v>67</v>
      </c>
      <c r="B84" t="s">
        <v>4</v>
      </c>
      <c r="C84">
        <v>10</v>
      </c>
      <c r="D84">
        <v>14000</v>
      </c>
      <c r="E84">
        <f t="shared" si="1"/>
        <v>140000</v>
      </c>
    </row>
    <row r="85" spans="1:5" hidden="1" x14ac:dyDescent="0.3">
      <c r="A85" t="s">
        <v>101</v>
      </c>
      <c r="B85" t="s">
        <v>53</v>
      </c>
      <c r="C85">
        <v>0</v>
      </c>
      <c r="E85">
        <f t="shared" si="1"/>
        <v>0</v>
      </c>
    </row>
    <row r="86" spans="1:5" hidden="1" x14ac:dyDescent="0.3">
      <c r="A86" t="s">
        <v>46</v>
      </c>
      <c r="B86" t="s">
        <v>4</v>
      </c>
      <c r="C86">
        <v>46</v>
      </c>
      <c r="D86">
        <v>60000</v>
      </c>
      <c r="E86">
        <f t="shared" si="1"/>
        <v>2760000</v>
      </c>
    </row>
    <row r="87" spans="1:5" hidden="1" x14ac:dyDescent="0.3">
      <c r="A87" t="s">
        <v>46</v>
      </c>
      <c r="B87" t="s">
        <v>31</v>
      </c>
      <c r="C87">
        <v>0</v>
      </c>
      <c r="E87">
        <f t="shared" si="1"/>
        <v>0</v>
      </c>
    </row>
    <row r="88" spans="1:5" hidden="1" x14ac:dyDescent="0.3">
      <c r="A88" t="s">
        <v>47</v>
      </c>
      <c r="B88" t="s">
        <v>4</v>
      </c>
      <c r="C88">
        <v>123</v>
      </c>
      <c r="D88">
        <v>9500</v>
      </c>
      <c r="E88">
        <f t="shared" si="1"/>
        <v>1168500</v>
      </c>
    </row>
    <row r="89" spans="1:5" hidden="1" x14ac:dyDescent="0.3">
      <c r="A89" t="s">
        <v>74</v>
      </c>
      <c r="B89" t="s">
        <v>4</v>
      </c>
      <c r="C89">
        <v>56</v>
      </c>
      <c r="D89">
        <v>24000</v>
      </c>
      <c r="E89">
        <f t="shared" si="1"/>
        <v>1344000</v>
      </c>
    </row>
    <row r="90" spans="1:5" hidden="1" x14ac:dyDescent="0.3">
      <c r="A90" t="s">
        <v>48</v>
      </c>
      <c r="B90" t="s">
        <v>4</v>
      </c>
      <c r="C90">
        <v>0</v>
      </c>
      <c r="E90">
        <f t="shared" si="1"/>
        <v>0</v>
      </c>
    </row>
    <row r="91" spans="1:5" hidden="1" x14ac:dyDescent="0.3">
      <c r="A91" t="s">
        <v>152</v>
      </c>
      <c r="B91" t="s">
        <v>4</v>
      </c>
      <c r="C91">
        <v>0</v>
      </c>
      <c r="E91">
        <f t="shared" si="1"/>
        <v>0</v>
      </c>
    </row>
    <row r="92" spans="1:5" hidden="1" x14ac:dyDescent="0.3">
      <c r="A92" t="s">
        <v>81</v>
      </c>
      <c r="B92" t="s">
        <v>4</v>
      </c>
      <c r="C92">
        <v>50</v>
      </c>
      <c r="D92">
        <v>30000</v>
      </c>
      <c r="E92">
        <f t="shared" si="1"/>
        <v>1500000</v>
      </c>
    </row>
    <row r="93" spans="1:5" hidden="1" x14ac:dyDescent="0.3">
      <c r="A93" t="s">
        <v>59</v>
      </c>
      <c r="B93" t="s">
        <v>4</v>
      </c>
      <c r="C93">
        <v>25</v>
      </c>
      <c r="D93">
        <v>37000</v>
      </c>
      <c r="E93">
        <f t="shared" si="1"/>
        <v>925000</v>
      </c>
    </row>
    <row r="94" spans="1:5" hidden="1" x14ac:dyDescent="0.3">
      <c r="A94" t="s">
        <v>133</v>
      </c>
      <c r="B94" t="s">
        <v>31</v>
      </c>
      <c r="C94">
        <v>0</v>
      </c>
      <c r="E94">
        <f t="shared" si="1"/>
        <v>0</v>
      </c>
    </row>
    <row r="95" spans="1:5" hidden="1" x14ac:dyDescent="0.3">
      <c r="A95" t="s">
        <v>76</v>
      </c>
      <c r="B95" t="s">
        <v>66</v>
      </c>
      <c r="C95">
        <v>0</v>
      </c>
      <c r="E95">
        <f t="shared" si="1"/>
        <v>0</v>
      </c>
    </row>
    <row r="96" spans="1:5" hidden="1" x14ac:dyDescent="0.3">
      <c r="A96" t="s">
        <v>82</v>
      </c>
      <c r="B96" t="s">
        <v>66</v>
      </c>
      <c r="C96">
        <v>81</v>
      </c>
      <c r="D96">
        <v>8000</v>
      </c>
      <c r="E96">
        <f t="shared" si="1"/>
        <v>648000</v>
      </c>
    </row>
    <row r="97" spans="1:5" hidden="1" x14ac:dyDescent="0.3">
      <c r="A97" t="s">
        <v>77</v>
      </c>
      <c r="B97" t="s">
        <v>66</v>
      </c>
      <c r="C97">
        <v>0</v>
      </c>
      <c r="E97">
        <f t="shared" si="1"/>
        <v>0</v>
      </c>
    </row>
    <row r="98" spans="1:5" hidden="1" x14ac:dyDescent="0.3">
      <c r="A98" t="s">
        <v>85</v>
      </c>
      <c r="B98" t="s">
        <v>4</v>
      </c>
      <c r="C98">
        <v>0</v>
      </c>
      <c r="E98">
        <f t="shared" si="1"/>
        <v>0</v>
      </c>
    </row>
    <row r="99" spans="1:5" hidden="1" x14ac:dyDescent="0.3">
      <c r="A99" t="s">
        <v>142</v>
      </c>
      <c r="B99" t="s">
        <v>31</v>
      </c>
      <c r="C99">
        <v>210</v>
      </c>
      <c r="D99">
        <v>6000</v>
      </c>
      <c r="E99">
        <f t="shared" si="1"/>
        <v>1260000</v>
      </c>
    </row>
    <row r="100" spans="1:5" hidden="1" x14ac:dyDescent="0.3">
      <c r="A100" t="s">
        <v>121</v>
      </c>
      <c r="B100" t="s">
        <v>53</v>
      </c>
      <c r="C100">
        <v>45</v>
      </c>
      <c r="D100">
        <v>100000</v>
      </c>
      <c r="E100">
        <f t="shared" si="1"/>
        <v>4500000</v>
      </c>
    </row>
    <row r="101" spans="1:5" hidden="1" x14ac:dyDescent="0.3">
      <c r="A101" t="s">
        <v>23</v>
      </c>
      <c r="B101" t="s">
        <v>4</v>
      </c>
      <c r="C101">
        <v>0</v>
      </c>
      <c r="E101">
        <f t="shared" si="1"/>
        <v>0</v>
      </c>
    </row>
    <row r="102" spans="1:5" hidden="1" x14ac:dyDescent="0.3">
      <c r="A102" t="s">
        <v>99</v>
      </c>
      <c r="B102" t="s">
        <v>4</v>
      </c>
      <c r="C102">
        <v>3</v>
      </c>
      <c r="D102">
        <v>10000</v>
      </c>
      <c r="E102">
        <f t="shared" si="1"/>
        <v>30000</v>
      </c>
    </row>
    <row r="103" spans="1:5" hidden="1" x14ac:dyDescent="0.3">
      <c r="A103" t="s">
        <v>58</v>
      </c>
      <c r="B103" t="s">
        <v>4</v>
      </c>
      <c r="C103">
        <v>7</v>
      </c>
      <c r="D103">
        <v>30000</v>
      </c>
      <c r="E103">
        <f t="shared" si="1"/>
        <v>210000</v>
      </c>
    </row>
    <row r="104" spans="1:5" hidden="1" x14ac:dyDescent="0.3">
      <c r="A104" t="s">
        <v>33</v>
      </c>
      <c r="B104" t="s">
        <v>31</v>
      </c>
      <c r="C104">
        <v>0</v>
      </c>
      <c r="E104">
        <f t="shared" si="1"/>
        <v>0</v>
      </c>
    </row>
    <row r="105" spans="1:5" hidden="1" x14ac:dyDescent="0.3">
      <c r="A105" t="s">
        <v>107</v>
      </c>
      <c r="B105" t="s">
        <v>4</v>
      </c>
      <c r="C105">
        <v>0</v>
      </c>
      <c r="E105">
        <f t="shared" si="1"/>
        <v>0</v>
      </c>
    </row>
    <row r="106" spans="1:5" hidden="1" x14ac:dyDescent="0.3">
      <c r="A106" t="s">
        <v>136</v>
      </c>
      <c r="B106" t="s">
        <v>4</v>
      </c>
      <c r="C106">
        <v>20</v>
      </c>
      <c r="D106">
        <v>30000</v>
      </c>
      <c r="E106">
        <f t="shared" si="1"/>
        <v>600000</v>
      </c>
    </row>
    <row r="107" spans="1:5" hidden="1" x14ac:dyDescent="0.3">
      <c r="A107" t="s">
        <v>219</v>
      </c>
      <c r="B107" t="s">
        <v>4</v>
      </c>
      <c r="C107">
        <v>125</v>
      </c>
      <c r="D107">
        <v>41000</v>
      </c>
      <c r="E107">
        <f t="shared" si="1"/>
        <v>5125000</v>
      </c>
    </row>
    <row r="108" spans="1:5" hidden="1" x14ac:dyDescent="0.3">
      <c r="E108">
        <f t="shared" si="1"/>
        <v>0</v>
      </c>
    </row>
    <row r="109" spans="1:5" hidden="1" x14ac:dyDescent="0.3">
      <c r="E109">
        <f>SUM(E4:E107)</f>
        <v>195216650</v>
      </c>
    </row>
    <row r="110" spans="1:5" hidden="1" x14ac:dyDescent="0.3">
      <c r="A110" t="s">
        <v>139</v>
      </c>
    </row>
    <row r="111" spans="1:5" hidden="1" x14ac:dyDescent="0.3">
      <c r="A111" t="s">
        <v>0</v>
      </c>
      <c r="B111" t="s">
        <v>1</v>
      </c>
      <c r="C111" t="s">
        <v>190</v>
      </c>
      <c r="D111" t="s">
        <v>137</v>
      </c>
      <c r="E111" t="s">
        <v>138</v>
      </c>
    </row>
    <row r="112" spans="1:5" hidden="1" x14ac:dyDescent="0.3">
      <c r="A112" t="s">
        <v>49</v>
      </c>
      <c r="B112" t="s">
        <v>4</v>
      </c>
      <c r="E112">
        <f t="shared" si="1"/>
        <v>0</v>
      </c>
    </row>
    <row r="113" spans="1:5" hidden="1" x14ac:dyDescent="0.3">
      <c r="A113" t="s">
        <v>144</v>
      </c>
      <c r="B113" t="s">
        <v>50</v>
      </c>
      <c r="C113">
        <v>12</v>
      </c>
      <c r="D113">
        <v>4000</v>
      </c>
      <c r="E113">
        <f t="shared" si="1"/>
        <v>48000</v>
      </c>
    </row>
    <row r="114" spans="1:5" hidden="1" x14ac:dyDescent="0.3">
      <c r="A114" t="s">
        <v>27</v>
      </c>
      <c r="B114" t="s">
        <v>4</v>
      </c>
      <c r="C114">
        <v>165</v>
      </c>
      <c r="D114">
        <v>6500</v>
      </c>
      <c r="E114">
        <f t="shared" si="1"/>
        <v>1072500</v>
      </c>
    </row>
    <row r="115" spans="1:5" hidden="1" x14ac:dyDescent="0.3">
      <c r="A115" t="s">
        <v>28</v>
      </c>
      <c r="B115" t="s">
        <v>4</v>
      </c>
      <c r="C115">
        <v>75</v>
      </c>
      <c r="D115">
        <v>18000</v>
      </c>
      <c r="E115">
        <f t="shared" si="1"/>
        <v>1350000</v>
      </c>
    </row>
    <row r="116" spans="1:5" hidden="1" x14ac:dyDescent="0.3">
      <c r="A116" t="s">
        <v>29</v>
      </c>
      <c r="B116" t="s">
        <v>4</v>
      </c>
      <c r="E116">
        <f t="shared" si="1"/>
        <v>0</v>
      </c>
    </row>
    <row r="117" spans="1:5" hidden="1" x14ac:dyDescent="0.3">
      <c r="A117" t="s">
        <v>57</v>
      </c>
      <c r="B117" t="s">
        <v>31</v>
      </c>
      <c r="E117">
        <f t="shared" si="1"/>
        <v>0</v>
      </c>
    </row>
    <row r="118" spans="1:5" hidden="1" x14ac:dyDescent="0.3">
      <c r="A118" t="s">
        <v>32</v>
      </c>
      <c r="B118" t="s">
        <v>4</v>
      </c>
      <c r="E118">
        <f t="shared" si="1"/>
        <v>0</v>
      </c>
    </row>
    <row r="119" spans="1:5" hidden="1" x14ac:dyDescent="0.3">
      <c r="A119" t="s">
        <v>33</v>
      </c>
      <c r="B119" t="s">
        <v>31</v>
      </c>
      <c r="E119">
        <f t="shared" si="1"/>
        <v>0</v>
      </c>
    </row>
    <row r="120" spans="1:5" hidden="1" x14ac:dyDescent="0.3">
      <c r="A120" t="s">
        <v>34</v>
      </c>
      <c r="B120" t="s">
        <v>4</v>
      </c>
      <c r="E120">
        <f t="shared" si="1"/>
        <v>0</v>
      </c>
    </row>
    <row r="121" spans="1:5" hidden="1" x14ac:dyDescent="0.3">
      <c r="A121" t="s">
        <v>35</v>
      </c>
      <c r="B121" t="s">
        <v>4</v>
      </c>
      <c r="E121">
        <f t="shared" si="1"/>
        <v>0</v>
      </c>
    </row>
    <row r="122" spans="1:5" hidden="1" x14ac:dyDescent="0.3">
      <c r="A122" t="s">
        <v>13</v>
      </c>
      <c r="B122" t="s">
        <v>4</v>
      </c>
      <c r="E122">
        <f t="shared" si="1"/>
        <v>0</v>
      </c>
    </row>
    <row r="123" spans="1:5" hidden="1" x14ac:dyDescent="0.3">
      <c r="A123" t="s">
        <v>14</v>
      </c>
      <c r="B123" t="s">
        <v>4</v>
      </c>
      <c r="E123">
        <f t="shared" si="1"/>
        <v>0</v>
      </c>
    </row>
    <row r="124" spans="1:5" hidden="1" x14ac:dyDescent="0.3">
      <c r="A124" t="s">
        <v>3</v>
      </c>
      <c r="B124" t="s">
        <v>4</v>
      </c>
      <c r="E124">
        <f t="shared" si="1"/>
        <v>0</v>
      </c>
    </row>
    <row r="125" spans="1:5" hidden="1" x14ac:dyDescent="0.3">
      <c r="A125" t="s">
        <v>5</v>
      </c>
      <c r="B125" t="s">
        <v>4</v>
      </c>
      <c r="E125">
        <f t="shared" si="1"/>
        <v>0</v>
      </c>
    </row>
    <row r="126" spans="1:5" hidden="1" x14ac:dyDescent="0.3">
      <c r="A126" t="s">
        <v>6</v>
      </c>
      <c r="B126" t="s">
        <v>4</v>
      </c>
      <c r="E126">
        <f t="shared" si="1"/>
        <v>0</v>
      </c>
    </row>
    <row r="127" spans="1:5" hidden="1" x14ac:dyDescent="0.3">
      <c r="A127" t="s">
        <v>22</v>
      </c>
      <c r="B127" t="s">
        <v>4</v>
      </c>
      <c r="C127">
        <v>600</v>
      </c>
      <c r="D127">
        <v>7000</v>
      </c>
      <c r="E127">
        <f t="shared" si="1"/>
        <v>4200000</v>
      </c>
    </row>
    <row r="128" spans="1:5" hidden="1" x14ac:dyDescent="0.3">
      <c r="A128" t="s">
        <v>24</v>
      </c>
      <c r="B128" t="s">
        <v>4</v>
      </c>
      <c r="E128">
        <f t="shared" si="1"/>
        <v>0</v>
      </c>
    </row>
    <row r="129" spans="1:5" hidden="1" x14ac:dyDescent="0.3">
      <c r="A129" t="s">
        <v>40</v>
      </c>
      <c r="B129" t="s">
        <v>4</v>
      </c>
      <c r="E129">
        <f t="shared" si="1"/>
        <v>0</v>
      </c>
    </row>
    <row r="130" spans="1:5" hidden="1" x14ac:dyDescent="0.3">
      <c r="A130" t="s">
        <v>76</v>
      </c>
      <c r="B130" t="s">
        <v>66</v>
      </c>
      <c r="E130">
        <f t="shared" si="1"/>
        <v>0</v>
      </c>
    </row>
    <row r="131" spans="1:5" hidden="1" x14ac:dyDescent="0.3">
      <c r="A131" t="s">
        <v>77</v>
      </c>
      <c r="B131" t="s">
        <v>66</v>
      </c>
      <c r="E131">
        <f t="shared" si="1"/>
        <v>0</v>
      </c>
    </row>
    <row r="132" spans="1:5" hidden="1" x14ac:dyDescent="0.3">
      <c r="A132" t="s">
        <v>82</v>
      </c>
      <c r="B132" t="s">
        <v>66</v>
      </c>
      <c r="E132">
        <f t="shared" si="1"/>
        <v>0</v>
      </c>
    </row>
    <row r="133" spans="1:5" hidden="1" x14ac:dyDescent="0.3">
      <c r="A133" t="s">
        <v>7</v>
      </c>
      <c r="B133" t="s">
        <v>4</v>
      </c>
      <c r="C133">
        <v>8</v>
      </c>
      <c r="D133">
        <v>7500</v>
      </c>
      <c r="E133">
        <f t="shared" si="1"/>
        <v>60000</v>
      </c>
    </row>
    <row r="134" spans="1:5" hidden="1" x14ac:dyDescent="0.3">
      <c r="A134" t="s">
        <v>8</v>
      </c>
      <c r="B134" t="s">
        <v>4</v>
      </c>
      <c r="E134">
        <f t="shared" si="1"/>
        <v>0</v>
      </c>
    </row>
    <row r="135" spans="1:5" hidden="1" x14ac:dyDescent="0.3">
      <c r="A135" t="s">
        <v>10</v>
      </c>
      <c r="B135" t="s">
        <v>4</v>
      </c>
      <c r="C135">
        <v>52</v>
      </c>
      <c r="D135">
        <v>10000</v>
      </c>
      <c r="E135">
        <f t="shared" ref="E135:E157" si="2">C135*D135</f>
        <v>520000</v>
      </c>
    </row>
    <row r="136" spans="1:5" hidden="1" x14ac:dyDescent="0.3">
      <c r="A136" t="s">
        <v>15</v>
      </c>
      <c r="B136" t="s">
        <v>4</v>
      </c>
      <c r="E136">
        <f t="shared" si="2"/>
        <v>0</v>
      </c>
    </row>
    <row r="137" spans="1:5" hidden="1" x14ac:dyDescent="0.3">
      <c r="A137" t="s">
        <v>18</v>
      </c>
      <c r="B137" t="s">
        <v>4</v>
      </c>
      <c r="E137">
        <f t="shared" si="2"/>
        <v>0</v>
      </c>
    </row>
    <row r="138" spans="1:5" hidden="1" x14ac:dyDescent="0.3">
      <c r="A138" t="s">
        <v>21</v>
      </c>
      <c r="B138" t="s">
        <v>4</v>
      </c>
      <c r="C138">
        <v>98</v>
      </c>
      <c r="D138">
        <v>7000</v>
      </c>
      <c r="E138">
        <f t="shared" si="2"/>
        <v>686000</v>
      </c>
    </row>
    <row r="139" spans="1:5" hidden="1" x14ac:dyDescent="0.3">
      <c r="A139" t="s">
        <v>43</v>
      </c>
      <c r="B139" t="s">
        <v>4</v>
      </c>
      <c r="C139">
        <v>20</v>
      </c>
      <c r="D139">
        <v>35000</v>
      </c>
      <c r="E139">
        <f t="shared" si="2"/>
        <v>700000</v>
      </c>
    </row>
    <row r="140" spans="1:5" hidden="1" x14ac:dyDescent="0.3">
      <c r="A140" t="s">
        <v>44</v>
      </c>
      <c r="B140" t="s">
        <v>4</v>
      </c>
      <c r="C140">
        <v>20</v>
      </c>
      <c r="D140">
        <v>18000</v>
      </c>
      <c r="E140">
        <f t="shared" si="2"/>
        <v>360000</v>
      </c>
    </row>
    <row r="141" spans="1:5" hidden="1" x14ac:dyDescent="0.3">
      <c r="A141" t="s">
        <v>45</v>
      </c>
      <c r="B141" t="s">
        <v>4</v>
      </c>
      <c r="C141">
        <v>20</v>
      </c>
      <c r="D141">
        <v>26000</v>
      </c>
      <c r="E141">
        <f t="shared" si="2"/>
        <v>520000</v>
      </c>
    </row>
    <row r="142" spans="1:5" hidden="1" x14ac:dyDescent="0.3">
      <c r="A142" t="s">
        <v>47</v>
      </c>
      <c r="B142" t="s">
        <v>4</v>
      </c>
      <c r="E142">
        <f t="shared" si="2"/>
        <v>0</v>
      </c>
    </row>
    <row r="143" spans="1:5" hidden="1" x14ac:dyDescent="0.3">
      <c r="A143" t="s">
        <v>26</v>
      </c>
      <c r="B143" t="s">
        <v>4</v>
      </c>
      <c r="C143">
        <v>35</v>
      </c>
      <c r="D143">
        <v>13000</v>
      </c>
      <c r="E143">
        <f t="shared" si="2"/>
        <v>455000</v>
      </c>
    </row>
    <row r="144" spans="1:5" hidden="1" x14ac:dyDescent="0.3">
      <c r="A144" t="s">
        <v>25</v>
      </c>
      <c r="B144" t="s">
        <v>4</v>
      </c>
      <c r="C144">
        <v>5</v>
      </c>
      <c r="D144">
        <v>25000</v>
      </c>
      <c r="E144">
        <f t="shared" si="2"/>
        <v>125000</v>
      </c>
    </row>
    <row r="145" spans="1:5" hidden="1" x14ac:dyDescent="0.3">
      <c r="A145" t="s">
        <v>23</v>
      </c>
      <c r="B145" t="s">
        <v>4</v>
      </c>
      <c r="C145">
        <v>8</v>
      </c>
      <c r="D145">
        <v>16000</v>
      </c>
      <c r="E145">
        <f t="shared" si="2"/>
        <v>128000</v>
      </c>
    </row>
    <row r="146" spans="1:5" hidden="1" x14ac:dyDescent="0.3">
      <c r="A146" t="s">
        <v>9</v>
      </c>
      <c r="B146" t="s">
        <v>4</v>
      </c>
      <c r="E146">
        <f t="shared" si="2"/>
        <v>0</v>
      </c>
    </row>
    <row r="147" spans="1:5" hidden="1" x14ac:dyDescent="0.3">
      <c r="A147" t="s">
        <v>156</v>
      </c>
      <c r="B147" t="s">
        <v>4</v>
      </c>
      <c r="E147">
        <f t="shared" si="2"/>
        <v>0</v>
      </c>
    </row>
    <row r="148" spans="1:5" hidden="1" x14ac:dyDescent="0.3">
      <c r="A148" t="s">
        <v>39</v>
      </c>
      <c r="B148" t="s">
        <v>50</v>
      </c>
      <c r="C148">
        <v>65</v>
      </c>
      <c r="D148">
        <v>5000</v>
      </c>
      <c r="E148">
        <f t="shared" si="2"/>
        <v>325000</v>
      </c>
    </row>
    <row r="149" spans="1:5" x14ac:dyDescent="0.3">
      <c r="A149" t="s">
        <v>41</v>
      </c>
      <c r="B149" t="s">
        <v>4</v>
      </c>
      <c r="E149">
        <f t="shared" si="2"/>
        <v>0</v>
      </c>
    </row>
    <row r="150" spans="1:5" hidden="1" x14ac:dyDescent="0.3">
      <c r="A150" t="s">
        <v>123</v>
      </c>
      <c r="B150" t="s">
        <v>31</v>
      </c>
      <c r="C150">
        <v>68</v>
      </c>
      <c r="D150">
        <v>6000</v>
      </c>
      <c r="E150">
        <f t="shared" si="2"/>
        <v>408000</v>
      </c>
    </row>
    <row r="151" spans="1:5" hidden="1" x14ac:dyDescent="0.3">
      <c r="A151" t="s">
        <v>37</v>
      </c>
      <c r="B151" t="s">
        <v>31</v>
      </c>
      <c r="C151">
        <v>130</v>
      </c>
      <c r="D151">
        <v>10000</v>
      </c>
      <c r="E151">
        <f t="shared" si="2"/>
        <v>1300000</v>
      </c>
    </row>
    <row r="152" spans="1:5" hidden="1" x14ac:dyDescent="0.3">
      <c r="A152" t="s">
        <v>12</v>
      </c>
      <c r="B152" t="s">
        <v>4</v>
      </c>
      <c r="E152">
        <f t="shared" si="2"/>
        <v>0</v>
      </c>
    </row>
    <row r="153" spans="1:5" hidden="1" x14ac:dyDescent="0.3">
      <c r="A153" t="s">
        <v>124</v>
      </c>
      <c r="B153" t="s">
        <v>4</v>
      </c>
      <c r="E153">
        <f t="shared" si="2"/>
        <v>0</v>
      </c>
    </row>
    <row r="154" spans="1:5" hidden="1" x14ac:dyDescent="0.3">
      <c r="A154" t="s">
        <v>75</v>
      </c>
      <c r="B154" t="s">
        <v>66</v>
      </c>
      <c r="E154">
        <f t="shared" si="2"/>
        <v>0</v>
      </c>
    </row>
    <row r="155" spans="1:5" hidden="1" x14ac:dyDescent="0.3">
      <c r="A155" t="s">
        <v>121</v>
      </c>
      <c r="B155" t="s">
        <v>53</v>
      </c>
      <c r="E155">
        <f t="shared" si="2"/>
        <v>0</v>
      </c>
    </row>
    <row r="156" spans="1:5" hidden="1" x14ac:dyDescent="0.3">
      <c r="A156" t="e">
        <v>#N/A</v>
      </c>
      <c r="B156">
        <v>0</v>
      </c>
      <c r="E156">
        <f t="shared" si="2"/>
        <v>0</v>
      </c>
    </row>
    <row r="157" spans="1:5" hidden="1" x14ac:dyDescent="0.3">
      <c r="A157" t="s">
        <v>221</v>
      </c>
      <c r="C157">
        <v>1250</v>
      </c>
      <c r="D157">
        <v>5000</v>
      </c>
      <c r="E157">
        <f t="shared" si="2"/>
        <v>6250000</v>
      </c>
    </row>
    <row r="158" spans="1:5" hidden="1" x14ac:dyDescent="0.3">
      <c r="E158">
        <f>SUM(E113:E157)</f>
        <v>18507500</v>
      </c>
    </row>
    <row r="159" spans="1:5" hidden="1" x14ac:dyDescent="0.3">
      <c r="E159">
        <f>SUM(E109,E158)</f>
        <v>213724150</v>
      </c>
    </row>
  </sheetData>
  <autoFilter ref="A3:E159" xr:uid="{00000000-0009-0000-0000-000015000000}">
    <filterColumn colId="0">
      <filters>
        <filter val="Hạt Dẻ Ngố"/>
      </filters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2:F154"/>
  <sheetViews>
    <sheetView workbookViewId="0">
      <selection activeCell="H163" sqref="H163"/>
    </sheetView>
  </sheetViews>
  <sheetFormatPr defaultRowHeight="14.4" x14ac:dyDescent="0.3"/>
  <cols>
    <col min="1" max="1" width="31.21875" customWidth="1"/>
    <col min="3" max="3" width="11.44140625" customWidth="1"/>
    <col min="4" max="4" width="12.77734375" customWidth="1"/>
    <col min="5" max="5" width="17.88671875" customWidth="1"/>
  </cols>
  <sheetData>
    <row r="2" spans="1:5" x14ac:dyDescent="0.3">
      <c r="A2" t="s">
        <v>222</v>
      </c>
    </row>
    <row r="3" spans="1:5" x14ac:dyDescent="0.3">
      <c r="A3" t="s">
        <v>0</v>
      </c>
      <c r="B3" t="s">
        <v>1</v>
      </c>
      <c r="C3" t="s">
        <v>190</v>
      </c>
      <c r="D3" t="s">
        <v>137</v>
      </c>
      <c r="E3" t="s">
        <v>138</v>
      </c>
    </row>
    <row r="4" spans="1:5" hidden="1" x14ac:dyDescent="0.3">
      <c r="A4" t="s">
        <v>49</v>
      </c>
      <c r="B4" t="s">
        <v>4</v>
      </c>
      <c r="C4">
        <v>190</v>
      </c>
      <c r="D4">
        <v>14000</v>
      </c>
      <c r="E4">
        <f>C4*D4</f>
        <v>2660000</v>
      </c>
    </row>
    <row r="5" spans="1:5" hidden="1" x14ac:dyDescent="0.3">
      <c r="A5" t="s">
        <v>49</v>
      </c>
      <c r="B5" t="s">
        <v>31</v>
      </c>
      <c r="C5">
        <v>0</v>
      </c>
      <c r="E5">
        <f t="shared" ref="E5:E68" si="0">C5*D5</f>
        <v>0</v>
      </c>
    </row>
    <row r="6" spans="1:5" hidden="1" x14ac:dyDescent="0.3">
      <c r="A6" t="s">
        <v>19</v>
      </c>
      <c r="B6" t="s">
        <v>50</v>
      </c>
      <c r="C6">
        <v>24</v>
      </c>
      <c r="D6">
        <v>11000</v>
      </c>
      <c r="E6">
        <f t="shared" si="0"/>
        <v>264000</v>
      </c>
    </row>
    <row r="7" spans="1:5" hidden="1" x14ac:dyDescent="0.3">
      <c r="A7" t="s">
        <v>51</v>
      </c>
      <c r="B7" t="s">
        <v>53</v>
      </c>
      <c r="C7">
        <v>0</v>
      </c>
      <c r="E7">
        <f t="shared" si="0"/>
        <v>0</v>
      </c>
    </row>
    <row r="8" spans="1:5" hidden="1" x14ac:dyDescent="0.3">
      <c r="A8" t="s">
        <v>28</v>
      </c>
      <c r="B8" t="s">
        <v>4</v>
      </c>
      <c r="C8">
        <v>32</v>
      </c>
      <c r="D8">
        <v>18000</v>
      </c>
      <c r="E8">
        <f t="shared" si="0"/>
        <v>576000</v>
      </c>
    </row>
    <row r="9" spans="1:5" hidden="1" x14ac:dyDescent="0.3">
      <c r="A9" t="s">
        <v>28</v>
      </c>
      <c r="B9" t="s">
        <v>31</v>
      </c>
      <c r="C9">
        <v>0</v>
      </c>
      <c r="E9">
        <f t="shared" si="0"/>
        <v>0</v>
      </c>
    </row>
    <row r="10" spans="1:5" hidden="1" x14ac:dyDescent="0.3">
      <c r="A10" t="s">
        <v>29</v>
      </c>
      <c r="B10" t="s">
        <v>4</v>
      </c>
      <c r="C10">
        <v>333</v>
      </c>
      <c r="D10">
        <v>22000</v>
      </c>
      <c r="E10">
        <f t="shared" si="0"/>
        <v>7326000</v>
      </c>
    </row>
    <row r="11" spans="1:5" hidden="1" x14ac:dyDescent="0.3">
      <c r="A11" t="s">
        <v>29</v>
      </c>
      <c r="B11" t="s">
        <v>150</v>
      </c>
      <c r="C11">
        <v>0</v>
      </c>
      <c r="E11">
        <f t="shared" si="0"/>
        <v>0</v>
      </c>
    </row>
    <row r="12" spans="1:5" hidden="1" x14ac:dyDescent="0.3">
      <c r="A12" t="s">
        <v>56</v>
      </c>
      <c r="B12" t="s">
        <v>31</v>
      </c>
      <c r="C12">
        <v>1896</v>
      </c>
      <c r="D12">
        <v>4500</v>
      </c>
      <c r="E12">
        <f t="shared" si="0"/>
        <v>8532000</v>
      </c>
    </row>
    <row r="13" spans="1:5" hidden="1" x14ac:dyDescent="0.3">
      <c r="A13" t="s">
        <v>57</v>
      </c>
      <c r="B13" t="s">
        <v>4</v>
      </c>
      <c r="C13">
        <v>925</v>
      </c>
      <c r="D13">
        <v>25000</v>
      </c>
      <c r="E13">
        <f t="shared" si="0"/>
        <v>23125000</v>
      </c>
    </row>
    <row r="14" spans="1:5" hidden="1" x14ac:dyDescent="0.3">
      <c r="A14" t="s">
        <v>57</v>
      </c>
      <c r="B14" t="s">
        <v>31</v>
      </c>
      <c r="C14">
        <v>0</v>
      </c>
      <c r="E14">
        <f t="shared" si="0"/>
        <v>0</v>
      </c>
    </row>
    <row r="15" spans="1:5" hidden="1" x14ac:dyDescent="0.3">
      <c r="A15" t="s">
        <v>32</v>
      </c>
      <c r="B15" t="s">
        <v>4</v>
      </c>
      <c r="C15">
        <v>80</v>
      </c>
      <c r="D15">
        <v>17000</v>
      </c>
      <c r="E15">
        <f t="shared" si="0"/>
        <v>1360000</v>
      </c>
    </row>
    <row r="16" spans="1:5" hidden="1" x14ac:dyDescent="0.3">
      <c r="A16" t="s">
        <v>34</v>
      </c>
      <c r="B16" t="s">
        <v>4</v>
      </c>
      <c r="C16">
        <v>0</v>
      </c>
      <c r="E16">
        <f t="shared" si="0"/>
        <v>0</v>
      </c>
    </row>
    <row r="17" spans="1:5" hidden="1" x14ac:dyDescent="0.3">
      <c r="A17" t="s">
        <v>34</v>
      </c>
      <c r="B17" t="s">
        <v>31</v>
      </c>
      <c r="C17">
        <v>0</v>
      </c>
      <c r="E17">
        <f t="shared" si="0"/>
        <v>0</v>
      </c>
    </row>
    <row r="18" spans="1:5" hidden="1" x14ac:dyDescent="0.3">
      <c r="A18" t="s">
        <v>6</v>
      </c>
      <c r="B18" t="s">
        <v>4</v>
      </c>
      <c r="E18">
        <f t="shared" si="0"/>
        <v>0</v>
      </c>
    </row>
    <row r="19" spans="1:5" hidden="1" x14ac:dyDescent="0.3">
      <c r="A19" t="s">
        <v>62</v>
      </c>
      <c r="B19" t="s">
        <v>4</v>
      </c>
      <c r="C19">
        <v>23</v>
      </c>
      <c r="D19">
        <v>20000</v>
      </c>
      <c r="E19">
        <f t="shared" si="0"/>
        <v>460000</v>
      </c>
    </row>
    <row r="20" spans="1:5" hidden="1" x14ac:dyDescent="0.3">
      <c r="A20" t="s">
        <v>62</v>
      </c>
      <c r="B20" t="s">
        <v>31</v>
      </c>
      <c r="C20">
        <v>12</v>
      </c>
      <c r="D20">
        <v>8000</v>
      </c>
      <c r="E20">
        <f t="shared" si="0"/>
        <v>96000</v>
      </c>
    </row>
    <row r="21" spans="1:5" hidden="1" x14ac:dyDescent="0.3">
      <c r="A21" t="s">
        <v>64</v>
      </c>
      <c r="B21" t="s">
        <v>31</v>
      </c>
      <c r="C21">
        <v>5</v>
      </c>
      <c r="D21">
        <v>9000</v>
      </c>
      <c r="E21">
        <f t="shared" si="0"/>
        <v>45000</v>
      </c>
    </row>
    <row r="22" spans="1:5" hidden="1" x14ac:dyDescent="0.3">
      <c r="A22" t="s">
        <v>22</v>
      </c>
      <c r="B22" t="s">
        <v>4</v>
      </c>
      <c r="C22">
        <v>320</v>
      </c>
      <c r="D22">
        <v>7000</v>
      </c>
      <c r="E22">
        <f t="shared" si="0"/>
        <v>2240000</v>
      </c>
    </row>
    <row r="23" spans="1:5" hidden="1" x14ac:dyDescent="0.3">
      <c r="A23" t="s">
        <v>24</v>
      </c>
      <c r="B23" t="s">
        <v>66</v>
      </c>
      <c r="C23">
        <v>0</v>
      </c>
      <c r="E23">
        <f t="shared" si="0"/>
        <v>0</v>
      </c>
    </row>
    <row r="24" spans="1:5" hidden="1" x14ac:dyDescent="0.3">
      <c r="A24" t="s">
        <v>24</v>
      </c>
      <c r="B24" t="s">
        <v>4</v>
      </c>
      <c r="C24">
        <v>100</v>
      </c>
      <c r="D24">
        <v>16000</v>
      </c>
      <c r="E24">
        <f t="shared" si="0"/>
        <v>1600000</v>
      </c>
    </row>
    <row r="25" spans="1:5" hidden="1" x14ac:dyDescent="0.3">
      <c r="A25" t="s">
        <v>75</v>
      </c>
      <c r="B25" t="s">
        <v>4</v>
      </c>
      <c r="C25">
        <v>15</v>
      </c>
      <c r="D25">
        <v>28000</v>
      </c>
      <c r="E25">
        <f t="shared" si="0"/>
        <v>420000</v>
      </c>
    </row>
    <row r="26" spans="1:5" hidden="1" x14ac:dyDescent="0.3">
      <c r="A26" t="s">
        <v>8</v>
      </c>
      <c r="B26" t="s">
        <v>4</v>
      </c>
      <c r="C26">
        <v>1585</v>
      </c>
      <c r="D26">
        <v>4300</v>
      </c>
      <c r="E26">
        <f t="shared" si="0"/>
        <v>6815500</v>
      </c>
    </row>
    <row r="27" spans="1:5" hidden="1" x14ac:dyDescent="0.3">
      <c r="A27" t="s">
        <v>10</v>
      </c>
      <c r="B27" t="s">
        <v>4</v>
      </c>
      <c r="C27">
        <v>145</v>
      </c>
      <c r="D27">
        <v>10000</v>
      </c>
      <c r="E27">
        <f t="shared" si="0"/>
        <v>1450000</v>
      </c>
    </row>
    <row r="28" spans="1:5" hidden="1" x14ac:dyDescent="0.3">
      <c r="A28" t="s">
        <v>10</v>
      </c>
      <c r="B28" t="s">
        <v>84</v>
      </c>
      <c r="C28">
        <v>0</v>
      </c>
      <c r="E28">
        <f t="shared" si="0"/>
        <v>0</v>
      </c>
    </row>
    <row r="29" spans="1:5" hidden="1" x14ac:dyDescent="0.3">
      <c r="A29" t="s">
        <v>11</v>
      </c>
      <c r="B29" t="s">
        <v>4</v>
      </c>
      <c r="C29">
        <v>217</v>
      </c>
      <c r="D29">
        <v>10000</v>
      </c>
      <c r="E29">
        <f t="shared" si="0"/>
        <v>2170000</v>
      </c>
    </row>
    <row r="30" spans="1:5" hidden="1" x14ac:dyDescent="0.3">
      <c r="A30" t="s">
        <v>11</v>
      </c>
      <c r="B30" t="s">
        <v>84</v>
      </c>
      <c r="C30">
        <v>0</v>
      </c>
      <c r="E30">
        <f t="shared" si="0"/>
        <v>0</v>
      </c>
    </row>
    <row r="31" spans="1:5" hidden="1" x14ac:dyDescent="0.3">
      <c r="A31" t="s">
        <v>15</v>
      </c>
      <c r="B31" t="s">
        <v>4</v>
      </c>
      <c r="C31">
        <v>37</v>
      </c>
      <c r="D31">
        <v>19000</v>
      </c>
      <c r="E31">
        <f t="shared" si="0"/>
        <v>703000</v>
      </c>
    </row>
    <row r="32" spans="1:5" hidden="1" x14ac:dyDescent="0.3">
      <c r="A32" t="s">
        <v>15</v>
      </c>
      <c r="B32" t="s">
        <v>164</v>
      </c>
      <c r="C32">
        <v>0</v>
      </c>
      <c r="E32">
        <f t="shared" si="0"/>
        <v>0</v>
      </c>
    </row>
    <row r="33" spans="1:5" hidden="1" x14ac:dyDescent="0.3">
      <c r="A33" t="s">
        <v>18</v>
      </c>
      <c r="B33" t="s">
        <v>4</v>
      </c>
      <c r="C33">
        <v>220</v>
      </c>
      <c r="D33">
        <v>17000</v>
      </c>
      <c r="E33">
        <f t="shared" si="0"/>
        <v>3740000</v>
      </c>
    </row>
    <row r="34" spans="1:5" hidden="1" x14ac:dyDescent="0.3">
      <c r="A34" t="s">
        <v>18</v>
      </c>
      <c r="B34" t="s">
        <v>50</v>
      </c>
      <c r="C34">
        <v>0</v>
      </c>
      <c r="E34">
        <f t="shared" si="0"/>
        <v>0</v>
      </c>
    </row>
    <row r="35" spans="1:5" hidden="1" x14ac:dyDescent="0.3">
      <c r="A35" t="s">
        <v>92</v>
      </c>
      <c r="B35" t="s">
        <v>31</v>
      </c>
      <c r="C35">
        <v>60</v>
      </c>
      <c r="D35">
        <v>15000</v>
      </c>
      <c r="E35">
        <f t="shared" si="0"/>
        <v>900000</v>
      </c>
    </row>
    <row r="36" spans="1:5" hidden="1" x14ac:dyDescent="0.3">
      <c r="A36" t="s">
        <v>39</v>
      </c>
      <c r="B36" t="s">
        <v>4</v>
      </c>
      <c r="C36">
        <v>40</v>
      </c>
      <c r="D36">
        <v>6000</v>
      </c>
      <c r="E36">
        <f t="shared" si="0"/>
        <v>240000</v>
      </c>
    </row>
    <row r="37" spans="1:5" hidden="1" x14ac:dyDescent="0.3">
      <c r="A37" t="s">
        <v>39</v>
      </c>
      <c r="B37" t="s">
        <v>50</v>
      </c>
      <c r="C37">
        <v>410</v>
      </c>
      <c r="D37">
        <v>5000</v>
      </c>
      <c r="E37">
        <f t="shared" si="0"/>
        <v>2050000</v>
      </c>
    </row>
    <row r="38" spans="1:5" hidden="1" x14ac:dyDescent="0.3">
      <c r="A38" t="s">
        <v>100</v>
      </c>
      <c r="B38" t="s">
        <v>4</v>
      </c>
      <c r="C38">
        <v>35</v>
      </c>
      <c r="D38">
        <v>5000</v>
      </c>
      <c r="E38">
        <f t="shared" si="0"/>
        <v>175000</v>
      </c>
    </row>
    <row r="39" spans="1:5" hidden="1" x14ac:dyDescent="0.3">
      <c r="A39" t="s">
        <v>43</v>
      </c>
      <c r="B39" t="s">
        <v>4</v>
      </c>
      <c r="C39">
        <v>50</v>
      </c>
      <c r="D39">
        <v>35000</v>
      </c>
      <c r="E39">
        <f t="shared" si="0"/>
        <v>1750000</v>
      </c>
    </row>
    <row r="40" spans="1:5" hidden="1" x14ac:dyDescent="0.3">
      <c r="A40" t="s">
        <v>43</v>
      </c>
      <c r="B40" t="s">
        <v>84</v>
      </c>
      <c r="C40">
        <v>0</v>
      </c>
      <c r="E40">
        <f t="shared" si="0"/>
        <v>0</v>
      </c>
    </row>
    <row r="41" spans="1:5" hidden="1" x14ac:dyDescent="0.3">
      <c r="A41" t="s">
        <v>44</v>
      </c>
      <c r="B41" t="s">
        <v>4</v>
      </c>
      <c r="C41">
        <v>65</v>
      </c>
      <c r="D41">
        <v>18000</v>
      </c>
      <c r="E41">
        <f t="shared" si="0"/>
        <v>1170000</v>
      </c>
    </row>
    <row r="42" spans="1:5" hidden="1" x14ac:dyDescent="0.3">
      <c r="A42" t="s">
        <v>44</v>
      </c>
      <c r="B42" t="s">
        <v>84</v>
      </c>
      <c r="C42">
        <v>0</v>
      </c>
      <c r="E42">
        <f t="shared" si="0"/>
        <v>0</v>
      </c>
    </row>
    <row r="43" spans="1:5" hidden="1" x14ac:dyDescent="0.3">
      <c r="A43" t="s">
        <v>45</v>
      </c>
      <c r="B43" t="s">
        <v>4</v>
      </c>
      <c r="C43">
        <v>40</v>
      </c>
      <c r="D43">
        <v>28000</v>
      </c>
      <c r="E43">
        <f t="shared" si="0"/>
        <v>1120000</v>
      </c>
    </row>
    <row r="44" spans="1:5" hidden="1" x14ac:dyDescent="0.3">
      <c r="A44" t="s">
        <v>45</v>
      </c>
      <c r="B44" t="s">
        <v>84</v>
      </c>
      <c r="C44">
        <v>0</v>
      </c>
      <c r="E44">
        <f t="shared" si="0"/>
        <v>0</v>
      </c>
    </row>
    <row r="45" spans="1:5" hidden="1" x14ac:dyDescent="0.3">
      <c r="A45" t="s">
        <v>12</v>
      </c>
      <c r="B45" t="s">
        <v>4</v>
      </c>
      <c r="C45">
        <v>0</v>
      </c>
      <c r="E45">
        <f t="shared" si="0"/>
        <v>0</v>
      </c>
    </row>
    <row r="46" spans="1:5" hidden="1" x14ac:dyDescent="0.3">
      <c r="A46" t="s">
        <v>116</v>
      </c>
      <c r="B46" t="s">
        <v>50</v>
      </c>
      <c r="C46">
        <v>0</v>
      </c>
      <c r="E46">
        <f t="shared" si="0"/>
        <v>0</v>
      </c>
    </row>
    <row r="47" spans="1:5" hidden="1" x14ac:dyDescent="0.3">
      <c r="A47" t="s">
        <v>117</v>
      </c>
      <c r="B47" t="s">
        <v>4</v>
      </c>
      <c r="C47">
        <v>0</v>
      </c>
      <c r="E47">
        <f t="shared" si="0"/>
        <v>0</v>
      </c>
    </row>
    <row r="48" spans="1:5" hidden="1" x14ac:dyDescent="0.3">
      <c r="A48" t="s">
        <v>17</v>
      </c>
      <c r="B48" t="s">
        <v>4</v>
      </c>
      <c r="C48">
        <v>8.5</v>
      </c>
      <c r="D48">
        <v>35000</v>
      </c>
      <c r="E48">
        <f t="shared" si="0"/>
        <v>297500</v>
      </c>
    </row>
    <row r="49" spans="1:6" hidden="1" x14ac:dyDescent="0.3">
      <c r="A49" t="s">
        <v>17</v>
      </c>
      <c r="B49" t="s">
        <v>147</v>
      </c>
      <c r="C49">
        <v>79</v>
      </c>
      <c r="D49">
        <v>10500</v>
      </c>
      <c r="E49">
        <f t="shared" si="0"/>
        <v>829500</v>
      </c>
    </row>
    <row r="50" spans="1:6" hidden="1" x14ac:dyDescent="0.3">
      <c r="A50" t="s">
        <v>17</v>
      </c>
      <c r="B50" t="s">
        <v>203</v>
      </c>
      <c r="C50">
        <v>0</v>
      </c>
      <c r="E50">
        <f t="shared" si="0"/>
        <v>0</v>
      </c>
    </row>
    <row r="51" spans="1:6" hidden="1" x14ac:dyDescent="0.3">
      <c r="A51" t="s">
        <v>118</v>
      </c>
      <c r="B51" t="s">
        <v>4</v>
      </c>
      <c r="C51">
        <v>0</v>
      </c>
      <c r="E51">
        <f t="shared" si="0"/>
        <v>0</v>
      </c>
    </row>
    <row r="52" spans="1:6" x14ac:dyDescent="0.3">
      <c r="A52" t="s">
        <v>41</v>
      </c>
      <c r="B52" t="s">
        <v>4</v>
      </c>
      <c r="C52">
        <f>2000+700</f>
        <v>2700</v>
      </c>
      <c r="D52">
        <v>28600</v>
      </c>
      <c r="E52">
        <f t="shared" si="0"/>
        <v>77220000</v>
      </c>
      <c r="F52" t="s">
        <v>229</v>
      </c>
    </row>
    <row r="53" spans="1:6" hidden="1" x14ac:dyDescent="0.3">
      <c r="A53" t="s">
        <v>3</v>
      </c>
      <c r="B53" t="s">
        <v>4</v>
      </c>
      <c r="C53">
        <v>60</v>
      </c>
      <c r="D53">
        <v>30000</v>
      </c>
      <c r="E53">
        <f t="shared" si="0"/>
        <v>1800000</v>
      </c>
    </row>
    <row r="54" spans="1:6" hidden="1" x14ac:dyDescent="0.3">
      <c r="A54" t="s">
        <v>5</v>
      </c>
      <c r="B54" t="s">
        <v>4</v>
      </c>
      <c r="C54">
        <v>155</v>
      </c>
      <c r="D54">
        <v>15000</v>
      </c>
      <c r="E54">
        <f t="shared" si="0"/>
        <v>2325000</v>
      </c>
    </row>
    <row r="55" spans="1:6" hidden="1" x14ac:dyDescent="0.3">
      <c r="A55" t="s">
        <v>13</v>
      </c>
      <c r="B55" t="s">
        <v>4</v>
      </c>
      <c r="C55">
        <v>0</v>
      </c>
      <c r="E55">
        <f t="shared" si="0"/>
        <v>0</v>
      </c>
    </row>
    <row r="56" spans="1:6" hidden="1" x14ac:dyDescent="0.3">
      <c r="A56" t="s">
        <v>175</v>
      </c>
      <c r="B56" t="s">
        <v>4</v>
      </c>
      <c r="C56">
        <v>0</v>
      </c>
      <c r="E56">
        <f t="shared" si="0"/>
        <v>0</v>
      </c>
    </row>
    <row r="57" spans="1:6" hidden="1" x14ac:dyDescent="0.3">
      <c r="A57" t="s">
        <v>16</v>
      </c>
      <c r="B57" t="s">
        <v>4</v>
      </c>
      <c r="C57">
        <v>0</v>
      </c>
      <c r="E57">
        <f t="shared" si="0"/>
        <v>0</v>
      </c>
    </row>
    <row r="58" spans="1:6" hidden="1" x14ac:dyDescent="0.3">
      <c r="A58" t="s">
        <v>16</v>
      </c>
      <c r="B58" t="s">
        <v>165</v>
      </c>
      <c r="C58">
        <v>148</v>
      </c>
      <c r="D58">
        <v>7500</v>
      </c>
      <c r="E58">
        <f t="shared" si="0"/>
        <v>1110000</v>
      </c>
    </row>
    <row r="59" spans="1:6" hidden="1" x14ac:dyDescent="0.3">
      <c r="A59" t="s">
        <v>89</v>
      </c>
      <c r="B59" t="s">
        <v>53</v>
      </c>
      <c r="C59">
        <v>18</v>
      </c>
      <c r="D59">
        <v>14250</v>
      </c>
      <c r="E59">
        <f t="shared" si="0"/>
        <v>256500</v>
      </c>
    </row>
    <row r="60" spans="1:6" hidden="1" x14ac:dyDescent="0.3">
      <c r="A60" t="s">
        <v>90</v>
      </c>
      <c r="B60" t="s">
        <v>4</v>
      </c>
      <c r="C60">
        <v>6.5</v>
      </c>
      <c r="D60">
        <v>26000</v>
      </c>
      <c r="E60">
        <f t="shared" si="0"/>
        <v>169000</v>
      </c>
    </row>
    <row r="61" spans="1:6" hidden="1" x14ac:dyDescent="0.3">
      <c r="A61" t="s">
        <v>90</v>
      </c>
      <c r="B61" t="s">
        <v>148</v>
      </c>
      <c r="C61">
        <v>0</v>
      </c>
      <c r="E61">
        <f t="shared" si="0"/>
        <v>0</v>
      </c>
    </row>
    <row r="62" spans="1:6" hidden="1" x14ac:dyDescent="0.3">
      <c r="A62" t="s">
        <v>21</v>
      </c>
      <c r="B62" t="s">
        <v>4</v>
      </c>
      <c r="C62">
        <v>90</v>
      </c>
      <c r="D62">
        <v>6000</v>
      </c>
      <c r="E62">
        <f t="shared" si="0"/>
        <v>540000</v>
      </c>
    </row>
    <row r="63" spans="1:6" hidden="1" x14ac:dyDescent="0.3">
      <c r="A63" t="s">
        <v>21</v>
      </c>
      <c r="B63" t="s">
        <v>149</v>
      </c>
      <c r="C63">
        <v>0</v>
      </c>
      <c r="E63">
        <f t="shared" si="0"/>
        <v>0</v>
      </c>
    </row>
    <row r="64" spans="1:6" hidden="1" x14ac:dyDescent="0.3">
      <c r="A64" t="s">
        <v>63</v>
      </c>
      <c r="B64" t="s">
        <v>31</v>
      </c>
      <c r="C64">
        <v>14</v>
      </c>
      <c r="D64">
        <v>6000</v>
      </c>
      <c r="E64">
        <f t="shared" si="0"/>
        <v>84000</v>
      </c>
    </row>
    <row r="65" spans="1:5" hidden="1" x14ac:dyDescent="0.3">
      <c r="A65" t="s">
        <v>26</v>
      </c>
      <c r="B65" t="s">
        <v>4</v>
      </c>
      <c r="C65">
        <v>0</v>
      </c>
      <c r="E65">
        <f t="shared" si="0"/>
        <v>0</v>
      </c>
    </row>
    <row r="66" spans="1:5" hidden="1" x14ac:dyDescent="0.3">
      <c r="A66" t="s">
        <v>27</v>
      </c>
      <c r="B66" t="s">
        <v>4</v>
      </c>
      <c r="C66">
        <v>175</v>
      </c>
      <c r="D66">
        <v>6000</v>
      </c>
      <c r="E66">
        <f t="shared" si="0"/>
        <v>1050000</v>
      </c>
    </row>
    <row r="67" spans="1:5" hidden="1" x14ac:dyDescent="0.3">
      <c r="A67" t="s">
        <v>54</v>
      </c>
      <c r="B67" t="s">
        <v>4</v>
      </c>
      <c r="C67">
        <v>8</v>
      </c>
      <c r="D67">
        <v>39000</v>
      </c>
      <c r="E67">
        <f t="shared" si="0"/>
        <v>312000</v>
      </c>
    </row>
    <row r="68" spans="1:5" hidden="1" x14ac:dyDescent="0.3">
      <c r="A68" t="s">
        <v>35</v>
      </c>
      <c r="B68" t="s">
        <v>4</v>
      </c>
      <c r="C68">
        <v>80</v>
      </c>
      <c r="D68">
        <v>17000</v>
      </c>
      <c r="E68">
        <f t="shared" si="0"/>
        <v>1360000</v>
      </c>
    </row>
    <row r="69" spans="1:5" hidden="1" x14ac:dyDescent="0.3">
      <c r="A69" t="s">
        <v>123</v>
      </c>
      <c r="B69" t="s">
        <v>31</v>
      </c>
      <c r="C69">
        <v>21</v>
      </c>
      <c r="D69">
        <v>6000</v>
      </c>
      <c r="E69">
        <f t="shared" ref="E69:E134" si="1">C69*D69</f>
        <v>126000</v>
      </c>
    </row>
    <row r="70" spans="1:5" hidden="1" x14ac:dyDescent="0.3">
      <c r="A70" t="s">
        <v>37</v>
      </c>
      <c r="B70" t="s">
        <v>4</v>
      </c>
      <c r="C70">
        <v>0</v>
      </c>
      <c r="E70">
        <f t="shared" si="1"/>
        <v>0</v>
      </c>
    </row>
    <row r="71" spans="1:5" hidden="1" x14ac:dyDescent="0.3">
      <c r="A71" t="s">
        <v>37</v>
      </c>
      <c r="B71" t="s">
        <v>151</v>
      </c>
      <c r="C71">
        <v>50</v>
      </c>
      <c r="D71">
        <v>10000</v>
      </c>
      <c r="E71">
        <f t="shared" si="1"/>
        <v>500000</v>
      </c>
    </row>
    <row r="72" spans="1:5" hidden="1" x14ac:dyDescent="0.3">
      <c r="A72" t="s">
        <v>96</v>
      </c>
      <c r="B72" t="s">
        <v>4</v>
      </c>
      <c r="C72">
        <v>0.5</v>
      </c>
      <c r="D72">
        <v>80000</v>
      </c>
      <c r="E72">
        <f t="shared" si="1"/>
        <v>40000</v>
      </c>
    </row>
    <row r="73" spans="1:5" hidden="1" x14ac:dyDescent="0.3">
      <c r="A73" t="s">
        <v>97</v>
      </c>
      <c r="B73" t="s">
        <v>4</v>
      </c>
      <c r="C73">
        <v>3.5</v>
      </c>
      <c r="D73">
        <v>70000</v>
      </c>
      <c r="E73">
        <f t="shared" si="1"/>
        <v>245000</v>
      </c>
    </row>
    <row r="74" spans="1:5" hidden="1" x14ac:dyDescent="0.3">
      <c r="A74" t="s">
        <v>105</v>
      </c>
      <c r="B74" t="s">
        <v>4</v>
      </c>
      <c r="C74">
        <v>2</v>
      </c>
      <c r="D74">
        <v>70000</v>
      </c>
      <c r="E74">
        <f t="shared" si="1"/>
        <v>140000</v>
      </c>
    </row>
    <row r="75" spans="1:5" hidden="1" x14ac:dyDescent="0.3">
      <c r="A75" t="s">
        <v>40</v>
      </c>
      <c r="B75" t="s">
        <v>66</v>
      </c>
      <c r="C75">
        <v>0</v>
      </c>
      <c r="E75">
        <f t="shared" si="1"/>
        <v>0</v>
      </c>
    </row>
    <row r="76" spans="1:5" hidden="1" x14ac:dyDescent="0.3">
      <c r="A76" t="s">
        <v>40</v>
      </c>
      <c r="B76" t="s">
        <v>4</v>
      </c>
      <c r="C76">
        <v>59</v>
      </c>
      <c r="D76">
        <v>30000</v>
      </c>
      <c r="E76">
        <f t="shared" si="1"/>
        <v>1770000</v>
      </c>
    </row>
    <row r="77" spans="1:5" hidden="1" x14ac:dyDescent="0.3">
      <c r="A77" t="s">
        <v>124</v>
      </c>
      <c r="B77" t="s">
        <v>4</v>
      </c>
      <c r="C77">
        <v>0</v>
      </c>
      <c r="E77">
        <f t="shared" si="1"/>
        <v>0</v>
      </c>
    </row>
    <row r="78" spans="1:5" hidden="1" x14ac:dyDescent="0.3">
      <c r="A78" t="s">
        <v>42</v>
      </c>
      <c r="B78" t="s">
        <v>31</v>
      </c>
      <c r="C78">
        <v>5</v>
      </c>
      <c r="D78">
        <v>2000</v>
      </c>
      <c r="E78">
        <f t="shared" si="1"/>
        <v>10000</v>
      </c>
    </row>
    <row r="79" spans="1:5" hidden="1" x14ac:dyDescent="0.3">
      <c r="A79" t="s">
        <v>67</v>
      </c>
      <c r="B79" t="s">
        <v>4</v>
      </c>
      <c r="C79">
        <v>16</v>
      </c>
      <c r="D79">
        <v>14000</v>
      </c>
      <c r="E79">
        <f t="shared" si="1"/>
        <v>224000</v>
      </c>
    </row>
    <row r="80" spans="1:5" hidden="1" x14ac:dyDescent="0.3">
      <c r="A80" t="s">
        <v>101</v>
      </c>
      <c r="B80" t="s">
        <v>53</v>
      </c>
      <c r="C80">
        <v>0</v>
      </c>
      <c r="E80">
        <f t="shared" si="1"/>
        <v>0</v>
      </c>
    </row>
    <row r="81" spans="1:5" hidden="1" x14ac:dyDescent="0.3">
      <c r="A81" t="s">
        <v>101</v>
      </c>
      <c r="B81" t="s">
        <v>4</v>
      </c>
      <c r="C81">
        <v>25</v>
      </c>
      <c r="D81">
        <v>44000</v>
      </c>
      <c r="E81">
        <f t="shared" si="1"/>
        <v>1100000</v>
      </c>
    </row>
    <row r="82" spans="1:5" hidden="1" x14ac:dyDescent="0.3">
      <c r="A82" t="s">
        <v>46</v>
      </c>
      <c r="B82" t="s">
        <v>4</v>
      </c>
      <c r="C82">
        <v>7</v>
      </c>
      <c r="D82">
        <v>60000</v>
      </c>
      <c r="E82">
        <f t="shared" si="1"/>
        <v>420000</v>
      </c>
    </row>
    <row r="83" spans="1:5" hidden="1" x14ac:dyDescent="0.3">
      <c r="A83" t="s">
        <v>46</v>
      </c>
      <c r="B83" t="s">
        <v>31</v>
      </c>
      <c r="C83">
        <v>0</v>
      </c>
      <c r="E83">
        <f t="shared" si="1"/>
        <v>0</v>
      </c>
    </row>
    <row r="84" spans="1:5" hidden="1" x14ac:dyDescent="0.3">
      <c r="A84" t="s">
        <v>47</v>
      </c>
      <c r="B84" t="s">
        <v>4</v>
      </c>
      <c r="C84">
        <v>20</v>
      </c>
      <c r="D84">
        <v>9000</v>
      </c>
      <c r="E84">
        <f t="shared" si="1"/>
        <v>180000</v>
      </c>
    </row>
    <row r="85" spans="1:5" hidden="1" x14ac:dyDescent="0.3">
      <c r="A85" t="s">
        <v>74</v>
      </c>
      <c r="B85" t="s">
        <v>4</v>
      </c>
      <c r="C85">
        <v>22</v>
      </c>
      <c r="D85">
        <v>14000</v>
      </c>
      <c r="E85">
        <f t="shared" si="1"/>
        <v>308000</v>
      </c>
    </row>
    <row r="86" spans="1:5" hidden="1" x14ac:dyDescent="0.3">
      <c r="A86" t="s">
        <v>48</v>
      </c>
      <c r="B86" t="s">
        <v>4</v>
      </c>
      <c r="C86">
        <v>0</v>
      </c>
      <c r="E86">
        <f t="shared" si="1"/>
        <v>0</v>
      </c>
    </row>
    <row r="87" spans="1:5" hidden="1" x14ac:dyDescent="0.3">
      <c r="A87" t="s">
        <v>152</v>
      </c>
      <c r="B87" t="s">
        <v>4</v>
      </c>
      <c r="C87">
        <v>0</v>
      </c>
      <c r="E87">
        <f t="shared" si="1"/>
        <v>0</v>
      </c>
    </row>
    <row r="88" spans="1:5" hidden="1" x14ac:dyDescent="0.3">
      <c r="A88" t="s">
        <v>81</v>
      </c>
      <c r="B88" t="s">
        <v>4</v>
      </c>
      <c r="C88">
        <v>0</v>
      </c>
      <c r="E88">
        <f t="shared" si="1"/>
        <v>0</v>
      </c>
    </row>
    <row r="89" spans="1:5" hidden="1" x14ac:dyDescent="0.3">
      <c r="A89" t="s">
        <v>59</v>
      </c>
      <c r="B89" t="s">
        <v>4</v>
      </c>
      <c r="C89">
        <v>36</v>
      </c>
      <c r="D89">
        <v>37000</v>
      </c>
      <c r="E89">
        <f t="shared" si="1"/>
        <v>1332000</v>
      </c>
    </row>
    <row r="90" spans="1:5" hidden="1" x14ac:dyDescent="0.3">
      <c r="A90" t="s">
        <v>133</v>
      </c>
      <c r="B90" t="s">
        <v>31</v>
      </c>
      <c r="C90">
        <v>0</v>
      </c>
      <c r="E90">
        <f t="shared" si="1"/>
        <v>0</v>
      </c>
    </row>
    <row r="91" spans="1:5" hidden="1" x14ac:dyDescent="0.3">
      <c r="A91" t="s">
        <v>76</v>
      </c>
      <c r="B91" t="s">
        <v>66</v>
      </c>
      <c r="C91">
        <v>0</v>
      </c>
      <c r="E91">
        <f t="shared" si="1"/>
        <v>0</v>
      </c>
    </row>
    <row r="92" spans="1:5" hidden="1" x14ac:dyDescent="0.3">
      <c r="A92" t="s">
        <v>82</v>
      </c>
      <c r="B92" t="s">
        <v>66</v>
      </c>
      <c r="C92">
        <v>15</v>
      </c>
      <c r="D92">
        <v>8000</v>
      </c>
      <c r="E92">
        <f t="shared" si="1"/>
        <v>120000</v>
      </c>
    </row>
    <row r="93" spans="1:5" hidden="1" x14ac:dyDescent="0.3">
      <c r="A93" t="s">
        <v>77</v>
      </c>
      <c r="B93" t="s">
        <v>66</v>
      </c>
      <c r="C93">
        <v>0</v>
      </c>
      <c r="E93">
        <f t="shared" si="1"/>
        <v>0</v>
      </c>
    </row>
    <row r="94" spans="1:5" hidden="1" x14ac:dyDescent="0.3">
      <c r="A94" t="s">
        <v>109</v>
      </c>
      <c r="B94" t="s">
        <v>53</v>
      </c>
      <c r="C94">
        <v>0</v>
      </c>
      <c r="E94">
        <f t="shared" si="1"/>
        <v>0</v>
      </c>
    </row>
    <row r="95" spans="1:5" hidden="1" x14ac:dyDescent="0.3">
      <c r="A95" t="s">
        <v>142</v>
      </c>
      <c r="B95" t="s">
        <v>31</v>
      </c>
      <c r="C95">
        <v>0</v>
      </c>
      <c r="E95">
        <f t="shared" si="1"/>
        <v>0</v>
      </c>
    </row>
    <row r="96" spans="1:5" hidden="1" x14ac:dyDescent="0.3">
      <c r="A96" t="s">
        <v>33</v>
      </c>
      <c r="B96" t="s">
        <v>31</v>
      </c>
      <c r="C96">
        <v>0</v>
      </c>
      <c r="E96">
        <f t="shared" si="1"/>
        <v>0</v>
      </c>
    </row>
    <row r="97" spans="1:5" hidden="1" x14ac:dyDescent="0.3">
      <c r="A97" t="s">
        <v>107</v>
      </c>
      <c r="B97" t="s">
        <v>4</v>
      </c>
      <c r="C97">
        <v>5</v>
      </c>
      <c r="D97">
        <v>11000</v>
      </c>
      <c r="E97">
        <f t="shared" si="1"/>
        <v>55000</v>
      </c>
    </row>
    <row r="98" spans="1:5" hidden="1" x14ac:dyDescent="0.3">
      <c r="A98" t="s">
        <v>85</v>
      </c>
      <c r="B98" t="s">
        <v>4</v>
      </c>
      <c r="C98">
        <v>0</v>
      </c>
      <c r="E98">
        <f t="shared" si="1"/>
        <v>0</v>
      </c>
    </row>
    <row r="99" spans="1:5" hidden="1" x14ac:dyDescent="0.3">
      <c r="A99" t="s">
        <v>99</v>
      </c>
      <c r="B99" t="s">
        <v>4</v>
      </c>
      <c r="C99">
        <v>12</v>
      </c>
      <c r="D99">
        <v>10000</v>
      </c>
      <c r="E99">
        <f t="shared" si="1"/>
        <v>120000</v>
      </c>
    </row>
    <row r="100" spans="1:5" hidden="1" x14ac:dyDescent="0.3">
      <c r="A100" t="s">
        <v>7</v>
      </c>
      <c r="B100" t="s">
        <v>4</v>
      </c>
      <c r="C100">
        <v>10</v>
      </c>
      <c r="D100">
        <v>8000</v>
      </c>
      <c r="E100">
        <f t="shared" si="1"/>
        <v>80000</v>
      </c>
    </row>
    <row r="101" spans="1:5" hidden="1" x14ac:dyDescent="0.3">
      <c r="A101" t="s">
        <v>144</v>
      </c>
      <c r="B101" t="s">
        <v>4</v>
      </c>
      <c r="C101">
        <v>2</v>
      </c>
      <c r="D101">
        <v>16000</v>
      </c>
      <c r="E101">
        <f t="shared" si="1"/>
        <v>32000</v>
      </c>
    </row>
    <row r="102" spans="1:5" hidden="1" x14ac:dyDescent="0.3">
      <c r="A102" t="s">
        <v>58</v>
      </c>
      <c r="B102" t="s">
        <v>4</v>
      </c>
      <c r="C102">
        <v>20</v>
      </c>
      <c r="D102">
        <v>30000</v>
      </c>
      <c r="E102">
        <f t="shared" si="1"/>
        <v>600000</v>
      </c>
    </row>
    <row r="103" spans="1:5" hidden="1" x14ac:dyDescent="0.3">
      <c r="A103" t="s">
        <v>143</v>
      </c>
      <c r="B103" t="s">
        <v>4</v>
      </c>
      <c r="C103">
        <v>13</v>
      </c>
      <c r="D103">
        <v>13000</v>
      </c>
      <c r="E103">
        <f t="shared" si="1"/>
        <v>169000</v>
      </c>
    </row>
    <row r="104" spans="1:5" hidden="1" x14ac:dyDescent="0.3">
      <c r="E104">
        <f t="shared" si="1"/>
        <v>0</v>
      </c>
    </row>
    <row r="105" spans="1:5" hidden="1" x14ac:dyDescent="0.3">
      <c r="E105">
        <f t="shared" si="1"/>
        <v>0</v>
      </c>
    </row>
    <row r="106" spans="1:5" hidden="1" x14ac:dyDescent="0.3">
      <c r="E106">
        <f>SUM(E4:E103)</f>
        <v>165912000</v>
      </c>
    </row>
    <row r="107" spans="1:5" hidden="1" x14ac:dyDescent="0.3"/>
    <row r="108" spans="1:5" hidden="1" x14ac:dyDescent="0.3">
      <c r="A108" t="s">
        <v>0</v>
      </c>
      <c r="B108" t="s">
        <v>1</v>
      </c>
      <c r="C108" t="s">
        <v>190</v>
      </c>
      <c r="D108" t="s">
        <v>137</v>
      </c>
      <c r="E108" t="s">
        <v>138</v>
      </c>
    </row>
    <row r="109" spans="1:5" hidden="1" x14ac:dyDescent="0.3">
      <c r="A109" t="s">
        <v>49</v>
      </c>
      <c r="B109" t="s">
        <v>4</v>
      </c>
      <c r="E109">
        <f t="shared" si="1"/>
        <v>0</v>
      </c>
    </row>
    <row r="110" spans="1:5" hidden="1" x14ac:dyDescent="0.3">
      <c r="A110" t="s">
        <v>27</v>
      </c>
      <c r="B110" t="s">
        <v>4</v>
      </c>
      <c r="E110">
        <f t="shared" si="1"/>
        <v>0</v>
      </c>
    </row>
    <row r="111" spans="1:5" hidden="1" x14ac:dyDescent="0.3">
      <c r="A111" t="s">
        <v>28</v>
      </c>
      <c r="B111" t="s">
        <v>4</v>
      </c>
      <c r="C111">
        <v>60</v>
      </c>
      <c r="D111">
        <v>18000</v>
      </c>
      <c r="E111">
        <f t="shared" si="1"/>
        <v>1080000</v>
      </c>
    </row>
    <row r="112" spans="1:5" hidden="1" x14ac:dyDescent="0.3">
      <c r="A112" t="s">
        <v>29</v>
      </c>
      <c r="B112" t="s">
        <v>4</v>
      </c>
      <c r="C112">
        <v>200</v>
      </c>
      <c r="D112">
        <v>22000</v>
      </c>
      <c r="E112">
        <f t="shared" si="1"/>
        <v>4400000</v>
      </c>
    </row>
    <row r="113" spans="1:5" hidden="1" x14ac:dyDescent="0.3">
      <c r="A113" t="s">
        <v>57</v>
      </c>
      <c r="B113" t="s">
        <v>31</v>
      </c>
      <c r="E113">
        <f t="shared" si="1"/>
        <v>0</v>
      </c>
    </row>
    <row r="114" spans="1:5" hidden="1" x14ac:dyDescent="0.3">
      <c r="A114" t="s">
        <v>32</v>
      </c>
      <c r="B114" t="s">
        <v>4</v>
      </c>
      <c r="C114">
        <v>200</v>
      </c>
      <c r="D114">
        <v>17500</v>
      </c>
      <c r="E114">
        <f t="shared" si="1"/>
        <v>3500000</v>
      </c>
    </row>
    <row r="115" spans="1:5" hidden="1" x14ac:dyDescent="0.3">
      <c r="A115" t="s">
        <v>33</v>
      </c>
      <c r="B115" t="s">
        <v>31</v>
      </c>
      <c r="E115">
        <f t="shared" si="1"/>
        <v>0</v>
      </c>
    </row>
    <row r="116" spans="1:5" hidden="1" x14ac:dyDescent="0.3">
      <c r="A116" t="s">
        <v>34</v>
      </c>
      <c r="B116" t="s">
        <v>4</v>
      </c>
      <c r="C116">
        <v>300</v>
      </c>
      <c r="D116">
        <v>15000</v>
      </c>
      <c r="E116">
        <f t="shared" si="1"/>
        <v>4500000</v>
      </c>
    </row>
    <row r="117" spans="1:5" hidden="1" x14ac:dyDescent="0.3">
      <c r="A117" t="s">
        <v>35</v>
      </c>
      <c r="B117" t="s">
        <v>4</v>
      </c>
      <c r="E117">
        <f t="shared" si="1"/>
        <v>0</v>
      </c>
    </row>
    <row r="118" spans="1:5" hidden="1" x14ac:dyDescent="0.3">
      <c r="A118" t="s">
        <v>13</v>
      </c>
      <c r="B118" t="s">
        <v>4</v>
      </c>
      <c r="C118">
        <v>20</v>
      </c>
      <c r="D118">
        <v>27000</v>
      </c>
      <c r="E118">
        <f t="shared" si="1"/>
        <v>540000</v>
      </c>
    </row>
    <row r="119" spans="1:5" hidden="1" x14ac:dyDescent="0.3">
      <c r="A119" t="s">
        <v>14</v>
      </c>
      <c r="B119" t="s">
        <v>4</v>
      </c>
      <c r="E119">
        <f t="shared" si="1"/>
        <v>0</v>
      </c>
    </row>
    <row r="120" spans="1:5" hidden="1" x14ac:dyDescent="0.3">
      <c r="A120" t="s">
        <v>3</v>
      </c>
      <c r="B120" t="s">
        <v>4</v>
      </c>
      <c r="E120">
        <f t="shared" si="1"/>
        <v>0</v>
      </c>
    </row>
    <row r="121" spans="1:5" hidden="1" x14ac:dyDescent="0.3">
      <c r="A121" t="s">
        <v>5</v>
      </c>
      <c r="B121" t="s">
        <v>4</v>
      </c>
      <c r="E121">
        <f t="shared" si="1"/>
        <v>0</v>
      </c>
    </row>
    <row r="122" spans="1:5" hidden="1" x14ac:dyDescent="0.3">
      <c r="A122" t="s">
        <v>6</v>
      </c>
      <c r="B122" t="s">
        <v>4</v>
      </c>
      <c r="E122">
        <f t="shared" si="1"/>
        <v>0</v>
      </c>
    </row>
    <row r="123" spans="1:5" hidden="1" x14ac:dyDescent="0.3">
      <c r="A123" t="s">
        <v>22</v>
      </c>
      <c r="B123" t="s">
        <v>4</v>
      </c>
      <c r="E123">
        <f t="shared" si="1"/>
        <v>0</v>
      </c>
    </row>
    <row r="124" spans="1:5" hidden="1" x14ac:dyDescent="0.3">
      <c r="A124" t="s">
        <v>24</v>
      </c>
      <c r="B124" t="s">
        <v>4</v>
      </c>
      <c r="E124">
        <f t="shared" si="1"/>
        <v>0</v>
      </c>
    </row>
    <row r="125" spans="1:5" hidden="1" x14ac:dyDescent="0.3">
      <c r="A125" t="s">
        <v>40</v>
      </c>
      <c r="B125" t="s">
        <v>4</v>
      </c>
      <c r="E125">
        <f t="shared" si="1"/>
        <v>0</v>
      </c>
    </row>
    <row r="126" spans="1:5" hidden="1" x14ac:dyDescent="0.3">
      <c r="A126" t="s">
        <v>76</v>
      </c>
      <c r="B126" t="s">
        <v>66</v>
      </c>
      <c r="E126">
        <f t="shared" si="1"/>
        <v>0</v>
      </c>
    </row>
    <row r="127" spans="1:5" hidden="1" x14ac:dyDescent="0.3">
      <c r="A127" t="s">
        <v>77</v>
      </c>
      <c r="B127" t="s">
        <v>66</v>
      </c>
      <c r="E127">
        <f t="shared" si="1"/>
        <v>0</v>
      </c>
    </row>
    <row r="128" spans="1:5" hidden="1" x14ac:dyDescent="0.3">
      <c r="A128" t="s">
        <v>82</v>
      </c>
      <c r="B128" t="s">
        <v>66</v>
      </c>
      <c r="E128">
        <f t="shared" si="1"/>
        <v>0</v>
      </c>
    </row>
    <row r="129" spans="1:5" hidden="1" x14ac:dyDescent="0.3">
      <c r="A129" t="s">
        <v>7</v>
      </c>
      <c r="B129" t="s">
        <v>4</v>
      </c>
      <c r="E129">
        <f t="shared" si="1"/>
        <v>0</v>
      </c>
    </row>
    <row r="130" spans="1:5" hidden="1" x14ac:dyDescent="0.3">
      <c r="A130" t="s">
        <v>8</v>
      </c>
      <c r="B130" t="s">
        <v>4</v>
      </c>
      <c r="C130">
        <v>1000</v>
      </c>
      <c r="D130">
        <v>4300</v>
      </c>
      <c r="E130">
        <f t="shared" si="1"/>
        <v>4300000</v>
      </c>
    </row>
    <row r="131" spans="1:5" hidden="1" x14ac:dyDescent="0.3">
      <c r="A131" t="s">
        <v>10</v>
      </c>
      <c r="B131" t="s">
        <v>4</v>
      </c>
      <c r="C131">
        <v>60</v>
      </c>
      <c r="D131">
        <v>10000</v>
      </c>
      <c r="E131">
        <f t="shared" si="1"/>
        <v>600000</v>
      </c>
    </row>
    <row r="132" spans="1:5" hidden="1" x14ac:dyDescent="0.3">
      <c r="A132" t="s">
        <v>15</v>
      </c>
      <c r="B132" t="s">
        <v>4</v>
      </c>
      <c r="C132">
        <v>80</v>
      </c>
      <c r="D132">
        <v>18000</v>
      </c>
      <c r="E132">
        <f t="shared" si="1"/>
        <v>1440000</v>
      </c>
    </row>
    <row r="133" spans="1:5" hidden="1" x14ac:dyDescent="0.3">
      <c r="A133" t="s">
        <v>18</v>
      </c>
      <c r="B133" t="s">
        <v>4</v>
      </c>
      <c r="C133">
        <v>160</v>
      </c>
      <c r="D133">
        <v>17000</v>
      </c>
      <c r="E133">
        <f t="shared" si="1"/>
        <v>2720000</v>
      </c>
    </row>
    <row r="134" spans="1:5" hidden="1" x14ac:dyDescent="0.3">
      <c r="A134" t="s">
        <v>21</v>
      </c>
      <c r="B134" t="s">
        <v>4</v>
      </c>
      <c r="E134">
        <f t="shared" si="1"/>
        <v>0</v>
      </c>
    </row>
    <row r="135" spans="1:5" hidden="1" x14ac:dyDescent="0.3">
      <c r="A135" t="s">
        <v>43</v>
      </c>
      <c r="B135" t="s">
        <v>4</v>
      </c>
      <c r="C135">
        <v>40</v>
      </c>
      <c r="D135">
        <v>35000</v>
      </c>
      <c r="E135">
        <f t="shared" ref="E135:E152" si="2">C135*D135</f>
        <v>1400000</v>
      </c>
    </row>
    <row r="136" spans="1:5" hidden="1" x14ac:dyDescent="0.3">
      <c r="A136" t="s">
        <v>44</v>
      </c>
      <c r="B136" t="s">
        <v>4</v>
      </c>
      <c r="C136">
        <v>20</v>
      </c>
      <c r="D136">
        <v>18000</v>
      </c>
      <c r="E136">
        <f t="shared" si="2"/>
        <v>360000</v>
      </c>
    </row>
    <row r="137" spans="1:5" hidden="1" x14ac:dyDescent="0.3">
      <c r="A137" t="s">
        <v>45</v>
      </c>
      <c r="B137" t="s">
        <v>4</v>
      </c>
      <c r="C137">
        <v>20</v>
      </c>
      <c r="D137">
        <v>28000</v>
      </c>
      <c r="E137">
        <f t="shared" si="2"/>
        <v>560000</v>
      </c>
    </row>
    <row r="138" spans="1:5" hidden="1" x14ac:dyDescent="0.3">
      <c r="A138" t="s">
        <v>47</v>
      </c>
      <c r="B138" t="s">
        <v>4</v>
      </c>
      <c r="E138">
        <f t="shared" si="2"/>
        <v>0</v>
      </c>
    </row>
    <row r="139" spans="1:5" hidden="1" x14ac:dyDescent="0.3">
      <c r="A139" t="s">
        <v>26</v>
      </c>
      <c r="B139" t="s">
        <v>4</v>
      </c>
      <c r="C139">
        <v>80</v>
      </c>
      <c r="D139">
        <v>13000</v>
      </c>
      <c r="E139">
        <f t="shared" si="2"/>
        <v>1040000</v>
      </c>
    </row>
    <row r="140" spans="1:5" hidden="1" x14ac:dyDescent="0.3">
      <c r="A140" t="s">
        <v>25</v>
      </c>
      <c r="B140" t="s">
        <v>4</v>
      </c>
      <c r="E140">
        <f t="shared" si="2"/>
        <v>0</v>
      </c>
    </row>
    <row r="141" spans="1:5" hidden="1" x14ac:dyDescent="0.3">
      <c r="A141" t="s">
        <v>23</v>
      </c>
      <c r="B141" t="s">
        <v>4</v>
      </c>
      <c r="C141">
        <v>11</v>
      </c>
      <c r="D141">
        <v>16000</v>
      </c>
      <c r="E141">
        <f t="shared" si="2"/>
        <v>176000</v>
      </c>
    </row>
    <row r="142" spans="1:5" hidden="1" x14ac:dyDescent="0.3">
      <c r="A142" t="s">
        <v>9</v>
      </c>
      <c r="B142" t="s">
        <v>4</v>
      </c>
      <c r="E142">
        <f t="shared" si="2"/>
        <v>0</v>
      </c>
    </row>
    <row r="143" spans="1:5" hidden="1" x14ac:dyDescent="0.3">
      <c r="A143" t="s">
        <v>156</v>
      </c>
      <c r="B143" t="s">
        <v>4</v>
      </c>
      <c r="E143">
        <f t="shared" si="2"/>
        <v>0</v>
      </c>
    </row>
    <row r="144" spans="1:5" hidden="1" x14ac:dyDescent="0.3">
      <c r="A144" t="s">
        <v>39</v>
      </c>
      <c r="B144" t="s">
        <v>50</v>
      </c>
      <c r="E144">
        <f t="shared" si="2"/>
        <v>0</v>
      </c>
    </row>
    <row r="145" spans="1:5" x14ac:dyDescent="0.3">
      <c r="A145" t="s">
        <v>41</v>
      </c>
      <c r="B145" t="s">
        <v>4</v>
      </c>
      <c r="E145">
        <f t="shared" si="2"/>
        <v>0</v>
      </c>
    </row>
    <row r="146" spans="1:5" hidden="1" x14ac:dyDescent="0.3">
      <c r="A146" t="s">
        <v>123</v>
      </c>
      <c r="B146" t="s">
        <v>31</v>
      </c>
      <c r="C146">
        <v>30</v>
      </c>
      <c r="D146">
        <v>6000</v>
      </c>
      <c r="E146">
        <f t="shared" si="2"/>
        <v>180000</v>
      </c>
    </row>
    <row r="147" spans="1:5" hidden="1" x14ac:dyDescent="0.3">
      <c r="A147" t="s">
        <v>37</v>
      </c>
      <c r="B147" t="s">
        <v>31</v>
      </c>
      <c r="C147">
        <v>150</v>
      </c>
      <c r="D147">
        <v>10000</v>
      </c>
      <c r="E147">
        <f t="shared" si="2"/>
        <v>1500000</v>
      </c>
    </row>
    <row r="148" spans="1:5" hidden="1" x14ac:dyDescent="0.3">
      <c r="A148" t="s">
        <v>12</v>
      </c>
      <c r="B148" t="s">
        <v>4</v>
      </c>
      <c r="E148">
        <f t="shared" si="2"/>
        <v>0</v>
      </c>
    </row>
    <row r="149" spans="1:5" hidden="1" x14ac:dyDescent="0.3">
      <c r="A149" t="s">
        <v>124</v>
      </c>
      <c r="B149" t="s">
        <v>4</v>
      </c>
      <c r="C149">
        <v>20</v>
      </c>
      <c r="D149">
        <v>30000</v>
      </c>
      <c r="E149">
        <f t="shared" si="2"/>
        <v>600000</v>
      </c>
    </row>
    <row r="150" spans="1:5" hidden="1" x14ac:dyDescent="0.3">
      <c r="A150" t="s">
        <v>145</v>
      </c>
      <c r="B150" t="s">
        <v>4</v>
      </c>
      <c r="C150">
        <v>1250</v>
      </c>
      <c r="D150">
        <v>4500</v>
      </c>
      <c r="E150">
        <f>C150*D150</f>
        <v>5625000</v>
      </c>
    </row>
    <row r="151" spans="1:5" hidden="1" x14ac:dyDescent="0.3">
      <c r="A151" t="s">
        <v>17</v>
      </c>
      <c r="B151" t="s">
        <v>147</v>
      </c>
      <c r="E151">
        <f t="shared" si="2"/>
        <v>0</v>
      </c>
    </row>
    <row r="152" spans="1:5" hidden="1" x14ac:dyDescent="0.3">
      <c r="A152" t="s">
        <v>75</v>
      </c>
      <c r="B152" t="s">
        <v>66</v>
      </c>
      <c r="E152">
        <f t="shared" si="2"/>
        <v>0</v>
      </c>
    </row>
    <row r="153" spans="1:5" hidden="1" x14ac:dyDescent="0.3">
      <c r="E153">
        <f>SUM(E111:E150)</f>
        <v>34521000</v>
      </c>
    </row>
    <row r="154" spans="1:5" hidden="1" x14ac:dyDescent="0.3">
      <c r="E154">
        <f>E106+E153</f>
        <v>200433000</v>
      </c>
    </row>
  </sheetData>
  <autoFilter ref="A3:F154" xr:uid="{00000000-0009-0000-0000-000016000000}">
    <filterColumn colId="0">
      <filters>
        <filter val="Hạt Dẻ Ngố"/>
      </filters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/>
  <dimension ref="A2:E168"/>
  <sheetViews>
    <sheetView workbookViewId="0">
      <selection activeCell="G185" sqref="G185"/>
    </sheetView>
  </sheetViews>
  <sheetFormatPr defaultRowHeight="14.4" x14ac:dyDescent="0.3"/>
  <cols>
    <col min="1" max="1" width="32" customWidth="1"/>
    <col min="4" max="4" width="12.5546875" customWidth="1"/>
    <col min="5" max="5" width="17.5546875" customWidth="1"/>
  </cols>
  <sheetData>
    <row r="2" spans="1:5" x14ac:dyDescent="0.3">
      <c r="A2" t="s">
        <v>225</v>
      </c>
    </row>
    <row r="3" spans="1:5" x14ac:dyDescent="0.3">
      <c r="A3" t="s">
        <v>0</v>
      </c>
      <c r="B3" t="s">
        <v>1</v>
      </c>
      <c r="C3" t="s">
        <v>190</v>
      </c>
      <c r="D3" t="s">
        <v>137</v>
      </c>
      <c r="E3" t="s">
        <v>138</v>
      </c>
    </row>
    <row r="4" spans="1:5" hidden="1" x14ac:dyDescent="0.3">
      <c r="A4" t="s">
        <v>49</v>
      </c>
      <c r="B4" t="s">
        <v>4</v>
      </c>
      <c r="C4">
        <v>384</v>
      </c>
      <c r="D4">
        <v>12000</v>
      </c>
      <c r="E4">
        <f>C4*D4</f>
        <v>4608000</v>
      </c>
    </row>
    <row r="5" spans="1:5" hidden="1" x14ac:dyDescent="0.3">
      <c r="A5" t="s">
        <v>49</v>
      </c>
      <c r="B5" t="s">
        <v>31</v>
      </c>
      <c r="C5">
        <v>0</v>
      </c>
      <c r="E5">
        <f t="shared" ref="E5:E68" si="0">C5*D5</f>
        <v>0</v>
      </c>
    </row>
    <row r="6" spans="1:5" hidden="1" x14ac:dyDescent="0.3">
      <c r="A6" t="s">
        <v>19</v>
      </c>
      <c r="B6" t="s">
        <v>4</v>
      </c>
      <c r="C6">
        <v>0</v>
      </c>
      <c r="E6">
        <f t="shared" si="0"/>
        <v>0</v>
      </c>
    </row>
    <row r="7" spans="1:5" hidden="1" x14ac:dyDescent="0.3">
      <c r="A7" t="s">
        <v>19</v>
      </c>
      <c r="B7" t="s">
        <v>50</v>
      </c>
      <c r="C7">
        <v>0</v>
      </c>
      <c r="E7">
        <f t="shared" si="0"/>
        <v>0</v>
      </c>
    </row>
    <row r="8" spans="1:5" hidden="1" x14ac:dyDescent="0.3">
      <c r="A8" t="s">
        <v>51</v>
      </c>
      <c r="B8" t="s">
        <v>53</v>
      </c>
      <c r="C8">
        <v>30</v>
      </c>
      <c r="D8">
        <v>13000</v>
      </c>
      <c r="E8">
        <f t="shared" si="0"/>
        <v>390000</v>
      </c>
    </row>
    <row r="9" spans="1:5" hidden="1" x14ac:dyDescent="0.3">
      <c r="A9" t="s">
        <v>28</v>
      </c>
      <c r="B9" t="s">
        <v>4</v>
      </c>
      <c r="C9">
        <v>65</v>
      </c>
      <c r="D9">
        <v>18000</v>
      </c>
      <c r="E9">
        <f t="shared" si="0"/>
        <v>1170000</v>
      </c>
    </row>
    <row r="10" spans="1:5" hidden="1" x14ac:dyDescent="0.3">
      <c r="A10" t="s">
        <v>28</v>
      </c>
      <c r="B10" t="s">
        <v>31</v>
      </c>
      <c r="C10">
        <v>0</v>
      </c>
      <c r="E10">
        <f t="shared" si="0"/>
        <v>0</v>
      </c>
    </row>
    <row r="11" spans="1:5" hidden="1" x14ac:dyDescent="0.3">
      <c r="A11" t="s">
        <v>29</v>
      </c>
      <c r="B11" t="s">
        <v>4</v>
      </c>
      <c r="C11">
        <v>1472</v>
      </c>
      <c r="D11">
        <v>21000</v>
      </c>
      <c r="E11">
        <f t="shared" si="0"/>
        <v>30912000</v>
      </c>
    </row>
    <row r="12" spans="1:5" hidden="1" x14ac:dyDescent="0.3">
      <c r="A12" t="s">
        <v>29</v>
      </c>
      <c r="B12" t="s">
        <v>150</v>
      </c>
      <c r="C12">
        <v>0</v>
      </c>
      <c r="E12">
        <f t="shared" si="0"/>
        <v>0</v>
      </c>
    </row>
    <row r="13" spans="1:5" hidden="1" x14ac:dyDescent="0.3">
      <c r="A13" t="s">
        <v>56</v>
      </c>
      <c r="B13" t="s">
        <v>31</v>
      </c>
      <c r="C13">
        <v>1821</v>
      </c>
      <c r="D13">
        <v>4500</v>
      </c>
      <c r="E13">
        <f t="shared" si="0"/>
        <v>8194500</v>
      </c>
    </row>
    <row r="14" spans="1:5" hidden="1" x14ac:dyDescent="0.3">
      <c r="A14" t="s">
        <v>57</v>
      </c>
      <c r="B14" t="s">
        <v>4</v>
      </c>
      <c r="C14">
        <v>1350</v>
      </c>
      <c r="D14">
        <v>25000</v>
      </c>
      <c r="E14">
        <f t="shared" si="0"/>
        <v>33750000</v>
      </c>
    </row>
    <row r="15" spans="1:5" hidden="1" x14ac:dyDescent="0.3">
      <c r="A15" t="s">
        <v>57</v>
      </c>
      <c r="B15" t="s">
        <v>31</v>
      </c>
      <c r="C15">
        <v>0</v>
      </c>
      <c r="E15">
        <f t="shared" si="0"/>
        <v>0</v>
      </c>
    </row>
    <row r="16" spans="1:5" hidden="1" x14ac:dyDescent="0.3">
      <c r="A16" t="s">
        <v>32</v>
      </c>
      <c r="B16" t="s">
        <v>4</v>
      </c>
      <c r="C16">
        <v>160</v>
      </c>
      <c r="D16">
        <v>17000</v>
      </c>
      <c r="E16">
        <f t="shared" si="0"/>
        <v>2720000</v>
      </c>
    </row>
    <row r="17" spans="1:5" hidden="1" x14ac:dyDescent="0.3">
      <c r="A17" t="s">
        <v>34</v>
      </c>
      <c r="B17" t="s">
        <v>4</v>
      </c>
      <c r="C17">
        <v>444</v>
      </c>
      <c r="D17">
        <v>15000</v>
      </c>
      <c r="E17">
        <f t="shared" si="0"/>
        <v>6660000</v>
      </c>
    </row>
    <row r="18" spans="1:5" hidden="1" x14ac:dyDescent="0.3">
      <c r="A18" t="s">
        <v>34</v>
      </c>
      <c r="B18" t="s">
        <v>31</v>
      </c>
      <c r="C18">
        <v>0</v>
      </c>
      <c r="E18">
        <f t="shared" si="0"/>
        <v>0</v>
      </c>
    </row>
    <row r="19" spans="1:5" hidden="1" x14ac:dyDescent="0.3">
      <c r="A19" t="s">
        <v>60</v>
      </c>
      <c r="B19" t="s">
        <v>50</v>
      </c>
      <c r="C19">
        <v>20</v>
      </c>
      <c r="D19">
        <v>11000</v>
      </c>
      <c r="E19">
        <f t="shared" si="0"/>
        <v>220000</v>
      </c>
    </row>
    <row r="20" spans="1:5" hidden="1" x14ac:dyDescent="0.3">
      <c r="A20" t="s">
        <v>6</v>
      </c>
      <c r="B20" t="s">
        <v>4</v>
      </c>
      <c r="C20">
        <v>460</v>
      </c>
      <c r="D20">
        <v>12000</v>
      </c>
      <c r="E20">
        <f t="shared" si="0"/>
        <v>5520000</v>
      </c>
    </row>
    <row r="21" spans="1:5" hidden="1" x14ac:dyDescent="0.3">
      <c r="A21" t="s">
        <v>62</v>
      </c>
      <c r="B21" t="s">
        <v>4</v>
      </c>
      <c r="C21">
        <v>4</v>
      </c>
      <c r="D21">
        <v>20000</v>
      </c>
      <c r="E21">
        <f t="shared" si="0"/>
        <v>80000</v>
      </c>
    </row>
    <row r="22" spans="1:5" hidden="1" x14ac:dyDescent="0.3">
      <c r="A22" t="s">
        <v>62</v>
      </c>
      <c r="B22" t="s">
        <v>31</v>
      </c>
      <c r="C22">
        <v>0</v>
      </c>
      <c r="E22">
        <f t="shared" si="0"/>
        <v>0</v>
      </c>
    </row>
    <row r="23" spans="1:5" hidden="1" x14ac:dyDescent="0.3">
      <c r="A23" t="s">
        <v>64</v>
      </c>
      <c r="B23" t="s">
        <v>4</v>
      </c>
      <c r="C23">
        <v>0</v>
      </c>
      <c r="E23">
        <f t="shared" si="0"/>
        <v>0</v>
      </c>
    </row>
    <row r="24" spans="1:5" hidden="1" x14ac:dyDescent="0.3">
      <c r="A24" t="s">
        <v>64</v>
      </c>
      <c r="B24" t="s">
        <v>31</v>
      </c>
      <c r="C24">
        <v>53</v>
      </c>
      <c r="D24">
        <v>8000</v>
      </c>
      <c r="E24">
        <f t="shared" si="0"/>
        <v>424000</v>
      </c>
    </row>
    <row r="25" spans="1:5" hidden="1" x14ac:dyDescent="0.3">
      <c r="A25" t="s">
        <v>22</v>
      </c>
      <c r="B25" t="s">
        <v>4</v>
      </c>
      <c r="C25">
        <v>220</v>
      </c>
      <c r="D25">
        <v>7000</v>
      </c>
      <c r="E25">
        <f t="shared" si="0"/>
        <v>1540000</v>
      </c>
    </row>
    <row r="26" spans="1:5" hidden="1" x14ac:dyDescent="0.3">
      <c r="A26" t="s">
        <v>24</v>
      </c>
      <c r="B26" t="s">
        <v>66</v>
      </c>
      <c r="C26">
        <v>0</v>
      </c>
      <c r="E26">
        <f t="shared" si="0"/>
        <v>0</v>
      </c>
    </row>
    <row r="27" spans="1:5" hidden="1" x14ac:dyDescent="0.3">
      <c r="A27" t="s">
        <v>24</v>
      </c>
      <c r="B27" t="s">
        <v>4</v>
      </c>
      <c r="C27">
        <v>0</v>
      </c>
      <c r="E27">
        <f t="shared" si="0"/>
        <v>0</v>
      </c>
    </row>
    <row r="28" spans="1:5" hidden="1" x14ac:dyDescent="0.3">
      <c r="A28" t="s">
        <v>75</v>
      </c>
      <c r="B28" t="s">
        <v>4</v>
      </c>
      <c r="C28">
        <v>46</v>
      </c>
      <c r="D28">
        <v>28000</v>
      </c>
      <c r="E28">
        <f t="shared" si="0"/>
        <v>1288000</v>
      </c>
    </row>
    <row r="29" spans="1:5" hidden="1" x14ac:dyDescent="0.3">
      <c r="A29" t="s">
        <v>8</v>
      </c>
      <c r="B29" t="s">
        <v>4</v>
      </c>
      <c r="C29">
        <v>250</v>
      </c>
      <c r="D29">
        <v>4300</v>
      </c>
      <c r="E29">
        <f t="shared" si="0"/>
        <v>1075000</v>
      </c>
    </row>
    <row r="30" spans="1:5" hidden="1" x14ac:dyDescent="0.3">
      <c r="A30" t="s">
        <v>10</v>
      </c>
      <c r="B30" t="s">
        <v>4</v>
      </c>
      <c r="C30">
        <v>97</v>
      </c>
      <c r="D30">
        <v>10000</v>
      </c>
      <c r="E30">
        <f t="shared" si="0"/>
        <v>970000</v>
      </c>
    </row>
    <row r="31" spans="1:5" hidden="1" x14ac:dyDescent="0.3">
      <c r="A31" t="s">
        <v>10</v>
      </c>
      <c r="B31" t="s">
        <v>84</v>
      </c>
      <c r="C31">
        <v>0</v>
      </c>
      <c r="E31">
        <f t="shared" si="0"/>
        <v>0</v>
      </c>
    </row>
    <row r="32" spans="1:5" hidden="1" x14ac:dyDescent="0.3">
      <c r="A32" t="s">
        <v>11</v>
      </c>
      <c r="B32" t="s">
        <v>4</v>
      </c>
      <c r="C32">
        <v>66</v>
      </c>
      <c r="D32">
        <v>10000</v>
      </c>
      <c r="E32">
        <f t="shared" si="0"/>
        <v>660000</v>
      </c>
    </row>
    <row r="33" spans="1:5" hidden="1" x14ac:dyDescent="0.3">
      <c r="A33" t="s">
        <v>11</v>
      </c>
      <c r="B33" t="s">
        <v>84</v>
      </c>
      <c r="C33">
        <v>0</v>
      </c>
      <c r="E33">
        <f t="shared" si="0"/>
        <v>0</v>
      </c>
    </row>
    <row r="34" spans="1:5" hidden="1" x14ac:dyDescent="0.3">
      <c r="A34" t="s">
        <v>15</v>
      </c>
      <c r="B34" t="s">
        <v>4</v>
      </c>
      <c r="C34">
        <v>170</v>
      </c>
      <c r="D34">
        <v>17000</v>
      </c>
      <c r="E34">
        <f t="shared" si="0"/>
        <v>2890000</v>
      </c>
    </row>
    <row r="35" spans="1:5" hidden="1" x14ac:dyDescent="0.3">
      <c r="A35" t="s">
        <v>15</v>
      </c>
      <c r="B35" t="s">
        <v>50</v>
      </c>
      <c r="C35">
        <v>0</v>
      </c>
      <c r="E35">
        <f t="shared" si="0"/>
        <v>0</v>
      </c>
    </row>
    <row r="36" spans="1:5" hidden="1" x14ac:dyDescent="0.3">
      <c r="A36" t="s">
        <v>15</v>
      </c>
      <c r="B36" t="s">
        <v>164</v>
      </c>
      <c r="C36">
        <v>0</v>
      </c>
      <c r="E36">
        <f t="shared" si="0"/>
        <v>0</v>
      </c>
    </row>
    <row r="37" spans="1:5" hidden="1" x14ac:dyDescent="0.3">
      <c r="A37" t="s">
        <v>18</v>
      </c>
      <c r="B37" t="s">
        <v>4</v>
      </c>
      <c r="C37">
        <v>0</v>
      </c>
      <c r="E37">
        <f t="shared" si="0"/>
        <v>0</v>
      </c>
    </row>
    <row r="38" spans="1:5" hidden="1" x14ac:dyDescent="0.3">
      <c r="A38" t="s">
        <v>18</v>
      </c>
      <c r="B38" t="s">
        <v>4</v>
      </c>
      <c r="C38">
        <v>150</v>
      </c>
      <c r="D38">
        <v>17000</v>
      </c>
      <c r="E38">
        <f t="shared" si="0"/>
        <v>2550000</v>
      </c>
    </row>
    <row r="39" spans="1:5" hidden="1" x14ac:dyDescent="0.3">
      <c r="A39" t="s">
        <v>18</v>
      </c>
      <c r="B39" t="s">
        <v>50</v>
      </c>
      <c r="C39">
        <v>0</v>
      </c>
      <c r="E39">
        <f t="shared" si="0"/>
        <v>0</v>
      </c>
    </row>
    <row r="40" spans="1:5" hidden="1" x14ac:dyDescent="0.3">
      <c r="A40" t="s">
        <v>92</v>
      </c>
      <c r="B40" t="s">
        <v>4</v>
      </c>
      <c r="C40">
        <v>60</v>
      </c>
      <c r="D40">
        <v>11000</v>
      </c>
      <c r="E40">
        <f t="shared" si="0"/>
        <v>660000</v>
      </c>
    </row>
    <row r="41" spans="1:5" hidden="1" x14ac:dyDescent="0.3">
      <c r="A41" t="s">
        <v>92</v>
      </c>
      <c r="B41" t="s">
        <v>31</v>
      </c>
      <c r="C41">
        <v>0</v>
      </c>
      <c r="E41">
        <f t="shared" si="0"/>
        <v>0</v>
      </c>
    </row>
    <row r="42" spans="1:5" hidden="1" x14ac:dyDescent="0.3">
      <c r="A42" t="s">
        <v>39</v>
      </c>
      <c r="B42" t="s">
        <v>4</v>
      </c>
      <c r="C42">
        <v>0</v>
      </c>
      <c r="E42">
        <f t="shared" si="0"/>
        <v>0</v>
      </c>
    </row>
    <row r="43" spans="1:5" hidden="1" x14ac:dyDescent="0.3">
      <c r="A43" t="s">
        <v>39</v>
      </c>
      <c r="B43" t="s">
        <v>50</v>
      </c>
      <c r="C43">
        <v>767</v>
      </c>
      <c r="D43">
        <v>5000</v>
      </c>
      <c r="E43">
        <f t="shared" si="0"/>
        <v>3835000</v>
      </c>
    </row>
    <row r="44" spans="1:5" hidden="1" x14ac:dyDescent="0.3">
      <c r="A44" t="s">
        <v>100</v>
      </c>
      <c r="B44" t="s">
        <v>4</v>
      </c>
      <c r="C44">
        <v>35</v>
      </c>
      <c r="D44">
        <v>5000</v>
      </c>
      <c r="E44">
        <f t="shared" si="0"/>
        <v>175000</v>
      </c>
    </row>
    <row r="45" spans="1:5" hidden="1" x14ac:dyDescent="0.3">
      <c r="A45" t="s">
        <v>43</v>
      </c>
      <c r="B45" t="s">
        <v>4</v>
      </c>
      <c r="C45">
        <v>118</v>
      </c>
      <c r="D45">
        <v>35000</v>
      </c>
      <c r="E45">
        <f t="shared" si="0"/>
        <v>4130000</v>
      </c>
    </row>
    <row r="46" spans="1:5" hidden="1" x14ac:dyDescent="0.3">
      <c r="A46" t="s">
        <v>43</v>
      </c>
      <c r="B46" t="s">
        <v>84</v>
      </c>
      <c r="C46">
        <v>0</v>
      </c>
      <c r="E46">
        <f t="shared" si="0"/>
        <v>0</v>
      </c>
    </row>
    <row r="47" spans="1:5" hidden="1" x14ac:dyDescent="0.3">
      <c r="A47" t="s">
        <v>44</v>
      </c>
      <c r="B47" t="s">
        <v>4</v>
      </c>
      <c r="C47">
        <v>0</v>
      </c>
      <c r="E47">
        <f t="shared" si="0"/>
        <v>0</v>
      </c>
    </row>
    <row r="48" spans="1:5" hidden="1" x14ac:dyDescent="0.3">
      <c r="A48" t="s">
        <v>44</v>
      </c>
      <c r="B48" t="s">
        <v>84</v>
      </c>
      <c r="C48">
        <v>0</v>
      </c>
      <c r="E48">
        <f t="shared" si="0"/>
        <v>0</v>
      </c>
    </row>
    <row r="49" spans="1:5" hidden="1" x14ac:dyDescent="0.3">
      <c r="A49" t="s">
        <v>45</v>
      </c>
      <c r="B49" t="s">
        <v>4</v>
      </c>
      <c r="C49">
        <v>75</v>
      </c>
      <c r="D49">
        <v>28000</v>
      </c>
      <c r="E49">
        <f t="shared" si="0"/>
        <v>2100000</v>
      </c>
    </row>
    <row r="50" spans="1:5" hidden="1" x14ac:dyDescent="0.3">
      <c r="A50" t="s">
        <v>45</v>
      </c>
      <c r="B50" t="s">
        <v>84</v>
      </c>
      <c r="C50">
        <v>0</v>
      </c>
      <c r="E50">
        <f t="shared" si="0"/>
        <v>0</v>
      </c>
    </row>
    <row r="51" spans="1:5" hidden="1" x14ac:dyDescent="0.3">
      <c r="A51" t="s">
        <v>12</v>
      </c>
      <c r="B51" t="s">
        <v>4</v>
      </c>
      <c r="C51">
        <v>0</v>
      </c>
      <c r="E51">
        <f t="shared" si="0"/>
        <v>0</v>
      </c>
    </row>
    <row r="52" spans="1:5" hidden="1" x14ac:dyDescent="0.3">
      <c r="A52" t="s">
        <v>116</v>
      </c>
      <c r="B52" t="s">
        <v>50</v>
      </c>
      <c r="C52">
        <v>0</v>
      </c>
      <c r="E52">
        <f t="shared" si="0"/>
        <v>0</v>
      </c>
    </row>
    <row r="53" spans="1:5" hidden="1" x14ac:dyDescent="0.3">
      <c r="A53" t="s">
        <v>117</v>
      </c>
      <c r="B53" t="s">
        <v>4</v>
      </c>
      <c r="C53">
        <v>110</v>
      </c>
      <c r="D53">
        <v>25000</v>
      </c>
      <c r="E53">
        <f t="shared" si="0"/>
        <v>2750000</v>
      </c>
    </row>
    <row r="54" spans="1:5" hidden="1" x14ac:dyDescent="0.3">
      <c r="A54" t="s">
        <v>17</v>
      </c>
      <c r="B54" t="s">
        <v>4</v>
      </c>
      <c r="C54">
        <v>0</v>
      </c>
      <c r="E54">
        <f t="shared" si="0"/>
        <v>0</v>
      </c>
    </row>
    <row r="55" spans="1:5" hidden="1" x14ac:dyDescent="0.3">
      <c r="A55" t="s">
        <v>17</v>
      </c>
      <c r="B55" t="s">
        <v>147</v>
      </c>
      <c r="C55">
        <v>0</v>
      </c>
      <c r="E55">
        <f t="shared" si="0"/>
        <v>0</v>
      </c>
    </row>
    <row r="56" spans="1:5" hidden="1" x14ac:dyDescent="0.3">
      <c r="A56" t="s">
        <v>17</v>
      </c>
      <c r="B56" t="s">
        <v>203</v>
      </c>
      <c r="C56">
        <v>0</v>
      </c>
      <c r="E56">
        <f t="shared" si="0"/>
        <v>0</v>
      </c>
    </row>
    <row r="57" spans="1:5" hidden="1" x14ac:dyDescent="0.3">
      <c r="A57" t="s">
        <v>118</v>
      </c>
      <c r="B57" t="s">
        <v>4</v>
      </c>
      <c r="C57">
        <v>0</v>
      </c>
      <c r="E57">
        <f t="shared" si="0"/>
        <v>0</v>
      </c>
    </row>
    <row r="58" spans="1:5" x14ac:dyDescent="0.3">
      <c r="A58" t="s">
        <v>41</v>
      </c>
      <c r="B58" t="s">
        <v>4</v>
      </c>
      <c r="C58">
        <v>1542</v>
      </c>
      <c r="D58">
        <v>28600</v>
      </c>
      <c r="E58">
        <f t="shared" si="0"/>
        <v>44101200</v>
      </c>
    </row>
    <row r="59" spans="1:5" hidden="1" x14ac:dyDescent="0.3">
      <c r="A59" t="s">
        <v>3</v>
      </c>
      <c r="B59" t="s">
        <v>4</v>
      </c>
      <c r="C59">
        <v>56</v>
      </c>
      <c r="D59">
        <v>30000</v>
      </c>
      <c r="E59">
        <f t="shared" si="0"/>
        <v>1680000</v>
      </c>
    </row>
    <row r="60" spans="1:5" hidden="1" x14ac:dyDescent="0.3">
      <c r="A60" t="s">
        <v>5</v>
      </c>
      <c r="B60" t="s">
        <v>4</v>
      </c>
      <c r="C60">
        <v>80</v>
      </c>
      <c r="D60">
        <v>10000</v>
      </c>
      <c r="E60">
        <f t="shared" si="0"/>
        <v>800000</v>
      </c>
    </row>
    <row r="61" spans="1:5" hidden="1" x14ac:dyDescent="0.3">
      <c r="A61" t="s">
        <v>13</v>
      </c>
      <c r="B61" t="s">
        <v>4</v>
      </c>
      <c r="C61">
        <v>4</v>
      </c>
      <c r="D61">
        <v>26000</v>
      </c>
      <c r="E61">
        <f t="shared" si="0"/>
        <v>104000</v>
      </c>
    </row>
    <row r="62" spans="1:5" hidden="1" x14ac:dyDescent="0.3">
      <c r="A62" t="s">
        <v>175</v>
      </c>
      <c r="B62" t="s">
        <v>4</v>
      </c>
      <c r="C62">
        <v>0</v>
      </c>
      <c r="E62">
        <f t="shared" si="0"/>
        <v>0</v>
      </c>
    </row>
    <row r="63" spans="1:5" hidden="1" x14ac:dyDescent="0.3">
      <c r="A63" t="s">
        <v>16</v>
      </c>
      <c r="B63" t="s">
        <v>4</v>
      </c>
      <c r="C63">
        <v>0</v>
      </c>
      <c r="E63">
        <f t="shared" si="0"/>
        <v>0</v>
      </c>
    </row>
    <row r="64" spans="1:5" hidden="1" x14ac:dyDescent="0.3">
      <c r="A64" t="s">
        <v>16</v>
      </c>
      <c r="B64" t="s">
        <v>165</v>
      </c>
      <c r="C64">
        <v>36</v>
      </c>
      <c r="D64">
        <v>8000</v>
      </c>
      <c r="E64">
        <f t="shared" si="0"/>
        <v>288000</v>
      </c>
    </row>
    <row r="65" spans="1:5" hidden="1" x14ac:dyDescent="0.3">
      <c r="A65" t="s">
        <v>89</v>
      </c>
      <c r="B65" t="s">
        <v>53</v>
      </c>
      <c r="C65">
        <v>7</v>
      </c>
      <c r="D65">
        <v>14250</v>
      </c>
      <c r="E65">
        <f t="shared" si="0"/>
        <v>99750</v>
      </c>
    </row>
    <row r="66" spans="1:5" hidden="1" x14ac:dyDescent="0.3">
      <c r="A66" t="s">
        <v>90</v>
      </c>
      <c r="B66" t="s">
        <v>4</v>
      </c>
      <c r="C66">
        <v>0</v>
      </c>
      <c r="E66">
        <f t="shared" si="0"/>
        <v>0</v>
      </c>
    </row>
    <row r="67" spans="1:5" hidden="1" x14ac:dyDescent="0.3">
      <c r="A67" t="s">
        <v>90</v>
      </c>
      <c r="B67" t="s">
        <v>147</v>
      </c>
      <c r="C67">
        <v>88</v>
      </c>
      <c r="D67">
        <v>7800</v>
      </c>
      <c r="E67">
        <f t="shared" si="0"/>
        <v>686400</v>
      </c>
    </row>
    <row r="68" spans="1:5" hidden="1" x14ac:dyDescent="0.3">
      <c r="A68" t="s">
        <v>90</v>
      </c>
      <c r="B68" t="s">
        <v>148</v>
      </c>
      <c r="C68">
        <v>0</v>
      </c>
      <c r="E68">
        <f t="shared" si="0"/>
        <v>0</v>
      </c>
    </row>
    <row r="69" spans="1:5" hidden="1" x14ac:dyDescent="0.3">
      <c r="A69" t="s">
        <v>21</v>
      </c>
      <c r="B69" t="s">
        <v>4</v>
      </c>
      <c r="C69">
        <v>0</v>
      </c>
      <c r="E69">
        <f t="shared" ref="E69:E134" si="1">C69*D69</f>
        <v>0</v>
      </c>
    </row>
    <row r="70" spans="1:5" hidden="1" x14ac:dyDescent="0.3">
      <c r="A70" t="s">
        <v>21</v>
      </c>
      <c r="B70" t="s">
        <v>149</v>
      </c>
      <c r="C70">
        <v>0</v>
      </c>
      <c r="E70">
        <f t="shared" si="1"/>
        <v>0</v>
      </c>
    </row>
    <row r="71" spans="1:5" hidden="1" x14ac:dyDescent="0.3">
      <c r="A71" t="s">
        <v>63</v>
      </c>
      <c r="B71" t="s">
        <v>4</v>
      </c>
      <c r="C71">
        <v>0</v>
      </c>
      <c r="E71">
        <f t="shared" si="1"/>
        <v>0</v>
      </c>
    </row>
    <row r="72" spans="1:5" hidden="1" x14ac:dyDescent="0.3">
      <c r="A72" t="s">
        <v>63</v>
      </c>
      <c r="B72" t="s">
        <v>31</v>
      </c>
      <c r="C72">
        <v>15</v>
      </c>
      <c r="D72">
        <v>6000</v>
      </c>
      <c r="E72">
        <f t="shared" si="1"/>
        <v>90000</v>
      </c>
    </row>
    <row r="73" spans="1:5" hidden="1" x14ac:dyDescent="0.3">
      <c r="A73" t="s">
        <v>26</v>
      </c>
      <c r="B73" t="s">
        <v>4</v>
      </c>
      <c r="C73">
        <v>0</v>
      </c>
      <c r="E73">
        <f t="shared" si="1"/>
        <v>0</v>
      </c>
    </row>
    <row r="74" spans="1:5" hidden="1" x14ac:dyDescent="0.3">
      <c r="A74" t="s">
        <v>27</v>
      </c>
      <c r="B74" t="s">
        <v>4</v>
      </c>
      <c r="C74">
        <v>124</v>
      </c>
      <c r="D74">
        <v>6000</v>
      </c>
      <c r="E74">
        <f t="shared" si="1"/>
        <v>744000</v>
      </c>
    </row>
    <row r="75" spans="1:5" hidden="1" x14ac:dyDescent="0.3">
      <c r="A75" t="s">
        <v>54</v>
      </c>
      <c r="B75" t="s">
        <v>4</v>
      </c>
      <c r="C75">
        <v>14</v>
      </c>
      <c r="D75">
        <v>39000</v>
      </c>
      <c r="E75">
        <f t="shared" si="1"/>
        <v>546000</v>
      </c>
    </row>
    <row r="76" spans="1:5" hidden="1" x14ac:dyDescent="0.3">
      <c r="A76" t="s">
        <v>35</v>
      </c>
      <c r="B76" t="s">
        <v>4</v>
      </c>
      <c r="C76">
        <v>65</v>
      </c>
      <c r="D76">
        <v>17000</v>
      </c>
      <c r="E76">
        <f t="shared" si="1"/>
        <v>1105000</v>
      </c>
    </row>
    <row r="77" spans="1:5" hidden="1" x14ac:dyDescent="0.3">
      <c r="A77" t="s">
        <v>123</v>
      </c>
      <c r="B77" t="s">
        <v>31</v>
      </c>
      <c r="C77">
        <v>0</v>
      </c>
      <c r="E77">
        <f t="shared" si="1"/>
        <v>0</v>
      </c>
    </row>
    <row r="78" spans="1:5" hidden="1" x14ac:dyDescent="0.3">
      <c r="A78" t="s">
        <v>37</v>
      </c>
      <c r="B78" t="s">
        <v>4</v>
      </c>
      <c r="C78">
        <v>0</v>
      </c>
      <c r="E78">
        <f t="shared" si="1"/>
        <v>0</v>
      </c>
    </row>
    <row r="79" spans="1:5" hidden="1" x14ac:dyDescent="0.3">
      <c r="A79" t="s">
        <v>37</v>
      </c>
      <c r="B79" t="s">
        <v>31</v>
      </c>
      <c r="C79">
        <v>30</v>
      </c>
      <c r="D79">
        <v>9000</v>
      </c>
      <c r="E79">
        <f t="shared" si="1"/>
        <v>270000</v>
      </c>
    </row>
    <row r="80" spans="1:5" hidden="1" x14ac:dyDescent="0.3">
      <c r="A80" t="s">
        <v>37</v>
      </c>
      <c r="B80" t="s">
        <v>151</v>
      </c>
      <c r="C80">
        <v>0</v>
      </c>
      <c r="E80">
        <f t="shared" si="1"/>
        <v>0</v>
      </c>
    </row>
    <row r="81" spans="1:5" hidden="1" x14ac:dyDescent="0.3">
      <c r="A81" t="s">
        <v>96</v>
      </c>
      <c r="B81" t="s">
        <v>4</v>
      </c>
      <c r="C81">
        <v>0</v>
      </c>
      <c r="E81">
        <f t="shared" si="1"/>
        <v>0</v>
      </c>
    </row>
    <row r="82" spans="1:5" hidden="1" x14ac:dyDescent="0.3">
      <c r="A82" t="s">
        <v>97</v>
      </c>
      <c r="B82" t="s">
        <v>4</v>
      </c>
      <c r="C82">
        <v>2.5</v>
      </c>
      <c r="D82">
        <v>70000</v>
      </c>
      <c r="E82">
        <f t="shared" si="1"/>
        <v>175000</v>
      </c>
    </row>
    <row r="83" spans="1:5" hidden="1" x14ac:dyDescent="0.3">
      <c r="A83" t="s">
        <v>105</v>
      </c>
      <c r="B83" t="s">
        <v>4</v>
      </c>
      <c r="C83">
        <v>1.5</v>
      </c>
      <c r="D83">
        <v>70000</v>
      </c>
      <c r="E83">
        <f t="shared" si="1"/>
        <v>105000</v>
      </c>
    </row>
    <row r="84" spans="1:5" hidden="1" x14ac:dyDescent="0.3">
      <c r="A84" t="s">
        <v>40</v>
      </c>
      <c r="B84" t="s">
        <v>66</v>
      </c>
      <c r="C84">
        <v>0</v>
      </c>
      <c r="E84">
        <f t="shared" si="1"/>
        <v>0</v>
      </c>
    </row>
    <row r="85" spans="1:5" hidden="1" x14ac:dyDescent="0.3">
      <c r="A85" t="s">
        <v>40</v>
      </c>
      <c r="B85" t="s">
        <v>4</v>
      </c>
      <c r="C85">
        <v>0</v>
      </c>
      <c r="E85">
        <f t="shared" si="1"/>
        <v>0</v>
      </c>
    </row>
    <row r="86" spans="1:5" hidden="1" x14ac:dyDescent="0.3">
      <c r="A86" t="s">
        <v>124</v>
      </c>
      <c r="B86" t="s">
        <v>4</v>
      </c>
      <c r="C86">
        <v>4</v>
      </c>
      <c r="D86">
        <v>30000</v>
      </c>
      <c r="E86">
        <f t="shared" si="1"/>
        <v>120000</v>
      </c>
    </row>
    <row r="87" spans="1:5" hidden="1" x14ac:dyDescent="0.3">
      <c r="A87" t="s">
        <v>42</v>
      </c>
      <c r="B87" t="s">
        <v>31</v>
      </c>
      <c r="C87">
        <v>0</v>
      </c>
      <c r="E87">
        <f t="shared" si="1"/>
        <v>0</v>
      </c>
    </row>
    <row r="88" spans="1:5" hidden="1" x14ac:dyDescent="0.3">
      <c r="A88" t="s">
        <v>67</v>
      </c>
      <c r="B88" t="s">
        <v>4</v>
      </c>
      <c r="C88">
        <v>13</v>
      </c>
      <c r="D88">
        <v>14000</v>
      </c>
      <c r="E88">
        <f t="shared" si="1"/>
        <v>182000</v>
      </c>
    </row>
    <row r="89" spans="1:5" hidden="1" x14ac:dyDescent="0.3">
      <c r="A89" t="s">
        <v>101</v>
      </c>
      <c r="B89" t="s">
        <v>53</v>
      </c>
      <c r="C89">
        <v>0</v>
      </c>
      <c r="E89">
        <f t="shared" si="1"/>
        <v>0</v>
      </c>
    </row>
    <row r="90" spans="1:5" hidden="1" x14ac:dyDescent="0.3">
      <c r="A90" t="s">
        <v>101</v>
      </c>
      <c r="B90" t="s">
        <v>4</v>
      </c>
      <c r="C90">
        <v>0</v>
      </c>
      <c r="E90">
        <f t="shared" si="1"/>
        <v>0</v>
      </c>
    </row>
    <row r="91" spans="1:5" hidden="1" x14ac:dyDescent="0.3">
      <c r="A91" t="s">
        <v>46</v>
      </c>
      <c r="B91" t="s">
        <v>31</v>
      </c>
      <c r="C91">
        <v>78</v>
      </c>
      <c r="D91">
        <v>20000</v>
      </c>
      <c r="E91">
        <f t="shared" si="1"/>
        <v>1560000</v>
      </c>
    </row>
    <row r="92" spans="1:5" hidden="1" x14ac:dyDescent="0.3">
      <c r="A92" t="s">
        <v>47</v>
      </c>
      <c r="B92" t="s">
        <v>4</v>
      </c>
      <c r="C92">
        <v>85</v>
      </c>
      <c r="D92">
        <v>9000</v>
      </c>
      <c r="E92">
        <f t="shared" si="1"/>
        <v>765000</v>
      </c>
    </row>
    <row r="93" spans="1:5" hidden="1" x14ac:dyDescent="0.3">
      <c r="A93" t="s">
        <v>74</v>
      </c>
      <c r="B93" t="s">
        <v>4</v>
      </c>
      <c r="C93">
        <v>24</v>
      </c>
      <c r="D93">
        <v>14000</v>
      </c>
      <c r="E93">
        <f t="shared" si="1"/>
        <v>336000</v>
      </c>
    </row>
    <row r="94" spans="1:5" hidden="1" x14ac:dyDescent="0.3">
      <c r="A94" t="s">
        <v>48</v>
      </c>
      <c r="B94" t="s">
        <v>4</v>
      </c>
      <c r="C94">
        <v>15</v>
      </c>
      <c r="D94">
        <v>27000</v>
      </c>
      <c r="E94">
        <f t="shared" si="1"/>
        <v>405000</v>
      </c>
    </row>
    <row r="95" spans="1:5" hidden="1" x14ac:dyDescent="0.3">
      <c r="A95" t="s">
        <v>152</v>
      </c>
      <c r="B95" t="s">
        <v>4</v>
      </c>
      <c r="C95">
        <v>0</v>
      </c>
      <c r="E95">
        <f t="shared" si="1"/>
        <v>0</v>
      </c>
    </row>
    <row r="96" spans="1:5" hidden="1" x14ac:dyDescent="0.3">
      <c r="A96" t="s">
        <v>81</v>
      </c>
      <c r="B96" t="s">
        <v>4</v>
      </c>
      <c r="C96">
        <v>0</v>
      </c>
      <c r="E96">
        <f t="shared" si="1"/>
        <v>0</v>
      </c>
    </row>
    <row r="97" spans="1:5" hidden="1" x14ac:dyDescent="0.3">
      <c r="A97" t="s">
        <v>59</v>
      </c>
      <c r="B97" t="s">
        <v>4</v>
      </c>
      <c r="C97">
        <v>0</v>
      </c>
      <c r="E97">
        <f t="shared" si="1"/>
        <v>0</v>
      </c>
    </row>
    <row r="98" spans="1:5" hidden="1" x14ac:dyDescent="0.3">
      <c r="A98" t="s">
        <v>79</v>
      </c>
      <c r="B98" t="s">
        <v>4</v>
      </c>
      <c r="C98">
        <v>0</v>
      </c>
      <c r="E98">
        <f t="shared" si="1"/>
        <v>0</v>
      </c>
    </row>
    <row r="99" spans="1:5" hidden="1" x14ac:dyDescent="0.3">
      <c r="A99" t="s">
        <v>9</v>
      </c>
      <c r="B99" t="s">
        <v>4</v>
      </c>
      <c r="C99">
        <v>0</v>
      </c>
      <c r="E99">
        <f t="shared" si="1"/>
        <v>0</v>
      </c>
    </row>
    <row r="100" spans="1:5" hidden="1" x14ac:dyDescent="0.3">
      <c r="A100" t="s">
        <v>127</v>
      </c>
      <c r="B100" t="s">
        <v>4</v>
      </c>
      <c r="C100">
        <v>0</v>
      </c>
      <c r="E100">
        <f t="shared" si="1"/>
        <v>0</v>
      </c>
    </row>
    <row r="101" spans="1:5" hidden="1" x14ac:dyDescent="0.3">
      <c r="A101" t="s">
        <v>99</v>
      </c>
      <c r="B101" t="s">
        <v>4</v>
      </c>
      <c r="C101">
        <v>3</v>
      </c>
      <c r="D101">
        <v>10000</v>
      </c>
      <c r="E101">
        <f t="shared" si="1"/>
        <v>30000</v>
      </c>
    </row>
    <row r="102" spans="1:5" hidden="1" x14ac:dyDescent="0.3">
      <c r="A102" t="s">
        <v>157</v>
      </c>
      <c r="B102" t="s">
        <v>4</v>
      </c>
      <c r="C102">
        <v>0</v>
      </c>
      <c r="E102">
        <f t="shared" si="1"/>
        <v>0</v>
      </c>
    </row>
    <row r="103" spans="1:5" hidden="1" x14ac:dyDescent="0.3">
      <c r="A103" t="s">
        <v>55</v>
      </c>
      <c r="B103" t="s">
        <v>4</v>
      </c>
      <c r="C103">
        <v>0</v>
      </c>
      <c r="E103">
        <f t="shared" si="1"/>
        <v>0</v>
      </c>
    </row>
    <row r="104" spans="1:5" hidden="1" x14ac:dyDescent="0.3">
      <c r="A104" t="s">
        <v>128</v>
      </c>
      <c r="B104" t="s">
        <v>4</v>
      </c>
      <c r="C104">
        <v>0</v>
      </c>
      <c r="E104">
        <f t="shared" si="1"/>
        <v>0</v>
      </c>
    </row>
    <row r="105" spans="1:5" hidden="1" x14ac:dyDescent="0.3">
      <c r="A105" t="s">
        <v>76</v>
      </c>
      <c r="B105" t="s">
        <v>66</v>
      </c>
      <c r="C105">
        <v>0</v>
      </c>
      <c r="E105">
        <f t="shared" si="1"/>
        <v>0</v>
      </c>
    </row>
    <row r="106" spans="1:5" hidden="1" x14ac:dyDescent="0.3">
      <c r="A106" t="s">
        <v>82</v>
      </c>
      <c r="B106" t="s">
        <v>66</v>
      </c>
      <c r="C106">
        <v>0</v>
      </c>
      <c r="E106">
        <f t="shared" si="1"/>
        <v>0</v>
      </c>
    </row>
    <row r="107" spans="1:5" hidden="1" x14ac:dyDescent="0.3">
      <c r="A107" t="s">
        <v>77</v>
      </c>
      <c r="B107" t="s">
        <v>66</v>
      </c>
      <c r="C107">
        <v>0</v>
      </c>
      <c r="E107">
        <f t="shared" si="1"/>
        <v>0</v>
      </c>
    </row>
    <row r="108" spans="1:5" hidden="1" x14ac:dyDescent="0.3">
      <c r="A108" t="s">
        <v>133</v>
      </c>
      <c r="B108" t="s">
        <v>31</v>
      </c>
      <c r="C108">
        <v>0</v>
      </c>
      <c r="E108">
        <f t="shared" si="1"/>
        <v>0</v>
      </c>
    </row>
    <row r="109" spans="1:5" hidden="1" x14ac:dyDescent="0.3">
      <c r="A109" t="s">
        <v>142</v>
      </c>
      <c r="B109" t="s">
        <v>31</v>
      </c>
      <c r="C109">
        <v>170</v>
      </c>
      <c r="D109">
        <v>6000</v>
      </c>
      <c r="E109">
        <f t="shared" si="1"/>
        <v>1020000</v>
      </c>
    </row>
    <row r="110" spans="1:5" hidden="1" x14ac:dyDescent="0.3">
      <c r="A110" t="s">
        <v>219</v>
      </c>
      <c r="B110" t="s">
        <v>4</v>
      </c>
      <c r="C110">
        <v>630</v>
      </c>
      <c r="D110">
        <v>41000</v>
      </c>
      <c r="E110">
        <f t="shared" si="1"/>
        <v>25830000</v>
      </c>
    </row>
    <row r="111" spans="1:5" hidden="1" x14ac:dyDescent="0.3">
      <c r="A111" t="s">
        <v>33</v>
      </c>
      <c r="B111" t="s">
        <v>31</v>
      </c>
      <c r="C111">
        <v>0</v>
      </c>
      <c r="E111">
        <f t="shared" si="1"/>
        <v>0</v>
      </c>
    </row>
    <row r="112" spans="1:5" hidden="1" x14ac:dyDescent="0.3">
      <c r="A112" t="s">
        <v>113</v>
      </c>
      <c r="B112" t="s">
        <v>31</v>
      </c>
      <c r="C112">
        <v>0</v>
      </c>
      <c r="E112">
        <f t="shared" si="1"/>
        <v>0</v>
      </c>
    </row>
    <row r="113" spans="1:5" hidden="1" x14ac:dyDescent="0.3">
      <c r="A113" t="s">
        <v>107</v>
      </c>
      <c r="B113" t="s">
        <v>4</v>
      </c>
      <c r="C113">
        <v>0</v>
      </c>
      <c r="E113">
        <f t="shared" si="1"/>
        <v>0</v>
      </c>
    </row>
    <row r="114" spans="1:5" hidden="1" x14ac:dyDescent="0.3">
      <c r="A114" t="s">
        <v>58</v>
      </c>
      <c r="B114" t="s">
        <v>4</v>
      </c>
      <c r="C114">
        <v>20</v>
      </c>
      <c r="D114">
        <v>30000</v>
      </c>
      <c r="E114">
        <f t="shared" si="1"/>
        <v>600000</v>
      </c>
    </row>
    <row r="115" spans="1:5" hidden="1" x14ac:dyDescent="0.3">
      <c r="A115" t="s">
        <v>85</v>
      </c>
      <c r="B115" t="s">
        <v>4</v>
      </c>
      <c r="C115">
        <v>0</v>
      </c>
      <c r="E115">
        <f t="shared" si="1"/>
        <v>0</v>
      </c>
    </row>
    <row r="116" spans="1:5" hidden="1" x14ac:dyDescent="0.3">
      <c r="E116">
        <f t="shared" si="1"/>
        <v>0</v>
      </c>
    </row>
    <row r="117" spans="1:5" ht="15.6" hidden="1" x14ac:dyDescent="0.3">
      <c r="A117" s="15"/>
      <c r="B117" s="15"/>
      <c r="C117" s="15"/>
      <c r="D117" s="15"/>
      <c r="E117">
        <f t="shared" si="1"/>
        <v>0</v>
      </c>
    </row>
    <row r="118" spans="1:5" ht="15.6" hidden="1" x14ac:dyDescent="0.3">
      <c r="A118" s="15"/>
      <c r="B118" s="15"/>
      <c r="C118" s="15"/>
      <c r="D118" s="15"/>
      <c r="E118">
        <f>SUM(E4:E114)</f>
        <v>200913850</v>
      </c>
    </row>
    <row r="119" spans="1:5" ht="15.6" hidden="1" x14ac:dyDescent="0.3">
      <c r="A119" s="15" t="s">
        <v>139</v>
      </c>
      <c r="B119" s="15"/>
      <c r="C119" s="15"/>
      <c r="D119" s="15"/>
    </row>
    <row r="120" spans="1:5" ht="15.6" hidden="1" x14ac:dyDescent="0.3">
      <c r="A120" s="77" t="s">
        <v>0</v>
      </c>
      <c r="B120" s="77" t="s">
        <v>1</v>
      </c>
      <c r="C120" s="45" t="s">
        <v>190</v>
      </c>
      <c r="D120" s="18" t="s">
        <v>137</v>
      </c>
      <c r="E120" t="s">
        <v>138</v>
      </c>
    </row>
    <row r="121" spans="1:5" ht="15.6" hidden="1" x14ac:dyDescent="0.3">
      <c r="A121" s="19" t="str">
        <f>VLOOKUP('[1]ĐƠN ĐẶT HÀNG'!Z5,'[1]DANH SÁCH HÀNG HÓA, DỊCH VỤ'!B:C,2,0)</f>
        <v>Cà Rốt</v>
      </c>
      <c r="B121" s="19" t="str">
        <f>'[1]ĐƠN ĐẶT HÀNG'!AA5</f>
        <v>Kg</v>
      </c>
      <c r="C121" s="46"/>
      <c r="D121" s="21"/>
      <c r="E121">
        <f t="shared" si="1"/>
        <v>0</v>
      </c>
    </row>
    <row r="122" spans="1:5" ht="15.6" hidden="1" x14ac:dyDescent="0.3">
      <c r="A122" s="19" t="str">
        <f>VLOOKUP('[1]ĐƠN ĐẶT HÀNG'!Z6,'[1]DANH SÁCH HÀNG HÓA, DỊCH VỤ'!B:C,2,0)</f>
        <v>Củ Cải Trắng</v>
      </c>
      <c r="B122" s="19" t="str">
        <f>'[1]ĐƠN ĐẶT HÀNG'!AA6</f>
        <v>Kg</v>
      </c>
      <c r="C122" s="46"/>
      <c r="D122" s="21"/>
      <c r="E122">
        <f t="shared" si="1"/>
        <v>0</v>
      </c>
    </row>
    <row r="123" spans="1:5" ht="15.6" hidden="1" x14ac:dyDescent="0.3">
      <c r="A123" s="19" t="str">
        <f>VLOOKUP('[1]ĐƠN ĐẶT HÀNG'!Z7,'[1]DANH SÁCH HÀNG HÓA, DỊCH VỤ'!B:C,2,0)</f>
        <v>Củ Dền</v>
      </c>
      <c r="B123" s="19" t="str">
        <f>'[1]ĐƠN ĐẶT HÀNG'!AA7</f>
        <v>Kg</v>
      </c>
      <c r="C123" s="46">
        <v>40</v>
      </c>
      <c r="D123" s="21">
        <v>17000</v>
      </c>
      <c r="E123">
        <f t="shared" si="1"/>
        <v>680000</v>
      </c>
    </row>
    <row r="124" spans="1:5" ht="15.6" hidden="1" x14ac:dyDescent="0.3">
      <c r="A124" s="19" t="str">
        <f>VLOOKUP('[1]ĐƠN ĐẶT HÀNG'!Z8,'[1]DANH SÁCH HÀNG HÓA, DỊCH VỤ'!B:C,2,0)</f>
        <v>Củ Hành Tây</v>
      </c>
      <c r="B124" s="19" t="str">
        <f>'[1]ĐƠN ĐẶT HÀNG'!AA8</f>
        <v>Kg</v>
      </c>
      <c r="C124" s="46"/>
      <c r="D124" s="21"/>
      <c r="E124">
        <f t="shared" si="1"/>
        <v>0</v>
      </c>
    </row>
    <row r="125" spans="1:5" ht="15.6" hidden="1" x14ac:dyDescent="0.3">
      <c r="A125" s="19" t="str">
        <f>VLOOKUP('[1]ĐƠN ĐẶT HÀNG'!Z9,'[1]DANH SÁCH HÀNG HÓA, DỊCH VỤ'!B:C,2,0)</f>
        <v>Củ Khoai Lang Mật Size 46</v>
      </c>
      <c r="B125" s="19" t="str">
        <f>'[1]ĐƠN ĐẶT HÀNG'!AA9</f>
        <v>Túi</v>
      </c>
      <c r="C125" s="46"/>
      <c r="D125" s="21"/>
      <c r="E125">
        <f t="shared" si="1"/>
        <v>0</v>
      </c>
    </row>
    <row r="126" spans="1:5" ht="15.6" hidden="1" x14ac:dyDescent="0.3">
      <c r="A126" s="19" t="str">
        <f>VLOOKUP('[1]ĐƠN ĐẶT HÀNG'!Z10,'[1]DANH SÁCH HÀNG HÓA, DỊCH VỤ'!B:C,2,0)</f>
        <v>Củ Khoai Lang Nhật</v>
      </c>
      <c r="B126" s="19" t="str">
        <f>'[1]ĐƠN ĐẶT HÀNG'!AA10</f>
        <v>Kg</v>
      </c>
      <c r="C126" s="46">
        <v>100</v>
      </c>
      <c r="D126" s="21">
        <v>17000</v>
      </c>
      <c r="E126">
        <f t="shared" si="1"/>
        <v>1700000</v>
      </c>
    </row>
    <row r="127" spans="1:5" ht="15.6" hidden="1" x14ac:dyDescent="0.3">
      <c r="A127" s="19" t="str">
        <f>VLOOKUP('[1]ĐƠN ĐẶT HÀNG'!Z11,'[1]DANH SÁCH HÀNG HÓA, DỊCH VỤ'!B:C,2,0)</f>
        <v>Củ Khoai Tây Bi Vàng</v>
      </c>
      <c r="B127" s="19" t="str">
        <f>'[1]ĐƠN ĐẶT HÀNG'!AA11</f>
        <v>Túi</v>
      </c>
      <c r="C127" s="46"/>
      <c r="D127" s="21"/>
      <c r="E127">
        <f t="shared" si="1"/>
        <v>0</v>
      </c>
    </row>
    <row r="128" spans="1:5" ht="15.6" hidden="1" x14ac:dyDescent="0.3">
      <c r="A128" s="19" t="str">
        <f>VLOOKUP('[1]ĐƠN ĐẶT HÀNG'!Z12,'[1]DANH SÁCH HÀNG HÓA, DỊCH VỤ'!B:C,2,0)</f>
        <v>Củ Khoai Tây Vàng</v>
      </c>
      <c r="B128" s="19" t="str">
        <f>'[1]ĐƠN ĐẶT HÀNG'!AA12</f>
        <v>Kg</v>
      </c>
      <c r="C128" s="46">
        <v>200</v>
      </c>
      <c r="D128" s="21">
        <v>15000</v>
      </c>
      <c r="E128">
        <f t="shared" si="1"/>
        <v>3000000</v>
      </c>
    </row>
    <row r="129" spans="1:5" ht="15.6" hidden="1" x14ac:dyDescent="0.3">
      <c r="A129" s="19" t="str">
        <f>VLOOKUP('[1]ĐƠN ĐẶT HÀNG'!Z13,'[1]DANH SÁCH HÀNG HÓA, DỊCH VỤ'!B:C,2,0)</f>
        <v>Củ Su Hào</v>
      </c>
      <c r="B129" s="19" t="str">
        <f>'[1]ĐƠN ĐẶT HÀNG'!AA13</f>
        <v>Kg</v>
      </c>
      <c r="C129" s="46"/>
      <c r="D129" s="21"/>
      <c r="E129">
        <f t="shared" si="1"/>
        <v>0</v>
      </c>
    </row>
    <row r="130" spans="1:5" ht="15.6" hidden="1" x14ac:dyDescent="0.3">
      <c r="A130" s="19" t="str">
        <f>VLOOKUP('[1]ĐƠN ĐẶT HÀNG'!Z14,'[1]DANH SÁCH HÀNG HÓA, DỊCH VỤ'!B:C,2,0)</f>
        <v>Bông Cải Trắng</v>
      </c>
      <c r="B130" s="19" t="str">
        <f>'[1]ĐƠN ĐẶT HÀNG'!AA14</f>
        <v>Kg</v>
      </c>
      <c r="C130" s="46"/>
      <c r="D130" s="21"/>
      <c r="E130">
        <f t="shared" si="1"/>
        <v>0</v>
      </c>
    </row>
    <row r="131" spans="1:5" ht="15.6" hidden="1" x14ac:dyDescent="0.3">
      <c r="A131" s="19" t="str">
        <f>VLOOKUP('[1]ĐƠN ĐẶT HÀNG'!Z15,'[1]DANH SÁCH HÀNG HÓA, DỊCH VỤ'!B:C,2,0)</f>
        <v>Bông Cải Xanh Cọng</v>
      </c>
      <c r="B131" s="19" t="str">
        <f>'[1]ĐƠN ĐẶT HÀNG'!AA15</f>
        <v>Kg</v>
      </c>
      <c r="C131" s="46"/>
      <c r="D131" s="21"/>
      <c r="E131">
        <f t="shared" si="1"/>
        <v>0</v>
      </c>
    </row>
    <row r="132" spans="1:5" ht="15.6" hidden="1" x14ac:dyDescent="0.3">
      <c r="A132" s="19" t="str">
        <f>VLOOKUP('[1]ĐƠN ĐẶT HÀNG'!Z16,'[1]DANH SÁCH HÀNG HÓA, DỊCH VỤ'!B:C,2,0)</f>
        <v>Bắp Cải Tím</v>
      </c>
      <c r="B132" s="19" t="str">
        <f>'[1]ĐƠN ĐẶT HÀNG'!AA16</f>
        <v>Kg</v>
      </c>
      <c r="C132" s="46"/>
      <c r="D132" s="21"/>
      <c r="E132">
        <f t="shared" si="1"/>
        <v>0</v>
      </c>
    </row>
    <row r="133" spans="1:5" ht="15.6" hidden="1" x14ac:dyDescent="0.3">
      <c r="A133" s="19" t="str">
        <f>VLOOKUP('[1]ĐƠN ĐẶT HÀNG'!Z17,'[1]DANH SÁCH HÀNG HÓA, DỊCH VỤ'!B:C,2,0)</f>
        <v>Bắp Cải Trái Tim</v>
      </c>
      <c r="B133" s="19" t="str">
        <f>'[1]ĐƠN ĐẶT HÀNG'!AA17</f>
        <v>Kg</v>
      </c>
      <c r="C133" s="46">
        <v>60</v>
      </c>
      <c r="D133" s="21">
        <v>10000</v>
      </c>
      <c r="E133">
        <f t="shared" si="1"/>
        <v>600000</v>
      </c>
    </row>
    <row r="134" spans="1:5" ht="15.6" hidden="1" x14ac:dyDescent="0.3">
      <c r="A134" s="19" t="str">
        <f>VLOOKUP('[1]ĐƠN ĐẶT HÀNG'!Z18,'[1]DANH SÁCH HÀNG HÓA, DỊCH VỤ'!B:C,2,0)</f>
        <v>Bắp Cải Trắng</v>
      </c>
      <c r="B134" s="19" t="str">
        <f>'[1]ĐƠN ĐẶT HÀNG'!AA18</f>
        <v>Kg</v>
      </c>
      <c r="C134" s="46">
        <v>192</v>
      </c>
      <c r="D134" s="21">
        <v>12000</v>
      </c>
      <c r="E134">
        <f t="shared" si="1"/>
        <v>2304000</v>
      </c>
    </row>
    <row r="135" spans="1:5" ht="15.6" hidden="1" x14ac:dyDescent="0.3">
      <c r="A135" s="19" t="str">
        <f>VLOOKUP('[1]ĐƠN ĐẶT HÀNG'!Z19,'[1]DANH SÁCH HÀNG HÓA, DỊCH VỤ'!B:C,2,0)</f>
        <v>Cải Thảo</v>
      </c>
      <c r="B135" s="19" t="str">
        <f>'[1]ĐƠN ĐẶT HÀNG'!AA19</f>
        <v>Kg</v>
      </c>
      <c r="C135" s="46"/>
      <c r="D135" s="21"/>
      <c r="E135">
        <f t="shared" ref="E135:E166" si="2">C135*D135</f>
        <v>0</v>
      </c>
    </row>
    <row r="136" spans="1:5" ht="15.6" hidden="1" x14ac:dyDescent="0.3">
      <c r="A136" s="19" t="str">
        <f>VLOOKUP('[1]ĐƠN ĐẶT HÀNG'!Z20,'[1]DANH SÁCH HÀNG HÓA, DỊCH VỤ'!B:C,2,0)</f>
        <v>Cần Tây</v>
      </c>
      <c r="B136" s="19" t="str">
        <f>'[1]ĐƠN ĐẶT HÀNG'!AA20</f>
        <v>Kg</v>
      </c>
      <c r="C136" s="46"/>
      <c r="D136" s="21"/>
      <c r="E136">
        <f t="shared" si="2"/>
        <v>0</v>
      </c>
    </row>
    <row r="137" spans="1:5" ht="15.6" hidden="1" x14ac:dyDescent="0.3">
      <c r="A137" s="19" t="str">
        <f>VLOOKUP('[1]ĐƠN ĐẶT HÀNG'!Z21,'[1]DANH SÁCH HÀNG HÓA, DỊCH VỤ'!B:C,2,0)</f>
        <v>Hành Paro</v>
      </c>
      <c r="B137" s="19" t="str">
        <f>'[1]ĐƠN ĐẶT HÀNG'!AA21</f>
        <v>Kg</v>
      </c>
      <c r="C137" s="46"/>
      <c r="D137" s="21"/>
      <c r="E137">
        <f t="shared" si="2"/>
        <v>0</v>
      </c>
    </row>
    <row r="138" spans="1:5" ht="15.6" hidden="1" x14ac:dyDescent="0.3">
      <c r="A138" s="19" t="str">
        <f>VLOOKUP('[1]ĐƠN ĐẶT HÀNG'!Z22,'[1]DANH SÁCH HÀNG HÓA, DỊCH VỤ'!B:C,2,0)</f>
        <v>Xà Lách Lolo Xanh T.C Cây</v>
      </c>
      <c r="B138" s="19" t="str">
        <f>'[1]ĐƠN ĐẶT HÀNG'!AA22</f>
        <v>Cây</v>
      </c>
      <c r="C138" s="46">
        <v>150</v>
      </c>
      <c r="D138" s="21">
        <v>6800</v>
      </c>
      <c r="E138">
        <f t="shared" si="2"/>
        <v>1020000</v>
      </c>
    </row>
    <row r="139" spans="1:5" ht="15.6" hidden="1" x14ac:dyDescent="0.3">
      <c r="A139" s="19" t="str">
        <f>VLOOKUP('[1]ĐƠN ĐẶT HÀNG'!Z23,'[1]DANH SÁCH HÀNG HÓA, DỊCH VỤ'!B:C,2,0)</f>
        <v>Xà Lách Mỡ T.C Cây</v>
      </c>
      <c r="B139" s="19" t="str">
        <f>'[1]ĐƠN ĐẶT HÀNG'!AA23</f>
        <v>Cây</v>
      </c>
      <c r="C139" s="46">
        <f>25+25</f>
        <v>50</v>
      </c>
      <c r="D139" s="21">
        <v>6800</v>
      </c>
      <c r="E139">
        <f t="shared" si="2"/>
        <v>340000</v>
      </c>
    </row>
    <row r="140" spans="1:5" ht="15.6" hidden="1" x14ac:dyDescent="0.3">
      <c r="A140" s="19" t="str">
        <f>VLOOKUP('[1]ĐƠN ĐẶT HÀNG'!Z24,'[1]DANH SÁCH HÀNG HÓA, DỊCH VỤ'!B:C,2,0)</f>
        <v>Xà Lách Thủy Tinh T.C Cây</v>
      </c>
      <c r="B140" s="19" t="str">
        <f>'[1]ĐƠN ĐẶT HÀNG'!AA24</f>
        <v>Cây</v>
      </c>
      <c r="C140" s="46">
        <v>80</v>
      </c>
      <c r="D140" s="21">
        <v>8000</v>
      </c>
      <c r="E140">
        <f t="shared" si="2"/>
        <v>640000</v>
      </c>
    </row>
    <row r="141" spans="1:5" ht="15.6" hidden="1" x14ac:dyDescent="0.3">
      <c r="A141" s="19" t="str">
        <f>VLOOKUP('[1]ĐƠN ĐẶT HÀNG'!Z25,'[1]DANH SÁCH HÀNG HÓA, DỊCH VỤ'!B:C,2,0)</f>
        <v>Bí Đao Xanh</v>
      </c>
      <c r="B141" s="19" t="str">
        <f>'[1]ĐƠN ĐẶT HÀNG'!AA25</f>
        <v>Kg</v>
      </c>
      <c r="C141" s="46">
        <f>9+30+30+10</f>
        <v>79</v>
      </c>
      <c r="D141" s="21">
        <v>8000</v>
      </c>
      <c r="E141">
        <f t="shared" si="2"/>
        <v>632000</v>
      </c>
    </row>
    <row r="142" spans="1:5" ht="15.6" hidden="1" x14ac:dyDescent="0.3">
      <c r="A142" s="19" t="str">
        <f>VLOOKUP('[1]ĐƠN ĐẶT HÀNG'!Z26,'[1]DANH SÁCH HÀNG HÓA, DỊCH VỤ'!B:C,2,0)</f>
        <v>Bí Đỏ Tròn</v>
      </c>
      <c r="B142" s="19" t="str">
        <f>'[1]ĐƠN ĐẶT HÀNG'!AA26</f>
        <v>Kg</v>
      </c>
      <c r="C142" s="46">
        <v>2000</v>
      </c>
      <c r="D142" s="21">
        <v>4300</v>
      </c>
      <c r="E142">
        <f t="shared" si="2"/>
        <v>8600000</v>
      </c>
    </row>
    <row r="143" spans="1:5" ht="15.6" hidden="1" x14ac:dyDescent="0.3">
      <c r="A143" s="19" t="str">
        <f>VLOOKUP('[1]ĐƠN ĐẶT HÀNG'!Z27,'[1]DANH SÁCH HÀNG HÓA, DỊCH VỤ'!B:C,2,0)</f>
        <v>Bí Ngòi Xanh</v>
      </c>
      <c r="B143" s="19" t="str">
        <f>'[1]ĐƠN ĐẶT HÀNG'!AA27</f>
        <v>Kg</v>
      </c>
      <c r="C143" s="46">
        <v>70</v>
      </c>
      <c r="D143" s="21">
        <v>10000</v>
      </c>
      <c r="E143">
        <f t="shared" si="2"/>
        <v>700000</v>
      </c>
    </row>
    <row r="144" spans="1:5" ht="15.6" hidden="1" x14ac:dyDescent="0.3">
      <c r="A144" s="19" t="str">
        <f>VLOOKUP('[1]ĐƠN ĐẶT HÀNG'!Z28,'[1]DANH SÁCH HÀNG HÓA, DỊCH VỤ'!B:C,2,0)</f>
        <v>Cà Chua Beef</v>
      </c>
      <c r="B144" s="19" t="str">
        <f>'[1]ĐƠN ĐẶT HÀNG'!AA28</f>
        <v>Kg</v>
      </c>
      <c r="C144" s="46">
        <v>120</v>
      </c>
      <c r="D144" s="21">
        <v>17000</v>
      </c>
      <c r="E144">
        <f t="shared" si="2"/>
        <v>2040000</v>
      </c>
    </row>
    <row r="145" spans="1:5" ht="15.6" hidden="1" x14ac:dyDescent="0.3">
      <c r="A145" s="19" t="str">
        <f>VLOOKUP('[1]ĐƠN ĐẶT HÀNG'!Z29,'[1]DANH SÁCH HÀNG HÓA, DỊCH VỤ'!B:C,2,0)</f>
        <v>Cà Chua Thường</v>
      </c>
      <c r="B145" s="19" t="str">
        <f>'[1]ĐƠN ĐẶT HÀNG'!AA29</f>
        <v>Kg</v>
      </c>
      <c r="C145" s="46">
        <v>160</v>
      </c>
      <c r="D145" s="21">
        <v>17000</v>
      </c>
      <c r="E145">
        <f t="shared" si="2"/>
        <v>2720000</v>
      </c>
    </row>
    <row r="146" spans="1:5" ht="15.6" hidden="1" x14ac:dyDescent="0.3">
      <c r="A146" s="19" t="str">
        <f>VLOOKUP('[1]ĐƠN ĐẶT HÀNG'!Z30,'[1]DANH SÁCH HÀNG HÓA, DỊCH VỤ'!B:C,2,0)</f>
        <v>Cà Tím</v>
      </c>
      <c r="B146" s="19" t="str">
        <f>'[1]ĐƠN ĐẶT HÀNG'!AA30</f>
        <v>Kg</v>
      </c>
      <c r="C146" s="46">
        <v>55</v>
      </c>
      <c r="D146" s="21">
        <v>5000</v>
      </c>
      <c r="E146">
        <f t="shared" si="2"/>
        <v>275000</v>
      </c>
    </row>
    <row r="147" spans="1:5" ht="15.6" hidden="1" x14ac:dyDescent="0.3">
      <c r="A147" s="19" t="str">
        <f>VLOOKUP('[1]ĐƠN ĐẶT HÀNG'!Z31,'[1]DANH SÁCH HÀNG HÓA, DỊCH VỤ'!B:C,2,0)</f>
        <v>Ớt Chuông Đỏ</v>
      </c>
      <c r="B147" s="19" t="str">
        <f>'[1]ĐƠN ĐẶT HÀNG'!AA31</f>
        <v>Kg</v>
      </c>
      <c r="C147" s="46">
        <v>20</v>
      </c>
      <c r="D147" s="21">
        <v>35000</v>
      </c>
      <c r="E147">
        <f t="shared" si="2"/>
        <v>700000</v>
      </c>
    </row>
    <row r="148" spans="1:5" ht="15.6" hidden="1" x14ac:dyDescent="0.3">
      <c r="A148" s="19" t="str">
        <f>VLOOKUP('[1]ĐƠN ĐẶT HÀNG'!Z32,'[1]DANH SÁCH HÀNG HÓA, DỊCH VỤ'!B:C,2,0)</f>
        <v>Ớt Chuông Vàng</v>
      </c>
      <c r="B148" s="19" t="str">
        <f>'[1]ĐƠN ĐẶT HÀNG'!AA32</f>
        <v>Kg</v>
      </c>
      <c r="C148" s="46"/>
      <c r="D148" s="21"/>
      <c r="E148">
        <f t="shared" si="2"/>
        <v>0</v>
      </c>
    </row>
    <row r="149" spans="1:5" ht="15.6" hidden="1" x14ac:dyDescent="0.3">
      <c r="A149" s="19" t="str">
        <f>VLOOKUP('[1]ĐƠN ĐẶT HÀNG'!Z33,'[1]DANH SÁCH HÀNG HÓA, DỊCH VỤ'!B:C,2,0)</f>
        <v>Ớt Chuông Xanh</v>
      </c>
      <c r="B149" s="19" t="str">
        <f>'[1]ĐƠN ĐẶT HÀNG'!AA33</f>
        <v>Kg</v>
      </c>
      <c r="C149" s="46">
        <v>20</v>
      </c>
      <c r="D149" s="21">
        <v>28000</v>
      </c>
      <c r="E149">
        <f t="shared" si="2"/>
        <v>560000</v>
      </c>
    </row>
    <row r="150" spans="1:5" ht="15.6" hidden="1" x14ac:dyDescent="0.3">
      <c r="A150" s="19" t="str">
        <f>VLOOKUP('[1]ĐƠN ĐẶT HÀNG'!Z34,'[1]DANH SÁCH HÀNG HÓA, DỊCH VỤ'!B:C,2,0)</f>
        <v>Trái Su Su</v>
      </c>
      <c r="B150" s="19" t="str">
        <f>'[1]ĐƠN ĐẶT HÀNG'!AA34</f>
        <v>Kg</v>
      </c>
      <c r="C150" s="46"/>
      <c r="D150" s="21"/>
      <c r="E150">
        <f t="shared" si="2"/>
        <v>0</v>
      </c>
    </row>
    <row r="151" spans="1:5" ht="15.6" hidden="1" x14ac:dyDescent="0.3">
      <c r="A151" s="19" t="str">
        <f>VLOOKUP('[1]ĐƠN ĐẶT HÀNG'!Z35,'[1]DANH SÁCH HÀNG HÓA, DỊCH VỤ'!B:C,2,0)</f>
        <v>Chuối Laba</v>
      </c>
      <c r="B151" s="19" t="str">
        <f>'[1]ĐƠN ĐẶT HÀNG'!AA35</f>
        <v>Kg</v>
      </c>
      <c r="C151" s="46">
        <f>15+20+10+10+10</f>
        <v>65</v>
      </c>
      <c r="D151" s="21">
        <v>13000</v>
      </c>
      <c r="E151">
        <f t="shared" si="2"/>
        <v>845000</v>
      </c>
    </row>
    <row r="152" spans="1:5" ht="15.6" hidden="1" x14ac:dyDescent="0.3">
      <c r="A152" s="19" t="str">
        <f>VLOOKUP('[1]ĐƠN ĐẶT HÀNG'!Z36,'[1]DANH SÁCH HÀNG HÓA, DỊCH VỤ'!B:C,2,0)</f>
        <v>Chanh Dây Tím</v>
      </c>
      <c r="B152" s="19" t="str">
        <f>'[1]ĐƠN ĐẶT HÀNG'!AA36</f>
        <v>Kg</v>
      </c>
      <c r="C152" s="46">
        <v>25</v>
      </c>
      <c r="D152" s="21">
        <v>28000</v>
      </c>
      <c r="E152">
        <f t="shared" si="2"/>
        <v>700000</v>
      </c>
    </row>
    <row r="153" spans="1:5" ht="15.6" hidden="1" x14ac:dyDescent="0.3">
      <c r="A153" s="19" t="str">
        <f>VLOOKUP('[1]ĐƠN ĐẶT HÀNG'!Z37,'[1]DANH SÁCH HÀNG HÓA, DỊCH VỤ'!B:C,2,0)</f>
        <v>Cải Thảo Hỏa Tiễn</v>
      </c>
      <c r="B153" s="19" t="str">
        <f>'[1]ĐƠN ĐẶT HÀNG'!AA37</f>
        <v>Kg</v>
      </c>
      <c r="C153" s="46">
        <v>9</v>
      </c>
      <c r="D153" s="21">
        <v>16000</v>
      </c>
      <c r="E153">
        <f t="shared" si="2"/>
        <v>144000</v>
      </c>
    </row>
    <row r="154" spans="1:5" ht="15.6" hidden="1" x14ac:dyDescent="0.3">
      <c r="A154" s="19" t="str">
        <f>VLOOKUP('[1]ĐƠN ĐẶT HÀNG'!Z38,'[1]DANH SÁCH HÀNG HÓA, DỊCH VỤ'!B:C,2,0)</f>
        <v>Bí Ngòi Vàng</v>
      </c>
      <c r="B154" s="19" t="str">
        <f>'[1]ĐƠN ĐẶT HÀNG'!AA38</f>
        <v>Kg</v>
      </c>
      <c r="C154" s="46"/>
      <c r="D154" s="21"/>
      <c r="E154">
        <f t="shared" si="2"/>
        <v>0</v>
      </c>
    </row>
    <row r="155" spans="1:5" ht="15.6" hidden="1" x14ac:dyDescent="0.3">
      <c r="A155" s="19" t="str">
        <f>VLOOKUP('[1]ĐƠN ĐẶT HÀNG'!Z39,'[1]DANH SÁCH HÀNG HÓA, DỊCH VỤ'!B:C,2,0)</f>
        <v>Củ Khoai Tây Hồng</v>
      </c>
      <c r="B155" s="19" t="str">
        <f>'[1]ĐƠN ĐẶT HÀNG'!AA39</f>
        <v>Kg</v>
      </c>
      <c r="C155" s="46"/>
      <c r="D155" s="21"/>
      <c r="E155">
        <f t="shared" si="2"/>
        <v>0</v>
      </c>
    </row>
    <row r="156" spans="1:5" ht="15.6" hidden="1" x14ac:dyDescent="0.3">
      <c r="A156" s="19" t="str">
        <f>VLOOKUP('[1]ĐƠN ĐẶT HÀNG'!Z40,'[1]DANH SÁCH HÀNG HÓA, DỊCH VỤ'!B:C,2,0)</f>
        <v>Dưa Leo Baby</v>
      </c>
      <c r="B156" s="19" t="str">
        <f>'[1]ĐƠN ĐẶT HÀNG'!AA40</f>
        <v>Vỉ</v>
      </c>
      <c r="C156" s="46"/>
      <c r="D156" s="21"/>
      <c r="E156">
        <f t="shared" si="2"/>
        <v>0</v>
      </c>
    </row>
    <row r="157" spans="1:5" ht="15.6" x14ac:dyDescent="0.3">
      <c r="A157" s="19" t="str">
        <f>VLOOKUP('[1]ĐƠN ĐẶT HÀNG'!Z41,'[1]DANH SÁCH HÀNG HÓA, DỊCH VỤ'!B:C,2,0)</f>
        <v>Hạt Dẻ Ngố</v>
      </c>
      <c r="B157" s="19" t="str">
        <f>'[1]ĐƠN ĐẶT HÀNG'!AA41</f>
        <v>Kg</v>
      </c>
      <c r="C157" s="46">
        <v>100</v>
      </c>
      <c r="D157" s="21">
        <v>28600</v>
      </c>
      <c r="E157">
        <f t="shared" si="2"/>
        <v>2860000</v>
      </c>
    </row>
    <row r="158" spans="1:5" ht="15.6" hidden="1" x14ac:dyDescent="0.3">
      <c r="A158" s="19" t="str">
        <f>VLOOKUP('[1]ĐƠN ĐẶT HÀNG'!Z42,'[1]DANH SÁCH HÀNG HÓA, DỊCH VỤ'!B:C,2,0)</f>
        <v>Đậu Cove Nhật</v>
      </c>
      <c r="B158" s="19" t="str">
        <f>'[1]ĐƠN ĐẶT HÀNG'!AA42</f>
        <v>Túi</v>
      </c>
      <c r="C158" s="46">
        <v>58</v>
      </c>
      <c r="D158" s="21">
        <v>6000</v>
      </c>
      <c r="E158">
        <f t="shared" si="2"/>
        <v>348000</v>
      </c>
    </row>
    <row r="159" spans="1:5" ht="15.6" hidden="1" x14ac:dyDescent="0.3">
      <c r="A159" s="19" t="str">
        <f>VLOOKUP('[1]ĐƠN ĐẶT HÀNG'!Z43,'[1]DANH SÁCH HÀNG HÓA, DỊCH VỤ'!B:C,2,0)</f>
        <v>Đậu Cove Trắng</v>
      </c>
      <c r="B159" s="19" t="str">
        <f>'[1]ĐƠN ĐẶT HÀNG'!AA43</f>
        <v>Túi</v>
      </c>
      <c r="C159" s="46">
        <f>17+20+70</f>
        <v>107</v>
      </c>
      <c r="D159" s="21">
        <v>9000</v>
      </c>
      <c r="E159">
        <f t="shared" si="2"/>
        <v>963000</v>
      </c>
    </row>
    <row r="160" spans="1:5" ht="15.6" hidden="1" x14ac:dyDescent="0.3">
      <c r="A160" s="90" t="str">
        <f>VLOOKUP('[1]ĐƠN ĐẶT HÀNG'!Z44,'[1]DANH SÁCH HÀNG HÓA, DỊCH VỤ'!B:C,2,0)</f>
        <v>Bơ Booth</v>
      </c>
      <c r="B160" s="90" t="str">
        <f>'[1]ĐƠN ĐẶT HÀNG'!AA44</f>
        <v>Kg</v>
      </c>
      <c r="C160" s="91"/>
      <c r="D160" s="92"/>
      <c r="E160">
        <f t="shared" si="2"/>
        <v>0</v>
      </c>
    </row>
    <row r="161" spans="1:5" ht="15.6" hidden="1" x14ac:dyDescent="0.3">
      <c r="A161" s="19" t="str">
        <f>VLOOKUP('[1]ĐƠN ĐẶT HÀNG'!Z45,'[1]DANH SÁCH HÀNG HÓA, DỊCH VỤ'!B:C,2,0)</f>
        <v>Hồng Giòn Đà Lạt</v>
      </c>
      <c r="B161" s="19" t="str">
        <f>'[1]ĐƠN ĐẶT HÀNG'!AA45</f>
        <v>Kg</v>
      </c>
      <c r="C161" s="46"/>
      <c r="D161" s="21"/>
      <c r="E161">
        <f t="shared" si="2"/>
        <v>0</v>
      </c>
    </row>
    <row r="162" spans="1:5" ht="15.6" hidden="1" x14ac:dyDescent="0.3">
      <c r="A162" s="19" t="str">
        <f>VLOOKUP('[1]ĐƠN ĐẶT HÀNG'!Z46,'[1]DANH SÁCH HÀNG HÓA, DỊCH VỤ'!B:C,2,0)</f>
        <v>Cải Thảo Kim Chi</v>
      </c>
      <c r="B162" s="19" t="str">
        <f>'[1]ĐƠN ĐẶT HÀNG'!AA46</f>
        <v>Kg</v>
      </c>
      <c r="C162" s="46"/>
      <c r="D162" s="21"/>
      <c r="E162">
        <f t="shared" si="2"/>
        <v>0</v>
      </c>
    </row>
    <row r="163" spans="1:5" ht="15.6" hidden="1" x14ac:dyDescent="0.3">
      <c r="A163" s="19" t="str">
        <f>VLOOKUP('[1]ĐƠN ĐẶT HÀNG'!Z47,'[1]DANH SÁCH HÀNG HÓA, DỊCH VỤ'!B:C,2,0)</f>
        <v>Xà Lách Lolo Xanh T.C</v>
      </c>
      <c r="B163" s="19" t="str">
        <f>'[1]ĐƠN ĐẶT HÀNG'!AA47</f>
        <v>Cây</v>
      </c>
      <c r="C163" s="46"/>
      <c r="D163" s="21"/>
      <c r="E163">
        <f t="shared" si="2"/>
        <v>0</v>
      </c>
    </row>
    <row r="164" spans="1:5" ht="15.6" hidden="1" x14ac:dyDescent="0.3">
      <c r="A164" s="19" t="str">
        <f>VLOOKUP('[1]ĐƠN ĐẶT HÀNG'!Z48,'[1]DANH SÁCH HÀNG HÓA, DỊCH VỤ'!B:C,2,0)</f>
        <v>Hồng Treo Gió</v>
      </c>
      <c r="B164" s="19" t="str">
        <f>'[1]ĐƠN ĐẶT HÀNG'!AA48</f>
        <v>Hộp</v>
      </c>
      <c r="C164" s="46"/>
      <c r="D164" s="21"/>
      <c r="E164">
        <f t="shared" si="2"/>
        <v>0</v>
      </c>
    </row>
    <row r="165" spans="1:5" ht="15.6" hidden="1" x14ac:dyDescent="0.3">
      <c r="A165" s="19" t="e">
        <f>VLOOKUP('[1]ĐƠN ĐẶT HÀNG'!Z49,'[1]DANH SÁCH HÀNG HÓA, DỊCH VỤ'!B:C,2,0)</f>
        <v>#N/A</v>
      </c>
      <c r="B165" s="19">
        <f>'[1]ĐƠN ĐẶT HÀNG'!AA49</f>
        <v>0</v>
      </c>
      <c r="C165" s="46"/>
      <c r="D165" s="21"/>
      <c r="E165">
        <f t="shared" si="2"/>
        <v>0</v>
      </c>
    </row>
    <row r="166" spans="1:5" ht="15.6" hidden="1" x14ac:dyDescent="0.3">
      <c r="A166" s="93" t="s">
        <v>224</v>
      </c>
      <c r="B166" s="93" t="s">
        <v>223</v>
      </c>
      <c r="C166" s="93">
        <v>2</v>
      </c>
      <c r="D166" s="93">
        <v>16000</v>
      </c>
      <c r="E166">
        <f t="shared" si="2"/>
        <v>32000</v>
      </c>
    </row>
    <row r="167" spans="1:5" hidden="1" x14ac:dyDescent="0.3">
      <c r="E167">
        <f>SUM(E123:E166)</f>
        <v>32403000</v>
      </c>
    </row>
    <row r="168" spans="1:5" hidden="1" x14ac:dyDescent="0.3">
      <c r="E168">
        <f>E167+E118</f>
        <v>233316850</v>
      </c>
    </row>
  </sheetData>
  <autoFilter ref="A3:E168" xr:uid="{00000000-0009-0000-0000-000017000000}">
    <filterColumn colId="0">
      <filters>
        <filter val="Hạt Dẻ Ngố"/>
      </filters>
    </filterColumn>
    <filterColumn colId="2">
      <filters>
        <filter val="1.5"/>
        <filter val="100"/>
        <filter val="107"/>
        <filter val="110"/>
        <filter val="118"/>
        <filter val="120"/>
        <filter val="124"/>
        <filter val="13"/>
        <filter val="1350"/>
        <filter val="14"/>
        <filter val="1472"/>
        <filter val="15"/>
        <filter val="150"/>
        <filter val="1542"/>
        <filter val="160"/>
        <filter val="170"/>
        <filter val="1821"/>
        <filter val="192"/>
        <filter val="2"/>
        <filter val="2.5"/>
        <filter val="20"/>
        <filter val="200"/>
        <filter val="2000"/>
        <filter val="220"/>
        <filter val="24"/>
        <filter val="25"/>
        <filter val="250"/>
        <filter val="3"/>
        <filter val="30"/>
        <filter val="35"/>
        <filter val="36"/>
        <filter val="384"/>
        <filter val="4"/>
        <filter val="40"/>
        <filter val="444"/>
        <filter val="46"/>
        <filter val="460"/>
        <filter val="50"/>
        <filter val="53"/>
        <filter val="55"/>
        <filter val="56"/>
        <filter val="58"/>
        <filter val="60"/>
        <filter val="630"/>
        <filter val="65"/>
        <filter val="66"/>
        <filter val="7"/>
        <filter val="70"/>
        <filter val="75"/>
        <filter val="767"/>
        <filter val="78"/>
        <filter val="79"/>
        <filter val="80"/>
        <filter val="85"/>
        <filter val="88"/>
        <filter val="9"/>
        <filter val="97"/>
        <filter val="Tồn_x000a_ĐL_x000a__x000a_現在庫"/>
      </filters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/>
  <dimension ref="A2:E156"/>
  <sheetViews>
    <sheetView topLeftCell="A107" workbookViewId="0">
      <selection activeCell="E156" sqref="E156"/>
    </sheetView>
  </sheetViews>
  <sheetFormatPr defaultRowHeight="14.4" x14ac:dyDescent="0.3"/>
  <cols>
    <col min="1" max="1" width="35.77734375" customWidth="1"/>
    <col min="5" max="5" width="18.5546875" customWidth="1"/>
  </cols>
  <sheetData>
    <row r="2" spans="1:5" x14ac:dyDescent="0.3">
      <c r="A2" t="s">
        <v>226</v>
      </c>
    </row>
    <row r="3" spans="1:5" x14ac:dyDescent="0.3">
      <c r="A3" t="s">
        <v>0</v>
      </c>
      <c r="B3" t="s">
        <v>1</v>
      </c>
      <c r="C3" t="s">
        <v>227</v>
      </c>
      <c r="D3" t="s">
        <v>137</v>
      </c>
      <c r="E3" t="s">
        <v>138</v>
      </c>
    </row>
    <row r="4" spans="1:5" x14ac:dyDescent="0.3">
      <c r="A4" t="s">
        <v>49</v>
      </c>
      <c r="B4" t="s">
        <v>4</v>
      </c>
      <c r="C4">
        <v>272</v>
      </c>
      <c r="D4">
        <v>12500</v>
      </c>
      <c r="E4">
        <f>C4*D4</f>
        <v>3400000</v>
      </c>
    </row>
    <row r="5" spans="1:5" hidden="1" x14ac:dyDescent="0.3">
      <c r="A5" t="s">
        <v>49</v>
      </c>
      <c r="B5" t="s">
        <v>31</v>
      </c>
      <c r="C5">
        <v>0</v>
      </c>
      <c r="E5">
        <f t="shared" ref="E5:E68" si="0">C5*D5</f>
        <v>0</v>
      </c>
    </row>
    <row r="6" spans="1:5" x14ac:dyDescent="0.3">
      <c r="A6" t="s">
        <v>19</v>
      </c>
      <c r="B6" t="s">
        <v>50</v>
      </c>
      <c r="C6">
        <v>17</v>
      </c>
      <c r="D6">
        <v>11000</v>
      </c>
      <c r="E6">
        <f t="shared" si="0"/>
        <v>187000</v>
      </c>
    </row>
    <row r="7" spans="1:5" x14ac:dyDescent="0.3">
      <c r="A7" t="s">
        <v>51</v>
      </c>
      <c r="B7" t="s">
        <v>53</v>
      </c>
      <c r="C7">
        <v>28</v>
      </c>
      <c r="D7">
        <v>13000</v>
      </c>
      <c r="E7">
        <f t="shared" si="0"/>
        <v>364000</v>
      </c>
    </row>
    <row r="8" spans="1:5" x14ac:dyDescent="0.3">
      <c r="A8" t="s">
        <v>28</v>
      </c>
      <c r="B8" t="s">
        <v>4</v>
      </c>
      <c r="C8">
        <v>65</v>
      </c>
      <c r="D8">
        <v>18000</v>
      </c>
      <c r="E8">
        <f t="shared" si="0"/>
        <v>1170000</v>
      </c>
    </row>
    <row r="9" spans="1:5" hidden="1" x14ac:dyDescent="0.3">
      <c r="A9" t="s">
        <v>28</v>
      </c>
      <c r="B9" t="s">
        <v>31</v>
      </c>
      <c r="C9">
        <v>0</v>
      </c>
      <c r="E9">
        <f t="shared" si="0"/>
        <v>0</v>
      </c>
    </row>
    <row r="10" spans="1:5" x14ac:dyDescent="0.3">
      <c r="A10" t="s">
        <v>29</v>
      </c>
      <c r="B10" t="s">
        <v>4</v>
      </c>
      <c r="C10">
        <v>1802</v>
      </c>
      <c r="D10">
        <v>21000</v>
      </c>
      <c r="E10">
        <f t="shared" si="0"/>
        <v>37842000</v>
      </c>
    </row>
    <row r="11" spans="1:5" hidden="1" x14ac:dyDescent="0.3">
      <c r="A11" t="s">
        <v>29</v>
      </c>
      <c r="B11" t="s">
        <v>150</v>
      </c>
      <c r="C11">
        <v>0</v>
      </c>
      <c r="E11">
        <f t="shared" si="0"/>
        <v>0</v>
      </c>
    </row>
    <row r="12" spans="1:5" x14ac:dyDescent="0.3">
      <c r="A12" t="s">
        <v>56</v>
      </c>
      <c r="B12" t="s">
        <v>31</v>
      </c>
      <c r="C12">
        <v>1821</v>
      </c>
      <c r="D12">
        <v>4500</v>
      </c>
      <c r="E12">
        <f t="shared" si="0"/>
        <v>8194500</v>
      </c>
    </row>
    <row r="13" spans="1:5" x14ac:dyDescent="0.3">
      <c r="A13" t="s">
        <v>57</v>
      </c>
      <c r="B13" t="s">
        <v>4</v>
      </c>
      <c r="C13">
        <v>1280</v>
      </c>
      <c r="D13">
        <v>25000</v>
      </c>
      <c r="E13">
        <f t="shared" si="0"/>
        <v>32000000</v>
      </c>
    </row>
    <row r="14" spans="1:5" x14ac:dyDescent="0.3">
      <c r="A14" t="s">
        <v>32</v>
      </c>
      <c r="B14" t="s">
        <v>4</v>
      </c>
      <c r="C14">
        <v>120</v>
      </c>
      <c r="D14">
        <v>17000</v>
      </c>
      <c r="E14">
        <f t="shared" si="0"/>
        <v>2040000</v>
      </c>
    </row>
    <row r="15" spans="1:5" x14ac:dyDescent="0.3">
      <c r="A15" t="s">
        <v>34</v>
      </c>
      <c r="B15" t="s">
        <v>4</v>
      </c>
      <c r="C15">
        <v>150</v>
      </c>
      <c r="D15">
        <v>15000</v>
      </c>
      <c r="E15">
        <f t="shared" si="0"/>
        <v>2250000</v>
      </c>
    </row>
    <row r="16" spans="1:5" hidden="1" x14ac:dyDescent="0.3">
      <c r="A16" t="s">
        <v>34</v>
      </c>
      <c r="B16" t="s">
        <v>31</v>
      </c>
      <c r="C16">
        <v>0</v>
      </c>
      <c r="E16">
        <f t="shared" si="0"/>
        <v>0</v>
      </c>
    </row>
    <row r="17" spans="1:5" hidden="1" x14ac:dyDescent="0.3">
      <c r="A17" t="s">
        <v>60</v>
      </c>
      <c r="B17" t="s">
        <v>50</v>
      </c>
      <c r="C17">
        <v>0</v>
      </c>
      <c r="E17">
        <f t="shared" si="0"/>
        <v>0</v>
      </c>
    </row>
    <row r="18" spans="1:5" x14ac:dyDescent="0.3">
      <c r="A18" t="s">
        <v>6</v>
      </c>
      <c r="B18" t="s">
        <v>4</v>
      </c>
      <c r="C18">
        <v>470</v>
      </c>
      <c r="D18">
        <v>11000</v>
      </c>
      <c r="E18">
        <f t="shared" si="0"/>
        <v>5170000</v>
      </c>
    </row>
    <row r="19" spans="1:5" x14ac:dyDescent="0.3">
      <c r="A19" t="s">
        <v>62</v>
      </c>
      <c r="B19" t="s">
        <v>4</v>
      </c>
      <c r="C19">
        <v>14</v>
      </c>
      <c r="D19">
        <v>20000</v>
      </c>
      <c r="E19">
        <f t="shared" si="0"/>
        <v>280000</v>
      </c>
    </row>
    <row r="20" spans="1:5" x14ac:dyDescent="0.3">
      <c r="A20" t="s">
        <v>62</v>
      </c>
      <c r="B20" t="s">
        <v>31</v>
      </c>
      <c r="C20">
        <v>37</v>
      </c>
      <c r="D20">
        <v>7000</v>
      </c>
      <c r="E20">
        <f t="shared" si="0"/>
        <v>259000</v>
      </c>
    </row>
    <row r="21" spans="1:5" hidden="1" x14ac:dyDescent="0.3">
      <c r="A21" t="s">
        <v>64</v>
      </c>
      <c r="B21" t="s">
        <v>31</v>
      </c>
      <c r="C21">
        <v>0</v>
      </c>
      <c r="E21">
        <f t="shared" si="0"/>
        <v>0</v>
      </c>
    </row>
    <row r="22" spans="1:5" x14ac:dyDescent="0.3">
      <c r="A22" t="s">
        <v>22</v>
      </c>
      <c r="B22" t="s">
        <v>4</v>
      </c>
      <c r="C22">
        <v>470</v>
      </c>
      <c r="D22">
        <v>7000</v>
      </c>
      <c r="E22">
        <f t="shared" si="0"/>
        <v>3290000</v>
      </c>
    </row>
    <row r="23" spans="1:5" hidden="1" x14ac:dyDescent="0.3">
      <c r="A23" t="s">
        <v>24</v>
      </c>
      <c r="B23" t="s">
        <v>66</v>
      </c>
      <c r="C23">
        <v>0</v>
      </c>
      <c r="E23">
        <f t="shared" si="0"/>
        <v>0</v>
      </c>
    </row>
    <row r="24" spans="1:5" x14ac:dyDescent="0.3">
      <c r="A24" t="s">
        <v>24</v>
      </c>
      <c r="B24" t="s">
        <v>4</v>
      </c>
      <c r="C24">
        <v>87</v>
      </c>
      <c r="D24">
        <v>16000</v>
      </c>
      <c r="E24">
        <f t="shared" si="0"/>
        <v>1392000</v>
      </c>
    </row>
    <row r="25" spans="1:5" x14ac:dyDescent="0.3">
      <c r="A25" t="s">
        <v>75</v>
      </c>
      <c r="B25" t="s">
        <v>4</v>
      </c>
      <c r="C25">
        <v>30</v>
      </c>
      <c r="D25">
        <v>28000</v>
      </c>
      <c r="E25">
        <f t="shared" si="0"/>
        <v>840000</v>
      </c>
    </row>
    <row r="26" spans="1:5" x14ac:dyDescent="0.3">
      <c r="A26" t="s">
        <v>8</v>
      </c>
      <c r="B26" t="s">
        <v>4</v>
      </c>
      <c r="C26">
        <v>860</v>
      </c>
      <c r="D26">
        <v>4300</v>
      </c>
      <c r="E26">
        <f t="shared" si="0"/>
        <v>3698000</v>
      </c>
    </row>
    <row r="27" spans="1:5" x14ac:dyDescent="0.3">
      <c r="A27" t="s">
        <v>10</v>
      </c>
      <c r="B27" t="s">
        <v>4</v>
      </c>
      <c r="C27">
        <v>54</v>
      </c>
      <c r="D27">
        <v>10000</v>
      </c>
      <c r="E27">
        <f t="shared" si="0"/>
        <v>540000</v>
      </c>
    </row>
    <row r="28" spans="1:5" hidden="1" x14ac:dyDescent="0.3">
      <c r="A28" t="s">
        <v>10</v>
      </c>
      <c r="B28" t="s">
        <v>84</v>
      </c>
      <c r="C28">
        <v>0</v>
      </c>
      <c r="E28">
        <f t="shared" si="0"/>
        <v>0</v>
      </c>
    </row>
    <row r="29" spans="1:5" x14ac:dyDescent="0.3">
      <c r="A29" t="s">
        <v>11</v>
      </c>
      <c r="B29" t="s">
        <v>4</v>
      </c>
      <c r="C29">
        <v>52</v>
      </c>
      <c r="D29">
        <v>10000</v>
      </c>
      <c r="E29">
        <f t="shared" si="0"/>
        <v>520000</v>
      </c>
    </row>
    <row r="30" spans="1:5" hidden="1" x14ac:dyDescent="0.3">
      <c r="A30" t="s">
        <v>11</v>
      </c>
      <c r="B30" t="s">
        <v>84</v>
      </c>
      <c r="C30">
        <v>0</v>
      </c>
      <c r="E30">
        <f t="shared" si="0"/>
        <v>0</v>
      </c>
    </row>
    <row r="31" spans="1:5" hidden="1" x14ac:dyDescent="0.3">
      <c r="A31" t="s">
        <v>15</v>
      </c>
      <c r="B31" t="s">
        <v>4</v>
      </c>
      <c r="C31">
        <v>0</v>
      </c>
      <c r="E31">
        <f t="shared" si="0"/>
        <v>0</v>
      </c>
    </row>
    <row r="32" spans="1:5" hidden="1" x14ac:dyDescent="0.3">
      <c r="A32" t="s">
        <v>15</v>
      </c>
      <c r="B32" t="s">
        <v>50</v>
      </c>
      <c r="C32">
        <v>0</v>
      </c>
      <c r="E32">
        <f t="shared" si="0"/>
        <v>0</v>
      </c>
    </row>
    <row r="33" spans="1:5" hidden="1" x14ac:dyDescent="0.3">
      <c r="A33" t="s">
        <v>15</v>
      </c>
      <c r="B33" t="s">
        <v>164</v>
      </c>
      <c r="C33">
        <v>0</v>
      </c>
      <c r="E33">
        <f t="shared" si="0"/>
        <v>0</v>
      </c>
    </row>
    <row r="34" spans="1:5" x14ac:dyDescent="0.3">
      <c r="A34" t="s">
        <v>18</v>
      </c>
      <c r="B34" t="s">
        <v>4</v>
      </c>
      <c r="C34">
        <v>60</v>
      </c>
      <c r="D34">
        <v>18000</v>
      </c>
      <c r="E34">
        <f t="shared" si="0"/>
        <v>1080000</v>
      </c>
    </row>
    <row r="35" spans="1:5" hidden="1" x14ac:dyDescent="0.3">
      <c r="A35" t="s">
        <v>18</v>
      </c>
      <c r="B35" t="s">
        <v>50</v>
      </c>
      <c r="C35">
        <v>0</v>
      </c>
      <c r="E35">
        <f t="shared" si="0"/>
        <v>0</v>
      </c>
    </row>
    <row r="36" spans="1:5" x14ac:dyDescent="0.3">
      <c r="A36" t="s">
        <v>92</v>
      </c>
      <c r="B36" t="s">
        <v>31</v>
      </c>
      <c r="C36">
        <v>380</v>
      </c>
      <c r="D36">
        <v>11000</v>
      </c>
      <c r="E36">
        <f t="shared" si="0"/>
        <v>4180000</v>
      </c>
    </row>
    <row r="37" spans="1:5" hidden="1" x14ac:dyDescent="0.3">
      <c r="A37" t="s">
        <v>39</v>
      </c>
      <c r="B37" t="s">
        <v>4</v>
      </c>
      <c r="C37">
        <v>0</v>
      </c>
      <c r="E37">
        <f t="shared" si="0"/>
        <v>0</v>
      </c>
    </row>
    <row r="38" spans="1:5" x14ac:dyDescent="0.3">
      <c r="A38" t="s">
        <v>39</v>
      </c>
      <c r="B38" t="s">
        <v>50</v>
      </c>
      <c r="C38">
        <v>160</v>
      </c>
      <c r="D38">
        <v>5000</v>
      </c>
      <c r="E38">
        <f t="shared" si="0"/>
        <v>800000</v>
      </c>
    </row>
    <row r="39" spans="1:5" x14ac:dyDescent="0.3">
      <c r="A39" t="s">
        <v>100</v>
      </c>
      <c r="B39" t="s">
        <v>4</v>
      </c>
      <c r="C39">
        <v>27</v>
      </c>
      <c r="D39">
        <v>5000</v>
      </c>
      <c r="E39">
        <f t="shared" si="0"/>
        <v>135000</v>
      </c>
    </row>
    <row r="40" spans="1:5" x14ac:dyDescent="0.3">
      <c r="A40" t="s">
        <v>43</v>
      </c>
      <c r="B40" t="s">
        <v>4</v>
      </c>
      <c r="C40">
        <v>70</v>
      </c>
      <c r="D40">
        <v>35000</v>
      </c>
      <c r="E40">
        <f t="shared" si="0"/>
        <v>2450000</v>
      </c>
    </row>
    <row r="41" spans="1:5" hidden="1" x14ac:dyDescent="0.3">
      <c r="A41" t="s">
        <v>43</v>
      </c>
      <c r="B41" t="s">
        <v>84</v>
      </c>
      <c r="C41">
        <v>0</v>
      </c>
      <c r="E41">
        <f t="shared" si="0"/>
        <v>0</v>
      </c>
    </row>
    <row r="42" spans="1:5" x14ac:dyDescent="0.3">
      <c r="A42" t="s">
        <v>44</v>
      </c>
      <c r="B42" t="s">
        <v>4</v>
      </c>
      <c r="C42">
        <v>65</v>
      </c>
      <c r="D42">
        <v>18000</v>
      </c>
      <c r="E42">
        <f t="shared" si="0"/>
        <v>1170000</v>
      </c>
    </row>
    <row r="43" spans="1:5" hidden="1" x14ac:dyDescent="0.3">
      <c r="A43" t="s">
        <v>44</v>
      </c>
      <c r="B43" t="s">
        <v>84</v>
      </c>
      <c r="C43">
        <v>0</v>
      </c>
      <c r="E43">
        <f t="shared" si="0"/>
        <v>0</v>
      </c>
    </row>
    <row r="44" spans="1:5" hidden="1" x14ac:dyDescent="0.3">
      <c r="A44" t="s">
        <v>45</v>
      </c>
      <c r="B44" t="s">
        <v>4</v>
      </c>
      <c r="C44">
        <v>0</v>
      </c>
      <c r="E44">
        <f t="shared" si="0"/>
        <v>0</v>
      </c>
    </row>
    <row r="45" spans="1:5" hidden="1" x14ac:dyDescent="0.3">
      <c r="A45" t="s">
        <v>45</v>
      </c>
      <c r="B45" t="s">
        <v>84</v>
      </c>
      <c r="C45">
        <v>0</v>
      </c>
      <c r="E45">
        <f t="shared" si="0"/>
        <v>0</v>
      </c>
    </row>
    <row r="46" spans="1:5" hidden="1" x14ac:dyDescent="0.3">
      <c r="A46" t="s">
        <v>12</v>
      </c>
      <c r="B46" t="s">
        <v>4</v>
      </c>
      <c r="C46">
        <v>0</v>
      </c>
      <c r="E46">
        <f t="shared" si="0"/>
        <v>0</v>
      </c>
    </row>
    <row r="47" spans="1:5" hidden="1" x14ac:dyDescent="0.3">
      <c r="A47" t="s">
        <v>116</v>
      </c>
      <c r="B47" t="s">
        <v>50</v>
      </c>
      <c r="C47">
        <v>0</v>
      </c>
      <c r="E47">
        <f t="shared" si="0"/>
        <v>0</v>
      </c>
    </row>
    <row r="48" spans="1:5" hidden="1" x14ac:dyDescent="0.3">
      <c r="A48" t="s">
        <v>117</v>
      </c>
      <c r="B48" t="s">
        <v>4</v>
      </c>
      <c r="C48">
        <v>0</v>
      </c>
      <c r="E48">
        <f t="shared" si="0"/>
        <v>0</v>
      </c>
    </row>
    <row r="49" spans="1:5" x14ac:dyDescent="0.3">
      <c r="A49" t="s">
        <v>17</v>
      </c>
      <c r="B49" t="s">
        <v>4</v>
      </c>
      <c r="C49">
        <v>5</v>
      </c>
      <c r="D49">
        <v>29000</v>
      </c>
      <c r="E49">
        <f t="shared" si="0"/>
        <v>145000</v>
      </c>
    </row>
    <row r="50" spans="1:5" hidden="1" x14ac:dyDescent="0.3">
      <c r="A50" t="s">
        <v>17</v>
      </c>
      <c r="B50" t="s">
        <v>147</v>
      </c>
      <c r="C50">
        <v>0</v>
      </c>
      <c r="E50">
        <f t="shared" si="0"/>
        <v>0</v>
      </c>
    </row>
    <row r="51" spans="1:5" hidden="1" x14ac:dyDescent="0.3">
      <c r="A51" t="s">
        <v>17</v>
      </c>
      <c r="B51" t="s">
        <v>203</v>
      </c>
      <c r="C51">
        <v>0</v>
      </c>
      <c r="E51">
        <f t="shared" si="0"/>
        <v>0</v>
      </c>
    </row>
    <row r="52" spans="1:5" hidden="1" x14ac:dyDescent="0.3">
      <c r="A52" t="s">
        <v>118</v>
      </c>
      <c r="B52" t="s">
        <v>4</v>
      </c>
      <c r="C52">
        <v>0</v>
      </c>
      <c r="E52">
        <f t="shared" si="0"/>
        <v>0</v>
      </c>
    </row>
    <row r="53" spans="1:5" x14ac:dyDescent="0.3">
      <c r="A53" t="s">
        <v>41</v>
      </c>
      <c r="B53" t="s">
        <v>4</v>
      </c>
      <c r="C53">
        <v>2670</v>
      </c>
      <c r="D53">
        <v>28600</v>
      </c>
      <c r="E53">
        <f t="shared" si="0"/>
        <v>76362000</v>
      </c>
    </row>
    <row r="54" spans="1:5" x14ac:dyDescent="0.3">
      <c r="A54" t="s">
        <v>3</v>
      </c>
      <c r="B54" t="s">
        <v>4</v>
      </c>
      <c r="C54">
        <v>55</v>
      </c>
      <c r="D54">
        <v>30000</v>
      </c>
      <c r="E54">
        <f t="shared" si="0"/>
        <v>1650000</v>
      </c>
    </row>
    <row r="55" spans="1:5" x14ac:dyDescent="0.3">
      <c r="A55" t="s">
        <v>5</v>
      </c>
      <c r="B55" t="s">
        <v>4</v>
      </c>
      <c r="C55">
        <v>87</v>
      </c>
      <c r="D55">
        <v>10000</v>
      </c>
      <c r="E55">
        <f t="shared" si="0"/>
        <v>870000</v>
      </c>
    </row>
    <row r="56" spans="1:5" x14ac:dyDescent="0.3">
      <c r="A56" t="s">
        <v>13</v>
      </c>
      <c r="B56" t="s">
        <v>4</v>
      </c>
      <c r="C56">
        <v>8</v>
      </c>
      <c r="D56">
        <v>26000</v>
      </c>
      <c r="E56">
        <f t="shared" si="0"/>
        <v>208000</v>
      </c>
    </row>
    <row r="57" spans="1:5" hidden="1" x14ac:dyDescent="0.3">
      <c r="A57" t="s">
        <v>175</v>
      </c>
      <c r="B57" t="s">
        <v>4</v>
      </c>
      <c r="C57">
        <v>0</v>
      </c>
      <c r="E57">
        <f t="shared" si="0"/>
        <v>0</v>
      </c>
    </row>
    <row r="58" spans="1:5" x14ac:dyDescent="0.3">
      <c r="A58" t="s">
        <v>16</v>
      </c>
      <c r="B58" t="s">
        <v>4</v>
      </c>
      <c r="C58">
        <v>40</v>
      </c>
      <c r="D58">
        <v>15000</v>
      </c>
      <c r="E58">
        <f t="shared" si="0"/>
        <v>600000</v>
      </c>
    </row>
    <row r="59" spans="1:5" x14ac:dyDescent="0.3">
      <c r="A59" t="s">
        <v>16</v>
      </c>
      <c r="B59" t="s">
        <v>165</v>
      </c>
      <c r="C59">
        <v>48</v>
      </c>
      <c r="D59">
        <v>8000</v>
      </c>
      <c r="E59">
        <f t="shared" si="0"/>
        <v>384000</v>
      </c>
    </row>
    <row r="60" spans="1:5" x14ac:dyDescent="0.3">
      <c r="A60" t="s">
        <v>89</v>
      </c>
      <c r="B60" t="s">
        <v>53</v>
      </c>
      <c r="C60">
        <v>8</v>
      </c>
      <c r="D60">
        <v>14250</v>
      </c>
      <c r="E60">
        <f t="shared" si="0"/>
        <v>114000</v>
      </c>
    </row>
    <row r="61" spans="1:5" hidden="1" x14ac:dyDescent="0.3">
      <c r="A61" t="s">
        <v>90</v>
      </c>
      <c r="B61" t="s">
        <v>4</v>
      </c>
      <c r="C61">
        <v>0</v>
      </c>
      <c r="E61">
        <f t="shared" si="0"/>
        <v>0</v>
      </c>
    </row>
    <row r="62" spans="1:5" x14ac:dyDescent="0.3">
      <c r="A62" t="s">
        <v>90</v>
      </c>
      <c r="B62" t="s">
        <v>148</v>
      </c>
      <c r="C62">
        <v>33</v>
      </c>
      <c r="D62">
        <v>8000</v>
      </c>
      <c r="E62">
        <f t="shared" si="0"/>
        <v>264000</v>
      </c>
    </row>
    <row r="63" spans="1:5" hidden="1" x14ac:dyDescent="0.3">
      <c r="A63" t="s">
        <v>21</v>
      </c>
      <c r="B63" t="s">
        <v>4</v>
      </c>
      <c r="C63">
        <v>0</v>
      </c>
      <c r="E63">
        <f t="shared" si="0"/>
        <v>0</v>
      </c>
    </row>
    <row r="64" spans="1:5" hidden="1" x14ac:dyDescent="0.3">
      <c r="A64" t="s">
        <v>21</v>
      </c>
      <c r="B64" t="s">
        <v>149</v>
      </c>
      <c r="C64">
        <v>0</v>
      </c>
      <c r="E64">
        <f t="shared" si="0"/>
        <v>0</v>
      </c>
    </row>
    <row r="65" spans="1:5" x14ac:dyDescent="0.3">
      <c r="A65" t="s">
        <v>63</v>
      </c>
      <c r="B65" t="s">
        <v>31</v>
      </c>
      <c r="C65">
        <v>7</v>
      </c>
      <c r="D65">
        <v>6000</v>
      </c>
      <c r="E65">
        <f t="shared" si="0"/>
        <v>42000</v>
      </c>
    </row>
    <row r="66" spans="1:5" hidden="1" x14ac:dyDescent="0.3">
      <c r="A66" t="s">
        <v>26</v>
      </c>
      <c r="B66" t="s">
        <v>4</v>
      </c>
      <c r="C66">
        <v>0</v>
      </c>
      <c r="E66">
        <f t="shared" si="0"/>
        <v>0</v>
      </c>
    </row>
    <row r="67" spans="1:5" hidden="1" x14ac:dyDescent="0.3">
      <c r="A67" t="s">
        <v>27</v>
      </c>
      <c r="B67" t="s">
        <v>4</v>
      </c>
      <c r="C67">
        <v>0</v>
      </c>
      <c r="E67">
        <f t="shared" si="0"/>
        <v>0</v>
      </c>
    </row>
    <row r="68" spans="1:5" x14ac:dyDescent="0.3">
      <c r="A68" t="s">
        <v>54</v>
      </c>
      <c r="B68" t="s">
        <v>4</v>
      </c>
      <c r="C68">
        <v>5</v>
      </c>
      <c r="D68">
        <v>39000</v>
      </c>
      <c r="E68">
        <f t="shared" si="0"/>
        <v>195000</v>
      </c>
    </row>
    <row r="69" spans="1:5" x14ac:dyDescent="0.3">
      <c r="A69" t="s">
        <v>35</v>
      </c>
      <c r="B69" t="s">
        <v>4</v>
      </c>
      <c r="C69">
        <v>73</v>
      </c>
      <c r="D69">
        <v>17000</v>
      </c>
      <c r="E69">
        <f t="shared" ref="E69:E134" si="1">C69*D69</f>
        <v>1241000</v>
      </c>
    </row>
    <row r="70" spans="1:5" hidden="1" x14ac:dyDescent="0.3">
      <c r="A70" t="s">
        <v>123</v>
      </c>
      <c r="B70" t="s">
        <v>31</v>
      </c>
      <c r="C70">
        <v>0</v>
      </c>
      <c r="E70">
        <f t="shared" si="1"/>
        <v>0</v>
      </c>
    </row>
    <row r="71" spans="1:5" x14ac:dyDescent="0.3">
      <c r="A71" t="s">
        <v>37</v>
      </c>
      <c r="B71" t="s">
        <v>4</v>
      </c>
      <c r="C71">
        <v>10</v>
      </c>
      <c r="D71">
        <v>9000</v>
      </c>
      <c r="E71">
        <f t="shared" si="1"/>
        <v>90000</v>
      </c>
    </row>
    <row r="72" spans="1:5" hidden="1" x14ac:dyDescent="0.3">
      <c r="A72" t="s">
        <v>37</v>
      </c>
      <c r="B72" t="s">
        <v>151</v>
      </c>
      <c r="C72">
        <v>0</v>
      </c>
      <c r="E72">
        <f t="shared" si="1"/>
        <v>0</v>
      </c>
    </row>
    <row r="73" spans="1:5" x14ac:dyDescent="0.3">
      <c r="A73" t="s">
        <v>96</v>
      </c>
      <c r="B73" t="s">
        <v>4</v>
      </c>
      <c r="C73">
        <v>2.5</v>
      </c>
      <c r="D73">
        <v>80000</v>
      </c>
      <c r="E73">
        <f t="shared" si="1"/>
        <v>200000</v>
      </c>
    </row>
    <row r="74" spans="1:5" x14ac:dyDescent="0.3">
      <c r="A74" t="s">
        <v>97</v>
      </c>
      <c r="B74" t="s">
        <v>4</v>
      </c>
      <c r="C74">
        <v>2.5</v>
      </c>
      <c r="D74">
        <v>70000</v>
      </c>
      <c r="E74">
        <f t="shared" si="1"/>
        <v>175000</v>
      </c>
    </row>
    <row r="75" spans="1:5" x14ac:dyDescent="0.3">
      <c r="A75" t="s">
        <v>105</v>
      </c>
      <c r="B75" t="s">
        <v>4</v>
      </c>
      <c r="C75">
        <v>1.5</v>
      </c>
      <c r="D75">
        <v>70000</v>
      </c>
      <c r="E75">
        <f t="shared" si="1"/>
        <v>105000</v>
      </c>
    </row>
    <row r="76" spans="1:5" hidden="1" x14ac:dyDescent="0.3">
      <c r="A76" t="s">
        <v>40</v>
      </c>
      <c r="B76" t="s">
        <v>66</v>
      </c>
      <c r="C76">
        <v>0</v>
      </c>
      <c r="E76">
        <f t="shared" si="1"/>
        <v>0</v>
      </c>
    </row>
    <row r="77" spans="1:5" x14ac:dyDescent="0.3">
      <c r="A77" t="s">
        <v>40</v>
      </c>
      <c r="B77" t="s">
        <v>4</v>
      </c>
      <c r="C77">
        <v>90</v>
      </c>
      <c r="D77">
        <v>30000</v>
      </c>
      <c r="E77">
        <f t="shared" si="1"/>
        <v>2700000</v>
      </c>
    </row>
    <row r="78" spans="1:5" x14ac:dyDescent="0.3">
      <c r="A78" t="s">
        <v>124</v>
      </c>
      <c r="B78" t="s">
        <v>4</v>
      </c>
      <c r="C78">
        <v>4</v>
      </c>
      <c r="D78">
        <v>30000</v>
      </c>
      <c r="E78">
        <f t="shared" si="1"/>
        <v>120000</v>
      </c>
    </row>
    <row r="79" spans="1:5" hidden="1" x14ac:dyDescent="0.3">
      <c r="A79" t="s">
        <v>42</v>
      </c>
      <c r="B79" t="s">
        <v>31</v>
      </c>
      <c r="C79">
        <v>0</v>
      </c>
      <c r="E79">
        <f t="shared" si="1"/>
        <v>0</v>
      </c>
    </row>
    <row r="80" spans="1:5" x14ac:dyDescent="0.3">
      <c r="A80" t="s">
        <v>67</v>
      </c>
      <c r="B80" t="s">
        <v>4</v>
      </c>
      <c r="C80">
        <v>10</v>
      </c>
      <c r="D80">
        <v>14000</v>
      </c>
      <c r="E80">
        <f t="shared" si="1"/>
        <v>140000</v>
      </c>
    </row>
    <row r="81" spans="1:5" hidden="1" x14ac:dyDescent="0.3">
      <c r="A81" t="s">
        <v>101</v>
      </c>
      <c r="B81" t="s">
        <v>53</v>
      </c>
      <c r="C81">
        <v>0</v>
      </c>
      <c r="E81">
        <f t="shared" si="1"/>
        <v>0</v>
      </c>
    </row>
    <row r="82" spans="1:5" x14ac:dyDescent="0.3">
      <c r="A82" t="s">
        <v>101</v>
      </c>
      <c r="B82" t="s">
        <v>4</v>
      </c>
      <c r="C82">
        <v>3</v>
      </c>
      <c r="D82">
        <v>44000</v>
      </c>
      <c r="E82">
        <f t="shared" si="1"/>
        <v>132000</v>
      </c>
    </row>
    <row r="83" spans="1:5" x14ac:dyDescent="0.3">
      <c r="A83" t="s">
        <v>46</v>
      </c>
      <c r="B83" t="s">
        <v>31</v>
      </c>
      <c r="C83">
        <v>111</v>
      </c>
      <c r="D83">
        <v>20000</v>
      </c>
      <c r="E83">
        <f t="shared" si="1"/>
        <v>2220000</v>
      </c>
    </row>
    <row r="84" spans="1:5" x14ac:dyDescent="0.3">
      <c r="A84" t="s">
        <v>47</v>
      </c>
      <c r="B84" t="s">
        <v>4</v>
      </c>
      <c r="C84">
        <v>247</v>
      </c>
      <c r="D84">
        <v>8000</v>
      </c>
      <c r="E84">
        <f t="shared" si="1"/>
        <v>1976000</v>
      </c>
    </row>
    <row r="85" spans="1:5" x14ac:dyDescent="0.3">
      <c r="A85" t="s">
        <v>74</v>
      </c>
      <c r="B85" t="s">
        <v>4</v>
      </c>
      <c r="C85">
        <v>68</v>
      </c>
      <c r="D85">
        <v>28000</v>
      </c>
      <c r="E85">
        <f t="shared" si="1"/>
        <v>1904000</v>
      </c>
    </row>
    <row r="86" spans="1:5" x14ac:dyDescent="0.3">
      <c r="A86" t="s">
        <v>48</v>
      </c>
      <c r="B86" t="s">
        <v>4</v>
      </c>
      <c r="C86">
        <v>15</v>
      </c>
      <c r="D86">
        <v>28000</v>
      </c>
      <c r="E86">
        <f t="shared" si="1"/>
        <v>420000</v>
      </c>
    </row>
    <row r="87" spans="1:5" hidden="1" x14ac:dyDescent="0.3">
      <c r="A87" t="s">
        <v>152</v>
      </c>
      <c r="B87" t="s">
        <v>4</v>
      </c>
      <c r="C87">
        <v>0</v>
      </c>
      <c r="E87">
        <f t="shared" si="1"/>
        <v>0</v>
      </c>
    </row>
    <row r="88" spans="1:5" x14ac:dyDescent="0.3">
      <c r="A88" t="s">
        <v>81</v>
      </c>
      <c r="B88" t="s">
        <v>4</v>
      </c>
      <c r="C88">
        <v>17</v>
      </c>
      <c r="D88">
        <v>30000</v>
      </c>
      <c r="E88">
        <f t="shared" si="1"/>
        <v>510000</v>
      </c>
    </row>
    <row r="89" spans="1:5" x14ac:dyDescent="0.3">
      <c r="A89" t="s">
        <v>59</v>
      </c>
      <c r="B89" t="s">
        <v>4</v>
      </c>
      <c r="C89">
        <v>30</v>
      </c>
      <c r="D89">
        <v>32000</v>
      </c>
      <c r="E89">
        <f t="shared" si="1"/>
        <v>960000</v>
      </c>
    </row>
    <row r="90" spans="1:5" x14ac:dyDescent="0.3">
      <c r="A90" t="s">
        <v>219</v>
      </c>
      <c r="B90" t="s">
        <v>4</v>
      </c>
      <c r="C90">
        <v>680</v>
      </c>
      <c r="D90">
        <v>41000</v>
      </c>
      <c r="E90">
        <f t="shared" si="1"/>
        <v>27880000</v>
      </c>
    </row>
    <row r="91" spans="1:5" hidden="1" x14ac:dyDescent="0.3">
      <c r="A91" t="s">
        <v>133</v>
      </c>
      <c r="B91" t="s">
        <v>31</v>
      </c>
      <c r="C91">
        <v>0</v>
      </c>
      <c r="E91">
        <f t="shared" si="1"/>
        <v>0</v>
      </c>
    </row>
    <row r="92" spans="1:5" x14ac:dyDescent="0.3">
      <c r="A92" t="s">
        <v>76</v>
      </c>
      <c r="B92" t="s">
        <v>66</v>
      </c>
      <c r="C92">
        <v>378</v>
      </c>
      <c r="D92">
        <v>6800</v>
      </c>
      <c r="E92">
        <f t="shared" si="1"/>
        <v>2570400</v>
      </c>
    </row>
    <row r="93" spans="1:5" hidden="1" x14ac:dyDescent="0.3">
      <c r="A93" t="s">
        <v>82</v>
      </c>
      <c r="B93" t="s">
        <v>66</v>
      </c>
      <c r="C93">
        <v>0</v>
      </c>
      <c r="E93">
        <f t="shared" si="1"/>
        <v>0</v>
      </c>
    </row>
    <row r="94" spans="1:5" hidden="1" x14ac:dyDescent="0.3">
      <c r="A94" t="s">
        <v>77</v>
      </c>
      <c r="B94" t="s">
        <v>66</v>
      </c>
      <c r="C94">
        <v>0</v>
      </c>
      <c r="E94">
        <f t="shared" si="1"/>
        <v>0</v>
      </c>
    </row>
    <row r="95" spans="1:5" x14ac:dyDescent="0.3">
      <c r="A95" t="s">
        <v>142</v>
      </c>
      <c r="B95" t="s">
        <v>31</v>
      </c>
      <c r="C95">
        <v>140</v>
      </c>
      <c r="D95">
        <v>6000</v>
      </c>
      <c r="E95">
        <f t="shared" si="1"/>
        <v>840000</v>
      </c>
    </row>
    <row r="96" spans="1:5" hidden="1" x14ac:dyDescent="0.3">
      <c r="A96" t="s">
        <v>85</v>
      </c>
      <c r="B96" t="s">
        <v>4</v>
      </c>
      <c r="C96">
        <v>0</v>
      </c>
      <c r="E96">
        <f t="shared" si="1"/>
        <v>0</v>
      </c>
    </row>
    <row r="97" spans="1:5" hidden="1" x14ac:dyDescent="0.3">
      <c r="A97" t="s">
        <v>33</v>
      </c>
      <c r="B97" t="s">
        <v>31</v>
      </c>
      <c r="C97">
        <v>0</v>
      </c>
      <c r="E97">
        <f t="shared" si="1"/>
        <v>0</v>
      </c>
    </row>
    <row r="98" spans="1:5" hidden="1" x14ac:dyDescent="0.3">
      <c r="A98" t="s">
        <v>107</v>
      </c>
      <c r="B98" t="s">
        <v>4</v>
      </c>
      <c r="C98">
        <v>0</v>
      </c>
      <c r="E98">
        <f t="shared" si="1"/>
        <v>0</v>
      </c>
    </row>
    <row r="99" spans="1:5" x14ac:dyDescent="0.3">
      <c r="A99" t="s">
        <v>99</v>
      </c>
      <c r="B99" t="s">
        <v>4</v>
      </c>
      <c r="C99">
        <v>3</v>
      </c>
      <c r="D99">
        <v>10000</v>
      </c>
      <c r="E99">
        <f t="shared" si="1"/>
        <v>30000</v>
      </c>
    </row>
    <row r="100" spans="1:5" hidden="1" x14ac:dyDescent="0.3">
      <c r="A100" t="s">
        <v>58</v>
      </c>
      <c r="B100" t="s">
        <v>4</v>
      </c>
      <c r="C100">
        <v>0</v>
      </c>
      <c r="E100">
        <f t="shared" si="1"/>
        <v>0</v>
      </c>
    </row>
    <row r="101" spans="1:5" hidden="1" x14ac:dyDescent="0.3">
      <c r="A101" t="s">
        <v>128</v>
      </c>
      <c r="B101" t="s">
        <v>4</v>
      </c>
      <c r="C101">
        <v>0</v>
      </c>
      <c r="E101">
        <f t="shared" si="1"/>
        <v>0</v>
      </c>
    </row>
    <row r="102" spans="1:5" x14ac:dyDescent="0.3">
      <c r="A102" t="s">
        <v>127</v>
      </c>
      <c r="B102" t="s">
        <v>4</v>
      </c>
      <c r="C102">
        <v>0.5</v>
      </c>
      <c r="D102">
        <v>70000</v>
      </c>
      <c r="E102">
        <f t="shared" si="1"/>
        <v>35000</v>
      </c>
    </row>
    <row r="103" spans="1:5" x14ac:dyDescent="0.3">
      <c r="A103" t="s">
        <v>136</v>
      </c>
      <c r="B103" t="s">
        <v>4</v>
      </c>
      <c r="C103">
        <v>10</v>
      </c>
      <c r="D103">
        <v>30000</v>
      </c>
      <c r="E103">
        <f t="shared" si="1"/>
        <v>300000</v>
      </c>
    </row>
    <row r="104" spans="1:5" x14ac:dyDescent="0.3">
      <c r="A104" t="s">
        <v>157</v>
      </c>
      <c r="B104" t="s">
        <v>4</v>
      </c>
      <c r="C104">
        <v>1</v>
      </c>
      <c r="D104">
        <v>32000</v>
      </c>
      <c r="E104">
        <f t="shared" si="1"/>
        <v>32000</v>
      </c>
    </row>
    <row r="105" spans="1:5" hidden="1" x14ac:dyDescent="0.3">
      <c r="E105">
        <f t="shared" si="1"/>
        <v>0</v>
      </c>
    </row>
    <row r="106" spans="1:5" hidden="1" x14ac:dyDescent="0.3">
      <c r="E106">
        <f t="shared" si="1"/>
        <v>0</v>
      </c>
    </row>
    <row r="107" spans="1:5" x14ac:dyDescent="0.3">
      <c r="E107">
        <f>SUM(E4:E104)</f>
        <v>238665900</v>
      </c>
    </row>
    <row r="108" spans="1:5" hidden="1" x14ac:dyDescent="0.3">
      <c r="A108" t="s">
        <v>139</v>
      </c>
    </row>
    <row r="109" spans="1:5" x14ac:dyDescent="0.3">
      <c r="A109" t="s">
        <v>0</v>
      </c>
      <c r="B109" t="s">
        <v>1</v>
      </c>
      <c r="C109" t="s">
        <v>190</v>
      </c>
      <c r="D109" t="s">
        <v>137</v>
      </c>
      <c r="E109" t="s">
        <v>138</v>
      </c>
    </row>
    <row r="110" spans="1:5" hidden="1" x14ac:dyDescent="0.3">
      <c r="A110" t="s">
        <v>49</v>
      </c>
      <c r="B110" t="s">
        <v>4</v>
      </c>
      <c r="E110">
        <f t="shared" si="1"/>
        <v>0</v>
      </c>
    </row>
    <row r="111" spans="1:5" x14ac:dyDescent="0.3">
      <c r="A111" t="s">
        <v>144</v>
      </c>
      <c r="B111" t="s">
        <v>50</v>
      </c>
      <c r="C111">
        <v>8</v>
      </c>
      <c r="D111">
        <v>4000</v>
      </c>
      <c r="E111">
        <f t="shared" si="1"/>
        <v>32000</v>
      </c>
    </row>
    <row r="112" spans="1:5" x14ac:dyDescent="0.3">
      <c r="A112" t="s">
        <v>27</v>
      </c>
      <c r="B112" t="s">
        <v>4</v>
      </c>
      <c r="C112">
        <v>85</v>
      </c>
      <c r="D112">
        <v>6000</v>
      </c>
      <c r="E112">
        <f t="shared" si="1"/>
        <v>510000</v>
      </c>
    </row>
    <row r="113" spans="1:5" x14ac:dyDescent="0.3">
      <c r="A113" t="s">
        <v>28</v>
      </c>
      <c r="B113" t="s">
        <v>4</v>
      </c>
      <c r="C113">
        <v>40</v>
      </c>
      <c r="D113">
        <v>18000</v>
      </c>
      <c r="E113">
        <f t="shared" si="1"/>
        <v>720000</v>
      </c>
    </row>
    <row r="114" spans="1:5" hidden="1" x14ac:dyDescent="0.3">
      <c r="A114" t="s">
        <v>29</v>
      </c>
      <c r="B114" t="s">
        <v>4</v>
      </c>
      <c r="E114">
        <f t="shared" si="1"/>
        <v>0</v>
      </c>
    </row>
    <row r="115" spans="1:5" hidden="1" x14ac:dyDescent="0.3">
      <c r="A115" t="s">
        <v>57</v>
      </c>
      <c r="B115" t="s">
        <v>31</v>
      </c>
      <c r="E115">
        <f t="shared" si="1"/>
        <v>0</v>
      </c>
    </row>
    <row r="116" spans="1:5" hidden="1" x14ac:dyDescent="0.3">
      <c r="A116" t="s">
        <v>32</v>
      </c>
      <c r="B116" t="s">
        <v>4</v>
      </c>
      <c r="E116">
        <f t="shared" si="1"/>
        <v>0</v>
      </c>
    </row>
    <row r="117" spans="1:5" hidden="1" x14ac:dyDescent="0.3">
      <c r="A117" t="s">
        <v>33</v>
      </c>
      <c r="B117" t="s">
        <v>31</v>
      </c>
      <c r="E117">
        <f t="shared" si="1"/>
        <v>0</v>
      </c>
    </row>
    <row r="118" spans="1:5" x14ac:dyDescent="0.3">
      <c r="A118" t="s">
        <v>34</v>
      </c>
      <c r="B118" t="s">
        <v>4</v>
      </c>
      <c r="C118">
        <v>100</v>
      </c>
      <c r="D118">
        <v>15000</v>
      </c>
      <c r="E118">
        <f t="shared" si="1"/>
        <v>1500000</v>
      </c>
    </row>
    <row r="119" spans="1:5" hidden="1" x14ac:dyDescent="0.3">
      <c r="A119" t="s">
        <v>35</v>
      </c>
      <c r="B119" t="s">
        <v>4</v>
      </c>
      <c r="E119">
        <f t="shared" si="1"/>
        <v>0</v>
      </c>
    </row>
    <row r="120" spans="1:5" hidden="1" x14ac:dyDescent="0.3">
      <c r="A120" t="s">
        <v>13</v>
      </c>
      <c r="B120" t="s">
        <v>4</v>
      </c>
      <c r="E120">
        <f t="shared" si="1"/>
        <v>0</v>
      </c>
    </row>
    <row r="121" spans="1:5" hidden="1" x14ac:dyDescent="0.3">
      <c r="A121" t="s">
        <v>14</v>
      </c>
      <c r="B121" t="s">
        <v>4</v>
      </c>
      <c r="E121">
        <f t="shared" si="1"/>
        <v>0</v>
      </c>
    </row>
    <row r="122" spans="1:5" hidden="1" x14ac:dyDescent="0.3">
      <c r="A122" t="s">
        <v>3</v>
      </c>
      <c r="B122" t="s">
        <v>4</v>
      </c>
      <c r="E122">
        <f t="shared" si="1"/>
        <v>0</v>
      </c>
    </row>
    <row r="123" spans="1:5" hidden="1" x14ac:dyDescent="0.3">
      <c r="A123" t="s">
        <v>5</v>
      </c>
      <c r="B123" t="s">
        <v>4</v>
      </c>
      <c r="E123">
        <f t="shared" si="1"/>
        <v>0</v>
      </c>
    </row>
    <row r="124" spans="1:5" hidden="1" x14ac:dyDescent="0.3">
      <c r="A124" t="s">
        <v>6</v>
      </c>
      <c r="B124" t="s">
        <v>4</v>
      </c>
      <c r="E124">
        <f t="shared" si="1"/>
        <v>0</v>
      </c>
    </row>
    <row r="125" spans="1:5" hidden="1" x14ac:dyDescent="0.3">
      <c r="A125" t="s">
        <v>22</v>
      </c>
      <c r="B125" t="s">
        <v>4</v>
      </c>
      <c r="E125">
        <f t="shared" si="1"/>
        <v>0</v>
      </c>
    </row>
    <row r="126" spans="1:5" hidden="1" x14ac:dyDescent="0.3">
      <c r="A126" t="s">
        <v>24</v>
      </c>
      <c r="B126" t="s">
        <v>4</v>
      </c>
      <c r="E126">
        <f t="shared" si="1"/>
        <v>0</v>
      </c>
    </row>
    <row r="127" spans="1:5" hidden="1" x14ac:dyDescent="0.3">
      <c r="A127" t="s">
        <v>40</v>
      </c>
      <c r="B127" t="s">
        <v>4</v>
      </c>
      <c r="E127">
        <f t="shared" si="1"/>
        <v>0</v>
      </c>
    </row>
    <row r="128" spans="1:5" hidden="1" x14ac:dyDescent="0.3">
      <c r="A128" t="s">
        <v>76</v>
      </c>
      <c r="B128" t="s">
        <v>66</v>
      </c>
      <c r="E128">
        <f t="shared" si="1"/>
        <v>0</v>
      </c>
    </row>
    <row r="129" spans="1:5" hidden="1" x14ac:dyDescent="0.3">
      <c r="A129" t="s">
        <v>77</v>
      </c>
      <c r="B129" t="s">
        <v>66</v>
      </c>
      <c r="E129">
        <f t="shared" si="1"/>
        <v>0</v>
      </c>
    </row>
    <row r="130" spans="1:5" x14ac:dyDescent="0.3">
      <c r="A130" t="s">
        <v>82</v>
      </c>
      <c r="B130" t="s">
        <v>66</v>
      </c>
      <c r="C130">
        <v>40</v>
      </c>
      <c r="D130">
        <v>6800</v>
      </c>
      <c r="E130">
        <f t="shared" si="1"/>
        <v>272000</v>
      </c>
    </row>
    <row r="131" spans="1:5" x14ac:dyDescent="0.3">
      <c r="A131" t="s">
        <v>7</v>
      </c>
      <c r="B131" t="s">
        <v>4</v>
      </c>
      <c r="C131">
        <v>20</v>
      </c>
      <c r="D131">
        <v>8000</v>
      </c>
      <c r="E131">
        <f t="shared" si="1"/>
        <v>160000</v>
      </c>
    </row>
    <row r="132" spans="1:5" x14ac:dyDescent="0.3">
      <c r="A132" t="s">
        <v>8</v>
      </c>
      <c r="B132" t="s">
        <v>4</v>
      </c>
      <c r="C132">
        <v>1000</v>
      </c>
      <c r="D132">
        <v>4300</v>
      </c>
      <c r="E132">
        <f t="shared" si="1"/>
        <v>4300000</v>
      </c>
    </row>
    <row r="133" spans="1:5" x14ac:dyDescent="0.3">
      <c r="A133" t="s">
        <v>10</v>
      </c>
      <c r="B133" t="s">
        <v>4</v>
      </c>
      <c r="C133">
        <v>60</v>
      </c>
      <c r="D133">
        <v>10000</v>
      </c>
      <c r="E133">
        <f t="shared" si="1"/>
        <v>600000</v>
      </c>
    </row>
    <row r="134" spans="1:5" x14ac:dyDescent="0.3">
      <c r="A134" t="s">
        <v>15</v>
      </c>
      <c r="B134" t="s">
        <v>4</v>
      </c>
      <c r="C134">
        <v>190</v>
      </c>
      <c r="D134">
        <v>17000</v>
      </c>
      <c r="E134">
        <f t="shared" si="1"/>
        <v>3230000</v>
      </c>
    </row>
    <row r="135" spans="1:5" x14ac:dyDescent="0.3">
      <c r="A135" t="s">
        <v>18</v>
      </c>
      <c r="B135" t="s">
        <v>4</v>
      </c>
      <c r="C135">
        <v>160</v>
      </c>
      <c r="D135">
        <v>18000</v>
      </c>
      <c r="E135">
        <f t="shared" ref="E135:E154" si="2">C135*D135</f>
        <v>2880000</v>
      </c>
    </row>
    <row r="136" spans="1:5" x14ac:dyDescent="0.3">
      <c r="A136" t="s">
        <v>21</v>
      </c>
      <c r="B136" t="s">
        <v>4</v>
      </c>
      <c r="C136">
        <v>80</v>
      </c>
      <c r="D136">
        <v>6500</v>
      </c>
      <c r="E136">
        <f t="shared" si="2"/>
        <v>520000</v>
      </c>
    </row>
    <row r="137" spans="1:5" x14ac:dyDescent="0.3">
      <c r="A137" t="s">
        <v>43</v>
      </c>
      <c r="B137" t="s">
        <v>4</v>
      </c>
      <c r="C137">
        <v>20</v>
      </c>
      <c r="D137">
        <v>35000</v>
      </c>
      <c r="E137">
        <f t="shared" si="2"/>
        <v>700000</v>
      </c>
    </row>
    <row r="138" spans="1:5" x14ac:dyDescent="0.3">
      <c r="A138" t="s">
        <v>44</v>
      </c>
      <c r="B138" t="s">
        <v>4</v>
      </c>
      <c r="C138">
        <v>20</v>
      </c>
      <c r="D138">
        <v>18000</v>
      </c>
      <c r="E138">
        <f t="shared" si="2"/>
        <v>360000</v>
      </c>
    </row>
    <row r="139" spans="1:5" x14ac:dyDescent="0.3">
      <c r="A139" t="s">
        <v>45</v>
      </c>
      <c r="B139" t="s">
        <v>4</v>
      </c>
      <c r="C139">
        <v>15</v>
      </c>
      <c r="D139">
        <v>28000</v>
      </c>
      <c r="E139">
        <f t="shared" si="2"/>
        <v>420000</v>
      </c>
    </row>
    <row r="140" spans="1:5" hidden="1" x14ac:dyDescent="0.3">
      <c r="A140" t="s">
        <v>47</v>
      </c>
      <c r="B140" t="s">
        <v>4</v>
      </c>
      <c r="E140">
        <f t="shared" si="2"/>
        <v>0</v>
      </c>
    </row>
    <row r="141" spans="1:5" x14ac:dyDescent="0.3">
      <c r="A141" t="s">
        <v>26</v>
      </c>
      <c r="B141" t="s">
        <v>4</v>
      </c>
      <c r="C141">
        <v>48</v>
      </c>
      <c r="D141">
        <v>13000</v>
      </c>
      <c r="E141">
        <f t="shared" si="2"/>
        <v>624000</v>
      </c>
    </row>
    <row r="142" spans="1:5" x14ac:dyDescent="0.3">
      <c r="A142" t="s">
        <v>25</v>
      </c>
      <c r="B142" t="s">
        <v>4</v>
      </c>
      <c r="C142">
        <v>42</v>
      </c>
      <c r="D142">
        <v>28000</v>
      </c>
      <c r="E142">
        <f t="shared" si="2"/>
        <v>1176000</v>
      </c>
    </row>
    <row r="143" spans="1:5" x14ac:dyDescent="0.3">
      <c r="A143" t="s">
        <v>23</v>
      </c>
      <c r="B143" t="s">
        <v>4</v>
      </c>
      <c r="C143">
        <v>10</v>
      </c>
      <c r="D143">
        <v>16000</v>
      </c>
      <c r="E143">
        <f t="shared" si="2"/>
        <v>160000</v>
      </c>
    </row>
    <row r="144" spans="1:5" hidden="1" x14ac:dyDescent="0.3">
      <c r="A144" t="s">
        <v>9</v>
      </c>
      <c r="B144" t="s">
        <v>4</v>
      </c>
      <c r="E144">
        <f t="shared" si="2"/>
        <v>0</v>
      </c>
    </row>
    <row r="145" spans="1:5" hidden="1" x14ac:dyDescent="0.3">
      <c r="A145" t="s">
        <v>156</v>
      </c>
      <c r="B145" t="s">
        <v>4</v>
      </c>
      <c r="E145">
        <f t="shared" si="2"/>
        <v>0</v>
      </c>
    </row>
    <row r="146" spans="1:5" hidden="1" x14ac:dyDescent="0.3">
      <c r="A146" t="s">
        <v>39</v>
      </c>
      <c r="B146" t="s">
        <v>50</v>
      </c>
      <c r="E146">
        <f t="shared" si="2"/>
        <v>0</v>
      </c>
    </row>
    <row r="147" spans="1:5" x14ac:dyDescent="0.3">
      <c r="A147" t="s">
        <v>41</v>
      </c>
      <c r="B147" t="s">
        <v>4</v>
      </c>
      <c r="C147">
        <v>500</v>
      </c>
      <c r="D147">
        <v>28600</v>
      </c>
      <c r="E147">
        <f t="shared" si="2"/>
        <v>14300000</v>
      </c>
    </row>
    <row r="148" spans="1:5" x14ac:dyDescent="0.3">
      <c r="A148" t="s">
        <v>123</v>
      </c>
      <c r="B148" t="s">
        <v>31</v>
      </c>
      <c r="C148">
        <v>25</v>
      </c>
      <c r="D148">
        <v>6000</v>
      </c>
      <c r="E148">
        <f t="shared" si="2"/>
        <v>150000</v>
      </c>
    </row>
    <row r="149" spans="1:5" x14ac:dyDescent="0.3">
      <c r="A149" t="s">
        <v>37</v>
      </c>
      <c r="B149" t="s">
        <v>31</v>
      </c>
      <c r="C149">
        <v>107</v>
      </c>
      <c r="D149">
        <v>9000</v>
      </c>
      <c r="E149">
        <f t="shared" si="2"/>
        <v>963000</v>
      </c>
    </row>
    <row r="150" spans="1:5" hidden="1" x14ac:dyDescent="0.3">
      <c r="A150" t="s">
        <v>12</v>
      </c>
      <c r="B150" t="s">
        <v>4</v>
      </c>
      <c r="E150">
        <f t="shared" si="2"/>
        <v>0</v>
      </c>
    </row>
    <row r="151" spans="1:5" hidden="1" x14ac:dyDescent="0.3">
      <c r="A151" t="s">
        <v>124</v>
      </c>
      <c r="B151" t="s">
        <v>4</v>
      </c>
      <c r="E151">
        <f t="shared" si="2"/>
        <v>0</v>
      </c>
    </row>
    <row r="152" spans="1:5" hidden="1" x14ac:dyDescent="0.3">
      <c r="A152" t="s">
        <v>145</v>
      </c>
      <c r="B152" t="s">
        <v>4</v>
      </c>
      <c r="E152">
        <f t="shared" si="2"/>
        <v>0</v>
      </c>
    </row>
    <row r="153" spans="1:5" hidden="1" x14ac:dyDescent="0.3">
      <c r="A153" t="s">
        <v>75</v>
      </c>
      <c r="B153" t="s">
        <v>66</v>
      </c>
      <c r="E153">
        <f t="shared" si="2"/>
        <v>0</v>
      </c>
    </row>
    <row r="154" spans="1:5" hidden="1" x14ac:dyDescent="0.3">
      <c r="A154" t="s">
        <v>121</v>
      </c>
      <c r="B154" t="s">
        <v>53</v>
      </c>
      <c r="E154">
        <f t="shared" si="2"/>
        <v>0</v>
      </c>
    </row>
    <row r="155" spans="1:5" x14ac:dyDescent="0.3">
      <c r="E155">
        <f>SUM(E111:E149)</f>
        <v>33577000</v>
      </c>
    </row>
    <row r="156" spans="1:5" x14ac:dyDescent="0.3">
      <c r="E156">
        <f>E155+E107</f>
        <v>272242900</v>
      </c>
    </row>
  </sheetData>
  <autoFilter ref="A3:E156" xr:uid="{00000000-0009-0000-0000-000018000000}">
    <filterColumn colId="4">
      <filters>
        <filter val="105000"/>
        <filter val="1080000"/>
        <filter val="114000"/>
        <filter val="1170000"/>
        <filter val="1176000"/>
        <filter val="120000"/>
        <filter val="1241000"/>
        <filter val="132000"/>
        <filter val="135000"/>
        <filter val="1392000"/>
        <filter val="140000"/>
        <filter val="14300000"/>
        <filter val="145000"/>
        <filter val="150000"/>
        <filter val="1500000"/>
        <filter val="160000"/>
        <filter val="1650000"/>
        <filter val="175000"/>
        <filter val="187000"/>
        <filter val="1904000"/>
        <filter val="195000"/>
        <filter val="1976000"/>
        <filter val="200000"/>
        <filter val="2040000"/>
        <filter val="208000"/>
        <filter val="2220000"/>
        <filter val="2250000"/>
        <filter val="238665900"/>
        <filter val="2450000"/>
        <filter val="2570400"/>
        <filter val="259000"/>
        <filter val="264000"/>
        <filter val="2700000"/>
        <filter val="272000"/>
        <filter val="272242900"/>
        <filter val="27880000"/>
        <filter val="280000"/>
        <filter val="2880000"/>
        <filter val="30000"/>
        <filter val="300000"/>
        <filter val="32000"/>
        <filter val="32000000"/>
        <filter val="3230000"/>
        <filter val="3290000"/>
        <filter val="33577000"/>
        <filter val="3400000"/>
        <filter val="35000"/>
        <filter val="360000"/>
        <filter val="364000"/>
        <filter val="3698000"/>
        <filter val="37842000"/>
        <filter val="384000"/>
        <filter val="4180000"/>
        <filter val="42000"/>
        <filter val="420000"/>
        <filter val="4300000"/>
        <filter val="510000"/>
        <filter val="5170000"/>
        <filter val="520000"/>
        <filter val="540000"/>
        <filter val="600000"/>
        <filter val="624000"/>
        <filter val="700000"/>
        <filter val="720000"/>
        <filter val="76362000"/>
        <filter val="800000"/>
        <filter val="8194500"/>
        <filter val="840000"/>
        <filter val="870000"/>
        <filter val="90000"/>
        <filter val="960000"/>
        <filter val="963000"/>
        <filter val="thành tiền"/>
      </filters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/>
  <dimension ref="A2:E154"/>
  <sheetViews>
    <sheetView workbookViewId="0">
      <selection activeCell="C56" sqref="C56"/>
    </sheetView>
  </sheetViews>
  <sheetFormatPr defaultRowHeight="14.4" x14ac:dyDescent="0.3"/>
  <cols>
    <col min="1" max="1" width="30.21875" customWidth="1"/>
    <col min="3" max="3" width="10.33203125" customWidth="1"/>
    <col min="4" max="4" width="12.77734375" customWidth="1"/>
    <col min="5" max="5" width="18.44140625" customWidth="1"/>
  </cols>
  <sheetData>
    <row r="2" spans="1:5" x14ac:dyDescent="0.3">
      <c r="A2" t="s">
        <v>230</v>
      </c>
    </row>
    <row r="3" spans="1:5" x14ac:dyDescent="0.3">
      <c r="A3" t="s">
        <v>0</v>
      </c>
      <c r="B3" t="s">
        <v>1</v>
      </c>
      <c r="C3" t="s">
        <v>227</v>
      </c>
      <c r="D3" t="s">
        <v>137</v>
      </c>
      <c r="E3" t="s">
        <v>138</v>
      </c>
    </row>
    <row r="4" spans="1:5" hidden="1" x14ac:dyDescent="0.3">
      <c r="A4" t="s">
        <v>49</v>
      </c>
      <c r="B4" t="s">
        <v>4</v>
      </c>
      <c r="C4">
        <v>415</v>
      </c>
      <c r="D4">
        <v>13000</v>
      </c>
      <c r="E4">
        <f>C4*D4</f>
        <v>5395000</v>
      </c>
    </row>
    <row r="5" spans="1:5" hidden="1" x14ac:dyDescent="0.3">
      <c r="A5" t="s">
        <v>49</v>
      </c>
      <c r="B5" t="s">
        <v>31</v>
      </c>
      <c r="C5">
        <v>0</v>
      </c>
      <c r="E5">
        <f t="shared" ref="E5:E68" si="0">C5*D5</f>
        <v>0</v>
      </c>
    </row>
    <row r="6" spans="1:5" hidden="1" x14ac:dyDescent="0.3">
      <c r="A6" t="s">
        <v>19</v>
      </c>
      <c r="B6" t="s">
        <v>4</v>
      </c>
      <c r="C6">
        <v>10</v>
      </c>
      <c r="D6">
        <v>40000</v>
      </c>
      <c r="E6">
        <f t="shared" si="0"/>
        <v>400000</v>
      </c>
    </row>
    <row r="7" spans="1:5" hidden="1" x14ac:dyDescent="0.3">
      <c r="A7" t="s">
        <v>19</v>
      </c>
      <c r="B7" t="s">
        <v>50</v>
      </c>
      <c r="C7">
        <v>0</v>
      </c>
      <c r="E7">
        <f t="shared" si="0"/>
        <v>0</v>
      </c>
    </row>
    <row r="8" spans="1:5" hidden="1" x14ac:dyDescent="0.3">
      <c r="A8" t="s">
        <v>51</v>
      </c>
      <c r="B8" t="s">
        <v>53</v>
      </c>
      <c r="C8">
        <v>28</v>
      </c>
      <c r="D8">
        <v>10000</v>
      </c>
      <c r="E8">
        <f t="shared" si="0"/>
        <v>280000</v>
      </c>
    </row>
    <row r="9" spans="1:5" hidden="1" x14ac:dyDescent="0.3">
      <c r="A9" t="s">
        <v>51</v>
      </c>
      <c r="B9" t="s">
        <v>4</v>
      </c>
      <c r="C9">
        <v>0</v>
      </c>
      <c r="E9">
        <f t="shared" si="0"/>
        <v>0</v>
      </c>
    </row>
    <row r="10" spans="1:5" hidden="1" x14ac:dyDescent="0.3">
      <c r="A10" t="s">
        <v>28</v>
      </c>
      <c r="B10" t="s">
        <v>4</v>
      </c>
      <c r="C10">
        <v>70</v>
      </c>
      <c r="D10">
        <v>18000</v>
      </c>
      <c r="E10">
        <f t="shared" si="0"/>
        <v>1260000</v>
      </c>
    </row>
    <row r="11" spans="1:5" hidden="1" x14ac:dyDescent="0.3">
      <c r="A11" t="s">
        <v>28</v>
      </c>
      <c r="B11" t="s">
        <v>31</v>
      </c>
      <c r="C11">
        <v>0</v>
      </c>
      <c r="E11">
        <f t="shared" si="0"/>
        <v>0</v>
      </c>
    </row>
    <row r="12" spans="1:5" hidden="1" x14ac:dyDescent="0.3">
      <c r="A12" t="s">
        <v>29</v>
      </c>
      <c r="B12" t="s">
        <v>4</v>
      </c>
      <c r="C12">
        <v>1626</v>
      </c>
      <c r="D12">
        <v>21000</v>
      </c>
      <c r="E12">
        <f t="shared" si="0"/>
        <v>34146000</v>
      </c>
    </row>
    <row r="13" spans="1:5" hidden="1" x14ac:dyDescent="0.3">
      <c r="A13" t="s">
        <v>29</v>
      </c>
      <c r="B13" t="s">
        <v>150</v>
      </c>
      <c r="C13">
        <v>0</v>
      </c>
      <c r="E13">
        <f t="shared" si="0"/>
        <v>0</v>
      </c>
    </row>
    <row r="14" spans="1:5" hidden="1" x14ac:dyDescent="0.3">
      <c r="A14" t="s">
        <v>56</v>
      </c>
      <c r="B14" t="s">
        <v>31</v>
      </c>
      <c r="C14">
        <v>701</v>
      </c>
      <c r="D14">
        <v>4500</v>
      </c>
      <c r="E14">
        <f t="shared" si="0"/>
        <v>3154500</v>
      </c>
    </row>
    <row r="15" spans="1:5" hidden="1" x14ac:dyDescent="0.3">
      <c r="A15" t="s">
        <v>57</v>
      </c>
      <c r="B15" t="s">
        <v>4</v>
      </c>
      <c r="C15">
        <v>930</v>
      </c>
      <c r="D15">
        <v>25000</v>
      </c>
      <c r="E15">
        <f t="shared" si="0"/>
        <v>23250000</v>
      </c>
    </row>
    <row r="16" spans="1:5" hidden="1" x14ac:dyDescent="0.3">
      <c r="A16" t="s">
        <v>57</v>
      </c>
      <c r="B16" t="s">
        <v>31</v>
      </c>
      <c r="C16">
        <v>0</v>
      </c>
      <c r="E16">
        <f t="shared" si="0"/>
        <v>0</v>
      </c>
    </row>
    <row r="17" spans="1:5" hidden="1" x14ac:dyDescent="0.3">
      <c r="A17" t="s">
        <v>32</v>
      </c>
      <c r="B17" t="s">
        <v>4</v>
      </c>
      <c r="C17">
        <v>220</v>
      </c>
      <c r="D17">
        <v>17000</v>
      </c>
      <c r="E17">
        <f t="shared" si="0"/>
        <v>3740000</v>
      </c>
    </row>
    <row r="18" spans="1:5" hidden="1" x14ac:dyDescent="0.3">
      <c r="A18" t="s">
        <v>34</v>
      </c>
      <c r="B18" t="s">
        <v>4</v>
      </c>
      <c r="C18">
        <v>115</v>
      </c>
      <c r="D18">
        <v>15000</v>
      </c>
      <c r="E18">
        <f t="shared" si="0"/>
        <v>1725000</v>
      </c>
    </row>
    <row r="19" spans="1:5" hidden="1" x14ac:dyDescent="0.3">
      <c r="A19" t="s">
        <v>34</v>
      </c>
      <c r="B19" t="s">
        <v>31</v>
      </c>
      <c r="C19">
        <v>0</v>
      </c>
      <c r="E19">
        <f t="shared" si="0"/>
        <v>0</v>
      </c>
    </row>
    <row r="20" spans="1:5" hidden="1" x14ac:dyDescent="0.3">
      <c r="A20" t="s">
        <v>60</v>
      </c>
      <c r="B20" t="s">
        <v>50</v>
      </c>
      <c r="C20">
        <v>0</v>
      </c>
      <c r="E20">
        <f t="shared" si="0"/>
        <v>0</v>
      </c>
    </row>
    <row r="21" spans="1:5" hidden="1" x14ac:dyDescent="0.3">
      <c r="A21" t="s">
        <v>6</v>
      </c>
      <c r="B21" t="s">
        <v>4</v>
      </c>
      <c r="C21">
        <v>440</v>
      </c>
      <c r="D21">
        <v>11000</v>
      </c>
      <c r="E21">
        <f t="shared" si="0"/>
        <v>4840000</v>
      </c>
    </row>
    <row r="22" spans="1:5" hidden="1" x14ac:dyDescent="0.3">
      <c r="A22" t="s">
        <v>62</v>
      </c>
      <c r="B22" t="s">
        <v>4</v>
      </c>
      <c r="C22">
        <v>20</v>
      </c>
      <c r="D22">
        <v>17000</v>
      </c>
      <c r="E22">
        <f t="shared" si="0"/>
        <v>340000</v>
      </c>
    </row>
    <row r="23" spans="1:5" hidden="1" x14ac:dyDescent="0.3">
      <c r="A23" t="s">
        <v>62</v>
      </c>
      <c r="B23" t="s">
        <v>31</v>
      </c>
      <c r="C23">
        <v>0</v>
      </c>
      <c r="E23">
        <f t="shared" si="0"/>
        <v>0</v>
      </c>
    </row>
    <row r="24" spans="1:5" hidden="1" x14ac:dyDescent="0.3">
      <c r="A24" t="s">
        <v>64</v>
      </c>
      <c r="B24" t="s">
        <v>4</v>
      </c>
      <c r="C24">
        <v>0</v>
      </c>
      <c r="E24">
        <f t="shared" si="0"/>
        <v>0</v>
      </c>
    </row>
    <row r="25" spans="1:5" hidden="1" x14ac:dyDescent="0.3">
      <c r="A25" t="s">
        <v>64</v>
      </c>
      <c r="B25" t="s">
        <v>31</v>
      </c>
      <c r="C25">
        <v>0</v>
      </c>
      <c r="E25">
        <f t="shared" si="0"/>
        <v>0</v>
      </c>
    </row>
    <row r="26" spans="1:5" hidden="1" x14ac:dyDescent="0.3">
      <c r="A26" t="s">
        <v>22</v>
      </c>
      <c r="B26" t="s">
        <v>4</v>
      </c>
      <c r="C26">
        <v>420</v>
      </c>
      <c r="D26">
        <v>7000</v>
      </c>
      <c r="E26">
        <f t="shared" si="0"/>
        <v>2940000</v>
      </c>
    </row>
    <row r="27" spans="1:5" hidden="1" x14ac:dyDescent="0.3">
      <c r="A27" t="s">
        <v>24</v>
      </c>
      <c r="B27" t="s">
        <v>66</v>
      </c>
      <c r="C27">
        <v>0</v>
      </c>
      <c r="E27">
        <f t="shared" si="0"/>
        <v>0</v>
      </c>
    </row>
    <row r="28" spans="1:5" hidden="1" x14ac:dyDescent="0.3">
      <c r="A28" t="s">
        <v>24</v>
      </c>
      <c r="B28" t="s">
        <v>4</v>
      </c>
      <c r="C28">
        <v>80</v>
      </c>
      <c r="D28">
        <v>16000</v>
      </c>
      <c r="E28">
        <f t="shared" si="0"/>
        <v>1280000</v>
      </c>
    </row>
    <row r="29" spans="1:5" hidden="1" x14ac:dyDescent="0.3">
      <c r="A29" t="s">
        <v>75</v>
      </c>
      <c r="B29" t="s">
        <v>4</v>
      </c>
      <c r="C29">
        <v>69</v>
      </c>
      <c r="D29">
        <v>28000</v>
      </c>
      <c r="E29">
        <f t="shared" si="0"/>
        <v>1932000</v>
      </c>
    </row>
    <row r="30" spans="1:5" hidden="1" x14ac:dyDescent="0.3">
      <c r="A30" t="s">
        <v>8</v>
      </c>
      <c r="B30" t="s">
        <v>4</v>
      </c>
      <c r="C30">
        <v>600</v>
      </c>
      <c r="D30">
        <v>4300</v>
      </c>
      <c r="E30">
        <f t="shared" si="0"/>
        <v>2580000</v>
      </c>
    </row>
    <row r="31" spans="1:5" hidden="1" x14ac:dyDescent="0.3">
      <c r="A31" t="s">
        <v>10</v>
      </c>
      <c r="B31" t="s">
        <v>4</v>
      </c>
      <c r="C31">
        <v>120</v>
      </c>
      <c r="D31">
        <v>10000</v>
      </c>
      <c r="E31">
        <f t="shared" si="0"/>
        <v>1200000</v>
      </c>
    </row>
    <row r="32" spans="1:5" hidden="1" x14ac:dyDescent="0.3">
      <c r="A32" t="s">
        <v>10</v>
      </c>
      <c r="B32" t="s">
        <v>84</v>
      </c>
      <c r="C32">
        <v>0</v>
      </c>
      <c r="E32">
        <f t="shared" si="0"/>
        <v>0</v>
      </c>
    </row>
    <row r="33" spans="1:5" hidden="1" x14ac:dyDescent="0.3">
      <c r="A33" t="s">
        <v>11</v>
      </c>
      <c r="B33" t="s">
        <v>4</v>
      </c>
      <c r="C33">
        <v>45</v>
      </c>
      <c r="D33">
        <v>10000</v>
      </c>
      <c r="E33">
        <f t="shared" si="0"/>
        <v>450000</v>
      </c>
    </row>
    <row r="34" spans="1:5" hidden="1" x14ac:dyDescent="0.3">
      <c r="A34" t="s">
        <v>11</v>
      </c>
      <c r="B34" t="s">
        <v>84</v>
      </c>
      <c r="C34">
        <v>0</v>
      </c>
      <c r="E34">
        <f t="shared" si="0"/>
        <v>0</v>
      </c>
    </row>
    <row r="35" spans="1:5" hidden="1" x14ac:dyDescent="0.3">
      <c r="A35" t="s">
        <v>15</v>
      </c>
      <c r="B35" t="s">
        <v>4</v>
      </c>
      <c r="C35">
        <v>0</v>
      </c>
      <c r="E35">
        <f t="shared" si="0"/>
        <v>0</v>
      </c>
    </row>
    <row r="36" spans="1:5" hidden="1" x14ac:dyDescent="0.3">
      <c r="A36" t="s">
        <v>15</v>
      </c>
      <c r="B36" t="s">
        <v>164</v>
      </c>
      <c r="C36">
        <v>0</v>
      </c>
      <c r="E36">
        <f t="shared" si="0"/>
        <v>0</v>
      </c>
    </row>
    <row r="37" spans="1:5" hidden="1" x14ac:dyDescent="0.3">
      <c r="A37" t="s">
        <v>18</v>
      </c>
      <c r="B37" t="s">
        <v>4</v>
      </c>
      <c r="C37">
        <v>160</v>
      </c>
      <c r="D37">
        <v>18000</v>
      </c>
      <c r="E37">
        <f t="shared" si="0"/>
        <v>2880000</v>
      </c>
    </row>
    <row r="38" spans="1:5" hidden="1" x14ac:dyDescent="0.3">
      <c r="A38" t="s">
        <v>18</v>
      </c>
      <c r="B38" t="s">
        <v>50</v>
      </c>
      <c r="C38">
        <v>0</v>
      </c>
      <c r="E38">
        <f t="shared" si="0"/>
        <v>0</v>
      </c>
    </row>
    <row r="39" spans="1:5" hidden="1" x14ac:dyDescent="0.3">
      <c r="A39" t="s">
        <v>92</v>
      </c>
      <c r="B39" t="s">
        <v>31</v>
      </c>
      <c r="C39">
        <v>400</v>
      </c>
      <c r="D39">
        <v>15000</v>
      </c>
      <c r="E39">
        <f t="shared" si="0"/>
        <v>6000000</v>
      </c>
    </row>
    <row r="40" spans="1:5" hidden="1" x14ac:dyDescent="0.3">
      <c r="A40" t="s">
        <v>39</v>
      </c>
      <c r="B40" t="s">
        <v>4</v>
      </c>
      <c r="C40">
        <v>0</v>
      </c>
      <c r="E40">
        <f t="shared" si="0"/>
        <v>0</v>
      </c>
    </row>
    <row r="41" spans="1:5" hidden="1" x14ac:dyDescent="0.3">
      <c r="A41" t="s">
        <v>39</v>
      </c>
      <c r="B41" t="s">
        <v>50</v>
      </c>
      <c r="C41">
        <v>784</v>
      </c>
      <c r="D41">
        <v>5000</v>
      </c>
      <c r="E41">
        <f t="shared" si="0"/>
        <v>3920000</v>
      </c>
    </row>
    <row r="42" spans="1:5" hidden="1" x14ac:dyDescent="0.3">
      <c r="A42" t="s">
        <v>100</v>
      </c>
      <c r="B42" t="s">
        <v>4</v>
      </c>
      <c r="C42">
        <v>30</v>
      </c>
      <c r="D42">
        <v>4000</v>
      </c>
      <c r="E42">
        <f t="shared" si="0"/>
        <v>120000</v>
      </c>
    </row>
    <row r="43" spans="1:5" hidden="1" x14ac:dyDescent="0.3">
      <c r="A43" t="s">
        <v>43</v>
      </c>
      <c r="B43" t="s">
        <v>4</v>
      </c>
      <c r="C43">
        <v>170</v>
      </c>
      <c r="D43">
        <v>35000</v>
      </c>
      <c r="E43">
        <f t="shared" si="0"/>
        <v>5950000</v>
      </c>
    </row>
    <row r="44" spans="1:5" hidden="1" x14ac:dyDescent="0.3">
      <c r="A44" t="s">
        <v>43</v>
      </c>
      <c r="B44" t="s">
        <v>84</v>
      </c>
      <c r="C44">
        <v>0</v>
      </c>
      <c r="E44">
        <f t="shared" si="0"/>
        <v>0</v>
      </c>
    </row>
    <row r="45" spans="1:5" hidden="1" x14ac:dyDescent="0.3">
      <c r="A45" t="s">
        <v>44</v>
      </c>
      <c r="B45" t="s">
        <v>4</v>
      </c>
      <c r="C45">
        <v>120</v>
      </c>
      <c r="D45">
        <v>18000</v>
      </c>
      <c r="E45">
        <f t="shared" si="0"/>
        <v>2160000</v>
      </c>
    </row>
    <row r="46" spans="1:5" hidden="1" x14ac:dyDescent="0.3">
      <c r="A46" t="s">
        <v>44</v>
      </c>
      <c r="B46" t="s">
        <v>84</v>
      </c>
      <c r="C46">
        <v>0</v>
      </c>
      <c r="E46">
        <f t="shared" si="0"/>
        <v>0</v>
      </c>
    </row>
    <row r="47" spans="1:5" hidden="1" x14ac:dyDescent="0.3">
      <c r="A47" t="s">
        <v>45</v>
      </c>
      <c r="B47" t="s">
        <v>4</v>
      </c>
      <c r="C47">
        <v>105</v>
      </c>
      <c r="D47">
        <v>28000</v>
      </c>
      <c r="E47">
        <f t="shared" si="0"/>
        <v>2940000</v>
      </c>
    </row>
    <row r="48" spans="1:5" hidden="1" x14ac:dyDescent="0.3">
      <c r="A48" t="s">
        <v>45</v>
      </c>
      <c r="B48" t="s">
        <v>84</v>
      </c>
      <c r="C48">
        <v>0</v>
      </c>
      <c r="E48">
        <f t="shared" si="0"/>
        <v>0</v>
      </c>
    </row>
    <row r="49" spans="1:5" hidden="1" x14ac:dyDescent="0.3">
      <c r="A49" t="s">
        <v>12</v>
      </c>
      <c r="B49" t="s">
        <v>4</v>
      </c>
      <c r="C49">
        <v>0</v>
      </c>
      <c r="E49">
        <f t="shared" si="0"/>
        <v>0</v>
      </c>
    </row>
    <row r="50" spans="1:5" hidden="1" x14ac:dyDescent="0.3">
      <c r="A50" t="s">
        <v>116</v>
      </c>
      <c r="B50" t="s">
        <v>50</v>
      </c>
      <c r="C50">
        <v>0</v>
      </c>
      <c r="E50">
        <f t="shared" si="0"/>
        <v>0</v>
      </c>
    </row>
    <row r="51" spans="1:5" hidden="1" x14ac:dyDescent="0.3">
      <c r="A51" t="s">
        <v>117</v>
      </c>
      <c r="B51" t="s">
        <v>4</v>
      </c>
      <c r="C51">
        <v>0</v>
      </c>
      <c r="E51">
        <f t="shared" si="0"/>
        <v>0</v>
      </c>
    </row>
    <row r="52" spans="1:5" hidden="1" x14ac:dyDescent="0.3">
      <c r="A52" t="s">
        <v>17</v>
      </c>
      <c r="B52" t="s">
        <v>4</v>
      </c>
      <c r="C52">
        <v>0</v>
      </c>
      <c r="E52">
        <f t="shared" si="0"/>
        <v>0</v>
      </c>
    </row>
    <row r="53" spans="1:5" hidden="1" x14ac:dyDescent="0.3">
      <c r="A53" t="s">
        <v>17</v>
      </c>
      <c r="B53" t="s">
        <v>147</v>
      </c>
      <c r="C53">
        <v>46</v>
      </c>
      <c r="D53">
        <v>8700</v>
      </c>
      <c r="E53">
        <f t="shared" si="0"/>
        <v>400200</v>
      </c>
    </row>
    <row r="54" spans="1:5" hidden="1" x14ac:dyDescent="0.3">
      <c r="A54" t="s">
        <v>17</v>
      </c>
      <c r="B54" t="s">
        <v>203</v>
      </c>
      <c r="C54">
        <v>0</v>
      </c>
      <c r="E54">
        <f t="shared" si="0"/>
        <v>0</v>
      </c>
    </row>
    <row r="55" spans="1:5" hidden="1" x14ac:dyDescent="0.3">
      <c r="A55" t="s">
        <v>118</v>
      </c>
      <c r="B55" t="s">
        <v>4</v>
      </c>
      <c r="C55">
        <v>0</v>
      </c>
      <c r="E55">
        <f t="shared" si="0"/>
        <v>0</v>
      </c>
    </row>
    <row r="56" spans="1:5" x14ac:dyDescent="0.3">
      <c r="A56" t="s">
        <v>41</v>
      </c>
      <c r="B56" t="s">
        <v>4</v>
      </c>
      <c r="C56">
        <v>2530</v>
      </c>
      <c r="D56">
        <v>27600</v>
      </c>
      <c r="E56">
        <f t="shared" si="0"/>
        <v>69828000</v>
      </c>
    </row>
    <row r="57" spans="1:5" hidden="1" x14ac:dyDescent="0.3">
      <c r="A57" t="s">
        <v>3</v>
      </c>
      <c r="B57" t="s">
        <v>4</v>
      </c>
      <c r="C57">
        <v>35</v>
      </c>
      <c r="D57">
        <v>30000</v>
      </c>
      <c r="E57">
        <f t="shared" si="0"/>
        <v>1050000</v>
      </c>
    </row>
    <row r="58" spans="1:5" hidden="1" x14ac:dyDescent="0.3">
      <c r="A58" t="s">
        <v>5</v>
      </c>
      <c r="B58" t="s">
        <v>4</v>
      </c>
      <c r="C58">
        <v>130</v>
      </c>
      <c r="D58">
        <v>10000</v>
      </c>
      <c r="E58">
        <f t="shared" si="0"/>
        <v>1300000</v>
      </c>
    </row>
    <row r="59" spans="1:5" hidden="1" x14ac:dyDescent="0.3">
      <c r="A59" t="s">
        <v>13</v>
      </c>
      <c r="B59" t="s">
        <v>4</v>
      </c>
      <c r="C59">
        <v>0</v>
      </c>
      <c r="E59">
        <f t="shared" si="0"/>
        <v>0</v>
      </c>
    </row>
    <row r="60" spans="1:5" hidden="1" x14ac:dyDescent="0.3">
      <c r="A60" t="s">
        <v>175</v>
      </c>
      <c r="B60" t="s">
        <v>4</v>
      </c>
      <c r="C60">
        <v>0</v>
      </c>
      <c r="E60">
        <f t="shared" si="0"/>
        <v>0</v>
      </c>
    </row>
    <row r="61" spans="1:5" hidden="1" x14ac:dyDescent="0.3">
      <c r="A61" t="s">
        <v>16</v>
      </c>
      <c r="B61" t="s">
        <v>165</v>
      </c>
      <c r="C61">
        <v>0</v>
      </c>
      <c r="E61">
        <f t="shared" si="0"/>
        <v>0</v>
      </c>
    </row>
    <row r="62" spans="1:5" hidden="1" x14ac:dyDescent="0.3">
      <c r="A62" t="s">
        <v>89</v>
      </c>
      <c r="B62" t="s">
        <v>53</v>
      </c>
      <c r="C62">
        <v>0</v>
      </c>
      <c r="E62">
        <f t="shared" si="0"/>
        <v>0</v>
      </c>
    </row>
    <row r="63" spans="1:5" hidden="1" x14ac:dyDescent="0.3">
      <c r="A63" t="s">
        <v>90</v>
      </c>
      <c r="B63" t="s">
        <v>4</v>
      </c>
      <c r="C63">
        <v>0</v>
      </c>
      <c r="E63">
        <f t="shared" si="0"/>
        <v>0</v>
      </c>
    </row>
    <row r="64" spans="1:5" hidden="1" x14ac:dyDescent="0.3">
      <c r="A64" t="s">
        <v>90</v>
      </c>
      <c r="B64" t="s">
        <v>148</v>
      </c>
      <c r="C64">
        <v>7</v>
      </c>
      <c r="D64">
        <v>8000</v>
      </c>
      <c r="E64">
        <f t="shared" si="0"/>
        <v>56000</v>
      </c>
    </row>
    <row r="65" spans="1:5" hidden="1" x14ac:dyDescent="0.3">
      <c r="A65" t="s">
        <v>21</v>
      </c>
      <c r="B65" t="s">
        <v>4</v>
      </c>
      <c r="C65">
        <v>0</v>
      </c>
      <c r="E65">
        <f t="shared" si="0"/>
        <v>0</v>
      </c>
    </row>
    <row r="66" spans="1:5" hidden="1" x14ac:dyDescent="0.3">
      <c r="A66" t="s">
        <v>21</v>
      </c>
      <c r="B66" t="s">
        <v>149</v>
      </c>
      <c r="C66">
        <v>0</v>
      </c>
      <c r="E66">
        <f t="shared" si="0"/>
        <v>0</v>
      </c>
    </row>
    <row r="67" spans="1:5" hidden="1" x14ac:dyDescent="0.3">
      <c r="A67" t="s">
        <v>63</v>
      </c>
      <c r="B67" t="s">
        <v>4</v>
      </c>
      <c r="C67">
        <v>0</v>
      </c>
      <c r="E67">
        <f t="shared" si="0"/>
        <v>0</v>
      </c>
    </row>
    <row r="68" spans="1:5" hidden="1" x14ac:dyDescent="0.3">
      <c r="A68" t="s">
        <v>26</v>
      </c>
      <c r="B68" t="s">
        <v>4</v>
      </c>
      <c r="C68">
        <v>0</v>
      </c>
      <c r="E68">
        <f t="shared" si="0"/>
        <v>0</v>
      </c>
    </row>
    <row r="69" spans="1:5" hidden="1" x14ac:dyDescent="0.3">
      <c r="A69" t="s">
        <v>27</v>
      </c>
      <c r="B69" t="s">
        <v>4</v>
      </c>
      <c r="C69">
        <v>0</v>
      </c>
      <c r="E69">
        <f t="shared" ref="E69:E134" si="1">C69*D69</f>
        <v>0</v>
      </c>
    </row>
    <row r="70" spans="1:5" hidden="1" x14ac:dyDescent="0.3">
      <c r="A70" t="s">
        <v>54</v>
      </c>
      <c r="B70" t="s">
        <v>4</v>
      </c>
      <c r="C70">
        <v>16</v>
      </c>
      <c r="D70">
        <v>39000</v>
      </c>
      <c r="E70">
        <f t="shared" si="1"/>
        <v>624000</v>
      </c>
    </row>
    <row r="71" spans="1:5" hidden="1" x14ac:dyDescent="0.3">
      <c r="A71" t="s">
        <v>35</v>
      </c>
      <c r="B71" t="s">
        <v>4</v>
      </c>
      <c r="C71">
        <v>65</v>
      </c>
      <c r="D71">
        <v>17000</v>
      </c>
      <c r="E71">
        <f t="shared" si="1"/>
        <v>1105000</v>
      </c>
    </row>
    <row r="72" spans="1:5" hidden="1" x14ac:dyDescent="0.3">
      <c r="A72" t="s">
        <v>123</v>
      </c>
      <c r="B72" t="s">
        <v>31</v>
      </c>
      <c r="C72">
        <v>0</v>
      </c>
      <c r="E72">
        <f t="shared" si="1"/>
        <v>0</v>
      </c>
    </row>
    <row r="73" spans="1:5" hidden="1" x14ac:dyDescent="0.3">
      <c r="A73" t="s">
        <v>37</v>
      </c>
      <c r="B73" t="s">
        <v>4</v>
      </c>
      <c r="C73">
        <v>0</v>
      </c>
      <c r="E73">
        <f t="shared" si="1"/>
        <v>0</v>
      </c>
    </row>
    <row r="74" spans="1:5" hidden="1" x14ac:dyDescent="0.3">
      <c r="A74" t="s">
        <v>37</v>
      </c>
      <c r="B74" t="s">
        <v>151</v>
      </c>
      <c r="C74">
        <v>0</v>
      </c>
      <c r="E74">
        <f t="shared" si="1"/>
        <v>0</v>
      </c>
    </row>
    <row r="75" spans="1:5" hidden="1" x14ac:dyDescent="0.3">
      <c r="A75" t="s">
        <v>96</v>
      </c>
      <c r="B75" t="s">
        <v>4</v>
      </c>
      <c r="C75">
        <v>0</v>
      </c>
      <c r="E75">
        <f t="shared" si="1"/>
        <v>0</v>
      </c>
    </row>
    <row r="76" spans="1:5" hidden="1" x14ac:dyDescent="0.3">
      <c r="A76" t="s">
        <v>97</v>
      </c>
      <c r="B76" t="s">
        <v>4</v>
      </c>
      <c r="C76">
        <v>2</v>
      </c>
      <c r="D76">
        <v>70000</v>
      </c>
      <c r="E76">
        <f t="shared" si="1"/>
        <v>140000</v>
      </c>
    </row>
    <row r="77" spans="1:5" hidden="1" x14ac:dyDescent="0.3">
      <c r="A77" t="s">
        <v>105</v>
      </c>
      <c r="B77" t="s">
        <v>4</v>
      </c>
      <c r="C77">
        <v>1</v>
      </c>
      <c r="D77">
        <v>70000</v>
      </c>
      <c r="E77">
        <f t="shared" si="1"/>
        <v>70000</v>
      </c>
    </row>
    <row r="78" spans="1:5" hidden="1" x14ac:dyDescent="0.3">
      <c r="A78" t="s">
        <v>40</v>
      </c>
      <c r="B78" t="s">
        <v>66</v>
      </c>
      <c r="C78">
        <v>0</v>
      </c>
      <c r="E78">
        <f t="shared" si="1"/>
        <v>0</v>
      </c>
    </row>
    <row r="79" spans="1:5" hidden="1" x14ac:dyDescent="0.3">
      <c r="A79" t="s">
        <v>40</v>
      </c>
      <c r="B79" t="s">
        <v>4</v>
      </c>
      <c r="C79">
        <v>123</v>
      </c>
      <c r="D79">
        <v>30000</v>
      </c>
      <c r="E79">
        <f t="shared" si="1"/>
        <v>3690000</v>
      </c>
    </row>
    <row r="80" spans="1:5" hidden="1" x14ac:dyDescent="0.3">
      <c r="A80" t="s">
        <v>124</v>
      </c>
      <c r="B80" t="s">
        <v>4</v>
      </c>
      <c r="C80">
        <v>0</v>
      </c>
      <c r="E80">
        <f t="shared" si="1"/>
        <v>0</v>
      </c>
    </row>
    <row r="81" spans="1:5" hidden="1" x14ac:dyDescent="0.3">
      <c r="A81" t="s">
        <v>42</v>
      </c>
      <c r="B81" t="s">
        <v>31</v>
      </c>
      <c r="C81">
        <v>0</v>
      </c>
      <c r="E81">
        <f t="shared" si="1"/>
        <v>0</v>
      </c>
    </row>
    <row r="82" spans="1:5" hidden="1" x14ac:dyDescent="0.3">
      <c r="A82" t="s">
        <v>67</v>
      </c>
      <c r="B82" t="s">
        <v>4</v>
      </c>
      <c r="C82">
        <v>15</v>
      </c>
      <c r="D82">
        <v>14000</v>
      </c>
      <c r="E82">
        <f t="shared" si="1"/>
        <v>210000</v>
      </c>
    </row>
    <row r="83" spans="1:5" hidden="1" x14ac:dyDescent="0.3">
      <c r="A83" t="s">
        <v>101</v>
      </c>
      <c r="B83" t="s">
        <v>53</v>
      </c>
      <c r="C83">
        <v>0</v>
      </c>
      <c r="E83">
        <f t="shared" si="1"/>
        <v>0</v>
      </c>
    </row>
    <row r="84" spans="1:5" hidden="1" x14ac:dyDescent="0.3">
      <c r="A84" t="s">
        <v>101</v>
      </c>
      <c r="B84" t="s">
        <v>4</v>
      </c>
      <c r="C84">
        <v>0</v>
      </c>
      <c r="E84">
        <f t="shared" si="1"/>
        <v>0</v>
      </c>
    </row>
    <row r="85" spans="1:5" hidden="1" x14ac:dyDescent="0.3">
      <c r="A85" t="s">
        <v>46</v>
      </c>
      <c r="B85" t="s">
        <v>31</v>
      </c>
      <c r="C85">
        <v>70</v>
      </c>
      <c r="D85">
        <v>20000</v>
      </c>
      <c r="E85">
        <f t="shared" si="1"/>
        <v>1400000</v>
      </c>
    </row>
    <row r="86" spans="1:5" hidden="1" x14ac:dyDescent="0.3">
      <c r="A86" t="s">
        <v>47</v>
      </c>
      <c r="B86" t="s">
        <v>4</v>
      </c>
      <c r="C86">
        <v>0</v>
      </c>
      <c r="E86">
        <f t="shared" si="1"/>
        <v>0</v>
      </c>
    </row>
    <row r="87" spans="1:5" hidden="1" x14ac:dyDescent="0.3">
      <c r="A87" t="s">
        <v>74</v>
      </c>
      <c r="B87" t="s">
        <v>4</v>
      </c>
      <c r="C87">
        <v>45</v>
      </c>
      <c r="D87">
        <v>14000</v>
      </c>
      <c r="E87">
        <f t="shared" si="1"/>
        <v>630000</v>
      </c>
    </row>
    <row r="88" spans="1:5" hidden="1" x14ac:dyDescent="0.3">
      <c r="A88" t="s">
        <v>48</v>
      </c>
      <c r="B88" t="s">
        <v>4</v>
      </c>
      <c r="C88">
        <v>0</v>
      </c>
      <c r="E88">
        <f t="shared" si="1"/>
        <v>0</v>
      </c>
    </row>
    <row r="89" spans="1:5" hidden="1" x14ac:dyDescent="0.3">
      <c r="A89" t="s">
        <v>152</v>
      </c>
      <c r="B89" t="s">
        <v>4</v>
      </c>
      <c r="C89">
        <v>0</v>
      </c>
      <c r="E89">
        <f t="shared" si="1"/>
        <v>0</v>
      </c>
    </row>
    <row r="90" spans="1:5" hidden="1" x14ac:dyDescent="0.3">
      <c r="A90" t="s">
        <v>81</v>
      </c>
      <c r="B90" t="s">
        <v>4</v>
      </c>
      <c r="C90">
        <v>19</v>
      </c>
      <c r="D90">
        <v>30000</v>
      </c>
      <c r="E90">
        <f t="shared" si="1"/>
        <v>570000</v>
      </c>
    </row>
    <row r="91" spans="1:5" hidden="1" x14ac:dyDescent="0.3">
      <c r="A91" t="s">
        <v>59</v>
      </c>
      <c r="B91" t="s">
        <v>4</v>
      </c>
      <c r="C91">
        <v>25</v>
      </c>
      <c r="D91">
        <v>32000</v>
      </c>
      <c r="E91">
        <f t="shared" si="1"/>
        <v>800000</v>
      </c>
    </row>
    <row r="92" spans="1:5" hidden="1" x14ac:dyDescent="0.3">
      <c r="A92" t="s">
        <v>79</v>
      </c>
      <c r="B92" t="s">
        <v>4</v>
      </c>
      <c r="C92">
        <v>0</v>
      </c>
      <c r="E92">
        <f t="shared" si="1"/>
        <v>0</v>
      </c>
    </row>
    <row r="93" spans="1:5" hidden="1" x14ac:dyDescent="0.3">
      <c r="A93" t="s">
        <v>99</v>
      </c>
      <c r="B93" t="s">
        <v>4</v>
      </c>
      <c r="C93">
        <v>0</v>
      </c>
      <c r="E93">
        <f t="shared" si="1"/>
        <v>0</v>
      </c>
    </row>
    <row r="94" spans="1:5" hidden="1" x14ac:dyDescent="0.3">
      <c r="A94" t="s">
        <v>58</v>
      </c>
      <c r="B94" t="s">
        <v>4</v>
      </c>
      <c r="C94">
        <v>0</v>
      </c>
      <c r="E94">
        <f t="shared" si="1"/>
        <v>0</v>
      </c>
    </row>
    <row r="95" spans="1:5" hidden="1" x14ac:dyDescent="0.3">
      <c r="A95" t="s">
        <v>33</v>
      </c>
      <c r="B95" t="s">
        <v>4</v>
      </c>
      <c r="C95">
        <v>0</v>
      </c>
      <c r="E95">
        <f t="shared" si="1"/>
        <v>0</v>
      </c>
    </row>
    <row r="96" spans="1:5" hidden="1" x14ac:dyDescent="0.3">
      <c r="A96" t="s">
        <v>33</v>
      </c>
      <c r="B96" t="s">
        <v>31</v>
      </c>
      <c r="C96">
        <v>0</v>
      </c>
      <c r="E96">
        <f t="shared" si="1"/>
        <v>0</v>
      </c>
    </row>
    <row r="97" spans="1:5" hidden="1" x14ac:dyDescent="0.3">
      <c r="A97" t="s">
        <v>156</v>
      </c>
      <c r="B97" t="s">
        <v>4</v>
      </c>
      <c r="C97">
        <v>0</v>
      </c>
      <c r="E97">
        <f t="shared" si="1"/>
        <v>0</v>
      </c>
    </row>
    <row r="98" spans="1:5" hidden="1" x14ac:dyDescent="0.3">
      <c r="A98" t="s">
        <v>23</v>
      </c>
      <c r="B98" t="s">
        <v>4</v>
      </c>
      <c r="C98">
        <v>0</v>
      </c>
      <c r="E98">
        <f t="shared" si="1"/>
        <v>0</v>
      </c>
    </row>
    <row r="99" spans="1:5" hidden="1" x14ac:dyDescent="0.3">
      <c r="A99" t="s">
        <v>133</v>
      </c>
      <c r="B99" t="s">
        <v>31</v>
      </c>
      <c r="C99">
        <v>0</v>
      </c>
      <c r="E99">
        <f t="shared" si="1"/>
        <v>0</v>
      </c>
    </row>
    <row r="100" spans="1:5" hidden="1" x14ac:dyDescent="0.3">
      <c r="A100" t="s">
        <v>76</v>
      </c>
      <c r="B100" t="s">
        <v>66</v>
      </c>
      <c r="C100">
        <v>0</v>
      </c>
      <c r="E100">
        <f t="shared" si="1"/>
        <v>0</v>
      </c>
    </row>
    <row r="101" spans="1:5" hidden="1" x14ac:dyDescent="0.3">
      <c r="A101" t="s">
        <v>82</v>
      </c>
      <c r="B101" t="s">
        <v>66</v>
      </c>
      <c r="C101">
        <v>0</v>
      </c>
      <c r="E101">
        <f t="shared" si="1"/>
        <v>0</v>
      </c>
    </row>
    <row r="102" spans="1:5" hidden="1" x14ac:dyDescent="0.3">
      <c r="A102" t="s">
        <v>77</v>
      </c>
      <c r="B102" t="s">
        <v>66</v>
      </c>
      <c r="C102">
        <v>0</v>
      </c>
      <c r="E102">
        <f t="shared" si="1"/>
        <v>0</v>
      </c>
    </row>
    <row r="103" spans="1:5" hidden="1" x14ac:dyDescent="0.3">
      <c r="A103" t="s">
        <v>142</v>
      </c>
      <c r="B103" t="s">
        <v>31</v>
      </c>
      <c r="C103">
        <v>40</v>
      </c>
      <c r="D103">
        <v>6000</v>
      </c>
      <c r="E103">
        <f t="shared" si="1"/>
        <v>240000</v>
      </c>
    </row>
    <row r="104" spans="1:5" hidden="1" x14ac:dyDescent="0.3">
      <c r="A104" t="s">
        <v>107</v>
      </c>
      <c r="B104" t="s">
        <v>4</v>
      </c>
      <c r="C104">
        <v>0</v>
      </c>
      <c r="E104">
        <f t="shared" si="1"/>
        <v>0</v>
      </c>
    </row>
    <row r="105" spans="1:5" hidden="1" x14ac:dyDescent="0.3">
      <c r="A105" t="s">
        <v>113</v>
      </c>
      <c r="B105" t="s">
        <v>31</v>
      </c>
      <c r="C105">
        <v>0</v>
      </c>
      <c r="E105">
        <f t="shared" si="1"/>
        <v>0</v>
      </c>
    </row>
    <row r="106" spans="1:5" hidden="1" x14ac:dyDescent="0.3">
      <c r="A106" t="s">
        <v>85</v>
      </c>
      <c r="B106" t="s">
        <v>4</v>
      </c>
      <c r="C106">
        <v>0</v>
      </c>
      <c r="E106">
        <f t="shared" si="1"/>
        <v>0</v>
      </c>
    </row>
    <row r="107" spans="1:5" hidden="1" x14ac:dyDescent="0.3">
      <c r="A107" t="s">
        <v>219</v>
      </c>
      <c r="B107" t="s">
        <v>4</v>
      </c>
      <c r="C107">
        <v>80</v>
      </c>
      <c r="D107">
        <v>41000</v>
      </c>
      <c r="E107">
        <f t="shared" si="1"/>
        <v>3280000</v>
      </c>
    </row>
    <row r="108" spans="1:5" hidden="1" x14ac:dyDescent="0.3">
      <c r="E108">
        <f t="shared" si="1"/>
        <v>0</v>
      </c>
    </row>
    <row r="109" spans="1:5" hidden="1" x14ac:dyDescent="0.3">
      <c r="E109">
        <f t="shared" si="1"/>
        <v>0</v>
      </c>
    </row>
    <row r="110" spans="1:5" hidden="1" x14ac:dyDescent="0.3">
      <c r="E110">
        <f>SUM(E4:E107)</f>
        <v>198275700</v>
      </c>
    </row>
    <row r="111" spans="1:5" hidden="1" x14ac:dyDescent="0.3">
      <c r="A111" t="s">
        <v>139</v>
      </c>
    </row>
    <row r="112" spans="1:5" hidden="1" x14ac:dyDescent="0.3">
      <c r="A112" t="s">
        <v>0</v>
      </c>
      <c r="B112" t="s">
        <v>1</v>
      </c>
      <c r="C112" t="s">
        <v>190</v>
      </c>
      <c r="D112" t="s">
        <v>137</v>
      </c>
      <c r="E112" t="s">
        <v>138</v>
      </c>
    </row>
    <row r="113" spans="1:5" hidden="1" x14ac:dyDescent="0.3">
      <c r="A113" t="s">
        <v>49</v>
      </c>
      <c r="B113" t="s">
        <v>4</v>
      </c>
      <c r="E113">
        <f t="shared" si="1"/>
        <v>0</v>
      </c>
    </row>
    <row r="114" spans="1:5" hidden="1" x14ac:dyDescent="0.3">
      <c r="A114" t="s">
        <v>27</v>
      </c>
      <c r="B114" t="s">
        <v>4</v>
      </c>
      <c r="C114">
        <v>140</v>
      </c>
      <c r="D114">
        <v>6000</v>
      </c>
      <c r="E114">
        <f t="shared" si="1"/>
        <v>840000</v>
      </c>
    </row>
    <row r="115" spans="1:5" hidden="1" x14ac:dyDescent="0.3">
      <c r="A115" t="s">
        <v>28</v>
      </c>
      <c r="B115" t="s">
        <v>4</v>
      </c>
      <c r="C115">
        <v>40</v>
      </c>
      <c r="D115">
        <v>18000</v>
      </c>
      <c r="E115">
        <f t="shared" si="1"/>
        <v>720000</v>
      </c>
    </row>
    <row r="116" spans="1:5" hidden="1" x14ac:dyDescent="0.3">
      <c r="A116" t="s">
        <v>29</v>
      </c>
      <c r="B116" t="s">
        <v>4</v>
      </c>
      <c r="E116">
        <f t="shared" si="1"/>
        <v>0</v>
      </c>
    </row>
    <row r="117" spans="1:5" hidden="1" x14ac:dyDescent="0.3">
      <c r="A117" t="s">
        <v>57</v>
      </c>
      <c r="B117" t="s">
        <v>31</v>
      </c>
      <c r="E117">
        <f t="shared" si="1"/>
        <v>0</v>
      </c>
    </row>
    <row r="118" spans="1:5" hidden="1" x14ac:dyDescent="0.3">
      <c r="A118" t="s">
        <v>32</v>
      </c>
      <c r="B118" t="s">
        <v>4</v>
      </c>
      <c r="C118">
        <v>500</v>
      </c>
      <c r="D118">
        <v>17000</v>
      </c>
      <c r="E118">
        <f t="shared" si="1"/>
        <v>8500000</v>
      </c>
    </row>
    <row r="119" spans="1:5" hidden="1" x14ac:dyDescent="0.3">
      <c r="A119" t="s">
        <v>33</v>
      </c>
      <c r="B119" t="s">
        <v>31</v>
      </c>
      <c r="E119">
        <f t="shared" si="1"/>
        <v>0</v>
      </c>
    </row>
    <row r="120" spans="1:5" hidden="1" x14ac:dyDescent="0.3">
      <c r="A120" t="s">
        <v>34</v>
      </c>
      <c r="B120" t="s">
        <v>4</v>
      </c>
      <c r="C120">
        <v>200</v>
      </c>
      <c r="D120">
        <v>15000</v>
      </c>
      <c r="E120">
        <f t="shared" si="1"/>
        <v>3000000</v>
      </c>
    </row>
    <row r="121" spans="1:5" hidden="1" x14ac:dyDescent="0.3">
      <c r="A121" t="s">
        <v>35</v>
      </c>
      <c r="B121" t="s">
        <v>4</v>
      </c>
      <c r="E121">
        <f t="shared" si="1"/>
        <v>0</v>
      </c>
    </row>
    <row r="122" spans="1:5" hidden="1" x14ac:dyDescent="0.3">
      <c r="A122" t="s">
        <v>13</v>
      </c>
      <c r="B122" t="s">
        <v>4</v>
      </c>
      <c r="E122">
        <f t="shared" si="1"/>
        <v>0</v>
      </c>
    </row>
    <row r="123" spans="1:5" hidden="1" x14ac:dyDescent="0.3">
      <c r="A123" t="s">
        <v>14</v>
      </c>
      <c r="B123" t="s">
        <v>4</v>
      </c>
      <c r="E123">
        <f t="shared" si="1"/>
        <v>0</v>
      </c>
    </row>
    <row r="124" spans="1:5" hidden="1" x14ac:dyDescent="0.3">
      <c r="A124" t="s">
        <v>3</v>
      </c>
      <c r="B124" t="s">
        <v>4</v>
      </c>
      <c r="E124">
        <f t="shared" si="1"/>
        <v>0</v>
      </c>
    </row>
    <row r="125" spans="1:5" hidden="1" x14ac:dyDescent="0.3">
      <c r="A125" t="s">
        <v>5</v>
      </c>
      <c r="B125" t="s">
        <v>4</v>
      </c>
      <c r="E125">
        <f t="shared" si="1"/>
        <v>0</v>
      </c>
    </row>
    <row r="126" spans="1:5" hidden="1" x14ac:dyDescent="0.3">
      <c r="A126" t="s">
        <v>6</v>
      </c>
      <c r="B126" t="s">
        <v>4</v>
      </c>
      <c r="E126">
        <f t="shared" si="1"/>
        <v>0</v>
      </c>
    </row>
    <row r="127" spans="1:5" hidden="1" x14ac:dyDescent="0.3">
      <c r="A127" t="s">
        <v>22</v>
      </c>
      <c r="B127" t="s">
        <v>4</v>
      </c>
      <c r="E127">
        <f t="shared" si="1"/>
        <v>0</v>
      </c>
    </row>
    <row r="128" spans="1:5" hidden="1" x14ac:dyDescent="0.3">
      <c r="A128" t="s">
        <v>24</v>
      </c>
      <c r="B128" t="s">
        <v>4</v>
      </c>
      <c r="E128">
        <f t="shared" si="1"/>
        <v>0</v>
      </c>
    </row>
    <row r="129" spans="1:5" hidden="1" x14ac:dyDescent="0.3">
      <c r="A129" t="s">
        <v>40</v>
      </c>
      <c r="B129" t="s">
        <v>4</v>
      </c>
      <c r="E129">
        <f t="shared" si="1"/>
        <v>0</v>
      </c>
    </row>
    <row r="130" spans="1:5" hidden="1" x14ac:dyDescent="0.3">
      <c r="A130" t="s">
        <v>76</v>
      </c>
      <c r="B130" t="s">
        <v>66</v>
      </c>
      <c r="E130">
        <f t="shared" si="1"/>
        <v>0</v>
      </c>
    </row>
    <row r="131" spans="1:5" hidden="1" x14ac:dyDescent="0.3">
      <c r="A131" t="s">
        <v>77</v>
      </c>
      <c r="B131" t="s">
        <v>66</v>
      </c>
      <c r="E131">
        <f t="shared" si="1"/>
        <v>0</v>
      </c>
    </row>
    <row r="132" spans="1:5" hidden="1" x14ac:dyDescent="0.3">
      <c r="A132" t="s">
        <v>82</v>
      </c>
      <c r="B132" t="s">
        <v>66</v>
      </c>
      <c r="E132">
        <f t="shared" si="1"/>
        <v>0</v>
      </c>
    </row>
    <row r="133" spans="1:5" hidden="1" x14ac:dyDescent="0.3">
      <c r="A133" t="s">
        <v>7</v>
      </c>
      <c r="B133" t="s">
        <v>4</v>
      </c>
      <c r="C133">
        <v>48</v>
      </c>
      <c r="D133">
        <v>8000</v>
      </c>
      <c r="E133">
        <f t="shared" si="1"/>
        <v>384000</v>
      </c>
    </row>
    <row r="134" spans="1:5" hidden="1" x14ac:dyDescent="0.3">
      <c r="A134" t="s">
        <v>8</v>
      </c>
      <c r="B134" t="s">
        <v>4</v>
      </c>
      <c r="C134">
        <v>1000</v>
      </c>
      <c r="D134">
        <v>4300</v>
      </c>
      <c r="E134">
        <f t="shared" si="1"/>
        <v>4300000</v>
      </c>
    </row>
    <row r="135" spans="1:5" hidden="1" x14ac:dyDescent="0.3">
      <c r="A135" t="s">
        <v>10</v>
      </c>
      <c r="B135" t="s">
        <v>4</v>
      </c>
      <c r="C135">
        <v>60</v>
      </c>
      <c r="D135">
        <v>10000</v>
      </c>
      <c r="E135">
        <f t="shared" ref="E135:E153" si="2">C135*D135</f>
        <v>600000</v>
      </c>
    </row>
    <row r="136" spans="1:5" hidden="1" x14ac:dyDescent="0.3">
      <c r="A136" t="s">
        <v>15</v>
      </c>
      <c r="B136" t="s">
        <v>4</v>
      </c>
      <c r="C136">
        <v>130</v>
      </c>
      <c r="D136">
        <v>17000</v>
      </c>
      <c r="E136">
        <f t="shared" si="2"/>
        <v>2210000</v>
      </c>
    </row>
    <row r="137" spans="1:5" hidden="1" x14ac:dyDescent="0.3">
      <c r="A137" t="s">
        <v>18</v>
      </c>
      <c r="B137" t="s">
        <v>4</v>
      </c>
      <c r="C137">
        <v>160</v>
      </c>
      <c r="D137">
        <v>18000</v>
      </c>
      <c r="E137">
        <f t="shared" si="2"/>
        <v>2880000</v>
      </c>
    </row>
    <row r="138" spans="1:5" hidden="1" x14ac:dyDescent="0.3">
      <c r="A138" t="s">
        <v>21</v>
      </c>
      <c r="B138" t="s">
        <v>4</v>
      </c>
      <c r="C138">
        <v>80</v>
      </c>
      <c r="D138">
        <v>6000</v>
      </c>
      <c r="E138">
        <f t="shared" si="2"/>
        <v>480000</v>
      </c>
    </row>
    <row r="139" spans="1:5" hidden="1" x14ac:dyDescent="0.3">
      <c r="A139" t="s">
        <v>43</v>
      </c>
      <c r="B139" t="s">
        <v>4</v>
      </c>
      <c r="C139">
        <v>20</v>
      </c>
      <c r="D139">
        <v>35000</v>
      </c>
      <c r="E139">
        <f t="shared" si="2"/>
        <v>700000</v>
      </c>
    </row>
    <row r="140" spans="1:5" hidden="1" x14ac:dyDescent="0.3">
      <c r="A140" t="s">
        <v>44</v>
      </c>
      <c r="B140" t="s">
        <v>4</v>
      </c>
      <c r="C140">
        <v>20</v>
      </c>
      <c r="D140">
        <v>18000</v>
      </c>
      <c r="E140">
        <f t="shared" si="2"/>
        <v>360000</v>
      </c>
    </row>
    <row r="141" spans="1:5" hidden="1" x14ac:dyDescent="0.3">
      <c r="A141" t="s">
        <v>45</v>
      </c>
      <c r="B141" t="s">
        <v>4</v>
      </c>
      <c r="C141">
        <v>20</v>
      </c>
      <c r="D141">
        <v>28000</v>
      </c>
      <c r="E141">
        <f t="shared" si="2"/>
        <v>560000</v>
      </c>
    </row>
    <row r="142" spans="1:5" hidden="1" x14ac:dyDescent="0.3">
      <c r="A142" t="s">
        <v>47</v>
      </c>
      <c r="B142" t="s">
        <v>4</v>
      </c>
      <c r="E142">
        <f t="shared" si="2"/>
        <v>0</v>
      </c>
    </row>
    <row r="143" spans="1:5" hidden="1" x14ac:dyDescent="0.3">
      <c r="A143" t="s">
        <v>26</v>
      </c>
      <c r="B143" t="s">
        <v>4</v>
      </c>
      <c r="C143">
        <v>65</v>
      </c>
      <c r="D143">
        <v>13000</v>
      </c>
      <c r="E143">
        <f t="shared" si="2"/>
        <v>845000</v>
      </c>
    </row>
    <row r="144" spans="1:5" hidden="1" x14ac:dyDescent="0.3">
      <c r="A144" t="s">
        <v>25</v>
      </c>
      <c r="B144" t="s">
        <v>4</v>
      </c>
      <c r="C144">
        <v>25</v>
      </c>
      <c r="D144">
        <v>28000</v>
      </c>
      <c r="E144">
        <f t="shared" si="2"/>
        <v>700000</v>
      </c>
    </row>
    <row r="145" spans="1:5" hidden="1" x14ac:dyDescent="0.3">
      <c r="A145" t="s">
        <v>23</v>
      </c>
      <c r="B145" t="s">
        <v>4</v>
      </c>
      <c r="C145">
        <v>11</v>
      </c>
      <c r="D145">
        <v>16000</v>
      </c>
      <c r="E145">
        <f t="shared" si="2"/>
        <v>176000</v>
      </c>
    </row>
    <row r="146" spans="1:5" hidden="1" x14ac:dyDescent="0.3">
      <c r="A146" t="s">
        <v>9</v>
      </c>
      <c r="B146" t="s">
        <v>4</v>
      </c>
      <c r="E146">
        <f t="shared" si="2"/>
        <v>0</v>
      </c>
    </row>
    <row r="147" spans="1:5" hidden="1" x14ac:dyDescent="0.3">
      <c r="A147" t="s">
        <v>39</v>
      </c>
      <c r="B147" t="s">
        <v>50</v>
      </c>
      <c r="C147">
        <v>160</v>
      </c>
      <c r="D147">
        <v>5000</v>
      </c>
      <c r="E147">
        <f t="shared" si="2"/>
        <v>800000</v>
      </c>
    </row>
    <row r="148" spans="1:5" x14ac:dyDescent="0.3">
      <c r="A148" t="s">
        <v>41</v>
      </c>
      <c r="B148" t="s">
        <v>4</v>
      </c>
      <c r="C148">
        <v>100</v>
      </c>
      <c r="D148">
        <v>27600</v>
      </c>
      <c r="E148">
        <f t="shared" si="2"/>
        <v>2760000</v>
      </c>
    </row>
    <row r="149" spans="1:5" hidden="1" x14ac:dyDescent="0.3">
      <c r="A149" t="s">
        <v>123</v>
      </c>
      <c r="B149" t="s">
        <v>31</v>
      </c>
      <c r="C149">
        <v>38</v>
      </c>
      <c r="D149">
        <v>6000</v>
      </c>
      <c r="E149">
        <f t="shared" si="2"/>
        <v>228000</v>
      </c>
    </row>
    <row r="150" spans="1:5" hidden="1" x14ac:dyDescent="0.3">
      <c r="A150" t="s">
        <v>37</v>
      </c>
      <c r="B150" t="s">
        <v>31</v>
      </c>
      <c r="C150">
        <v>144</v>
      </c>
      <c r="D150">
        <v>9000</v>
      </c>
      <c r="E150">
        <f t="shared" si="2"/>
        <v>1296000</v>
      </c>
    </row>
    <row r="151" spans="1:5" hidden="1" x14ac:dyDescent="0.3">
      <c r="A151" t="s">
        <v>12</v>
      </c>
      <c r="B151" t="s">
        <v>4</v>
      </c>
      <c r="E151">
        <f t="shared" si="2"/>
        <v>0</v>
      </c>
    </row>
    <row r="152" spans="1:5" hidden="1" x14ac:dyDescent="0.3">
      <c r="A152" t="s">
        <v>124</v>
      </c>
      <c r="B152" t="s">
        <v>4</v>
      </c>
      <c r="E152">
        <f t="shared" si="2"/>
        <v>0</v>
      </c>
    </row>
    <row r="153" spans="1:5" hidden="1" x14ac:dyDescent="0.3">
      <c r="A153" t="s">
        <v>145</v>
      </c>
      <c r="B153" t="s">
        <v>4</v>
      </c>
      <c r="E153">
        <f t="shared" si="2"/>
        <v>0</v>
      </c>
    </row>
    <row r="154" spans="1:5" hidden="1" x14ac:dyDescent="0.3">
      <c r="E154">
        <f>SUM(E114:E150)</f>
        <v>32339000</v>
      </c>
    </row>
  </sheetData>
  <autoFilter ref="A3:E154" xr:uid="{00000000-0009-0000-0000-000019000000}">
    <filterColumn colId="0">
      <filters>
        <filter val="Hạt Dẻ Ngố"/>
      </filters>
    </filterColumn>
    <filterColumn colId="2">
      <filters>
        <filter val="1"/>
        <filter val="10"/>
        <filter val="100"/>
        <filter val="1000"/>
        <filter val="105"/>
        <filter val="11"/>
        <filter val="115"/>
        <filter val="120"/>
        <filter val="123"/>
        <filter val="130"/>
        <filter val="140"/>
        <filter val="144"/>
        <filter val="15"/>
        <filter val="16"/>
        <filter val="160"/>
        <filter val="1626"/>
        <filter val="170"/>
        <filter val="19"/>
        <filter val="2"/>
        <filter val="20"/>
        <filter val="200"/>
        <filter val="220"/>
        <filter val="25"/>
        <filter val="2530"/>
        <filter val="28"/>
        <filter val="30"/>
        <filter val="35"/>
        <filter val="38"/>
        <filter val="40"/>
        <filter val="400"/>
        <filter val="415"/>
        <filter val="420"/>
        <filter val="440"/>
        <filter val="45"/>
        <filter val="46"/>
        <filter val="48"/>
        <filter val="500"/>
        <filter val="60"/>
        <filter val="600"/>
        <filter val="65"/>
        <filter val="69"/>
        <filter val="7"/>
        <filter val="70"/>
        <filter val="701"/>
        <filter val="784"/>
        <filter val="80"/>
        <filter val="930"/>
        <filter val="Tồn_x000a_ĐL_x000a__x000a_現在庫"/>
      </filters>
    </filterColumn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/>
  <dimension ref="A2:E156"/>
  <sheetViews>
    <sheetView workbookViewId="0">
      <selection activeCell="E156" sqref="E156"/>
    </sheetView>
  </sheetViews>
  <sheetFormatPr defaultRowHeight="14.4" x14ac:dyDescent="0.3"/>
  <cols>
    <col min="1" max="1" width="27.5546875" customWidth="1"/>
    <col min="3" max="3" width="10.5546875" customWidth="1"/>
    <col min="4" max="4" width="12.6640625" customWidth="1"/>
    <col min="5" max="5" width="18" customWidth="1"/>
  </cols>
  <sheetData>
    <row r="2" spans="1:5" x14ac:dyDescent="0.3">
      <c r="A2" t="s">
        <v>232</v>
      </c>
    </row>
    <row r="3" spans="1:5" x14ac:dyDescent="0.3">
      <c r="A3" t="s">
        <v>0</v>
      </c>
      <c r="B3" t="s">
        <v>1</v>
      </c>
      <c r="C3" t="s">
        <v>190</v>
      </c>
      <c r="D3" t="s">
        <v>137</v>
      </c>
      <c r="E3" t="s">
        <v>138</v>
      </c>
    </row>
    <row r="4" spans="1:5" hidden="1" x14ac:dyDescent="0.3">
      <c r="A4" t="s">
        <v>49</v>
      </c>
      <c r="B4" t="s">
        <v>4</v>
      </c>
      <c r="C4">
        <v>450</v>
      </c>
      <c r="D4">
        <v>13000</v>
      </c>
      <c r="E4">
        <f>C4*D4</f>
        <v>5850000</v>
      </c>
    </row>
    <row r="5" spans="1:5" hidden="1" x14ac:dyDescent="0.3">
      <c r="A5" t="s">
        <v>49</v>
      </c>
      <c r="B5" t="s">
        <v>31</v>
      </c>
      <c r="C5">
        <v>0</v>
      </c>
      <c r="E5">
        <f t="shared" ref="E5:E68" si="0">C5*D5</f>
        <v>0</v>
      </c>
    </row>
    <row r="6" spans="1:5" hidden="1" x14ac:dyDescent="0.3">
      <c r="A6" t="s">
        <v>19</v>
      </c>
      <c r="B6" t="s">
        <v>50</v>
      </c>
      <c r="C6">
        <v>0</v>
      </c>
      <c r="E6">
        <f t="shared" si="0"/>
        <v>0</v>
      </c>
    </row>
    <row r="7" spans="1:5" hidden="1" x14ac:dyDescent="0.3">
      <c r="A7" t="s">
        <v>51</v>
      </c>
      <c r="B7" t="s">
        <v>53</v>
      </c>
      <c r="C7">
        <v>14</v>
      </c>
      <c r="D7">
        <v>9500</v>
      </c>
      <c r="E7">
        <f t="shared" si="0"/>
        <v>133000</v>
      </c>
    </row>
    <row r="8" spans="1:5" hidden="1" x14ac:dyDescent="0.3">
      <c r="A8" t="s">
        <v>28</v>
      </c>
      <c r="B8" t="s">
        <v>4</v>
      </c>
      <c r="C8">
        <v>93</v>
      </c>
      <c r="D8">
        <v>18000</v>
      </c>
      <c r="E8">
        <f t="shared" si="0"/>
        <v>1674000</v>
      </c>
    </row>
    <row r="9" spans="1:5" hidden="1" x14ac:dyDescent="0.3">
      <c r="A9" t="s">
        <v>28</v>
      </c>
      <c r="B9" t="s">
        <v>31</v>
      </c>
      <c r="C9">
        <v>0</v>
      </c>
      <c r="E9">
        <f t="shared" si="0"/>
        <v>0</v>
      </c>
    </row>
    <row r="10" spans="1:5" hidden="1" x14ac:dyDescent="0.3">
      <c r="A10" t="s">
        <v>29</v>
      </c>
      <c r="B10" t="s">
        <v>4</v>
      </c>
      <c r="C10">
        <v>1361</v>
      </c>
      <c r="D10">
        <v>21000</v>
      </c>
      <c r="E10">
        <f t="shared" si="0"/>
        <v>28581000</v>
      </c>
    </row>
    <row r="11" spans="1:5" hidden="1" x14ac:dyDescent="0.3">
      <c r="A11" t="s">
        <v>29</v>
      </c>
      <c r="B11" t="s">
        <v>150</v>
      </c>
      <c r="C11">
        <v>0</v>
      </c>
      <c r="E11">
        <f t="shared" si="0"/>
        <v>0</v>
      </c>
    </row>
    <row r="12" spans="1:5" hidden="1" x14ac:dyDescent="0.3">
      <c r="A12" t="s">
        <v>56</v>
      </c>
      <c r="B12" t="s">
        <v>31</v>
      </c>
      <c r="C12">
        <v>644</v>
      </c>
      <c r="D12">
        <v>4500</v>
      </c>
      <c r="E12">
        <f t="shared" si="0"/>
        <v>2898000</v>
      </c>
    </row>
    <row r="13" spans="1:5" hidden="1" x14ac:dyDescent="0.3">
      <c r="A13" t="s">
        <v>57</v>
      </c>
      <c r="B13" t="s">
        <v>4</v>
      </c>
      <c r="C13">
        <v>580</v>
      </c>
      <c r="D13">
        <v>25000</v>
      </c>
      <c r="E13">
        <f t="shared" si="0"/>
        <v>14500000</v>
      </c>
    </row>
    <row r="14" spans="1:5" hidden="1" x14ac:dyDescent="0.3">
      <c r="A14" t="s">
        <v>57</v>
      </c>
      <c r="B14" t="s">
        <v>31</v>
      </c>
      <c r="C14">
        <v>0</v>
      </c>
      <c r="E14">
        <f t="shared" si="0"/>
        <v>0</v>
      </c>
    </row>
    <row r="15" spans="1:5" hidden="1" x14ac:dyDescent="0.3">
      <c r="A15" t="s">
        <v>32</v>
      </c>
      <c r="B15" t="s">
        <v>4</v>
      </c>
      <c r="C15">
        <v>0</v>
      </c>
      <c r="E15">
        <f t="shared" si="0"/>
        <v>0</v>
      </c>
    </row>
    <row r="16" spans="1:5" hidden="1" x14ac:dyDescent="0.3">
      <c r="A16" t="s">
        <v>34</v>
      </c>
      <c r="B16" t="s">
        <v>4</v>
      </c>
      <c r="C16">
        <v>300</v>
      </c>
      <c r="D16">
        <v>15000</v>
      </c>
      <c r="E16">
        <f t="shared" si="0"/>
        <v>4500000</v>
      </c>
    </row>
    <row r="17" spans="1:5" hidden="1" x14ac:dyDescent="0.3">
      <c r="A17" t="s">
        <v>34</v>
      </c>
      <c r="B17" t="s">
        <v>31</v>
      </c>
      <c r="C17">
        <v>0</v>
      </c>
      <c r="E17">
        <f t="shared" si="0"/>
        <v>0</v>
      </c>
    </row>
    <row r="18" spans="1:5" hidden="1" x14ac:dyDescent="0.3">
      <c r="A18" t="s">
        <v>60</v>
      </c>
      <c r="B18" t="s">
        <v>50</v>
      </c>
      <c r="C18">
        <v>0</v>
      </c>
      <c r="E18">
        <f t="shared" si="0"/>
        <v>0</v>
      </c>
    </row>
    <row r="19" spans="1:5" hidden="1" x14ac:dyDescent="0.3">
      <c r="A19" t="s">
        <v>6</v>
      </c>
      <c r="B19" t="s">
        <v>4</v>
      </c>
      <c r="C19">
        <v>138</v>
      </c>
      <c r="D19">
        <v>11000</v>
      </c>
      <c r="E19">
        <f t="shared" si="0"/>
        <v>1518000</v>
      </c>
    </row>
    <row r="20" spans="1:5" hidden="1" x14ac:dyDescent="0.3">
      <c r="A20" t="s">
        <v>62</v>
      </c>
      <c r="B20" t="s">
        <v>4</v>
      </c>
      <c r="C20">
        <v>0</v>
      </c>
      <c r="E20">
        <f t="shared" si="0"/>
        <v>0</v>
      </c>
    </row>
    <row r="21" spans="1:5" hidden="1" x14ac:dyDescent="0.3">
      <c r="A21" t="s">
        <v>62</v>
      </c>
      <c r="B21" t="s">
        <v>31</v>
      </c>
      <c r="C21">
        <v>0</v>
      </c>
      <c r="E21">
        <f t="shared" si="0"/>
        <v>0</v>
      </c>
    </row>
    <row r="22" spans="1:5" hidden="1" x14ac:dyDescent="0.3">
      <c r="A22" t="s">
        <v>64</v>
      </c>
      <c r="B22" t="s">
        <v>31</v>
      </c>
      <c r="C22">
        <v>0</v>
      </c>
      <c r="E22">
        <f t="shared" si="0"/>
        <v>0</v>
      </c>
    </row>
    <row r="23" spans="1:5" hidden="1" x14ac:dyDescent="0.3">
      <c r="A23" t="s">
        <v>22</v>
      </c>
      <c r="B23" t="s">
        <v>4</v>
      </c>
      <c r="C23">
        <v>408</v>
      </c>
      <c r="D23">
        <v>7000</v>
      </c>
      <c r="E23">
        <f t="shared" si="0"/>
        <v>2856000</v>
      </c>
    </row>
    <row r="24" spans="1:5" hidden="1" x14ac:dyDescent="0.3">
      <c r="A24" t="s">
        <v>24</v>
      </c>
      <c r="B24" t="s">
        <v>66</v>
      </c>
      <c r="C24">
        <v>0</v>
      </c>
      <c r="E24">
        <f t="shared" si="0"/>
        <v>0</v>
      </c>
    </row>
    <row r="25" spans="1:5" hidden="1" x14ac:dyDescent="0.3">
      <c r="A25" t="s">
        <v>24</v>
      </c>
      <c r="B25" t="s">
        <v>4</v>
      </c>
      <c r="C25">
        <v>88</v>
      </c>
      <c r="D25">
        <v>16000</v>
      </c>
      <c r="E25">
        <f t="shared" si="0"/>
        <v>1408000</v>
      </c>
    </row>
    <row r="26" spans="1:5" hidden="1" x14ac:dyDescent="0.3">
      <c r="A26" t="s">
        <v>75</v>
      </c>
      <c r="B26" t="s">
        <v>4</v>
      </c>
      <c r="C26">
        <v>71</v>
      </c>
      <c r="D26">
        <v>28000</v>
      </c>
      <c r="E26">
        <f t="shared" si="0"/>
        <v>1988000</v>
      </c>
    </row>
    <row r="27" spans="1:5" hidden="1" x14ac:dyDescent="0.3">
      <c r="A27" t="s">
        <v>8</v>
      </c>
      <c r="B27" t="s">
        <v>4</v>
      </c>
      <c r="C27">
        <v>504</v>
      </c>
      <c r="D27">
        <v>4300</v>
      </c>
      <c r="E27">
        <f t="shared" si="0"/>
        <v>2167200</v>
      </c>
    </row>
    <row r="28" spans="1:5" hidden="1" x14ac:dyDescent="0.3">
      <c r="A28" t="s">
        <v>10</v>
      </c>
      <c r="B28" t="s">
        <v>4</v>
      </c>
      <c r="C28">
        <v>175</v>
      </c>
      <c r="D28">
        <v>10000</v>
      </c>
      <c r="E28">
        <f t="shared" si="0"/>
        <v>1750000</v>
      </c>
    </row>
    <row r="29" spans="1:5" hidden="1" x14ac:dyDescent="0.3">
      <c r="A29" t="s">
        <v>10</v>
      </c>
      <c r="B29" t="s">
        <v>84</v>
      </c>
      <c r="C29">
        <v>0</v>
      </c>
      <c r="E29">
        <f t="shared" si="0"/>
        <v>0</v>
      </c>
    </row>
    <row r="30" spans="1:5" hidden="1" x14ac:dyDescent="0.3">
      <c r="A30" t="s">
        <v>11</v>
      </c>
      <c r="B30" t="s">
        <v>4</v>
      </c>
      <c r="C30">
        <v>15</v>
      </c>
      <c r="D30">
        <v>10000</v>
      </c>
      <c r="E30">
        <f t="shared" si="0"/>
        <v>150000</v>
      </c>
    </row>
    <row r="31" spans="1:5" hidden="1" x14ac:dyDescent="0.3">
      <c r="A31" t="s">
        <v>11</v>
      </c>
      <c r="B31" t="s">
        <v>84</v>
      </c>
      <c r="C31">
        <v>0</v>
      </c>
      <c r="E31">
        <f t="shared" si="0"/>
        <v>0</v>
      </c>
    </row>
    <row r="32" spans="1:5" hidden="1" x14ac:dyDescent="0.3">
      <c r="A32" t="s">
        <v>15</v>
      </c>
      <c r="B32" t="s">
        <v>4</v>
      </c>
      <c r="C32">
        <v>0</v>
      </c>
      <c r="E32">
        <f t="shared" si="0"/>
        <v>0</v>
      </c>
    </row>
    <row r="33" spans="1:5" hidden="1" x14ac:dyDescent="0.3">
      <c r="A33" t="s">
        <v>15</v>
      </c>
      <c r="B33" t="s">
        <v>50</v>
      </c>
      <c r="C33">
        <v>0</v>
      </c>
      <c r="E33">
        <f t="shared" si="0"/>
        <v>0</v>
      </c>
    </row>
    <row r="34" spans="1:5" hidden="1" x14ac:dyDescent="0.3">
      <c r="A34" t="s">
        <v>15</v>
      </c>
      <c r="B34" t="s">
        <v>164</v>
      </c>
      <c r="C34">
        <v>0</v>
      </c>
      <c r="E34">
        <f t="shared" si="0"/>
        <v>0</v>
      </c>
    </row>
    <row r="35" spans="1:5" hidden="1" x14ac:dyDescent="0.3">
      <c r="A35" t="s">
        <v>18</v>
      </c>
      <c r="B35" t="s">
        <v>4</v>
      </c>
      <c r="C35">
        <v>0</v>
      </c>
      <c r="E35">
        <f t="shared" si="0"/>
        <v>0</v>
      </c>
    </row>
    <row r="36" spans="1:5" hidden="1" x14ac:dyDescent="0.3">
      <c r="A36" t="s">
        <v>18</v>
      </c>
      <c r="B36" t="s">
        <v>50</v>
      </c>
      <c r="C36">
        <v>0</v>
      </c>
      <c r="E36">
        <f t="shared" si="0"/>
        <v>0</v>
      </c>
    </row>
    <row r="37" spans="1:5" hidden="1" x14ac:dyDescent="0.3">
      <c r="A37" t="s">
        <v>92</v>
      </c>
      <c r="B37" t="s">
        <v>31</v>
      </c>
      <c r="C37">
        <v>24</v>
      </c>
      <c r="D37">
        <v>15000</v>
      </c>
      <c r="E37">
        <f t="shared" si="0"/>
        <v>360000</v>
      </c>
    </row>
    <row r="38" spans="1:5" hidden="1" x14ac:dyDescent="0.3">
      <c r="A38" t="s">
        <v>39</v>
      </c>
      <c r="B38" t="s">
        <v>4</v>
      </c>
      <c r="C38">
        <v>0</v>
      </c>
      <c r="E38">
        <f t="shared" si="0"/>
        <v>0</v>
      </c>
    </row>
    <row r="39" spans="1:5" hidden="1" x14ac:dyDescent="0.3">
      <c r="A39" t="s">
        <v>39</v>
      </c>
      <c r="B39" t="s">
        <v>50</v>
      </c>
      <c r="C39">
        <v>652</v>
      </c>
      <c r="D39">
        <v>5000</v>
      </c>
      <c r="E39">
        <f t="shared" si="0"/>
        <v>3260000</v>
      </c>
    </row>
    <row r="40" spans="1:5" hidden="1" x14ac:dyDescent="0.3">
      <c r="A40" t="s">
        <v>100</v>
      </c>
      <c r="B40" t="s">
        <v>4</v>
      </c>
      <c r="C40">
        <v>161</v>
      </c>
      <c r="D40">
        <v>4000</v>
      </c>
      <c r="E40">
        <f t="shared" si="0"/>
        <v>644000</v>
      </c>
    </row>
    <row r="41" spans="1:5" hidden="1" x14ac:dyDescent="0.3">
      <c r="A41" t="s">
        <v>43</v>
      </c>
      <c r="B41" t="s">
        <v>4</v>
      </c>
      <c r="C41">
        <v>92</v>
      </c>
      <c r="D41">
        <v>35000</v>
      </c>
      <c r="E41">
        <f t="shared" si="0"/>
        <v>3220000</v>
      </c>
    </row>
    <row r="42" spans="1:5" hidden="1" x14ac:dyDescent="0.3">
      <c r="A42" t="s">
        <v>43</v>
      </c>
      <c r="B42" t="s">
        <v>84</v>
      </c>
      <c r="C42">
        <v>0</v>
      </c>
      <c r="E42">
        <f t="shared" si="0"/>
        <v>0</v>
      </c>
    </row>
    <row r="43" spans="1:5" hidden="1" x14ac:dyDescent="0.3">
      <c r="A43" t="s">
        <v>44</v>
      </c>
      <c r="B43" t="s">
        <v>4</v>
      </c>
      <c r="C43">
        <v>59</v>
      </c>
      <c r="D43">
        <v>18000</v>
      </c>
      <c r="E43">
        <f t="shared" si="0"/>
        <v>1062000</v>
      </c>
    </row>
    <row r="44" spans="1:5" hidden="1" x14ac:dyDescent="0.3">
      <c r="A44" t="s">
        <v>44</v>
      </c>
      <c r="B44" t="s">
        <v>84</v>
      </c>
      <c r="C44">
        <v>0</v>
      </c>
      <c r="E44">
        <f t="shared" si="0"/>
        <v>0</v>
      </c>
    </row>
    <row r="45" spans="1:5" hidden="1" x14ac:dyDescent="0.3">
      <c r="A45" t="s">
        <v>45</v>
      </c>
      <c r="B45" t="s">
        <v>4</v>
      </c>
      <c r="C45">
        <v>0</v>
      </c>
      <c r="E45">
        <f t="shared" si="0"/>
        <v>0</v>
      </c>
    </row>
    <row r="46" spans="1:5" hidden="1" x14ac:dyDescent="0.3">
      <c r="A46" t="s">
        <v>45</v>
      </c>
      <c r="B46" t="s">
        <v>84</v>
      </c>
      <c r="C46">
        <v>0</v>
      </c>
      <c r="E46">
        <f t="shared" si="0"/>
        <v>0</v>
      </c>
    </row>
    <row r="47" spans="1:5" hidden="1" x14ac:dyDescent="0.3">
      <c r="A47" t="s">
        <v>12</v>
      </c>
      <c r="B47" t="s">
        <v>4</v>
      </c>
      <c r="C47">
        <v>0</v>
      </c>
      <c r="E47">
        <f t="shared" si="0"/>
        <v>0</v>
      </c>
    </row>
    <row r="48" spans="1:5" hidden="1" x14ac:dyDescent="0.3">
      <c r="A48" t="s">
        <v>116</v>
      </c>
      <c r="B48" t="s">
        <v>50</v>
      </c>
      <c r="C48">
        <v>0</v>
      </c>
      <c r="E48">
        <f t="shared" si="0"/>
        <v>0</v>
      </c>
    </row>
    <row r="49" spans="1:5" hidden="1" x14ac:dyDescent="0.3">
      <c r="A49" t="s">
        <v>117</v>
      </c>
      <c r="B49" t="s">
        <v>4</v>
      </c>
      <c r="C49">
        <v>0</v>
      </c>
      <c r="E49">
        <f t="shared" si="0"/>
        <v>0</v>
      </c>
    </row>
    <row r="50" spans="1:5" hidden="1" x14ac:dyDescent="0.3">
      <c r="A50" t="s">
        <v>17</v>
      </c>
      <c r="B50" t="s">
        <v>4</v>
      </c>
      <c r="C50">
        <v>3</v>
      </c>
      <c r="D50">
        <v>29000</v>
      </c>
      <c r="E50">
        <f t="shared" si="0"/>
        <v>87000</v>
      </c>
    </row>
    <row r="51" spans="1:5" hidden="1" x14ac:dyDescent="0.3">
      <c r="A51" t="s">
        <v>17</v>
      </c>
      <c r="B51" t="s">
        <v>147</v>
      </c>
      <c r="C51">
        <v>126</v>
      </c>
      <c r="D51">
        <v>8700</v>
      </c>
      <c r="E51">
        <f t="shared" si="0"/>
        <v>1096200</v>
      </c>
    </row>
    <row r="52" spans="1:5" hidden="1" x14ac:dyDescent="0.3">
      <c r="A52" t="s">
        <v>17</v>
      </c>
      <c r="B52" t="s">
        <v>203</v>
      </c>
      <c r="C52">
        <v>0</v>
      </c>
      <c r="E52">
        <f t="shared" si="0"/>
        <v>0</v>
      </c>
    </row>
    <row r="53" spans="1:5" hidden="1" x14ac:dyDescent="0.3">
      <c r="A53" t="s">
        <v>118</v>
      </c>
      <c r="B53" t="s">
        <v>4</v>
      </c>
      <c r="C53">
        <v>0</v>
      </c>
      <c r="E53">
        <f t="shared" si="0"/>
        <v>0</v>
      </c>
    </row>
    <row r="54" spans="1:5" x14ac:dyDescent="0.3">
      <c r="A54" t="s">
        <v>41</v>
      </c>
      <c r="B54" t="s">
        <v>4</v>
      </c>
      <c r="C54">
        <v>2520</v>
      </c>
      <c r="D54">
        <v>27600</v>
      </c>
      <c r="E54">
        <f t="shared" si="0"/>
        <v>69552000</v>
      </c>
    </row>
    <row r="55" spans="1:5" hidden="1" x14ac:dyDescent="0.3">
      <c r="A55" t="s">
        <v>3</v>
      </c>
      <c r="B55" t="s">
        <v>4</v>
      </c>
      <c r="C55">
        <v>36</v>
      </c>
      <c r="D55">
        <v>30000</v>
      </c>
      <c r="E55">
        <f t="shared" si="0"/>
        <v>1080000</v>
      </c>
    </row>
    <row r="56" spans="1:5" hidden="1" x14ac:dyDescent="0.3">
      <c r="A56" t="s">
        <v>5</v>
      </c>
      <c r="B56" t="s">
        <v>4</v>
      </c>
      <c r="C56">
        <v>45</v>
      </c>
      <c r="D56">
        <v>10000</v>
      </c>
      <c r="E56">
        <f t="shared" si="0"/>
        <v>450000</v>
      </c>
    </row>
    <row r="57" spans="1:5" hidden="1" x14ac:dyDescent="0.3">
      <c r="A57" t="s">
        <v>13</v>
      </c>
      <c r="B57" t="s">
        <v>4</v>
      </c>
      <c r="C57">
        <v>0</v>
      </c>
      <c r="E57">
        <f t="shared" si="0"/>
        <v>0</v>
      </c>
    </row>
    <row r="58" spans="1:5" hidden="1" x14ac:dyDescent="0.3">
      <c r="A58" t="s">
        <v>175</v>
      </c>
      <c r="B58" t="s">
        <v>4</v>
      </c>
      <c r="C58">
        <v>0</v>
      </c>
      <c r="E58">
        <f t="shared" si="0"/>
        <v>0</v>
      </c>
    </row>
    <row r="59" spans="1:5" hidden="1" x14ac:dyDescent="0.3">
      <c r="A59" t="s">
        <v>16</v>
      </c>
      <c r="B59" t="s">
        <v>4</v>
      </c>
      <c r="C59">
        <v>0</v>
      </c>
      <c r="E59">
        <f t="shared" si="0"/>
        <v>0</v>
      </c>
    </row>
    <row r="60" spans="1:5" hidden="1" x14ac:dyDescent="0.3">
      <c r="A60" t="s">
        <v>16</v>
      </c>
      <c r="B60" t="s">
        <v>165</v>
      </c>
      <c r="C60">
        <v>0</v>
      </c>
      <c r="E60">
        <f t="shared" si="0"/>
        <v>0</v>
      </c>
    </row>
    <row r="61" spans="1:5" hidden="1" x14ac:dyDescent="0.3">
      <c r="A61" t="s">
        <v>89</v>
      </c>
      <c r="B61" t="s">
        <v>53</v>
      </c>
      <c r="C61">
        <v>0</v>
      </c>
      <c r="E61">
        <f t="shared" si="0"/>
        <v>0</v>
      </c>
    </row>
    <row r="62" spans="1:5" hidden="1" x14ac:dyDescent="0.3">
      <c r="A62" t="s">
        <v>90</v>
      </c>
      <c r="B62" t="s">
        <v>4</v>
      </c>
      <c r="C62">
        <v>0</v>
      </c>
      <c r="E62">
        <f t="shared" si="0"/>
        <v>0</v>
      </c>
    </row>
    <row r="63" spans="1:5" hidden="1" x14ac:dyDescent="0.3">
      <c r="A63" t="s">
        <v>90</v>
      </c>
      <c r="B63" t="s">
        <v>148</v>
      </c>
      <c r="C63">
        <v>128</v>
      </c>
      <c r="D63">
        <v>8000</v>
      </c>
      <c r="E63">
        <f t="shared" si="0"/>
        <v>1024000</v>
      </c>
    </row>
    <row r="64" spans="1:5" hidden="1" x14ac:dyDescent="0.3">
      <c r="A64" t="s">
        <v>21</v>
      </c>
      <c r="B64" t="s">
        <v>4</v>
      </c>
      <c r="C64">
        <v>0</v>
      </c>
      <c r="E64">
        <f t="shared" si="0"/>
        <v>0</v>
      </c>
    </row>
    <row r="65" spans="1:5" hidden="1" x14ac:dyDescent="0.3">
      <c r="A65" t="s">
        <v>21</v>
      </c>
      <c r="B65" t="s">
        <v>149</v>
      </c>
      <c r="C65">
        <v>0</v>
      </c>
      <c r="E65">
        <f t="shared" si="0"/>
        <v>0</v>
      </c>
    </row>
    <row r="66" spans="1:5" hidden="1" x14ac:dyDescent="0.3">
      <c r="A66" t="s">
        <v>63</v>
      </c>
      <c r="B66" t="s">
        <v>31</v>
      </c>
      <c r="C66">
        <v>4</v>
      </c>
      <c r="D66">
        <v>6000</v>
      </c>
      <c r="E66">
        <f t="shared" si="0"/>
        <v>24000</v>
      </c>
    </row>
    <row r="67" spans="1:5" hidden="1" x14ac:dyDescent="0.3">
      <c r="A67" t="s">
        <v>26</v>
      </c>
      <c r="B67" t="s">
        <v>4</v>
      </c>
      <c r="C67">
        <v>0</v>
      </c>
      <c r="E67">
        <f t="shared" si="0"/>
        <v>0</v>
      </c>
    </row>
    <row r="68" spans="1:5" hidden="1" x14ac:dyDescent="0.3">
      <c r="A68" t="s">
        <v>27</v>
      </c>
      <c r="B68" t="s">
        <v>4</v>
      </c>
      <c r="C68">
        <v>0</v>
      </c>
      <c r="E68">
        <f t="shared" si="0"/>
        <v>0</v>
      </c>
    </row>
    <row r="69" spans="1:5" hidden="1" x14ac:dyDescent="0.3">
      <c r="A69" t="s">
        <v>54</v>
      </c>
      <c r="B69" t="s">
        <v>4</v>
      </c>
      <c r="C69">
        <v>5</v>
      </c>
      <c r="D69">
        <v>39000</v>
      </c>
      <c r="E69">
        <f t="shared" ref="E69:E134" si="1">C69*D69</f>
        <v>195000</v>
      </c>
    </row>
    <row r="70" spans="1:5" hidden="1" x14ac:dyDescent="0.3">
      <c r="A70" t="s">
        <v>35</v>
      </c>
      <c r="B70" t="s">
        <v>4</v>
      </c>
      <c r="C70">
        <v>20</v>
      </c>
      <c r="D70">
        <v>13000</v>
      </c>
      <c r="E70">
        <f t="shared" si="1"/>
        <v>260000</v>
      </c>
    </row>
    <row r="71" spans="1:5" hidden="1" x14ac:dyDescent="0.3">
      <c r="A71" t="s">
        <v>123</v>
      </c>
      <c r="B71" t="s">
        <v>31</v>
      </c>
      <c r="C71">
        <v>20</v>
      </c>
      <c r="D71">
        <v>6000</v>
      </c>
      <c r="E71">
        <f t="shared" si="1"/>
        <v>120000</v>
      </c>
    </row>
    <row r="72" spans="1:5" hidden="1" x14ac:dyDescent="0.3">
      <c r="A72" t="s">
        <v>37</v>
      </c>
      <c r="B72" t="s">
        <v>4</v>
      </c>
      <c r="C72">
        <v>0</v>
      </c>
      <c r="E72">
        <f t="shared" si="1"/>
        <v>0</v>
      </c>
    </row>
    <row r="73" spans="1:5" hidden="1" x14ac:dyDescent="0.3">
      <c r="A73" t="s">
        <v>37</v>
      </c>
      <c r="B73" t="s">
        <v>151</v>
      </c>
      <c r="C73">
        <v>0</v>
      </c>
      <c r="E73">
        <f t="shared" si="1"/>
        <v>0</v>
      </c>
    </row>
    <row r="74" spans="1:5" hidden="1" x14ac:dyDescent="0.3">
      <c r="A74" t="s">
        <v>96</v>
      </c>
      <c r="B74" t="s">
        <v>4</v>
      </c>
      <c r="C74">
        <v>1</v>
      </c>
      <c r="D74">
        <v>80000</v>
      </c>
      <c r="E74">
        <f t="shared" si="1"/>
        <v>80000</v>
      </c>
    </row>
    <row r="75" spans="1:5" hidden="1" x14ac:dyDescent="0.3">
      <c r="A75" t="s">
        <v>97</v>
      </c>
      <c r="B75" t="s">
        <v>4</v>
      </c>
      <c r="C75">
        <v>3</v>
      </c>
      <c r="D75">
        <v>70000</v>
      </c>
      <c r="E75">
        <f t="shared" si="1"/>
        <v>210000</v>
      </c>
    </row>
    <row r="76" spans="1:5" hidden="1" x14ac:dyDescent="0.3">
      <c r="A76" t="s">
        <v>105</v>
      </c>
      <c r="B76" t="s">
        <v>4</v>
      </c>
      <c r="C76">
        <v>2.5</v>
      </c>
      <c r="D76">
        <v>70000</v>
      </c>
      <c r="E76">
        <f t="shared" si="1"/>
        <v>175000</v>
      </c>
    </row>
    <row r="77" spans="1:5" hidden="1" x14ac:dyDescent="0.3">
      <c r="A77" t="s">
        <v>40</v>
      </c>
      <c r="B77" t="s">
        <v>66</v>
      </c>
      <c r="C77">
        <v>0</v>
      </c>
      <c r="E77">
        <f t="shared" si="1"/>
        <v>0</v>
      </c>
    </row>
    <row r="78" spans="1:5" hidden="1" x14ac:dyDescent="0.3">
      <c r="A78" t="s">
        <v>40</v>
      </c>
      <c r="B78" t="s">
        <v>4</v>
      </c>
      <c r="C78">
        <v>67</v>
      </c>
      <c r="D78">
        <v>30000</v>
      </c>
      <c r="E78">
        <f t="shared" si="1"/>
        <v>2010000</v>
      </c>
    </row>
    <row r="79" spans="1:5" hidden="1" x14ac:dyDescent="0.3">
      <c r="A79" t="s">
        <v>124</v>
      </c>
      <c r="B79" t="s">
        <v>4</v>
      </c>
      <c r="C79">
        <v>0</v>
      </c>
      <c r="E79">
        <f t="shared" si="1"/>
        <v>0</v>
      </c>
    </row>
    <row r="80" spans="1:5" hidden="1" x14ac:dyDescent="0.3">
      <c r="A80" t="s">
        <v>42</v>
      </c>
      <c r="B80" t="s">
        <v>31</v>
      </c>
      <c r="C80">
        <v>0</v>
      </c>
      <c r="E80">
        <f t="shared" si="1"/>
        <v>0</v>
      </c>
    </row>
    <row r="81" spans="1:5" hidden="1" x14ac:dyDescent="0.3">
      <c r="A81" t="s">
        <v>67</v>
      </c>
      <c r="B81" t="s">
        <v>4</v>
      </c>
      <c r="C81">
        <v>11</v>
      </c>
      <c r="D81">
        <v>14000</v>
      </c>
      <c r="E81">
        <f t="shared" si="1"/>
        <v>154000</v>
      </c>
    </row>
    <row r="82" spans="1:5" hidden="1" x14ac:dyDescent="0.3">
      <c r="A82" t="s">
        <v>101</v>
      </c>
      <c r="B82" t="s">
        <v>53</v>
      </c>
      <c r="C82">
        <v>0</v>
      </c>
      <c r="E82">
        <f t="shared" si="1"/>
        <v>0</v>
      </c>
    </row>
    <row r="83" spans="1:5" hidden="1" x14ac:dyDescent="0.3">
      <c r="A83" t="s">
        <v>101</v>
      </c>
      <c r="B83" t="s">
        <v>4</v>
      </c>
      <c r="C83">
        <v>3</v>
      </c>
      <c r="D83">
        <v>44000</v>
      </c>
      <c r="E83">
        <f t="shared" si="1"/>
        <v>132000</v>
      </c>
    </row>
    <row r="84" spans="1:5" hidden="1" x14ac:dyDescent="0.3">
      <c r="A84" t="s">
        <v>46</v>
      </c>
      <c r="B84" t="s">
        <v>31</v>
      </c>
      <c r="C84">
        <v>95</v>
      </c>
      <c r="D84">
        <v>20000</v>
      </c>
      <c r="E84">
        <f t="shared" si="1"/>
        <v>1900000</v>
      </c>
    </row>
    <row r="85" spans="1:5" hidden="1" x14ac:dyDescent="0.3">
      <c r="A85" t="s">
        <v>47</v>
      </c>
      <c r="B85" t="s">
        <v>4</v>
      </c>
      <c r="C85">
        <v>192</v>
      </c>
      <c r="D85">
        <v>7000</v>
      </c>
      <c r="E85">
        <f t="shared" si="1"/>
        <v>1344000</v>
      </c>
    </row>
    <row r="86" spans="1:5" hidden="1" x14ac:dyDescent="0.3">
      <c r="A86" t="s">
        <v>74</v>
      </c>
      <c r="B86" t="s">
        <v>4</v>
      </c>
      <c r="C86">
        <v>27</v>
      </c>
      <c r="D86">
        <v>14000</v>
      </c>
      <c r="E86">
        <f t="shared" si="1"/>
        <v>378000</v>
      </c>
    </row>
    <row r="87" spans="1:5" hidden="1" x14ac:dyDescent="0.3">
      <c r="A87" t="s">
        <v>48</v>
      </c>
      <c r="B87" t="s">
        <v>4</v>
      </c>
      <c r="C87">
        <v>39</v>
      </c>
      <c r="D87">
        <v>28000</v>
      </c>
      <c r="E87">
        <f t="shared" si="1"/>
        <v>1092000</v>
      </c>
    </row>
    <row r="88" spans="1:5" hidden="1" x14ac:dyDescent="0.3">
      <c r="A88" t="s">
        <v>152</v>
      </c>
      <c r="B88" t="s">
        <v>4</v>
      </c>
      <c r="C88">
        <v>0</v>
      </c>
      <c r="E88">
        <f t="shared" si="1"/>
        <v>0</v>
      </c>
    </row>
    <row r="89" spans="1:5" hidden="1" x14ac:dyDescent="0.3">
      <c r="A89" t="s">
        <v>81</v>
      </c>
      <c r="B89" t="s">
        <v>4</v>
      </c>
      <c r="C89">
        <v>7</v>
      </c>
      <c r="D89">
        <v>30000</v>
      </c>
      <c r="E89">
        <f t="shared" si="1"/>
        <v>210000</v>
      </c>
    </row>
    <row r="90" spans="1:5" hidden="1" x14ac:dyDescent="0.3">
      <c r="A90" t="s">
        <v>59</v>
      </c>
      <c r="B90" t="s">
        <v>4</v>
      </c>
      <c r="C90">
        <v>5</v>
      </c>
      <c r="D90">
        <v>32000</v>
      </c>
      <c r="E90">
        <f t="shared" si="1"/>
        <v>160000</v>
      </c>
    </row>
    <row r="91" spans="1:5" hidden="1" x14ac:dyDescent="0.3">
      <c r="A91" t="s">
        <v>133</v>
      </c>
      <c r="B91" t="s">
        <v>31</v>
      </c>
      <c r="C91">
        <v>0</v>
      </c>
      <c r="E91">
        <f t="shared" si="1"/>
        <v>0</v>
      </c>
    </row>
    <row r="92" spans="1:5" hidden="1" x14ac:dyDescent="0.3">
      <c r="A92" t="s">
        <v>77</v>
      </c>
      <c r="B92" t="s">
        <v>66</v>
      </c>
      <c r="C92">
        <v>20</v>
      </c>
      <c r="D92">
        <v>6800</v>
      </c>
      <c r="E92">
        <f t="shared" si="1"/>
        <v>136000</v>
      </c>
    </row>
    <row r="93" spans="1:5" hidden="1" x14ac:dyDescent="0.3">
      <c r="A93" t="s">
        <v>76</v>
      </c>
      <c r="B93" t="s">
        <v>66</v>
      </c>
      <c r="C93">
        <v>0</v>
      </c>
      <c r="E93">
        <f t="shared" si="1"/>
        <v>0</v>
      </c>
    </row>
    <row r="94" spans="1:5" hidden="1" x14ac:dyDescent="0.3">
      <c r="A94" t="s">
        <v>142</v>
      </c>
      <c r="B94" t="s">
        <v>31</v>
      </c>
      <c r="C94">
        <v>32</v>
      </c>
      <c r="D94">
        <v>6000</v>
      </c>
      <c r="E94">
        <f t="shared" si="1"/>
        <v>192000</v>
      </c>
    </row>
    <row r="95" spans="1:5" hidden="1" x14ac:dyDescent="0.3">
      <c r="A95" t="s">
        <v>82</v>
      </c>
      <c r="B95" t="s">
        <v>66</v>
      </c>
      <c r="C95">
        <v>0</v>
      </c>
      <c r="E95">
        <f t="shared" si="1"/>
        <v>0</v>
      </c>
    </row>
    <row r="96" spans="1:5" hidden="1" x14ac:dyDescent="0.3">
      <c r="A96" t="s">
        <v>85</v>
      </c>
      <c r="B96" t="s">
        <v>4</v>
      </c>
      <c r="C96">
        <v>0</v>
      </c>
      <c r="E96">
        <f t="shared" si="1"/>
        <v>0</v>
      </c>
    </row>
    <row r="97" spans="1:5" hidden="1" x14ac:dyDescent="0.3">
      <c r="A97" t="s">
        <v>219</v>
      </c>
      <c r="B97" t="s">
        <v>4</v>
      </c>
      <c r="C97">
        <v>381</v>
      </c>
      <c r="D97">
        <v>41000</v>
      </c>
      <c r="E97">
        <f t="shared" si="1"/>
        <v>15621000</v>
      </c>
    </row>
    <row r="98" spans="1:5" hidden="1" x14ac:dyDescent="0.3">
      <c r="A98" t="s">
        <v>231</v>
      </c>
      <c r="B98" t="s">
        <v>4</v>
      </c>
      <c r="C98">
        <v>0</v>
      </c>
      <c r="E98">
        <f t="shared" si="1"/>
        <v>0</v>
      </c>
    </row>
    <row r="99" spans="1:5" hidden="1" x14ac:dyDescent="0.3">
      <c r="A99" t="s">
        <v>33</v>
      </c>
      <c r="B99" t="s">
        <v>31</v>
      </c>
      <c r="C99">
        <v>0</v>
      </c>
      <c r="E99">
        <f t="shared" si="1"/>
        <v>0</v>
      </c>
    </row>
    <row r="100" spans="1:5" hidden="1" x14ac:dyDescent="0.3">
      <c r="A100" t="s">
        <v>113</v>
      </c>
      <c r="B100" t="s">
        <v>31</v>
      </c>
      <c r="C100">
        <v>0</v>
      </c>
      <c r="E100">
        <f t="shared" si="1"/>
        <v>0</v>
      </c>
    </row>
    <row r="101" spans="1:5" hidden="1" x14ac:dyDescent="0.3">
      <c r="A101" t="s">
        <v>107</v>
      </c>
      <c r="B101" t="s">
        <v>4</v>
      </c>
      <c r="C101">
        <v>0</v>
      </c>
      <c r="E101">
        <f t="shared" si="1"/>
        <v>0</v>
      </c>
    </row>
    <row r="102" spans="1:5" hidden="1" x14ac:dyDescent="0.3">
      <c r="A102" t="s">
        <v>131</v>
      </c>
      <c r="B102" t="s">
        <v>4</v>
      </c>
      <c r="C102">
        <v>80</v>
      </c>
      <c r="D102">
        <v>20000</v>
      </c>
      <c r="E102">
        <f t="shared" si="1"/>
        <v>1600000</v>
      </c>
    </row>
    <row r="103" spans="1:5" hidden="1" x14ac:dyDescent="0.3">
      <c r="A103" t="s">
        <v>99</v>
      </c>
      <c r="B103" t="s">
        <v>4</v>
      </c>
      <c r="C103">
        <v>0</v>
      </c>
      <c r="E103">
        <f t="shared" si="1"/>
        <v>0</v>
      </c>
    </row>
    <row r="104" spans="1:5" hidden="1" x14ac:dyDescent="0.3">
      <c r="A104" t="s">
        <v>58</v>
      </c>
      <c r="B104" t="s">
        <v>4</v>
      </c>
      <c r="C104">
        <v>15</v>
      </c>
      <c r="D104">
        <v>25000</v>
      </c>
      <c r="E104">
        <f t="shared" si="1"/>
        <v>375000</v>
      </c>
    </row>
    <row r="105" spans="1:5" hidden="1" x14ac:dyDescent="0.3">
      <c r="A105" t="s">
        <v>136</v>
      </c>
      <c r="B105" t="s">
        <v>4</v>
      </c>
      <c r="C105">
        <v>20</v>
      </c>
      <c r="D105">
        <v>30000</v>
      </c>
      <c r="E105">
        <f t="shared" si="1"/>
        <v>600000</v>
      </c>
    </row>
    <row r="106" spans="1:5" hidden="1" x14ac:dyDescent="0.3">
      <c r="A106" t="s">
        <v>143</v>
      </c>
      <c r="B106" t="s">
        <v>4</v>
      </c>
      <c r="C106">
        <v>10</v>
      </c>
      <c r="D106">
        <v>10000</v>
      </c>
      <c r="E106">
        <f t="shared" si="1"/>
        <v>100000</v>
      </c>
    </row>
    <row r="107" spans="1:5" hidden="1" x14ac:dyDescent="0.3">
      <c r="A107" t="s">
        <v>161</v>
      </c>
      <c r="B107" t="s">
        <v>4</v>
      </c>
      <c r="C107">
        <v>26</v>
      </c>
      <c r="D107">
        <v>23000</v>
      </c>
      <c r="E107">
        <f t="shared" si="1"/>
        <v>598000</v>
      </c>
    </row>
    <row r="108" spans="1:5" hidden="1" x14ac:dyDescent="0.3">
      <c r="E108">
        <f t="shared" si="1"/>
        <v>0</v>
      </c>
    </row>
    <row r="109" spans="1:5" hidden="1" x14ac:dyDescent="0.3">
      <c r="E109">
        <f>SUM(E4:E107)</f>
        <v>179474400</v>
      </c>
    </row>
    <row r="110" spans="1:5" hidden="1" x14ac:dyDescent="0.3"/>
    <row r="111" spans="1:5" hidden="1" x14ac:dyDescent="0.3">
      <c r="A111" t="s">
        <v>0</v>
      </c>
      <c r="B111" t="s">
        <v>1</v>
      </c>
      <c r="C111" t="s">
        <v>190</v>
      </c>
      <c r="D111" t="s">
        <v>137</v>
      </c>
      <c r="E111" t="s">
        <v>138</v>
      </c>
    </row>
    <row r="112" spans="1:5" hidden="1" x14ac:dyDescent="0.3">
      <c r="A112" t="s">
        <v>49</v>
      </c>
      <c r="B112" t="s">
        <v>4</v>
      </c>
      <c r="E112">
        <f t="shared" si="1"/>
        <v>0</v>
      </c>
    </row>
    <row r="113" spans="1:5" hidden="1" x14ac:dyDescent="0.3">
      <c r="A113" t="s">
        <v>144</v>
      </c>
      <c r="B113" t="s">
        <v>50</v>
      </c>
      <c r="C113">
        <v>8</v>
      </c>
      <c r="D113">
        <v>4000</v>
      </c>
      <c r="E113">
        <f t="shared" si="1"/>
        <v>32000</v>
      </c>
    </row>
    <row r="114" spans="1:5" hidden="1" x14ac:dyDescent="0.3">
      <c r="A114" t="s">
        <v>27</v>
      </c>
      <c r="B114" t="s">
        <v>4</v>
      </c>
      <c r="C114">
        <v>32</v>
      </c>
      <c r="D114">
        <v>6000</v>
      </c>
      <c r="E114">
        <f t="shared" si="1"/>
        <v>192000</v>
      </c>
    </row>
    <row r="115" spans="1:5" hidden="1" x14ac:dyDescent="0.3">
      <c r="A115" t="s">
        <v>28</v>
      </c>
      <c r="B115" t="s">
        <v>4</v>
      </c>
      <c r="C115">
        <v>40</v>
      </c>
      <c r="D115">
        <v>18000</v>
      </c>
      <c r="E115">
        <f t="shared" si="1"/>
        <v>720000</v>
      </c>
    </row>
    <row r="116" spans="1:5" hidden="1" x14ac:dyDescent="0.3">
      <c r="A116" t="s">
        <v>29</v>
      </c>
      <c r="B116" t="s">
        <v>4</v>
      </c>
      <c r="E116">
        <f t="shared" si="1"/>
        <v>0</v>
      </c>
    </row>
    <row r="117" spans="1:5" hidden="1" x14ac:dyDescent="0.3">
      <c r="A117" t="s">
        <v>57</v>
      </c>
      <c r="B117" t="s">
        <v>31</v>
      </c>
      <c r="E117">
        <f t="shared" si="1"/>
        <v>0</v>
      </c>
    </row>
    <row r="118" spans="1:5" hidden="1" x14ac:dyDescent="0.3">
      <c r="A118" t="s">
        <v>32</v>
      </c>
      <c r="B118" t="s">
        <v>4</v>
      </c>
      <c r="E118">
        <f t="shared" si="1"/>
        <v>0</v>
      </c>
    </row>
    <row r="119" spans="1:5" hidden="1" x14ac:dyDescent="0.3">
      <c r="A119" t="s">
        <v>33</v>
      </c>
      <c r="B119" t="s">
        <v>31</v>
      </c>
      <c r="E119">
        <f t="shared" si="1"/>
        <v>0</v>
      </c>
    </row>
    <row r="120" spans="1:5" hidden="1" x14ac:dyDescent="0.3">
      <c r="A120" t="s">
        <v>34</v>
      </c>
      <c r="B120" t="s">
        <v>4</v>
      </c>
      <c r="C120">
        <v>100</v>
      </c>
      <c r="D120">
        <v>15000</v>
      </c>
      <c r="E120">
        <f t="shared" si="1"/>
        <v>1500000</v>
      </c>
    </row>
    <row r="121" spans="1:5" hidden="1" x14ac:dyDescent="0.3">
      <c r="A121" t="s">
        <v>35</v>
      </c>
      <c r="B121" t="s">
        <v>4</v>
      </c>
      <c r="E121">
        <f t="shared" si="1"/>
        <v>0</v>
      </c>
    </row>
    <row r="122" spans="1:5" hidden="1" x14ac:dyDescent="0.3">
      <c r="A122" t="s">
        <v>13</v>
      </c>
      <c r="B122" t="s">
        <v>4</v>
      </c>
      <c r="E122">
        <f t="shared" si="1"/>
        <v>0</v>
      </c>
    </row>
    <row r="123" spans="1:5" hidden="1" x14ac:dyDescent="0.3">
      <c r="A123" t="s">
        <v>14</v>
      </c>
      <c r="B123" t="s">
        <v>4</v>
      </c>
      <c r="C123">
        <v>24</v>
      </c>
      <c r="D123">
        <v>23000</v>
      </c>
      <c r="E123">
        <f t="shared" si="1"/>
        <v>552000</v>
      </c>
    </row>
    <row r="124" spans="1:5" hidden="1" x14ac:dyDescent="0.3">
      <c r="A124" t="s">
        <v>3</v>
      </c>
      <c r="B124" t="s">
        <v>4</v>
      </c>
      <c r="E124">
        <f t="shared" si="1"/>
        <v>0</v>
      </c>
    </row>
    <row r="125" spans="1:5" hidden="1" x14ac:dyDescent="0.3">
      <c r="A125" t="s">
        <v>5</v>
      </c>
      <c r="B125" t="s">
        <v>4</v>
      </c>
      <c r="E125">
        <f t="shared" si="1"/>
        <v>0</v>
      </c>
    </row>
    <row r="126" spans="1:5" hidden="1" x14ac:dyDescent="0.3">
      <c r="A126" t="s">
        <v>6</v>
      </c>
      <c r="B126" t="s">
        <v>4</v>
      </c>
      <c r="C126">
        <v>390</v>
      </c>
      <c r="D126">
        <v>11000</v>
      </c>
      <c r="E126">
        <f t="shared" si="1"/>
        <v>4290000</v>
      </c>
    </row>
    <row r="127" spans="1:5" hidden="1" x14ac:dyDescent="0.3">
      <c r="A127" t="s">
        <v>22</v>
      </c>
      <c r="B127" t="s">
        <v>4</v>
      </c>
      <c r="E127">
        <f t="shared" si="1"/>
        <v>0</v>
      </c>
    </row>
    <row r="128" spans="1:5" hidden="1" x14ac:dyDescent="0.3">
      <c r="A128" t="s">
        <v>24</v>
      </c>
      <c r="B128" t="s">
        <v>4</v>
      </c>
      <c r="E128">
        <f t="shared" si="1"/>
        <v>0</v>
      </c>
    </row>
    <row r="129" spans="1:5" hidden="1" x14ac:dyDescent="0.3">
      <c r="A129" t="s">
        <v>40</v>
      </c>
      <c r="B129" t="s">
        <v>4</v>
      </c>
      <c r="E129">
        <f t="shared" si="1"/>
        <v>0</v>
      </c>
    </row>
    <row r="130" spans="1:5" hidden="1" x14ac:dyDescent="0.3">
      <c r="A130" t="s">
        <v>76</v>
      </c>
      <c r="B130" t="s">
        <v>66</v>
      </c>
      <c r="E130">
        <f t="shared" si="1"/>
        <v>0</v>
      </c>
    </row>
    <row r="131" spans="1:5" hidden="1" x14ac:dyDescent="0.3">
      <c r="A131" t="s">
        <v>77</v>
      </c>
      <c r="B131" t="s">
        <v>66</v>
      </c>
      <c r="E131">
        <f t="shared" si="1"/>
        <v>0</v>
      </c>
    </row>
    <row r="132" spans="1:5" hidden="1" x14ac:dyDescent="0.3">
      <c r="A132" t="s">
        <v>82</v>
      </c>
      <c r="B132" t="s">
        <v>66</v>
      </c>
      <c r="E132">
        <f t="shared" si="1"/>
        <v>0</v>
      </c>
    </row>
    <row r="133" spans="1:5" hidden="1" x14ac:dyDescent="0.3">
      <c r="A133" t="s">
        <v>7</v>
      </c>
      <c r="B133" t="s">
        <v>4</v>
      </c>
      <c r="C133">
        <v>38</v>
      </c>
      <c r="D133">
        <v>8000</v>
      </c>
      <c r="E133">
        <f t="shared" si="1"/>
        <v>304000</v>
      </c>
    </row>
    <row r="134" spans="1:5" hidden="1" x14ac:dyDescent="0.3">
      <c r="A134" t="s">
        <v>8</v>
      </c>
      <c r="B134" t="s">
        <v>4</v>
      </c>
      <c r="C134">
        <v>3000</v>
      </c>
      <c r="D134">
        <v>4300</v>
      </c>
      <c r="E134">
        <f t="shared" si="1"/>
        <v>12900000</v>
      </c>
    </row>
    <row r="135" spans="1:5" hidden="1" x14ac:dyDescent="0.3">
      <c r="A135" t="s">
        <v>10</v>
      </c>
      <c r="B135" t="s">
        <v>4</v>
      </c>
      <c r="C135">
        <v>60</v>
      </c>
      <c r="D135">
        <v>10000</v>
      </c>
      <c r="E135">
        <f t="shared" ref="E135:E154" si="2">C135*D135</f>
        <v>600000</v>
      </c>
    </row>
    <row r="136" spans="1:5" hidden="1" x14ac:dyDescent="0.3">
      <c r="A136" t="s">
        <v>15</v>
      </c>
      <c r="B136" t="s">
        <v>4</v>
      </c>
      <c r="C136">
        <v>115</v>
      </c>
      <c r="D136">
        <v>16000</v>
      </c>
      <c r="E136">
        <f t="shared" si="2"/>
        <v>1840000</v>
      </c>
    </row>
    <row r="137" spans="1:5" hidden="1" x14ac:dyDescent="0.3">
      <c r="A137" t="s">
        <v>18</v>
      </c>
      <c r="B137" t="s">
        <v>4</v>
      </c>
      <c r="C137">
        <v>230</v>
      </c>
      <c r="D137">
        <v>21000</v>
      </c>
      <c r="E137">
        <f t="shared" si="2"/>
        <v>4830000</v>
      </c>
    </row>
    <row r="138" spans="1:5" hidden="1" x14ac:dyDescent="0.3">
      <c r="A138" t="s">
        <v>21</v>
      </c>
      <c r="B138" t="s">
        <v>4</v>
      </c>
      <c r="C138">
        <v>90</v>
      </c>
      <c r="D138">
        <v>5000</v>
      </c>
      <c r="E138">
        <f t="shared" si="2"/>
        <v>450000</v>
      </c>
    </row>
    <row r="139" spans="1:5" hidden="1" x14ac:dyDescent="0.3">
      <c r="A139" t="s">
        <v>43</v>
      </c>
      <c r="B139" t="s">
        <v>4</v>
      </c>
      <c r="C139">
        <v>20</v>
      </c>
      <c r="D139">
        <v>35000</v>
      </c>
      <c r="E139">
        <f t="shared" si="2"/>
        <v>700000</v>
      </c>
    </row>
    <row r="140" spans="1:5" hidden="1" x14ac:dyDescent="0.3">
      <c r="A140" t="s">
        <v>44</v>
      </c>
      <c r="B140" t="s">
        <v>4</v>
      </c>
      <c r="C140">
        <v>20</v>
      </c>
      <c r="D140">
        <v>18000</v>
      </c>
      <c r="E140">
        <f t="shared" si="2"/>
        <v>360000</v>
      </c>
    </row>
    <row r="141" spans="1:5" hidden="1" x14ac:dyDescent="0.3">
      <c r="A141" t="s">
        <v>45</v>
      </c>
      <c r="B141" t="s">
        <v>4</v>
      </c>
      <c r="C141">
        <v>24</v>
      </c>
      <c r="D141">
        <v>28000</v>
      </c>
      <c r="E141">
        <f t="shared" si="2"/>
        <v>672000</v>
      </c>
    </row>
    <row r="142" spans="1:5" hidden="1" x14ac:dyDescent="0.3">
      <c r="A142" t="s">
        <v>47</v>
      </c>
      <c r="B142" t="s">
        <v>4</v>
      </c>
      <c r="E142">
        <f t="shared" si="2"/>
        <v>0</v>
      </c>
    </row>
    <row r="143" spans="1:5" hidden="1" x14ac:dyDescent="0.3">
      <c r="A143" t="s">
        <v>26</v>
      </c>
      <c r="B143" t="s">
        <v>4</v>
      </c>
      <c r="C143">
        <v>34</v>
      </c>
      <c r="D143">
        <v>13000</v>
      </c>
      <c r="E143">
        <f t="shared" si="2"/>
        <v>442000</v>
      </c>
    </row>
    <row r="144" spans="1:5" hidden="1" x14ac:dyDescent="0.3">
      <c r="A144" t="s">
        <v>25</v>
      </c>
      <c r="B144" t="s">
        <v>4</v>
      </c>
      <c r="C144">
        <v>55</v>
      </c>
      <c r="D144">
        <v>28000</v>
      </c>
      <c r="E144">
        <f t="shared" si="2"/>
        <v>1540000</v>
      </c>
    </row>
    <row r="145" spans="1:5" hidden="1" x14ac:dyDescent="0.3">
      <c r="A145" t="s">
        <v>23</v>
      </c>
      <c r="B145" t="s">
        <v>4</v>
      </c>
      <c r="E145">
        <f t="shared" si="2"/>
        <v>0</v>
      </c>
    </row>
    <row r="146" spans="1:5" hidden="1" x14ac:dyDescent="0.3">
      <c r="A146" t="s">
        <v>156</v>
      </c>
      <c r="B146" t="s">
        <v>4</v>
      </c>
      <c r="E146">
        <f t="shared" si="2"/>
        <v>0</v>
      </c>
    </row>
    <row r="147" spans="1:5" hidden="1" x14ac:dyDescent="0.3">
      <c r="A147" t="s">
        <v>39</v>
      </c>
      <c r="B147" t="s">
        <v>50</v>
      </c>
      <c r="E147">
        <f t="shared" si="2"/>
        <v>0</v>
      </c>
    </row>
    <row r="148" spans="1:5" x14ac:dyDescent="0.3">
      <c r="A148" t="s">
        <v>41</v>
      </c>
      <c r="B148" t="s">
        <v>4</v>
      </c>
      <c r="C148">
        <v>1500</v>
      </c>
      <c r="D148">
        <v>27600</v>
      </c>
      <c r="E148">
        <f t="shared" si="2"/>
        <v>41400000</v>
      </c>
    </row>
    <row r="149" spans="1:5" hidden="1" x14ac:dyDescent="0.3">
      <c r="A149" t="s">
        <v>123</v>
      </c>
      <c r="B149" t="s">
        <v>31</v>
      </c>
      <c r="C149">
        <v>10</v>
      </c>
      <c r="D149">
        <v>6000</v>
      </c>
      <c r="E149">
        <f t="shared" si="2"/>
        <v>60000</v>
      </c>
    </row>
    <row r="150" spans="1:5" hidden="1" x14ac:dyDescent="0.3">
      <c r="A150" t="s">
        <v>37</v>
      </c>
      <c r="B150" t="s">
        <v>31</v>
      </c>
      <c r="C150">
        <v>152</v>
      </c>
      <c r="D150">
        <v>9000</v>
      </c>
      <c r="E150">
        <f t="shared" si="2"/>
        <v>1368000</v>
      </c>
    </row>
    <row r="151" spans="1:5" hidden="1" x14ac:dyDescent="0.3">
      <c r="A151" t="s">
        <v>12</v>
      </c>
      <c r="B151" t="s">
        <v>4</v>
      </c>
      <c r="E151">
        <f t="shared" si="2"/>
        <v>0</v>
      </c>
    </row>
    <row r="152" spans="1:5" hidden="1" x14ac:dyDescent="0.3">
      <c r="A152" t="s">
        <v>124</v>
      </c>
      <c r="B152" t="s">
        <v>4</v>
      </c>
      <c r="E152">
        <f t="shared" si="2"/>
        <v>0</v>
      </c>
    </row>
    <row r="153" spans="1:5" hidden="1" x14ac:dyDescent="0.3">
      <c r="A153" t="s">
        <v>145</v>
      </c>
      <c r="B153" t="s">
        <v>4</v>
      </c>
      <c r="E153">
        <f t="shared" si="2"/>
        <v>0</v>
      </c>
    </row>
    <row r="154" spans="1:5" hidden="1" x14ac:dyDescent="0.3">
      <c r="A154" t="s">
        <v>75</v>
      </c>
      <c r="B154" t="s">
        <v>66</v>
      </c>
      <c r="E154">
        <f t="shared" si="2"/>
        <v>0</v>
      </c>
    </row>
    <row r="155" spans="1:5" hidden="1" x14ac:dyDescent="0.3">
      <c r="E155">
        <f>SUM(E113:E150)</f>
        <v>74752000</v>
      </c>
    </row>
    <row r="156" spans="1:5" hidden="1" x14ac:dyDescent="0.3">
      <c r="E156">
        <f>SUM(E109,E155)</f>
        <v>254226400</v>
      </c>
    </row>
  </sheetData>
  <autoFilter ref="A3:E156" xr:uid="{00000000-0009-0000-0000-00001A000000}">
    <filterColumn colId="0">
      <filters>
        <filter val="Hạt Dẻ Ngố"/>
      </filters>
    </filterColumn>
    <filterColumn colId="2">
      <filters>
        <filter val="1"/>
        <filter val="10"/>
        <filter val="100"/>
        <filter val="11"/>
        <filter val="115"/>
        <filter val="126"/>
        <filter val="128"/>
        <filter val="1361"/>
        <filter val="138"/>
        <filter val="14"/>
        <filter val="15"/>
        <filter val="1500"/>
        <filter val="152"/>
        <filter val="161"/>
        <filter val="175"/>
        <filter val="192"/>
        <filter val="2.5"/>
        <filter val="20"/>
        <filter val="230"/>
        <filter val="24"/>
        <filter val="2520"/>
        <filter val="26"/>
        <filter val="27"/>
        <filter val="3"/>
        <filter val="300"/>
        <filter val="3000"/>
        <filter val="32"/>
        <filter val="34"/>
        <filter val="36"/>
        <filter val="38"/>
        <filter val="381"/>
        <filter val="39"/>
        <filter val="390"/>
        <filter val="4"/>
        <filter val="40"/>
        <filter val="408"/>
        <filter val="45"/>
        <filter val="450"/>
        <filter val="5"/>
        <filter val="504"/>
        <filter val="55"/>
        <filter val="580"/>
        <filter val="59"/>
        <filter val="60"/>
        <filter val="644"/>
        <filter val="652"/>
        <filter val="67"/>
        <filter val="7"/>
        <filter val="71"/>
        <filter val="8"/>
        <filter val="80"/>
        <filter val="88"/>
        <filter val="90"/>
        <filter val="92"/>
        <filter val="93"/>
        <filter val="95"/>
        <filter val="Tồn_x000a_ĐL_x000a__x000a_現在庫"/>
      </filters>
    </filterColumn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/>
  <dimension ref="A2:E169"/>
  <sheetViews>
    <sheetView workbookViewId="0">
      <selection activeCell="E169" sqref="E169"/>
    </sheetView>
  </sheetViews>
  <sheetFormatPr defaultRowHeight="14.4" x14ac:dyDescent="0.3"/>
  <cols>
    <col min="1" max="1" width="31.33203125" customWidth="1"/>
    <col min="3" max="3" width="11.6640625" customWidth="1"/>
    <col min="4" max="4" width="15.109375" customWidth="1"/>
    <col min="5" max="5" width="18.33203125" customWidth="1"/>
  </cols>
  <sheetData>
    <row r="2" spans="1:5" x14ac:dyDescent="0.3">
      <c r="A2" t="s">
        <v>234</v>
      </c>
    </row>
    <row r="3" spans="1:5" x14ac:dyDescent="0.3">
      <c r="A3" t="s">
        <v>0</v>
      </c>
      <c r="B3" t="s">
        <v>1</v>
      </c>
      <c r="C3" t="s">
        <v>190</v>
      </c>
      <c r="D3" t="s">
        <v>137</v>
      </c>
      <c r="E3" t="s">
        <v>138</v>
      </c>
    </row>
    <row r="4" spans="1:5" hidden="1" x14ac:dyDescent="0.3">
      <c r="A4" t="s">
        <v>49</v>
      </c>
      <c r="B4" t="s">
        <v>4</v>
      </c>
      <c r="C4">
        <v>367</v>
      </c>
      <c r="D4">
        <v>13500</v>
      </c>
      <c r="E4">
        <f>C4*D4</f>
        <v>4954500</v>
      </c>
    </row>
    <row r="5" spans="1:5" hidden="1" x14ac:dyDescent="0.3">
      <c r="A5" t="s">
        <v>49</v>
      </c>
      <c r="B5" t="s">
        <v>31</v>
      </c>
      <c r="C5">
        <v>0</v>
      </c>
      <c r="E5">
        <f t="shared" ref="E5:E68" si="0">C5*D5</f>
        <v>0</v>
      </c>
    </row>
    <row r="6" spans="1:5" hidden="1" x14ac:dyDescent="0.3">
      <c r="A6" t="s">
        <v>19</v>
      </c>
      <c r="B6" t="s">
        <v>4</v>
      </c>
      <c r="C6">
        <v>0</v>
      </c>
      <c r="E6">
        <f t="shared" si="0"/>
        <v>0</v>
      </c>
    </row>
    <row r="7" spans="1:5" hidden="1" x14ac:dyDescent="0.3">
      <c r="A7" t="s">
        <v>19</v>
      </c>
      <c r="B7" t="s">
        <v>50</v>
      </c>
      <c r="C7">
        <v>0</v>
      </c>
      <c r="E7">
        <f t="shared" si="0"/>
        <v>0</v>
      </c>
    </row>
    <row r="8" spans="1:5" hidden="1" x14ac:dyDescent="0.3">
      <c r="A8" t="s">
        <v>51</v>
      </c>
      <c r="B8" t="s">
        <v>53</v>
      </c>
      <c r="C8">
        <v>14</v>
      </c>
      <c r="D8">
        <v>9500</v>
      </c>
      <c r="E8">
        <f t="shared" si="0"/>
        <v>133000</v>
      </c>
    </row>
    <row r="9" spans="1:5" hidden="1" x14ac:dyDescent="0.3">
      <c r="A9" t="s">
        <v>51</v>
      </c>
      <c r="B9" t="s">
        <v>4</v>
      </c>
      <c r="C9">
        <v>0</v>
      </c>
      <c r="E9">
        <f t="shared" si="0"/>
        <v>0</v>
      </c>
    </row>
    <row r="10" spans="1:5" hidden="1" x14ac:dyDescent="0.3">
      <c r="A10" t="s">
        <v>28</v>
      </c>
      <c r="B10" t="s">
        <v>4</v>
      </c>
      <c r="C10">
        <v>0</v>
      </c>
      <c r="E10">
        <f t="shared" si="0"/>
        <v>0</v>
      </c>
    </row>
    <row r="11" spans="1:5" hidden="1" x14ac:dyDescent="0.3">
      <c r="A11" t="s">
        <v>28</v>
      </c>
      <c r="B11" t="s">
        <v>31</v>
      </c>
      <c r="C11">
        <v>0</v>
      </c>
      <c r="E11">
        <f t="shared" si="0"/>
        <v>0</v>
      </c>
    </row>
    <row r="12" spans="1:5" hidden="1" x14ac:dyDescent="0.3">
      <c r="A12" t="s">
        <v>29</v>
      </c>
      <c r="B12" t="s">
        <v>4</v>
      </c>
      <c r="C12">
        <v>1101</v>
      </c>
      <c r="D12">
        <v>21000</v>
      </c>
      <c r="E12">
        <f t="shared" si="0"/>
        <v>23121000</v>
      </c>
    </row>
    <row r="13" spans="1:5" hidden="1" x14ac:dyDescent="0.3">
      <c r="A13" t="s">
        <v>29</v>
      </c>
      <c r="B13" t="s">
        <v>31</v>
      </c>
      <c r="C13">
        <v>544</v>
      </c>
      <c r="D13">
        <v>4500</v>
      </c>
      <c r="E13">
        <f t="shared" si="0"/>
        <v>2448000</v>
      </c>
    </row>
    <row r="14" spans="1:5" hidden="1" x14ac:dyDescent="0.3">
      <c r="A14" t="s">
        <v>29</v>
      </c>
      <c r="B14" t="s">
        <v>150</v>
      </c>
      <c r="C14">
        <v>0</v>
      </c>
      <c r="E14">
        <f t="shared" si="0"/>
        <v>0</v>
      </c>
    </row>
    <row r="15" spans="1:5" hidden="1" x14ac:dyDescent="0.3">
      <c r="A15" t="s">
        <v>56</v>
      </c>
      <c r="B15" t="s">
        <v>31</v>
      </c>
      <c r="C15">
        <v>0</v>
      </c>
      <c r="E15">
        <f t="shared" si="0"/>
        <v>0</v>
      </c>
    </row>
    <row r="16" spans="1:5" hidden="1" x14ac:dyDescent="0.3">
      <c r="A16" t="s">
        <v>57</v>
      </c>
      <c r="B16" t="s">
        <v>4</v>
      </c>
      <c r="C16">
        <v>176</v>
      </c>
      <c r="D16">
        <v>25000</v>
      </c>
      <c r="E16">
        <f t="shared" si="0"/>
        <v>4400000</v>
      </c>
    </row>
    <row r="17" spans="1:5" hidden="1" x14ac:dyDescent="0.3">
      <c r="A17" t="s">
        <v>57</v>
      </c>
      <c r="B17" t="s">
        <v>31</v>
      </c>
      <c r="C17">
        <v>0</v>
      </c>
      <c r="E17">
        <f t="shared" si="0"/>
        <v>0</v>
      </c>
    </row>
    <row r="18" spans="1:5" hidden="1" x14ac:dyDescent="0.3">
      <c r="A18" t="s">
        <v>32</v>
      </c>
      <c r="B18" t="s">
        <v>4</v>
      </c>
      <c r="C18">
        <v>210</v>
      </c>
      <c r="D18">
        <v>17000</v>
      </c>
      <c r="E18">
        <f t="shared" si="0"/>
        <v>3570000</v>
      </c>
    </row>
    <row r="19" spans="1:5" hidden="1" x14ac:dyDescent="0.3">
      <c r="A19" t="s">
        <v>34</v>
      </c>
      <c r="B19" t="s">
        <v>4</v>
      </c>
      <c r="C19">
        <v>80</v>
      </c>
      <c r="D19">
        <v>15000</v>
      </c>
      <c r="E19">
        <f t="shared" si="0"/>
        <v>1200000</v>
      </c>
    </row>
    <row r="20" spans="1:5" hidden="1" x14ac:dyDescent="0.3">
      <c r="A20" t="s">
        <v>34</v>
      </c>
      <c r="B20" t="s">
        <v>31</v>
      </c>
      <c r="C20">
        <v>0</v>
      </c>
      <c r="E20">
        <f t="shared" si="0"/>
        <v>0</v>
      </c>
    </row>
    <row r="21" spans="1:5" hidden="1" x14ac:dyDescent="0.3">
      <c r="A21" t="s">
        <v>60</v>
      </c>
      <c r="B21" t="s">
        <v>50</v>
      </c>
      <c r="C21">
        <v>0</v>
      </c>
      <c r="E21">
        <f t="shared" si="0"/>
        <v>0</v>
      </c>
    </row>
    <row r="22" spans="1:5" hidden="1" x14ac:dyDescent="0.3">
      <c r="A22" t="s">
        <v>6</v>
      </c>
      <c r="B22" t="s">
        <v>4</v>
      </c>
      <c r="C22">
        <v>12</v>
      </c>
      <c r="D22">
        <v>11000</v>
      </c>
      <c r="E22">
        <f t="shared" si="0"/>
        <v>132000</v>
      </c>
    </row>
    <row r="23" spans="1:5" hidden="1" x14ac:dyDescent="0.3">
      <c r="A23" t="s">
        <v>62</v>
      </c>
      <c r="B23" t="s">
        <v>4</v>
      </c>
      <c r="C23">
        <v>0</v>
      </c>
      <c r="E23">
        <f t="shared" si="0"/>
        <v>0</v>
      </c>
    </row>
    <row r="24" spans="1:5" hidden="1" x14ac:dyDescent="0.3">
      <c r="A24" t="s">
        <v>62</v>
      </c>
      <c r="B24" t="s">
        <v>31</v>
      </c>
      <c r="C24">
        <v>0</v>
      </c>
      <c r="E24">
        <f t="shared" si="0"/>
        <v>0</v>
      </c>
    </row>
    <row r="25" spans="1:5" hidden="1" x14ac:dyDescent="0.3">
      <c r="A25" t="s">
        <v>64</v>
      </c>
      <c r="B25" t="s">
        <v>4</v>
      </c>
      <c r="C25">
        <v>0</v>
      </c>
      <c r="E25">
        <f t="shared" si="0"/>
        <v>0</v>
      </c>
    </row>
    <row r="26" spans="1:5" hidden="1" x14ac:dyDescent="0.3">
      <c r="A26" t="s">
        <v>64</v>
      </c>
      <c r="B26" t="s">
        <v>31</v>
      </c>
      <c r="C26">
        <v>0</v>
      </c>
      <c r="E26">
        <f t="shared" si="0"/>
        <v>0</v>
      </c>
    </row>
    <row r="27" spans="1:5" hidden="1" x14ac:dyDescent="0.3">
      <c r="A27" t="s">
        <v>22</v>
      </c>
      <c r="B27" t="s">
        <v>4</v>
      </c>
      <c r="C27">
        <v>300</v>
      </c>
      <c r="D27">
        <v>7000</v>
      </c>
      <c r="E27">
        <f t="shared" si="0"/>
        <v>2100000</v>
      </c>
    </row>
    <row r="28" spans="1:5" hidden="1" x14ac:dyDescent="0.3">
      <c r="A28" t="s">
        <v>24</v>
      </c>
      <c r="B28" t="s">
        <v>66</v>
      </c>
      <c r="C28">
        <v>0</v>
      </c>
      <c r="E28">
        <f t="shared" si="0"/>
        <v>0</v>
      </c>
    </row>
    <row r="29" spans="1:5" hidden="1" x14ac:dyDescent="0.3">
      <c r="A29" t="s">
        <v>24</v>
      </c>
      <c r="B29" t="s">
        <v>4</v>
      </c>
      <c r="C29">
        <v>105</v>
      </c>
      <c r="D29">
        <v>16000</v>
      </c>
      <c r="E29">
        <f t="shared" si="0"/>
        <v>1680000</v>
      </c>
    </row>
    <row r="30" spans="1:5" hidden="1" x14ac:dyDescent="0.3">
      <c r="A30" t="s">
        <v>75</v>
      </c>
      <c r="B30" t="s">
        <v>4</v>
      </c>
      <c r="C30">
        <v>48</v>
      </c>
      <c r="D30">
        <v>14000</v>
      </c>
      <c r="E30">
        <f t="shared" si="0"/>
        <v>672000</v>
      </c>
    </row>
    <row r="31" spans="1:5" hidden="1" x14ac:dyDescent="0.3">
      <c r="A31" t="s">
        <v>8</v>
      </c>
      <c r="B31" t="s">
        <v>4</v>
      </c>
      <c r="C31">
        <v>594</v>
      </c>
      <c r="D31">
        <v>4300</v>
      </c>
      <c r="E31">
        <f t="shared" si="0"/>
        <v>2554200</v>
      </c>
    </row>
    <row r="32" spans="1:5" hidden="1" x14ac:dyDescent="0.3">
      <c r="A32" t="s">
        <v>10</v>
      </c>
      <c r="B32" t="s">
        <v>4</v>
      </c>
      <c r="C32">
        <v>75</v>
      </c>
      <c r="D32">
        <v>10000</v>
      </c>
      <c r="E32">
        <f t="shared" si="0"/>
        <v>750000</v>
      </c>
    </row>
    <row r="33" spans="1:5" hidden="1" x14ac:dyDescent="0.3">
      <c r="A33" t="s">
        <v>10</v>
      </c>
      <c r="B33" t="s">
        <v>84</v>
      </c>
      <c r="C33">
        <v>0</v>
      </c>
      <c r="E33">
        <f t="shared" si="0"/>
        <v>0</v>
      </c>
    </row>
    <row r="34" spans="1:5" hidden="1" x14ac:dyDescent="0.3">
      <c r="A34" t="s">
        <v>11</v>
      </c>
      <c r="B34" t="s">
        <v>4</v>
      </c>
      <c r="C34">
        <v>0</v>
      </c>
      <c r="E34">
        <f t="shared" si="0"/>
        <v>0</v>
      </c>
    </row>
    <row r="35" spans="1:5" hidden="1" x14ac:dyDescent="0.3">
      <c r="A35" t="s">
        <v>11</v>
      </c>
      <c r="B35" t="s">
        <v>84</v>
      </c>
      <c r="C35">
        <v>0</v>
      </c>
      <c r="E35">
        <f t="shared" si="0"/>
        <v>0</v>
      </c>
    </row>
    <row r="36" spans="1:5" hidden="1" x14ac:dyDescent="0.3">
      <c r="A36" t="s">
        <v>15</v>
      </c>
      <c r="B36" t="s">
        <v>4</v>
      </c>
      <c r="C36">
        <v>265</v>
      </c>
      <c r="D36">
        <v>17000</v>
      </c>
      <c r="E36">
        <f t="shared" si="0"/>
        <v>4505000</v>
      </c>
    </row>
    <row r="37" spans="1:5" hidden="1" x14ac:dyDescent="0.3">
      <c r="A37" t="s">
        <v>15</v>
      </c>
      <c r="B37" t="s">
        <v>50</v>
      </c>
      <c r="C37">
        <v>0</v>
      </c>
      <c r="E37">
        <f t="shared" si="0"/>
        <v>0</v>
      </c>
    </row>
    <row r="38" spans="1:5" hidden="1" x14ac:dyDescent="0.3">
      <c r="A38" t="s">
        <v>15</v>
      </c>
      <c r="B38" t="s">
        <v>164</v>
      </c>
      <c r="C38">
        <v>0</v>
      </c>
      <c r="E38">
        <f t="shared" si="0"/>
        <v>0</v>
      </c>
    </row>
    <row r="39" spans="1:5" hidden="1" x14ac:dyDescent="0.3">
      <c r="A39" t="s">
        <v>18</v>
      </c>
      <c r="B39" t="s">
        <v>4</v>
      </c>
      <c r="C39">
        <v>140</v>
      </c>
      <c r="D39">
        <v>21000</v>
      </c>
      <c r="E39">
        <f t="shared" si="0"/>
        <v>2940000</v>
      </c>
    </row>
    <row r="40" spans="1:5" hidden="1" x14ac:dyDescent="0.3">
      <c r="A40" t="s">
        <v>18</v>
      </c>
      <c r="B40" t="s">
        <v>50</v>
      </c>
      <c r="C40">
        <v>0</v>
      </c>
      <c r="E40">
        <f t="shared" si="0"/>
        <v>0</v>
      </c>
    </row>
    <row r="41" spans="1:5" hidden="1" x14ac:dyDescent="0.3">
      <c r="A41" t="s">
        <v>92</v>
      </c>
      <c r="B41" t="s">
        <v>31</v>
      </c>
      <c r="C41">
        <v>150</v>
      </c>
      <c r="D41">
        <v>15000</v>
      </c>
      <c r="E41">
        <f t="shared" si="0"/>
        <v>2250000</v>
      </c>
    </row>
    <row r="42" spans="1:5" hidden="1" x14ac:dyDescent="0.3">
      <c r="A42" t="s">
        <v>39</v>
      </c>
      <c r="B42" t="s">
        <v>4</v>
      </c>
      <c r="C42">
        <v>0</v>
      </c>
      <c r="E42">
        <f t="shared" si="0"/>
        <v>0</v>
      </c>
    </row>
    <row r="43" spans="1:5" hidden="1" x14ac:dyDescent="0.3">
      <c r="A43" t="s">
        <v>39</v>
      </c>
      <c r="B43" t="s">
        <v>50</v>
      </c>
      <c r="C43">
        <v>187</v>
      </c>
      <c r="D43">
        <v>5000</v>
      </c>
      <c r="E43">
        <f t="shared" si="0"/>
        <v>935000</v>
      </c>
    </row>
    <row r="44" spans="1:5" hidden="1" x14ac:dyDescent="0.3">
      <c r="A44" t="s">
        <v>100</v>
      </c>
      <c r="B44" t="s">
        <v>4</v>
      </c>
      <c r="C44">
        <v>0</v>
      </c>
      <c r="E44">
        <f t="shared" si="0"/>
        <v>0</v>
      </c>
    </row>
    <row r="45" spans="1:5" hidden="1" x14ac:dyDescent="0.3">
      <c r="A45" t="s">
        <v>43</v>
      </c>
      <c r="B45" t="s">
        <v>4</v>
      </c>
      <c r="C45">
        <v>72</v>
      </c>
      <c r="D45">
        <v>32000</v>
      </c>
      <c r="E45">
        <f t="shared" si="0"/>
        <v>2304000</v>
      </c>
    </row>
    <row r="46" spans="1:5" hidden="1" x14ac:dyDescent="0.3">
      <c r="A46" t="s">
        <v>43</v>
      </c>
      <c r="B46" t="s">
        <v>84</v>
      </c>
      <c r="C46">
        <v>0</v>
      </c>
      <c r="E46">
        <f t="shared" si="0"/>
        <v>0</v>
      </c>
    </row>
    <row r="47" spans="1:5" hidden="1" x14ac:dyDescent="0.3">
      <c r="A47" t="s">
        <v>44</v>
      </c>
      <c r="B47" t="s">
        <v>4</v>
      </c>
      <c r="C47">
        <v>140</v>
      </c>
      <c r="D47">
        <v>15000</v>
      </c>
      <c r="E47">
        <f t="shared" si="0"/>
        <v>2100000</v>
      </c>
    </row>
    <row r="48" spans="1:5" hidden="1" x14ac:dyDescent="0.3">
      <c r="A48" t="s">
        <v>44</v>
      </c>
      <c r="B48" t="s">
        <v>84</v>
      </c>
      <c r="C48">
        <v>0</v>
      </c>
      <c r="E48">
        <f t="shared" si="0"/>
        <v>0</v>
      </c>
    </row>
    <row r="49" spans="1:5" hidden="1" x14ac:dyDescent="0.3">
      <c r="A49" t="s">
        <v>45</v>
      </c>
      <c r="B49" t="s">
        <v>4</v>
      </c>
      <c r="C49">
        <v>90</v>
      </c>
      <c r="D49">
        <v>28000</v>
      </c>
      <c r="E49">
        <f t="shared" si="0"/>
        <v>2520000</v>
      </c>
    </row>
    <row r="50" spans="1:5" hidden="1" x14ac:dyDescent="0.3">
      <c r="A50" t="s">
        <v>45</v>
      </c>
      <c r="B50" t="s">
        <v>84</v>
      </c>
      <c r="C50">
        <v>0</v>
      </c>
      <c r="E50">
        <f t="shared" si="0"/>
        <v>0</v>
      </c>
    </row>
    <row r="51" spans="1:5" hidden="1" x14ac:dyDescent="0.3">
      <c r="A51" t="s">
        <v>12</v>
      </c>
      <c r="B51" t="s">
        <v>4</v>
      </c>
      <c r="C51">
        <v>0</v>
      </c>
      <c r="E51">
        <f t="shared" si="0"/>
        <v>0</v>
      </c>
    </row>
    <row r="52" spans="1:5" hidden="1" x14ac:dyDescent="0.3">
      <c r="A52" t="s">
        <v>116</v>
      </c>
      <c r="B52" t="s">
        <v>50</v>
      </c>
      <c r="C52">
        <v>0</v>
      </c>
      <c r="E52">
        <f t="shared" si="0"/>
        <v>0</v>
      </c>
    </row>
    <row r="53" spans="1:5" hidden="1" x14ac:dyDescent="0.3">
      <c r="A53" t="s">
        <v>117</v>
      </c>
      <c r="B53" t="s">
        <v>4</v>
      </c>
      <c r="C53">
        <v>0</v>
      </c>
      <c r="E53">
        <f t="shared" si="0"/>
        <v>0</v>
      </c>
    </row>
    <row r="54" spans="1:5" hidden="1" x14ac:dyDescent="0.3">
      <c r="A54" t="s">
        <v>17</v>
      </c>
      <c r="B54" t="s">
        <v>4</v>
      </c>
      <c r="C54">
        <v>8</v>
      </c>
      <c r="D54">
        <v>29000</v>
      </c>
      <c r="E54">
        <f t="shared" si="0"/>
        <v>232000</v>
      </c>
    </row>
    <row r="55" spans="1:5" hidden="1" x14ac:dyDescent="0.3">
      <c r="A55" t="s">
        <v>17</v>
      </c>
      <c r="B55" t="s">
        <v>147</v>
      </c>
      <c r="C55">
        <v>82</v>
      </c>
      <c r="D55">
        <v>8700</v>
      </c>
      <c r="E55">
        <f t="shared" si="0"/>
        <v>713400</v>
      </c>
    </row>
    <row r="56" spans="1:5" hidden="1" x14ac:dyDescent="0.3">
      <c r="A56" t="s">
        <v>17</v>
      </c>
      <c r="B56" t="s">
        <v>203</v>
      </c>
      <c r="C56">
        <v>0</v>
      </c>
      <c r="E56">
        <f t="shared" si="0"/>
        <v>0</v>
      </c>
    </row>
    <row r="57" spans="1:5" hidden="1" x14ac:dyDescent="0.3">
      <c r="A57" t="s">
        <v>118</v>
      </c>
      <c r="B57" t="s">
        <v>4</v>
      </c>
      <c r="C57">
        <v>0</v>
      </c>
      <c r="E57">
        <f t="shared" si="0"/>
        <v>0</v>
      </c>
    </row>
    <row r="58" spans="1:5" x14ac:dyDescent="0.3">
      <c r="A58" t="s">
        <v>41</v>
      </c>
      <c r="B58" t="s">
        <v>4</v>
      </c>
      <c r="C58">
        <v>1830</v>
      </c>
      <c r="D58">
        <v>27600</v>
      </c>
      <c r="E58">
        <f t="shared" si="0"/>
        <v>50508000</v>
      </c>
    </row>
    <row r="59" spans="1:5" hidden="1" x14ac:dyDescent="0.3">
      <c r="A59" t="s">
        <v>3</v>
      </c>
      <c r="B59" t="s">
        <v>4</v>
      </c>
      <c r="C59">
        <v>0</v>
      </c>
      <c r="E59">
        <f t="shared" si="0"/>
        <v>0</v>
      </c>
    </row>
    <row r="60" spans="1:5" hidden="1" x14ac:dyDescent="0.3">
      <c r="A60" t="s">
        <v>5</v>
      </c>
      <c r="B60" t="s">
        <v>4</v>
      </c>
      <c r="C60">
        <v>82</v>
      </c>
      <c r="D60">
        <v>10000</v>
      </c>
      <c r="E60">
        <f t="shared" si="0"/>
        <v>820000</v>
      </c>
    </row>
    <row r="61" spans="1:5" hidden="1" x14ac:dyDescent="0.3">
      <c r="A61" t="s">
        <v>13</v>
      </c>
      <c r="B61" t="s">
        <v>4</v>
      </c>
      <c r="C61">
        <v>0</v>
      </c>
      <c r="E61">
        <f t="shared" si="0"/>
        <v>0</v>
      </c>
    </row>
    <row r="62" spans="1:5" hidden="1" x14ac:dyDescent="0.3">
      <c r="A62" t="s">
        <v>175</v>
      </c>
      <c r="B62" t="s">
        <v>4</v>
      </c>
      <c r="C62">
        <v>10</v>
      </c>
      <c r="D62">
        <v>26000</v>
      </c>
      <c r="E62">
        <f t="shared" si="0"/>
        <v>260000</v>
      </c>
    </row>
    <row r="63" spans="1:5" hidden="1" x14ac:dyDescent="0.3">
      <c r="A63" t="s">
        <v>16</v>
      </c>
      <c r="B63" t="s">
        <v>4</v>
      </c>
      <c r="C63">
        <v>48</v>
      </c>
      <c r="D63">
        <v>15000</v>
      </c>
      <c r="E63">
        <f t="shared" si="0"/>
        <v>720000</v>
      </c>
    </row>
    <row r="64" spans="1:5" hidden="1" x14ac:dyDescent="0.3">
      <c r="A64" t="s">
        <v>16</v>
      </c>
      <c r="B64" t="s">
        <v>165</v>
      </c>
      <c r="C64">
        <v>50</v>
      </c>
      <c r="D64">
        <v>8000</v>
      </c>
      <c r="E64">
        <f t="shared" si="0"/>
        <v>400000</v>
      </c>
    </row>
    <row r="65" spans="1:5" hidden="1" x14ac:dyDescent="0.3">
      <c r="A65" t="s">
        <v>89</v>
      </c>
      <c r="B65" t="s">
        <v>53</v>
      </c>
      <c r="C65">
        <v>0</v>
      </c>
      <c r="E65">
        <f t="shared" si="0"/>
        <v>0</v>
      </c>
    </row>
    <row r="66" spans="1:5" hidden="1" x14ac:dyDescent="0.3">
      <c r="A66" t="s">
        <v>90</v>
      </c>
      <c r="B66" t="s">
        <v>4</v>
      </c>
      <c r="C66">
        <v>0</v>
      </c>
      <c r="E66">
        <f t="shared" si="0"/>
        <v>0</v>
      </c>
    </row>
    <row r="67" spans="1:5" hidden="1" x14ac:dyDescent="0.3">
      <c r="A67" t="s">
        <v>90</v>
      </c>
      <c r="B67" t="s">
        <v>148</v>
      </c>
      <c r="C67">
        <v>39</v>
      </c>
      <c r="D67">
        <v>8000</v>
      </c>
      <c r="E67">
        <f t="shared" si="0"/>
        <v>312000</v>
      </c>
    </row>
    <row r="68" spans="1:5" hidden="1" x14ac:dyDescent="0.3">
      <c r="A68" t="s">
        <v>21</v>
      </c>
      <c r="B68" t="s">
        <v>4</v>
      </c>
      <c r="C68">
        <v>0</v>
      </c>
      <c r="E68">
        <f t="shared" si="0"/>
        <v>0</v>
      </c>
    </row>
    <row r="69" spans="1:5" hidden="1" x14ac:dyDescent="0.3">
      <c r="A69" t="s">
        <v>21</v>
      </c>
      <c r="B69" t="s">
        <v>149</v>
      </c>
      <c r="C69">
        <v>0</v>
      </c>
      <c r="E69">
        <f t="shared" ref="E69:E134" si="1">C69*D69</f>
        <v>0</v>
      </c>
    </row>
    <row r="70" spans="1:5" hidden="1" x14ac:dyDescent="0.3">
      <c r="A70" t="s">
        <v>63</v>
      </c>
      <c r="B70" t="s">
        <v>4</v>
      </c>
      <c r="C70">
        <v>0</v>
      </c>
      <c r="E70">
        <f t="shared" si="1"/>
        <v>0</v>
      </c>
    </row>
    <row r="71" spans="1:5" hidden="1" x14ac:dyDescent="0.3">
      <c r="A71" t="s">
        <v>63</v>
      </c>
      <c r="B71" t="s">
        <v>31</v>
      </c>
      <c r="C71">
        <v>5</v>
      </c>
      <c r="D71">
        <v>6000</v>
      </c>
      <c r="E71">
        <f t="shared" si="1"/>
        <v>30000</v>
      </c>
    </row>
    <row r="72" spans="1:5" hidden="1" x14ac:dyDescent="0.3">
      <c r="A72" t="s">
        <v>26</v>
      </c>
      <c r="B72" t="s">
        <v>4</v>
      </c>
      <c r="C72">
        <v>0</v>
      </c>
      <c r="E72">
        <f t="shared" si="1"/>
        <v>0</v>
      </c>
    </row>
    <row r="73" spans="1:5" hidden="1" x14ac:dyDescent="0.3">
      <c r="A73" t="s">
        <v>27</v>
      </c>
      <c r="B73" t="s">
        <v>4</v>
      </c>
      <c r="C73">
        <v>110</v>
      </c>
      <c r="D73">
        <v>5500</v>
      </c>
      <c r="E73">
        <f t="shared" si="1"/>
        <v>605000</v>
      </c>
    </row>
    <row r="74" spans="1:5" hidden="1" x14ac:dyDescent="0.3">
      <c r="A74" t="s">
        <v>54</v>
      </c>
      <c r="B74" t="s">
        <v>4</v>
      </c>
      <c r="C74">
        <v>13</v>
      </c>
      <c r="D74">
        <v>39000</v>
      </c>
      <c r="E74">
        <f t="shared" si="1"/>
        <v>507000</v>
      </c>
    </row>
    <row r="75" spans="1:5" hidden="1" x14ac:dyDescent="0.3">
      <c r="A75" t="s">
        <v>35</v>
      </c>
      <c r="B75" t="s">
        <v>4</v>
      </c>
      <c r="C75">
        <v>70</v>
      </c>
      <c r="D75">
        <v>13000</v>
      </c>
      <c r="E75">
        <f t="shared" si="1"/>
        <v>910000</v>
      </c>
    </row>
    <row r="76" spans="1:5" hidden="1" x14ac:dyDescent="0.3">
      <c r="A76" t="s">
        <v>123</v>
      </c>
      <c r="B76" t="s">
        <v>31</v>
      </c>
      <c r="C76">
        <v>0</v>
      </c>
      <c r="E76">
        <f t="shared" si="1"/>
        <v>0</v>
      </c>
    </row>
    <row r="77" spans="1:5" hidden="1" x14ac:dyDescent="0.3">
      <c r="A77" t="s">
        <v>37</v>
      </c>
      <c r="B77" t="s">
        <v>4</v>
      </c>
      <c r="C77">
        <v>0</v>
      </c>
      <c r="E77">
        <f t="shared" si="1"/>
        <v>0</v>
      </c>
    </row>
    <row r="78" spans="1:5" hidden="1" x14ac:dyDescent="0.3">
      <c r="A78" t="s">
        <v>37</v>
      </c>
      <c r="B78" t="s">
        <v>151</v>
      </c>
      <c r="C78">
        <v>0</v>
      </c>
      <c r="E78">
        <f t="shared" si="1"/>
        <v>0</v>
      </c>
    </row>
    <row r="79" spans="1:5" hidden="1" x14ac:dyDescent="0.3">
      <c r="A79" t="s">
        <v>96</v>
      </c>
      <c r="B79" t="s">
        <v>4</v>
      </c>
      <c r="C79">
        <v>1</v>
      </c>
      <c r="D79">
        <v>80000</v>
      </c>
      <c r="E79">
        <f t="shared" si="1"/>
        <v>80000</v>
      </c>
    </row>
    <row r="80" spans="1:5" hidden="1" x14ac:dyDescent="0.3">
      <c r="A80" t="s">
        <v>97</v>
      </c>
      <c r="B80" t="s">
        <v>4</v>
      </c>
      <c r="C80">
        <v>3</v>
      </c>
      <c r="D80">
        <v>70000</v>
      </c>
      <c r="E80">
        <f t="shared" si="1"/>
        <v>210000</v>
      </c>
    </row>
    <row r="81" spans="1:5" hidden="1" x14ac:dyDescent="0.3">
      <c r="A81" t="s">
        <v>105</v>
      </c>
      <c r="B81" t="s">
        <v>4</v>
      </c>
      <c r="C81">
        <v>2.5</v>
      </c>
      <c r="D81">
        <v>70000</v>
      </c>
      <c r="E81">
        <f t="shared" si="1"/>
        <v>175000</v>
      </c>
    </row>
    <row r="82" spans="1:5" hidden="1" x14ac:dyDescent="0.3">
      <c r="A82" t="s">
        <v>40</v>
      </c>
      <c r="B82" t="s">
        <v>66</v>
      </c>
      <c r="C82">
        <v>0</v>
      </c>
      <c r="E82">
        <f t="shared" si="1"/>
        <v>0</v>
      </c>
    </row>
    <row r="83" spans="1:5" hidden="1" x14ac:dyDescent="0.3">
      <c r="A83" t="s">
        <v>40</v>
      </c>
      <c r="B83" t="s">
        <v>4</v>
      </c>
      <c r="C83">
        <v>40</v>
      </c>
      <c r="D83">
        <v>30000</v>
      </c>
      <c r="E83">
        <f t="shared" si="1"/>
        <v>1200000</v>
      </c>
    </row>
    <row r="84" spans="1:5" hidden="1" x14ac:dyDescent="0.3">
      <c r="A84" t="s">
        <v>124</v>
      </c>
      <c r="B84" t="s">
        <v>4</v>
      </c>
      <c r="C84">
        <v>0</v>
      </c>
      <c r="E84">
        <f t="shared" si="1"/>
        <v>0</v>
      </c>
    </row>
    <row r="85" spans="1:5" hidden="1" x14ac:dyDescent="0.3">
      <c r="A85" t="s">
        <v>42</v>
      </c>
      <c r="B85" t="s">
        <v>31</v>
      </c>
      <c r="C85">
        <v>0</v>
      </c>
      <c r="E85">
        <f t="shared" si="1"/>
        <v>0</v>
      </c>
    </row>
    <row r="86" spans="1:5" hidden="1" x14ac:dyDescent="0.3">
      <c r="A86" t="s">
        <v>67</v>
      </c>
      <c r="B86" t="s">
        <v>4</v>
      </c>
      <c r="C86">
        <v>9</v>
      </c>
      <c r="D86">
        <v>14000</v>
      </c>
      <c r="E86">
        <f t="shared" si="1"/>
        <v>126000</v>
      </c>
    </row>
    <row r="87" spans="1:5" hidden="1" x14ac:dyDescent="0.3">
      <c r="A87" t="s">
        <v>101</v>
      </c>
      <c r="B87" t="s">
        <v>53</v>
      </c>
      <c r="C87">
        <v>0</v>
      </c>
      <c r="E87">
        <f t="shared" si="1"/>
        <v>0</v>
      </c>
    </row>
    <row r="88" spans="1:5" hidden="1" x14ac:dyDescent="0.3">
      <c r="A88" t="s">
        <v>101</v>
      </c>
      <c r="B88" t="s">
        <v>4</v>
      </c>
      <c r="C88">
        <v>0</v>
      </c>
      <c r="E88">
        <f t="shared" si="1"/>
        <v>0</v>
      </c>
    </row>
    <row r="89" spans="1:5" hidden="1" x14ac:dyDescent="0.3">
      <c r="A89" t="s">
        <v>46</v>
      </c>
      <c r="B89" t="s">
        <v>31</v>
      </c>
      <c r="C89">
        <v>0</v>
      </c>
      <c r="E89">
        <f t="shared" si="1"/>
        <v>0</v>
      </c>
    </row>
    <row r="90" spans="1:5" hidden="1" x14ac:dyDescent="0.3">
      <c r="A90" t="s">
        <v>47</v>
      </c>
      <c r="B90" t="s">
        <v>4</v>
      </c>
      <c r="C90">
        <v>197</v>
      </c>
      <c r="D90">
        <v>7000</v>
      </c>
      <c r="E90">
        <f t="shared" si="1"/>
        <v>1379000</v>
      </c>
    </row>
    <row r="91" spans="1:5" hidden="1" x14ac:dyDescent="0.3">
      <c r="A91" t="s">
        <v>74</v>
      </c>
      <c r="B91" t="s">
        <v>4</v>
      </c>
      <c r="C91">
        <v>0</v>
      </c>
      <c r="E91">
        <f t="shared" si="1"/>
        <v>0</v>
      </c>
    </row>
    <row r="92" spans="1:5" hidden="1" x14ac:dyDescent="0.3">
      <c r="A92" t="s">
        <v>48</v>
      </c>
      <c r="B92" t="s">
        <v>4</v>
      </c>
      <c r="C92">
        <v>27</v>
      </c>
      <c r="D92">
        <v>28000</v>
      </c>
      <c r="E92">
        <f t="shared" si="1"/>
        <v>756000</v>
      </c>
    </row>
    <row r="93" spans="1:5" hidden="1" x14ac:dyDescent="0.3">
      <c r="A93" t="s">
        <v>152</v>
      </c>
      <c r="B93" t="s">
        <v>4</v>
      </c>
      <c r="C93">
        <v>0</v>
      </c>
      <c r="E93">
        <f t="shared" si="1"/>
        <v>0</v>
      </c>
    </row>
    <row r="94" spans="1:5" hidden="1" x14ac:dyDescent="0.3">
      <c r="A94" t="s">
        <v>81</v>
      </c>
      <c r="B94" t="s">
        <v>4</v>
      </c>
      <c r="C94">
        <v>19</v>
      </c>
      <c r="D94">
        <v>30000</v>
      </c>
      <c r="E94">
        <f t="shared" si="1"/>
        <v>570000</v>
      </c>
    </row>
    <row r="95" spans="1:5" hidden="1" x14ac:dyDescent="0.3">
      <c r="A95" t="s">
        <v>59</v>
      </c>
      <c r="B95" t="s">
        <v>4</v>
      </c>
      <c r="C95">
        <v>51</v>
      </c>
      <c r="D95">
        <v>32000</v>
      </c>
      <c r="E95">
        <f t="shared" si="1"/>
        <v>1632000</v>
      </c>
    </row>
    <row r="96" spans="1:5" hidden="1" x14ac:dyDescent="0.3">
      <c r="A96" t="s">
        <v>79</v>
      </c>
      <c r="B96" t="s">
        <v>4</v>
      </c>
      <c r="C96">
        <v>0</v>
      </c>
      <c r="E96">
        <f t="shared" si="1"/>
        <v>0</v>
      </c>
    </row>
    <row r="97" spans="1:5" hidden="1" x14ac:dyDescent="0.3">
      <c r="A97" t="s">
        <v>9</v>
      </c>
      <c r="B97" t="s">
        <v>4</v>
      </c>
      <c r="C97">
        <v>0</v>
      </c>
      <c r="E97">
        <f t="shared" si="1"/>
        <v>0</v>
      </c>
    </row>
    <row r="98" spans="1:5" hidden="1" x14ac:dyDescent="0.3">
      <c r="A98" t="s">
        <v>127</v>
      </c>
      <c r="B98" t="s">
        <v>4</v>
      </c>
      <c r="C98">
        <v>0</v>
      </c>
      <c r="E98">
        <f t="shared" si="1"/>
        <v>0</v>
      </c>
    </row>
    <row r="99" spans="1:5" hidden="1" x14ac:dyDescent="0.3">
      <c r="A99" t="s">
        <v>99</v>
      </c>
      <c r="B99" t="s">
        <v>4</v>
      </c>
      <c r="C99">
        <v>0</v>
      </c>
      <c r="E99">
        <f t="shared" si="1"/>
        <v>0</v>
      </c>
    </row>
    <row r="100" spans="1:5" hidden="1" x14ac:dyDescent="0.3">
      <c r="A100" t="s">
        <v>33</v>
      </c>
      <c r="B100" t="s">
        <v>4</v>
      </c>
      <c r="C100">
        <v>0</v>
      </c>
      <c r="E100">
        <f t="shared" si="1"/>
        <v>0</v>
      </c>
    </row>
    <row r="101" spans="1:5" hidden="1" x14ac:dyDescent="0.3">
      <c r="A101" t="s">
        <v>33</v>
      </c>
      <c r="B101" t="s">
        <v>31</v>
      </c>
      <c r="C101">
        <v>0</v>
      </c>
      <c r="E101">
        <f t="shared" si="1"/>
        <v>0</v>
      </c>
    </row>
    <row r="102" spans="1:5" hidden="1" x14ac:dyDescent="0.3">
      <c r="A102" t="s">
        <v>128</v>
      </c>
      <c r="B102" t="s">
        <v>4</v>
      </c>
      <c r="C102">
        <v>0</v>
      </c>
      <c r="E102">
        <f t="shared" si="1"/>
        <v>0</v>
      </c>
    </row>
    <row r="103" spans="1:5" hidden="1" x14ac:dyDescent="0.3">
      <c r="A103" t="s">
        <v>133</v>
      </c>
      <c r="B103" t="s">
        <v>31</v>
      </c>
      <c r="C103">
        <v>0</v>
      </c>
      <c r="E103">
        <f t="shared" si="1"/>
        <v>0</v>
      </c>
    </row>
    <row r="104" spans="1:5" hidden="1" x14ac:dyDescent="0.3">
      <c r="A104" t="s">
        <v>76</v>
      </c>
      <c r="B104" t="s">
        <v>66</v>
      </c>
      <c r="C104">
        <v>0</v>
      </c>
      <c r="E104">
        <f t="shared" si="1"/>
        <v>0</v>
      </c>
    </row>
    <row r="105" spans="1:5" hidden="1" x14ac:dyDescent="0.3">
      <c r="A105" t="s">
        <v>142</v>
      </c>
      <c r="B105" t="s">
        <v>31</v>
      </c>
      <c r="C105">
        <v>200</v>
      </c>
      <c r="D105">
        <v>6000</v>
      </c>
      <c r="E105">
        <f t="shared" si="1"/>
        <v>1200000</v>
      </c>
    </row>
    <row r="106" spans="1:5" hidden="1" x14ac:dyDescent="0.3">
      <c r="A106" t="s">
        <v>82</v>
      </c>
      <c r="B106" t="s">
        <v>66</v>
      </c>
      <c r="C106">
        <v>53</v>
      </c>
      <c r="D106">
        <v>8000</v>
      </c>
      <c r="E106">
        <f t="shared" si="1"/>
        <v>424000</v>
      </c>
    </row>
    <row r="107" spans="1:5" hidden="1" x14ac:dyDescent="0.3">
      <c r="A107" t="s">
        <v>219</v>
      </c>
      <c r="B107" t="s">
        <v>4</v>
      </c>
      <c r="C107">
        <v>7</v>
      </c>
      <c r="D107">
        <v>41000</v>
      </c>
      <c r="E107">
        <f t="shared" si="1"/>
        <v>287000</v>
      </c>
    </row>
    <row r="108" spans="1:5" hidden="1" x14ac:dyDescent="0.3">
      <c r="A108" t="s">
        <v>109</v>
      </c>
      <c r="B108" t="s">
        <v>53</v>
      </c>
      <c r="C108">
        <v>0</v>
      </c>
      <c r="E108">
        <f t="shared" si="1"/>
        <v>0</v>
      </c>
    </row>
    <row r="109" spans="1:5" hidden="1" x14ac:dyDescent="0.3">
      <c r="A109" t="s">
        <v>77</v>
      </c>
      <c r="B109" t="s">
        <v>66</v>
      </c>
      <c r="C109">
        <v>30</v>
      </c>
      <c r="D109">
        <v>6800</v>
      </c>
      <c r="E109">
        <f t="shared" si="1"/>
        <v>204000</v>
      </c>
    </row>
    <row r="110" spans="1:5" hidden="1" x14ac:dyDescent="0.3">
      <c r="A110" t="s">
        <v>85</v>
      </c>
      <c r="B110" t="s">
        <v>4</v>
      </c>
      <c r="C110">
        <v>0</v>
      </c>
      <c r="E110">
        <f t="shared" si="1"/>
        <v>0</v>
      </c>
    </row>
    <row r="111" spans="1:5" hidden="1" x14ac:dyDescent="0.3">
      <c r="A111" t="s">
        <v>233</v>
      </c>
      <c r="B111" t="s">
        <v>84</v>
      </c>
      <c r="C111">
        <v>32</v>
      </c>
      <c r="D111">
        <v>11000</v>
      </c>
      <c r="E111">
        <f t="shared" si="1"/>
        <v>352000</v>
      </c>
    </row>
    <row r="112" spans="1:5" hidden="1" x14ac:dyDescent="0.3">
      <c r="A112" t="s">
        <v>217</v>
      </c>
      <c r="B112" t="s">
        <v>4</v>
      </c>
      <c r="C112">
        <v>0</v>
      </c>
      <c r="E112">
        <f t="shared" si="1"/>
        <v>0</v>
      </c>
    </row>
    <row r="113" spans="1:5" hidden="1" x14ac:dyDescent="0.3">
      <c r="A113" t="s">
        <v>129</v>
      </c>
      <c r="B113" t="s">
        <v>4</v>
      </c>
      <c r="C113">
        <v>0</v>
      </c>
      <c r="E113">
        <f t="shared" si="1"/>
        <v>0</v>
      </c>
    </row>
    <row r="114" spans="1:5" hidden="1" x14ac:dyDescent="0.3">
      <c r="A114" t="s">
        <v>107</v>
      </c>
      <c r="B114" t="s">
        <v>4</v>
      </c>
      <c r="C114">
        <v>0</v>
      </c>
      <c r="E114">
        <f t="shared" si="1"/>
        <v>0</v>
      </c>
    </row>
    <row r="115" spans="1:5" hidden="1" x14ac:dyDescent="0.3">
      <c r="A115" t="s">
        <v>131</v>
      </c>
      <c r="B115" t="s">
        <v>4</v>
      </c>
      <c r="C115">
        <v>0</v>
      </c>
      <c r="E115">
        <f t="shared" si="1"/>
        <v>0</v>
      </c>
    </row>
    <row r="116" spans="1:5" hidden="1" x14ac:dyDescent="0.3">
      <c r="A116" t="s">
        <v>23</v>
      </c>
      <c r="B116" t="s">
        <v>4</v>
      </c>
      <c r="C116">
        <v>0</v>
      </c>
      <c r="E116">
        <f t="shared" si="1"/>
        <v>0</v>
      </c>
    </row>
    <row r="117" spans="1:5" hidden="1" x14ac:dyDescent="0.3">
      <c r="A117" t="s">
        <v>58</v>
      </c>
      <c r="B117" t="s">
        <v>4</v>
      </c>
      <c r="C117">
        <v>30</v>
      </c>
      <c r="D117">
        <v>25000</v>
      </c>
      <c r="E117">
        <f t="shared" si="1"/>
        <v>750000</v>
      </c>
    </row>
    <row r="118" spans="1:5" hidden="1" x14ac:dyDescent="0.3">
      <c r="A118" t="s">
        <v>55</v>
      </c>
      <c r="B118" t="s">
        <v>4</v>
      </c>
      <c r="C118">
        <v>10</v>
      </c>
      <c r="D118">
        <v>20000</v>
      </c>
      <c r="E118">
        <f t="shared" si="1"/>
        <v>200000</v>
      </c>
    </row>
    <row r="119" spans="1:5" hidden="1" x14ac:dyDescent="0.3">
      <c r="A119" t="s">
        <v>136</v>
      </c>
      <c r="B119" t="s">
        <v>4</v>
      </c>
      <c r="C119">
        <v>27</v>
      </c>
      <c r="D119">
        <v>22000</v>
      </c>
      <c r="E119">
        <f t="shared" si="1"/>
        <v>594000</v>
      </c>
    </row>
    <row r="120" spans="1:5" hidden="1" x14ac:dyDescent="0.3">
      <c r="A120" t="s">
        <v>143</v>
      </c>
      <c r="B120" t="s">
        <v>4</v>
      </c>
      <c r="C120">
        <v>10</v>
      </c>
      <c r="D120">
        <v>8000</v>
      </c>
      <c r="E120">
        <f t="shared" si="1"/>
        <v>80000</v>
      </c>
    </row>
    <row r="121" spans="1:5" hidden="1" x14ac:dyDescent="0.3">
      <c r="E121">
        <f t="shared" si="1"/>
        <v>0</v>
      </c>
    </row>
    <row r="122" spans="1:5" hidden="1" x14ac:dyDescent="0.3">
      <c r="E122">
        <f>SUM(E4:E120)</f>
        <v>131505100</v>
      </c>
    </row>
    <row r="123" spans="1:5" hidden="1" x14ac:dyDescent="0.3">
      <c r="A123" t="s">
        <v>139</v>
      </c>
    </row>
    <row r="124" spans="1:5" hidden="1" x14ac:dyDescent="0.3">
      <c r="A124" t="s">
        <v>0</v>
      </c>
      <c r="B124" t="s">
        <v>1</v>
      </c>
      <c r="C124" t="s">
        <v>190</v>
      </c>
      <c r="D124" t="s">
        <v>137</v>
      </c>
      <c r="E124" t="s">
        <v>138</v>
      </c>
    </row>
    <row r="125" spans="1:5" hidden="1" x14ac:dyDescent="0.3">
      <c r="A125" t="s">
        <v>49</v>
      </c>
      <c r="B125" t="s">
        <v>4</v>
      </c>
      <c r="E125">
        <f t="shared" si="1"/>
        <v>0</v>
      </c>
    </row>
    <row r="126" spans="1:5" hidden="1" x14ac:dyDescent="0.3">
      <c r="A126" t="s">
        <v>144</v>
      </c>
      <c r="B126" t="s">
        <v>50</v>
      </c>
      <c r="E126">
        <f t="shared" si="1"/>
        <v>0</v>
      </c>
    </row>
    <row r="127" spans="1:5" hidden="1" x14ac:dyDescent="0.3">
      <c r="A127" t="s">
        <v>27</v>
      </c>
      <c r="B127" t="s">
        <v>4</v>
      </c>
      <c r="C127">
        <v>140</v>
      </c>
      <c r="D127">
        <v>5500</v>
      </c>
      <c r="E127">
        <f t="shared" si="1"/>
        <v>770000</v>
      </c>
    </row>
    <row r="128" spans="1:5" hidden="1" x14ac:dyDescent="0.3">
      <c r="A128" t="s">
        <v>28</v>
      </c>
      <c r="B128" t="s">
        <v>4</v>
      </c>
      <c r="C128">
        <v>70</v>
      </c>
      <c r="D128">
        <v>18000</v>
      </c>
      <c r="E128">
        <f t="shared" si="1"/>
        <v>1260000</v>
      </c>
    </row>
    <row r="129" spans="1:5" hidden="1" x14ac:dyDescent="0.3">
      <c r="A129" t="s">
        <v>29</v>
      </c>
      <c r="B129" t="s">
        <v>4</v>
      </c>
      <c r="E129">
        <f t="shared" si="1"/>
        <v>0</v>
      </c>
    </row>
    <row r="130" spans="1:5" hidden="1" x14ac:dyDescent="0.3">
      <c r="A130" t="s">
        <v>57</v>
      </c>
      <c r="B130" t="s">
        <v>31</v>
      </c>
      <c r="E130">
        <f t="shared" si="1"/>
        <v>0</v>
      </c>
    </row>
    <row r="131" spans="1:5" hidden="1" x14ac:dyDescent="0.3">
      <c r="A131" t="s">
        <v>32</v>
      </c>
      <c r="B131" t="s">
        <v>4</v>
      </c>
      <c r="C131">
        <v>100</v>
      </c>
      <c r="D131">
        <v>17000</v>
      </c>
      <c r="E131">
        <f t="shared" si="1"/>
        <v>1700000</v>
      </c>
    </row>
    <row r="132" spans="1:5" hidden="1" x14ac:dyDescent="0.3">
      <c r="A132" t="s">
        <v>33</v>
      </c>
      <c r="B132" t="s">
        <v>31</v>
      </c>
      <c r="E132">
        <f t="shared" si="1"/>
        <v>0</v>
      </c>
    </row>
    <row r="133" spans="1:5" hidden="1" x14ac:dyDescent="0.3">
      <c r="A133" t="s">
        <v>34</v>
      </c>
      <c r="B133" t="s">
        <v>4</v>
      </c>
      <c r="C133">
        <v>100</v>
      </c>
      <c r="D133">
        <v>15000</v>
      </c>
      <c r="E133">
        <f t="shared" si="1"/>
        <v>1500000</v>
      </c>
    </row>
    <row r="134" spans="1:5" hidden="1" x14ac:dyDescent="0.3">
      <c r="A134" t="s">
        <v>35</v>
      </c>
      <c r="B134" t="s">
        <v>4</v>
      </c>
      <c r="E134">
        <f t="shared" si="1"/>
        <v>0</v>
      </c>
    </row>
    <row r="135" spans="1:5" hidden="1" x14ac:dyDescent="0.3">
      <c r="A135" t="s">
        <v>13</v>
      </c>
      <c r="B135" t="s">
        <v>4</v>
      </c>
      <c r="E135">
        <f t="shared" ref="E135:E167" si="2">C135*D135</f>
        <v>0</v>
      </c>
    </row>
    <row r="136" spans="1:5" hidden="1" x14ac:dyDescent="0.3">
      <c r="A136" t="s">
        <v>14</v>
      </c>
      <c r="B136" t="s">
        <v>4</v>
      </c>
      <c r="E136">
        <f t="shared" si="2"/>
        <v>0</v>
      </c>
    </row>
    <row r="137" spans="1:5" hidden="1" x14ac:dyDescent="0.3">
      <c r="A137" t="s">
        <v>3</v>
      </c>
      <c r="B137" t="s">
        <v>4</v>
      </c>
      <c r="E137">
        <f t="shared" si="2"/>
        <v>0</v>
      </c>
    </row>
    <row r="138" spans="1:5" hidden="1" x14ac:dyDescent="0.3">
      <c r="A138" t="s">
        <v>5</v>
      </c>
      <c r="B138" t="s">
        <v>4</v>
      </c>
      <c r="C138">
        <v>80</v>
      </c>
      <c r="D138">
        <v>10000</v>
      </c>
      <c r="E138">
        <f t="shared" si="2"/>
        <v>800000</v>
      </c>
    </row>
    <row r="139" spans="1:5" hidden="1" x14ac:dyDescent="0.3">
      <c r="A139" t="s">
        <v>6</v>
      </c>
      <c r="B139" t="s">
        <v>4</v>
      </c>
      <c r="E139">
        <f t="shared" si="2"/>
        <v>0</v>
      </c>
    </row>
    <row r="140" spans="1:5" hidden="1" x14ac:dyDescent="0.3">
      <c r="A140" t="s">
        <v>22</v>
      </c>
      <c r="B140" t="s">
        <v>4</v>
      </c>
      <c r="C140">
        <v>200</v>
      </c>
      <c r="D140">
        <v>7000</v>
      </c>
      <c r="E140">
        <f t="shared" si="2"/>
        <v>1400000</v>
      </c>
    </row>
    <row r="141" spans="1:5" hidden="1" x14ac:dyDescent="0.3">
      <c r="A141" t="s">
        <v>24</v>
      </c>
      <c r="B141" t="s">
        <v>4</v>
      </c>
      <c r="E141">
        <f t="shared" si="2"/>
        <v>0</v>
      </c>
    </row>
    <row r="142" spans="1:5" hidden="1" x14ac:dyDescent="0.3">
      <c r="A142" t="s">
        <v>40</v>
      </c>
      <c r="B142" t="s">
        <v>4</v>
      </c>
      <c r="E142">
        <f t="shared" si="2"/>
        <v>0</v>
      </c>
    </row>
    <row r="143" spans="1:5" hidden="1" x14ac:dyDescent="0.3">
      <c r="A143" t="s">
        <v>76</v>
      </c>
      <c r="B143" t="s">
        <v>66</v>
      </c>
      <c r="E143">
        <f t="shared" si="2"/>
        <v>0</v>
      </c>
    </row>
    <row r="144" spans="1:5" hidden="1" x14ac:dyDescent="0.3">
      <c r="A144" t="s">
        <v>77</v>
      </c>
      <c r="B144" t="s">
        <v>66</v>
      </c>
      <c r="E144">
        <f t="shared" si="2"/>
        <v>0</v>
      </c>
    </row>
    <row r="145" spans="1:5" hidden="1" x14ac:dyDescent="0.3">
      <c r="A145" t="s">
        <v>82</v>
      </c>
      <c r="B145" t="s">
        <v>66</v>
      </c>
      <c r="E145">
        <f t="shared" si="2"/>
        <v>0</v>
      </c>
    </row>
    <row r="146" spans="1:5" hidden="1" x14ac:dyDescent="0.3">
      <c r="A146" t="s">
        <v>7</v>
      </c>
      <c r="B146" t="s">
        <v>4</v>
      </c>
      <c r="E146">
        <f t="shared" si="2"/>
        <v>0</v>
      </c>
    </row>
    <row r="147" spans="1:5" hidden="1" x14ac:dyDescent="0.3">
      <c r="A147" t="s">
        <v>8</v>
      </c>
      <c r="B147" t="s">
        <v>4</v>
      </c>
      <c r="C147">
        <v>2500</v>
      </c>
      <c r="D147">
        <v>4300</v>
      </c>
      <c r="E147">
        <f t="shared" si="2"/>
        <v>10750000</v>
      </c>
    </row>
    <row r="148" spans="1:5" hidden="1" x14ac:dyDescent="0.3">
      <c r="A148" t="s">
        <v>10</v>
      </c>
      <c r="B148" t="s">
        <v>4</v>
      </c>
      <c r="C148">
        <v>55</v>
      </c>
      <c r="D148">
        <v>10000</v>
      </c>
      <c r="E148">
        <f t="shared" si="2"/>
        <v>550000</v>
      </c>
    </row>
    <row r="149" spans="1:5" hidden="1" x14ac:dyDescent="0.3">
      <c r="A149" t="s">
        <v>15</v>
      </c>
      <c r="B149" t="s">
        <v>4</v>
      </c>
      <c r="C149">
        <v>100</v>
      </c>
      <c r="D149">
        <v>17000</v>
      </c>
      <c r="E149">
        <f t="shared" si="2"/>
        <v>1700000</v>
      </c>
    </row>
    <row r="150" spans="1:5" hidden="1" x14ac:dyDescent="0.3">
      <c r="A150" t="s">
        <v>18</v>
      </c>
      <c r="B150" t="s">
        <v>4</v>
      </c>
      <c r="C150">
        <v>160</v>
      </c>
      <c r="D150">
        <v>21000</v>
      </c>
      <c r="E150">
        <f t="shared" si="2"/>
        <v>3360000</v>
      </c>
    </row>
    <row r="151" spans="1:5" hidden="1" x14ac:dyDescent="0.3">
      <c r="A151" t="s">
        <v>21</v>
      </c>
      <c r="B151" t="s">
        <v>4</v>
      </c>
      <c r="C151">
        <v>77</v>
      </c>
      <c r="D151">
        <v>5500</v>
      </c>
      <c r="E151">
        <f t="shared" si="2"/>
        <v>423500</v>
      </c>
    </row>
    <row r="152" spans="1:5" hidden="1" x14ac:dyDescent="0.3">
      <c r="A152" t="s">
        <v>43</v>
      </c>
      <c r="B152" t="s">
        <v>4</v>
      </c>
      <c r="C152">
        <v>20</v>
      </c>
      <c r="D152">
        <v>32000</v>
      </c>
      <c r="E152">
        <f t="shared" si="2"/>
        <v>640000</v>
      </c>
    </row>
    <row r="153" spans="1:5" hidden="1" x14ac:dyDescent="0.3">
      <c r="A153" t="s">
        <v>44</v>
      </c>
      <c r="B153" t="s">
        <v>4</v>
      </c>
      <c r="C153">
        <v>20</v>
      </c>
      <c r="D153">
        <v>15000</v>
      </c>
      <c r="E153">
        <f t="shared" si="2"/>
        <v>300000</v>
      </c>
    </row>
    <row r="154" spans="1:5" hidden="1" x14ac:dyDescent="0.3">
      <c r="A154" t="s">
        <v>45</v>
      </c>
      <c r="B154" t="s">
        <v>4</v>
      </c>
      <c r="C154">
        <v>20</v>
      </c>
      <c r="D154">
        <v>28000</v>
      </c>
      <c r="E154">
        <f t="shared" si="2"/>
        <v>560000</v>
      </c>
    </row>
    <row r="155" spans="1:5" hidden="1" x14ac:dyDescent="0.3">
      <c r="A155" t="s">
        <v>47</v>
      </c>
      <c r="B155" t="s">
        <v>4</v>
      </c>
      <c r="E155">
        <f t="shared" si="2"/>
        <v>0</v>
      </c>
    </row>
    <row r="156" spans="1:5" hidden="1" x14ac:dyDescent="0.3">
      <c r="A156" t="s">
        <v>26</v>
      </c>
      <c r="B156" t="s">
        <v>4</v>
      </c>
      <c r="C156">
        <v>195</v>
      </c>
      <c r="D156">
        <v>13000</v>
      </c>
      <c r="E156">
        <f t="shared" si="2"/>
        <v>2535000</v>
      </c>
    </row>
    <row r="157" spans="1:5" hidden="1" x14ac:dyDescent="0.3">
      <c r="A157" t="s">
        <v>25</v>
      </c>
      <c r="B157" t="s">
        <v>4</v>
      </c>
      <c r="C157">
        <v>47</v>
      </c>
      <c r="D157">
        <v>28000</v>
      </c>
      <c r="E157">
        <f t="shared" si="2"/>
        <v>1316000</v>
      </c>
    </row>
    <row r="158" spans="1:5" hidden="1" x14ac:dyDescent="0.3">
      <c r="A158" t="s">
        <v>23</v>
      </c>
      <c r="B158" t="s">
        <v>4</v>
      </c>
      <c r="C158">
        <v>16</v>
      </c>
      <c r="D158">
        <v>16000</v>
      </c>
      <c r="E158">
        <f t="shared" si="2"/>
        <v>256000</v>
      </c>
    </row>
    <row r="159" spans="1:5" hidden="1" x14ac:dyDescent="0.3">
      <c r="A159" t="s">
        <v>9</v>
      </c>
      <c r="B159" t="s">
        <v>4</v>
      </c>
      <c r="E159">
        <f t="shared" si="2"/>
        <v>0</v>
      </c>
    </row>
    <row r="160" spans="1:5" hidden="1" x14ac:dyDescent="0.3">
      <c r="A160" t="s">
        <v>156</v>
      </c>
      <c r="B160" t="s">
        <v>4</v>
      </c>
      <c r="E160">
        <f t="shared" si="2"/>
        <v>0</v>
      </c>
    </row>
    <row r="161" spans="1:5" hidden="1" x14ac:dyDescent="0.3">
      <c r="A161" t="s">
        <v>39</v>
      </c>
      <c r="B161" t="s">
        <v>50</v>
      </c>
      <c r="E161">
        <f t="shared" si="2"/>
        <v>0</v>
      </c>
    </row>
    <row r="162" spans="1:5" x14ac:dyDescent="0.3">
      <c r="A162" t="s">
        <v>41</v>
      </c>
      <c r="B162" t="s">
        <v>4</v>
      </c>
      <c r="C162">
        <v>1500</v>
      </c>
      <c r="D162">
        <v>27600</v>
      </c>
      <c r="E162">
        <f t="shared" si="2"/>
        <v>41400000</v>
      </c>
    </row>
    <row r="163" spans="1:5" hidden="1" x14ac:dyDescent="0.3">
      <c r="A163" t="s">
        <v>123</v>
      </c>
      <c r="B163" t="s">
        <v>31</v>
      </c>
      <c r="C163">
        <v>7</v>
      </c>
      <c r="D163">
        <v>6000</v>
      </c>
      <c r="E163">
        <f t="shared" si="2"/>
        <v>42000</v>
      </c>
    </row>
    <row r="164" spans="1:5" hidden="1" x14ac:dyDescent="0.3">
      <c r="A164" t="s">
        <v>37</v>
      </c>
      <c r="B164" t="s">
        <v>31</v>
      </c>
      <c r="C164">
        <v>140</v>
      </c>
      <c r="D164">
        <v>9000</v>
      </c>
      <c r="E164">
        <f t="shared" si="2"/>
        <v>1260000</v>
      </c>
    </row>
    <row r="165" spans="1:5" hidden="1" x14ac:dyDescent="0.3">
      <c r="A165" t="s">
        <v>12</v>
      </c>
      <c r="B165" t="s">
        <v>4</v>
      </c>
      <c r="E165">
        <f t="shared" si="2"/>
        <v>0</v>
      </c>
    </row>
    <row r="166" spans="1:5" hidden="1" x14ac:dyDescent="0.3">
      <c r="A166" t="s">
        <v>124</v>
      </c>
      <c r="B166" t="s">
        <v>4</v>
      </c>
      <c r="E166">
        <f t="shared" si="2"/>
        <v>0</v>
      </c>
    </row>
    <row r="167" spans="1:5" hidden="1" x14ac:dyDescent="0.3">
      <c r="A167" t="s">
        <v>75</v>
      </c>
      <c r="B167" t="s">
        <v>66</v>
      </c>
      <c r="E167">
        <f t="shared" si="2"/>
        <v>0</v>
      </c>
    </row>
    <row r="168" spans="1:5" hidden="1" x14ac:dyDescent="0.3">
      <c r="E168">
        <f>SUM(E127:E164)</f>
        <v>72522500</v>
      </c>
    </row>
    <row r="169" spans="1:5" hidden="1" x14ac:dyDescent="0.3">
      <c r="E169">
        <f>SUM(E122,E168)</f>
        <v>204027600</v>
      </c>
    </row>
  </sheetData>
  <autoFilter ref="A3:E169" xr:uid="{00000000-0009-0000-0000-00001B000000}">
    <filterColumn colId="0">
      <filters>
        <filter val="Hạt Dẻ Ngố"/>
      </filters>
    </filterColumn>
    <filterColumn colId="2">
      <filters>
        <filter val="1"/>
        <filter val="10"/>
        <filter val="100"/>
        <filter val="105"/>
        <filter val="110"/>
        <filter val="1101"/>
        <filter val="12"/>
        <filter val="13"/>
        <filter val="14"/>
        <filter val="140"/>
        <filter val="150"/>
        <filter val="1500"/>
        <filter val="16"/>
        <filter val="160"/>
        <filter val="176"/>
        <filter val="1830"/>
        <filter val="187"/>
        <filter val="19"/>
        <filter val="195"/>
        <filter val="197"/>
        <filter val="2.5"/>
        <filter val="20"/>
        <filter val="200"/>
        <filter val="210"/>
        <filter val="2500"/>
        <filter val="265"/>
        <filter val="27"/>
        <filter val="3"/>
        <filter val="30"/>
        <filter val="300"/>
        <filter val="32"/>
        <filter val="367"/>
        <filter val="39"/>
        <filter val="40"/>
        <filter val="47"/>
        <filter val="48"/>
        <filter val="5"/>
        <filter val="50"/>
        <filter val="51"/>
        <filter val="53"/>
        <filter val="544"/>
        <filter val="55"/>
        <filter val="594"/>
        <filter val="7"/>
        <filter val="70"/>
        <filter val="72"/>
        <filter val="75"/>
        <filter val="77"/>
        <filter val="8"/>
        <filter val="80"/>
        <filter val="82"/>
        <filter val="9"/>
        <filter val="90"/>
        <filter val="Tồn_x000a_ĐL_x000a__x000a_現在庫"/>
      </filters>
    </filterColumn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E149"/>
  <sheetViews>
    <sheetView workbookViewId="0">
      <pane xSplit="1" ySplit="1" topLeftCell="B114" activePane="bottomRight" state="frozen"/>
      <selection pane="topRight" activeCell="C1" sqref="C1"/>
      <selection pane="bottomLeft" activeCell="A2" sqref="A2"/>
      <selection pane="bottomRight" activeCell="E149" sqref="E149"/>
    </sheetView>
  </sheetViews>
  <sheetFormatPr defaultRowHeight="15.6" x14ac:dyDescent="0.3"/>
  <cols>
    <col min="1" max="1" width="26.21875" style="31" bestFit="1" customWidth="1"/>
    <col min="2" max="2" width="11.33203125" style="31" bestFit="1" customWidth="1"/>
    <col min="3" max="3" width="20.6640625" style="31" customWidth="1"/>
    <col min="4" max="4" width="19" style="44" customWidth="1"/>
    <col min="5" max="5" width="22.5546875" style="44" customWidth="1"/>
    <col min="6" max="16384" width="8.88671875" style="31"/>
  </cols>
  <sheetData>
    <row r="1" spans="1:5" ht="31.2" x14ac:dyDescent="0.3">
      <c r="A1" s="32" t="s">
        <v>235</v>
      </c>
      <c r="B1" s="32" t="s">
        <v>1</v>
      </c>
      <c r="C1" s="33" t="s">
        <v>2</v>
      </c>
      <c r="D1" s="33" t="s">
        <v>177</v>
      </c>
      <c r="E1" s="33" t="s">
        <v>178</v>
      </c>
    </row>
    <row r="2" spans="1:5" x14ac:dyDescent="0.3">
      <c r="A2" s="29" t="s">
        <v>3</v>
      </c>
      <c r="B2" s="29" t="s">
        <v>4</v>
      </c>
      <c r="C2" s="70">
        <v>50</v>
      </c>
      <c r="D2" s="41">
        <v>30000</v>
      </c>
      <c r="E2" s="41">
        <f>+D2*C2</f>
        <v>1500000</v>
      </c>
    </row>
    <row r="3" spans="1:5" x14ac:dyDescent="0.3">
      <c r="A3" s="29" t="s">
        <v>5</v>
      </c>
      <c r="B3" s="29" t="s">
        <v>4</v>
      </c>
      <c r="C3" s="70">
        <v>125</v>
      </c>
      <c r="D3" s="41">
        <f>VLOOKUP(A3,'28.11'!A5:D121,4,)</f>
        <v>10000</v>
      </c>
      <c r="E3" s="41">
        <f t="shared" ref="E3:E66" si="0">+D3*C3</f>
        <v>1250000</v>
      </c>
    </row>
    <row r="4" spans="1:5" x14ac:dyDescent="0.3">
      <c r="A4" s="29" t="s">
        <v>6</v>
      </c>
      <c r="B4" s="29" t="s">
        <v>4</v>
      </c>
      <c r="C4" s="70">
        <v>516</v>
      </c>
      <c r="D4" s="41">
        <f>VLOOKUP(A4,'28.11'!A6:D122,4,)</f>
        <v>11000</v>
      </c>
      <c r="E4" s="41">
        <f t="shared" si="0"/>
        <v>5676000</v>
      </c>
    </row>
    <row r="5" spans="1:5" x14ac:dyDescent="0.3">
      <c r="A5" s="29" t="s">
        <v>85</v>
      </c>
      <c r="B5" s="29" t="s">
        <v>4</v>
      </c>
      <c r="C5" s="70">
        <v>5</v>
      </c>
      <c r="D5" s="41">
        <v>12000</v>
      </c>
      <c r="E5" s="41">
        <f t="shared" si="0"/>
        <v>60000</v>
      </c>
    </row>
    <row r="6" spans="1:5" x14ac:dyDescent="0.3">
      <c r="A6" s="29" t="s">
        <v>8</v>
      </c>
      <c r="B6" s="29" t="s">
        <v>4</v>
      </c>
      <c r="C6" s="70">
        <v>624</v>
      </c>
      <c r="D6" s="41">
        <f>VLOOKUP(A6,'28.11'!A8:D124,4,)</f>
        <v>4300</v>
      </c>
      <c r="E6" s="41">
        <f t="shared" si="0"/>
        <v>2683200</v>
      </c>
    </row>
    <row r="7" spans="1:5" x14ac:dyDescent="0.3">
      <c r="A7" s="29" t="s">
        <v>10</v>
      </c>
      <c r="B7" s="29" t="s">
        <v>4</v>
      </c>
      <c r="C7" s="70">
        <v>130</v>
      </c>
      <c r="D7" s="41">
        <f>VLOOKUP(A7,'28.11'!A9:D125,4,)</f>
        <v>10000</v>
      </c>
      <c r="E7" s="41">
        <f t="shared" si="0"/>
        <v>1300000</v>
      </c>
    </row>
    <row r="8" spans="1:5" hidden="1" x14ac:dyDescent="0.3">
      <c r="A8" s="29" t="s">
        <v>10</v>
      </c>
      <c r="B8" s="29" t="s">
        <v>84</v>
      </c>
      <c r="C8" s="70">
        <v>0</v>
      </c>
      <c r="D8" s="75"/>
      <c r="E8" s="38">
        <f t="shared" si="0"/>
        <v>0</v>
      </c>
    </row>
    <row r="9" spans="1:5" x14ac:dyDescent="0.3">
      <c r="A9" s="29" t="s">
        <v>11</v>
      </c>
      <c r="B9" s="29" t="s">
        <v>4</v>
      </c>
      <c r="C9" s="70">
        <v>53</v>
      </c>
      <c r="D9" s="41">
        <v>10000</v>
      </c>
      <c r="E9" s="41">
        <f t="shared" si="0"/>
        <v>530000</v>
      </c>
    </row>
    <row r="10" spans="1:5" hidden="1" x14ac:dyDescent="0.3">
      <c r="A10" s="29" t="s">
        <v>11</v>
      </c>
      <c r="B10" s="29" t="s">
        <v>84</v>
      </c>
      <c r="C10" s="70">
        <v>0</v>
      </c>
      <c r="D10" s="75"/>
      <c r="E10" s="38">
        <f t="shared" si="0"/>
        <v>0</v>
      </c>
    </row>
    <row r="11" spans="1:5" hidden="1" x14ac:dyDescent="0.3">
      <c r="A11" s="29" t="s">
        <v>12</v>
      </c>
      <c r="B11" s="29" t="s">
        <v>4</v>
      </c>
      <c r="C11" s="70">
        <v>0</v>
      </c>
      <c r="D11" s="75"/>
      <c r="E11" s="38">
        <f t="shared" si="0"/>
        <v>0</v>
      </c>
    </row>
    <row r="12" spans="1:5" x14ac:dyDescent="0.3">
      <c r="A12" s="29" t="s">
        <v>13</v>
      </c>
      <c r="B12" s="29" t="s">
        <v>4</v>
      </c>
      <c r="C12" s="70">
        <v>46</v>
      </c>
      <c r="D12" s="41">
        <v>27000</v>
      </c>
      <c r="E12" s="41">
        <f t="shared" si="0"/>
        <v>1242000</v>
      </c>
    </row>
    <row r="13" spans="1:5" hidden="1" x14ac:dyDescent="0.3">
      <c r="A13" s="29" t="s">
        <v>175</v>
      </c>
      <c r="B13" s="29" t="s">
        <v>4</v>
      </c>
      <c r="C13" s="70">
        <v>0</v>
      </c>
      <c r="D13" s="75"/>
      <c r="E13" s="38">
        <f t="shared" si="0"/>
        <v>0</v>
      </c>
    </row>
    <row r="14" spans="1:5" hidden="1" x14ac:dyDescent="0.3">
      <c r="A14" s="29" t="s">
        <v>131</v>
      </c>
      <c r="B14" s="29" t="s">
        <v>4</v>
      </c>
      <c r="C14" s="70">
        <v>0</v>
      </c>
      <c r="D14" s="75"/>
      <c r="E14" s="38">
        <f t="shared" si="0"/>
        <v>0</v>
      </c>
    </row>
    <row r="15" spans="1:5" hidden="1" x14ac:dyDescent="0.3">
      <c r="A15" s="29" t="s">
        <v>59</v>
      </c>
      <c r="B15" s="29" t="s">
        <v>4</v>
      </c>
      <c r="C15" s="70">
        <v>0</v>
      </c>
      <c r="D15" s="75"/>
      <c r="E15" s="38">
        <f t="shared" si="0"/>
        <v>0</v>
      </c>
    </row>
    <row r="16" spans="1:5" hidden="1" x14ac:dyDescent="0.3">
      <c r="A16" s="29" t="s">
        <v>60</v>
      </c>
      <c r="B16" s="29" t="s">
        <v>50</v>
      </c>
      <c r="C16" s="70">
        <v>0</v>
      </c>
      <c r="D16" s="75"/>
      <c r="E16" s="38">
        <f t="shared" si="0"/>
        <v>0</v>
      </c>
    </row>
    <row r="17" spans="1:5" x14ac:dyDescent="0.3">
      <c r="A17" s="29" t="s">
        <v>15</v>
      </c>
      <c r="B17" s="29" t="s">
        <v>4</v>
      </c>
      <c r="C17" s="70">
        <v>160</v>
      </c>
      <c r="D17" s="41">
        <f>VLOOKUP(A17,'28.11'!A19:D135,4,)</f>
        <v>17000</v>
      </c>
      <c r="E17" s="41">
        <f t="shared" si="0"/>
        <v>2720000</v>
      </c>
    </row>
    <row r="18" spans="1:5" hidden="1" x14ac:dyDescent="0.3">
      <c r="A18" s="29" t="s">
        <v>15</v>
      </c>
      <c r="B18" s="29" t="s">
        <v>50</v>
      </c>
      <c r="C18" s="70">
        <v>0</v>
      </c>
      <c r="D18" s="75"/>
      <c r="E18" s="38">
        <f t="shared" si="0"/>
        <v>0</v>
      </c>
    </row>
    <row r="19" spans="1:5" hidden="1" x14ac:dyDescent="0.3">
      <c r="A19" s="29" t="s">
        <v>15</v>
      </c>
      <c r="B19" s="29" t="s">
        <v>164</v>
      </c>
      <c r="C19" s="70">
        <v>0</v>
      </c>
      <c r="D19" s="75"/>
      <c r="E19" s="38">
        <f t="shared" si="0"/>
        <v>0</v>
      </c>
    </row>
    <row r="20" spans="1:5" x14ac:dyDescent="0.3">
      <c r="A20" s="29" t="s">
        <v>16</v>
      </c>
      <c r="B20" s="29" t="s">
        <v>4</v>
      </c>
      <c r="C20" s="70">
        <v>51</v>
      </c>
      <c r="D20" s="41">
        <f>VLOOKUP(A20,'28.11'!A22:D138,4,)</f>
        <v>15000</v>
      </c>
      <c r="E20" s="41">
        <f t="shared" si="0"/>
        <v>765000</v>
      </c>
    </row>
    <row r="21" spans="1:5" hidden="1" x14ac:dyDescent="0.3">
      <c r="A21" s="29" t="s">
        <v>16</v>
      </c>
      <c r="B21" s="29" t="s">
        <v>165</v>
      </c>
      <c r="C21" s="70">
        <v>0</v>
      </c>
      <c r="D21" s="75"/>
      <c r="E21" s="38">
        <f t="shared" si="0"/>
        <v>0</v>
      </c>
    </row>
    <row r="22" spans="1:5" x14ac:dyDescent="0.3">
      <c r="A22" s="29" t="s">
        <v>17</v>
      </c>
      <c r="B22" s="29" t="s">
        <v>4</v>
      </c>
      <c r="C22" s="70">
        <v>14</v>
      </c>
      <c r="D22" s="41">
        <f>VLOOKUP(A22,'28.11'!A24:D140,4,)</f>
        <v>29000</v>
      </c>
      <c r="E22" s="41">
        <f t="shared" si="0"/>
        <v>406000</v>
      </c>
    </row>
    <row r="23" spans="1:5" x14ac:dyDescent="0.3">
      <c r="A23" s="29" t="s">
        <v>17</v>
      </c>
      <c r="B23" s="29" t="s">
        <v>147</v>
      </c>
      <c r="C23" s="70">
        <v>35</v>
      </c>
      <c r="D23" s="41">
        <f>VLOOKUP(A23,'28.11'!A25:D141,4,)</f>
        <v>29000</v>
      </c>
      <c r="E23" s="41">
        <f t="shared" si="0"/>
        <v>1015000</v>
      </c>
    </row>
    <row r="24" spans="1:5" hidden="1" x14ac:dyDescent="0.3">
      <c r="A24" s="29" t="s">
        <v>17</v>
      </c>
      <c r="B24" s="29" t="s">
        <v>203</v>
      </c>
      <c r="C24" s="70">
        <v>0</v>
      </c>
      <c r="D24" s="75"/>
      <c r="E24" s="38">
        <f t="shared" si="0"/>
        <v>0</v>
      </c>
    </row>
    <row r="25" spans="1:5" hidden="1" x14ac:dyDescent="0.3">
      <c r="A25" s="29" t="s">
        <v>89</v>
      </c>
      <c r="B25" s="29" t="s">
        <v>53</v>
      </c>
      <c r="C25" s="70">
        <v>0</v>
      </c>
      <c r="D25" s="75"/>
      <c r="E25" s="38">
        <f t="shared" si="0"/>
        <v>0</v>
      </c>
    </row>
    <row r="26" spans="1:5" hidden="1" x14ac:dyDescent="0.3">
      <c r="A26" s="29" t="s">
        <v>90</v>
      </c>
      <c r="B26" s="29" t="s">
        <v>4</v>
      </c>
      <c r="C26" s="70">
        <v>0</v>
      </c>
      <c r="D26" s="75"/>
      <c r="E26" s="38">
        <f t="shared" si="0"/>
        <v>0</v>
      </c>
    </row>
    <row r="27" spans="1:5" hidden="1" x14ac:dyDescent="0.3">
      <c r="A27" s="29" t="s">
        <v>90</v>
      </c>
      <c r="B27" s="29" t="s">
        <v>148</v>
      </c>
      <c r="C27" s="70">
        <v>0</v>
      </c>
      <c r="D27" s="75"/>
      <c r="E27" s="38">
        <f t="shared" si="0"/>
        <v>0</v>
      </c>
    </row>
    <row r="28" spans="1:5" hidden="1" x14ac:dyDescent="0.3">
      <c r="A28" s="29" t="s">
        <v>18</v>
      </c>
      <c r="B28" s="29" t="s">
        <v>4</v>
      </c>
      <c r="C28" s="70">
        <v>0</v>
      </c>
      <c r="D28" s="75"/>
      <c r="E28" s="38">
        <f t="shared" si="0"/>
        <v>0</v>
      </c>
    </row>
    <row r="29" spans="1:5" hidden="1" x14ac:dyDescent="0.3">
      <c r="A29" s="29" t="s">
        <v>18</v>
      </c>
      <c r="B29" s="29" t="s">
        <v>50</v>
      </c>
      <c r="C29" s="70">
        <v>0</v>
      </c>
      <c r="D29" s="75"/>
      <c r="E29" s="38">
        <f t="shared" si="0"/>
        <v>0</v>
      </c>
    </row>
    <row r="30" spans="1:5" hidden="1" x14ac:dyDescent="0.3">
      <c r="A30" s="29" t="s">
        <v>92</v>
      </c>
      <c r="B30" s="29" t="s">
        <v>31</v>
      </c>
      <c r="C30" s="70">
        <v>0</v>
      </c>
      <c r="D30" s="75"/>
      <c r="E30" s="38">
        <f t="shared" si="0"/>
        <v>0</v>
      </c>
    </row>
    <row r="31" spans="1:5" x14ac:dyDescent="0.3">
      <c r="A31" s="29" t="s">
        <v>49</v>
      </c>
      <c r="B31" s="29" t="s">
        <v>4</v>
      </c>
      <c r="C31" s="70">
        <v>325</v>
      </c>
      <c r="D31" s="41">
        <v>12500</v>
      </c>
      <c r="E31" s="41">
        <f t="shared" si="0"/>
        <v>4062500</v>
      </c>
    </row>
    <row r="32" spans="1:5" hidden="1" x14ac:dyDescent="0.3">
      <c r="A32" s="29" t="s">
        <v>49</v>
      </c>
      <c r="B32" s="29" t="s">
        <v>31</v>
      </c>
      <c r="C32" s="70">
        <v>0</v>
      </c>
      <c r="D32" s="75"/>
      <c r="E32" s="38">
        <f t="shared" si="0"/>
        <v>0</v>
      </c>
    </row>
    <row r="33" spans="1:5" x14ac:dyDescent="0.3">
      <c r="A33" s="29" t="s">
        <v>19</v>
      </c>
      <c r="B33" s="29" t="s">
        <v>50</v>
      </c>
      <c r="C33" s="70">
        <v>35</v>
      </c>
      <c r="D33" s="41">
        <f>38000*0.2</f>
        <v>7600</v>
      </c>
      <c r="E33" s="41">
        <f t="shared" si="0"/>
        <v>266000</v>
      </c>
    </row>
    <row r="34" spans="1:5" hidden="1" x14ac:dyDescent="0.3">
      <c r="A34" s="29" t="s">
        <v>21</v>
      </c>
      <c r="B34" s="29" t="s">
        <v>4</v>
      </c>
      <c r="C34" s="70">
        <v>0</v>
      </c>
      <c r="D34" s="75"/>
      <c r="E34" s="38">
        <f t="shared" si="0"/>
        <v>0</v>
      </c>
    </row>
    <row r="35" spans="1:5" hidden="1" x14ac:dyDescent="0.3">
      <c r="A35" s="29" t="s">
        <v>21</v>
      </c>
      <c r="B35" s="29" t="s">
        <v>149</v>
      </c>
      <c r="C35" s="70">
        <v>0</v>
      </c>
      <c r="D35" s="75"/>
      <c r="E35" s="38">
        <f t="shared" si="0"/>
        <v>0</v>
      </c>
    </row>
    <row r="36" spans="1:5" x14ac:dyDescent="0.3">
      <c r="A36" s="29" t="s">
        <v>62</v>
      </c>
      <c r="B36" s="29" t="s">
        <v>4</v>
      </c>
      <c r="C36" s="70">
        <v>10</v>
      </c>
      <c r="D36" s="41">
        <v>16000</v>
      </c>
      <c r="E36" s="41">
        <f t="shared" si="0"/>
        <v>160000</v>
      </c>
    </row>
    <row r="37" spans="1:5" hidden="1" x14ac:dyDescent="0.3">
      <c r="A37" s="29" t="s">
        <v>62</v>
      </c>
      <c r="B37" s="29" t="s">
        <v>31</v>
      </c>
      <c r="C37" s="70">
        <v>0</v>
      </c>
      <c r="D37" s="75"/>
      <c r="E37" s="38">
        <f t="shared" si="0"/>
        <v>0</v>
      </c>
    </row>
    <row r="38" spans="1:5" x14ac:dyDescent="0.3">
      <c r="A38" s="29" t="s">
        <v>63</v>
      </c>
      <c r="B38" s="29" t="s">
        <v>31</v>
      </c>
      <c r="C38" s="70">
        <v>18</v>
      </c>
      <c r="D38" s="41">
        <f>18000*0.3</f>
        <v>5400</v>
      </c>
      <c r="E38" s="41">
        <f t="shared" si="0"/>
        <v>97200</v>
      </c>
    </row>
    <row r="39" spans="1:5" x14ac:dyDescent="0.3">
      <c r="A39" s="29" t="s">
        <v>64</v>
      </c>
      <c r="B39" s="29" t="s">
        <v>31</v>
      </c>
      <c r="C39" s="70">
        <v>60</v>
      </c>
      <c r="D39" s="41">
        <f>20000*0.3</f>
        <v>6000</v>
      </c>
      <c r="E39" s="41">
        <f t="shared" si="0"/>
        <v>360000</v>
      </c>
    </row>
    <row r="40" spans="1:5" hidden="1" x14ac:dyDescent="0.3">
      <c r="A40" s="29" t="s">
        <v>22</v>
      </c>
      <c r="B40" s="29" t="s">
        <v>4</v>
      </c>
      <c r="C40" s="70">
        <v>0</v>
      </c>
      <c r="D40" s="75"/>
      <c r="E40" s="38">
        <f t="shared" si="0"/>
        <v>0</v>
      </c>
    </row>
    <row r="41" spans="1:5" hidden="1" x14ac:dyDescent="0.3">
      <c r="A41" s="29" t="s">
        <v>23</v>
      </c>
      <c r="B41" s="29" t="s">
        <v>4</v>
      </c>
      <c r="C41" s="70">
        <v>0</v>
      </c>
      <c r="D41" s="75"/>
      <c r="E41" s="38">
        <f t="shared" si="0"/>
        <v>0</v>
      </c>
    </row>
    <row r="42" spans="1:5" hidden="1" x14ac:dyDescent="0.3">
      <c r="A42" s="29" t="s">
        <v>24</v>
      </c>
      <c r="B42" s="29" t="s">
        <v>66</v>
      </c>
      <c r="C42" s="70">
        <v>0</v>
      </c>
      <c r="D42" s="75"/>
      <c r="E42" s="38">
        <f t="shared" si="0"/>
        <v>0</v>
      </c>
    </row>
    <row r="43" spans="1:5" x14ac:dyDescent="0.3">
      <c r="A43" s="29" t="s">
        <v>24</v>
      </c>
      <c r="B43" s="29" t="s">
        <v>4</v>
      </c>
      <c r="C43" s="70">
        <v>55</v>
      </c>
      <c r="D43" s="41">
        <v>16000</v>
      </c>
      <c r="E43" s="41">
        <f t="shared" si="0"/>
        <v>880000</v>
      </c>
    </row>
    <row r="44" spans="1:5" hidden="1" x14ac:dyDescent="0.3">
      <c r="A44" s="29" t="s">
        <v>26</v>
      </c>
      <c r="B44" s="29" t="s">
        <v>4</v>
      </c>
      <c r="C44" s="70">
        <v>0</v>
      </c>
      <c r="D44" s="75"/>
      <c r="E44" s="38">
        <f t="shared" si="0"/>
        <v>0</v>
      </c>
    </row>
    <row r="45" spans="1:5" x14ac:dyDescent="0.3">
      <c r="A45" s="29" t="s">
        <v>51</v>
      </c>
      <c r="B45" s="29" t="s">
        <v>53</v>
      </c>
      <c r="C45" s="70">
        <v>8</v>
      </c>
      <c r="D45" s="41">
        <v>9500</v>
      </c>
      <c r="E45" s="41">
        <f t="shared" si="0"/>
        <v>76000</v>
      </c>
    </row>
    <row r="46" spans="1:5" hidden="1" x14ac:dyDescent="0.3">
      <c r="A46" s="29" t="s">
        <v>27</v>
      </c>
      <c r="B46" s="29" t="s">
        <v>4</v>
      </c>
      <c r="C46" s="70">
        <v>0</v>
      </c>
      <c r="D46" s="75"/>
      <c r="E46" s="38">
        <f t="shared" si="0"/>
        <v>0</v>
      </c>
    </row>
    <row r="47" spans="1:5" hidden="1" x14ac:dyDescent="0.3">
      <c r="A47" s="29" t="s">
        <v>28</v>
      </c>
      <c r="B47" s="29" t="s">
        <v>4</v>
      </c>
      <c r="C47" s="70">
        <v>0</v>
      </c>
      <c r="D47" s="75"/>
      <c r="E47" s="38">
        <f t="shared" si="0"/>
        <v>0</v>
      </c>
    </row>
    <row r="48" spans="1:5" hidden="1" x14ac:dyDescent="0.3">
      <c r="A48" s="29" t="s">
        <v>28</v>
      </c>
      <c r="B48" s="29" t="s">
        <v>31</v>
      </c>
      <c r="C48" s="70">
        <v>0</v>
      </c>
      <c r="D48" s="75"/>
      <c r="E48" s="38">
        <f t="shared" si="0"/>
        <v>0</v>
      </c>
    </row>
    <row r="49" spans="1:5" x14ac:dyDescent="0.3">
      <c r="A49" s="29" t="s">
        <v>54</v>
      </c>
      <c r="B49" s="29" t="s">
        <v>4</v>
      </c>
      <c r="C49" s="70">
        <v>18</v>
      </c>
      <c r="D49" s="41">
        <f>VLOOKUP(A49,'28.11'!A51:D167,4,)</f>
        <v>39000</v>
      </c>
      <c r="E49" s="41">
        <f t="shared" si="0"/>
        <v>702000</v>
      </c>
    </row>
    <row r="50" spans="1:5" x14ac:dyDescent="0.3">
      <c r="A50" s="29" t="s">
        <v>29</v>
      </c>
      <c r="B50" s="29" t="s">
        <v>4</v>
      </c>
      <c r="C50" s="70">
        <v>629</v>
      </c>
      <c r="D50" s="41">
        <v>21000</v>
      </c>
      <c r="E50" s="41">
        <f t="shared" si="0"/>
        <v>13209000</v>
      </c>
    </row>
    <row r="51" spans="1:5" hidden="1" x14ac:dyDescent="0.3">
      <c r="A51" s="29" t="s">
        <v>29</v>
      </c>
      <c r="B51" s="29" t="s">
        <v>150</v>
      </c>
      <c r="C51" s="70">
        <v>0</v>
      </c>
      <c r="D51" s="75"/>
      <c r="E51" s="38">
        <f t="shared" si="0"/>
        <v>0</v>
      </c>
    </row>
    <row r="52" spans="1:5" x14ac:dyDescent="0.3">
      <c r="A52" s="29" t="s">
        <v>56</v>
      </c>
      <c r="B52" s="29" t="s">
        <v>31</v>
      </c>
      <c r="C52" s="70">
        <v>544</v>
      </c>
      <c r="D52" s="41">
        <v>4500</v>
      </c>
      <c r="E52" s="41">
        <f t="shared" si="0"/>
        <v>2448000</v>
      </c>
    </row>
    <row r="53" spans="1:5" hidden="1" x14ac:dyDescent="0.3">
      <c r="A53" s="29" t="s">
        <v>117</v>
      </c>
      <c r="B53" s="29" t="s">
        <v>4</v>
      </c>
      <c r="C53" s="70">
        <v>0</v>
      </c>
      <c r="D53" s="75"/>
      <c r="E53" s="38">
        <f t="shared" si="0"/>
        <v>0</v>
      </c>
    </row>
    <row r="54" spans="1:5" hidden="1" x14ac:dyDescent="0.3">
      <c r="A54" s="29" t="s">
        <v>57</v>
      </c>
      <c r="B54" s="29" t="s">
        <v>4</v>
      </c>
      <c r="C54" s="70">
        <v>0</v>
      </c>
      <c r="D54" s="75"/>
      <c r="E54" s="38">
        <f t="shared" si="0"/>
        <v>0</v>
      </c>
    </row>
    <row r="55" spans="1:5" hidden="1" x14ac:dyDescent="0.3">
      <c r="A55" s="29" t="s">
        <v>57</v>
      </c>
      <c r="B55" s="29" t="s">
        <v>31</v>
      </c>
      <c r="C55" s="70">
        <v>0</v>
      </c>
      <c r="D55" s="75"/>
      <c r="E55" s="38">
        <f t="shared" si="0"/>
        <v>0</v>
      </c>
    </row>
    <row r="56" spans="1:5" x14ac:dyDescent="0.3">
      <c r="A56" s="29" t="s">
        <v>32</v>
      </c>
      <c r="B56" s="29" t="s">
        <v>4</v>
      </c>
      <c r="C56" s="70">
        <v>85</v>
      </c>
      <c r="D56" s="41">
        <f>VLOOKUP(A56,'28.11'!A58:D174,4,)</f>
        <v>17000</v>
      </c>
      <c r="E56" s="41">
        <f t="shared" si="0"/>
        <v>1445000</v>
      </c>
    </row>
    <row r="57" spans="1:5" x14ac:dyDescent="0.3">
      <c r="A57" s="29" t="s">
        <v>58</v>
      </c>
      <c r="B57" s="29" t="s">
        <v>4</v>
      </c>
      <c r="C57" s="70">
        <v>27</v>
      </c>
      <c r="D57" s="41">
        <f>VLOOKUP(A57,'28.11'!A59:D175,4,)</f>
        <v>25000</v>
      </c>
      <c r="E57" s="41">
        <f t="shared" si="0"/>
        <v>675000</v>
      </c>
    </row>
    <row r="58" spans="1:5" hidden="1" x14ac:dyDescent="0.3">
      <c r="A58" s="29" t="s">
        <v>118</v>
      </c>
      <c r="B58" s="29" t="s">
        <v>4</v>
      </c>
      <c r="C58" s="70">
        <v>0</v>
      </c>
      <c r="D58" s="75"/>
      <c r="E58" s="38">
        <f t="shared" si="0"/>
        <v>0</v>
      </c>
    </row>
    <row r="59" spans="1:5" x14ac:dyDescent="0.3">
      <c r="A59" s="29" t="s">
        <v>34</v>
      </c>
      <c r="B59" s="29" t="s">
        <v>4</v>
      </c>
      <c r="C59" s="70">
        <v>260</v>
      </c>
      <c r="D59" s="41">
        <f>VLOOKUP(A59,'28.11'!A61:D177,4,)</f>
        <v>15000</v>
      </c>
      <c r="E59" s="41">
        <f t="shared" si="0"/>
        <v>3900000</v>
      </c>
    </row>
    <row r="60" spans="1:5" hidden="1" x14ac:dyDescent="0.3">
      <c r="A60" s="29" t="s">
        <v>34</v>
      </c>
      <c r="B60" s="29" t="s">
        <v>31</v>
      </c>
      <c r="C60" s="70">
        <v>0</v>
      </c>
      <c r="D60" s="75"/>
      <c r="E60" s="38">
        <f t="shared" si="0"/>
        <v>0</v>
      </c>
    </row>
    <row r="61" spans="1:5" x14ac:dyDescent="0.3">
      <c r="A61" s="29" t="s">
        <v>142</v>
      </c>
      <c r="B61" s="29" t="s">
        <v>31</v>
      </c>
      <c r="C61" s="70">
        <v>54</v>
      </c>
      <c r="D61" s="41">
        <f>VLOOKUP(A61,'28.11'!A63:D179,4,)</f>
        <v>6000</v>
      </c>
      <c r="E61" s="41">
        <f t="shared" si="0"/>
        <v>324000</v>
      </c>
    </row>
    <row r="62" spans="1:5" x14ac:dyDescent="0.3">
      <c r="A62" s="29" t="s">
        <v>35</v>
      </c>
      <c r="B62" s="29" t="s">
        <v>4</v>
      </c>
      <c r="C62" s="70">
        <v>80</v>
      </c>
      <c r="D62" s="41">
        <f>VLOOKUP(A62,'28.11'!A64:D180,4,)</f>
        <v>13000</v>
      </c>
      <c r="E62" s="41">
        <f t="shared" si="0"/>
        <v>1040000</v>
      </c>
    </row>
    <row r="63" spans="1:5" hidden="1" x14ac:dyDescent="0.3">
      <c r="A63" s="29" t="s">
        <v>123</v>
      </c>
      <c r="B63" s="29" t="s">
        <v>31</v>
      </c>
      <c r="C63" s="70">
        <v>0</v>
      </c>
      <c r="D63" s="75"/>
      <c r="E63" s="38">
        <f t="shared" si="0"/>
        <v>0</v>
      </c>
    </row>
    <row r="64" spans="1:5" hidden="1" x14ac:dyDescent="0.3">
      <c r="A64" s="29" t="s">
        <v>37</v>
      </c>
      <c r="B64" s="29" t="s">
        <v>4</v>
      </c>
      <c r="C64" s="70">
        <v>0</v>
      </c>
      <c r="D64" s="75"/>
      <c r="E64" s="38">
        <f t="shared" si="0"/>
        <v>0</v>
      </c>
    </row>
    <row r="65" spans="1:5" hidden="1" x14ac:dyDescent="0.3">
      <c r="A65" s="29" t="s">
        <v>37</v>
      </c>
      <c r="B65" s="29" t="s">
        <v>151</v>
      </c>
      <c r="C65" s="70">
        <v>0</v>
      </c>
      <c r="D65" s="75"/>
      <c r="E65" s="38">
        <f t="shared" si="0"/>
        <v>0</v>
      </c>
    </row>
    <row r="66" spans="1:5" x14ac:dyDescent="0.3">
      <c r="A66" s="29" t="s">
        <v>96</v>
      </c>
      <c r="B66" s="29" t="s">
        <v>4</v>
      </c>
      <c r="C66" s="70">
        <v>3.5</v>
      </c>
      <c r="D66" s="41">
        <f>VLOOKUP(A66,'28.11'!A68:D184,4,)</f>
        <v>80000</v>
      </c>
      <c r="E66" s="41">
        <f t="shared" si="0"/>
        <v>280000</v>
      </c>
    </row>
    <row r="67" spans="1:5" x14ac:dyDescent="0.3">
      <c r="A67" s="29" t="s">
        <v>127</v>
      </c>
      <c r="B67" s="29" t="s">
        <v>4</v>
      </c>
      <c r="C67" s="70">
        <v>0.5</v>
      </c>
      <c r="D67" s="41">
        <v>80000</v>
      </c>
      <c r="E67" s="41">
        <f t="shared" ref="E67:E101" si="1">+D67*C67</f>
        <v>40000</v>
      </c>
    </row>
    <row r="68" spans="1:5" x14ac:dyDescent="0.3">
      <c r="A68" s="29" t="s">
        <v>97</v>
      </c>
      <c r="B68" s="29" t="s">
        <v>4</v>
      </c>
      <c r="C68" s="70">
        <v>2</v>
      </c>
      <c r="D68" s="41">
        <f>VLOOKUP(A68,'28.11'!A70:D186,4,)</f>
        <v>70000</v>
      </c>
      <c r="E68" s="41">
        <f t="shared" si="1"/>
        <v>140000</v>
      </c>
    </row>
    <row r="69" spans="1:5" x14ac:dyDescent="0.3">
      <c r="A69" s="29" t="s">
        <v>105</v>
      </c>
      <c r="B69" s="29" t="s">
        <v>4</v>
      </c>
      <c r="C69" s="70">
        <v>2.5</v>
      </c>
      <c r="D69" s="41">
        <f>VLOOKUP(A69,'28.11'!A71:D187,4,)</f>
        <v>70000</v>
      </c>
      <c r="E69" s="41">
        <f t="shared" si="1"/>
        <v>175000</v>
      </c>
    </row>
    <row r="70" spans="1:5" hidden="1" x14ac:dyDescent="0.3">
      <c r="A70" s="29" t="s">
        <v>39</v>
      </c>
      <c r="B70" s="29" t="s">
        <v>4</v>
      </c>
      <c r="C70" s="70">
        <v>0</v>
      </c>
      <c r="D70" s="75"/>
      <c r="E70" s="38">
        <f t="shared" si="1"/>
        <v>0</v>
      </c>
    </row>
    <row r="71" spans="1:5" x14ac:dyDescent="0.3">
      <c r="A71" s="29" t="s">
        <v>39</v>
      </c>
      <c r="B71" s="29" t="s">
        <v>50</v>
      </c>
      <c r="C71" s="70">
        <v>15</v>
      </c>
      <c r="D71" s="41">
        <v>5000</v>
      </c>
      <c r="E71" s="41">
        <f t="shared" si="1"/>
        <v>75000</v>
      </c>
    </row>
    <row r="72" spans="1:5" x14ac:dyDescent="0.3">
      <c r="A72" s="29" t="s">
        <v>99</v>
      </c>
      <c r="B72" s="29" t="s">
        <v>4</v>
      </c>
      <c r="C72" s="70">
        <v>10</v>
      </c>
      <c r="D72" s="41">
        <v>10000</v>
      </c>
      <c r="E72" s="41">
        <f t="shared" si="1"/>
        <v>100000</v>
      </c>
    </row>
    <row r="73" spans="1:5" x14ac:dyDescent="0.3">
      <c r="A73" s="29" t="s">
        <v>100</v>
      </c>
      <c r="B73" s="29" t="s">
        <v>4</v>
      </c>
      <c r="C73" s="70">
        <v>60</v>
      </c>
      <c r="D73" s="41">
        <v>4000</v>
      </c>
      <c r="E73" s="41">
        <f t="shared" si="1"/>
        <v>240000</v>
      </c>
    </row>
    <row r="74" spans="1:5" hidden="1" x14ac:dyDescent="0.3">
      <c r="A74" s="29" t="s">
        <v>40</v>
      </c>
      <c r="B74" s="29" t="s">
        <v>66</v>
      </c>
      <c r="C74" s="70">
        <v>0</v>
      </c>
      <c r="D74" s="75"/>
      <c r="E74" s="38">
        <f t="shared" si="1"/>
        <v>0</v>
      </c>
    </row>
    <row r="75" spans="1:5" x14ac:dyDescent="0.3">
      <c r="A75" s="29" t="s">
        <v>40</v>
      </c>
      <c r="B75" s="29" t="s">
        <v>4</v>
      </c>
      <c r="C75" s="70">
        <v>50</v>
      </c>
      <c r="D75" s="41">
        <v>28000</v>
      </c>
      <c r="E75" s="41">
        <f t="shared" si="1"/>
        <v>1400000</v>
      </c>
    </row>
    <row r="76" spans="1:5" x14ac:dyDescent="0.3">
      <c r="A76" s="29" t="s">
        <v>41</v>
      </c>
      <c r="B76" s="29" t="s">
        <v>4</v>
      </c>
      <c r="C76" s="70">
        <v>1650</v>
      </c>
      <c r="D76" s="41">
        <f>VLOOKUP(A76,'28.11'!A78:D194,4,)</f>
        <v>27600</v>
      </c>
      <c r="E76" s="41">
        <f t="shared" si="1"/>
        <v>45540000</v>
      </c>
    </row>
    <row r="77" spans="1:5" hidden="1" x14ac:dyDescent="0.3">
      <c r="A77" s="29" t="s">
        <v>124</v>
      </c>
      <c r="B77" s="29" t="s">
        <v>4</v>
      </c>
      <c r="C77" s="70">
        <v>0</v>
      </c>
      <c r="D77" s="75"/>
      <c r="E77" s="38">
        <f t="shared" si="1"/>
        <v>0</v>
      </c>
    </row>
    <row r="78" spans="1:5" hidden="1" x14ac:dyDescent="0.3">
      <c r="A78" s="29" t="s">
        <v>42</v>
      </c>
      <c r="B78" s="29" t="s">
        <v>31</v>
      </c>
      <c r="C78" s="70">
        <v>0</v>
      </c>
      <c r="D78" s="75"/>
      <c r="E78" s="38">
        <f t="shared" si="1"/>
        <v>0</v>
      </c>
    </row>
    <row r="79" spans="1:5" x14ac:dyDescent="0.3">
      <c r="A79" s="29" t="s">
        <v>67</v>
      </c>
      <c r="B79" s="29" t="s">
        <v>4</v>
      </c>
      <c r="C79" s="70">
        <v>7</v>
      </c>
      <c r="D79" s="41">
        <f>VLOOKUP(A79,'28.11'!A81:D197,4,)</f>
        <v>14000</v>
      </c>
      <c r="E79" s="41">
        <f t="shared" si="1"/>
        <v>98000</v>
      </c>
    </row>
    <row r="80" spans="1:5" hidden="1" x14ac:dyDescent="0.3">
      <c r="A80" s="29" t="s">
        <v>116</v>
      </c>
      <c r="B80" s="29" t="s">
        <v>50</v>
      </c>
      <c r="C80" s="70">
        <v>0</v>
      </c>
      <c r="D80" s="75"/>
      <c r="E80" s="38">
        <f t="shared" si="1"/>
        <v>0</v>
      </c>
    </row>
    <row r="81" spans="1:5" hidden="1" x14ac:dyDescent="0.3">
      <c r="A81" s="29" t="s">
        <v>101</v>
      </c>
      <c r="B81" s="29" t="s">
        <v>53</v>
      </c>
      <c r="C81" s="70">
        <v>0</v>
      </c>
      <c r="D81" s="75"/>
      <c r="E81" s="38">
        <f t="shared" si="1"/>
        <v>0</v>
      </c>
    </row>
    <row r="82" spans="1:5" x14ac:dyDescent="0.3">
      <c r="A82" s="29" t="s">
        <v>43</v>
      </c>
      <c r="B82" s="29" t="s">
        <v>4</v>
      </c>
      <c r="C82" s="70">
        <v>145</v>
      </c>
      <c r="D82" s="41">
        <f>VLOOKUP(A82,'28.11'!A84:D200,4,)</f>
        <v>32000</v>
      </c>
      <c r="E82" s="41">
        <f t="shared" si="1"/>
        <v>4640000</v>
      </c>
    </row>
    <row r="83" spans="1:5" hidden="1" x14ac:dyDescent="0.3">
      <c r="A83" s="29" t="s">
        <v>43</v>
      </c>
      <c r="B83" s="29" t="s">
        <v>84</v>
      </c>
      <c r="C83" s="70">
        <v>0</v>
      </c>
      <c r="D83" s="75"/>
      <c r="E83" s="38">
        <f t="shared" si="1"/>
        <v>0</v>
      </c>
    </row>
    <row r="84" spans="1:5" x14ac:dyDescent="0.3">
      <c r="A84" s="29" t="s">
        <v>44</v>
      </c>
      <c r="B84" s="29" t="s">
        <v>4</v>
      </c>
      <c r="C84" s="70">
        <v>110</v>
      </c>
      <c r="D84" s="41">
        <f>VLOOKUP(A84,'28.11'!A86:D202,4,)</f>
        <v>15000</v>
      </c>
      <c r="E84" s="41">
        <f t="shared" si="1"/>
        <v>1650000</v>
      </c>
    </row>
    <row r="85" spans="1:5" hidden="1" x14ac:dyDescent="0.3">
      <c r="A85" s="29" t="s">
        <v>44</v>
      </c>
      <c r="B85" s="29" t="s">
        <v>84</v>
      </c>
      <c r="C85" s="70">
        <v>0</v>
      </c>
      <c r="D85" s="75"/>
      <c r="E85" s="38">
        <f t="shared" si="1"/>
        <v>0</v>
      </c>
    </row>
    <row r="86" spans="1:5" x14ac:dyDescent="0.3">
      <c r="A86" s="29" t="s">
        <v>45</v>
      </c>
      <c r="B86" s="29" t="s">
        <v>4</v>
      </c>
      <c r="C86" s="70">
        <v>100</v>
      </c>
      <c r="D86" s="41">
        <f>VLOOKUP(A86,'28.11'!A88:D204,4,)</f>
        <v>28000</v>
      </c>
      <c r="E86" s="41">
        <f t="shared" si="1"/>
        <v>2800000</v>
      </c>
    </row>
    <row r="87" spans="1:5" hidden="1" x14ac:dyDescent="0.3">
      <c r="A87" s="29" t="s">
        <v>45</v>
      </c>
      <c r="B87" s="29" t="s">
        <v>84</v>
      </c>
      <c r="C87" s="70">
        <v>0</v>
      </c>
      <c r="D87" s="75"/>
      <c r="E87" s="38">
        <f t="shared" si="1"/>
        <v>0</v>
      </c>
    </row>
    <row r="88" spans="1:5" hidden="1" x14ac:dyDescent="0.3">
      <c r="A88" s="29" t="s">
        <v>46</v>
      </c>
      <c r="B88" s="29" t="s">
        <v>31</v>
      </c>
      <c r="C88" s="70">
        <v>0</v>
      </c>
      <c r="D88" s="75"/>
      <c r="E88" s="38">
        <f t="shared" si="1"/>
        <v>0</v>
      </c>
    </row>
    <row r="89" spans="1:5" hidden="1" x14ac:dyDescent="0.3">
      <c r="A89" s="29" t="s">
        <v>133</v>
      </c>
      <c r="B89" s="29" t="s">
        <v>31</v>
      </c>
      <c r="C89" s="70">
        <v>0</v>
      </c>
      <c r="D89" s="75"/>
      <c r="E89" s="38">
        <f t="shared" si="1"/>
        <v>0</v>
      </c>
    </row>
    <row r="90" spans="1:5" hidden="1" x14ac:dyDescent="0.3">
      <c r="A90" s="29" t="s">
        <v>219</v>
      </c>
      <c r="B90" s="29" t="s">
        <v>4</v>
      </c>
      <c r="C90" s="70">
        <v>0</v>
      </c>
      <c r="D90" s="75"/>
      <c r="E90" s="38">
        <f t="shared" si="1"/>
        <v>0</v>
      </c>
    </row>
    <row r="91" spans="1:5" hidden="1" x14ac:dyDescent="0.3">
      <c r="A91" s="29" t="s">
        <v>107</v>
      </c>
      <c r="B91" s="29" t="s">
        <v>4</v>
      </c>
      <c r="C91" s="70">
        <v>0</v>
      </c>
      <c r="D91" s="75"/>
      <c r="E91" s="38">
        <f t="shared" si="1"/>
        <v>0</v>
      </c>
    </row>
    <row r="92" spans="1:5" hidden="1" x14ac:dyDescent="0.3">
      <c r="A92" s="29" t="s">
        <v>109</v>
      </c>
      <c r="B92" s="29" t="s">
        <v>53</v>
      </c>
      <c r="C92" s="70">
        <v>0</v>
      </c>
      <c r="D92" s="75"/>
      <c r="E92" s="38">
        <f t="shared" si="1"/>
        <v>0</v>
      </c>
    </row>
    <row r="93" spans="1:5" x14ac:dyDescent="0.3">
      <c r="A93" s="29" t="s">
        <v>47</v>
      </c>
      <c r="B93" s="29" t="s">
        <v>4</v>
      </c>
      <c r="C93" s="70">
        <v>155</v>
      </c>
      <c r="D93" s="41">
        <v>6500</v>
      </c>
      <c r="E93" s="41">
        <f t="shared" si="1"/>
        <v>1007500</v>
      </c>
    </row>
    <row r="94" spans="1:5" hidden="1" x14ac:dyDescent="0.3">
      <c r="A94" s="29" t="s">
        <v>74</v>
      </c>
      <c r="B94" s="29" t="s">
        <v>4</v>
      </c>
      <c r="C94" s="70">
        <v>0</v>
      </c>
      <c r="D94" s="75"/>
      <c r="E94" s="38">
        <f t="shared" si="1"/>
        <v>0</v>
      </c>
    </row>
    <row r="95" spans="1:5" hidden="1" x14ac:dyDescent="0.3">
      <c r="A95" s="29" t="s">
        <v>75</v>
      </c>
      <c r="B95" s="29" t="s">
        <v>4</v>
      </c>
      <c r="C95" s="70">
        <v>0</v>
      </c>
      <c r="D95" s="75"/>
      <c r="E95" s="38">
        <f t="shared" si="1"/>
        <v>0</v>
      </c>
    </row>
    <row r="96" spans="1:5" hidden="1" x14ac:dyDescent="0.3">
      <c r="A96" s="29" t="s">
        <v>76</v>
      </c>
      <c r="B96" s="29" t="s">
        <v>66</v>
      </c>
      <c r="C96" s="70">
        <v>0</v>
      </c>
      <c r="D96" s="75"/>
      <c r="E96" s="38">
        <f t="shared" si="1"/>
        <v>0</v>
      </c>
    </row>
    <row r="97" spans="1:5" x14ac:dyDescent="0.3">
      <c r="A97" s="29" t="s">
        <v>48</v>
      </c>
      <c r="B97" s="29" t="s">
        <v>4</v>
      </c>
      <c r="C97" s="70">
        <v>9</v>
      </c>
      <c r="D97" s="41">
        <v>27000</v>
      </c>
      <c r="E97" s="41">
        <f t="shared" si="1"/>
        <v>243000</v>
      </c>
    </row>
    <row r="98" spans="1:5" hidden="1" x14ac:dyDescent="0.3">
      <c r="A98" s="29" t="s">
        <v>77</v>
      </c>
      <c r="B98" s="29" t="s">
        <v>66</v>
      </c>
      <c r="C98" s="70">
        <v>0</v>
      </c>
      <c r="D98" s="75"/>
      <c r="E98" s="38">
        <f t="shared" si="1"/>
        <v>0</v>
      </c>
    </row>
    <row r="99" spans="1:5" hidden="1" x14ac:dyDescent="0.3">
      <c r="A99" s="29" t="s">
        <v>152</v>
      </c>
      <c r="B99" s="29" t="s">
        <v>4</v>
      </c>
      <c r="C99" s="70">
        <v>0</v>
      </c>
      <c r="D99" s="75"/>
      <c r="E99" s="38">
        <f t="shared" si="1"/>
        <v>0</v>
      </c>
    </row>
    <row r="100" spans="1:5" x14ac:dyDescent="0.3">
      <c r="A100" s="29" t="s">
        <v>81</v>
      </c>
      <c r="B100" s="29" t="s">
        <v>4</v>
      </c>
      <c r="C100" s="70">
        <v>16</v>
      </c>
      <c r="D100" s="41">
        <v>30000</v>
      </c>
      <c r="E100" s="41">
        <f t="shared" si="1"/>
        <v>480000</v>
      </c>
    </row>
    <row r="101" spans="1:5" hidden="1" x14ac:dyDescent="0.3">
      <c r="A101" s="29" t="s">
        <v>82</v>
      </c>
      <c r="B101" s="29" t="s">
        <v>66</v>
      </c>
      <c r="C101" s="70">
        <v>0</v>
      </c>
      <c r="D101" s="75"/>
      <c r="E101" s="38">
        <f t="shared" si="1"/>
        <v>0</v>
      </c>
    </row>
    <row r="102" spans="1:5" x14ac:dyDescent="0.3">
      <c r="A102" s="34" t="s">
        <v>179</v>
      </c>
      <c r="B102" s="34">
        <v>0</v>
      </c>
      <c r="C102" s="71">
        <v>6352.5</v>
      </c>
      <c r="D102" s="42"/>
      <c r="E102" s="42">
        <f>SUM(E2:E101)</f>
        <v>107700400</v>
      </c>
    </row>
    <row r="103" spans="1:5" ht="31.2" x14ac:dyDescent="0.3">
      <c r="A103" s="32" t="s">
        <v>236</v>
      </c>
      <c r="B103" s="32" t="s">
        <v>1</v>
      </c>
      <c r="C103" s="33" t="s">
        <v>2</v>
      </c>
      <c r="D103" s="33" t="s">
        <v>177</v>
      </c>
      <c r="E103" s="33" t="s">
        <v>178</v>
      </c>
    </row>
    <row r="104" spans="1:5" x14ac:dyDescent="0.3">
      <c r="A104" s="29" t="s">
        <v>3</v>
      </c>
      <c r="B104" s="29" t="s">
        <v>4</v>
      </c>
      <c r="C104" s="63">
        <v>40</v>
      </c>
      <c r="D104" s="41">
        <v>30000</v>
      </c>
      <c r="E104" s="41">
        <f>+D104*C104</f>
        <v>1200000</v>
      </c>
    </row>
    <row r="105" spans="1:5" x14ac:dyDescent="0.3">
      <c r="A105" s="29" t="s">
        <v>5</v>
      </c>
      <c r="B105" s="29" t="s">
        <v>4</v>
      </c>
      <c r="C105" s="63">
        <v>100</v>
      </c>
      <c r="D105" s="41">
        <v>10000</v>
      </c>
      <c r="E105" s="41">
        <f t="shared" ref="E105:E146" si="2">+D105*C105</f>
        <v>1000000</v>
      </c>
    </row>
    <row r="106" spans="1:5" x14ac:dyDescent="0.3">
      <c r="A106" s="29" t="s">
        <v>6</v>
      </c>
      <c r="B106" s="29" t="s">
        <v>4</v>
      </c>
      <c r="C106" s="63">
        <v>600</v>
      </c>
      <c r="D106" s="41">
        <v>11000</v>
      </c>
      <c r="E106" s="41">
        <f t="shared" si="2"/>
        <v>6600000</v>
      </c>
    </row>
    <row r="107" spans="1:5" x14ac:dyDescent="0.3">
      <c r="A107" s="29" t="s">
        <v>7</v>
      </c>
      <c r="B107" s="29" t="s">
        <v>4</v>
      </c>
      <c r="C107" s="63">
        <v>65</v>
      </c>
      <c r="D107" s="41">
        <v>8000</v>
      </c>
      <c r="E107" s="41">
        <f t="shared" si="2"/>
        <v>520000</v>
      </c>
    </row>
    <row r="108" spans="1:5" x14ac:dyDescent="0.3">
      <c r="A108" s="29" t="s">
        <v>8</v>
      </c>
      <c r="B108" s="29" t="s">
        <v>4</v>
      </c>
      <c r="C108" s="63">
        <v>2000</v>
      </c>
      <c r="D108" s="41">
        <v>4300</v>
      </c>
      <c r="E108" s="41">
        <f t="shared" si="2"/>
        <v>8600000</v>
      </c>
    </row>
    <row r="109" spans="1:5" hidden="1" x14ac:dyDescent="0.3">
      <c r="A109" s="29" t="s">
        <v>9</v>
      </c>
      <c r="B109" s="29" t="s">
        <v>4</v>
      </c>
      <c r="C109" s="63"/>
      <c r="D109" s="75"/>
      <c r="E109" s="75">
        <f t="shared" si="2"/>
        <v>0</v>
      </c>
    </row>
    <row r="110" spans="1:5" x14ac:dyDescent="0.3">
      <c r="A110" s="29" t="s">
        <v>10</v>
      </c>
      <c r="B110" s="29" t="s">
        <v>4</v>
      </c>
      <c r="C110" s="63">
        <v>60</v>
      </c>
      <c r="D110" s="41">
        <v>9000</v>
      </c>
      <c r="E110" s="41">
        <f t="shared" si="2"/>
        <v>540000</v>
      </c>
    </row>
    <row r="111" spans="1:5" hidden="1" x14ac:dyDescent="0.3">
      <c r="A111" s="29" t="s">
        <v>12</v>
      </c>
      <c r="B111" s="29" t="s">
        <v>4</v>
      </c>
      <c r="C111" s="63"/>
      <c r="D111" s="75"/>
      <c r="E111" s="75">
        <f t="shared" si="2"/>
        <v>0</v>
      </c>
    </row>
    <row r="112" spans="1:5" hidden="1" x14ac:dyDescent="0.3">
      <c r="A112" s="29" t="s">
        <v>13</v>
      </c>
      <c r="B112" s="29" t="s">
        <v>4</v>
      </c>
      <c r="C112" s="63"/>
      <c r="D112" s="75"/>
      <c r="E112" s="75">
        <f t="shared" si="2"/>
        <v>0</v>
      </c>
    </row>
    <row r="113" spans="1:5" hidden="1" x14ac:dyDescent="0.3">
      <c r="A113" s="29" t="s">
        <v>14</v>
      </c>
      <c r="B113" s="29" t="s">
        <v>4</v>
      </c>
      <c r="C113" s="63"/>
      <c r="D113" s="75"/>
      <c r="E113" s="75">
        <f t="shared" si="2"/>
        <v>0</v>
      </c>
    </row>
    <row r="114" spans="1:5" x14ac:dyDescent="0.3">
      <c r="A114" s="29" t="s">
        <v>15</v>
      </c>
      <c r="B114" s="29" t="s">
        <v>4</v>
      </c>
      <c r="C114" s="63">
        <v>100</v>
      </c>
      <c r="D114" s="41">
        <v>18000</v>
      </c>
      <c r="E114" s="41">
        <f t="shared" si="2"/>
        <v>1800000</v>
      </c>
    </row>
    <row r="115" spans="1:5" hidden="1" x14ac:dyDescent="0.3">
      <c r="A115" s="29" t="s">
        <v>18</v>
      </c>
      <c r="B115" s="29" t="s">
        <v>4</v>
      </c>
      <c r="C115" s="63"/>
      <c r="D115" s="75"/>
      <c r="E115" s="75">
        <f t="shared" si="2"/>
        <v>0</v>
      </c>
    </row>
    <row r="116" spans="1:5" hidden="1" x14ac:dyDescent="0.3">
      <c r="A116" s="29" t="s">
        <v>49</v>
      </c>
      <c r="B116" s="29" t="s">
        <v>4</v>
      </c>
      <c r="C116" s="63"/>
      <c r="D116" s="75"/>
      <c r="E116" s="75">
        <f t="shared" si="2"/>
        <v>0</v>
      </c>
    </row>
    <row r="117" spans="1:5" x14ac:dyDescent="0.3">
      <c r="A117" s="29" t="s">
        <v>21</v>
      </c>
      <c r="B117" s="29" t="s">
        <v>4</v>
      </c>
      <c r="C117" s="63">
        <v>80</v>
      </c>
      <c r="D117" s="41">
        <v>5000</v>
      </c>
      <c r="E117" s="41">
        <f t="shared" si="2"/>
        <v>400000</v>
      </c>
    </row>
    <row r="118" spans="1:5" hidden="1" x14ac:dyDescent="0.3">
      <c r="A118" s="29" t="s">
        <v>22</v>
      </c>
      <c r="B118" s="29" t="s">
        <v>4</v>
      </c>
      <c r="C118" s="63"/>
      <c r="D118" s="75"/>
      <c r="E118" s="75">
        <f t="shared" si="2"/>
        <v>0</v>
      </c>
    </row>
    <row r="119" spans="1:5" x14ac:dyDescent="0.3">
      <c r="A119" s="29" t="s">
        <v>23</v>
      </c>
      <c r="B119" s="29" t="s">
        <v>4</v>
      </c>
      <c r="C119" s="63">
        <v>9</v>
      </c>
      <c r="D119" s="41">
        <v>16000</v>
      </c>
      <c r="E119" s="41">
        <f t="shared" si="2"/>
        <v>144000</v>
      </c>
    </row>
    <row r="120" spans="1:5" hidden="1" x14ac:dyDescent="0.3">
      <c r="A120" s="29" t="s">
        <v>24</v>
      </c>
      <c r="B120" s="29" t="s">
        <v>4</v>
      </c>
      <c r="C120" s="63"/>
      <c r="D120" s="75"/>
      <c r="E120" s="75">
        <f t="shared" si="2"/>
        <v>0</v>
      </c>
    </row>
    <row r="121" spans="1:5" x14ac:dyDescent="0.3">
      <c r="A121" s="29" t="s">
        <v>25</v>
      </c>
      <c r="B121" s="29" t="s">
        <v>4</v>
      </c>
      <c r="C121" s="63">
        <v>27</v>
      </c>
      <c r="D121" s="41">
        <v>28000</v>
      </c>
      <c r="E121" s="41">
        <f t="shared" si="2"/>
        <v>756000</v>
      </c>
    </row>
    <row r="122" spans="1:5" x14ac:dyDescent="0.3">
      <c r="A122" s="29" t="s">
        <v>26</v>
      </c>
      <c r="B122" s="29" t="s">
        <v>4</v>
      </c>
      <c r="C122" s="63">
        <v>120</v>
      </c>
      <c r="D122" s="41">
        <v>13000</v>
      </c>
      <c r="E122" s="41">
        <f t="shared" si="2"/>
        <v>1560000</v>
      </c>
    </row>
    <row r="123" spans="1:5" hidden="1" x14ac:dyDescent="0.3">
      <c r="A123" s="29" t="s">
        <v>144</v>
      </c>
      <c r="B123" s="29" t="s">
        <v>50</v>
      </c>
      <c r="C123" s="63"/>
      <c r="D123" s="75"/>
      <c r="E123" s="75">
        <f t="shared" si="2"/>
        <v>0</v>
      </c>
    </row>
    <row r="124" spans="1:5" x14ac:dyDescent="0.3">
      <c r="A124" s="29" t="s">
        <v>27</v>
      </c>
      <c r="B124" s="29" t="s">
        <v>4</v>
      </c>
      <c r="C124" s="63">
        <v>165</v>
      </c>
      <c r="D124" s="41">
        <v>55000</v>
      </c>
      <c r="E124" s="41">
        <f t="shared" si="2"/>
        <v>9075000</v>
      </c>
    </row>
    <row r="125" spans="1:5" x14ac:dyDescent="0.3">
      <c r="A125" s="29" t="s">
        <v>28</v>
      </c>
      <c r="B125" s="29" t="s">
        <v>4</v>
      </c>
      <c r="C125" s="63">
        <v>35</v>
      </c>
      <c r="D125" s="41">
        <v>18000</v>
      </c>
      <c r="E125" s="41">
        <f t="shared" si="2"/>
        <v>630000</v>
      </c>
    </row>
    <row r="126" spans="1:5" hidden="1" x14ac:dyDescent="0.3">
      <c r="A126" s="29" t="s">
        <v>29</v>
      </c>
      <c r="B126" s="29" t="s">
        <v>4</v>
      </c>
      <c r="C126" s="63"/>
      <c r="D126" s="75"/>
      <c r="E126" s="75">
        <f t="shared" si="2"/>
        <v>0</v>
      </c>
    </row>
    <row r="127" spans="1:5" hidden="1" x14ac:dyDescent="0.3">
      <c r="A127" s="29" t="s">
        <v>57</v>
      </c>
      <c r="B127" s="29" t="s">
        <v>31</v>
      </c>
      <c r="C127" s="63"/>
      <c r="D127" s="75"/>
      <c r="E127" s="75">
        <f t="shared" si="2"/>
        <v>0</v>
      </c>
    </row>
    <row r="128" spans="1:5" x14ac:dyDescent="0.3">
      <c r="A128" s="29" t="s">
        <v>32</v>
      </c>
      <c r="B128" s="29" t="s">
        <v>4</v>
      </c>
      <c r="C128" s="63">
        <v>100</v>
      </c>
      <c r="D128" s="41">
        <v>17000</v>
      </c>
      <c r="E128" s="41">
        <f t="shared" si="2"/>
        <v>1700000</v>
      </c>
    </row>
    <row r="129" spans="1:5" hidden="1" x14ac:dyDescent="0.3">
      <c r="A129" s="29" t="s">
        <v>33</v>
      </c>
      <c r="B129" s="29" t="s">
        <v>31</v>
      </c>
      <c r="C129" s="63"/>
      <c r="D129" s="75"/>
      <c r="E129" s="75">
        <f t="shared" si="2"/>
        <v>0</v>
      </c>
    </row>
    <row r="130" spans="1:5" hidden="1" x14ac:dyDescent="0.3">
      <c r="A130" s="29" t="s">
        <v>156</v>
      </c>
      <c r="B130" s="29" t="s">
        <v>4</v>
      </c>
      <c r="C130" s="63"/>
      <c r="D130" s="75"/>
      <c r="E130" s="75">
        <f t="shared" si="2"/>
        <v>0</v>
      </c>
    </row>
    <row r="131" spans="1:5" x14ac:dyDescent="0.3">
      <c r="A131" s="29" t="s">
        <v>34</v>
      </c>
      <c r="B131" s="29" t="s">
        <v>4</v>
      </c>
      <c r="C131" s="63">
        <v>300</v>
      </c>
      <c r="D131" s="41">
        <v>15000</v>
      </c>
      <c r="E131" s="41">
        <f t="shared" si="2"/>
        <v>4500000</v>
      </c>
    </row>
    <row r="132" spans="1:5" hidden="1" x14ac:dyDescent="0.3">
      <c r="A132" s="29" t="s">
        <v>35</v>
      </c>
      <c r="B132" s="29" t="s">
        <v>4</v>
      </c>
      <c r="C132" s="63"/>
      <c r="D132" s="75"/>
      <c r="E132" s="75">
        <f t="shared" si="2"/>
        <v>0</v>
      </c>
    </row>
    <row r="133" spans="1:5" x14ac:dyDescent="0.3">
      <c r="A133" s="29" t="s">
        <v>123</v>
      </c>
      <c r="B133" s="29" t="s">
        <v>31</v>
      </c>
      <c r="C133" s="63">
        <v>47</v>
      </c>
      <c r="D133" s="41">
        <v>6000</v>
      </c>
      <c r="E133" s="41">
        <f t="shared" si="2"/>
        <v>282000</v>
      </c>
    </row>
    <row r="134" spans="1:5" x14ac:dyDescent="0.3">
      <c r="A134" s="29" t="s">
        <v>37</v>
      </c>
      <c r="B134" s="29" t="s">
        <v>31</v>
      </c>
      <c r="C134" s="63">
        <v>140</v>
      </c>
      <c r="D134" s="41">
        <v>9000</v>
      </c>
      <c r="E134" s="41">
        <f t="shared" si="2"/>
        <v>1260000</v>
      </c>
    </row>
    <row r="135" spans="1:5" hidden="1" x14ac:dyDescent="0.3">
      <c r="A135" s="29" t="s">
        <v>39</v>
      </c>
      <c r="B135" s="29" t="s">
        <v>50</v>
      </c>
      <c r="C135" s="63"/>
      <c r="D135" s="75"/>
      <c r="E135" s="75">
        <f t="shared" si="2"/>
        <v>0</v>
      </c>
    </row>
    <row r="136" spans="1:5" hidden="1" x14ac:dyDescent="0.3">
      <c r="A136" s="29" t="s">
        <v>40</v>
      </c>
      <c r="B136" s="29" t="s">
        <v>4</v>
      </c>
      <c r="C136" s="63"/>
      <c r="D136" s="75"/>
      <c r="E136" s="75">
        <f t="shared" si="2"/>
        <v>0</v>
      </c>
    </row>
    <row r="137" spans="1:5" x14ac:dyDescent="0.3">
      <c r="A137" s="29" t="s">
        <v>41</v>
      </c>
      <c r="B137" s="29" t="s">
        <v>4</v>
      </c>
      <c r="C137" s="63">
        <v>500</v>
      </c>
      <c r="D137" s="41">
        <v>27600</v>
      </c>
      <c r="E137" s="41">
        <f t="shared" si="2"/>
        <v>13800000</v>
      </c>
    </row>
    <row r="138" spans="1:5" hidden="1" x14ac:dyDescent="0.3">
      <c r="A138" s="29" t="s">
        <v>124</v>
      </c>
      <c r="B138" s="29" t="s">
        <v>4</v>
      </c>
      <c r="C138" s="63"/>
      <c r="D138" s="75"/>
      <c r="E138" s="75">
        <f t="shared" si="2"/>
        <v>0</v>
      </c>
    </row>
    <row r="139" spans="1:5" x14ac:dyDescent="0.3">
      <c r="A139" s="29" t="s">
        <v>43</v>
      </c>
      <c r="B139" s="29" t="s">
        <v>4</v>
      </c>
      <c r="C139" s="63">
        <v>20</v>
      </c>
      <c r="D139" s="41">
        <v>32000</v>
      </c>
      <c r="E139" s="41">
        <f t="shared" si="2"/>
        <v>640000</v>
      </c>
    </row>
    <row r="140" spans="1:5" x14ac:dyDescent="0.3">
      <c r="A140" s="29" t="s">
        <v>44</v>
      </c>
      <c r="B140" s="29" t="s">
        <v>4</v>
      </c>
      <c r="C140" s="63">
        <v>20</v>
      </c>
      <c r="D140" s="41">
        <v>15000</v>
      </c>
      <c r="E140" s="41">
        <f t="shared" si="2"/>
        <v>300000</v>
      </c>
    </row>
    <row r="141" spans="1:5" x14ac:dyDescent="0.3">
      <c r="A141" s="29" t="s">
        <v>45</v>
      </c>
      <c r="B141" s="29" t="s">
        <v>4</v>
      </c>
      <c r="C141" s="63">
        <v>20</v>
      </c>
      <c r="D141" s="41">
        <v>25000</v>
      </c>
      <c r="E141" s="41">
        <f t="shared" si="2"/>
        <v>500000</v>
      </c>
    </row>
    <row r="142" spans="1:5" hidden="1" x14ac:dyDescent="0.3">
      <c r="A142" s="29" t="s">
        <v>47</v>
      </c>
      <c r="B142" s="29" t="s">
        <v>4</v>
      </c>
      <c r="C142" s="63"/>
      <c r="D142" s="75"/>
      <c r="E142" s="75">
        <f t="shared" si="2"/>
        <v>0</v>
      </c>
    </row>
    <row r="143" spans="1:5" hidden="1" x14ac:dyDescent="0.3">
      <c r="A143" s="29" t="s">
        <v>75</v>
      </c>
      <c r="B143" s="29" t="s">
        <v>66</v>
      </c>
      <c r="C143" s="63"/>
      <c r="D143" s="75"/>
      <c r="E143" s="75">
        <f t="shared" si="2"/>
        <v>0</v>
      </c>
    </row>
    <row r="144" spans="1:5" hidden="1" x14ac:dyDescent="0.3">
      <c r="A144" s="29" t="s">
        <v>76</v>
      </c>
      <c r="B144" s="29" t="s">
        <v>66</v>
      </c>
      <c r="C144" s="63"/>
      <c r="D144" s="75"/>
      <c r="E144" s="75">
        <f t="shared" si="2"/>
        <v>0</v>
      </c>
    </row>
    <row r="145" spans="1:5" hidden="1" x14ac:dyDescent="0.3">
      <c r="A145" s="29" t="s">
        <v>77</v>
      </c>
      <c r="B145" s="29" t="s">
        <v>66</v>
      </c>
      <c r="C145" s="63"/>
      <c r="D145" s="75"/>
      <c r="E145" s="75">
        <f t="shared" si="2"/>
        <v>0</v>
      </c>
    </row>
    <row r="146" spans="1:5" x14ac:dyDescent="0.3">
      <c r="A146" s="29" t="s">
        <v>82</v>
      </c>
      <c r="B146" s="29" t="s">
        <v>66</v>
      </c>
      <c r="C146" s="63">
        <v>8</v>
      </c>
      <c r="D146" s="41">
        <v>6800</v>
      </c>
      <c r="E146" s="41">
        <f t="shared" si="2"/>
        <v>54400</v>
      </c>
    </row>
    <row r="147" spans="1:5" x14ac:dyDescent="0.3">
      <c r="A147" s="34" t="s">
        <v>180</v>
      </c>
      <c r="B147" s="34">
        <v>0</v>
      </c>
      <c r="C147" s="65">
        <v>123</v>
      </c>
      <c r="D147" s="42"/>
      <c r="E147" s="42">
        <f>SUM(E104:E146)</f>
        <v>55861400</v>
      </c>
    </row>
    <row r="148" spans="1:5" hidden="1" x14ac:dyDescent="0.3">
      <c r="D148" s="31"/>
      <c r="E148" s="94">
        <f>+E147+E102</f>
        <v>163561800</v>
      </c>
    </row>
    <row r="149" spans="1:5" x14ac:dyDescent="0.3">
      <c r="E149" s="43">
        <f>+E147+E102</f>
        <v>163561800</v>
      </c>
    </row>
  </sheetData>
  <autoFilter ref="A1:E148" xr:uid="{00000000-0009-0000-0000-00001C000000}">
    <filterColumn colId="2">
      <filters>
        <filter val="1"/>
        <filter val="1,650"/>
        <filter val="10"/>
        <filter val="100"/>
        <filter val="110"/>
        <filter val="120"/>
        <filter val="123"/>
        <filter val="125"/>
        <filter val="130"/>
        <filter val="14"/>
        <filter val="140"/>
        <filter val="145"/>
        <filter val="15"/>
        <filter val="155"/>
        <filter val="16"/>
        <filter val="160"/>
        <filter val="165"/>
        <filter val="18"/>
        <filter val="2"/>
        <filter val="20"/>
        <filter val="2000"/>
        <filter val="260"/>
        <filter val="27"/>
        <filter val="3"/>
        <filter val="300"/>
        <filter val="325"/>
        <filter val="35"/>
        <filter val="4"/>
        <filter val="40"/>
        <filter val="46"/>
        <filter val="47"/>
        <filter val="5"/>
        <filter val="50"/>
        <filter val="500"/>
        <filter val="51"/>
        <filter val="516"/>
        <filter val="53"/>
        <filter val="54"/>
        <filter val="544"/>
        <filter val="55"/>
        <filter val="6,353"/>
        <filter val="60"/>
        <filter val="600"/>
        <filter val="624"/>
        <filter val="629"/>
        <filter val="65"/>
        <filter val="7"/>
        <filter val="8"/>
        <filter val="80"/>
        <filter val="85"/>
        <filter val="9"/>
        <filter val="Tồn_x000a_ĐL"/>
      </filters>
    </filterColumn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E156"/>
  <sheetViews>
    <sheetView tabSelected="1" topLeftCell="A110" workbookViewId="0">
      <selection activeCell="E156" sqref="E156"/>
    </sheetView>
  </sheetViews>
  <sheetFormatPr defaultRowHeight="14.4" x14ac:dyDescent="0.3"/>
  <cols>
    <col min="1" max="1" width="21.44140625" customWidth="1"/>
    <col min="4" max="4" width="14.44140625" customWidth="1"/>
    <col min="5" max="5" width="16.5546875" customWidth="1"/>
  </cols>
  <sheetData>
    <row r="1" spans="1:5" x14ac:dyDescent="0.3">
      <c r="A1" t="s">
        <v>237</v>
      </c>
    </row>
    <row r="2" spans="1:5" x14ac:dyDescent="0.3">
      <c r="A2" t="s">
        <v>0</v>
      </c>
      <c r="B2" t="s">
        <v>1</v>
      </c>
      <c r="C2" t="s">
        <v>227</v>
      </c>
      <c r="D2" t="s">
        <v>137</v>
      </c>
      <c r="E2" t="s">
        <v>138</v>
      </c>
    </row>
    <row r="3" spans="1:5" x14ac:dyDescent="0.3">
      <c r="A3" t="s">
        <v>3</v>
      </c>
      <c r="B3" t="s">
        <v>4</v>
      </c>
      <c r="C3">
        <v>37</v>
      </c>
      <c r="D3">
        <v>30000</v>
      </c>
      <c r="E3">
        <f>C3*D3</f>
        <v>1110000</v>
      </c>
    </row>
    <row r="4" spans="1:5" hidden="1" x14ac:dyDescent="0.3">
      <c r="A4" t="s">
        <v>5</v>
      </c>
      <c r="B4" t="s">
        <v>4</v>
      </c>
      <c r="C4">
        <v>0</v>
      </c>
      <c r="E4">
        <f t="shared" ref="E4:E67" si="0">C4*D4</f>
        <v>0</v>
      </c>
    </row>
    <row r="5" spans="1:5" x14ac:dyDescent="0.3">
      <c r="A5" t="s">
        <v>6</v>
      </c>
      <c r="B5" t="s">
        <v>4</v>
      </c>
      <c r="C5">
        <v>292</v>
      </c>
      <c r="D5">
        <v>11000</v>
      </c>
      <c r="E5">
        <f t="shared" si="0"/>
        <v>3212000</v>
      </c>
    </row>
    <row r="6" spans="1:5" hidden="1" x14ac:dyDescent="0.3">
      <c r="A6" t="s">
        <v>85</v>
      </c>
      <c r="B6" t="s">
        <v>4</v>
      </c>
      <c r="C6">
        <v>0</v>
      </c>
      <c r="E6">
        <f t="shared" si="0"/>
        <v>0</v>
      </c>
    </row>
    <row r="7" spans="1:5" x14ac:dyDescent="0.3">
      <c r="A7" t="s">
        <v>8</v>
      </c>
      <c r="B7" t="s">
        <v>4</v>
      </c>
      <c r="C7">
        <v>560</v>
      </c>
      <c r="D7">
        <v>4300</v>
      </c>
      <c r="E7">
        <f t="shared" si="0"/>
        <v>2408000</v>
      </c>
    </row>
    <row r="8" spans="1:5" x14ac:dyDescent="0.3">
      <c r="A8" t="s">
        <v>10</v>
      </c>
      <c r="B8" t="s">
        <v>4</v>
      </c>
      <c r="C8">
        <v>122</v>
      </c>
      <c r="D8">
        <v>8000</v>
      </c>
      <c r="E8">
        <f t="shared" si="0"/>
        <v>976000</v>
      </c>
    </row>
    <row r="9" spans="1:5" hidden="1" x14ac:dyDescent="0.3">
      <c r="A9" t="s">
        <v>10</v>
      </c>
      <c r="B9" t="s">
        <v>84</v>
      </c>
      <c r="C9">
        <v>0</v>
      </c>
      <c r="E9">
        <f t="shared" si="0"/>
        <v>0</v>
      </c>
    </row>
    <row r="10" spans="1:5" hidden="1" x14ac:dyDescent="0.3">
      <c r="A10" t="s">
        <v>10</v>
      </c>
      <c r="B10" t="s">
        <v>192</v>
      </c>
      <c r="C10">
        <v>0</v>
      </c>
      <c r="E10">
        <f t="shared" si="0"/>
        <v>0</v>
      </c>
    </row>
    <row r="11" spans="1:5" x14ac:dyDescent="0.3">
      <c r="A11" t="s">
        <v>11</v>
      </c>
      <c r="B11" t="s">
        <v>4</v>
      </c>
      <c r="C11">
        <v>90</v>
      </c>
      <c r="D11">
        <v>10000</v>
      </c>
      <c r="E11">
        <f t="shared" si="0"/>
        <v>900000</v>
      </c>
    </row>
    <row r="12" spans="1:5" hidden="1" x14ac:dyDescent="0.3">
      <c r="A12" t="s">
        <v>11</v>
      </c>
      <c r="B12" t="s">
        <v>84</v>
      </c>
      <c r="C12">
        <v>0</v>
      </c>
      <c r="E12">
        <f t="shared" si="0"/>
        <v>0</v>
      </c>
    </row>
    <row r="13" spans="1:5" hidden="1" x14ac:dyDescent="0.3">
      <c r="A13" t="s">
        <v>12</v>
      </c>
      <c r="B13" t="s">
        <v>4</v>
      </c>
      <c r="C13">
        <v>0</v>
      </c>
      <c r="E13">
        <f t="shared" si="0"/>
        <v>0</v>
      </c>
    </row>
    <row r="14" spans="1:5" x14ac:dyDescent="0.3">
      <c r="A14" t="s">
        <v>13</v>
      </c>
      <c r="B14" t="s">
        <v>4</v>
      </c>
      <c r="C14">
        <v>30</v>
      </c>
      <c r="D14">
        <v>25000</v>
      </c>
      <c r="E14">
        <f t="shared" si="0"/>
        <v>750000</v>
      </c>
    </row>
    <row r="15" spans="1:5" hidden="1" x14ac:dyDescent="0.3">
      <c r="A15" t="s">
        <v>175</v>
      </c>
      <c r="B15" t="s">
        <v>4</v>
      </c>
      <c r="C15">
        <v>0</v>
      </c>
      <c r="E15">
        <f t="shared" si="0"/>
        <v>0</v>
      </c>
    </row>
    <row r="16" spans="1:5" hidden="1" x14ac:dyDescent="0.3">
      <c r="A16" t="s">
        <v>59</v>
      </c>
      <c r="B16" t="s">
        <v>4</v>
      </c>
      <c r="C16">
        <v>0</v>
      </c>
      <c r="E16">
        <f t="shared" si="0"/>
        <v>0</v>
      </c>
    </row>
    <row r="17" spans="1:5" hidden="1" x14ac:dyDescent="0.3">
      <c r="A17" t="s">
        <v>60</v>
      </c>
      <c r="B17" t="s">
        <v>50</v>
      </c>
      <c r="C17">
        <v>0</v>
      </c>
      <c r="E17">
        <f t="shared" si="0"/>
        <v>0</v>
      </c>
    </row>
    <row r="18" spans="1:5" x14ac:dyDescent="0.3">
      <c r="A18" t="s">
        <v>15</v>
      </c>
      <c r="B18" t="s">
        <v>4</v>
      </c>
      <c r="C18">
        <v>180</v>
      </c>
      <c r="D18">
        <v>19000</v>
      </c>
      <c r="E18">
        <f t="shared" si="0"/>
        <v>3420000</v>
      </c>
    </row>
    <row r="19" spans="1:5" hidden="1" x14ac:dyDescent="0.3">
      <c r="A19" t="s">
        <v>15</v>
      </c>
      <c r="B19" t="s">
        <v>50</v>
      </c>
      <c r="C19">
        <v>0</v>
      </c>
      <c r="E19">
        <f t="shared" si="0"/>
        <v>0</v>
      </c>
    </row>
    <row r="20" spans="1:5" hidden="1" x14ac:dyDescent="0.3">
      <c r="A20" t="s">
        <v>15</v>
      </c>
      <c r="B20" t="s">
        <v>164</v>
      </c>
      <c r="C20">
        <v>0</v>
      </c>
      <c r="E20">
        <f t="shared" si="0"/>
        <v>0</v>
      </c>
    </row>
    <row r="21" spans="1:5" x14ac:dyDescent="0.3">
      <c r="A21" t="s">
        <v>16</v>
      </c>
      <c r="B21" t="s">
        <v>4</v>
      </c>
      <c r="C21">
        <v>40</v>
      </c>
      <c r="D21">
        <v>17000</v>
      </c>
      <c r="E21">
        <f t="shared" si="0"/>
        <v>680000</v>
      </c>
    </row>
    <row r="22" spans="1:5" hidden="1" x14ac:dyDescent="0.3">
      <c r="A22" t="s">
        <v>16</v>
      </c>
      <c r="B22" t="s">
        <v>165</v>
      </c>
      <c r="C22">
        <v>0</v>
      </c>
      <c r="E22">
        <f t="shared" si="0"/>
        <v>0</v>
      </c>
    </row>
    <row r="23" spans="1:5" x14ac:dyDescent="0.3">
      <c r="A23" t="s">
        <v>17</v>
      </c>
      <c r="B23" t="s">
        <v>4</v>
      </c>
      <c r="C23">
        <v>4</v>
      </c>
      <c r="D23">
        <v>29000</v>
      </c>
      <c r="E23">
        <f t="shared" si="0"/>
        <v>116000</v>
      </c>
    </row>
    <row r="24" spans="1:5" x14ac:dyDescent="0.3">
      <c r="A24" t="s">
        <v>17</v>
      </c>
      <c r="B24" t="s">
        <v>147</v>
      </c>
      <c r="C24">
        <v>100</v>
      </c>
      <c r="D24">
        <v>7800</v>
      </c>
      <c r="E24">
        <f t="shared" si="0"/>
        <v>780000</v>
      </c>
    </row>
    <row r="25" spans="1:5" hidden="1" x14ac:dyDescent="0.3">
      <c r="A25" t="s">
        <v>89</v>
      </c>
      <c r="B25" t="s">
        <v>53</v>
      </c>
      <c r="C25">
        <v>0</v>
      </c>
      <c r="E25">
        <f t="shared" si="0"/>
        <v>0</v>
      </c>
    </row>
    <row r="26" spans="1:5" hidden="1" x14ac:dyDescent="0.3">
      <c r="A26" t="s">
        <v>90</v>
      </c>
      <c r="B26" t="s">
        <v>4</v>
      </c>
      <c r="C26">
        <v>0</v>
      </c>
      <c r="E26">
        <f t="shared" si="0"/>
        <v>0</v>
      </c>
    </row>
    <row r="27" spans="1:5" x14ac:dyDescent="0.3">
      <c r="A27" t="s">
        <v>90</v>
      </c>
      <c r="B27" t="s">
        <v>147</v>
      </c>
      <c r="C27">
        <v>85</v>
      </c>
      <c r="D27">
        <v>11000</v>
      </c>
      <c r="E27">
        <f t="shared" si="0"/>
        <v>935000</v>
      </c>
    </row>
    <row r="28" spans="1:5" hidden="1" x14ac:dyDescent="0.3">
      <c r="A28" t="s">
        <v>90</v>
      </c>
      <c r="B28" t="s">
        <v>148</v>
      </c>
      <c r="C28">
        <v>0</v>
      </c>
      <c r="E28">
        <f t="shared" si="0"/>
        <v>0</v>
      </c>
    </row>
    <row r="29" spans="1:5" x14ac:dyDescent="0.3">
      <c r="A29" t="s">
        <v>18</v>
      </c>
      <c r="B29" t="s">
        <v>4</v>
      </c>
      <c r="C29">
        <v>240</v>
      </c>
      <c r="D29">
        <v>21000</v>
      </c>
      <c r="E29">
        <f t="shared" si="0"/>
        <v>5040000</v>
      </c>
    </row>
    <row r="30" spans="1:5" hidden="1" x14ac:dyDescent="0.3">
      <c r="A30" t="s">
        <v>18</v>
      </c>
      <c r="B30" t="s">
        <v>50</v>
      </c>
      <c r="C30">
        <v>0</v>
      </c>
      <c r="E30">
        <f t="shared" si="0"/>
        <v>0</v>
      </c>
    </row>
    <row r="31" spans="1:5" x14ac:dyDescent="0.3">
      <c r="A31" t="s">
        <v>92</v>
      </c>
      <c r="B31" t="s">
        <v>31</v>
      </c>
      <c r="C31">
        <v>90</v>
      </c>
      <c r="D31">
        <v>18000</v>
      </c>
      <c r="E31">
        <f t="shared" si="0"/>
        <v>1620000</v>
      </c>
    </row>
    <row r="32" spans="1:5" x14ac:dyDescent="0.3">
      <c r="A32" t="s">
        <v>49</v>
      </c>
      <c r="B32" t="s">
        <v>4</v>
      </c>
      <c r="C32">
        <v>294</v>
      </c>
      <c r="D32">
        <v>14000</v>
      </c>
      <c r="E32">
        <f t="shared" si="0"/>
        <v>4116000</v>
      </c>
    </row>
    <row r="33" spans="1:5" hidden="1" x14ac:dyDescent="0.3">
      <c r="A33" t="s">
        <v>49</v>
      </c>
      <c r="B33" t="s">
        <v>31</v>
      </c>
      <c r="C33">
        <v>0</v>
      </c>
      <c r="E33">
        <f t="shared" si="0"/>
        <v>0</v>
      </c>
    </row>
    <row r="34" spans="1:5" hidden="1" x14ac:dyDescent="0.3">
      <c r="A34" t="s">
        <v>19</v>
      </c>
      <c r="B34" t="s">
        <v>50</v>
      </c>
      <c r="C34">
        <v>0</v>
      </c>
      <c r="E34">
        <f t="shared" si="0"/>
        <v>0</v>
      </c>
    </row>
    <row r="35" spans="1:5" hidden="1" x14ac:dyDescent="0.3">
      <c r="A35" t="s">
        <v>21</v>
      </c>
      <c r="B35" t="s">
        <v>4</v>
      </c>
      <c r="C35">
        <v>0</v>
      </c>
      <c r="E35">
        <f t="shared" si="0"/>
        <v>0</v>
      </c>
    </row>
    <row r="36" spans="1:5" hidden="1" x14ac:dyDescent="0.3">
      <c r="A36" t="s">
        <v>21</v>
      </c>
      <c r="B36" t="s">
        <v>149</v>
      </c>
      <c r="C36">
        <v>0</v>
      </c>
      <c r="E36">
        <f t="shared" si="0"/>
        <v>0</v>
      </c>
    </row>
    <row r="37" spans="1:5" x14ac:dyDescent="0.3">
      <c r="A37" t="s">
        <v>62</v>
      </c>
      <c r="B37" t="s">
        <v>4</v>
      </c>
      <c r="C37">
        <v>14</v>
      </c>
      <c r="D37">
        <v>14000</v>
      </c>
      <c r="E37">
        <f t="shared" si="0"/>
        <v>196000</v>
      </c>
    </row>
    <row r="38" spans="1:5" hidden="1" x14ac:dyDescent="0.3">
      <c r="A38" t="s">
        <v>62</v>
      </c>
      <c r="B38" t="s">
        <v>31</v>
      </c>
      <c r="C38">
        <v>0</v>
      </c>
      <c r="E38">
        <f t="shared" si="0"/>
        <v>0</v>
      </c>
    </row>
    <row r="39" spans="1:5" x14ac:dyDescent="0.3">
      <c r="A39" t="s">
        <v>63</v>
      </c>
      <c r="B39" t="s">
        <v>31</v>
      </c>
      <c r="C39">
        <v>13</v>
      </c>
      <c r="D39">
        <v>6000</v>
      </c>
      <c r="E39">
        <f t="shared" si="0"/>
        <v>78000</v>
      </c>
    </row>
    <row r="40" spans="1:5" x14ac:dyDescent="0.3">
      <c r="A40" t="s">
        <v>64</v>
      </c>
      <c r="B40" t="s">
        <v>31</v>
      </c>
      <c r="C40">
        <v>31</v>
      </c>
      <c r="D40">
        <v>8000</v>
      </c>
      <c r="E40">
        <f t="shared" si="0"/>
        <v>248000</v>
      </c>
    </row>
    <row r="41" spans="1:5" x14ac:dyDescent="0.3">
      <c r="A41" t="s">
        <v>22</v>
      </c>
      <c r="B41" t="s">
        <v>4</v>
      </c>
      <c r="C41">
        <v>660</v>
      </c>
      <c r="D41">
        <v>7000</v>
      </c>
      <c r="E41">
        <f t="shared" si="0"/>
        <v>4620000</v>
      </c>
    </row>
    <row r="42" spans="1:5" hidden="1" x14ac:dyDescent="0.3">
      <c r="A42" t="s">
        <v>24</v>
      </c>
      <c r="B42" t="s">
        <v>66</v>
      </c>
      <c r="C42">
        <v>0</v>
      </c>
      <c r="E42">
        <f t="shared" si="0"/>
        <v>0</v>
      </c>
    </row>
    <row r="43" spans="1:5" x14ac:dyDescent="0.3">
      <c r="A43" t="s">
        <v>24</v>
      </c>
      <c r="B43" t="s">
        <v>4</v>
      </c>
      <c r="C43">
        <v>45</v>
      </c>
      <c r="D43">
        <v>16000</v>
      </c>
      <c r="E43">
        <f t="shared" si="0"/>
        <v>720000</v>
      </c>
    </row>
    <row r="44" spans="1:5" hidden="1" x14ac:dyDescent="0.3">
      <c r="A44" t="s">
        <v>26</v>
      </c>
      <c r="B44" t="s">
        <v>4</v>
      </c>
      <c r="C44">
        <v>0</v>
      </c>
      <c r="E44">
        <f t="shared" si="0"/>
        <v>0</v>
      </c>
    </row>
    <row r="45" spans="1:5" x14ac:dyDescent="0.3">
      <c r="A45" t="s">
        <v>51</v>
      </c>
      <c r="B45" t="s">
        <v>53</v>
      </c>
      <c r="C45">
        <v>14</v>
      </c>
      <c r="D45">
        <v>9500</v>
      </c>
      <c r="E45">
        <f t="shared" si="0"/>
        <v>133000</v>
      </c>
    </row>
    <row r="46" spans="1:5" hidden="1" x14ac:dyDescent="0.3">
      <c r="A46" t="s">
        <v>27</v>
      </c>
      <c r="B46" t="s">
        <v>4</v>
      </c>
      <c r="C46">
        <v>0</v>
      </c>
      <c r="E46">
        <f t="shared" si="0"/>
        <v>0</v>
      </c>
    </row>
    <row r="47" spans="1:5" x14ac:dyDescent="0.3">
      <c r="A47" t="s">
        <v>28</v>
      </c>
      <c r="B47" t="s">
        <v>4</v>
      </c>
      <c r="C47">
        <v>30</v>
      </c>
      <c r="D47">
        <v>18000</v>
      </c>
      <c r="E47">
        <f t="shared" si="0"/>
        <v>540000</v>
      </c>
    </row>
    <row r="48" spans="1:5" hidden="1" x14ac:dyDescent="0.3">
      <c r="A48" t="s">
        <v>28</v>
      </c>
      <c r="B48" t="s">
        <v>31</v>
      </c>
      <c r="C48">
        <v>0</v>
      </c>
      <c r="E48">
        <f t="shared" si="0"/>
        <v>0</v>
      </c>
    </row>
    <row r="49" spans="1:5" x14ac:dyDescent="0.3">
      <c r="A49" t="s">
        <v>54</v>
      </c>
      <c r="B49" t="s">
        <v>4</v>
      </c>
      <c r="C49">
        <v>14</v>
      </c>
      <c r="D49">
        <v>39000</v>
      </c>
      <c r="E49">
        <f t="shared" si="0"/>
        <v>546000</v>
      </c>
    </row>
    <row r="50" spans="1:5" x14ac:dyDescent="0.3">
      <c r="A50" t="s">
        <v>29</v>
      </c>
      <c r="B50" t="s">
        <v>4</v>
      </c>
      <c r="C50">
        <v>443</v>
      </c>
      <c r="D50">
        <v>21000</v>
      </c>
      <c r="E50">
        <f t="shared" si="0"/>
        <v>9303000</v>
      </c>
    </row>
    <row r="51" spans="1:5" hidden="1" x14ac:dyDescent="0.3">
      <c r="A51" t="s">
        <v>29</v>
      </c>
      <c r="B51" t="s">
        <v>150</v>
      </c>
      <c r="C51">
        <v>0</v>
      </c>
      <c r="E51">
        <f t="shared" si="0"/>
        <v>0</v>
      </c>
    </row>
    <row r="52" spans="1:5" x14ac:dyDescent="0.3">
      <c r="A52" t="s">
        <v>55</v>
      </c>
      <c r="B52" t="s">
        <v>4</v>
      </c>
      <c r="C52">
        <v>8</v>
      </c>
      <c r="D52">
        <v>20000</v>
      </c>
      <c r="E52">
        <f t="shared" si="0"/>
        <v>160000</v>
      </c>
    </row>
    <row r="53" spans="1:5" x14ac:dyDescent="0.3">
      <c r="A53" t="s">
        <v>56</v>
      </c>
      <c r="B53" t="s">
        <v>31</v>
      </c>
      <c r="C53">
        <v>500</v>
      </c>
      <c r="D53">
        <v>4500</v>
      </c>
      <c r="E53">
        <f t="shared" si="0"/>
        <v>2250000</v>
      </c>
    </row>
    <row r="54" spans="1:5" hidden="1" x14ac:dyDescent="0.3">
      <c r="A54" t="s">
        <v>117</v>
      </c>
      <c r="B54" t="s">
        <v>4</v>
      </c>
      <c r="C54">
        <v>0</v>
      </c>
      <c r="E54">
        <f t="shared" si="0"/>
        <v>0</v>
      </c>
    </row>
    <row r="55" spans="1:5" hidden="1" x14ac:dyDescent="0.3">
      <c r="A55" t="s">
        <v>57</v>
      </c>
      <c r="B55" t="s">
        <v>4</v>
      </c>
      <c r="C55">
        <v>0</v>
      </c>
      <c r="E55">
        <f t="shared" si="0"/>
        <v>0</v>
      </c>
    </row>
    <row r="56" spans="1:5" hidden="1" x14ac:dyDescent="0.3">
      <c r="A56" t="s">
        <v>57</v>
      </c>
      <c r="B56" t="s">
        <v>31</v>
      </c>
      <c r="C56">
        <v>0</v>
      </c>
      <c r="E56">
        <f t="shared" si="0"/>
        <v>0</v>
      </c>
    </row>
    <row r="57" spans="1:5" x14ac:dyDescent="0.3">
      <c r="A57" t="s">
        <v>32</v>
      </c>
      <c r="B57" t="s">
        <v>4</v>
      </c>
      <c r="C57">
        <v>140</v>
      </c>
      <c r="D57">
        <v>17000</v>
      </c>
      <c r="E57">
        <f t="shared" si="0"/>
        <v>2380000</v>
      </c>
    </row>
    <row r="58" spans="1:5" x14ac:dyDescent="0.3">
      <c r="A58" t="s">
        <v>58</v>
      </c>
      <c r="B58" t="s">
        <v>4</v>
      </c>
      <c r="C58">
        <v>51</v>
      </c>
      <c r="D58">
        <v>25000</v>
      </c>
      <c r="E58">
        <f t="shared" si="0"/>
        <v>1275000</v>
      </c>
    </row>
    <row r="59" spans="1:5" hidden="1" x14ac:dyDescent="0.3">
      <c r="A59" t="s">
        <v>118</v>
      </c>
      <c r="B59" t="s">
        <v>4</v>
      </c>
      <c r="C59">
        <v>0</v>
      </c>
      <c r="E59">
        <f t="shared" si="0"/>
        <v>0</v>
      </c>
    </row>
    <row r="60" spans="1:5" hidden="1" x14ac:dyDescent="0.3">
      <c r="A60" t="s">
        <v>33</v>
      </c>
      <c r="B60" t="s">
        <v>31</v>
      </c>
      <c r="C60">
        <v>0</v>
      </c>
      <c r="E60">
        <f t="shared" si="0"/>
        <v>0</v>
      </c>
    </row>
    <row r="61" spans="1:5" x14ac:dyDescent="0.3">
      <c r="A61" t="s">
        <v>34</v>
      </c>
      <c r="B61" t="s">
        <v>4</v>
      </c>
      <c r="C61">
        <v>78</v>
      </c>
      <c r="D61">
        <v>15000</v>
      </c>
      <c r="E61">
        <f t="shared" si="0"/>
        <v>1170000</v>
      </c>
    </row>
    <row r="62" spans="1:5" hidden="1" x14ac:dyDescent="0.3">
      <c r="A62" t="s">
        <v>34</v>
      </c>
      <c r="B62" t="s">
        <v>31</v>
      </c>
      <c r="C62">
        <v>0</v>
      </c>
      <c r="E62">
        <f t="shared" si="0"/>
        <v>0</v>
      </c>
    </row>
    <row r="63" spans="1:5" x14ac:dyDescent="0.3">
      <c r="A63" t="s">
        <v>142</v>
      </c>
      <c r="B63" t="s">
        <v>31</v>
      </c>
      <c r="C63">
        <v>310</v>
      </c>
      <c r="D63">
        <v>6000</v>
      </c>
      <c r="E63">
        <f t="shared" si="0"/>
        <v>1860000</v>
      </c>
    </row>
    <row r="64" spans="1:5" x14ac:dyDescent="0.3">
      <c r="A64" t="s">
        <v>35</v>
      </c>
      <c r="B64" t="s">
        <v>4</v>
      </c>
      <c r="C64">
        <v>80</v>
      </c>
      <c r="D64">
        <v>13000</v>
      </c>
      <c r="E64">
        <f t="shared" si="0"/>
        <v>1040000</v>
      </c>
    </row>
    <row r="65" spans="1:5" x14ac:dyDescent="0.3">
      <c r="A65" t="s">
        <v>123</v>
      </c>
      <c r="B65" t="s">
        <v>31</v>
      </c>
      <c r="C65">
        <v>30</v>
      </c>
      <c r="D65">
        <v>6000</v>
      </c>
      <c r="E65">
        <f t="shared" si="0"/>
        <v>180000</v>
      </c>
    </row>
    <row r="66" spans="1:5" hidden="1" x14ac:dyDescent="0.3">
      <c r="A66" t="s">
        <v>37</v>
      </c>
      <c r="B66" t="s">
        <v>4</v>
      </c>
      <c r="C66">
        <v>0</v>
      </c>
      <c r="E66">
        <f t="shared" si="0"/>
        <v>0</v>
      </c>
    </row>
    <row r="67" spans="1:5" hidden="1" x14ac:dyDescent="0.3">
      <c r="A67" t="s">
        <v>37</v>
      </c>
      <c r="B67" t="s">
        <v>151</v>
      </c>
      <c r="C67">
        <v>0</v>
      </c>
      <c r="E67">
        <f t="shared" si="0"/>
        <v>0</v>
      </c>
    </row>
    <row r="68" spans="1:5" x14ac:dyDescent="0.3">
      <c r="A68" t="s">
        <v>96</v>
      </c>
      <c r="B68" t="s">
        <v>4</v>
      </c>
      <c r="C68">
        <v>3</v>
      </c>
      <c r="D68">
        <v>80000</v>
      </c>
      <c r="E68">
        <f t="shared" ref="E68:E133" si="1">C68*D68</f>
        <v>240000</v>
      </c>
    </row>
    <row r="69" spans="1:5" x14ac:dyDescent="0.3">
      <c r="A69" t="s">
        <v>97</v>
      </c>
      <c r="B69" t="s">
        <v>4</v>
      </c>
      <c r="C69">
        <v>2</v>
      </c>
      <c r="D69">
        <v>70000</v>
      </c>
      <c r="E69">
        <f t="shared" si="1"/>
        <v>140000</v>
      </c>
    </row>
    <row r="70" spans="1:5" x14ac:dyDescent="0.3">
      <c r="A70" t="s">
        <v>105</v>
      </c>
      <c r="B70" t="s">
        <v>4</v>
      </c>
      <c r="C70">
        <v>2</v>
      </c>
      <c r="D70">
        <v>70000</v>
      </c>
      <c r="E70">
        <f t="shared" si="1"/>
        <v>140000</v>
      </c>
    </row>
    <row r="71" spans="1:5" hidden="1" x14ac:dyDescent="0.3">
      <c r="A71" t="s">
        <v>39</v>
      </c>
      <c r="B71" t="s">
        <v>4</v>
      </c>
      <c r="C71">
        <v>0</v>
      </c>
      <c r="E71">
        <f t="shared" si="1"/>
        <v>0</v>
      </c>
    </row>
    <row r="72" spans="1:5" x14ac:dyDescent="0.3">
      <c r="A72" t="s">
        <v>39</v>
      </c>
      <c r="B72" t="s">
        <v>50</v>
      </c>
      <c r="C72">
        <v>94</v>
      </c>
      <c r="D72">
        <v>5000</v>
      </c>
      <c r="E72">
        <f t="shared" si="1"/>
        <v>470000</v>
      </c>
    </row>
    <row r="73" spans="1:5" x14ac:dyDescent="0.3">
      <c r="A73" t="s">
        <v>99</v>
      </c>
      <c r="B73" t="s">
        <v>4</v>
      </c>
      <c r="C73">
        <v>2</v>
      </c>
      <c r="D73">
        <v>10000</v>
      </c>
      <c r="E73">
        <f t="shared" si="1"/>
        <v>20000</v>
      </c>
    </row>
    <row r="74" spans="1:5" x14ac:dyDescent="0.3">
      <c r="A74" t="s">
        <v>100</v>
      </c>
      <c r="B74" t="s">
        <v>4</v>
      </c>
      <c r="C74">
        <v>45</v>
      </c>
      <c r="D74">
        <v>4000</v>
      </c>
      <c r="E74">
        <f t="shared" si="1"/>
        <v>180000</v>
      </c>
    </row>
    <row r="75" spans="1:5" hidden="1" x14ac:dyDescent="0.3">
      <c r="A75" t="s">
        <v>40</v>
      </c>
      <c r="B75" t="s">
        <v>66</v>
      </c>
      <c r="C75">
        <v>0</v>
      </c>
      <c r="E75">
        <f t="shared" si="1"/>
        <v>0</v>
      </c>
    </row>
    <row r="76" spans="1:5" x14ac:dyDescent="0.3">
      <c r="A76" t="s">
        <v>40</v>
      </c>
      <c r="B76" t="s">
        <v>4</v>
      </c>
      <c r="C76">
        <v>58</v>
      </c>
      <c r="D76">
        <v>29000</v>
      </c>
      <c r="E76">
        <f t="shared" si="1"/>
        <v>1682000</v>
      </c>
    </row>
    <row r="77" spans="1:5" x14ac:dyDescent="0.3">
      <c r="A77" t="s">
        <v>41</v>
      </c>
      <c r="B77" t="s">
        <v>4</v>
      </c>
      <c r="C77">
        <v>3000</v>
      </c>
      <c r="D77">
        <v>27600</v>
      </c>
      <c r="E77">
        <f t="shared" si="1"/>
        <v>82800000</v>
      </c>
    </row>
    <row r="78" spans="1:5" hidden="1" x14ac:dyDescent="0.3">
      <c r="A78" t="s">
        <v>124</v>
      </c>
      <c r="B78" t="s">
        <v>4</v>
      </c>
      <c r="C78">
        <v>0</v>
      </c>
      <c r="E78">
        <f t="shared" si="1"/>
        <v>0</v>
      </c>
    </row>
    <row r="79" spans="1:5" hidden="1" x14ac:dyDescent="0.3">
      <c r="A79" t="s">
        <v>42</v>
      </c>
      <c r="B79" t="s">
        <v>31</v>
      </c>
      <c r="C79">
        <v>0</v>
      </c>
      <c r="E79">
        <f t="shared" si="1"/>
        <v>0</v>
      </c>
    </row>
    <row r="80" spans="1:5" x14ac:dyDescent="0.3">
      <c r="A80" t="s">
        <v>67</v>
      </c>
      <c r="B80" t="s">
        <v>4</v>
      </c>
      <c r="C80">
        <v>13</v>
      </c>
      <c r="D80">
        <v>14000</v>
      </c>
      <c r="E80">
        <f t="shared" si="1"/>
        <v>182000</v>
      </c>
    </row>
    <row r="81" spans="1:5" x14ac:dyDescent="0.3">
      <c r="A81" t="s">
        <v>116</v>
      </c>
      <c r="B81" t="s">
        <v>50</v>
      </c>
      <c r="C81">
        <v>10</v>
      </c>
      <c r="D81">
        <v>10000</v>
      </c>
      <c r="E81">
        <f t="shared" si="1"/>
        <v>100000</v>
      </c>
    </row>
    <row r="82" spans="1:5" hidden="1" x14ac:dyDescent="0.3">
      <c r="A82" t="s">
        <v>101</v>
      </c>
      <c r="B82" t="s">
        <v>53</v>
      </c>
      <c r="C82">
        <v>0</v>
      </c>
      <c r="E82">
        <f t="shared" si="1"/>
        <v>0</v>
      </c>
    </row>
    <row r="83" spans="1:5" x14ac:dyDescent="0.3">
      <c r="A83" t="s">
        <v>43</v>
      </c>
      <c r="B83" t="s">
        <v>4</v>
      </c>
      <c r="C83">
        <v>115</v>
      </c>
      <c r="D83">
        <v>30000</v>
      </c>
      <c r="E83">
        <f t="shared" si="1"/>
        <v>3450000</v>
      </c>
    </row>
    <row r="84" spans="1:5" hidden="1" x14ac:dyDescent="0.3">
      <c r="A84" t="s">
        <v>43</v>
      </c>
      <c r="B84" t="s">
        <v>84</v>
      </c>
      <c r="C84">
        <v>0</v>
      </c>
      <c r="E84">
        <f t="shared" si="1"/>
        <v>0</v>
      </c>
    </row>
    <row r="85" spans="1:5" hidden="1" x14ac:dyDescent="0.3">
      <c r="A85" t="s">
        <v>43</v>
      </c>
      <c r="B85" t="s">
        <v>193</v>
      </c>
      <c r="C85">
        <v>0</v>
      </c>
      <c r="E85">
        <f t="shared" si="1"/>
        <v>0</v>
      </c>
    </row>
    <row r="86" spans="1:5" x14ac:dyDescent="0.3">
      <c r="A86" t="s">
        <v>44</v>
      </c>
      <c r="B86" t="s">
        <v>4</v>
      </c>
      <c r="C86">
        <v>72</v>
      </c>
      <c r="D86">
        <v>13000</v>
      </c>
      <c r="E86">
        <f t="shared" si="1"/>
        <v>936000</v>
      </c>
    </row>
    <row r="87" spans="1:5" hidden="1" x14ac:dyDescent="0.3">
      <c r="A87" t="s">
        <v>44</v>
      </c>
      <c r="B87" t="s">
        <v>84</v>
      </c>
      <c r="C87">
        <v>0</v>
      </c>
      <c r="E87">
        <f t="shared" si="1"/>
        <v>0</v>
      </c>
    </row>
    <row r="88" spans="1:5" hidden="1" x14ac:dyDescent="0.3">
      <c r="A88" t="s">
        <v>44</v>
      </c>
      <c r="B88" t="s">
        <v>193</v>
      </c>
      <c r="C88">
        <v>0</v>
      </c>
      <c r="E88">
        <f t="shared" si="1"/>
        <v>0</v>
      </c>
    </row>
    <row r="89" spans="1:5" x14ac:dyDescent="0.3">
      <c r="A89" t="s">
        <v>143</v>
      </c>
      <c r="B89" t="s">
        <v>4</v>
      </c>
      <c r="C89">
        <v>15</v>
      </c>
      <c r="D89">
        <v>8000</v>
      </c>
      <c r="E89">
        <f t="shared" si="1"/>
        <v>120000</v>
      </c>
    </row>
    <row r="90" spans="1:5" x14ac:dyDescent="0.3">
      <c r="A90" t="s">
        <v>45</v>
      </c>
      <c r="B90" t="s">
        <v>4</v>
      </c>
      <c r="C90">
        <v>66</v>
      </c>
      <c r="D90">
        <v>28000</v>
      </c>
      <c r="E90">
        <f t="shared" si="1"/>
        <v>1848000</v>
      </c>
    </row>
    <row r="91" spans="1:5" hidden="1" x14ac:dyDescent="0.3">
      <c r="A91" t="s">
        <v>45</v>
      </c>
      <c r="B91" t="s">
        <v>84</v>
      </c>
      <c r="C91">
        <v>0</v>
      </c>
      <c r="E91">
        <f t="shared" si="1"/>
        <v>0</v>
      </c>
    </row>
    <row r="92" spans="1:5" hidden="1" x14ac:dyDescent="0.3">
      <c r="A92" t="s">
        <v>45</v>
      </c>
      <c r="B92" t="s">
        <v>193</v>
      </c>
      <c r="C92">
        <v>0</v>
      </c>
      <c r="E92">
        <f t="shared" si="1"/>
        <v>0</v>
      </c>
    </row>
    <row r="93" spans="1:5" x14ac:dyDescent="0.3">
      <c r="A93" t="s">
        <v>161</v>
      </c>
      <c r="B93" t="s">
        <v>4</v>
      </c>
      <c r="C93">
        <v>12</v>
      </c>
      <c r="D93">
        <v>20000</v>
      </c>
      <c r="E93">
        <f t="shared" si="1"/>
        <v>240000</v>
      </c>
    </row>
    <row r="94" spans="1:5" x14ac:dyDescent="0.3">
      <c r="A94" t="s">
        <v>46</v>
      </c>
      <c r="B94" t="s">
        <v>31</v>
      </c>
      <c r="C94">
        <v>107</v>
      </c>
      <c r="D94">
        <v>20000</v>
      </c>
      <c r="E94">
        <f t="shared" si="1"/>
        <v>2140000</v>
      </c>
    </row>
    <row r="95" spans="1:5" hidden="1" x14ac:dyDescent="0.3">
      <c r="A95" t="s">
        <v>133</v>
      </c>
      <c r="B95" t="s">
        <v>31</v>
      </c>
      <c r="C95">
        <v>0</v>
      </c>
      <c r="E95">
        <f t="shared" si="1"/>
        <v>0</v>
      </c>
    </row>
    <row r="96" spans="1:5" hidden="1" x14ac:dyDescent="0.3">
      <c r="A96" t="s">
        <v>219</v>
      </c>
      <c r="B96" t="s">
        <v>4</v>
      </c>
      <c r="C96">
        <v>0</v>
      </c>
      <c r="E96">
        <f t="shared" si="1"/>
        <v>0</v>
      </c>
    </row>
    <row r="97" spans="1:5" hidden="1" x14ac:dyDescent="0.3">
      <c r="A97" t="s">
        <v>107</v>
      </c>
      <c r="B97" t="s">
        <v>4</v>
      </c>
      <c r="C97">
        <v>0</v>
      </c>
      <c r="E97">
        <f t="shared" si="1"/>
        <v>0</v>
      </c>
    </row>
    <row r="98" spans="1:5" hidden="1" x14ac:dyDescent="0.3">
      <c r="A98" t="s">
        <v>109</v>
      </c>
      <c r="B98" t="s">
        <v>53</v>
      </c>
      <c r="C98">
        <v>0</v>
      </c>
      <c r="E98">
        <f t="shared" si="1"/>
        <v>0</v>
      </c>
    </row>
    <row r="99" spans="1:5" x14ac:dyDescent="0.3">
      <c r="A99" t="s">
        <v>47</v>
      </c>
      <c r="B99" t="s">
        <v>4</v>
      </c>
      <c r="C99">
        <v>70</v>
      </c>
      <c r="D99">
        <v>6000</v>
      </c>
      <c r="E99">
        <f t="shared" si="1"/>
        <v>420000</v>
      </c>
    </row>
    <row r="100" spans="1:5" hidden="1" x14ac:dyDescent="0.3">
      <c r="A100" t="s">
        <v>74</v>
      </c>
      <c r="B100" t="s">
        <v>4</v>
      </c>
      <c r="C100">
        <v>0</v>
      </c>
      <c r="E100">
        <f t="shared" si="1"/>
        <v>0</v>
      </c>
    </row>
    <row r="101" spans="1:5" x14ac:dyDescent="0.3">
      <c r="A101" t="s">
        <v>75</v>
      </c>
      <c r="B101" t="s">
        <v>4</v>
      </c>
      <c r="C101">
        <v>3</v>
      </c>
      <c r="D101">
        <v>28000</v>
      </c>
      <c r="E101">
        <f t="shared" si="1"/>
        <v>84000</v>
      </c>
    </row>
    <row r="102" spans="1:5" hidden="1" x14ac:dyDescent="0.3">
      <c r="A102" t="s">
        <v>76</v>
      </c>
      <c r="B102" t="s">
        <v>66</v>
      </c>
      <c r="C102">
        <v>0</v>
      </c>
      <c r="E102">
        <f t="shared" si="1"/>
        <v>0</v>
      </c>
    </row>
    <row r="103" spans="1:5" x14ac:dyDescent="0.3">
      <c r="A103" t="s">
        <v>48</v>
      </c>
      <c r="B103" t="s">
        <v>4</v>
      </c>
      <c r="C103">
        <v>12</v>
      </c>
      <c r="D103">
        <v>28000</v>
      </c>
      <c r="E103">
        <f t="shared" si="1"/>
        <v>336000</v>
      </c>
    </row>
    <row r="104" spans="1:5" x14ac:dyDescent="0.3">
      <c r="A104" t="s">
        <v>77</v>
      </c>
      <c r="B104" t="s">
        <v>66</v>
      </c>
      <c r="C104">
        <v>8</v>
      </c>
      <c r="D104">
        <v>6800</v>
      </c>
      <c r="E104">
        <f t="shared" si="1"/>
        <v>54400</v>
      </c>
    </row>
    <row r="105" spans="1:5" hidden="1" x14ac:dyDescent="0.3">
      <c r="A105" t="s">
        <v>152</v>
      </c>
      <c r="B105" t="s">
        <v>4</v>
      </c>
      <c r="C105">
        <v>0</v>
      </c>
      <c r="E105">
        <f t="shared" si="1"/>
        <v>0</v>
      </c>
    </row>
    <row r="106" spans="1:5" x14ac:dyDescent="0.3">
      <c r="A106" t="s">
        <v>81</v>
      </c>
      <c r="B106" t="s">
        <v>4</v>
      </c>
      <c r="C106">
        <v>78</v>
      </c>
      <c r="D106">
        <v>8000</v>
      </c>
      <c r="E106">
        <f t="shared" si="1"/>
        <v>624000</v>
      </c>
    </row>
    <row r="107" spans="1:5" hidden="1" x14ac:dyDescent="0.3">
      <c r="A107" t="s">
        <v>82</v>
      </c>
      <c r="B107" t="s">
        <v>66</v>
      </c>
      <c r="C107">
        <v>0</v>
      </c>
      <c r="E107">
        <f t="shared" si="1"/>
        <v>0</v>
      </c>
    </row>
    <row r="108" spans="1:5" x14ac:dyDescent="0.3">
      <c r="E108">
        <f>SUM(E3:E106)</f>
        <v>148968400</v>
      </c>
    </row>
    <row r="109" spans="1:5" hidden="1" x14ac:dyDescent="0.3">
      <c r="A109" t="s">
        <v>139</v>
      </c>
    </row>
    <row r="110" spans="1:5" x14ac:dyDescent="0.3">
      <c r="A110" t="s">
        <v>0</v>
      </c>
      <c r="B110" t="s">
        <v>1</v>
      </c>
      <c r="C110" t="s">
        <v>227</v>
      </c>
      <c r="D110" t="s">
        <v>137</v>
      </c>
      <c r="E110" t="s">
        <v>138</v>
      </c>
    </row>
    <row r="111" spans="1:5" x14ac:dyDescent="0.3">
      <c r="A111" t="s">
        <v>3</v>
      </c>
      <c r="B111" t="s">
        <v>4</v>
      </c>
      <c r="C111">
        <v>20</v>
      </c>
      <c r="D111">
        <v>30000</v>
      </c>
      <c r="E111">
        <f t="shared" si="1"/>
        <v>600000</v>
      </c>
    </row>
    <row r="112" spans="1:5" hidden="1" x14ac:dyDescent="0.3">
      <c r="A112" t="s">
        <v>5</v>
      </c>
      <c r="B112" t="s">
        <v>4</v>
      </c>
      <c r="D112">
        <v>50</v>
      </c>
      <c r="E112">
        <f t="shared" si="1"/>
        <v>0</v>
      </c>
    </row>
    <row r="113" spans="1:5" x14ac:dyDescent="0.3">
      <c r="A113" t="s">
        <v>6</v>
      </c>
      <c r="B113" t="s">
        <v>4</v>
      </c>
      <c r="C113">
        <v>270</v>
      </c>
      <c r="D113">
        <v>11000</v>
      </c>
      <c r="E113">
        <f t="shared" si="1"/>
        <v>2970000</v>
      </c>
    </row>
    <row r="114" spans="1:5" x14ac:dyDescent="0.3">
      <c r="A114" t="s">
        <v>7</v>
      </c>
      <c r="B114" t="s">
        <v>4</v>
      </c>
      <c r="C114">
        <v>55</v>
      </c>
      <c r="D114">
        <v>7500</v>
      </c>
      <c r="E114">
        <f t="shared" si="1"/>
        <v>412500</v>
      </c>
    </row>
    <row r="115" spans="1:5" x14ac:dyDescent="0.3">
      <c r="A115" t="s">
        <v>8</v>
      </c>
      <c r="B115" t="s">
        <v>4</v>
      </c>
      <c r="C115">
        <v>1400</v>
      </c>
      <c r="D115">
        <v>4300</v>
      </c>
      <c r="E115">
        <f t="shared" si="1"/>
        <v>6020000</v>
      </c>
    </row>
    <row r="116" spans="1:5" hidden="1" x14ac:dyDescent="0.3">
      <c r="A116" t="s">
        <v>9</v>
      </c>
      <c r="B116" t="s">
        <v>4</v>
      </c>
      <c r="D116">
        <v>0</v>
      </c>
      <c r="E116">
        <f t="shared" si="1"/>
        <v>0</v>
      </c>
    </row>
    <row r="117" spans="1:5" x14ac:dyDescent="0.3">
      <c r="A117" t="s">
        <v>10</v>
      </c>
      <c r="B117" t="s">
        <v>4</v>
      </c>
      <c r="C117">
        <v>100</v>
      </c>
      <c r="D117">
        <v>8000</v>
      </c>
      <c r="E117">
        <f t="shared" si="1"/>
        <v>800000</v>
      </c>
    </row>
    <row r="118" spans="1:5" hidden="1" x14ac:dyDescent="0.3">
      <c r="A118" t="s">
        <v>12</v>
      </c>
      <c r="B118" t="s">
        <v>4</v>
      </c>
      <c r="D118">
        <v>0</v>
      </c>
      <c r="E118">
        <f t="shared" si="1"/>
        <v>0</v>
      </c>
    </row>
    <row r="119" spans="1:5" hidden="1" x14ac:dyDescent="0.3">
      <c r="A119" t="s">
        <v>13</v>
      </c>
      <c r="B119" t="s">
        <v>4</v>
      </c>
      <c r="D119">
        <v>0</v>
      </c>
      <c r="E119">
        <f t="shared" si="1"/>
        <v>0</v>
      </c>
    </row>
    <row r="120" spans="1:5" hidden="1" x14ac:dyDescent="0.3">
      <c r="A120" t="s">
        <v>14</v>
      </c>
      <c r="B120" t="s">
        <v>4</v>
      </c>
      <c r="D120">
        <v>0</v>
      </c>
      <c r="E120">
        <f t="shared" si="1"/>
        <v>0</v>
      </c>
    </row>
    <row r="121" spans="1:5" x14ac:dyDescent="0.3">
      <c r="A121" t="s">
        <v>15</v>
      </c>
      <c r="B121" t="s">
        <v>4</v>
      </c>
      <c r="C121">
        <v>100</v>
      </c>
      <c r="D121">
        <v>19000</v>
      </c>
      <c r="E121">
        <f t="shared" si="1"/>
        <v>1900000</v>
      </c>
    </row>
    <row r="122" spans="1:5" x14ac:dyDescent="0.3">
      <c r="A122" t="s">
        <v>18</v>
      </c>
      <c r="B122" t="s">
        <v>4</v>
      </c>
      <c r="C122">
        <v>160</v>
      </c>
      <c r="D122">
        <v>21000</v>
      </c>
      <c r="E122">
        <f t="shared" si="1"/>
        <v>3360000</v>
      </c>
    </row>
    <row r="123" spans="1:5" hidden="1" x14ac:dyDescent="0.3">
      <c r="A123" t="s">
        <v>49</v>
      </c>
      <c r="B123" t="s">
        <v>4</v>
      </c>
      <c r="D123">
        <v>100</v>
      </c>
      <c r="E123">
        <f t="shared" si="1"/>
        <v>0</v>
      </c>
    </row>
    <row r="124" spans="1:5" x14ac:dyDescent="0.3">
      <c r="A124" t="s">
        <v>21</v>
      </c>
      <c r="B124" t="s">
        <v>4</v>
      </c>
      <c r="C124">
        <v>77</v>
      </c>
      <c r="D124">
        <v>5000</v>
      </c>
      <c r="E124">
        <f t="shared" si="1"/>
        <v>385000</v>
      </c>
    </row>
    <row r="125" spans="1:5" x14ac:dyDescent="0.3">
      <c r="A125" t="s">
        <v>22</v>
      </c>
      <c r="B125" t="s">
        <v>4</v>
      </c>
      <c r="C125">
        <v>200</v>
      </c>
      <c r="D125">
        <v>7000</v>
      </c>
      <c r="E125">
        <f t="shared" si="1"/>
        <v>1400000</v>
      </c>
    </row>
    <row r="126" spans="1:5" x14ac:dyDescent="0.3">
      <c r="A126" t="s">
        <v>23</v>
      </c>
      <c r="B126" t="s">
        <v>4</v>
      </c>
      <c r="C126">
        <v>15</v>
      </c>
      <c r="D126">
        <v>16000</v>
      </c>
      <c r="E126">
        <f t="shared" si="1"/>
        <v>240000</v>
      </c>
    </row>
    <row r="127" spans="1:5" x14ac:dyDescent="0.3">
      <c r="A127" t="s">
        <v>145</v>
      </c>
      <c r="B127" t="s">
        <v>4</v>
      </c>
      <c r="C127">
        <v>270</v>
      </c>
      <c r="D127">
        <v>5000</v>
      </c>
      <c r="E127">
        <f t="shared" si="1"/>
        <v>1350000</v>
      </c>
    </row>
    <row r="128" spans="1:5" hidden="1" x14ac:dyDescent="0.3">
      <c r="A128" t="s">
        <v>24</v>
      </c>
      <c r="B128" t="s">
        <v>4</v>
      </c>
      <c r="D128">
        <v>50</v>
      </c>
      <c r="E128">
        <f t="shared" si="1"/>
        <v>0</v>
      </c>
    </row>
    <row r="129" spans="1:5" x14ac:dyDescent="0.3">
      <c r="A129" t="s">
        <v>25</v>
      </c>
      <c r="B129" t="s">
        <v>4</v>
      </c>
      <c r="C129">
        <v>24</v>
      </c>
      <c r="D129">
        <v>28000</v>
      </c>
      <c r="E129">
        <f t="shared" si="1"/>
        <v>672000</v>
      </c>
    </row>
    <row r="130" spans="1:5" hidden="1" x14ac:dyDescent="0.3">
      <c r="A130" t="s">
        <v>26</v>
      </c>
      <c r="B130" t="s">
        <v>4</v>
      </c>
      <c r="D130">
        <v>0</v>
      </c>
      <c r="E130">
        <f t="shared" si="1"/>
        <v>0</v>
      </c>
    </row>
    <row r="131" spans="1:5" hidden="1" x14ac:dyDescent="0.3">
      <c r="A131" t="s">
        <v>144</v>
      </c>
      <c r="B131" t="s">
        <v>50</v>
      </c>
      <c r="D131">
        <v>0</v>
      </c>
      <c r="E131">
        <f t="shared" si="1"/>
        <v>0</v>
      </c>
    </row>
    <row r="132" spans="1:5" x14ac:dyDescent="0.3">
      <c r="A132" t="s">
        <v>27</v>
      </c>
      <c r="B132" t="s">
        <v>4</v>
      </c>
      <c r="C132">
        <v>130</v>
      </c>
      <c r="D132">
        <v>5500</v>
      </c>
      <c r="E132">
        <f t="shared" si="1"/>
        <v>715000</v>
      </c>
    </row>
    <row r="133" spans="1:5" x14ac:dyDescent="0.3">
      <c r="A133" t="s">
        <v>28</v>
      </c>
      <c r="B133" t="s">
        <v>4</v>
      </c>
      <c r="C133">
        <v>40</v>
      </c>
      <c r="D133">
        <v>18000</v>
      </c>
      <c r="E133">
        <f t="shared" si="1"/>
        <v>720000</v>
      </c>
    </row>
    <row r="134" spans="1:5" hidden="1" x14ac:dyDescent="0.3">
      <c r="A134" t="s">
        <v>29</v>
      </c>
      <c r="B134" t="s">
        <v>4</v>
      </c>
      <c r="D134">
        <v>60</v>
      </c>
      <c r="E134">
        <f t="shared" ref="E134:E154" si="2">C134*D134</f>
        <v>0</v>
      </c>
    </row>
    <row r="135" spans="1:5" hidden="1" x14ac:dyDescent="0.3">
      <c r="A135" t="s">
        <v>57</v>
      </c>
      <c r="B135" t="s">
        <v>31</v>
      </c>
      <c r="D135">
        <v>0</v>
      </c>
      <c r="E135">
        <f t="shared" si="2"/>
        <v>0</v>
      </c>
    </row>
    <row r="136" spans="1:5" hidden="1" x14ac:dyDescent="0.3">
      <c r="A136" t="s">
        <v>32</v>
      </c>
      <c r="B136" t="s">
        <v>4</v>
      </c>
      <c r="D136">
        <v>100</v>
      </c>
      <c r="E136">
        <f t="shared" si="2"/>
        <v>0</v>
      </c>
    </row>
    <row r="137" spans="1:5" hidden="1" x14ac:dyDescent="0.3">
      <c r="A137" t="s">
        <v>33</v>
      </c>
      <c r="B137" t="s">
        <v>31</v>
      </c>
      <c r="D137">
        <v>0</v>
      </c>
      <c r="E137">
        <f t="shared" si="2"/>
        <v>0</v>
      </c>
    </row>
    <row r="138" spans="1:5" hidden="1" x14ac:dyDescent="0.3">
      <c r="A138" t="s">
        <v>156</v>
      </c>
      <c r="B138" t="s">
        <v>4</v>
      </c>
      <c r="D138">
        <v>0</v>
      </c>
      <c r="E138">
        <f t="shared" si="2"/>
        <v>0</v>
      </c>
    </row>
    <row r="139" spans="1:5" hidden="1" x14ac:dyDescent="0.3">
      <c r="A139" t="s">
        <v>34</v>
      </c>
      <c r="B139" t="s">
        <v>4</v>
      </c>
      <c r="D139">
        <v>160</v>
      </c>
      <c r="E139">
        <f t="shared" si="2"/>
        <v>0</v>
      </c>
    </row>
    <row r="140" spans="1:5" hidden="1" x14ac:dyDescent="0.3">
      <c r="A140" t="s">
        <v>35</v>
      </c>
      <c r="B140" t="s">
        <v>4</v>
      </c>
      <c r="D140">
        <v>20</v>
      </c>
      <c r="E140">
        <f t="shared" si="2"/>
        <v>0</v>
      </c>
    </row>
    <row r="141" spans="1:5" hidden="1" x14ac:dyDescent="0.3">
      <c r="A141" t="s">
        <v>123</v>
      </c>
      <c r="B141" t="s">
        <v>31</v>
      </c>
      <c r="D141">
        <v>20</v>
      </c>
      <c r="E141">
        <f t="shared" si="2"/>
        <v>0</v>
      </c>
    </row>
    <row r="142" spans="1:5" x14ac:dyDescent="0.3">
      <c r="A142" t="s">
        <v>37</v>
      </c>
      <c r="B142" t="s">
        <v>31</v>
      </c>
      <c r="C142">
        <v>155</v>
      </c>
      <c r="D142">
        <v>9000</v>
      </c>
      <c r="E142">
        <f t="shared" si="2"/>
        <v>1395000</v>
      </c>
    </row>
    <row r="143" spans="1:5" hidden="1" x14ac:dyDescent="0.3">
      <c r="A143" t="s">
        <v>39</v>
      </c>
      <c r="B143" t="s">
        <v>50</v>
      </c>
      <c r="D143">
        <v>0</v>
      </c>
      <c r="E143">
        <f t="shared" si="2"/>
        <v>0</v>
      </c>
    </row>
    <row r="144" spans="1:5" hidden="1" x14ac:dyDescent="0.3">
      <c r="A144" t="s">
        <v>40</v>
      </c>
      <c r="B144" t="s">
        <v>4</v>
      </c>
      <c r="D144">
        <v>0</v>
      </c>
      <c r="E144">
        <f t="shared" si="2"/>
        <v>0</v>
      </c>
    </row>
    <row r="145" spans="1:5" x14ac:dyDescent="0.3">
      <c r="A145" t="s">
        <v>41</v>
      </c>
      <c r="B145" t="s">
        <v>4</v>
      </c>
      <c r="C145">
        <v>110</v>
      </c>
      <c r="D145">
        <v>27600</v>
      </c>
      <c r="E145">
        <f t="shared" si="2"/>
        <v>3036000</v>
      </c>
    </row>
    <row r="146" spans="1:5" hidden="1" x14ac:dyDescent="0.3">
      <c r="A146" t="s">
        <v>124</v>
      </c>
      <c r="B146" t="s">
        <v>4</v>
      </c>
      <c r="D146">
        <v>0</v>
      </c>
      <c r="E146">
        <f t="shared" si="2"/>
        <v>0</v>
      </c>
    </row>
    <row r="147" spans="1:5" x14ac:dyDescent="0.3">
      <c r="A147" t="s">
        <v>43</v>
      </c>
      <c r="B147" t="s">
        <v>4</v>
      </c>
      <c r="C147">
        <v>20</v>
      </c>
      <c r="D147">
        <v>32000</v>
      </c>
      <c r="E147">
        <f t="shared" si="2"/>
        <v>640000</v>
      </c>
    </row>
    <row r="148" spans="1:5" x14ac:dyDescent="0.3">
      <c r="A148" t="s">
        <v>44</v>
      </c>
      <c r="B148" t="s">
        <v>4</v>
      </c>
      <c r="C148">
        <v>20</v>
      </c>
      <c r="D148">
        <v>15000</v>
      </c>
      <c r="E148">
        <f t="shared" si="2"/>
        <v>300000</v>
      </c>
    </row>
    <row r="149" spans="1:5" x14ac:dyDescent="0.3">
      <c r="A149" t="s">
        <v>45</v>
      </c>
      <c r="B149" t="s">
        <v>4</v>
      </c>
      <c r="C149">
        <v>20</v>
      </c>
      <c r="D149">
        <v>25000</v>
      </c>
      <c r="E149">
        <f t="shared" si="2"/>
        <v>500000</v>
      </c>
    </row>
    <row r="150" spans="1:5" hidden="1" x14ac:dyDescent="0.3">
      <c r="A150" t="s">
        <v>47</v>
      </c>
      <c r="B150" t="s">
        <v>4</v>
      </c>
      <c r="D150">
        <v>60</v>
      </c>
      <c r="E150">
        <f t="shared" si="2"/>
        <v>0</v>
      </c>
    </row>
    <row r="151" spans="1:5" hidden="1" x14ac:dyDescent="0.3">
      <c r="A151" t="s">
        <v>75</v>
      </c>
      <c r="B151" t="s">
        <v>66</v>
      </c>
      <c r="D151">
        <v>0</v>
      </c>
      <c r="E151">
        <f t="shared" si="2"/>
        <v>0</v>
      </c>
    </row>
    <row r="152" spans="1:5" hidden="1" x14ac:dyDescent="0.3">
      <c r="A152" t="s">
        <v>76</v>
      </c>
      <c r="B152" t="s">
        <v>66</v>
      </c>
      <c r="D152">
        <v>0</v>
      </c>
      <c r="E152">
        <f t="shared" si="2"/>
        <v>0</v>
      </c>
    </row>
    <row r="153" spans="1:5" hidden="1" x14ac:dyDescent="0.3">
      <c r="A153" t="s">
        <v>77</v>
      </c>
      <c r="B153" t="s">
        <v>66</v>
      </c>
      <c r="D153">
        <v>0</v>
      </c>
      <c r="E153">
        <f t="shared" si="2"/>
        <v>0</v>
      </c>
    </row>
    <row r="154" spans="1:5" hidden="1" x14ac:dyDescent="0.3">
      <c r="A154" t="s">
        <v>82</v>
      </c>
      <c r="B154" t="s">
        <v>66</v>
      </c>
      <c r="D154">
        <v>0</v>
      </c>
      <c r="E154">
        <f t="shared" si="2"/>
        <v>0</v>
      </c>
    </row>
    <row r="155" spans="1:5" x14ac:dyDescent="0.3">
      <c r="E155">
        <f>SUM(E111:E149)</f>
        <v>27415500</v>
      </c>
    </row>
    <row r="156" spans="1:5" x14ac:dyDescent="0.3">
      <c r="E156">
        <f>E108+E155</f>
        <v>176383900</v>
      </c>
    </row>
  </sheetData>
  <autoFilter ref="A2:F156" xr:uid="{00000000-0009-0000-0000-00001D000000}">
    <filterColumn colId="4">
      <filters>
        <filter val="100000"/>
        <filter val="1040000"/>
        <filter val="1110000"/>
        <filter val="116000"/>
        <filter val="1170000"/>
        <filter val="120000"/>
        <filter val="1275000"/>
        <filter val="133000"/>
        <filter val="1350000"/>
        <filter val="1395000"/>
        <filter val="140000"/>
        <filter val="1400000"/>
        <filter val="148968400"/>
        <filter val="160000"/>
        <filter val="1620000"/>
        <filter val="1682000"/>
        <filter val="176383900"/>
        <filter val="180000"/>
        <filter val="182000"/>
        <filter val="1848000"/>
        <filter val="1860000"/>
        <filter val="1900000"/>
        <filter val="196000"/>
        <filter val="20000"/>
        <filter val="2140000"/>
        <filter val="2250000"/>
        <filter val="2380000"/>
        <filter val="240000"/>
        <filter val="2408000"/>
        <filter val="248000"/>
        <filter val="27415500"/>
        <filter val="2970000"/>
        <filter val="300000"/>
        <filter val="3036000"/>
        <filter val="3212000"/>
        <filter val="336000"/>
        <filter val="3360000"/>
        <filter val="3420000"/>
        <filter val="3450000"/>
        <filter val="385000"/>
        <filter val="4116000"/>
        <filter val="412500"/>
        <filter val="420000"/>
        <filter val="4620000"/>
        <filter val="470000"/>
        <filter val="500000"/>
        <filter val="5040000"/>
        <filter val="540000"/>
        <filter val="54400"/>
        <filter val="546000"/>
        <filter val="600000"/>
        <filter val="6020000"/>
        <filter val="624000"/>
        <filter val="640000"/>
        <filter val="672000"/>
        <filter val="680000"/>
        <filter val="715000"/>
        <filter val="720000"/>
        <filter val="750000"/>
        <filter val="78000"/>
        <filter val="780000"/>
        <filter val="800000"/>
        <filter val="82800000"/>
        <filter val="84000"/>
        <filter val="900000"/>
        <filter val="9303000"/>
        <filter val="935000"/>
        <filter val="936000"/>
        <filter val="976000"/>
        <filter val="thành tiề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1.11</vt:lpstr>
      <vt:lpstr>2.11</vt:lpstr>
      <vt:lpstr>3.11</vt:lpstr>
      <vt:lpstr>4.11</vt:lpstr>
      <vt:lpstr>5.11</vt:lpstr>
      <vt:lpstr>6.11</vt:lpstr>
      <vt:lpstr>7.11</vt:lpstr>
      <vt:lpstr>8.11</vt:lpstr>
      <vt:lpstr>9.11</vt:lpstr>
      <vt:lpstr>10.11</vt:lpstr>
      <vt:lpstr>11.11</vt:lpstr>
      <vt:lpstr>12.11</vt:lpstr>
      <vt:lpstr>13.11</vt:lpstr>
      <vt:lpstr>14.11</vt:lpstr>
      <vt:lpstr>15.11</vt:lpstr>
      <vt:lpstr>16.11</vt:lpstr>
      <vt:lpstr>17.11</vt:lpstr>
      <vt:lpstr>18.11</vt:lpstr>
      <vt:lpstr>19.11</vt:lpstr>
      <vt:lpstr>20.11</vt:lpstr>
      <vt:lpstr>21.11</vt:lpstr>
      <vt:lpstr>22.11</vt:lpstr>
      <vt:lpstr>23.11</vt:lpstr>
      <vt:lpstr>24.11</vt:lpstr>
      <vt:lpstr>25.11</vt:lpstr>
      <vt:lpstr>26.11</vt:lpstr>
      <vt:lpstr>27.11</vt:lpstr>
      <vt:lpstr>28.11</vt:lpstr>
      <vt:lpstr>29.11</vt:lpstr>
      <vt:lpstr>30.11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Nguyren Nhat Linh</cp:lastModifiedBy>
  <dcterms:created xsi:type="dcterms:W3CDTF">2024-11-02T03:22:16Z</dcterms:created>
  <dcterms:modified xsi:type="dcterms:W3CDTF">2024-12-02T15:57:26Z</dcterms:modified>
</cp:coreProperties>
</file>