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75" windowWidth="20730" windowHeight="11580" firstSheet="16" activeTab="30"/>
  </bookViews>
  <sheets>
    <sheet name="1.7" sheetId="2" r:id="rId1"/>
    <sheet name="2.7" sheetId="3" r:id="rId2"/>
    <sheet name="3.7" sheetId="4" r:id="rId3"/>
    <sheet name="4.7" sheetId="5" r:id="rId4"/>
    <sheet name="5.7" sheetId="6" r:id="rId5"/>
    <sheet name="6.7" sheetId="7" r:id="rId6"/>
    <sheet name="7.7" sheetId="8" r:id="rId7"/>
    <sheet name="8.7" sheetId="9" r:id="rId8"/>
    <sheet name="9.7" sheetId="10" r:id="rId9"/>
    <sheet name="10.7" sheetId="11" r:id="rId10"/>
    <sheet name="11.07" sheetId="12" r:id="rId11"/>
    <sheet name="12.07" sheetId="13" r:id="rId12"/>
    <sheet name="13.07" sheetId="14" r:id="rId13"/>
    <sheet name="14.7" sheetId="15" r:id="rId14"/>
    <sheet name="15.7" sheetId="16" r:id="rId15"/>
    <sheet name="16.7" sheetId="17" r:id="rId16"/>
    <sheet name="17.7" sheetId="18" r:id="rId17"/>
    <sheet name="18.7" sheetId="19" r:id="rId18"/>
    <sheet name="19.7" sheetId="20" r:id="rId19"/>
    <sheet name="20.7" sheetId="21" r:id="rId20"/>
    <sheet name="21.7" sheetId="22" r:id="rId21"/>
    <sheet name="22.7" sheetId="23" r:id="rId22"/>
    <sheet name="23.7" sheetId="24" r:id="rId23"/>
    <sheet name="24.07" sheetId="25" r:id="rId24"/>
    <sheet name="25.7" sheetId="26" r:id="rId25"/>
    <sheet name="26.7" sheetId="27" r:id="rId26"/>
    <sheet name="27.7" sheetId="28" r:id="rId27"/>
    <sheet name="28.7" sheetId="29" r:id="rId28"/>
    <sheet name="29.7" sheetId="30" r:id="rId29"/>
    <sheet name="30.7" sheetId="31" r:id="rId30"/>
    <sheet name="31.7" sheetId="32" r:id="rId31"/>
  </sheets>
  <definedNames>
    <definedName name="_xlnm._FilterDatabase" localSheetId="0" hidden="1">'1.7'!$A$2:$U$251</definedName>
    <definedName name="_xlnm._FilterDatabase" localSheetId="9" hidden="1">'10.7'!$A$2:$G$214</definedName>
    <definedName name="_xlnm._FilterDatabase" localSheetId="10" hidden="1">'11.07'!$A$2:$D$241</definedName>
    <definedName name="_xlnm._FilterDatabase" localSheetId="11" hidden="1">'12.07'!$A$2:$D$239</definedName>
    <definedName name="_xlnm._FilterDatabase" localSheetId="12" hidden="1">'13.07'!$A$2:$D$255</definedName>
    <definedName name="_xlnm._FilterDatabase" localSheetId="13" hidden="1">'14.7'!$A$2:$D$231</definedName>
    <definedName name="_xlnm._FilterDatabase" localSheetId="14" hidden="1">'15.7'!$A$2:$G$214</definedName>
    <definedName name="_xlnm._FilterDatabase" localSheetId="15" hidden="1">'16.7'!$A$2:$G$214</definedName>
    <definedName name="_xlnm._FilterDatabase" localSheetId="16" hidden="1">'17.7'!$A$2:$G$214</definedName>
    <definedName name="_xlnm._FilterDatabase" localSheetId="17" hidden="1">'18.7'!$A$2:$G$214</definedName>
    <definedName name="_xlnm._FilterDatabase" localSheetId="18" hidden="1">'19.7'!$A$2:$D$214</definedName>
    <definedName name="_xlnm._FilterDatabase" localSheetId="1" hidden="1">'2.7'!$A$2:$D$251</definedName>
    <definedName name="_xlnm._FilterDatabase" localSheetId="19" hidden="1">'20.7'!$A$2:$D$214</definedName>
    <definedName name="_xlnm._FilterDatabase" localSheetId="20" hidden="1">'21.7'!$A$2:$G$214</definedName>
    <definedName name="_xlnm._FilterDatabase" localSheetId="21" hidden="1">'22.7'!$A$2:$D$214</definedName>
    <definedName name="_xlnm._FilterDatabase" localSheetId="22" hidden="1">'23.7'!$A$2:$K$214</definedName>
    <definedName name="_xlnm._FilterDatabase" localSheetId="23" hidden="1">'24.07'!$A$2:$D$244</definedName>
    <definedName name="_xlnm._FilterDatabase" localSheetId="24" hidden="1">'25.7'!$A$2:$D$248</definedName>
    <definedName name="_xlnm._FilterDatabase" localSheetId="25" hidden="1">'26.7'!$A$2:$D$214</definedName>
    <definedName name="_xlnm._FilterDatabase" localSheetId="26" hidden="1">'27.7'!$A$2:$G$214</definedName>
    <definedName name="_xlnm._FilterDatabase" localSheetId="27" hidden="1">'28.7'!$A$2:$D$262</definedName>
    <definedName name="_xlnm._FilterDatabase" localSheetId="28" hidden="1">'29.7'!$A$2:$D$214</definedName>
    <definedName name="_xlnm._FilterDatabase" localSheetId="2" hidden="1">'3.7'!$A$2:$D$245</definedName>
    <definedName name="_xlnm._FilterDatabase" localSheetId="29" hidden="1">'30.7'!$A$2:$G$214</definedName>
    <definedName name="_xlnm._FilterDatabase" localSheetId="30" hidden="1">'31.7'!$A$2:$D$246</definedName>
    <definedName name="_xlnm._FilterDatabase" localSheetId="3" hidden="1">'4.7'!$A$2:$D$214</definedName>
    <definedName name="_xlnm._FilterDatabase" localSheetId="4" hidden="1">'5.7'!$A$2:$M$250</definedName>
    <definedName name="_xlnm._FilterDatabase" localSheetId="5" hidden="1">'6.7'!$A$2:$D$250</definedName>
    <definedName name="_xlnm._FilterDatabase" localSheetId="6" hidden="1">'7.7'!$A$2:$G$214</definedName>
    <definedName name="_xlnm._FilterDatabase" localSheetId="7" hidden="1">'8.7'!$A$2:$D$214</definedName>
    <definedName name="_xlnm._FilterDatabase" localSheetId="8" hidden="1">'9.7'!$A$2:$G$214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6" i="32" l="1"/>
  <c r="D245" i="32"/>
  <c r="D244" i="32"/>
  <c r="D243" i="32"/>
  <c r="D242" i="32"/>
  <c r="D241" i="32"/>
  <c r="D240" i="32"/>
  <c r="D239" i="32"/>
  <c r="D238" i="32"/>
  <c r="D237" i="32"/>
  <c r="D236" i="32"/>
  <c r="D235" i="32"/>
  <c r="D234" i="32"/>
  <c r="D233" i="32"/>
  <c r="D232" i="32"/>
  <c r="D231" i="32"/>
  <c r="D230" i="32"/>
  <c r="D229" i="32"/>
  <c r="D228" i="32"/>
  <c r="D227" i="32"/>
  <c r="D226" i="32"/>
  <c r="D225" i="32"/>
  <c r="D224" i="32"/>
  <c r="D223" i="32"/>
  <c r="D222" i="32"/>
  <c r="B222" i="32"/>
  <c r="D221" i="32"/>
  <c r="D220" i="32"/>
  <c r="D219" i="32"/>
  <c r="D218" i="32"/>
  <c r="D217" i="32"/>
  <c r="D216" i="32"/>
  <c r="D215" i="32"/>
  <c r="D214" i="32"/>
  <c r="D213" i="32"/>
  <c r="D212" i="32"/>
  <c r="D211" i="32"/>
  <c r="D210" i="32"/>
  <c r="D209" i="32"/>
  <c r="D208" i="32"/>
  <c r="D207" i="32"/>
  <c r="D206" i="32"/>
  <c r="D205" i="32"/>
  <c r="D204" i="32"/>
  <c r="D203" i="32"/>
  <c r="D202" i="32"/>
  <c r="D201" i="32"/>
  <c r="D200" i="32"/>
  <c r="D199" i="32"/>
  <c r="D198" i="32"/>
  <c r="D197" i="32"/>
  <c r="D196" i="32"/>
  <c r="D195" i="32"/>
  <c r="D194" i="32"/>
  <c r="D193" i="32"/>
  <c r="D192" i="32"/>
  <c r="D191" i="32"/>
  <c r="D190" i="32"/>
  <c r="D189" i="32"/>
  <c r="D188" i="32"/>
  <c r="D187" i="32"/>
  <c r="D186" i="32"/>
  <c r="D185" i="32"/>
  <c r="D184" i="32"/>
  <c r="D183" i="32"/>
  <c r="D182" i="32"/>
  <c r="D181" i="32"/>
  <c r="D180" i="32"/>
  <c r="D179" i="32"/>
  <c r="D178" i="32"/>
  <c r="D177" i="32"/>
  <c r="D176" i="32"/>
  <c r="D175" i="32"/>
  <c r="D174" i="32"/>
  <c r="D173" i="32"/>
  <c r="D172" i="32"/>
  <c r="D171" i="32"/>
  <c r="D170" i="32"/>
  <c r="D169" i="32"/>
  <c r="D168" i="32"/>
  <c r="D167" i="32"/>
  <c r="D166" i="32"/>
  <c r="D165" i="32"/>
  <c r="D164" i="32"/>
  <c r="D163" i="32"/>
  <c r="D162" i="32"/>
  <c r="D161" i="32"/>
  <c r="D160" i="32"/>
  <c r="D159" i="32"/>
  <c r="D158" i="32"/>
  <c r="D157" i="32"/>
  <c r="D156" i="32"/>
  <c r="D155" i="32"/>
  <c r="D154" i="32"/>
  <c r="D153" i="32"/>
  <c r="D152" i="32"/>
  <c r="D151" i="32"/>
  <c r="D150" i="32"/>
  <c r="D149" i="32"/>
  <c r="D148" i="32"/>
  <c r="D147" i="32"/>
  <c r="D146" i="32"/>
  <c r="D145" i="32"/>
  <c r="D144" i="32"/>
  <c r="D143" i="32"/>
  <c r="D142" i="32"/>
  <c r="D141" i="32"/>
  <c r="D140" i="32"/>
  <c r="D139" i="32"/>
  <c r="D138" i="32"/>
  <c r="D137" i="32"/>
  <c r="D136" i="32"/>
  <c r="D135" i="32"/>
  <c r="D134" i="32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B44" i="32"/>
  <c r="D44" i="32" s="1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B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B6" i="32"/>
  <c r="B246" i="32" s="1"/>
  <c r="D5" i="32"/>
  <c r="D4" i="32"/>
  <c r="D246" i="32" l="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4" i="31"/>
  <c r="B108" i="31"/>
  <c r="B60" i="31"/>
  <c r="B22" i="31"/>
  <c r="B12" i="31"/>
  <c r="D214" i="31" l="1"/>
  <c r="B214" i="31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4" i="30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4" i="29"/>
  <c r="C214" i="30" l="1"/>
  <c r="B202" i="30"/>
  <c r="B193" i="30"/>
  <c r="B161" i="30"/>
  <c r="B159" i="30"/>
  <c r="B13" i="30"/>
  <c r="B214" i="30" s="1"/>
  <c r="B10" i="30"/>
  <c r="B7" i="30"/>
  <c r="B5" i="30"/>
  <c r="D214" i="30"/>
  <c r="C262" i="29"/>
  <c r="B262" i="29"/>
  <c r="B224" i="29"/>
  <c r="B202" i="29"/>
  <c r="B137" i="29"/>
  <c r="B132" i="29"/>
  <c r="B81" i="29"/>
  <c r="D262" i="29"/>
  <c r="D5" i="28" l="1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4" i="28"/>
  <c r="C214" i="28"/>
  <c r="B201" i="28"/>
  <c r="B163" i="28"/>
  <c r="B214" i="28" s="1"/>
  <c r="B162" i="28"/>
  <c r="B110" i="28"/>
  <c r="B13" i="28"/>
  <c r="D214" i="28" l="1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4" i="27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4" i="26"/>
  <c r="B63" i="27" l="1"/>
  <c r="B14" i="27"/>
  <c r="B214" i="27" s="1"/>
  <c r="D214" i="27"/>
  <c r="C248" i="26"/>
  <c r="B248" i="26"/>
  <c r="D248" i="26"/>
  <c r="C244" i="25" l="1"/>
  <c r="B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D229" i="25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244" i="25" s="1"/>
  <c r="D5" i="24" l="1"/>
  <c r="D6" i="24"/>
  <c r="D7" i="24"/>
  <c r="D8" i="24"/>
  <c r="D9" i="24"/>
  <c r="D11" i="24"/>
  <c r="D12" i="24"/>
  <c r="D13" i="24"/>
  <c r="D14" i="24"/>
  <c r="D15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4" i="24"/>
  <c r="C214" i="24"/>
  <c r="B203" i="24"/>
  <c r="B111" i="24"/>
  <c r="D111" i="24" s="1"/>
  <c r="B16" i="24"/>
  <c r="D16" i="24" s="1"/>
  <c r="B10" i="24"/>
  <c r="D10" i="24" s="1"/>
  <c r="D214" i="24" l="1"/>
  <c r="B214" i="24"/>
  <c r="C214" i="23"/>
  <c r="D213" i="23"/>
  <c r="D212" i="23"/>
  <c r="D211" i="23"/>
  <c r="D210" i="23"/>
  <c r="D209" i="23"/>
  <c r="D208" i="23"/>
  <c r="D207" i="23"/>
  <c r="D206" i="23"/>
  <c r="D205" i="23"/>
  <c r="D204" i="23"/>
  <c r="B203" i="23"/>
  <c r="D203" i="23" s="1"/>
  <c r="D202" i="23"/>
  <c r="D201" i="23"/>
  <c r="D200" i="23"/>
  <c r="D199" i="23"/>
  <c r="D198" i="23"/>
  <c r="D197" i="23"/>
  <c r="D196" i="23"/>
  <c r="D195" i="23"/>
  <c r="B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B165" i="23"/>
  <c r="D165" i="23" s="1"/>
  <c r="D164" i="23"/>
  <c r="B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B140" i="23"/>
  <c r="D140" i="23" s="1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B110" i="23"/>
  <c r="D110" i="23" s="1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B63" i="23"/>
  <c r="D63" i="23" s="1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B5" i="23"/>
  <c r="B214" i="23" s="1"/>
  <c r="D4" i="23"/>
  <c r="D5" i="23" l="1"/>
  <c r="D214" i="23" s="1"/>
  <c r="C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B170" i="22"/>
  <c r="D170" i="22" s="1"/>
  <c r="D169" i="22"/>
  <c r="D168" i="22"/>
  <c r="D167" i="22"/>
  <c r="D166" i="22"/>
  <c r="B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B147" i="22"/>
  <c r="D147" i="22" s="1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B19" i="22"/>
  <c r="D19" i="22" s="1"/>
  <c r="D18" i="22"/>
  <c r="D17" i="22"/>
  <c r="D16" i="22"/>
  <c r="B15" i="22"/>
  <c r="D15" i="22" s="1"/>
  <c r="D14" i="22"/>
  <c r="D13" i="22"/>
  <c r="D12" i="22"/>
  <c r="D11" i="22"/>
  <c r="D10" i="22"/>
  <c r="D9" i="22"/>
  <c r="D8" i="22"/>
  <c r="D7" i="22"/>
  <c r="D6" i="22"/>
  <c r="D5" i="22"/>
  <c r="D4" i="22"/>
  <c r="D214" i="22" l="1"/>
  <c r="B214" i="22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214" i="21" s="1"/>
  <c r="D11" i="21"/>
  <c r="D10" i="21"/>
  <c r="D9" i="21"/>
  <c r="D8" i="21"/>
  <c r="D7" i="21"/>
  <c r="D6" i="21"/>
  <c r="D5" i="21"/>
  <c r="D4" i="21"/>
  <c r="C214" i="20" l="1"/>
  <c r="B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214" i="20" l="1"/>
  <c r="D5" i="19"/>
  <c r="D6" i="19"/>
  <c r="D7" i="19"/>
  <c r="D8" i="19"/>
  <c r="D9" i="19"/>
  <c r="D10" i="19"/>
  <c r="D11" i="19"/>
  <c r="D12" i="19"/>
  <c r="D13" i="19"/>
  <c r="D14" i="19"/>
  <c r="D15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4" i="19"/>
  <c r="D205" i="19"/>
  <c r="D206" i="19"/>
  <c r="D207" i="19"/>
  <c r="D208" i="19"/>
  <c r="D209" i="19"/>
  <c r="D210" i="19"/>
  <c r="D211" i="19"/>
  <c r="D212" i="19"/>
  <c r="D213" i="19"/>
  <c r="D4" i="19"/>
  <c r="B203" i="19"/>
  <c r="D203" i="19" s="1"/>
  <c r="B16" i="19"/>
  <c r="D16" i="19" s="1"/>
  <c r="D214" i="19" l="1"/>
  <c r="B214" i="19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5" i="18"/>
  <c r="D206" i="18"/>
  <c r="D207" i="18"/>
  <c r="D208" i="18"/>
  <c r="D209" i="18"/>
  <c r="D210" i="18"/>
  <c r="D211" i="18"/>
  <c r="D212" i="18"/>
  <c r="D213" i="18"/>
  <c r="D4" i="18"/>
  <c r="C214" i="18"/>
  <c r="B204" i="18"/>
  <c r="D204" i="18" s="1"/>
  <c r="B203" i="18"/>
  <c r="D203" i="18" s="1"/>
  <c r="B214" i="18" l="1"/>
  <c r="D214" i="18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4" i="17"/>
  <c r="D205" i="17"/>
  <c r="D206" i="17"/>
  <c r="D207" i="17"/>
  <c r="D208" i="17"/>
  <c r="D209" i="17"/>
  <c r="D210" i="17"/>
  <c r="D211" i="17"/>
  <c r="D212" i="17"/>
  <c r="D213" i="17"/>
  <c r="D4" i="17"/>
  <c r="C214" i="17"/>
  <c r="B203" i="17"/>
  <c r="D203" i="17" s="1"/>
  <c r="B10" i="17"/>
  <c r="B5" i="17"/>
  <c r="D5" i="17" s="1"/>
  <c r="D214" i="17" l="1"/>
  <c r="B214" i="17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4" i="16"/>
  <c r="D205" i="16"/>
  <c r="D206" i="16"/>
  <c r="D207" i="16"/>
  <c r="D208" i="16"/>
  <c r="D209" i="16"/>
  <c r="D210" i="16"/>
  <c r="D211" i="16"/>
  <c r="D212" i="16"/>
  <c r="D213" i="16"/>
  <c r="D4" i="16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20" i="15"/>
  <c r="D221" i="15"/>
  <c r="D222" i="15"/>
  <c r="D223" i="15"/>
  <c r="D224" i="15"/>
  <c r="D225" i="15"/>
  <c r="D226" i="15"/>
  <c r="D227" i="15"/>
  <c r="D228" i="15"/>
  <c r="D229" i="15"/>
  <c r="D230" i="15"/>
  <c r="D4" i="15"/>
  <c r="C214" i="16"/>
  <c r="B203" i="16"/>
  <c r="D203" i="16" s="1"/>
  <c r="B112" i="16"/>
  <c r="D112" i="16" s="1"/>
  <c r="C231" i="15"/>
  <c r="B219" i="15"/>
  <c r="D219" i="15" s="1"/>
  <c r="B16" i="15"/>
  <c r="B231" i="15" s="1"/>
  <c r="D231" i="15" l="1"/>
  <c r="B214" i="16"/>
  <c r="D214" i="16"/>
  <c r="D243" i="14"/>
  <c r="D242" i="14"/>
  <c r="D235" i="14"/>
  <c r="D234" i="14"/>
  <c r="D196" i="14"/>
  <c r="D189" i="14"/>
  <c r="D188" i="14"/>
  <c r="D186" i="14"/>
  <c r="D171" i="14"/>
  <c r="D160" i="14"/>
  <c r="D159" i="14"/>
  <c r="D147" i="14"/>
  <c r="D141" i="14"/>
  <c r="D140" i="14"/>
  <c r="D134" i="14"/>
  <c r="D133" i="14"/>
  <c r="D132" i="14"/>
  <c r="D130" i="14"/>
  <c r="D80" i="14"/>
  <c r="D78" i="14"/>
  <c r="D70" i="14"/>
  <c r="D66" i="14"/>
  <c r="D57" i="14"/>
  <c r="D51" i="14"/>
  <c r="D25" i="14"/>
  <c r="D21" i="14"/>
  <c r="D14" i="14"/>
  <c r="D5" i="14"/>
  <c r="D4" i="13"/>
  <c r="D239" i="13" s="1"/>
  <c r="D11" i="13"/>
  <c r="D14" i="13"/>
  <c r="D20" i="13"/>
  <c r="D48" i="13"/>
  <c r="D72" i="13"/>
  <c r="D124" i="13"/>
  <c r="D126" i="13"/>
  <c r="D133" i="13"/>
  <c r="D160" i="13"/>
  <c r="D184" i="13"/>
  <c r="D185" i="13"/>
  <c r="D187" i="13"/>
  <c r="D219" i="13"/>
  <c r="D226" i="13"/>
  <c r="D227" i="13"/>
  <c r="B239" i="13"/>
  <c r="C239" i="13"/>
  <c r="D255" i="14" l="1"/>
  <c r="B241" i="12"/>
  <c r="C241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3" i="12"/>
  <c r="D241" i="12" l="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4" i="11"/>
  <c r="B214" i="11"/>
  <c r="D214" i="11" l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5" i="10"/>
  <c r="D206" i="10"/>
  <c r="D207" i="10"/>
  <c r="D208" i="10"/>
  <c r="D209" i="10"/>
  <c r="D210" i="10"/>
  <c r="D211" i="10"/>
  <c r="D212" i="10"/>
  <c r="D213" i="10"/>
  <c r="D4" i="10"/>
  <c r="B204" i="10" l="1"/>
  <c r="D204" i="10" s="1"/>
  <c r="B165" i="10"/>
  <c r="B214" i="10" l="1"/>
  <c r="D165" i="10"/>
  <c r="D214" i="10" s="1"/>
  <c r="D5" i="9"/>
  <c r="D6" i="9"/>
  <c r="D7" i="9"/>
  <c r="D8" i="9"/>
  <c r="D9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4" i="9"/>
  <c r="D205" i="9"/>
  <c r="D206" i="9"/>
  <c r="D207" i="9"/>
  <c r="D208" i="9"/>
  <c r="D209" i="9"/>
  <c r="D210" i="9"/>
  <c r="D211" i="9"/>
  <c r="D212" i="9"/>
  <c r="D213" i="9"/>
  <c r="D4" i="9"/>
  <c r="B203" i="9" l="1"/>
  <c r="D203" i="9" s="1"/>
  <c r="B120" i="9"/>
  <c r="D120" i="9" s="1"/>
  <c r="B10" i="9"/>
  <c r="D10" i="9" s="1"/>
  <c r="D214" i="9" s="1"/>
  <c r="B214" i="9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6" i="8"/>
  <c r="D197" i="8"/>
  <c r="D198" i="8"/>
  <c r="D199" i="8"/>
  <c r="D200" i="8"/>
  <c r="D201" i="8"/>
  <c r="D202" i="8"/>
  <c r="D204" i="8"/>
  <c r="D205" i="8"/>
  <c r="D206" i="8"/>
  <c r="D207" i="8"/>
  <c r="D208" i="8"/>
  <c r="D209" i="8"/>
  <c r="D210" i="8"/>
  <c r="D211" i="8"/>
  <c r="D212" i="8"/>
  <c r="D213" i="8"/>
  <c r="D4" i="8"/>
  <c r="B203" i="8"/>
  <c r="D203" i="8" s="1"/>
  <c r="B195" i="8"/>
  <c r="D195" i="8" s="1"/>
  <c r="B112" i="8"/>
  <c r="B214" i="8" s="1"/>
  <c r="D112" i="8" l="1"/>
  <c r="D214" i="8" s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4" i="7"/>
  <c r="B250" i="7"/>
  <c r="D250" i="7" l="1"/>
  <c r="D249" i="6"/>
  <c r="D248" i="6"/>
  <c r="D247" i="6"/>
  <c r="D246" i="6"/>
  <c r="D245" i="6"/>
  <c r="D244" i="6"/>
  <c r="D243" i="6"/>
  <c r="D242" i="6"/>
  <c r="D241" i="6"/>
  <c r="D240" i="6"/>
  <c r="D239" i="6"/>
  <c r="D238" i="6"/>
  <c r="B237" i="6"/>
  <c r="B250" i="6" s="1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250" i="6" l="1"/>
  <c r="D237" i="6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1" i="5"/>
  <c r="D212" i="5"/>
  <c r="D213" i="5"/>
  <c r="D4" i="5"/>
  <c r="B210" i="5"/>
  <c r="D210" i="5" s="1"/>
  <c r="B166" i="5"/>
  <c r="B115" i="5"/>
  <c r="B5" i="5"/>
  <c r="D5" i="5" s="1"/>
  <c r="B214" i="5" l="1"/>
  <c r="D166" i="5"/>
  <c r="D214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4" i="4"/>
  <c r="B245" i="4"/>
  <c r="D245" i="4" l="1"/>
  <c r="C251" i="3"/>
  <c r="B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51" i="3" l="1"/>
  <c r="D250" i="2"/>
  <c r="D249" i="2"/>
  <c r="D248" i="2"/>
  <c r="D247" i="2"/>
  <c r="D246" i="2"/>
  <c r="D245" i="2"/>
  <c r="D244" i="2"/>
  <c r="D243" i="2"/>
  <c r="D242" i="2"/>
  <c r="D241" i="2"/>
  <c r="D240" i="2"/>
  <c r="D239" i="2"/>
  <c r="B238" i="2"/>
  <c r="D238" i="2" s="1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251" i="2" l="1"/>
  <c r="B251" i="2"/>
</calcChain>
</file>

<file path=xl/sharedStrings.xml><?xml version="1.0" encoding="utf-8"?>
<sst xmlns="http://schemas.openxmlformats.org/spreadsheetml/2006/main" count="6665" uniqueCount="258">
  <si>
    <t>HÀNG TỒN CUỐI NGÀY 1/7</t>
  </si>
  <si>
    <t>TÊN SẢN PHẨM</t>
  </si>
  <si>
    <t>HÀNG TỒN</t>
  </si>
  <si>
    <t>GIÁ NHẬP</t>
  </si>
  <si>
    <t>THÀNH TIỀN</t>
  </si>
  <si>
    <t>BÍ NGÒI VÀNG</t>
  </si>
  <si>
    <t>BÍ NGÒI XANH</t>
  </si>
  <si>
    <t>BÍ NGÒI XANH(TRÁI)</t>
  </si>
  <si>
    <t>CẦN TÂY (KG)</t>
  </si>
  <si>
    <t>CẦN TÂY VR</t>
  </si>
  <si>
    <t>CẦN TÂY(CÂY)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</si>
  <si>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</si>
  <si>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</si>
  <si>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</si>
  <si>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</si>
  <si>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</si>
  <si>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</si>
  <si>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XANH</t>
  </si>
  <si>
    <t xml:space="preserve">ỚT CHUÔNG XANH L1 </t>
  </si>
  <si>
    <t>ỚT CHUÔNG XANH(TRÁI)</t>
  </si>
  <si>
    <t>CỦ DỀN</t>
  </si>
  <si>
    <t>CÀ TÍM CẶP</t>
  </si>
  <si>
    <t>CẢI CHUA</t>
  </si>
  <si>
    <t>CẢI DÚN</t>
  </si>
  <si>
    <t>GỪNG 250GR</t>
  </si>
  <si>
    <t>HỒNG DÒN</t>
  </si>
  <si>
    <t>CẢI THẢO 500G-900G</t>
  </si>
  <si>
    <t>BẦU</t>
  </si>
  <si>
    <t>BÍ ĐAO XANH</t>
  </si>
  <si>
    <t>BÍ ĐAO XANH 400G</t>
  </si>
  <si>
    <t>DƯA LEO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</si>
  <si>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</si>
  <si>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</si>
  <si>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</si>
  <si>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</si>
  <si>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</si>
  <si>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</si>
  <si>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SÁP</t>
  </si>
  <si>
    <t>BƠ SÁP 350G</t>
  </si>
  <si>
    <t>KHOAI LANG MẬT</t>
  </si>
  <si>
    <t>KHOAI LANG MẬT (KG)</t>
  </si>
  <si>
    <t>KHOAI LANG MẬT 500G KQ</t>
  </si>
  <si>
    <t>KHOAI LANG MẬT VR</t>
  </si>
  <si>
    <t>KHOAI LANG NHẬT TÚI 1 KG</t>
  </si>
  <si>
    <t>SÚ TRÁI TIM</t>
  </si>
  <si>
    <t>SÚ TRÁI TIM VR</t>
  </si>
  <si>
    <t>CÀ CHUA BI</t>
  </si>
  <si>
    <t>CÀ CHUA BI 250GR</t>
  </si>
  <si>
    <t>CÀ CHUA NGỌT</t>
  </si>
  <si>
    <t xml:space="preserve">CÀ RỐT DL </t>
  </si>
  <si>
    <t>CÀ RỐT DL L1</t>
  </si>
  <si>
    <t>CÀ RỐT DL TÚI LƯỚI 500GR</t>
  </si>
  <si>
    <t>CÀ RỐT TÚI BIG C</t>
  </si>
  <si>
    <t>CÀ RỐT VR</t>
  </si>
  <si>
    <t>CHANH KHÔNG HẠT</t>
  </si>
  <si>
    <t>GỪNG</t>
  </si>
  <si>
    <t>HÀNH LÁ</t>
  </si>
  <si>
    <t>SU SU</t>
  </si>
  <si>
    <t>SU SU VR</t>
  </si>
  <si>
    <t>XÀ LÁCH BÚP</t>
  </si>
  <si>
    <t>XÀ LÁCH MỸ</t>
  </si>
  <si>
    <t>XA LÁCH XOẮN</t>
  </si>
  <si>
    <t>BẮP CẢI TÍM DL</t>
  </si>
  <si>
    <t>BẮP CẢI TÍM</t>
  </si>
  <si>
    <t>CÀ CHUA</t>
  </si>
  <si>
    <t>CÀ CHUA L1</t>
  </si>
  <si>
    <t>CÀ CHUA VR</t>
  </si>
  <si>
    <t>HÀNH TÂY TÚI LƯỚI 1KG</t>
  </si>
  <si>
    <t>CHUỐI LABA</t>
  </si>
  <si>
    <t>CÀ CHUA SÔCOLA(HỘP)</t>
  </si>
  <si>
    <t>CÀ CHUA SÔCOLA(KG) KQ</t>
  </si>
  <si>
    <t>CÀ CHUA SÔCOLA(KG) VR</t>
  </si>
  <si>
    <t>BÔNG CẢI TRẮNG</t>
  </si>
  <si>
    <t>BÔNG CẢI TRẮNG AEON</t>
  </si>
  <si>
    <t>BÍ ĐAO TRÁI 400-600GR</t>
  </si>
  <si>
    <t>CÀ CHUA TÚI LƯỚI 1KG</t>
  </si>
  <si>
    <t>CỦ CẢI TRẮNG BÓ 400-500GR</t>
  </si>
  <si>
    <t>MƯỚP TRÁI 250G</t>
  </si>
  <si>
    <t>CẢI THẢO DL</t>
  </si>
  <si>
    <t>CẢI THẢO VR</t>
  </si>
  <si>
    <t>CỦ SEN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</si>
  <si>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</si>
  <si>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</si>
  <si>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</si>
  <si>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</si>
  <si>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</si>
  <si>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</si>
  <si>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</si>
  <si>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</si>
  <si>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</si>
  <si>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</si>
  <si>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BÍ ĐỎ MINI</t>
  </si>
  <si>
    <t>ỚT HIỂM 250GR</t>
  </si>
  <si>
    <t>ỚT SỪNG 250GR</t>
  </si>
  <si>
    <t>XẢ CÂY</t>
  </si>
  <si>
    <t>DÂU TÂY ĐL</t>
  </si>
  <si>
    <t>BÓ XÔI</t>
  </si>
  <si>
    <t>BÓ XÔI 300G</t>
  </si>
  <si>
    <t>CỦ DỀN BABY 250GR</t>
  </si>
  <si>
    <t>CÀ RỐT BABY</t>
  </si>
  <si>
    <t>CỦ CẢI ĐỎ</t>
  </si>
  <si>
    <t>CỦ CẢI ĐỎ(HỘP)</t>
  </si>
  <si>
    <t>CỦ CẢI HÀN QUỐC</t>
  </si>
  <si>
    <t>ĐẬU HÀ LAN</t>
  </si>
  <si>
    <t>ĐẬU HÀ LAN 250GR</t>
  </si>
  <si>
    <t>ĐỌT SU 250G</t>
  </si>
  <si>
    <t>NGÒ TÂY</t>
  </si>
  <si>
    <t>CÀ CHUA MIX 250G</t>
  </si>
  <si>
    <t>KHOAI SÂM</t>
  </si>
  <si>
    <t>CHUỐI LABA LỚN</t>
  </si>
  <si>
    <t>RAU BẦU ĐẤT</t>
  </si>
  <si>
    <t>BÍ NGÒI XANH (TRÁI) KQ</t>
  </si>
  <si>
    <t>HÀNH TÂY DL</t>
  </si>
  <si>
    <t>HÀNH TÂY DL L1</t>
  </si>
  <si>
    <t>HÀNH TÂY DL L1 (TÚI LƯỚI)</t>
  </si>
  <si>
    <t>HANH TAY TIM</t>
  </si>
  <si>
    <t>HANH TAY TIM ĐL (TÚI LƯỚI)</t>
  </si>
  <si>
    <t>HÀNH TÂY TÚI LƯỚI 300GR</t>
  </si>
  <si>
    <t>NGÒ RÍ</t>
  </si>
  <si>
    <t>CÀ CHUA 500GR</t>
  </si>
  <si>
    <t>CẢI THẢO HỎA TIỄN</t>
  </si>
  <si>
    <t>CÀ CHUA Ý</t>
  </si>
  <si>
    <t>CÀ CHUA Ý(VỈ) KG</t>
  </si>
  <si>
    <t>BÔNG ATISO</t>
  </si>
  <si>
    <t>BÔNG ATISO 300GR</t>
  </si>
  <si>
    <t>BẮP CẢI TRẮNG</t>
  </si>
  <si>
    <t>BẮP CẢI TRẮNG VR</t>
  </si>
  <si>
    <t>BÓ XÔI 300GR KQ</t>
  </si>
  <si>
    <t>DƯA LEO BABY KQ</t>
  </si>
  <si>
    <t>DƯA LEO BABY KQ(KG)</t>
  </si>
  <si>
    <t>DƯA LEO BABY VR</t>
  </si>
  <si>
    <t>DƯA LEO BABY(KG)</t>
  </si>
  <si>
    <t>DƯA LEO VỈ 350-500GR</t>
  </si>
  <si>
    <t>KHOAI TÂY BI</t>
  </si>
  <si>
    <t>KHOAI TÂY BI TÚI LƯỚI 500GR</t>
  </si>
  <si>
    <t>KHOAI TÂY VÀNG TRUNG TÚI LƯỚI 500G</t>
  </si>
  <si>
    <t>ỚT CHUÔNG 3 MÀU 350G</t>
  </si>
  <si>
    <t>ỚT CHUÔNG 3 MÀU 350G KQ</t>
  </si>
  <si>
    <t>XA LACH LOLO XANH (CÂY)</t>
  </si>
  <si>
    <t>BÍ HỒ LÔ (TRÁI) KQ</t>
  </si>
  <si>
    <t>BÍ NHẬT VINMART</t>
  </si>
  <si>
    <t>BÍ ĐỎ HỒ LÔ</t>
  </si>
  <si>
    <t>BÍ ĐỎ NON</t>
  </si>
  <si>
    <t>CÀ TÍM</t>
  </si>
  <si>
    <t>ĐẬU QUE TRẮNG (KG) VR</t>
  </si>
  <si>
    <t>ĐẬU QUE TRẮNG (TÚI)</t>
  </si>
  <si>
    <t>ĐẬU QUE TRẮNG (TÚI) VR</t>
  </si>
  <si>
    <t>ĐẬU QUE XANH</t>
  </si>
  <si>
    <t>MĂNG TÂY 200G</t>
  </si>
  <si>
    <t>BÍ NHẬT</t>
  </si>
  <si>
    <t>CHANH DÂY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</si>
  <si>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</si>
  <si>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</si>
  <si>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</si>
  <si>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</si>
  <si>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</si>
  <si>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</si>
  <si>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</si>
  <si>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ỚT HIỂM</t>
  </si>
  <si>
    <t>OT HIEM XANH</t>
  </si>
  <si>
    <t>ỚT SỪNG</t>
  </si>
  <si>
    <t>TỎI</t>
  </si>
  <si>
    <t>TỎI 250GR</t>
  </si>
  <si>
    <t>TỎI CÔ ĐƠN</t>
  </si>
  <si>
    <t>TỎI CÔ ĐƠN 250GR</t>
  </si>
  <si>
    <t>KHOAI TÂY HỒNG</t>
  </si>
  <si>
    <t>KHOAI TÂY HỒNG TÚI LƯỚI 500G</t>
  </si>
  <si>
    <t>KHOAI TÂY VÀNG (TÚI LƯỚI) 1KG</t>
  </si>
  <si>
    <t>KHOAI TÂY VÀNG ĐL</t>
  </si>
  <si>
    <t>KHOAI TÂY VÀNG RỬA</t>
  </si>
  <si>
    <t>KHOAI TÂY VÀNG LỚN TÚI LƯỚI 500G</t>
  </si>
  <si>
    <t>XÀ LÁCH MỠ THỦY CANH(CÂY)</t>
  </si>
  <si>
    <t>XÀ LÁCH MỠ THỦY CANH(CÂY) VR</t>
  </si>
  <si>
    <t>XÀ LÁCH MỠ THỦY CANH(KG)</t>
  </si>
  <si>
    <t>XÀ LÁCH MỠ THỦY CANH(TÚI GIẤY)</t>
  </si>
  <si>
    <t>XÀ LÁCH MỠ THỦY CANH(TÚI GIẤY) VR</t>
  </si>
  <si>
    <t>XÀ LÁCH OFLEAD XANH THUY CANH</t>
  </si>
  <si>
    <t>XÀ LÁCH ROMEN THỦY CANH</t>
  </si>
  <si>
    <t>XÀ LÁCH THỦY TINH THỦY CANH (KG)</t>
  </si>
  <si>
    <t>XÀ LÁCH THỦY TINH THỦY CANH(CÂY)</t>
  </si>
  <si>
    <t>XÀ LÁCH THỦY TINH THỦY CANH(CÂY) VR</t>
  </si>
  <si>
    <t>XÀ LÁCH THỦY TINH THỦY CANH(TÚI GIẤY)</t>
  </si>
  <si>
    <t>XÀ LÁCH THỦY TINH THỦY CANH(TÚI GIẤY) VR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</si>
  <si>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</si>
  <si>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</si>
  <si>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</si>
  <si>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</si>
  <si>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</si>
  <si>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SU HÀO</t>
  </si>
  <si>
    <t>SU HÀO VR</t>
  </si>
  <si>
    <t>BÔNG CẢI XANH 300G</t>
  </si>
  <si>
    <t>BÔNG CẢI XANH 300G CỌNG 7CM</t>
  </si>
  <si>
    <t>BÔNG CẢI XANH AEON</t>
  </si>
  <si>
    <t>BÔNG CẢI XANH BHX 15CM</t>
  </si>
  <si>
    <t>BÔNG CẢI XANH BIGC</t>
  </si>
  <si>
    <t>BÔNG CẢI XANH CITI</t>
  </si>
  <si>
    <t>CỦ CẢI MUỐI</t>
  </si>
  <si>
    <t>CỦ CẢI MUỐI(KG)</t>
  </si>
  <si>
    <t>CỦ CẢI TRẮNG</t>
  </si>
  <si>
    <t>PARO</t>
  </si>
  <si>
    <t>PARO (CÂY)</t>
  </si>
  <si>
    <t>KHOAI TÂY DT TÚI LƯỚI 1KG</t>
  </si>
  <si>
    <t>ĐẬU QUE XANH( TÚI)</t>
  </si>
  <si>
    <t>ĐẬU QUE XANH( TÚI) VR</t>
  </si>
  <si>
    <t>BÍ ĐỎ TRÒN</t>
  </si>
  <si>
    <t>KHOAI LANG NHẬT</t>
  </si>
  <si>
    <t>BÍ NGÒI VÀNG (TRÁI )KQ</t>
  </si>
  <si>
    <t>CÀ TÍM TÚI 400-600GR</t>
  </si>
  <si>
    <t>CÀ Ý VỈ 500G KQ</t>
  </si>
  <si>
    <t>COMBO CÀ RỐT KHOAI TÂY</t>
  </si>
  <si>
    <t>DƯA LEO NHẬT 250GR</t>
  </si>
  <si>
    <t>KHOAI LANG NHẬT TÚI LƯỚI 500G KQ</t>
  </si>
  <si>
    <t>ỚT CHUÔNG  ĐỎ(TRÁI) KQ</t>
  </si>
  <si>
    <t>ỚT CHUÔNG VÀNG(TRÁI) KQ</t>
  </si>
  <si>
    <t>ỚT CHUÔNG XANH(TRÁI) KQ</t>
  </si>
  <si>
    <t>HÀNG TỒN CUỐI NGÀY 2/7</t>
  </si>
  <si>
    <t>hàng tồn cuối ngày 3/7</t>
  </si>
  <si>
    <t>hàng tồn cuối ngày 4/7</t>
  </si>
  <si>
    <t>NGÀY  :  07/07/2022</t>
  </si>
  <si>
    <t>hàng tồn cuối ngày 6.7</t>
  </si>
  <si>
    <t>hàng tồn cuối ngày 7/7</t>
  </si>
  <si>
    <t>hàng tồn</t>
  </si>
  <si>
    <t>hàng tồn cuối ngày 8/7</t>
  </si>
  <si>
    <t>hàng tồn cuối ngày 9/7</t>
  </si>
  <si>
    <t>TỒN TRƯỚC</t>
  </si>
  <si>
    <t>hàng tồn cuối ngày 10/7</t>
  </si>
  <si>
    <t>TỒN THỰC TẾ</t>
  </si>
  <si>
    <t>hàng tồn cuối ngày 11/7</t>
  </si>
  <si>
    <t>hàng tồn cuối ngày 12/7</t>
  </si>
  <si>
    <t>hàng tồn cuối ngày 13/7</t>
  </si>
  <si>
    <t>hàng tồn cuối ngày 15/7</t>
  </si>
  <si>
    <t>hàng tồn cuối ngày 14/7</t>
  </si>
  <si>
    <t>hàng tồn cuối ngày 16/7</t>
  </si>
  <si>
    <t>hàng tồn cuối ngày 17.7</t>
  </si>
  <si>
    <t>hàng tồn cuối ngày 18/7</t>
  </si>
  <si>
    <t>hàng tồn cuối ngày 19/7</t>
  </si>
  <si>
    <t>hàng tồn cuối ngày 20/7</t>
  </si>
  <si>
    <t>HÀNH TÂY TÚI LƯỚI</t>
  </si>
  <si>
    <t>hàng tồn cuối ngày 21/7</t>
  </si>
  <si>
    <t>hàng tồn cuối ngày 22.7</t>
  </si>
  <si>
    <t>hàng tồn cuối ngày 23.7</t>
  </si>
  <si>
    <t>hàng tồn cuối ngày 24/7</t>
  </si>
  <si>
    <t>CẢI CẦU VỒNG</t>
  </si>
  <si>
    <t>CẢI KALE</t>
  </si>
  <si>
    <t>hàng tồn cuối ngày 25/7</t>
  </si>
  <si>
    <t>hàng tồn cuối ngày 26/7</t>
  </si>
  <si>
    <t>hàng tồn cuối ngay 27/7</t>
  </si>
  <si>
    <t>hàng tồn cuối ngày 28/7</t>
  </si>
  <si>
    <t>hàng tồn cuối ngày 29/7</t>
  </si>
  <si>
    <t>hàng tồn cuối ngày 30/7</t>
  </si>
  <si>
    <t>hàng tồn cuối ngày 31/7</t>
  </si>
  <si>
    <t>SÚ TRÁI TIM NGUYÊN LÁ</t>
  </si>
  <si>
    <t>CÀ RỐT DL NGUYÊN LÁ</t>
  </si>
  <si>
    <t>CHẬU CÀ CHUA SÔCOLA</t>
  </si>
  <si>
    <t>SU HÀO NGUYÊN LÁ</t>
  </si>
  <si>
    <t>CẢI THẢO DL NGUYÊN LÁ</t>
  </si>
  <si>
    <t>CHẬU CÀ CHUA Ý</t>
  </si>
  <si>
    <t>BẮP CẢI TRẮNG NGUYÊN 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</si>
</sst>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3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center" shrinkToFit="1"/>
    </xf>
    <xf numFmtId="3" fontId="9" fillId="0" borderId="2" xfId="1" applyNumberFormat="1" applyFont="1" applyFill="1" applyBorder="1"/>
    <xf numFmtId="3" fontId="6" fillId="0" borderId="2" xfId="1" applyNumberFormat="1" applyFont="1" applyFill="1" applyBorder="1" applyAlignment="1">
      <alignment horizontal="right" vertical="center" shrinkToFit="1"/>
    </xf>
    <xf numFmtId="164" fontId="9" fillId="0" borderId="2" xfId="1" applyNumberFormat="1" applyFont="1" applyFill="1" applyBorder="1"/>
    <xf numFmtId="3" fontId="4" fillId="0" borderId="2" xfId="1" applyNumberFormat="1" applyFont="1" applyFill="1" applyBorder="1" applyAlignment="1">
      <alignment horizontal="right" vertical="center" shrinkToFit="1"/>
    </xf>
    <xf numFmtId="165" fontId="7" fillId="0" borderId="2" xfId="0" applyNumberFormat="1" applyFont="1" applyFill="1" applyBorder="1" applyAlignment="1">
      <alignment horizontal="left" vertical="center" shrinkToFit="1"/>
    </xf>
    <xf numFmtId="164" fontId="4" fillId="0" borderId="2" xfId="1" applyNumberFormat="1" applyFont="1" applyFill="1" applyBorder="1" applyAlignment="1">
      <alignment horizontal="left" vertical="center" shrinkToFit="1"/>
    </xf>
    <xf numFmtId="3" fontId="5" fillId="0" borderId="2" xfId="0" applyNumberFormat="1" applyFont="1" applyFill="1" applyBorder="1" applyAlignment="1" applyProtection="1">
      <alignment horizontal="left" vertical="center" shrinkToFit="1"/>
    </xf>
    <xf numFmtId="164" fontId="8" fillId="0" borderId="2" xfId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shrinkToFit="1"/>
    </xf>
    <xf numFmtId="3" fontId="9" fillId="0" borderId="2" xfId="1" applyNumberFormat="1" applyFont="1" applyFill="1" applyBorder="1" applyAlignment="1">
      <alignment horizontal="right"/>
    </xf>
    <xf numFmtId="1" fontId="7" fillId="0" borderId="4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top"/>
    </xf>
    <xf numFmtId="165" fontId="7" fillId="0" borderId="2" xfId="0" applyNumberFormat="1" applyFont="1" applyFill="1" applyBorder="1" applyAlignment="1" applyProtection="1">
      <alignment horizontal="left" vertical="center" shrinkToFit="1"/>
    </xf>
    <xf numFmtId="1" fontId="5" fillId="0" borderId="2" xfId="0" applyNumberFormat="1" applyFont="1" applyFill="1" applyBorder="1" applyAlignment="1">
      <alignment horizontal="left" vertical="center" shrinkToFit="1"/>
    </xf>
    <xf numFmtId="165" fontId="5" fillId="0" borderId="2" xfId="0" applyNumberFormat="1" applyFont="1" applyFill="1" applyBorder="1" applyAlignment="1">
      <alignment horizontal="left" vertical="center" shrinkToFit="1"/>
    </xf>
    <xf numFmtId="3" fontId="4" fillId="0" borderId="2" xfId="1" applyNumberFormat="1" applyFont="1" applyFill="1" applyBorder="1" applyAlignment="1">
      <alignment horizontal="left" vertical="center" shrinkToFit="1"/>
    </xf>
    <xf numFmtId="3" fontId="7" fillId="0" borderId="2" xfId="0" applyNumberFormat="1" applyFont="1" applyFill="1" applyBorder="1" applyAlignment="1">
      <alignment horizontal="left" vertical="center" shrinkToFit="1"/>
    </xf>
    <xf numFmtId="1" fontId="7" fillId="0" borderId="2" xfId="0" applyNumberFormat="1" applyFont="1" applyFill="1" applyBorder="1" applyAlignment="1" applyProtection="1">
      <alignment horizontal="left" vertical="center" shrinkToFit="1"/>
    </xf>
    <xf numFmtId="1" fontId="8" fillId="0" borderId="2" xfId="0" applyNumberFormat="1" applyFont="1" applyFill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left" vertical="center"/>
    </xf>
    <xf numFmtId="3" fontId="6" fillId="0" borderId="2" xfId="0" applyNumberFormat="1" applyFont="1" applyFill="1" applyBorder="1" applyAlignment="1">
      <alignment horizontal="right" vertical="center" shrinkToFit="1"/>
    </xf>
    <xf numFmtId="167" fontId="6" fillId="0" borderId="2" xfId="0" applyNumberFormat="1" applyFont="1" applyFill="1" applyBorder="1" applyAlignment="1">
      <alignment horizontal="right" vertical="center" shrinkToFit="1"/>
    </xf>
    <xf numFmtId="3" fontId="4" fillId="0" borderId="2" xfId="1" applyNumberFormat="1" applyFont="1" applyFill="1" applyBorder="1" applyAlignment="1">
      <alignment horizontal="center" vertical="center"/>
    </xf>
    <xf numFmtId="165" fontId="7" fillId="0" borderId="4" xfId="0" applyNumberFormat="1" applyFont="1" applyFill="1" applyBorder="1" applyAlignment="1">
      <alignment horizontal="left" vertical="center" shrinkToFit="1"/>
    </xf>
    <xf numFmtId="0" fontId="0" fillId="0" borderId="2" xfId="0" applyBorder="1"/>
    <xf numFmtId="166" fontId="0" fillId="0" borderId="2" xfId="3" applyNumberFormat="1" applyFont="1" applyBorder="1"/>
    <xf numFmtId="164" fontId="0" fillId="0" borderId="2" xfId="3" applyNumberFormat="1" applyFont="1" applyBorder="1"/>
    <xf numFmtId="0" fontId="0" fillId="2" borderId="2" xfId="0" applyFill="1" applyBorder="1"/>
    <xf numFmtId="164" fontId="0" fillId="2" borderId="2" xfId="3" applyNumberFormat="1" applyFont="1" applyFill="1" applyBorder="1"/>
    <xf numFmtId="0" fontId="11" fillId="0" borderId="2" xfId="0" applyFont="1" applyBorder="1"/>
    <xf numFmtId="164" fontId="11" fillId="0" borderId="2" xfId="3" applyNumberFormat="1" applyFont="1" applyBorder="1"/>
    <xf numFmtId="0" fontId="12" fillId="0" borderId="2" xfId="0" applyFont="1" applyBorder="1"/>
    <xf numFmtId="164" fontId="12" fillId="0" borderId="2" xfId="3" applyNumberFormat="1" applyFont="1" applyBorder="1"/>
    <xf numFmtId="0" fontId="13" fillId="0" borderId="0" xfId="0" applyFont="1"/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3" fontId="0" fillId="0" borderId="0" xfId="0" applyNumberFormat="1"/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">
    <cellStyle name="Comma" xfId="3" builtinId="3"/>
    <cellStyle name="Comma 2" xfId="1"/>
    <cellStyle name="Normal" xfId="0" builtinId="0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2"/>
  <sheetViews>
    <sheetView workbookViewId="0">
      <selection activeCell="E129" sqref="E129"/>
    </sheetView>
  </sheetViews>
  <sheetFormatPr defaultRowHeight="15" x14ac:dyDescent="0.25"/>
  <cols>
    <col min="1" max="1" width="23.140625" customWidth="1"/>
    <col min="3" max="3" width="13.42578125" customWidth="1"/>
    <col min="4" max="4" width="18.42578125" customWidth="1"/>
  </cols>
  <sheetData>
    <row r="1" spans="1:4" x14ac:dyDescent="0.25">
      <c r="A1" s="1" t="s">
        <v>0</v>
      </c>
      <c r="B1" s="2"/>
      <c r="C1" s="2"/>
      <c r="D1" s="3"/>
    </row>
    <row r="2" spans="1:4" ht="25.5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19000</v>
      </c>
      <c r="D4" s="11">
        <f>B4*C4</f>
        <v>0</v>
      </c>
    </row>
    <row r="5" spans="1:4" ht="18.75" x14ac:dyDescent="0.25">
      <c r="A5" s="8" t="s">
        <v>6</v>
      </c>
      <c r="B5" s="9">
        <v>2</v>
      </c>
      <c r="C5" s="10">
        <v>20000</v>
      </c>
      <c r="D5" s="11">
        <f t="shared" ref="D5:D68" si="0">B5*C5</f>
        <v>40000</v>
      </c>
    </row>
    <row r="6" spans="1:4" ht="18" hidden="1" x14ac:dyDescent="0.35">
      <c r="A6" s="8"/>
      <c r="B6" s="9"/>
      <c r="C6" s="10">
        <v>20000</v>
      </c>
      <c r="D6" s="11">
        <f t="shared" si="0"/>
        <v>0</v>
      </c>
    </row>
    <row r="7" spans="1:4" ht="18" hidden="1" x14ac:dyDescent="0.35">
      <c r="A7" s="8"/>
      <c r="B7" s="9"/>
      <c r="C7" s="10">
        <v>22000</v>
      </c>
      <c r="D7" s="11">
        <f t="shared" si="0"/>
        <v>0</v>
      </c>
    </row>
    <row r="8" spans="1:4" ht="18" hidden="1" x14ac:dyDescent="0.35">
      <c r="A8" s="8"/>
      <c r="B8" s="9"/>
      <c r="C8" s="10">
        <v>20000</v>
      </c>
      <c r="D8" s="11">
        <f t="shared" si="0"/>
        <v>0</v>
      </c>
    </row>
    <row r="9" spans="1:4" ht="18" hidden="1" x14ac:dyDescent="0.35">
      <c r="A9" s="8" t="s">
        <v>7</v>
      </c>
      <c r="B9" s="9"/>
      <c r="C9" s="10"/>
      <c r="D9" s="11">
        <f t="shared" si="0"/>
        <v>0</v>
      </c>
    </row>
    <row r="10" spans="1:4" ht="18" hidden="1" x14ac:dyDescent="0.35">
      <c r="A10" s="8" t="s">
        <v>8</v>
      </c>
      <c r="B10" s="9"/>
      <c r="C10" s="12">
        <v>42000</v>
      </c>
      <c r="D10" s="11">
        <f t="shared" si="0"/>
        <v>0</v>
      </c>
    </row>
    <row r="11" spans="1:4" ht="18" hidden="1" x14ac:dyDescent="0.35">
      <c r="A11" s="8"/>
      <c r="B11" s="9"/>
      <c r="C11" s="12">
        <v>40000</v>
      </c>
      <c r="D11" s="11">
        <f t="shared" si="0"/>
        <v>0</v>
      </c>
    </row>
    <row r="12" spans="1:4" ht="18" hidden="1" x14ac:dyDescent="0.35">
      <c r="A12" s="8" t="s">
        <v>9</v>
      </c>
      <c r="B12" s="9"/>
      <c r="C12" s="10"/>
      <c r="D12" s="11">
        <f t="shared" si="0"/>
        <v>0</v>
      </c>
    </row>
    <row r="13" spans="1:4" ht="18" hidden="1" x14ac:dyDescent="0.35">
      <c r="A13" s="8" t="s">
        <v>10</v>
      </c>
      <c r="B13" s="9"/>
      <c r="C13" s="10">
        <v>21000</v>
      </c>
      <c r="D13" s="11">
        <f t="shared" si="0"/>
        <v>0</v>
      </c>
    </row>
    <row r="14" spans="1:4" ht="18.75" x14ac:dyDescent="0.25">
      <c r="A14" s="8" t="s">
        <v>11</v>
      </c>
      <c r="B14" s="9">
        <v>33</v>
      </c>
      <c r="C14" s="10">
        <v>38000</v>
      </c>
      <c r="D14" s="11">
        <f t="shared" si="0"/>
        <v>1254000</v>
      </c>
    </row>
    <row r="15" spans="1:4" ht="18" hidden="1" x14ac:dyDescent="0.35">
      <c r="A15" s="8" t="s">
        <v>12</v>
      </c>
      <c r="B15" s="9"/>
      <c r="C15" s="10"/>
      <c r="D15" s="11">
        <f t="shared" si="0"/>
        <v>0</v>
      </c>
    </row>
    <row r="16" spans="1:4" ht="18" hidden="1" x14ac:dyDescent="0.35">
      <c r="A16" s="8" t="s">
        <v>13</v>
      </c>
      <c r="B16" s="9"/>
      <c r="C16" s="10"/>
      <c r="D16" s="11">
        <f t="shared" si="0"/>
        <v>0</v>
      </c>
    </row>
    <row r="17" spans="1:4" ht="18" hidden="1" x14ac:dyDescent="0.35">
      <c r="A17" s="8" t="s">
        <v>14</v>
      </c>
      <c r="B17" s="9"/>
      <c r="C17" s="12">
        <v>50000</v>
      </c>
      <c r="D17" s="11">
        <f t="shared" si="0"/>
        <v>0</v>
      </c>
    </row>
    <row r="18" spans="1:4" ht="18" hidden="1" x14ac:dyDescent="0.35">
      <c r="A18" s="8" t="s">
        <v>15</v>
      </c>
      <c r="B18" s="9"/>
      <c r="C18" s="12"/>
      <c r="D18" s="11">
        <f t="shared" si="0"/>
        <v>0</v>
      </c>
    </row>
    <row r="19" spans="1:4" ht="18" hidden="1" x14ac:dyDescent="0.35">
      <c r="A19" s="8" t="s">
        <v>16</v>
      </c>
      <c r="B19" s="9"/>
      <c r="C19" s="12"/>
      <c r="D19" s="11">
        <f t="shared" si="0"/>
        <v>0</v>
      </c>
    </row>
    <row r="20" spans="1:4" ht="18.75" x14ac:dyDescent="0.25">
      <c r="A20" s="8" t="s">
        <v>17</v>
      </c>
      <c r="B20" s="9">
        <v>3</v>
      </c>
      <c r="C20" s="10">
        <v>21000</v>
      </c>
      <c r="D20" s="11">
        <f t="shared" si="0"/>
        <v>63000</v>
      </c>
    </row>
    <row r="21" spans="1:4" ht="18" hidden="1" x14ac:dyDescent="0.35">
      <c r="A21" s="8" t="s">
        <v>18</v>
      </c>
      <c r="B21" s="9"/>
      <c r="C21" s="10"/>
      <c r="D21" s="11">
        <f t="shared" si="0"/>
        <v>0</v>
      </c>
    </row>
    <row r="22" spans="1:4" ht="18" hidden="1" x14ac:dyDescent="0.35">
      <c r="A22" s="8" t="s">
        <v>19</v>
      </c>
      <c r="B22" s="9"/>
      <c r="C22" s="10"/>
      <c r="D22" s="11">
        <f t="shared" si="0"/>
        <v>0</v>
      </c>
    </row>
    <row r="23" spans="1:4" ht="18" hidden="1" x14ac:dyDescent="0.35">
      <c r="A23" s="8" t="s">
        <v>20</v>
      </c>
      <c r="B23" s="9"/>
      <c r="C23" s="13">
        <v>12000</v>
      </c>
      <c r="D23" s="11">
        <f t="shared" si="0"/>
        <v>0</v>
      </c>
    </row>
    <row r="24" spans="1:4" ht="18" hidden="1" x14ac:dyDescent="0.35">
      <c r="A24" s="8"/>
      <c r="B24" s="9"/>
      <c r="C24" s="13">
        <v>10000</v>
      </c>
      <c r="D24" s="11">
        <f t="shared" si="0"/>
        <v>0</v>
      </c>
    </row>
    <row r="25" spans="1:4" ht="18" hidden="1" x14ac:dyDescent="0.35">
      <c r="A25" s="8" t="s">
        <v>21</v>
      </c>
      <c r="B25" s="9"/>
      <c r="C25" s="10"/>
      <c r="D25" s="11">
        <f t="shared" si="0"/>
        <v>0</v>
      </c>
    </row>
    <row r="26" spans="1:4" ht="18" hidden="1" x14ac:dyDescent="0.35">
      <c r="A26" s="8" t="s">
        <v>22</v>
      </c>
      <c r="B26" s="9"/>
      <c r="C26" s="10"/>
      <c r="D26" s="11">
        <f t="shared" si="0"/>
        <v>0</v>
      </c>
    </row>
    <row r="27" spans="1:4" ht="18" hidden="1" x14ac:dyDescent="0.35">
      <c r="A27" s="8" t="s">
        <v>23</v>
      </c>
      <c r="B27" s="9"/>
      <c r="C27" s="10"/>
      <c r="D27" s="11">
        <f t="shared" si="0"/>
        <v>0</v>
      </c>
    </row>
    <row r="28" spans="1:4" ht="18" hidden="1" x14ac:dyDescent="0.35">
      <c r="A28" s="8" t="s">
        <v>24</v>
      </c>
      <c r="B28" s="9"/>
      <c r="C28" s="10"/>
      <c r="D28" s="11">
        <f t="shared" si="0"/>
        <v>0</v>
      </c>
    </row>
    <row r="29" spans="1:4" ht="18" hidden="1" x14ac:dyDescent="0.35">
      <c r="A29" s="14" t="s">
        <v>25</v>
      </c>
      <c r="B29" s="9"/>
      <c r="C29" s="13"/>
      <c r="D29" s="11">
        <f t="shared" si="0"/>
        <v>0</v>
      </c>
    </row>
    <row r="30" spans="1:4" ht="18" hidden="1" x14ac:dyDescent="0.35">
      <c r="A30" s="8" t="s">
        <v>26</v>
      </c>
      <c r="B30" s="9"/>
      <c r="C30" s="10"/>
      <c r="D30" s="11">
        <f t="shared" si="0"/>
        <v>0</v>
      </c>
    </row>
    <row r="31" spans="1:4" ht="18" hidden="1" x14ac:dyDescent="0.35">
      <c r="A31" s="8" t="s">
        <v>27</v>
      </c>
      <c r="B31" s="9"/>
      <c r="C31" s="10"/>
      <c r="D31" s="11">
        <f t="shared" si="0"/>
        <v>0</v>
      </c>
    </row>
    <row r="32" spans="1:4" ht="18" hidden="1" x14ac:dyDescent="0.35">
      <c r="A32" s="8" t="s">
        <v>28</v>
      </c>
      <c r="B32" s="9"/>
      <c r="C32" s="10">
        <v>4000</v>
      </c>
      <c r="D32" s="11">
        <f t="shared" si="0"/>
        <v>0</v>
      </c>
    </row>
    <row r="33" spans="1:4" ht="18" hidden="1" x14ac:dyDescent="0.35">
      <c r="A33" s="14" t="s">
        <v>29</v>
      </c>
      <c r="B33" s="9"/>
      <c r="C33" s="15"/>
      <c r="D33" s="11">
        <f t="shared" si="0"/>
        <v>0</v>
      </c>
    </row>
    <row r="34" spans="1:4" ht="18" hidden="1" x14ac:dyDescent="0.35">
      <c r="A34" s="8" t="s">
        <v>30</v>
      </c>
      <c r="B34" s="9"/>
      <c r="C34" s="10">
        <v>5000</v>
      </c>
      <c r="D34" s="11">
        <f t="shared" si="0"/>
        <v>0</v>
      </c>
    </row>
    <row r="35" spans="1:4" ht="18" hidden="1" x14ac:dyDescent="0.35">
      <c r="A35" s="8"/>
      <c r="B35" s="9"/>
      <c r="C35" s="10">
        <v>6000</v>
      </c>
      <c r="D35" s="11">
        <f t="shared" si="0"/>
        <v>0</v>
      </c>
    </row>
    <row r="36" spans="1:4" ht="18" hidden="1" x14ac:dyDescent="0.35">
      <c r="A36" s="8"/>
      <c r="B36" s="9"/>
      <c r="C36" s="10">
        <v>7000</v>
      </c>
      <c r="D36" s="11">
        <f t="shared" si="0"/>
        <v>0</v>
      </c>
    </row>
    <row r="37" spans="1:4" ht="18" hidden="1" x14ac:dyDescent="0.35">
      <c r="A37" s="8" t="s">
        <v>31</v>
      </c>
      <c r="B37" s="9"/>
      <c r="C37" s="10">
        <v>13000</v>
      </c>
      <c r="D37" s="11">
        <f t="shared" si="0"/>
        <v>0</v>
      </c>
    </row>
    <row r="38" spans="1:4" ht="18" hidden="1" x14ac:dyDescent="0.35">
      <c r="A38" s="14" t="s">
        <v>32</v>
      </c>
      <c r="B38" s="9"/>
      <c r="C38" s="10"/>
      <c r="D38" s="11">
        <f t="shared" si="0"/>
        <v>0</v>
      </c>
    </row>
    <row r="39" spans="1:4" ht="18" hidden="1" x14ac:dyDescent="0.35">
      <c r="A39" s="8" t="s">
        <v>33</v>
      </c>
      <c r="B39" s="9"/>
      <c r="C39" s="13"/>
      <c r="D39" s="11">
        <f t="shared" si="0"/>
        <v>0</v>
      </c>
    </row>
    <row r="40" spans="1:4" ht="18" hidden="1" x14ac:dyDescent="0.35">
      <c r="A40" s="8" t="s">
        <v>34</v>
      </c>
      <c r="B40" s="9"/>
      <c r="C40" s="10">
        <v>10000</v>
      </c>
      <c r="D40" s="11">
        <f t="shared" si="0"/>
        <v>0</v>
      </c>
    </row>
    <row r="41" spans="1:4" ht="18" hidden="1" x14ac:dyDescent="0.35">
      <c r="A41" s="8" t="s">
        <v>35</v>
      </c>
      <c r="B41" s="9"/>
      <c r="C41" s="15">
        <v>110000</v>
      </c>
      <c r="D41" s="11">
        <f t="shared" si="0"/>
        <v>0</v>
      </c>
    </row>
    <row r="42" spans="1:4" ht="18" hidden="1" x14ac:dyDescent="0.35">
      <c r="A42" s="8" t="s">
        <v>36</v>
      </c>
      <c r="B42" s="9"/>
      <c r="C42" s="10">
        <v>16000</v>
      </c>
      <c r="D42" s="11">
        <f t="shared" si="0"/>
        <v>0</v>
      </c>
    </row>
    <row r="43" spans="1:4" ht="18" hidden="1" x14ac:dyDescent="0.35">
      <c r="A43" s="14" t="s">
        <v>37</v>
      </c>
      <c r="B43" s="9"/>
      <c r="C43" s="12">
        <v>11000</v>
      </c>
      <c r="D43" s="11">
        <f t="shared" si="0"/>
        <v>0</v>
      </c>
    </row>
    <row r="44" spans="1:4" ht="18" hidden="1" x14ac:dyDescent="0.35">
      <c r="A44" s="14" t="s">
        <v>38</v>
      </c>
      <c r="B44" s="9"/>
      <c r="C44" s="10"/>
      <c r="D44" s="11">
        <f t="shared" si="0"/>
        <v>0</v>
      </c>
    </row>
    <row r="45" spans="1:4" ht="18" hidden="1" x14ac:dyDescent="0.35">
      <c r="A45" s="8" t="s">
        <v>39</v>
      </c>
      <c r="B45" s="9"/>
      <c r="C45" s="10"/>
      <c r="D45" s="11">
        <f t="shared" si="0"/>
        <v>0</v>
      </c>
    </row>
    <row r="46" spans="1:4" ht="18" hidden="1" x14ac:dyDescent="0.35">
      <c r="A46" s="14" t="s">
        <v>40</v>
      </c>
      <c r="B46" s="9"/>
      <c r="C46" s="10"/>
      <c r="D46" s="11">
        <f t="shared" si="0"/>
        <v>0</v>
      </c>
    </row>
    <row r="47" spans="1:4" ht="18" hidden="1" x14ac:dyDescent="0.35">
      <c r="A47" s="8" t="s">
        <v>41</v>
      </c>
      <c r="B47" s="9"/>
      <c r="C47" s="10"/>
      <c r="D47" s="11">
        <f t="shared" si="0"/>
        <v>0</v>
      </c>
    </row>
    <row r="48" spans="1:4" ht="18" hidden="1" x14ac:dyDescent="0.35">
      <c r="A48" s="8" t="s">
        <v>42</v>
      </c>
      <c r="B48" s="9"/>
      <c r="C48" s="13"/>
      <c r="D48" s="11">
        <f t="shared" si="0"/>
        <v>0</v>
      </c>
    </row>
    <row r="49" spans="1:4" ht="18" hidden="1" x14ac:dyDescent="0.35">
      <c r="A49" s="16" t="s">
        <v>43</v>
      </c>
      <c r="B49" s="9"/>
      <c r="C49" s="10"/>
      <c r="D49" s="11">
        <f t="shared" si="0"/>
        <v>0</v>
      </c>
    </row>
    <row r="50" spans="1:4" ht="18" hidden="1" x14ac:dyDescent="0.35">
      <c r="A50" s="8" t="s">
        <v>44</v>
      </c>
      <c r="B50" s="9"/>
      <c r="C50" s="10">
        <v>15000</v>
      </c>
      <c r="D50" s="11">
        <f t="shared" si="0"/>
        <v>0</v>
      </c>
    </row>
    <row r="51" spans="1:4" ht="18" hidden="1" x14ac:dyDescent="0.35">
      <c r="A51" s="8"/>
      <c r="B51" s="9"/>
      <c r="C51" s="10">
        <v>15000</v>
      </c>
      <c r="D51" s="11">
        <f t="shared" si="0"/>
        <v>0</v>
      </c>
    </row>
    <row r="52" spans="1:4" ht="18" hidden="1" x14ac:dyDescent="0.35">
      <c r="A52" s="8" t="s">
        <v>45</v>
      </c>
      <c r="B52" s="9"/>
      <c r="C52" s="10"/>
      <c r="D52" s="11">
        <f t="shared" si="0"/>
        <v>0</v>
      </c>
    </row>
    <row r="53" spans="1:4" ht="18" hidden="1" x14ac:dyDescent="0.35">
      <c r="A53" s="8" t="s">
        <v>46</v>
      </c>
      <c r="B53" s="9"/>
      <c r="C53" s="12"/>
      <c r="D53" s="11">
        <f t="shared" si="0"/>
        <v>0</v>
      </c>
    </row>
    <row r="54" spans="1:4" ht="18" hidden="1" x14ac:dyDescent="0.35">
      <c r="A54" s="8" t="s">
        <v>47</v>
      </c>
      <c r="B54" s="9"/>
      <c r="C54" s="12"/>
      <c r="D54" s="11">
        <f t="shared" si="0"/>
        <v>0</v>
      </c>
    </row>
    <row r="55" spans="1:4" ht="18.75" x14ac:dyDescent="0.25">
      <c r="A55" s="8" t="s">
        <v>48</v>
      </c>
      <c r="B55" s="9">
        <v>3</v>
      </c>
      <c r="C55" s="10">
        <v>25000</v>
      </c>
      <c r="D55" s="11">
        <f t="shared" si="0"/>
        <v>75000</v>
      </c>
    </row>
    <row r="56" spans="1:4" ht="18" hidden="1" x14ac:dyDescent="0.35">
      <c r="A56" s="8" t="s">
        <v>49</v>
      </c>
      <c r="B56" s="9"/>
      <c r="C56" s="10"/>
      <c r="D56" s="11">
        <f t="shared" si="0"/>
        <v>0</v>
      </c>
    </row>
    <row r="57" spans="1:4" ht="18" hidden="1" x14ac:dyDescent="0.35">
      <c r="A57" s="8" t="s">
        <v>50</v>
      </c>
      <c r="B57" s="9"/>
      <c r="C57" s="10">
        <v>15000</v>
      </c>
      <c r="D57" s="11">
        <f t="shared" si="0"/>
        <v>0</v>
      </c>
    </row>
    <row r="58" spans="1:4" ht="18" hidden="1" x14ac:dyDescent="0.35">
      <c r="A58" s="8"/>
      <c r="B58" s="9"/>
      <c r="C58" s="10">
        <v>15000</v>
      </c>
      <c r="D58" s="11">
        <f t="shared" si="0"/>
        <v>0</v>
      </c>
    </row>
    <row r="59" spans="1:4" ht="18" hidden="1" x14ac:dyDescent="0.35">
      <c r="A59" s="8"/>
      <c r="B59" s="9"/>
      <c r="C59" s="10">
        <v>14500</v>
      </c>
      <c r="D59" s="11">
        <f t="shared" si="0"/>
        <v>0</v>
      </c>
    </row>
    <row r="60" spans="1:4" ht="18" hidden="1" x14ac:dyDescent="0.35">
      <c r="A60" s="8" t="s">
        <v>51</v>
      </c>
      <c r="B60" s="9"/>
      <c r="C60" s="10">
        <v>8000</v>
      </c>
      <c r="D60" s="11">
        <f t="shared" si="0"/>
        <v>0</v>
      </c>
    </row>
    <row r="61" spans="1:4" ht="18" hidden="1" x14ac:dyDescent="0.35">
      <c r="A61" s="8" t="s">
        <v>52</v>
      </c>
      <c r="B61" s="9"/>
      <c r="C61" s="12"/>
      <c r="D61" s="11">
        <f t="shared" si="0"/>
        <v>0</v>
      </c>
    </row>
    <row r="62" spans="1:4" ht="18" hidden="1" x14ac:dyDescent="0.35">
      <c r="A62" s="8" t="s">
        <v>53</v>
      </c>
      <c r="B62" s="9"/>
      <c r="C62" s="10"/>
      <c r="D62" s="11">
        <f t="shared" si="0"/>
        <v>0</v>
      </c>
    </row>
    <row r="63" spans="1:4" ht="18" hidden="1" x14ac:dyDescent="0.35">
      <c r="A63" s="8" t="s">
        <v>54</v>
      </c>
      <c r="B63" s="9"/>
      <c r="C63" s="10">
        <v>22000</v>
      </c>
      <c r="D63" s="11">
        <f t="shared" si="0"/>
        <v>0</v>
      </c>
    </row>
    <row r="64" spans="1:4" ht="18.75" x14ac:dyDescent="0.25">
      <c r="A64" s="8" t="s">
        <v>55</v>
      </c>
      <c r="B64" s="9">
        <v>2</v>
      </c>
      <c r="C64" s="10">
        <v>12000</v>
      </c>
      <c r="D64" s="11">
        <f t="shared" si="0"/>
        <v>24000</v>
      </c>
    </row>
    <row r="65" spans="1:4" ht="18" hidden="1" x14ac:dyDescent="0.35">
      <c r="A65" s="14" t="s">
        <v>56</v>
      </c>
      <c r="B65" s="9"/>
      <c r="C65" s="10">
        <v>38000</v>
      </c>
      <c r="D65" s="11">
        <f t="shared" si="0"/>
        <v>0</v>
      </c>
    </row>
    <row r="66" spans="1:4" ht="18" hidden="1" x14ac:dyDescent="0.35">
      <c r="A66" s="8" t="s">
        <v>57</v>
      </c>
      <c r="B66" s="9"/>
      <c r="C66" s="10">
        <v>8000</v>
      </c>
      <c r="D66" s="11">
        <f t="shared" si="0"/>
        <v>0</v>
      </c>
    </row>
    <row r="67" spans="1:4" ht="18" hidden="1" x14ac:dyDescent="0.35">
      <c r="A67" s="8"/>
      <c r="B67" s="9"/>
      <c r="C67" s="10">
        <v>8000</v>
      </c>
      <c r="D67" s="11">
        <f t="shared" si="0"/>
        <v>0</v>
      </c>
    </row>
    <row r="68" spans="1:4" ht="18" hidden="1" x14ac:dyDescent="0.35">
      <c r="A68" s="8"/>
      <c r="B68" s="9"/>
      <c r="C68" s="10">
        <v>9000</v>
      </c>
      <c r="D68" s="11">
        <f t="shared" si="0"/>
        <v>0</v>
      </c>
    </row>
    <row r="69" spans="1:4" ht="18" hidden="1" x14ac:dyDescent="0.35">
      <c r="A69" s="8"/>
      <c r="B69" s="9"/>
      <c r="C69" s="10">
        <v>9000</v>
      </c>
      <c r="D69" s="11">
        <f t="shared" ref="D69:D132" si="1">B69*C69</f>
        <v>0</v>
      </c>
    </row>
    <row r="70" spans="1:4" ht="18" hidden="1" x14ac:dyDescent="0.35">
      <c r="A70" s="8" t="s">
        <v>58</v>
      </c>
      <c r="B70" s="9"/>
      <c r="C70" s="13"/>
      <c r="D70" s="11">
        <f t="shared" si="1"/>
        <v>0</v>
      </c>
    </row>
    <row r="71" spans="1:4" ht="18" hidden="1" x14ac:dyDescent="0.35">
      <c r="A71" s="14" t="s">
        <v>59</v>
      </c>
      <c r="B71" s="9"/>
      <c r="C71" s="10"/>
      <c r="D71" s="11">
        <f t="shared" si="1"/>
        <v>0</v>
      </c>
    </row>
    <row r="72" spans="1:4" ht="18" hidden="1" x14ac:dyDescent="0.35">
      <c r="A72" s="8" t="s">
        <v>60</v>
      </c>
      <c r="B72" s="9"/>
      <c r="C72" s="12">
        <v>15000</v>
      </c>
      <c r="D72" s="11">
        <f t="shared" si="1"/>
        <v>0</v>
      </c>
    </row>
    <row r="73" spans="1:4" ht="18" hidden="1" x14ac:dyDescent="0.35">
      <c r="A73" s="8" t="s">
        <v>61</v>
      </c>
      <c r="B73" s="17"/>
      <c r="C73" s="10"/>
      <c r="D73" s="11">
        <f t="shared" si="1"/>
        <v>0</v>
      </c>
    </row>
    <row r="74" spans="1:4" ht="18" hidden="1" x14ac:dyDescent="0.35">
      <c r="A74" s="18" t="s">
        <v>62</v>
      </c>
      <c r="B74" s="9"/>
      <c r="C74" s="19">
        <v>24000</v>
      </c>
      <c r="D74" s="11">
        <f t="shared" si="1"/>
        <v>0</v>
      </c>
    </row>
    <row r="75" spans="1:4" ht="18" hidden="1" x14ac:dyDescent="0.35">
      <c r="A75" s="18" t="s">
        <v>63</v>
      </c>
      <c r="B75" s="9"/>
      <c r="C75" s="10">
        <v>20000</v>
      </c>
      <c r="D75" s="11">
        <f t="shared" si="1"/>
        <v>0</v>
      </c>
    </row>
    <row r="76" spans="1:4" ht="18" hidden="1" x14ac:dyDescent="0.35">
      <c r="A76" s="14" t="s">
        <v>64</v>
      </c>
      <c r="B76" s="9"/>
      <c r="C76" s="10">
        <v>17000</v>
      </c>
      <c r="D76" s="11">
        <f t="shared" si="1"/>
        <v>0</v>
      </c>
    </row>
    <row r="77" spans="1:4" ht="18" hidden="1" x14ac:dyDescent="0.35">
      <c r="A77" s="8" t="s">
        <v>65</v>
      </c>
      <c r="B77" s="9"/>
      <c r="C77" s="12">
        <v>14000</v>
      </c>
      <c r="D77" s="11">
        <f t="shared" si="1"/>
        <v>0</v>
      </c>
    </row>
    <row r="78" spans="1:4" ht="18" hidden="1" x14ac:dyDescent="0.35">
      <c r="A78" s="14" t="s">
        <v>66</v>
      </c>
      <c r="B78" s="9"/>
      <c r="C78" s="10"/>
      <c r="D78" s="11">
        <f t="shared" si="1"/>
        <v>0</v>
      </c>
    </row>
    <row r="79" spans="1:4" ht="18" hidden="1" x14ac:dyDescent="0.35">
      <c r="A79" s="8" t="s">
        <v>67</v>
      </c>
      <c r="B79" s="9"/>
      <c r="C79" s="13"/>
      <c r="D79" s="11">
        <f t="shared" si="1"/>
        <v>0</v>
      </c>
    </row>
    <row r="80" spans="1:4" ht="18" hidden="1" x14ac:dyDescent="0.35">
      <c r="A80" s="8" t="s">
        <v>68</v>
      </c>
      <c r="B80" s="9"/>
      <c r="C80" s="10">
        <v>8000</v>
      </c>
      <c r="D80" s="11">
        <f t="shared" si="1"/>
        <v>0</v>
      </c>
    </row>
    <row r="81" spans="1:4" ht="18" hidden="1" x14ac:dyDescent="0.35">
      <c r="A81" s="14" t="s">
        <v>69</v>
      </c>
      <c r="B81" s="9"/>
      <c r="C81" s="15">
        <v>38000</v>
      </c>
      <c r="D81" s="11">
        <f t="shared" si="1"/>
        <v>0</v>
      </c>
    </row>
    <row r="82" spans="1:4" ht="18" hidden="1" x14ac:dyDescent="0.35">
      <c r="A82" s="14"/>
      <c r="B82" s="9"/>
      <c r="C82" s="15">
        <v>10500</v>
      </c>
      <c r="D82" s="11">
        <f t="shared" si="1"/>
        <v>0</v>
      </c>
    </row>
    <row r="83" spans="1:4" ht="18" hidden="1" x14ac:dyDescent="0.35">
      <c r="A83" s="14"/>
      <c r="B83" s="9"/>
      <c r="C83" s="15">
        <v>9300</v>
      </c>
      <c r="D83" s="11">
        <f t="shared" si="1"/>
        <v>0</v>
      </c>
    </row>
    <row r="84" spans="1:4" ht="18" hidden="1" x14ac:dyDescent="0.35">
      <c r="A84" s="14" t="s">
        <v>70</v>
      </c>
      <c r="B84" s="9"/>
      <c r="C84" s="15"/>
      <c r="D84" s="11">
        <f t="shared" si="1"/>
        <v>0</v>
      </c>
    </row>
    <row r="85" spans="1:4" ht="18.75" x14ac:dyDescent="0.25">
      <c r="A85" s="14" t="s">
        <v>71</v>
      </c>
      <c r="B85" s="9">
        <v>2</v>
      </c>
      <c r="C85" s="10">
        <v>42000</v>
      </c>
      <c r="D85" s="11">
        <f t="shared" si="1"/>
        <v>84000</v>
      </c>
    </row>
    <row r="86" spans="1:4" ht="18" hidden="1" x14ac:dyDescent="0.35">
      <c r="A86" s="8" t="s">
        <v>72</v>
      </c>
      <c r="B86" s="9"/>
      <c r="C86" s="12">
        <v>57777</v>
      </c>
      <c r="D86" s="11">
        <f t="shared" si="1"/>
        <v>0</v>
      </c>
    </row>
    <row r="87" spans="1:4" ht="18" hidden="1" x14ac:dyDescent="0.35">
      <c r="A87" s="8"/>
      <c r="B87" s="9"/>
      <c r="C87" s="12">
        <v>38000</v>
      </c>
      <c r="D87" s="11">
        <f t="shared" si="1"/>
        <v>0</v>
      </c>
    </row>
    <row r="88" spans="1:4" ht="18" hidden="1" x14ac:dyDescent="0.35">
      <c r="A88" s="8" t="s">
        <v>73</v>
      </c>
      <c r="B88" s="9"/>
      <c r="C88" s="12">
        <v>25000</v>
      </c>
      <c r="D88" s="11">
        <f t="shared" si="1"/>
        <v>0</v>
      </c>
    </row>
    <row r="89" spans="1:4" ht="18" hidden="1" x14ac:dyDescent="0.35">
      <c r="A89" s="20" t="s">
        <v>74</v>
      </c>
      <c r="B89" s="9"/>
      <c r="C89" s="13"/>
      <c r="D89" s="11">
        <f t="shared" si="1"/>
        <v>0</v>
      </c>
    </row>
    <row r="90" spans="1:4" ht="18" hidden="1" x14ac:dyDescent="0.35">
      <c r="A90" s="20" t="s">
        <v>75</v>
      </c>
      <c r="B90" s="9"/>
      <c r="C90" s="15"/>
      <c r="D90" s="11">
        <f t="shared" si="1"/>
        <v>0</v>
      </c>
    </row>
    <row r="91" spans="1:4" ht="18" hidden="1" x14ac:dyDescent="0.35">
      <c r="A91" s="20" t="s">
        <v>76</v>
      </c>
      <c r="B91" s="9"/>
      <c r="C91" s="10"/>
      <c r="D91" s="11">
        <f t="shared" si="1"/>
        <v>0</v>
      </c>
    </row>
    <row r="92" spans="1:4" ht="18" hidden="1" x14ac:dyDescent="0.35">
      <c r="A92" s="8" t="s">
        <v>77</v>
      </c>
      <c r="B92" s="9"/>
      <c r="C92" s="13"/>
      <c r="D92" s="11">
        <f t="shared" si="1"/>
        <v>0</v>
      </c>
    </row>
    <row r="93" spans="1:4" ht="18" hidden="1" x14ac:dyDescent="0.35">
      <c r="A93" s="8" t="s">
        <v>78</v>
      </c>
      <c r="B93" s="9"/>
      <c r="C93" s="12">
        <v>11000</v>
      </c>
      <c r="D93" s="11">
        <f t="shared" si="1"/>
        <v>0</v>
      </c>
    </row>
    <row r="94" spans="1:4" ht="18" hidden="1" x14ac:dyDescent="0.35">
      <c r="A94" s="8"/>
      <c r="B94" s="9"/>
      <c r="C94" s="12">
        <v>10000</v>
      </c>
      <c r="D94" s="11">
        <f t="shared" si="1"/>
        <v>0</v>
      </c>
    </row>
    <row r="95" spans="1:4" ht="18" hidden="1" x14ac:dyDescent="0.35">
      <c r="A95" s="8" t="s">
        <v>79</v>
      </c>
      <c r="B95" s="9"/>
      <c r="C95" s="13">
        <v>6000</v>
      </c>
      <c r="D95" s="11">
        <f t="shared" si="1"/>
        <v>0</v>
      </c>
    </row>
    <row r="96" spans="1:4" ht="18" hidden="1" x14ac:dyDescent="0.35">
      <c r="A96" s="8" t="s">
        <v>80</v>
      </c>
      <c r="B96" s="9"/>
      <c r="C96" s="10"/>
      <c r="D96" s="11">
        <f t="shared" si="1"/>
        <v>0</v>
      </c>
    </row>
    <row r="97" spans="1:4" ht="18" hidden="1" x14ac:dyDescent="0.35">
      <c r="A97" s="8" t="s">
        <v>81</v>
      </c>
      <c r="B97" s="9"/>
      <c r="C97" s="13"/>
      <c r="D97" s="11">
        <f t="shared" si="1"/>
        <v>0</v>
      </c>
    </row>
    <row r="98" spans="1:4" ht="18" hidden="1" x14ac:dyDescent="0.35">
      <c r="A98" s="8" t="s">
        <v>82</v>
      </c>
      <c r="B98" s="9"/>
      <c r="C98" s="10">
        <v>150000</v>
      </c>
      <c r="D98" s="11">
        <f t="shared" si="1"/>
        <v>0</v>
      </c>
    </row>
    <row r="99" spans="1:4" ht="18.75" x14ac:dyDescent="0.25">
      <c r="A99" s="8" t="s">
        <v>83</v>
      </c>
      <c r="B99" s="9">
        <v>2</v>
      </c>
      <c r="C99" s="10">
        <v>60000</v>
      </c>
      <c r="D99" s="11">
        <f t="shared" si="1"/>
        <v>120000</v>
      </c>
    </row>
    <row r="100" spans="1:4" ht="18" hidden="1" x14ac:dyDescent="0.35">
      <c r="A100" s="8" t="s">
        <v>84</v>
      </c>
      <c r="B100" s="9"/>
      <c r="C100" s="10">
        <v>50000</v>
      </c>
      <c r="D100" s="11">
        <f t="shared" si="1"/>
        <v>0</v>
      </c>
    </row>
    <row r="101" spans="1:4" ht="18.75" x14ac:dyDescent="0.25">
      <c r="A101" s="8" t="s">
        <v>85</v>
      </c>
      <c r="B101" s="9">
        <v>0.5</v>
      </c>
      <c r="C101" s="10">
        <v>70000</v>
      </c>
      <c r="D101" s="11">
        <f t="shared" si="1"/>
        <v>35000</v>
      </c>
    </row>
    <row r="102" spans="1:4" ht="18" hidden="1" x14ac:dyDescent="0.35">
      <c r="A102" s="8" t="s">
        <v>86</v>
      </c>
      <c r="B102" s="9"/>
      <c r="C102" s="10">
        <v>50000</v>
      </c>
      <c r="D102" s="11">
        <f t="shared" si="1"/>
        <v>0</v>
      </c>
    </row>
    <row r="103" spans="1:4" ht="18.75" x14ac:dyDescent="0.25">
      <c r="A103" s="8" t="s">
        <v>87</v>
      </c>
      <c r="B103" s="9">
        <v>1</v>
      </c>
      <c r="C103" s="12">
        <v>60000</v>
      </c>
      <c r="D103" s="11">
        <f t="shared" si="1"/>
        <v>60000</v>
      </c>
    </row>
    <row r="104" spans="1:4" ht="18" hidden="1" x14ac:dyDescent="0.35">
      <c r="A104" s="8" t="s">
        <v>88</v>
      </c>
      <c r="B104" s="9"/>
      <c r="C104" s="10">
        <v>45000</v>
      </c>
      <c r="D104" s="11">
        <f t="shared" si="1"/>
        <v>0</v>
      </c>
    </row>
    <row r="105" spans="1:4" ht="18.75" x14ac:dyDescent="0.25">
      <c r="A105" s="8" t="s">
        <v>89</v>
      </c>
      <c r="B105" s="9">
        <v>0.5</v>
      </c>
      <c r="C105" s="12">
        <v>60000</v>
      </c>
      <c r="D105" s="11">
        <f t="shared" si="1"/>
        <v>30000</v>
      </c>
    </row>
    <row r="106" spans="1:4" ht="18" hidden="1" x14ac:dyDescent="0.35">
      <c r="A106" s="8" t="s">
        <v>90</v>
      </c>
      <c r="B106" s="9"/>
      <c r="C106" s="10">
        <v>50000</v>
      </c>
      <c r="D106" s="11">
        <f t="shared" si="1"/>
        <v>0</v>
      </c>
    </row>
    <row r="107" spans="1:4" ht="18" hidden="1" x14ac:dyDescent="0.35">
      <c r="A107" s="8" t="s">
        <v>91</v>
      </c>
      <c r="B107" s="9"/>
      <c r="C107" s="10"/>
      <c r="D107" s="11">
        <f t="shared" si="1"/>
        <v>0</v>
      </c>
    </row>
    <row r="108" spans="1:4" ht="18" hidden="1" x14ac:dyDescent="0.35">
      <c r="A108" s="8" t="s">
        <v>92</v>
      </c>
      <c r="B108" s="9"/>
      <c r="C108" s="10"/>
      <c r="D108" s="11">
        <f t="shared" si="1"/>
        <v>0</v>
      </c>
    </row>
    <row r="109" spans="1:4" ht="18" hidden="1" x14ac:dyDescent="0.35">
      <c r="A109" s="8" t="s">
        <v>93</v>
      </c>
      <c r="B109" s="9"/>
      <c r="C109" s="10"/>
      <c r="D109" s="11">
        <f t="shared" si="1"/>
        <v>0</v>
      </c>
    </row>
    <row r="110" spans="1:4" ht="18" hidden="1" x14ac:dyDescent="0.35">
      <c r="A110" s="8" t="s">
        <v>94</v>
      </c>
      <c r="B110" s="9"/>
      <c r="C110" s="10"/>
      <c r="D110" s="11">
        <f t="shared" si="1"/>
        <v>0</v>
      </c>
    </row>
    <row r="111" spans="1:4" ht="18" hidden="1" x14ac:dyDescent="0.35">
      <c r="A111" s="8" t="s">
        <v>95</v>
      </c>
      <c r="B111" s="9"/>
      <c r="C111" s="12">
        <v>12000</v>
      </c>
      <c r="D111" s="11">
        <f t="shared" si="1"/>
        <v>0</v>
      </c>
    </row>
    <row r="112" spans="1:4" ht="18" hidden="1" x14ac:dyDescent="0.35">
      <c r="A112" s="8" t="s">
        <v>96</v>
      </c>
      <c r="B112" s="9"/>
      <c r="C112" s="10"/>
      <c r="D112" s="11">
        <f t="shared" si="1"/>
        <v>0</v>
      </c>
    </row>
    <row r="113" spans="1:4" ht="18" hidden="1" x14ac:dyDescent="0.35">
      <c r="A113" s="8" t="s">
        <v>97</v>
      </c>
      <c r="B113" s="9"/>
      <c r="C113" s="10">
        <v>15000</v>
      </c>
      <c r="D113" s="11">
        <f t="shared" si="1"/>
        <v>0</v>
      </c>
    </row>
    <row r="114" spans="1:4" ht="18" hidden="1" x14ac:dyDescent="0.35">
      <c r="A114" s="8" t="s">
        <v>98</v>
      </c>
      <c r="B114" s="9"/>
      <c r="C114" s="10"/>
      <c r="D114" s="11">
        <f t="shared" si="1"/>
        <v>0</v>
      </c>
    </row>
    <row r="115" spans="1:4" ht="18" hidden="1" x14ac:dyDescent="0.35">
      <c r="A115" s="8" t="s">
        <v>99</v>
      </c>
      <c r="B115" s="9"/>
      <c r="C115" s="12"/>
      <c r="D115" s="11">
        <f t="shared" si="1"/>
        <v>0</v>
      </c>
    </row>
    <row r="116" spans="1:4" ht="18" hidden="1" x14ac:dyDescent="0.35">
      <c r="A116" s="14" t="s">
        <v>100</v>
      </c>
      <c r="B116" s="9"/>
      <c r="C116" s="10"/>
      <c r="D116" s="11">
        <f t="shared" si="1"/>
        <v>0</v>
      </c>
    </row>
    <row r="117" spans="1:4" ht="18" hidden="1" x14ac:dyDescent="0.35">
      <c r="A117" s="14" t="s">
        <v>101</v>
      </c>
      <c r="B117" s="9"/>
      <c r="C117" s="10"/>
      <c r="D117" s="11">
        <f t="shared" si="1"/>
        <v>0</v>
      </c>
    </row>
    <row r="118" spans="1:4" ht="18" hidden="1" x14ac:dyDescent="0.35">
      <c r="A118" s="14" t="s">
        <v>102</v>
      </c>
      <c r="B118" s="21"/>
      <c r="C118" s="10"/>
      <c r="D118" s="11">
        <f t="shared" si="1"/>
        <v>0</v>
      </c>
    </row>
    <row r="119" spans="1:4" ht="18" hidden="1" x14ac:dyDescent="0.35">
      <c r="A119" s="8" t="s">
        <v>103</v>
      </c>
      <c r="B119" s="9"/>
      <c r="C119" s="10"/>
      <c r="D119" s="11">
        <f t="shared" si="1"/>
        <v>0</v>
      </c>
    </row>
    <row r="120" spans="1:4" ht="18" hidden="1" x14ac:dyDescent="0.35">
      <c r="A120" s="8" t="s">
        <v>104</v>
      </c>
      <c r="B120" s="9"/>
      <c r="C120" s="12"/>
      <c r="D120" s="11">
        <f t="shared" si="1"/>
        <v>0</v>
      </c>
    </row>
    <row r="121" spans="1:4" ht="18" hidden="1" x14ac:dyDescent="0.35">
      <c r="A121" s="8" t="s">
        <v>105</v>
      </c>
      <c r="B121" s="9"/>
      <c r="C121" s="10"/>
      <c r="D121" s="11">
        <f t="shared" si="1"/>
        <v>0</v>
      </c>
    </row>
    <row r="122" spans="1:4" ht="18" hidden="1" x14ac:dyDescent="0.35">
      <c r="A122" s="8" t="s">
        <v>106</v>
      </c>
      <c r="B122" s="9"/>
      <c r="C122" s="10"/>
      <c r="D122" s="11">
        <f t="shared" si="1"/>
        <v>0</v>
      </c>
    </row>
    <row r="123" spans="1:4" ht="18" hidden="1" x14ac:dyDescent="0.35">
      <c r="A123" s="8" t="s">
        <v>107</v>
      </c>
      <c r="B123" s="9"/>
      <c r="C123" s="10"/>
      <c r="D123" s="11">
        <f t="shared" si="1"/>
        <v>0</v>
      </c>
    </row>
    <row r="124" spans="1:4" ht="18" hidden="1" x14ac:dyDescent="0.35">
      <c r="A124" s="22" t="s">
        <v>108</v>
      </c>
      <c r="B124" s="9"/>
      <c r="C124" s="10"/>
      <c r="D124" s="11">
        <f t="shared" si="1"/>
        <v>0</v>
      </c>
    </row>
    <row r="125" spans="1:4" ht="18" hidden="1" x14ac:dyDescent="0.35">
      <c r="A125" s="8" t="s">
        <v>109</v>
      </c>
      <c r="B125" s="9"/>
      <c r="C125" s="12">
        <v>10000</v>
      </c>
      <c r="D125" s="11">
        <f t="shared" si="1"/>
        <v>0</v>
      </c>
    </row>
    <row r="126" spans="1:4" ht="18" hidden="1" x14ac:dyDescent="0.35">
      <c r="A126" s="8" t="s">
        <v>110</v>
      </c>
      <c r="B126" s="9"/>
      <c r="C126" s="10">
        <v>10000</v>
      </c>
      <c r="D126" s="11">
        <f t="shared" si="1"/>
        <v>0</v>
      </c>
    </row>
    <row r="127" spans="1:4" ht="18" hidden="1" x14ac:dyDescent="0.35">
      <c r="A127" s="8" t="s">
        <v>111</v>
      </c>
      <c r="B127" s="9"/>
      <c r="C127" s="13"/>
      <c r="D127" s="11">
        <f t="shared" si="1"/>
        <v>0</v>
      </c>
    </row>
    <row r="128" spans="1:4" ht="18" hidden="1" x14ac:dyDescent="0.35">
      <c r="A128" s="14" t="s">
        <v>112</v>
      </c>
      <c r="B128" s="9"/>
      <c r="C128" s="10"/>
      <c r="D128" s="11">
        <f t="shared" si="1"/>
        <v>0</v>
      </c>
    </row>
    <row r="129" spans="1:4" ht="18.75" x14ac:dyDescent="0.25">
      <c r="A129" s="14" t="s">
        <v>113</v>
      </c>
      <c r="B129" s="9">
        <v>430</v>
      </c>
      <c r="C129" s="10">
        <v>14000</v>
      </c>
      <c r="D129" s="11">
        <f t="shared" si="1"/>
        <v>6020000</v>
      </c>
    </row>
    <row r="130" spans="1:4" ht="18" hidden="1" x14ac:dyDescent="0.35">
      <c r="A130" s="8" t="s">
        <v>114</v>
      </c>
      <c r="B130" s="9"/>
      <c r="C130" s="12"/>
      <c r="D130" s="11">
        <f t="shared" si="1"/>
        <v>0</v>
      </c>
    </row>
    <row r="131" spans="1:4" ht="18" hidden="1" x14ac:dyDescent="0.35">
      <c r="A131" s="14" t="s">
        <v>115</v>
      </c>
      <c r="B131" s="9"/>
      <c r="C131" s="10"/>
      <c r="D131" s="11">
        <f t="shared" si="1"/>
        <v>0</v>
      </c>
    </row>
    <row r="132" spans="1:4" ht="18" hidden="1" x14ac:dyDescent="0.35">
      <c r="A132" s="14" t="s">
        <v>116</v>
      </c>
      <c r="B132" s="9"/>
      <c r="C132" s="12"/>
      <c r="D132" s="11">
        <f t="shared" si="1"/>
        <v>0</v>
      </c>
    </row>
    <row r="133" spans="1:4" ht="18" hidden="1" x14ac:dyDescent="0.35">
      <c r="A133" s="8" t="s">
        <v>117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118</v>
      </c>
      <c r="B134" s="9"/>
      <c r="C134" s="12"/>
      <c r="D134" s="11">
        <f t="shared" si="2"/>
        <v>0</v>
      </c>
    </row>
    <row r="135" spans="1:4" ht="18" hidden="1" x14ac:dyDescent="0.35">
      <c r="A135" s="8" t="s">
        <v>119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120</v>
      </c>
      <c r="B136" s="9"/>
      <c r="C136" s="10">
        <v>16000</v>
      </c>
      <c r="D136" s="11">
        <f t="shared" si="2"/>
        <v>0</v>
      </c>
    </row>
    <row r="137" spans="1:4" ht="18.75" x14ac:dyDescent="0.25">
      <c r="A137" s="8" t="s">
        <v>121</v>
      </c>
      <c r="B137" s="9">
        <v>4</v>
      </c>
      <c r="C137" s="13">
        <v>19000</v>
      </c>
      <c r="D137" s="11">
        <f t="shared" si="2"/>
        <v>76000</v>
      </c>
    </row>
    <row r="138" spans="1:4" ht="18" hidden="1" x14ac:dyDescent="0.35">
      <c r="A138" s="8"/>
      <c r="B138" s="9"/>
      <c r="C138" s="13">
        <v>20000</v>
      </c>
      <c r="D138" s="11">
        <f t="shared" si="2"/>
        <v>0</v>
      </c>
    </row>
    <row r="139" spans="1:4" ht="18" hidden="1" x14ac:dyDescent="0.35">
      <c r="A139" s="8"/>
      <c r="B139" s="9"/>
      <c r="C139" s="13">
        <v>19000</v>
      </c>
      <c r="D139" s="11">
        <f t="shared" si="2"/>
        <v>0</v>
      </c>
    </row>
    <row r="140" spans="1:4" ht="18" hidden="1" x14ac:dyDescent="0.35">
      <c r="A140" s="8"/>
      <c r="B140" s="9"/>
      <c r="C140" s="13">
        <v>19000</v>
      </c>
      <c r="D140" s="11">
        <f t="shared" si="2"/>
        <v>0</v>
      </c>
    </row>
    <row r="141" spans="1:4" ht="18.75" x14ac:dyDescent="0.25">
      <c r="A141" s="8" t="s">
        <v>122</v>
      </c>
      <c r="B141" s="9">
        <v>5</v>
      </c>
      <c r="C141" s="12">
        <v>19000</v>
      </c>
      <c r="D141" s="11">
        <f t="shared" si="2"/>
        <v>95000</v>
      </c>
    </row>
    <row r="142" spans="1:4" ht="18" hidden="1" x14ac:dyDescent="0.35">
      <c r="A142" s="8" t="s">
        <v>123</v>
      </c>
      <c r="B142" s="9"/>
      <c r="C142" s="12"/>
      <c r="D142" s="11">
        <f t="shared" si="2"/>
        <v>0</v>
      </c>
    </row>
    <row r="143" spans="1:4" ht="18" hidden="1" x14ac:dyDescent="0.35">
      <c r="A143" s="8" t="s">
        <v>124</v>
      </c>
      <c r="B143" s="9"/>
      <c r="C143" s="13"/>
      <c r="D143" s="11">
        <f t="shared" si="2"/>
        <v>0</v>
      </c>
    </row>
    <row r="144" spans="1:4" ht="18" hidden="1" x14ac:dyDescent="0.35">
      <c r="A144" s="18" t="s">
        <v>125</v>
      </c>
      <c r="B144" s="9"/>
      <c r="C144" s="12">
        <v>8000</v>
      </c>
      <c r="D144" s="11">
        <f t="shared" si="2"/>
        <v>0</v>
      </c>
    </row>
    <row r="145" spans="1:4" ht="18" hidden="1" x14ac:dyDescent="0.35">
      <c r="A145" s="18"/>
      <c r="B145" s="9"/>
      <c r="C145" s="12">
        <v>7000</v>
      </c>
      <c r="D145" s="11">
        <f t="shared" si="2"/>
        <v>0</v>
      </c>
    </row>
    <row r="146" spans="1:4" ht="18" hidden="1" x14ac:dyDescent="0.35">
      <c r="A146" s="18"/>
      <c r="B146" s="9"/>
      <c r="C146" s="12">
        <v>8500</v>
      </c>
      <c r="D146" s="11">
        <f t="shared" si="2"/>
        <v>0</v>
      </c>
    </row>
    <row r="147" spans="1:4" ht="18" hidden="1" x14ac:dyDescent="0.35">
      <c r="A147" s="18"/>
      <c r="B147" s="9"/>
      <c r="C147" s="12">
        <v>7000</v>
      </c>
      <c r="D147" s="11">
        <f t="shared" si="2"/>
        <v>0</v>
      </c>
    </row>
    <row r="148" spans="1:4" ht="18" hidden="1" x14ac:dyDescent="0.35">
      <c r="A148" s="8" t="s">
        <v>126</v>
      </c>
      <c r="B148" s="9"/>
      <c r="C148" s="13"/>
      <c r="D148" s="11">
        <f t="shared" si="2"/>
        <v>0</v>
      </c>
    </row>
    <row r="149" spans="1:4" ht="18" hidden="1" x14ac:dyDescent="0.35">
      <c r="A149" s="8" t="s">
        <v>127</v>
      </c>
      <c r="B149" s="9"/>
      <c r="C149" s="13"/>
      <c r="D149" s="11">
        <f t="shared" si="2"/>
        <v>0</v>
      </c>
    </row>
    <row r="150" spans="1:4" ht="18" hidden="1" x14ac:dyDescent="0.35">
      <c r="A150" s="8" t="s">
        <v>128</v>
      </c>
      <c r="B150" s="9"/>
      <c r="C150" s="10">
        <v>9000</v>
      </c>
      <c r="D150" s="11">
        <f t="shared" si="2"/>
        <v>0</v>
      </c>
    </row>
    <row r="151" spans="1:4" ht="18" hidden="1" x14ac:dyDescent="0.35">
      <c r="A151" s="8"/>
      <c r="B151" s="9"/>
      <c r="C151" s="10">
        <v>8000</v>
      </c>
      <c r="D151" s="11">
        <f t="shared" si="2"/>
        <v>0</v>
      </c>
    </row>
    <row r="152" spans="1:4" ht="18" hidden="1" x14ac:dyDescent="0.35">
      <c r="A152" s="8"/>
      <c r="B152" s="9"/>
      <c r="C152" s="10">
        <v>8500</v>
      </c>
      <c r="D152" s="11">
        <f t="shared" si="2"/>
        <v>0</v>
      </c>
    </row>
    <row r="153" spans="1:4" ht="18" hidden="1" x14ac:dyDescent="0.35">
      <c r="A153" s="8"/>
      <c r="B153" s="9"/>
      <c r="C153" s="10">
        <v>9000</v>
      </c>
      <c r="D153" s="11">
        <f t="shared" si="2"/>
        <v>0</v>
      </c>
    </row>
    <row r="154" spans="1:4" ht="18" hidden="1" x14ac:dyDescent="0.35">
      <c r="A154" s="8"/>
      <c r="B154" s="9"/>
      <c r="C154" s="10">
        <v>9000</v>
      </c>
      <c r="D154" s="11">
        <f t="shared" si="2"/>
        <v>0</v>
      </c>
    </row>
    <row r="155" spans="1:4" ht="18" hidden="1" x14ac:dyDescent="0.35">
      <c r="A155" s="8"/>
      <c r="B155" s="9"/>
      <c r="C155" s="10">
        <v>7500</v>
      </c>
      <c r="D155" s="11">
        <f t="shared" si="2"/>
        <v>0</v>
      </c>
    </row>
    <row r="156" spans="1:4" ht="18" hidden="1" x14ac:dyDescent="0.35">
      <c r="A156" s="14" t="s">
        <v>129</v>
      </c>
      <c r="B156" s="9"/>
      <c r="C156" s="10"/>
      <c r="D156" s="11">
        <f t="shared" si="2"/>
        <v>0</v>
      </c>
    </row>
    <row r="157" spans="1:4" ht="18" hidden="1" x14ac:dyDescent="0.35">
      <c r="A157" s="8" t="s">
        <v>130</v>
      </c>
      <c r="B157" s="9"/>
      <c r="C157" s="12">
        <v>15000</v>
      </c>
      <c r="D157" s="11">
        <f t="shared" si="2"/>
        <v>0</v>
      </c>
    </row>
    <row r="158" spans="1:4" ht="18" hidden="1" x14ac:dyDescent="0.35">
      <c r="A158" s="8" t="s">
        <v>131</v>
      </c>
      <c r="B158" s="9"/>
      <c r="C158" s="12"/>
      <c r="D158" s="11">
        <f t="shared" si="2"/>
        <v>0</v>
      </c>
    </row>
    <row r="159" spans="1:4" ht="18" hidden="1" x14ac:dyDescent="0.35">
      <c r="A159" s="8" t="s">
        <v>132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133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134</v>
      </c>
      <c r="B161" s="9"/>
      <c r="C161" s="10">
        <v>4000</v>
      </c>
      <c r="D161" s="11">
        <f t="shared" si="2"/>
        <v>0</v>
      </c>
    </row>
    <row r="162" spans="1:4" ht="18" hidden="1" x14ac:dyDescent="0.35">
      <c r="A162" s="8" t="s">
        <v>135</v>
      </c>
      <c r="B162" s="9"/>
      <c r="C162" s="19"/>
      <c r="D162" s="11">
        <f t="shared" si="2"/>
        <v>0</v>
      </c>
    </row>
    <row r="163" spans="1:4" ht="18" hidden="1" x14ac:dyDescent="0.35">
      <c r="A163" s="8" t="s">
        <v>136</v>
      </c>
      <c r="B163" s="9"/>
      <c r="C163" s="10">
        <v>15000</v>
      </c>
      <c r="D163" s="11">
        <f t="shared" si="2"/>
        <v>0</v>
      </c>
    </row>
    <row r="164" spans="1:4" ht="18" hidden="1" x14ac:dyDescent="0.35">
      <c r="A164" s="8" t="s">
        <v>137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138</v>
      </c>
      <c r="B165" s="9"/>
      <c r="C165" s="13">
        <v>25000</v>
      </c>
      <c r="D165" s="11">
        <f t="shared" si="2"/>
        <v>0</v>
      </c>
    </row>
    <row r="166" spans="1:4" ht="18" hidden="1" x14ac:dyDescent="0.35">
      <c r="A166" s="23" t="s">
        <v>139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140</v>
      </c>
      <c r="B167" s="9"/>
      <c r="C167" s="10"/>
      <c r="D167" s="11">
        <f t="shared" si="2"/>
        <v>0</v>
      </c>
    </row>
    <row r="168" spans="1:4" ht="18.75" x14ac:dyDescent="0.25">
      <c r="A168" s="14" t="s">
        <v>141</v>
      </c>
      <c r="B168" s="9">
        <v>16</v>
      </c>
      <c r="C168" s="10">
        <v>11000</v>
      </c>
      <c r="D168" s="11">
        <f t="shared" si="2"/>
        <v>176000</v>
      </c>
    </row>
    <row r="169" spans="1:4" ht="18" hidden="1" x14ac:dyDescent="0.35">
      <c r="A169" s="8" t="s">
        <v>142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143</v>
      </c>
      <c r="B170" s="9"/>
      <c r="C170" s="13">
        <v>9000</v>
      </c>
      <c r="D170" s="11">
        <f t="shared" si="2"/>
        <v>0</v>
      </c>
    </row>
    <row r="171" spans="1:4" ht="18" hidden="1" x14ac:dyDescent="0.35">
      <c r="A171" s="8"/>
      <c r="B171" s="9"/>
      <c r="C171" s="13">
        <v>9000</v>
      </c>
      <c r="D171" s="11">
        <f t="shared" si="2"/>
        <v>0</v>
      </c>
    </row>
    <row r="172" spans="1:4" ht="18" hidden="1" x14ac:dyDescent="0.35">
      <c r="A172" s="8"/>
      <c r="B172" s="9"/>
      <c r="C172" s="13">
        <v>8000</v>
      </c>
      <c r="D172" s="11">
        <f t="shared" si="2"/>
        <v>0</v>
      </c>
    </row>
    <row r="173" spans="1:4" ht="18" hidden="1" x14ac:dyDescent="0.35">
      <c r="A173" s="8" t="s">
        <v>144</v>
      </c>
      <c r="B173" s="9"/>
      <c r="C173" s="10"/>
      <c r="D173" s="11">
        <f t="shared" si="2"/>
        <v>0</v>
      </c>
    </row>
    <row r="174" spans="1:4" ht="18" hidden="1" x14ac:dyDescent="0.35">
      <c r="A174" s="8" t="s">
        <v>145</v>
      </c>
      <c r="B174" s="9"/>
      <c r="C174" s="12">
        <v>12500</v>
      </c>
      <c r="D174" s="11">
        <f t="shared" si="2"/>
        <v>0</v>
      </c>
    </row>
    <row r="175" spans="1:4" ht="18" hidden="1" x14ac:dyDescent="0.35">
      <c r="A175" s="8" t="s">
        <v>146</v>
      </c>
      <c r="B175" s="9"/>
      <c r="C175" s="12">
        <v>11000</v>
      </c>
      <c r="D175" s="11">
        <f t="shared" si="2"/>
        <v>0</v>
      </c>
    </row>
    <row r="176" spans="1:4" ht="18" hidden="1" x14ac:dyDescent="0.35">
      <c r="A176" s="8" t="s">
        <v>147</v>
      </c>
      <c r="B176" s="9"/>
      <c r="C176" s="12"/>
      <c r="D176" s="11">
        <f t="shared" si="2"/>
        <v>0</v>
      </c>
    </row>
    <row r="177" spans="1:4" ht="18" hidden="1" x14ac:dyDescent="0.35">
      <c r="A177" s="24" t="s">
        <v>148</v>
      </c>
      <c r="B177" s="9"/>
      <c r="C177" s="12"/>
      <c r="D177" s="11">
        <f t="shared" si="2"/>
        <v>0</v>
      </c>
    </row>
    <row r="178" spans="1:4" ht="18" hidden="1" x14ac:dyDescent="0.35">
      <c r="A178" s="8" t="s">
        <v>149</v>
      </c>
      <c r="B178" s="9"/>
      <c r="C178" s="10">
        <v>18000</v>
      </c>
      <c r="D178" s="11">
        <f t="shared" si="2"/>
        <v>0</v>
      </c>
    </row>
    <row r="179" spans="1:4" ht="18" hidden="1" x14ac:dyDescent="0.35">
      <c r="A179" s="8" t="s">
        <v>150</v>
      </c>
      <c r="B179" s="9"/>
      <c r="C179" s="25"/>
      <c r="D179" s="11">
        <f t="shared" si="2"/>
        <v>0</v>
      </c>
    </row>
    <row r="180" spans="1:4" ht="18" hidden="1" x14ac:dyDescent="0.35">
      <c r="A180" s="14" t="s">
        <v>151</v>
      </c>
      <c r="B180" s="9"/>
      <c r="C180" s="10"/>
      <c r="D180" s="11">
        <f t="shared" si="2"/>
        <v>0</v>
      </c>
    </row>
    <row r="181" spans="1:4" ht="18" hidden="1" x14ac:dyDescent="0.35">
      <c r="A181" s="14" t="s">
        <v>152</v>
      </c>
      <c r="B181" s="9"/>
      <c r="C181" s="10"/>
      <c r="D181" s="11">
        <f t="shared" si="2"/>
        <v>0</v>
      </c>
    </row>
    <row r="182" spans="1:4" ht="18" hidden="1" x14ac:dyDescent="0.35">
      <c r="A182" s="8" t="s">
        <v>153</v>
      </c>
      <c r="B182" s="9"/>
      <c r="C182" s="10"/>
      <c r="D182" s="11">
        <f t="shared" si="2"/>
        <v>0</v>
      </c>
    </row>
    <row r="183" spans="1:4" ht="18" hidden="1" x14ac:dyDescent="0.35">
      <c r="A183" s="8" t="s">
        <v>154</v>
      </c>
      <c r="B183" s="9"/>
      <c r="C183" s="10"/>
      <c r="D183" s="11">
        <f t="shared" si="2"/>
        <v>0</v>
      </c>
    </row>
    <row r="184" spans="1:4" ht="18" hidden="1" x14ac:dyDescent="0.35">
      <c r="A184" s="8" t="s">
        <v>155</v>
      </c>
      <c r="B184" s="9"/>
      <c r="C184" s="10"/>
      <c r="D184" s="11">
        <f t="shared" si="2"/>
        <v>0</v>
      </c>
    </row>
    <row r="185" spans="1:4" ht="18" hidden="1" x14ac:dyDescent="0.35">
      <c r="A185" s="8" t="s">
        <v>156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157</v>
      </c>
      <c r="B186" s="9"/>
      <c r="C186" s="10">
        <v>15000</v>
      </c>
      <c r="D186" s="11">
        <f t="shared" si="2"/>
        <v>0</v>
      </c>
    </row>
    <row r="187" spans="1:4" ht="18" hidden="1" x14ac:dyDescent="0.35">
      <c r="A187" s="8" t="s">
        <v>158</v>
      </c>
      <c r="B187" s="9"/>
      <c r="C187" s="10">
        <v>50000</v>
      </c>
      <c r="D187" s="11">
        <f t="shared" si="2"/>
        <v>0</v>
      </c>
    </row>
    <row r="188" spans="1:4" ht="18" hidden="1" x14ac:dyDescent="0.35">
      <c r="A188" s="8" t="s">
        <v>159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160</v>
      </c>
      <c r="B189" s="9"/>
      <c r="C189" s="10"/>
      <c r="D189" s="11">
        <f t="shared" si="2"/>
        <v>0</v>
      </c>
    </row>
    <row r="190" spans="1:4" ht="18" hidden="1" x14ac:dyDescent="0.35">
      <c r="A190" s="8" t="s">
        <v>161</v>
      </c>
      <c r="B190" s="9"/>
      <c r="C190" s="10">
        <v>30000</v>
      </c>
      <c r="D190" s="11">
        <f t="shared" si="2"/>
        <v>0</v>
      </c>
    </row>
    <row r="191" spans="1:4" ht="18" hidden="1" x14ac:dyDescent="0.35">
      <c r="A191" s="8" t="s">
        <v>162</v>
      </c>
      <c r="B191" s="9"/>
      <c r="C191" s="10"/>
      <c r="D191" s="11">
        <f t="shared" si="2"/>
        <v>0</v>
      </c>
    </row>
    <row r="192" spans="1:4" ht="18" hidden="1" x14ac:dyDescent="0.35">
      <c r="A192" s="14" t="s">
        <v>163</v>
      </c>
      <c r="B192" s="9"/>
      <c r="C192" s="15"/>
      <c r="D192" s="11">
        <f t="shared" si="2"/>
        <v>0</v>
      </c>
    </row>
    <row r="193" spans="1:4" ht="18" hidden="1" x14ac:dyDescent="0.35">
      <c r="A193" s="14" t="s">
        <v>164</v>
      </c>
      <c r="B193" s="9"/>
      <c r="C193" s="15"/>
      <c r="D193" s="11">
        <f t="shared" si="2"/>
        <v>0</v>
      </c>
    </row>
    <row r="194" spans="1:4" ht="18.75" x14ac:dyDescent="0.25">
      <c r="A194" s="8" t="s">
        <v>165</v>
      </c>
      <c r="B194" s="9">
        <v>64</v>
      </c>
      <c r="C194" s="10">
        <v>22000</v>
      </c>
      <c r="D194" s="11">
        <f t="shared" si="2"/>
        <v>1408000</v>
      </c>
    </row>
    <row r="195" spans="1:4" ht="18.75" x14ac:dyDescent="0.25">
      <c r="A195" s="26" t="s">
        <v>166</v>
      </c>
      <c r="B195" s="9">
        <v>68</v>
      </c>
      <c r="C195" s="10">
        <v>7500</v>
      </c>
      <c r="D195" s="11">
        <f t="shared" si="2"/>
        <v>510000</v>
      </c>
    </row>
    <row r="196" spans="1:4" ht="18" hidden="1" x14ac:dyDescent="0.35">
      <c r="A196" s="8" t="s">
        <v>167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168</v>
      </c>
      <c r="B197" s="9"/>
      <c r="C197" s="12">
        <v>13000</v>
      </c>
      <c r="D197" s="11">
        <f t="shared" ref="D197:D250" si="3">B197*C197</f>
        <v>0</v>
      </c>
    </row>
    <row r="198" spans="1:4" ht="18" hidden="1" x14ac:dyDescent="0.35">
      <c r="A198" s="8" t="s">
        <v>169</v>
      </c>
      <c r="B198" s="9"/>
      <c r="C198" s="10"/>
      <c r="D198" s="11">
        <f t="shared" si="3"/>
        <v>0</v>
      </c>
    </row>
    <row r="199" spans="1:4" ht="18" hidden="1" x14ac:dyDescent="0.35">
      <c r="A199" s="8" t="s">
        <v>170</v>
      </c>
      <c r="B199" s="9"/>
      <c r="C199" s="10"/>
      <c r="D199" s="11">
        <f t="shared" si="3"/>
        <v>0</v>
      </c>
    </row>
    <row r="200" spans="1:4" ht="18" hidden="1" x14ac:dyDescent="0.35">
      <c r="A200" s="8" t="s">
        <v>171</v>
      </c>
      <c r="B200" s="9"/>
      <c r="C200" s="13"/>
      <c r="D200" s="11">
        <f t="shared" si="3"/>
        <v>0</v>
      </c>
    </row>
    <row r="201" spans="1:4" ht="18" hidden="1" x14ac:dyDescent="0.35">
      <c r="A201" s="8" t="s">
        <v>172</v>
      </c>
      <c r="B201" s="9"/>
      <c r="C201" s="13">
        <v>6100</v>
      </c>
      <c r="D201" s="11">
        <f t="shared" si="3"/>
        <v>0</v>
      </c>
    </row>
    <row r="202" spans="1:4" ht="18" hidden="1" x14ac:dyDescent="0.35">
      <c r="A202" s="8" t="s">
        <v>173</v>
      </c>
      <c r="B202" s="9"/>
      <c r="C202" s="13">
        <v>25000</v>
      </c>
      <c r="D202" s="11">
        <f t="shared" si="3"/>
        <v>0</v>
      </c>
    </row>
    <row r="203" spans="1:4" ht="18" hidden="1" x14ac:dyDescent="0.35">
      <c r="A203" s="8" t="s">
        <v>174</v>
      </c>
      <c r="B203" s="9"/>
      <c r="C203" s="13">
        <v>6100</v>
      </c>
      <c r="D203" s="11">
        <f t="shared" si="3"/>
        <v>0</v>
      </c>
    </row>
    <row r="204" spans="1:4" ht="18" hidden="1" x14ac:dyDescent="0.35">
      <c r="A204" s="8" t="s">
        <v>175</v>
      </c>
      <c r="B204" s="9"/>
      <c r="C204" s="13"/>
      <c r="D204" s="11">
        <f t="shared" si="3"/>
        <v>0</v>
      </c>
    </row>
    <row r="205" spans="1:4" ht="18" hidden="1" x14ac:dyDescent="0.35">
      <c r="A205" s="8" t="s">
        <v>176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177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178</v>
      </c>
      <c r="B207" s="9"/>
      <c r="C207" s="12">
        <v>27000</v>
      </c>
      <c r="D207" s="11">
        <f t="shared" si="3"/>
        <v>0</v>
      </c>
    </row>
    <row r="208" spans="1:4" ht="18" hidden="1" x14ac:dyDescent="0.35">
      <c r="A208" s="27" t="s">
        <v>179</v>
      </c>
      <c r="B208" s="9"/>
      <c r="C208" s="13">
        <v>25000</v>
      </c>
      <c r="D208" s="11">
        <f t="shared" si="3"/>
        <v>0</v>
      </c>
    </row>
    <row r="209" spans="1:4" ht="18" hidden="1" x14ac:dyDescent="0.35">
      <c r="A209" s="27" t="s">
        <v>180</v>
      </c>
      <c r="B209" s="9"/>
      <c r="C209" s="13">
        <v>6100</v>
      </c>
      <c r="D209" s="11">
        <f t="shared" si="3"/>
        <v>0</v>
      </c>
    </row>
    <row r="210" spans="1:4" ht="18" hidden="1" x14ac:dyDescent="0.35">
      <c r="A210" s="27" t="s">
        <v>181</v>
      </c>
      <c r="B210" s="9"/>
      <c r="C210" s="12"/>
      <c r="D210" s="11">
        <f t="shared" si="3"/>
        <v>0</v>
      </c>
    </row>
    <row r="211" spans="1:4" ht="18" hidden="1" x14ac:dyDescent="0.35">
      <c r="A211" s="27" t="s">
        <v>182</v>
      </c>
      <c r="B211" s="9"/>
      <c r="C211" s="12"/>
      <c r="D211" s="11">
        <f t="shared" si="3"/>
        <v>0</v>
      </c>
    </row>
    <row r="212" spans="1:4" ht="18" hidden="1" x14ac:dyDescent="0.35">
      <c r="A212" s="8" t="s">
        <v>183</v>
      </c>
      <c r="B212" s="9"/>
      <c r="C212" s="13">
        <v>6100</v>
      </c>
      <c r="D212" s="11">
        <f t="shared" si="3"/>
        <v>0</v>
      </c>
    </row>
    <row r="213" spans="1:4" ht="18" hidden="1" x14ac:dyDescent="0.35">
      <c r="A213" s="8" t="s">
        <v>184</v>
      </c>
      <c r="B213" s="9"/>
      <c r="C213" s="13"/>
      <c r="D213" s="11">
        <f t="shared" si="3"/>
        <v>0</v>
      </c>
    </row>
    <row r="214" spans="1:4" ht="18" hidden="1" x14ac:dyDescent="0.35">
      <c r="A214" s="8" t="s">
        <v>185</v>
      </c>
      <c r="B214" s="9"/>
      <c r="C214" s="13">
        <v>25000</v>
      </c>
      <c r="D214" s="11">
        <f t="shared" si="3"/>
        <v>0</v>
      </c>
    </row>
    <row r="215" spans="1:4" ht="18" hidden="1" x14ac:dyDescent="0.35">
      <c r="A215" s="8" t="s">
        <v>186</v>
      </c>
      <c r="B215" s="9"/>
      <c r="C215" s="13">
        <v>25000</v>
      </c>
      <c r="D215" s="11">
        <f t="shared" si="3"/>
        <v>0</v>
      </c>
    </row>
    <row r="216" spans="1:4" ht="18" hidden="1" x14ac:dyDescent="0.35">
      <c r="A216" s="8" t="s">
        <v>187</v>
      </c>
      <c r="B216" s="9"/>
      <c r="C216" s="13"/>
      <c r="D216" s="11">
        <f t="shared" si="3"/>
        <v>0</v>
      </c>
    </row>
    <row r="217" spans="1:4" ht="18" hidden="1" x14ac:dyDescent="0.35">
      <c r="A217" s="8" t="s">
        <v>188</v>
      </c>
      <c r="B217" s="9"/>
      <c r="C217" s="10">
        <v>11000</v>
      </c>
      <c r="D217" s="11">
        <f t="shared" si="3"/>
        <v>0</v>
      </c>
    </row>
    <row r="218" spans="1:4" ht="18" hidden="1" x14ac:dyDescent="0.35">
      <c r="A218" s="8" t="s">
        <v>189</v>
      </c>
      <c r="B218" s="9"/>
      <c r="C218" s="13"/>
      <c r="D218" s="11">
        <f t="shared" si="3"/>
        <v>0</v>
      </c>
    </row>
    <row r="219" spans="1:4" ht="18" hidden="1" x14ac:dyDescent="0.35">
      <c r="A219" s="8" t="s">
        <v>190</v>
      </c>
      <c r="B219" s="9"/>
      <c r="C219" s="12"/>
      <c r="D219" s="11">
        <f t="shared" si="3"/>
        <v>0</v>
      </c>
    </row>
    <row r="220" spans="1:4" ht="18" hidden="1" x14ac:dyDescent="0.35">
      <c r="A220" s="8" t="s">
        <v>191</v>
      </c>
      <c r="B220" s="9"/>
      <c r="C220" s="10"/>
      <c r="D220" s="11">
        <f t="shared" si="3"/>
        <v>0</v>
      </c>
    </row>
    <row r="221" spans="1:4" ht="18" hidden="1" x14ac:dyDescent="0.35">
      <c r="A221" s="8" t="s">
        <v>192</v>
      </c>
      <c r="B221" s="9"/>
      <c r="C221" s="13">
        <v>42000</v>
      </c>
      <c r="D221" s="11">
        <f t="shared" si="3"/>
        <v>0</v>
      </c>
    </row>
    <row r="222" spans="1:4" ht="18" hidden="1" x14ac:dyDescent="0.35">
      <c r="A222" s="8"/>
      <c r="B222" s="9"/>
      <c r="C222" s="13">
        <v>55988</v>
      </c>
      <c r="D222" s="11">
        <f t="shared" si="3"/>
        <v>0</v>
      </c>
    </row>
    <row r="223" spans="1:4" ht="18" hidden="1" x14ac:dyDescent="0.35">
      <c r="A223" s="8"/>
      <c r="B223" s="9"/>
      <c r="C223" s="13">
        <v>72000</v>
      </c>
      <c r="D223" s="11">
        <f t="shared" si="3"/>
        <v>0</v>
      </c>
    </row>
    <row r="224" spans="1:4" ht="18" hidden="1" x14ac:dyDescent="0.35">
      <c r="A224" s="8" t="s">
        <v>193</v>
      </c>
      <c r="B224" s="9"/>
      <c r="C224" s="10">
        <v>18000</v>
      </c>
      <c r="D224" s="11">
        <f t="shared" si="3"/>
        <v>0</v>
      </c>
    </row>
    <row r="225" spans="1:4" ht="18" hidden="1" x14ac:dyDescent="0.35">
      <c r="A225" s="8" t="s">
        <v>194</v>
      </c>
      <c r="B225" s="9"/>
      <c r="C225" s="10"/>
      <c r="D225" s="11">
        <f t="shared" si="3"/>
        <v>0</v>
      </c>
    </row>
    <row r="226" spans="1:4" ht="18" hidden="1" x14ac:dyDescent="0.35">
      <c r="A226" s="8"/>
      <c r="B226" s="9"/>
      <c r="C226" s="10">
        <v>36000</v>
      </c>
      <c r="D226" s="11">
        <f t="shared" si="3"/>
        <v>0</v>
      </c>
    </row>
    <row r="227" spans="1:4" ht="18" hidden="1" x14ac:dyDescent="0.35">
      <c r="A227" s="8"/>
      <c r="B227" s="9"/>
      <c r="C227" s="10">
        <v>36000</v>
      </c>
      <c r="D227" s="11">
        <f t="shared" si="3"/>
        <v>0</v>
      </c>
    </row>
    <row r="228" spans="1:4" ht="18" hidden="1" x14ac:dyDescent="0.35">
      <c r="A228" s="8" t="s">
        <v>195</v>
      </c>
      <c r="B228" s="9"/>
      <c r="C228" s="10"/>
      <c r="D228" s="11">
        <f t="shared" si="3"/>
        <v>0</v>
      </c>
    </row>
    <row r="229" spans="1:4" ht="18" hidden="1" x14ac:dyDescent="0.35">
      <c r="A229" s="8"/>
      <c r="B229" s="9"/>
      <c r="C229" s="10">
        <v>35000</v>
      </c>
      <c r="D229" s="11">
        <f t="shared" si="3"/>
        <v>0</v>
      </c>
    </row>
    <row r="230" spans="1:4" ht="18.75" x14ac:dyDescent="0.25">
      <c r="A230" s="14" t="s">
        <v>196</v>
      </c>
      <c r="B230" s="9">
        <v>4</v>
      </c>
      <c r="C230" s="12">
        <v>3000</v>
      </c>
      <c r="D230" s="11">
        <f t="shared" si="3"/>
        <v>12000</v>
      </c>
    </row>
    <row r="231" spans="1:4" ht="18.75" x14ac:dyDescent="0.25">
      <c r="A231" s="14" t="s">
        <v>197</v>
      </c>
      <c r="B231" s="9">
        <v>9</v>
      </c>
      <c r="C231" s="10">
        <v>12000</v>
      </c>
      <c r="D231" s="11">
        <f t="shared" si="3"/>
        <v>108000</v>
      </c>
    </row>
    <row r="232" spans="1:4" ht="18" hidden="1" x14ac:dyDescent="0.35">
      <c r="A232" s="8" t="s">
        <v>198</v>
      </c>
      <c r="B232" s="9"/>
      <c r="C232" s="10">
        <v>8000</v>
      </c>
      <c r="D232" s="11">
        <f t="shared" si="3"/>
        <v>0</v>
      </c>
    </row>
    <row r="233" spans="1:4" ht="18" hidden="1" x14ac:dyDescent="0.35">
      <c r="A233" s="8" t="s">
        <v>199</v>
      </c>
      <c r="B233" s="9"/>
      <c r="C233" s="12">
        <v>17000</v>
      </c>
      <c r="D233" s="11">
        <f t="shared" si="3"/>
        <v>0</v>
      </c>
    </row>
    <row r="234" spans="1:4" ht="18" hidden="1" x14ac:dyDescent="0.35">
      <c r="A234" s="8" t="s">
        <v>200</v>
      </c>
      <c r="B234" s="9"/>
      <c r="C234" s="12"/>
      <c r="D234" s="11">
        <f t="shared" si="3"/>
        <v>0</v>
      </c>
    </row>
    <row r="235" spans="1:4" ht="18" hidden="1" x14ac:dyDescent="0.35">
      <c r="A235" s="8" t="s">
        <v>201</v>
      </c>
      <c r="B235" s="9"/>
      <c r="C235" s="19"/>
      <c r="D235" s="11">
        <f t="shared" si="3"/>
        <v>0</v>
      </c>
    </row>
    <row r="236" spans="1:4" ht="18" hidden="1" x14ac:dyDescent="0.35">
      <c r="A236" s="8" t="s">
        <v>202</v>
      </c>
      <c r="B236" s="9"/>
      <c r="C236" s="12">
        <v>12000</v>
      </c>
      <c r="D236" s="11">
        <f t="shared" si="3"/>
        <v>0</v>
      </c>
    </row>
    <row r="237" spans="1:4" ht="18" hidden="1" x14ac:dyDescent="0.35">
      <c r="A237" s="8" t="s">
        <v>203</v>
      </c>
      <c r="B237" s="9"/>
      <c r="C237" s="12"/>
      <c r="D237" s="11">
        <f t="shared" si="3"/>
        <v>0</v>
      </c>
    </row>
    <row r="238" spans="1:4" ht="18.75" x14ac:dyDescent="0.25">
      <c r="A238" s="8" t="s">
        <v>204</v>
      </c>
      <c r="B238" s="9">
        <f>80+1770</f>
        <v>1850</v>
      </c>
      <c r="C238" s="13">
        <v>9000</v>
      </c>
      <c r="D238" s="11">
        <f t="shared" si="3"/>
        <v>16650000</v>
      </c>
    </row>
    <row r="239" spans="1:4" ht="18.75" x14ac:dyDescent="0.25">
      <c r="A239" s="8" t="s">
        <v>205</v>
      </c>
      <c r="B239" s="9">
        <v>7</v>
      </c>
      <c r="C239" s="10">
        <v>9000</v>
      </c>
      <c r="D239" s="11">
        <f t="shared" si="3"/>
        <v>63000</v>
      </c>
    </row>
    <row r="240" spans="1:4" ht="18" hidden="1" x14ac:dyDescent="0.35">
      <c r="A240" s="8"/>
      <c r="B240" s="9"/>
      <c r="C240" s="10">
        <v>9000</v>
      </c>
      <c r="D240" s="11">
        <f t="shared" si="3"/>
        <v>0</v>
      </c>
    </row>
    <row r="241" spans="1:4" ht="18" hidden="1" x14ac:dyDescent="0.35">
      <c r="A241" s="8"/>
      <c r="B241" s="9"/>
      <c r="C241" s="10">
        <v>8500</v>
      </c>
      <c r="D241" s="11">
        <f t="shared" si="3"/>
        <v>0</v>
      </c>
    </row>
    <row r="242" spans="1:4" ht="18" hidden="1" x14ac:dyDescent="0.35">
      <c r="A242" s="8" t="s">
        <v>206</v>
      </c>
      <c r="B242" s="9"/>
      <c r="C242" s="13"/>
      <c r="D242" s="11">
        <f t="shared" si="3"/>
        <v>0</v>
      </c>
    </row>
    <row r="243" spans="1:4" ht="18" hidden="1" x14ac:dyDescent="0.35">
      <c r="A243" s="8" t="s">
        <v>207</v>
      </c>
      <c r="B243" s="9"/>
      <c r="C243" s="13"/>
      <c r="D243" s="11">
        <f t="shared" si="3"/>
        <v>0</v>
      </c>
    </row>
    <row r="244" spans="1:4" ht="18" hidden="1" x14ac:dyDescent="0.35">
      <c r="A244" s="8" t="s">
        <v>208</v>
      </c>
      <c r="B244" s="9"/>
      <c r="C244" s="13"/>
      <c r="D244" s="11">
        <f t="shared" si="3"/>
        <v>0</v>
      </c>
    </row>
    <row r="245" spans="1:4" ht="18" hidden="1" x14ac:dyDescent="0.35">
      <c r="A245" s="14" t="s">
        <v>209</v>
      </c>
      <c r="B245" s="9"/>
      <c r="C245" s="10"/>
      <c r="D245" s="11">
        <f t="shared" si="3"/>
        <v>0</v>
      </c>
    </row>
    <row r="246" spans="1:4" ht="18" hidden="1" x14ac:dyDescent="0.35">
      <c r="A246" s="8" t="s">
        <v>210</v>
      </c>
      <c r="B246" s="9"/>
      <c r="C246" s="12"/>
      <c r="D246" s="11">
        <f t="shared" si="3"/>
        <v>0</v>
      </c>
    </row>
    <row r="247" spans="1:4" ht="18" hidden="1" x14ac:dyDescent="0.35">
      <c r="A247" s="8" t="s">
        <v>211</v>
      </c>
      <c r="B247" s="9"/>
      <c r="C247" s="13"/>
      <c r="D247" s="11">
        <f t="shared" si="3"/>
        <v>0</v>
      </c>
    </row>
    <row r="248" spans="1:4" ht="18" hidden="1" x14ac:dyDescent="0.35">
      <c r="A248" s="8" t="s">
        <v>212</v>
      </c>
      <c r="B248" s="9"/>
      <c r="C248" s="13"/>
      <c r="D248" s="11">
        <f t="shared" si="3"/>
        <v>0</v>
      </c>
    </row>
    <row r="249" spans="1:4" ht="18" hidden="1" x14ac:dyDescent="0.35">
      <c r="A249" s="8" t="s">
        <v>213</v>
      </c>
      <c r="B249" s="9"/>
      <c r="C249" s="13"/>
      <c r="D249" s="11">
        <f t="shared" si="3"/>
        <v>0</v>
      </c>
    </row>
    <row r="250" spans="1:4" ht="18" hidden="1" x14ac:dyDescent="0.35">
      <c r="A250" s="8" t="s">
        <v>214</v>
      </c>
      <c r="B250" s="9"/>
      <c r="C250" s="13"/>
      <c r="D250" s="11">
        <f t="shared" si="3"/>
        <v>0</v>
      </c>
    </row>
    <row r="251" spans="1:4" ht="18.75" x14ac:dyDescent="0.25">
      <c r="A251" s="28"/>
      <c r="B251" s="29">
        <f t="shared" ref="B251:D251" si="4">SUM(B4:B250)</f>
        <v>2506</v>
      </c>
      <c r="C251" s="30"/>
      <c r="D251" s="30">
        <f t="shared" si="4"/>
        <v>26903000</v>
      </c>
    </row>
    <row r="252" spans="1:4" x14ac:dyDescent="0.25">
      <c r="A252" s="31"/>
      <c r="B252" s="31"/>
      <c r="C252" s="31"/>
      <c r="D252" s="32"/>
    </row>
  </sheetData>
  <protectedRanges>
    <protectedRange password="CC4C" sqref="C252 C1:C250" name="tho5"/>
    <protectedRange password="CF71" sqref="B252 B1:B250" name="tho"/>
  </protectedRanges>
  <autoFilter ref="A2:U25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1"/>
  <sheetViews>
    <sheetView workbookViewId="0">
      <selection activeCell="B2" sqref="B2"/>
    </sheetView>
  </sheetViews>
  <sheetFormatPr defaultRowHeight="15" x14ac:dyDescent="0.25"/>
  <cols>
    <col min="1" max="1" width="25.28515625" customWidth="1"/>
    <col min="2" max="2" width="10.140625" customWidth="1"/>
    <col min="3" max="3" width="13.42578125" customWidth="1"/>
    <col min="4" max="4" width="20.42578125" customWidth="1"/>
  </cols>
  <sheetData>
    <row r="1" spans="1:4" x14ac:dyDescent="0.25">
      <c r="A1" s="1" t="s">
        <v>215</v>
      </c>
      <c r="B1" s="2"/>
      <c r="C1" s="2"/>
      <c r="D1" s="3"/>
    </row>
    <row r="2" spans="1:4" ht="25.5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.75" x14ac:dyDescent="0.25">
      <c r="A4" s="8" t="s">
        <v>5</v>
      </c>
      <c r="B4" s="33">
        <v>8</v>
      </c>
      <c r="C4" s="10">
        <v>19000</v>
      </c>
      <c r="D4" s="11">
        <f>B4*C4</f>
        <v>152000</v>
      </c>
    </row>
    <row r="5" spans="1:4" ht="18" hidden="1" x14ac:dyDescent="0.35">
      <c r="A5" s="8" t="s">
        <v>6</v>
      </c>
      <c r="B5" s="33">
        <v>0</v>
      </c>
      <c r="C5" s="10">
        <v>18000</v>
      </c>
      <c r="D5" s="11">
        <f t="shared" ref="D5:D68" si="0">B5*C5</f>
        <v>0</v>
      </c>
    </row>
    <row r="6" spans="1:4" ht="18" hidden="1" x14ac:dyDescent="0.35">
      <c r="A6" s="8"/>
      <c r="B6" s="33">
        <v>0</v>
      </c>
      <c r="C6" s="10">
        <v>20000</v>
      </c>
      <c r="D6" s="11">
        <f t="shared" si="0"/>
        <v>0</v>
      </c>
    </row>
    <row r="7" spans="1:4" ht="18" hidden="1" x14ac:dyDescent="0.35">
      <c r="A7" s="8"/>
      <c r="B7" s="33">
        <v>0</v>
      </c>
      <c r="C7" s="10">
        <v>22000</v>
      </c>
      <c r="D7" s="11">
        <f t="shared" si="0"/>
        <v>0</v>
      </c>
    </row>
    <row r="8" spans="1:4" ht="18" hidden="1" x14ac:dyDescent="0.35">
      <c r="A8" s="8"/>
      <c r="B8" s="33">
        <v>0</v>
      </c>
      <c r="C8" s="10">
        <v>20000</v>
      </c>
      <c r="D8" s="11">
        <f t="shared" si="0"/>
        <v>0</v>
      </c>
    </row>
    <row r="9" spans="1:4" ht="18" hidden="1" x14ac:dyDescent="0.35">
      <c r="A9" s="8" t="s">
        <v>7</v>
      </c>
      <c r="B9" s="33">
        <v>0</v>
      </c>
      <c r="C9" s="10"/>
      <c r="D9" s="11">
        <f t="shared" si="0"/>
        <v>0</v>
      </c>
    </row>
    <row r="10" spans="1:4" ht="18" hidden="1" x14ac:dyDescent="0.35">
      <c r="A10" s="8" t="s">
        <v>8</v>
      </c>
      <c r="B10" s="33">
        <v>0</v>
      </c>
      <c r="C10" s="12">
        <v>42000</v>
      </c>
      <c r="D10" s="11">
        <f t="shared" si="0"/>
        <v>0</v>
      </c>
    </row>
    <row r="11" spans="1:4" ht="18" hidden="1" x14ac:dyDescent="0.35">
      <c r="A11" s="8"/>
      <c r="B11" s="33">
        <v>0</v>
      </c>
      <c r="C11" s="12">
        <v>40000</v>
      </c>
      <c r="D11" s="11">
        <f t="shared" si="0"/>
        <v>0</v>
      </c>
    </row>
    <row r="12" spans="1:4" ht="18" hidden="1" x14ac:dyDescent="0.35">
      <c r="A12" s="8" t="s">
        <v>9</v>
      </c>
      <c r="B12" s="33">
        <v>0</v>
      </c>
      <c r="C12" s="10"/>
      <c r="D12" s="11">
        <f t="shared" si="0"/>
        <v>0</v>
      </c>
    </row>
    <row r="13" spans="1:4" ht="18" hidden="1" x14ac:dyDescent="0.35">
      <c r="A13" s="8" t="s">
        <v>10</v>
      </c>
      <c r="B13" s="33">
        <v>0</v>
      </c>
      <c r="C13" s="10">
        <v>21000</v>
      </c>
      <c r="D13" s="11">
        <f t="shared" si="0"/>
        <v>0</v>
      </c>
    </row>
    <row r="14" spans="1:4" ht="18.75" x14ac:dyDescent="0.25">
      <c r="A14" s="8" t="s">
        <v>11</v>
      </c>
      <c r="B14" s="33">
        <v>40</v>
      </c>
      <c r="C14" s="10">
        <v>38000</v>
      </c>
      <c r="D14" s="11">
        <f t="shared" si="0"/>
        <v>1520000</v>
      </c>
    </row>
    <row r="15" spans="1:4" ht="18" hidden="1" x14ac:dyDescent="0.35">
      <c r="A15" s="8" t="s">
        <v>12</v>
      </c>
      <c r="B15" s="33">
        <v>0</v>
      </c>
      <c r="C15" s="10"/>
      <c r="D15" s="11">
        <f t="shared" si="0"/>
        <v>0</v>
      </c>
    </row>
    <row r="16" spans="1:4" ht="18" hidden="1" x14ac:dyDescent="0.35">
      <c r="A16" s="8" t="s">
        <v>13</v>
      </c>
      <c r="B16" s="33">
        <v>0</v>
      </c>
      <c r="C16" s="10"/>
      <c r="D16" s="11">
        <f t="shared" si="0"/>
        <v>0</v>
      </c>
    </row>
    <row r="17" spans="1:4" ht="18" hidden="1" x14ac:dyDescent="0.35">
      <c r="A17" s="8" t="s">
        <v>14</v>
      </c>
      <c r="B17" s="33">
        <v>0</v>
      </c>
      <c r="C17" s="12">
        <v>50000</v>
      </c>
      <c r="D17" s="11">
        <f t="shared" si="0"/>
        <v>0</v>
      </c>
    </row>
    <row r="18" spans="1:4" ht="18" hidden="1" x14ac:dyDescent="0.35">
      <c r="A18" s="8" t="s">
        <v>15</v>
      </c>
      <c r="B18" s="33">
        <v>0</v>
      </c>
      <c r="C18" s="12"/>
      <c r="D18" s="11">
        <f t="shared" si="0"/>
        <v>0</v>
      </c>
    </row>
    <row r="19" spans="1:4" ht="18" hidden="1" x14ac:dyDescent="0.35">
      <c r="A19" s="8" t="s">
        <v>16</v>
      </c>
      <c r="B19" s="33">
        <v>0</v>
      </c>
      <c r="C19" s="12"/>
      <c r="D19" s="11">
        <f t="shared" si="0"/>
        <v>0</v>
      </c>
    </row>
    <row r="20" spans="1:4" ht="18.75" x14ac:dyDescent="0.25">
      <c r="A20" s="8" t="s">
        <v>17</v>
      </c>
      <c r="B20" s="33">
        <v>27</v>
      </c>
      <c r="C20" s="10">
        <v>21000</v>
      </c>
      <c r="D20" s="11">
        <f t="shared" si="0"/>
        <v>567000</v>
      </c>
    </row>
    <row r="21" spans="1:4" ht="18" hidden="1" x14ac:dyDescent="0.35">
      <c r="A21" s="8" t="s">
        <v>18</v>
      </c>
      <c r="B21" s="33">
        <v>0</v>
      </c>
      <c r="C21" s="10"/>
      <c r="D21" s="11">
        <f t="shared" si="0"/>
        <v>0</v>
      </c>
    </row>
    <row r="22" spans="1:4" ht="18" hidden="1" x14ac:dyDescent="0.35">
      <c r="A22" s="8" t="s">
        <v>19</v>
      </c>
      <c r="B22" s="33">
        <v>0</v>
      </c>
      <c r="C22" s="10"/>
      <c r="D22" s="11">
        <f t="shared" si="0"/>
        <v>0</v>
      </c>
    </row>
    <row r="23" spans="1:4" ht="18.75" x14ac:dyDescent="0.25">
      <c r="A23" s="8" t="s">
        <v>20</v>
      </c>
      <c r="B23" s="33">
        <v>12</v>
      </c>
      <c r="C23" s="13">
        <v>11000</v>
      </c>
      <c r="D23" s="11">
        <f t="shared" si="0"/>
        <v>132000</v>
      </c>
    </row>
    <row r="24" spans="1:4" ht="18" hidden="1" x14ac:dyDescent="0.35">
      <c r="A24" s="8"/>
      <c r="B24" s="33">
        <v>0</v>
      </c>
      <c r="C24" s="13">
        <v>10000</v>
      </c>
      <c r="D24" s="11">
        <f t="shared" si="0"/>
        <v>0</v>
      </c>
    </row>
    <row r="25" spans="1:4" ht="18" hidden="1" x14ac:dyDescent="0.35">
      <c r="A25" s="8" t="s">
        <v>21</v>
      </c>
      <c r="B25" s="33">
        <v>0</v>
      </c>
      <c r="C25" s="10"/>
      <c r="D25" s="11">
        <f t="shared" si="0"/>
        <v>0</v>
      </c>
    </row>
    <row r="26" spans="1:4" ht="18" hidden="1" x14ac:dyDescent="0.35">
      <c r="A26" s="8" t="s">
        <v>22</v>
      </c>
      <c r="B26" s="33">
        <v>0</v>
      </c>
      <c r="C26" s="10"/>
      <c r="D26" s="11">
        <f t="shared" si="0"/>
        <v>0</v>
      </c>
    </row>
    <row r="27" spans="1:4" ht="18" hidden="1" x14ac:dyDescent="0.35">
      <c r="A27" s="8" t="s">
        <v>23</v>
      </c>
      <c r="B27" s="33">
        <v>0</v>
      </c>
      <c r="C27" s="10"/>
      <c r="D27" s="11">
        <f t="shared" si="0"/>
        <v>0</v>
      </c>
    </row>
    <row r="28" spans="1:4" ht="18" hidden="1" x14ac:dyDescent="0.35">
      <c r="A28" s="8" t="s">
        <v>24</v>
      </c>
      <c r="B28" s="33">
        <v>0</v>
      </c>
      <c r="C28" s="10"/>
      <c r="D28" s="11">
        <f t="shared" si="0"/>
        <v>0</v>
      </c>
    </row>
    <row r="29" spans="1:4" ht="18" hidden="1" x14ac:dyDescent="0.35">
      <c r="A29" s="14" t="s">
        <v>25</v>
      </c>
      <c r="B29" s="33">
        <v>0</v>
      </c>
      <c r="C29" s="13"/>
      <c r="D29" s="11">
        <f t="shared" si="0"/>
        <v>0</v>
      </c>
    </row>
    <row r="30" spans="1:4" ht="18" hidden="1" x14ac:dyDescent="0.35">
      <c r="A30" s="8" t="s">
        <v>26</v>
      </c>
      <c r="B30" s="33">
        <v>0</v>
      </c>
      <c r="C30" s="10"/>
      <c r="D30" s="11">
        <f t="shared" si="0"/>
        <v>0</v>
      </c>
    </row>
    <row r="31" spans="1:4" ht="18" hidden="1" x14ac:dyDescent="0.35">
      <c r="A31" s="8" t="s">
        <v>27</v>
      </c>
      <c r="B31" s="33">
        <v>0</v>
      </c>
      <c r="C31" s="10"/>
      <c r="D31" s="11">
        <f t="shared" si="0"/>
        <v>0</v>
      </c>
    </row>
    <row r="32" spans="1:4" ht="18" hidden="1" x14ac:dyDescent="0.35">
      <c r="A32" s="8" t="s">
        <v>28</v>
      </c>
      <c r="B32" s="33">
        <v>0</v>
      </c>
      <c r="C32" s="10">
        <v>4000</v>
      </c>
      <c r="D32" s="11">
        <f t="shared" si="0"/>
        <v>0</v>
      </c>
    </row>
    <row r="33" spans="1:4" ht="18" hidden="1" x14ac:dyDescent="0.35">
      <c r="A33" s="14" t="s">
        <v>29</v>
      </c>
      <c r="B33" s="33">
        <v>0</v>
      </c>
      <c r="C33" s="15"/>
      <c r="D33" s="11">
        <f t="shared" si="0"/>
        <v>0</v>
      </c>
    </row>
    <row r="34" spans="1:4" ht="18" hidden="1" x14ac:dyDescent="0.35">
      <c r="A34" s="8" t="s">
        <v>30</v>
      </c>
      <c r="B34" s="33">
        <v>0</v>
      </c>
      <c r="C34" s="10">
        <v>5000</v>
      </c>
      <c r="D34" s="11">
        <f t="shared" si="0"/>
        <v>0</v>
      </c>
    </row>
    <row r="35" spans="1:4" ht="18" hidden="1" x14ac:dyDescent="0.35">
      <c r="A35" s="8"/>
      <c r="B35" s="33">
        <v>0</v>
      </c>
      <c r="C35" s="10">
        <v>6000</v>
      </c>
      <c r="D35" s="11">
        <f t="shared" si="0"/>
        <v>0</v>
      </c>
    </row>
    <row r="36" spans="1:4" ht="18" hidden="1" x14ac:dyDescent="0.35">
      <c r="A36" s="8"/>
      <c r="B36" s="33">
        <v>0</v>
      </c>
      <c r="C36" s="10">
        <v>7000</v>
      </c>
      <c r="D36" s="11">
        <f t="shared" si="0"/>
        <v>0</v>
      </c>
    </row>
    <row r="37" spans="1:4" ht="18" hidden="1" x14ac:dyDescent="0.35">
      <c r="A37" s="8" t="s">
        <v>31</v>
      </c>
      <c r="B37" s="33">
        <v>0</v>
      </c>
      <c r="C37" s="10">
        <v>13000</v>
      </c>
      <c r="D37" s="11">
        <f t="shared" si="0"/>
        <v>0</v>
      </c>
    </row>
    <row r="38" spans="1:4" ht="18" hidden="1" x14ac:dyDescent="0.35">
      <c r="A38" s="14" t="s">
        <v>32</v>
      </c>
      <c r="B38" s="33">
        <v>0</v>
      </c>
      <c r="C38" s="10"/>
      <c r="D38" s="11">
        <f t="shared" si="0"/>
        <v>0</v>
      </c>
    </row>
    <row r="39" spans="1:4" ht="18" hidden="1" x14ac:dyDescent="0.35">
      <c r="A39" s="8" t="s">
        <v>33</v>
      </c>
      <c r="B39" s="33">
        <v>0</v>
      </c>
      <c r="C39" s="13"/>
      <c r="D39" s="11">
        <f t="shared" si="0"/>
        <v>0</v>
      </c>
    </row>
    <row r="40" spans="1:4" ht="18" hidden="1" x14ac:dyDescent="0.35">
      <c r="A40" s="8" t="s">
        <v>34</v>
      </c>
      <c r="B40" s="33">
        <v>0</v>
      </c>
      <c r="C40" s="10">
        <v>10000</v>
      </c>
      <c r="D40" s="11">
        <f t="shared" si="0"/>
        <v>0</v>
      </c>
    </row>
    <row r="41" spans="1:4" ht="18" hidden="1" x14ac:dyDescent="0.35">
      <c r="A41" s="8" t="s">
        <v>35</v>
      </c>
      <c r="B41" s="33">
        <v>0</v>
      </c>
      <c r="C41" s="15">
        <v>110000</v>
      </c>
      <c r="D41" s="11">
        <f t="shared" si="0"/>
        <v>0</v>
      </c>
    </row>
    <row r="42" spans="1:4" ht="18" hidden="1" x14ac:dyDescent="0.35">
      <c r="A42" s="8" t="s">
        <v>36</v>
      </c>
      <c r="B42" s="33">
        <v>0</v>
      </c>
      <c r="C42" s="10">
        <v>16000</v>
      </c>
      <c r="D42" s="11">
        <f t="shared" si="0"/>
        <v>0</v>
      </c>
    </row>
    <row r="43" spans="1:4" ht="18" hidden="1" x14ac:dyDescent="0.35">
      <c r="A43" s="14" t="s">
        <v>37</v>
      </c>
      <c r="B43" s="33">
        <v>0</v>
      </c>
      <c r="C43" s="12">
        <v>11000</v>
      </c>
      <c r="D43" s="11">
        <f t="shared" si="0"/>
        <v>0</v>
      </c>
    </row>
    <row r="44" spans="1:4" ht="18" hidden="1" x14ac:dyDescent="0.35">
      <c r="A44" s="14" t="s">
        <v>38</v>
      </c>
      <c r="B44" s="33">
        <v>0</v>
      </c>
      <c r="C44" s="10"/>
      <c r="D44" s="11">
        <f t="shared" si="0"/>
        <v>0</v>
      </c>
    </row>
    <row r="45" spans="1:4" ht="18" hidden="1" x14ac:dyDescent="0.35">
      <c r="A45" s="8" t="s">
        <v>39</v>
      </c>
      <c r="B45" s="33">
        <v>0</v>
      </c>
      <c r="C45" s="10"/>
      <c r="D45" s="11">
        <f t="shared" si="0"/>
        <v>0</v>
      </c>
    </row>
    <row r="46" spans="1:4" ht="18" hidden="1" x14ac:dyDescent="0.35">
      <c r="A46" s="14" t="s">
        <v>40</v>
      </c>
      <c r="B46" s="33">
        <v>0</v>
      </c>
      <c r="C46" s="10"/>
      <c r="D46" s="11">
        <f t="shared" si="0"/>
        <v>0</v>
      </c>
    </row>
    <row r="47" spans="1:4" ht="18" hidden="1" x14ac:dyDescent="0.35">
      <c r="A47" s="8" t="s">
        <v>41</v>
      </c>
      <c r="B47" s="33">
        <v>0</v>
      </c>
      <c r="C47" s="10"/>
      <c r="D47" s="11">
        <f t="shared" si="0"/>
        <v>0</v>
      </c>
    </row>
    <row r="48" spans="1:4" ht="18" hidden="1" x14ac:dyDescent="0.35">
      <c r="A48" s="8" t="s">
        <v>42</v>
      </c>
      <c r="B48" s="33">
        <v>0</v>
      </c>
      <c r="C48" s="13"/>
      <c r="D48" s="11">
        <f t="shared" si="0"/>
        <v>0</v>
      </c>
    </row>
    <row r="49" spans="1:4" ht="15.6" hidden="1" x14ac:dyDescent="0.35">
      <c r="A49" s="16" t="s">
        <v>43</v>
      </c>
      <c r="B49" s="33">
        <v>0</v>
      </c>
      <c r="C49" s="10"/>
      <c r="D49" s="11">
        <f t="shared" si="0"/>
        <v>0</v>
      </c>
    </row>
    <row r="50" spans="1:4" ht="18" hidden="1" x14ac:dyDescent="0.35">
      <c r="A50" s="8" t="s">
        <v>44</v>
      </c>
      <c r="B50" s="33">
        <v>0</v>
      </c>
      <c r="C50" s="10">
        <v>15000</v>
      </c>
      <c r="D50" s="11">
        <f t="shared" si="0"/>
        <v>0</v>
      </c>
    </row>
    <row r="51" spans="1:4" ht="18" hidden="1" x14ac:dyDescent="0.35">
      <c r="A51" s="8"/>
      <c r="B51" s="33">
        <v>0</v>
      </c>
      <c r="C51" s="10">
        <v>15000</v>
      </c>
      <c r="D51" s="11">
        <f t="shared" si="0"/>
        <v>0</v>
      </c>
    </row>
    <row r="52" spans="1:4" ht="18" hidden="1" x14ac:dyDescent="0.35">
      <c r="A52" s="8" t="s">
        <v>45</v>
      </c>
      <c r="B52" s="33">
        <v>0</v>
      </c>
      <c r="C52" s="10"/>
      <c r="D52" s="11">
        <f t="shared" si="0"/>
        <v>0</v>
      </c>
    </row>
    <row r="53" spans="1:4" ht="18" hidden="1" x14ac:dyDescent="0.35">
      <c r="A53" s="8" t="s">
        <v>46</v>
      </c>
      <c r="B53" s="33">
        <v>0</v>
      </c>
      <c r="C53" s="12"/>
      <c r="D53" s="11">
        <f t="shared" si="0"/>
        <v>0</v>
      </c>
    </row>
    <row r="54" spans="1:4" ht="18" hidden="1" x14ac:dyDescent="0.35">
      <c r="A54" s="8" t="s">
        <v>47</v>
      </c>
      <c r="B54" s="33">
        <v>0</v>
      </c>
      <c r="C54" s="12"/>
      <c r="D54" s="11">
        <f t="shared" si="0"/>
        <v>0</v>
      </c>
    </row>
    <row r="55" spans="1:4" ht="18.75" x14ac:dyDescent="0.25">
      <c r="A55" s="8" t="s">
        <v>48</v>
      </c>
      <c r="B55" s="33">
        <v>4.5</v>
      </c>
      <c r="C55" s="10">
        <v>25000</v>
      </c>
      <c r="D55" s="11">
        <f t="shared" si="0"/>
        <v>112500</v>
      </c>
    </row>
    <row r="56" spans="1:4" ht="18" hidden="1" x14ac:dyDescent="0.35">
      <c r="A56" s="8" t="s">
        <v>49</v>
      </c>
      <c r="B56" s="33">
        <v>0</v>
      </c>
      <c r="C56" s="10"/>
      <c r="D56" s="11">
        <f t="shared" si="0"/>
        <v>0</v>
      </c>
    </row>
    <row r="57" spans="1:4" ht="18" hidden="1" x14ac:dyDescent="0.35">
      <c r="A57" s="8" t="s">
        <v>50</v>
      </c>
      <c r="B57" s="33">
        <v>0</v>
      </c>
      <c r="C57" s="10">
        <v>15000</v>
      </c>
      <c r="D57" s="11">
        <f t="shared" si="0"/>
        <v>0</v>
      </c>
    </row>
    <row r="58" spans="1:4" ht="18" hidden="1" x14ac:dyDescent="0.35">
      <c r="A58" s="8"/>
      <c r="B58" s="33">
        <v>0</v>
      </c>
      <c r="C58" s="10">
        <v>15000</v>
      </c>
      <c r="D58" s="11">
        <f t="shared" si="0"/>
        <v>0</v>
      </c>
    </row>
    <row r="59" spans="1:4" ht="18" hidden="1" x14ac:dyDescent="0.35">
      <c r="A59" s="8"/>
      <c r="B59" s="33">
        <v>0</v>
      </c>
      <c r="C59" s="10">
        <v>14500</v>
      </c>
      <c r="D59" s="11">
        <f t="shared" si="0"/>
        <v>0</v>
      </c>
    </row>
    <row r="60" spans="1:4" ht="18" hidden="1" x14ac:dyDescent="0.35">
      <c r="A60" s="8" t="s">
        <v>51</v>
      </c>
      <c r="B60" s="33">
        <v>0</v>
      </c>
      <c r="C60" s="10">
        <v>8000</v>
      </c>
      <c r="D60" s="11">
        <f t="shared" si="0"/>
        <v>0</v>
      </c>
    </row>
    <row r="61" spans="1:4" ht="18" hidden="1" x14ac:dyDescent="0.35">
      <c r="A61" s="8" t="s">
        <v>52</v>
      </c>
      <c r="B61" s="33">
        <v>0</v>
      </c>
      <c r="C61" s="12"/>
      <c r="D61" s="11">
        <f t="shared" si="0"/>
        <v>0</v>
      </c>
    </row>
    <row r="62" spans="1:4" ht="18" hidden="1" x14ac:dyDescent="0.35">
      <c r="A62" s="8" t="s">
        <v>53</v>
      </c>
      <c r="B62" s="33">
        <v>0</v>
      </c>
      <c r="C62" s="10"/>
      <c r="D62" s="11">
        <f t="shared" si="0"/>
        <v>0</v>
      </c>
    </row>
    <row r="63" spans="1:4" ht="18" hidden="1" x14ac:dyDescent="0.35">
      <c r="A63" s="8" t="s">
        <v>54</v>
      </c>
      <c r="B63" s="33">
        <v>0</v>
      </c>
      <c r="C63" s="10">
        <v>22000</v>
      </c>
      <c r="D63" s="11">
        <f t="shared" si="0"/>
        <v>0</v>
      </c>
    </row>
    <row r="64" spans="1:4" ht="18" hidden="1" x14ac:dyDescent="0.35">
      <c r="A64" s="8" t="s">
        <v>55</v>
      </c>
      <c r="B64" s="33">
        <v>0</v>
      </c>
      <c r="C64" s="10">
        <v>12000</v>
      </c>
      <c r="D64" s="11">
        <f t="shared" si="0"/>
        <v>0</v>
      </c>
    </row>
    <row r="65" spans="1:4" ht="18" hidden="1" x14ac:dyDescent="0.35">
      <c r="A65" s="14" t="s">
        <v>56</v>
      </c>
      <c r="B65" s="33">
        <v>0</v>
      </c>
      <c r="C65" s="10">
        <v>38000</v>
      </c>
      <c r="D65" s="11">
        <f t="shared" si="0"/>
        <v>0</v>
      </c>
    </row>
    <row r="66" spans="1:4" ht="18" hidden="1" x14ac:dyDescent="0.35">
      <c r="A66" s="8" t="s">
        <v>57</v>
      </c>
      <c r="B66" s="33">
        <v>0</v>
      </c>
      <c r="C66" s="10">
        <v>8000</v>
      </c>
      <c r="D66" s="11">
        <f t="shared" si="0"/>
        <v>0</v>
      </c>
    </row>
    <row r="67" spans="1:4" ht="18" hidden="1" x14ac:dyDescent="0.35">
      <c r="A67" s="8"/>
      <c r="B67" s="33">
        <v>0</v>
      </c>
      <c r="C67" s="10">
        <v>8000</v>
      </c>
      <c r="D67" s="11">
        <f t="shared" si="0"/>
        <v>0</v>
      </c>
    </row>
    <row r="68" spans="1:4" ht="18" hidden="1" x14ac:dyDescent="0.35">
      <c r="A68" s="8"/>
      <c r="B68" s="33">
        <v>0</v>
      </c>
      <c r="C68" s="10">
        <v>9000</v>
      </c>
      <c r="D68" s="11">
        <f t="shared" si="0"/>
        <v>0</v>
      </c>
    </row>
    <row r="69" spans="1:4" ht="18" hidden="1" x14ac:dyDescent="0.35">
      <c r="A69" s="8"/>
      <c r="B69" s="33">
        <v>0</v>
      </c>
      <c r="C69" s="10">
        <v>9000</v>
      </c>
      <c r="D69" s="11">
        <f t="shared" ref="D69:D132" si="1">B69*C69</f>
        <v>0</v>
      </c>
    </row>
    <row r="70" spans="1:4" ht="18" hidden="1" x14ac:dyDescent="0.35">
      <c r="A70" s="8" t="s">
        <v>58</v>
      </c>
      <c r="B70" s="33">
        <v>0</v>
      </c>
      <c r="C70" s="13"/>
      <c r="D70" s="11">
        <f t="shared" si="1"/>
        <v>0</v>
      </c>
    </row>
    <row r="71" spans="1:4" ht="18" hidden="1" x14ac:dyDescent="0.35">
      <c r="A71" s="14" t="s">
        <v>59</v>
      </c>
      <c r="B71" s="33">
        <v>0</v>
      </c>
      <c r="C71" s="10"/>
      <c r="D71" s="11">
        <f t="shared" si="1"/>
        <v>0</v>
      </c>
    </row>
    <row r="72" spans="1:4" ht="18" hidden="1" x14ac:dyDescent="0.35">
      <c r="A72" s="8" t="s">
        <v>60</v>
      </c>
      <c r="B72" s="33">
        <v>0</v>
      </c>
      <c r="C72" s="12">
        <v>15000</v>
      </c>
      <c r="D72" s="11">
        <f t="shared" si="1"/>
        <v>0</v>
      </c>
    </row>
    <row r="73" spans="1:4" ht="18" hidden="1" x14ac:dyDescent="0.35">
      <c r="A73" s="8" t="s">
        <v>61</v>
      </c>
      <c r="B73" s="33">
        <v>0</v>
      </c>
      <c r="C73" s="10"/>
      <c r="D73" s="11">
        <f t="shared" si="1"/>
        <v>0</v>
      </c>
    </row>
    <row r="74" spans="1:4" ht="18" hidden="1" x14ac:dyDescent="0.35">
      <c r="A74" s="18" t="s">
        <v>62</v>
      </c>
      <c r="B74" s="33">
        <v>0</v>
      </c>
      <c r="C74" s="19">
        <v>24000</v>
      </c>
      <c r="D74" s="11">
        <f t="shared" si="1"/>
        <v>0</v>
      </c>
    </row>
    <row r="75" spans="1:4" ht="18" hidden="1" x14ac:dyDescent="0.35">
      <c r="A75" s="18" t="s">
        <v>63</v>
      </c>
      <c r="B75" s="33">
        <v>0</v>
      </c>
      <c r="C75" s="10">
        <v>20000</v>
      </c>
      <c r="D75" s="11">
        <f t="shared" si="1"/>
        <v>0</v>
      </c>
    </row>
    <row r="76" spans="1:4" ht="18" hidden="1" x14ac:dyDescent="0.35">
      <c r="A76" s="14" t="s">
        <v>64</v>
      </c>
      <c r="B76" s="33">
        <v>0</v>
      </c>
      <c r="C76" s="10">
        <v>17000</v>
      </c>
      <c r="D76" s="11">
        <f t="shared" si="1"/>
        <v>0</v>
      </c>
    </row>
    <row r="77" spans="1:4" ht="18" hidden="1" x14ac:dyDescent="0.35">
      <c r="A77" s="8" t="s">
        <v>65</v>
      </c>
      <c r="B77" s="33">
        <v>0</v>
      </c>
      <c r="C77" s="12">
        <v>14000</v>
      </c>
      <c r="D77" s="11">
        <f t="shared" si="1"/>
        <v>0</v>
      </c>
    </row>
    <row r="78" spans="1:4" ht="18" hidden="1" x14ac:dyDescent="0.35">
      <c r="A78" s="14" t="s">
        <v>66</v>
      </c>
      <c r="B78" s="33">
        <v>0</v>
      </c>
      <c r="C78" s="10"/>
      <c r="D78" s="11">
        <f t="shared" si="1"/>
        <v>0</v>
      </c>
    </row>
    <row r="79" spans="1:4" ht="18" hidden="1" x14ac:dyDescent="0.35">
      <c r="A79" s="8" t="s">
        <v>67</v>
      </c>
      <c r="B79" s="33">
        <v>0</v>
      </c>
      <c r="C79" s="13"/>
      <c r="D79" s="11">
        <f t="shared" si="1"/>
        <v>0</v>
      </c>
    </row>
    <row r="80" spans="1:4" ht="18" hidden="1" x14ac:dyDescent="0.35">
      <c r="A80" s="8" t="s">
        <v>68</v>
      </c>
      <c r="B80" s="33">
        <v>0</v>
      </c>
      <c r="C80" s="10">
        <v>8000</v>
      </c>
      <c r="D80" s="11">
        <f t="shared" si="1"/>
        <v>0</v>
      </c>
    </row>
    <row r="81" spans="1:4" ht="18" hidden="1" x14ac:dyDescent="0.35">
      <c r="A81" s="14" t="s">
        <v>69</v>
      </c>
      <c r="B81" s="33">
        <v>0</v>
      </c>
      <c r="C81" s="15">
        <v>38000</v>
      </c>
      <c r="D81" s="11">
        <f t="shared" si="1"/>
        <v>0</v>
      </c>
    </row>
    <row r="82" spans="1:4" ht="18" hidden="1" x14ac:dyDescent="0.35">
      <c r="A82" s="14"/>
      <c r="B82" s="33">
        <v>0</v>
      </c>
      <c r="C82" s="15">
        <v>10500</v>
      </c>
      <c r="D82" s="11">
        <f t="shared" si="1"/>
        <v>0</v>
      </c>
    </row>
    <row r="83" spans="1:4" ht="18" hidden="1" x14ac:dyDescent="0.35">
      <c r="A83" s="14"/>
      <c r="B83" s="33">
        <v>0</v>
      </c>
      <c r="C83" s="15">
        <v>9300</v>
      </c>
      <c r="D83" s="11">
        <f t="shared" si="1"/>
        <v>0</v>
      </c>
    </row>
    <row r="84" spans="1:4" ht="18" hidden="1" x14ac:dyDescent="0.35">
      <c r="A84" s="14" t="s">
        <v>70</v>
      </c>
      <c r="B84" s="33">
        <v>0</v>
      </c>
      <c r="C84" s="15"/>
      <c r="D84" s="11">
        <f t="shared" si="1"/>
        <v>0</v>
      </c>
    </row>
    <row r="85" spans="1:4" ht="18" hidden="1" x14ac:dyDescent="0.35">
      <c r="A85" s="14" t="s">
        <v>71</v>
      </c>
      <c r="B85" s="33">
        <v>0</v>
      </c>
      <c r="C85" s="10"/>
      <c r="D85" s="11">
        <f t="shared" si="1"/>
        <v>0</v>
      </c>
    </row>
    <row r="86" spans="1:4" ht="18" hidden="1" x14ac:dyDescent="0.35">
      <c r="A86" s="8" t="s">
        <v>72</v>
      </c>
      <c r="B86" s="33">
        <v>0</v>
      </c>
      <c r="C86" s="12">
        <v>57777</v>
      </c>
      <c r="D86" s="11">
        <f t="shared" si="1"/>
        <v>0</v>
      </c>
    </row>
    <row r="87" spans="1:4" ht="18" hidden="1" x14ac:dyDescent="0.35">
      <c r="A87" s="8"/>
      <c r="B87" s="33">
        <v>0</v>
      </c>
      <c r="C87" s="12">
        <v>38000</v>
      </c>
      <c r="D87" s="11">
        <f t="shared" si="1"/>
        <v>0</v>
      </c>
    </row>
    <row r="88" spans="1:4" ht="18" hidden="1" x14ac:dyDescent="0.35">
      <c r="A88" s="8" t="s">
        <v>73</v>
      </c>
      <c r="B88" s="33">
        <v>0</v>
      </c>
      <c r="C88" s="12">
        <v>25000</v>
      </c>
      <c r="D88" s="11">
        <f t="shared" si="1"/>
        <v>0</v>
      </c>
    </row>
    <row r="89" spans="1:4" ht="18" hidden="1" x14ac:dyDescent="0.35">
      <c r="A89" s="20" t="s">
        <v>74</v>
      </c>
      <c r="B89" s="33">
        <v>0</v>
      </c>
      <c r="C89" s="13"/>
      <c r="D89" s="11">
        <f t="shared" si="1"/>
        <v>0</v>
      </c>
    </row>
    <row r="90" spans="1:4" ht="18" hidden="1" x14ac:dyDescent="0.35">
      <c r="A90" s="20" t="s">
        <v>75</v>
      </c>
      <c r="B90" s="33">
        <v>0</v>
      </c>
      <c r="C90" s="15"/>
      <c r="D90" s="11">
        <f t="shared" si="1"/>
        <v>0</v>
      </c>
    </row>
    <row r="91" spans="1:4" ht="18" hidden="1" x14ac:dyDescent="0.35">
      <c r="A91" s="20" t="s">
        <v>76</v>
      </c>
      <c r="B91" s="33">
        <v>0</v>
      </c>
      <c r="C91" s="10"/>
      <c r="D91" s="11">
        <f t="shared" si="1"/>
        <v>0</v>
      </c>
    </row>
    <row r="92" spans="1:4" ht="18" hidden="1" x14ac:dyDescent="0.35">
      <c r="A92" s="8" t="s">
        <v>77</v>
      </c>
      <c r="B92" s="33">
        <v>0</v>
      </c>
      <c r="C92" s="13"/>
      <c r="D92" s="11">
        <f t="shared" si="1"/>
        <v>0</v>
      </c>
    </row>
    <row r="93" spans="1:4" ht="18" hidden="1" x14ac:dyDescent="0.35">
      <c r="A93" s="8" t="s">
        <v>78</v>
      </c>
      <c r="B93" s="33">
        <v>0</v>
      </c>
      <c r="C93" s="12">
        <v>11000</v>
      </c>
      <c r="D93" s="11">
        <f t="shared" si="1"/>
        <v>0</v>
      </c>
    </row>
    <row r="94" spans="1:4" ht="18" hidden="1" x14ac:dyDescent="0.35">
      <c r="A94" s="8"/>
      <c r="B94" s="33">
        <v>0</v>
      </c>
      <c r="C94" s="12">
        <v>10000</v>
      </c>
      <c r="D94" s="11">
        <f t="shared" si="1"/>
        <v>0</v>
      </c>
    </row>
    <row r="95" spans="1:4" ht="18" hidden="1" x14ac:dyDescent="0.35">
      <c r="A95" s="8" t="s">
        <v>79</v>
      </c>
      <c r="B95" s="33">
        <v>0</v>
      </c>
      <c r="C95" s="13">
        <v>6000</v>
      </c>
      <c r="D95" s="11">
        <f t="shared" si="1"/>
        <v>0</v>
      </c>
    </row>
    <row r="96" spans="1:4" ht="18" hidden="1" x14ac:dyDescent="0.35">
      <c r="A96" s="8" t="s">
        <v>80</v>
      </c>
      <c r="B96" s="33">
        <v>0</v>
      </c>
      <c r="C96" s="10"/>
      <c r="D96" s="11">
        <f t="shared" si="1"/>
        <v>0</v>
      </c>
    </row>
    <row r="97" spans="1:4" ht="18" hidden="1" x14ac:dyDescent="0.35">
      <c r="A97" s="8" t="s">
        <v>81</v>
      </c>
      <c r="B97" s="33">
        <v>0</v>
      </c>
      <c r="C97" s="13"/>
      <c r="D97" s="11">
        <f t="shared" si="1"/>
        <v>0</v>
      </c>
    </row>
    <row r="98" spans="1:4" ht="18" hidden="1" x14ac:dyDescent="0.35">
      <c r="A98" s="8" t="s">
        <v>82</v>
      </c>
      <c r="B98" s="33">
        <v>0</v>
      </c>
      <c r="C98" s="10">
        <v>150000</v>
      </c>
      <c r="D98" s="11">
        <f t="shared" si="1"/>
        <v>0</v>
      </c>
    </row>
    <row r="99" spans="1:4" ht="18.75" x14ac:dyDescent="0.25">
      <c r="A99" s="8" t="s">
        <v>83</v>
      </c>
      <c r="B99" s="33">
        <v>3</v>
      </c>
      <c r="C99" s="10">
        <v>60000</v>
      </c>
      <c r="D99" s="11">
        <f t="shared" si="1"/>
        <v>180000</v>
      </c>
    </row>
    <row r="100" spans="1:4" ht="18" hidden="1" x14ac:dyDescent="0.35">
      <c r="A100" s="8" t="s">
        <v>84</v>
      </c>
      <c r="B100" s="33">
        <v>0</v>
      </c>
      <c r="C100" s="10">
        <v>50000</v>
      </c>
      <c r="D100" s="11">
        <f t="shared" si="1"/>
        <v>0</v>
      </c>
    </row>
    <row r="101" spans="1:4" ht="18" hidden="1" x14ac:dyDescent="0.35">
      <c r="A101" s="8" t="s">
        <v>85</v>
      </c>
      <c r="B101" s="33">
        <v>0</v>
      </c>
      <c r="C101" s="10">
        <v>70000</v>
      </c>
      <c r="D101" s="11">
        <f t="shared" si="1"/>
        <v>0</v>
      </c>
    </row>
    <row r="102" spans="1:4" ht="18" hidden="1" x14ac:dyDescent="0.35">
      <c r="A102" s="8" t="s">
        <v>86</v>
      </c>
      <c r="B102" s="33">
        <v>0</v>
      </c>
      <c r="C102" s="10">
        <v>50000</v>
      </c>
      <c r="D102" s="11">
        <f t="shared" si="1"/>
        <v>0</v>
      </c>
    </row>
    <row r="103" spans="1:4" ht="18" hidden="1" x14ac:dyDescent="0.35">
      <c r="A103" s="8" t="s">
        <v>87</v>
      </c>
      <c r="B103" s="33">
        <v>0</v>
      </c>
      <c r="C103" s="12">
        <v>60000</v>
      </c>
      <c r="D103" s="11">
        <f t="shared" si="1"/>
        <v>0</v>
      </c>
    </row>
    <row r="104" spans="1:4" ht="18" hidden="1" x14ac:dyDescent="0.35">
      <c r="A104" s="8" t="s">
        <v>88</v>
      </c>
      <c r="B104" s="33">
        <v>0</v>
      </c>
      <c r="C104" s="10">
        <v>45000</v>
      </c>
      <c r="D104" s="11">
        <f t="shared" si="1"/>
        <v>0</v>
      </c>
    </row>
    <row r="105" spans="1:4" ht="18" hidden="1" x14ac:dyDescent="0.35">
      <c r="A105" s="8" t="s">
        <v>89</v>
      </c>
      <c r="B105" s="33">
        <v>0</v>
      </c>
      <c r="C105" s="12">
        <v>60000</v>
      </c>
      <c r="D105" s="11">
        <f t="shared" si="1"/>
        <v>0</v>
      </c>
    </row>
    <row r="106" spans="1:4" ht="18" hidden="1" x14ac:dyDescent="0.35">
      <c r="A106" s="8" t="s">
        <v>90</v>
      </c>
      <c r="B106" s="33">
        <v>0</v>
      </c>
      <c r="C106" s="10">
        <v>50000</v>
      </c>
      <c r="D106" s="11">
        <f t="shared" si="1"/>
        <v>0</v>
      </c>
    </row>
    <row r="107" spans="1:4" ht="18" hidden="1" x14ac:dyDescent="0.35">
      <c r="A107" s="8" t="s">
        <v>91</v>
      </c>
      <c r="B107" s="33">
        <v>0</v>
      </c>
      <c r="C107" s="10"/>
      <c r="D107" s="11">
        <f t="shared" si="1"/>
        <v>0</v>
      </c>
    </row>
    <row r="108" spans="1:4" ht="18" hidden="1" x14ac:dyDescent="0.35">
      <c r="A108" s="8" t="s">
        <v>92</v>
      </c>
      <c r="B108" s="33">
        <v>0</v>
      </c>
      <c r="C108" s="10"/>
      <c r="D108" s="11">
        <f t="shared" si="1"/>
        <v>0</v>
      </c>
    </row>
    <row r="109" spans="1:4" ht="18" hidden="1" x14ac:dyDescent="0.35">
      <c r="A109" s="8" t="s">
        <v>93</v>
      </c>
      <c r="B109" s="33">
        <v>0</v>
      </c>
      <c r="C109" s="10"/>
      <c r="D109" s="11">
        <f t="shared" si="1"/>
        <v>0</v>
      </c>
    </row>
    <row r="110" spans="1:4" ht="18" hidden="1" x14ac:dyDescent="0.35">
      <c r="A110" s="8" t="s">
        <v>94</v>
      </c>
      <c r="B110" s="33">
        <v>0</v>
      </c>
      <c r="C110" s="10"/>
      <c r="D110" s="11">
        <f t="shared" si="1"/>
        <v>0</v>
      </c>
    </row>
    <row r="111" spans="1:4" ht="18" hidden="1" x14ac:dyDescent="0.35">
      <c r="A111" s="8" t="s">
        <v>95</v>
      </c>
      <c r="B111" s="33">
        <v>0</v>
      </c>
      <c r="C111" s="12">
        <v>12000</v>
      </c>
      <c r="D111" s="11">
        <f t="shared" si="1"/>
        <v>0</v>
      </c>
    </row>
    <row r="112" spans="1:4" ht="18" hidden="1" x14ac:dyDescent="0.35">
      <c r="A112" s="8" t="s">
        <v>96</v>
      </c>
      <c r="B112" s="33">
        <v>0</v>
      </c>
      <c r="C112" s="10"/>
      <c r="D112" s="11">
        <f t="shared" si="1"/>
        <v>0</v>
      </c>
    </row>
    <row r="113" spans="1:4" ht="18" hidden="1" x14ac:dyDescent="0.35">
      <c r="A113" s="8" t="s">
        <v>97</v>
      </c>
      <c r="B113" s="33">
        <v>0</v>
      </c>
      <c r="C113" s="10">
        <v>15000</v>
      </c>
      <c r="D113" s="11">
        <f t="shared" si="1"/>
        <v>0</v>
      </c>
    </row>
    <row r="114" spans="1:4" ht="18" hidden="1" x14ac:dyDescent="0.35">
      <c r="A114" s="8" t="s">
        <v>98</v>
      </c>
      <c r="B114" s="33">
        <v>0</v>
      </c>
      <c r="C114" s="10"/>
      <c r="D114" s="11">
        <f t="shared" si="1"/>
        <v>0</v>
      </c>
    </row>
    <row r="115" spans="1:4" ht="18" hidden="1" x14ac:dyDescent="0.35">
      <c r="A115" s="8" t="s">
        <v>99</v>
      </c>
      <c r="B115" s="33">
        <v>0</v>
      </c>
      <c r="C115" s="12"/>
      <c r="D115" s="11">
        <f t="shared" si="1"/>
        <v>0</v>
      </c>
    </row>
    <row r="116" spans="1:4" ht="18" hidden="1" x14ac:dyDescent="0.35">
      <c r="A116" s="14" t="s">
        <v>100</v>
      </c>
      <c r="B116" s="33">
        <v>0</v>
      </c>
      <c r="C116" s="10"/>
      <c r="D116" s="11">
        <f t="shared" si="1"/>
        <v>0</v>
      </c>
    </row>
    <row r="117" spans="1:4" ht="18" hidden="1" x14ac:dyDescent="0.35">
      <c r="A117" s="14" t="s">
        <v>101</v>
      </c>
      <c r="B117" s="33">
        <v>0</v>
      </c>
      <c r="C117" s="10"/>
      <c r="D117" s="11">
        <f t="shared" si="1"/>
        <v>0</v>
      </c>
    </row>
    <row r="118" spans="1:4" ht="18" hidden="1" x14ac:dyDescent="0.35">
      <c r="A118" s="14" t="s">
        <v>102</v>
      </c>
      <c r="B118" s="33">
        <v>0</v>
      </c>
      <c r="C118" s="10"/>
      <c r="D118" s="11">
        <f t="shared" si="1"/>
        <v>0</v>
      </c>
    </row>
    <row r="119" spans="1:4" ht="18" hidden="1" x14ac:dyDescent="0.35">
      <c r="A119" s="8" t="s">
        <v>103</v>
      </c>
      <c r="B119" s="33">
        <v>0</v>
      </c>
      <c r="C119" s="10"/>
      <c r="D119" s="11">
        <f t="shared" si="1"/>
        <v>0</v>
      </c>
    </row>
    <row r="120" spans="1:4" ht="18" hidden="1" x14ac:dyDescent="0.35">
      <c r="A120" s="8" t="s">
        <v>104</v>
      </c>
      <c r="B120" s="33">
        <v>0</v>
      </c>
      <c r="C120" s="12"/>
      <c r="D120" s="11">
        <f t="shared" si="1"/>
        <v>0</v>
      </c>
    </row>
    <row r="121" spans="1:4" ht="18" hidden="1" x14ac:dyDescent="0.35">
      <c r="A121" s="8" t="s">
        <v>105</v>
      </c>
      <c r="B121" s="33">
        <v>0</v>
      </c>
      <c r="C121" s="10"/>
      <c r="D121" s="11">
        <f t="shared" si="1"/>
        <v>0</v>
      </c>
    </row>
    <row r="122" spans="1:4" ht="18" hidden="1" x14ac:dyDescent="0.35">
      <c r="A122" s="8" t="s">
        <v>106</v>
      </c>
      <c r="B122" s="33">
        <v>0</v>
      </c>
      <c r="C122" s="10"/>
      <c r="D122" s="11">
        <f t="shared" si="1"/>
        <v>0</v>
      </c>
    </row>
    <row r="123" spans="1:4" ht="18" hidden="1" x14ac:dyDescent="0.35">
      <c r="A123" s="8" t="s">
        <v>107</v>
      </c>
      <c r="B123" s="33">
        <v>0</v>
      </c>
      <c r="C123" s="10"/>
      <c r="D123" s="11">
        <f t="shared" si="1"/>
        <v>0</v>
      </c>
    </row>
    <row r="124" spans="1:4" ht="18" hidden="1" x14ac:dyDescent="0.35">
      <c r="A124" s="22" t="s">
        <v>108</v>
      </c>
      <c r="B124" s="33">
        <v>0</v>
      </c>
      <c r="C124" s="10"/>
      <c r="D124" s="11">
        <f t="shared" si="1"/>
        <v>0</v>
      </c>
    </row>
    <row r="125" spans="1:4" ht="18" hidden="1" x14ac:dyDescent="0.35">
      <c r="A125" s="8" t="s">
        <v>109</v>
      </c>
      <c r="B125" s="33">
        <v>0</v>
      </c>
      <c r="C125" s="12">
        <v>10000</v>
      </c>
      <c r="D125" s="11">
        <f t="shared" si="1"/>
        <v>0</v>
      </c>
    </row>
    <row r="126" spans="1:4" ht="18.75" x14ac:dyDescent="0.25">
      <c r="A126" s="8" t="s">
        <v>110</v>
      </c>
      <c r="B126" s="33">
        <v>5</v>
      </c>
      <c r="C126" s="10">
        <v>10000</v>
      </c>
      <c r="D126" s="11">
        <f t="shared" si="1"/>
        <v>50000</v>
      </c>
    </row>
    <row r="127" spans="1:4" ht="18" hidden="1" x14ac:dyDescent="0.35">
      <c r="A127" s="8" t="s">
        <v>111</v>
      </c>
      <c r="B127" s="33">
        <v>0</v>
      </c>
      <c r="C127" s="13"/>
      <c r="D127" s="11">
        <f t="shared" si="1"/>
        <v>0</v>
      </c>
    </row>
    <row r="128" spans="1:4" ht="18" hidden="1" x14ac:dyDescent="0.35">
      <c r="A128" s="14" t="s">
        <v>112</v>
      </c>
      <c r="B128" s="33">
        <v>0</v>
      </c>
      <c r="C128" s="10"/>
      <c r="D128" s="11">
        <f t="shared" si="1"/>
        <v>0</v>
      </c>
    </row>
    <row r="129" spans="1:4" ht="18.75" x14ac:dyDescent="0.25">
      <c r="A129" s="14" t="s">
        <v>113</v>
      </c>
      <c r="B129" s="33">
        <v>200</v>
      </c>
      <c r="C129" s="10">
        <v>14000</v>
      </c>
      <c r="D129" s="11">
        <f t="shared" si="1"/>
        <v>2800000</v>
      </c>
    </row>
    <row r="130" spans="1:4" ht="18" hidden="1" x14ac:dyDescent="0.35">
      <c r="A130" s="8" t="s">
        <v>114</v>
      </c>
      <c r="B130" s="33">
        <v>0</v>
      </c>
      <c r="C130" s="12"/>
      <c r="D130" s="11">
        <f t="shared" si="1"/>
        <v>0</v>
      </c>
    </row>
    <row r="131" spans="1:4" ht="18" hidden="1" x14ac:dyDescent="0.35">
      <c r="A131" s="14" t="s">
        <v>115</v>
      </c>
      <c r="B131" s="33">
        <v>0</v>
      </c>
      <c r="C131" s="10"/>
      <c r="D131" s="11">
        <f t="shared" si="1"/>
        <v>0</v>
      </c>
    </row>
    <row r="132" spans="1:4" ht="18" hidden="1" x14ac:dyDescent="0.35">
      <c r="A132" s="14" t="s">
        <v>116</v>
      </c>
      <c r="B132" s="33">
        <v>0</v>
      </c>
      <c r="C132" s="12"/>
      <c r="D132" s="11">
        <f t="shared" si="1"/>
        <v>0</v>
      </c>
    </row>
    <row r="133" spans="1:4" ht="18" hidden="1" x14ac:dyDescent="0.35">
      <c r="A133" s="8" t="s">
        <v>117</v>
      </c>
      <c r="B133" s="33">
        <v>0</v>
      </c>
      <c r="C133" s="10"/>
      <c r="D133" s="11">
        <f t="shared" ref="D133:D196" si="2">B133*C133</f>
        <v>0</v>
      </c>
    </row>
    <row r="134" spans="1:4" ht="18" hidden="1" x14ac:dyDescent="0.35">
      <c r="A134" s="8" t="s">
        <v>118</v>
      </c>
      <c r="B134" s="33">
        <v>0</v>
      </c>
      <c r="C134" s="12"/>
      <c r="D134" s="11">
        <f t="shared" si="2"/>
        <v>0</v>
      </c>
    </row>
    <row r="135" spans="1:4" ht="18" hidden="1" x14ac:dyDescent="0.35">
      <c r="A135" s="8" t="s">
        <v>119</v>
      </c>
      <c r="B135" s="33">
        <v>0</v>
      </c>
      <c r="C135" s="10"/>
      <c r="D135" s="11">
        <f t="shared" si="2"/>
        <v>0</v>
      </c>
    </row>
    <row r="136" spans="1:4" ht="18" hidden="1" x14ac:dyDescent="0.35">
      <c r="A136" s="8" t="s">
        <v>120</v>
      </c>
      <c r="B136" s="33">
        <v>0</v>
      </c>
      <c r="C136" s="10">
        <v>16000</v>
      </c>
      <c r="D136" s="11">
        <f t="shared" si="2"/>
        <v>0</v>
      </c>
    </row>
    <row r="137" spans="1:4" ht="18.75" x14ac:dyDescent="0.25">
      <c r="A137" s="8" t="s">
        <v>121</v>
      </c>
      <c r="B137" s="33">
        <v>90</v>
      </c>
      <c r="C137" s="13">
        <v>19000</v>
      </c>
      <c r="D137" s="11">
        <f t="shared" si="2"/>
        <v>1710000</v>
      </c>
    </row>
    <row r="138" spans="1:4" ht="18" hidden="1" x14ac:dyDescent="0.35">
      <c r="A138" s="8"/>
      <c r="B138" s="33">
        <v>0</v>
      </c>
      <c r="C138" s="13">
        <v>20000</v>
      </c>
      <c r="D138" s="11">
        <f t="shared" si="2"/>
        <v>0</v>
      </c>
    </row>
    <row r="139" spans="1:4" ht="18" hidden="1" x14ac:dyDescent="0.35">
      <c r="A139" s="8"/>
      <c r="B139" s="33">
        <v>0</v>
      </c>
      <c r="C139" s="13">
        <v>19000</v>
      </c>
      <c r="D139" s="11">
        <f t="shared" si="2"/>
        <v>0</v>
      </c>
    </row>
    <row r="140" spans="1:4" ht="18" hidden="1" x14ac:dyDescent="0.35">
      <c r="A140" s="8"/>
      <c r="B140" s="33">
        <v>0</v>
      </c>
      <c r="C140" s="13">
        <v>19000</v>
      </c>
      <c r="D140" s="11">
        <f t="shared" si="2"/>
        <v>0</v>
      </c>
    </row>
    <row r="141" spans="1:4" ht="18" hidden="1" x14ac:dyDescent="0.35">
      <c r="A141" s="8" t="s">
        <v>122</v>
      </c>
      <c r="B141" s="33">
        <v>0</v>
      </c>
      <c r="C141" s="12">
        <v>19000</v>
      </c>
      <c r="D141" s="11">
        <f t="shared" si="2"/>
        <v>0</v>
      </c>
    </row>
    <row r="142" spans="1:4" ht="18" hidden="1" x14ac:dyDescent="0.35">
      <c r="A142" s="8" t="s">
        <v>123</v>
      </c>
      <c r="B142" s="33">
        <v>0</v>
      </c>
      <c r="C142" s="12"/>
      <c r="D142" s="11">
        <f t="shared" si="2"/>
        <v>0</v>
      </c>
    </row>
    <row r="143" spans="1:4" ht="18" hidden="1" x14ac:dyDescent="0.35">
      <c r="A143" s="8" t="s">
        <v>124</v>
      </c>
      <c r="B143" s="33">
        <v>0</v>
      </c>
      <c r="C143" s="13"/>
      <c r="D143" s="11">
        <f t="shared" si="2"/>
        <v>0</v>
      </c>
    </row>
    <row r="144" spans="1:4" ht="18" hidden="1" x14ac:dyDescent="0.35">
      <c r="A144" s="18" t="s">
        <v>125</v>
      </c>
      <c r="B144" s="33">
        <v>0</v>
      </c>
      <c r="C144" s="12">
        <v>8000</v>
      </c>
      <c r="D144" s="11">
        <f t="shared" si="2"/>
        <v>0</v>
      </c>
    </row>
    <row r="145" spans="1:4" ht="18" hidden="1" x14ac:dyDescent="0.35">
      <c r="A145" s="18"/>
      <c r="B145" s="33">
        <v>0</v>
      </c>
      <c r="C145" s="12">
        <v>7000</v>
      </c>
      <c r="D145" s="11">
        <f t="shared" si="2"/>
        <v>0</v>
      </c>
    </row>
    <row r="146" spans="1:4" ht="18" hidden="1" x14ac:dyDescent="0.35">
      <c r="A146" s="18"/>
      <c r="B146" s="33">
        <v>0</v>
      </c>
      <c r="C146" s="12">
        <v>8500</v>
      </c>
      <c r="D146" s="11">
        <f t="shared" si="2"/>
        <v>0</v>
      </c>
    </row>
    <row r="147" spans="1:4" ht="18" hidden="1" x14ac:dyDescent="0.35">
      <c r="A147" s="18"/>
      <c r="B147" s="33">
        <v>0</v>
      </c>
      <c r="C147" s="12">
        <v>7000</v>
      </c>
      <c r="D147" s="11">
        <f t="shared" si="2"/>
        <v>0</v>
      </c>
    </row>
    <row r="148" spans="1:4" ht="18" hidden="1" x14ac:dyDescent="0.35">
      <c r="A148" s="8" t="s">
        <v>126</v>
      </c>
      <c r="B148" s="33">
        <v>0</v>
      </c>
      <c r="C148" s="13"/>
      <c r="D148" s="11">
        <f t="shared" si="2"/>
        <v>0</v>
      </c>
    </row>
    <row r="149" spans="1:4" ht="18" hidden="1" x14ac:dyDescent="0.35">
      <c r="A149" s="8" t="s">
        <v>127</v>
      </c>
      <c r="B149" s="33">
        <v>0</v>
      </c>
      <c r="C149" s="13"/>
      <c r="D149" s="11">
        <f t="shared" si="2"/>
        <v>0</v>
      </c>
    </row>
    <row r="150" spans="1:4" ht="18.75" x14ac:dyDescent="0.25">
      <c r="A150" s="8" t="s">
        <v>128</v>
      </c>
      <c r="B150" s="33">
        <v>20</v>
      </c>
      <c r="C150" s="10">
        <v>9000</v>
      </c>
      <c r="D150" s="11">
        <f t="shared" si="2"/>
        <v>180000</v>
      </c>
    </row>
    <row r="151" spans="1:4" ht="18" hidden="1" x14ac:dyDescent="0.35">
      <c r="A151" s="8"/>
      <c r="B151" s="33">
        <v>0</v>
      </c>
      <c r="C151" s="10">
        <v>8000</v>
      </c>
      <c r="D151" s="11">
        <f t="shared" si="2"/>
        <v>0</v>
      </c>
    </row>
    <row r="152" spans="1:4" ht="18" hidden="1" x14ac:dyDescent="0.35">
      <c r="A152" s="8"/>
      <c r="B152" s="33">
        <v>0</v>
      </c>
      <c r="C152" s="10">
        <v>8500</v>
      </c>
      <c r="D152" s="11">
        <f t="shared" si="2"/>
        <v>0</v>
      </c>
    </row>
    <row r="153" spans="1:4" ht="18" hidden="1" x14ac:dyDescent="0.35">
      <c r="A153" s="8"/>
      <c r="B153" s="33">
        <v>0</v>
      </c>
      <c r="C153" s="10">
        <v>9000</v>
      </c>
      <c r="D153" s="11">
        <f t="shared" si="2"/>
        <v>0</v>
      </c>
    </row>
    <row r="154" spans="1:4" ht="18" hidden="1" x14ac:dyDescent="0.35">
      <c r="A154" s="8"/>
      <c r="B154" s="33">
        <v>0</v>
      </c>
      <c r="C154" s="10">
        <v>9000</v>
      </c>
      <c r="D154" s="11">
        <f t="shared" si="2"/>
        <v>0</v>
      </c>
    </row>
    <row r="155" spans="1:4" ht="18" hidden="1" x14ac:dyDescent="0.35">
      <c r="A155" s="8"/>
      <c r="B155" s="33">
        <v>0</v>
      </c>
      <c r="C155" s="10">
        <v>7500</v>
      </c>
      <c r="D155" s="11">
        <f t="shared" si="2"/>
        <v>0</v>
      </c>
    </row>
    <row r="156" spans="1:4" ht="18" hidden="1" x14ac:dyDescent="0.35">
      <c r="A156" s="14" t="s">
        <v>129</v>
      </c>
      <c r="B156" s="33">
        <v>0</v>
      </c>
      <c r="C156" s="10"/>
      <c r="D156" s="11">
        <f t="shared" si="2"/>
        <v>0</v>
      </c>
    </row>
    <row r="157" spans="1:4" ht="18" hidden="1" x14ac:dyDescent="0.35">
      <c r="A157" s="8" t="s">
        <v>130</v>
      </c>
      <c r="B157" s="33">
        <v>0</v>
      </c>
      <c r="C157" s="12">
        <v>15000</v>
      </c>
      <c r="D157" s="11">
        <f t="shared" si="2"/>
        <v>0</v>
      </c>
    </row>
    <row r="158" spans="1:4" ht="18" hidden="1" x14ac:dyDescent="0.35">
      <c r="A158" s="8" t="s">
        <v>131</v>
      </c>
      <c r="B158" s="33">
        <v>0</v>
      </c>
      <c r="C158" s="12"/>
      <c r="D158" s="11">
        <f t="shared" si="2"/>
        <v>0</v>
      </c>
    </row>
    <row r="159" spans="1:4" ht="18" hidden="1" x14ac:dyDescent="0.35">
      <c r="A159" s="8" t="s">
        <v>132</v>
      </c>
      <c r="B159" s="33">
        <v>0</v>
      </c>
      <c r="C159" s="10"/>
      <c r="D159" s="11">
        <f t="shared" si="2"/>
        <v>0</v>
      </c>
    </row>
    <row r="160" spans="1:4" ht="18.75" x14ac:dyDescent="0.25">
      <c r="A160" s="8" t="s">
        <v>133</v>
      </c>
      <c r="B160" s="33">
        <v>15</v>
      </c>
      <c r="C160" s="10">
        <v>4000</v>
      </c>
      <c r="D160" s="11">
        <f t="shared" si="2"/>
        <v>60000</v>
      </c>
    </row>
    <row r="161" spans="1:4" ht="18" hidden="1" x14ac:dyDescent="0.35">
      <c r="A161" s="8" t="s">
        <v>134</v>
      </c>
      <c r="B161" s="33">
        <v>0</v>
      </c>
      <c r="C161" s="10">
        <v>4000</v>
      </c>
      <c r="D161" s="11">
        <f t="shared" si="2"/>
        <v>0</v>
      </c>
    </row>
    <row r="162" spans="1:4" ht="18" hidden="1" x14ac:dyDescent="0.35">
      <c r="A162" s="8" t="s">
        <v>135</v>
      </c>
      <c r="B162" s="33">
        <v>0</v>
      </c>
      <c r="C162" s="19"/>
      <c r="D162" s="11">
        <f t="shared" si="2"/>
        <v>0</v>
      </c>
    </row>
    <row r="163" spans="1:4" ht="18" hidden="1" x14ac:dyDescent="0.35">
      <c r="A163" s="8" t="s">
        <v>136</v>
      </c>
      <c r="B163" s="33">
        <v>0</v>
      </c>
      <c r="C163" s="10">
        <v>15000</v>
      </c>
      <c r="D163" s="11">
        <f t="shared" si="2"/>
        <v>0</v>
      </c>
    </row>
    <row r="164" spans="1:4" ht="18" hidden="1" x14ac:dyDescent="0.35">
      <c r="A164" s="8" t="s">
        <v>137</v>
      </c>
      <c r="B164" s="33">
        <v>0</v>
      </c>
      <c r="C164" s="13"/>
      <c r="D164" s="11">
        <f t="shared" si="2"/>
        <v>0</v>
      </c>
    </row>
    <row r="165" spans="1:4" ht="18" hidden="1" x14ac:dyDescent="0.35">
      <c r="A165" s="8" t="s">
        <v>138</v>
      </c>
      <c r="B165" s="33">
        <v>0</v>
      </c>
      <c r="C165" s="13">
        <v>25000</v>
      </c>
      <c r="D165" s="11">
        <f t="shared" si="2"/>
        <v>0</v>
      </c>
    </row>
    <row r="166" spans="1:4" ht="15.6" hidden="1" x14ac:dyDescent="0.35">
      <c r="A166" s="23" t="s">
        <v>139</v>
      </c>
      <c r="B166" s="33">
        <v>0</v>
      </c>
      <c r="C166" s="10"/>
      <c r="D166" s="11">
        <f t="shared" si="2"/>
        <v>0</v>
      </c>
    </row>
    <row r="167" spans="1:4" ht="18" hidden="1" x14ac:dyDescent="0.35">
      <c r="A167" s="8" t="s">
        <v>140</v>
      </c>
      <c r="B167" s="33">
        <v>0</v>
      </c>
      <c r="C167" s="10"/>
      <c r="D167" s="11">
        <f t="shared" si="2"/>
        <v>0</v>
      </c>
    </row>
    <row r="168" spans="1:4" ht="18.75" x14ac:dyDescent="0.25">
      <c r="A168" s="14" t="s">
        <v>141</v>
      </c>
      <c r="B168" s="33">
        <v>4</v>
      </c>
      <c r="C168" s="10">
        <v>11000</v>
      </c>
      <c r="D168" s="11">
        <f t="shared" si="2"/>
        <v>44000</v>
      </c>
    </row>
    <row r="169" spans="1:4" ht="18" hidden="1" x14ac:dyDescent="0.35">
      <c r="A169" s="8" t="s">
        <v>142</v>
      </c>
      <c r="B169" s="33">
        <v>0</v>
      </c>
      <c r="C169" s="10"/>
      <c r="D169" s="11">
        <f t="shared" si="2"/>
        <v>0</v>
      </c>
    </row>
    <row r="170" spans="1:4" ht="18" hidden="1" x14ac:dyDescent="0.35">
      <c r="A170" s="8" t="s">
        <v>143</v>
      </c>
      <c r="B170" s="33">
        <v>0</v>
      </c>
      <c r="C170" s="13">
        <v>9000</v>
      </c>
      <c r="D170" s="11">
        <f t="shared" si="2"/>
        <v>0</v>
      </c>
    </row>
    <row r="171" spans="1:4" ht="18" hidden="1" x14ac:dyDescent="0.35">
      <c r="A171" s="8"/>
      <c r="B171" s="33">
        <v>0</v>
      </c>
      <c r="C171" s="13">
        <v>9000</v>
      </c>
      <c r="D171" s="11">
        <f t="shared" si="2"/>
        <v>0</v>
      </c>
    </row>
    <row r="172" spans="1:4" ht="18" hidden="1" x14ac:dyDescent="0.35">
      <c r="A172" s="8"/>
      <c r="B172" s="33">
        <v>0</v>
      </c>
      <c r="C172" s="13">
        <v>8000</v>
      </c>
      <c r="D172" s="11">
        <f t="shared" si="2"/>
        <v>0</v>
      </c>
    </row>
    <row r="173" spans="1:4" ht="18" hidden="1" x14ac:dyDescent="0.35">
      <c r="A173" s="8" t="s">
        <v>144</v>
      </c>
      <c r="B173" s="33">
        <v>0</v>
      </c>
      <c r="C173" s="10"/>
      <c r="D173" s="11">
        <f t="shared" si="2"/>
        <v>0</v>
      </c>
    </row>
    <row r="174" spans="1:4" ht="18" hidden="1" x14ac:dyDescent="0.35">
      <c r="A174" s="8" t="s">
        <v>145</v>
      </c>
      <c r="B174" s="33">
        <v>0</v>
      </c>
      <c r="C174" s="12">
        <v>12500</v>
      </c>
      <c r="D174" s="11">
        <f t="shared" si="2"/>
        <v>0</v>
      </c>
    </row>
    <row r="175" spans="1:4" ht="18" hidden="1" x14ac:dyDescent="0.35">
      <c r="A175" s="8" t="s">
        <v>146</v>
      </c>
      <c r="B175" s="33">
        <v>0</v>
      </c>
      <c r="C175" s="12">
        <v>11000</v>
      </c>
      <c r="D175" s="11">
        <f t="shared" si="2"/>
        <v>0</v>
      </c>
    </row>
    <row r="176" spans="1:4" ht="18" hidden="1" x14ac:dyDescent="0.35">
      <c r="A176" s="8" t="s">
        <v>147</v>
      </c>
      <c r="B176" s="33">
        <v>0</v>
      </c>
      <c r="C176" s="12"/>
      <c r="D176" s="11">
        <f t="shared" si="2"/>
        <v>0</v>
      </c>
    </row>
    <row r="177" spans="1:4" ht="15.6" hidden="1" x14ac:dyDescent="0.35">
      <c r="A177" s="24" t="s">
        <v>148</v>
      </c>
      <c r="B177" s="33">
        <v>0</v>
      </c>
      <c r="C177" s="12"/>
      <c r="D177" s="11">
        <f t="shared" si="2"/>
        <v>0</v>
      </c>
    </row>
    <row r="178" spans="1:4" ht="18" hidden="1" x14ac:dyDescent="0.35">
      <c r="A178" s="8" t="s">
        <v>149</v>
      </c>
      <c r="B178" s="33">
        <v>0</v>
      </c>
      <c r="C178" s="10">
        <v>18000</v>
      </c>
      <c r="D178" s="11">
        <f t="shared" si="2"/>
        <v>0</v>
      </c>
    </row>
    <row r="179" spans="1:4" ht="18" hidden="1" x14ac:dyDescent="0.35">
      <c r="A179" s="8" t="s">
        <v>150</v>
      </c>
      <c r="B179" s="33">
        <v>0</v>
      </c>
      <c r="C179" s="25"/>
      <c r="D179" s="11">
        <f t="shared" si="2"/>
        <v>0</v>
      </c>
    </row>
    <row r="180" spans="1:4" ht="18" hidden="1" x14ac:dyDescent="0.35">
      <c r="A180" s="14" t="s">
        <v>151</v>
      </c>
      <c r="B180" s="33">
        <v>0</v>
      </c>
      <c r="C180" s="10"/>
      <c r="D180" s="11">
        <f t="shared" si="2"/>
        <v>0</v>
      </c>
    </row>
    <row r="181" spans="1:4" ht="18" hidden="1" x14ac:dyDescent="0.35">
      <c r="A181" s="14" t="s">
        <v>152</v>
      </c>
      <c r="B181" s="33">
        <v>0</v>
      </c>
      <c r="C181" s="10"/>
      <c r="D181" s="11">
        <f t="shared" si="2"/>
        <v>0</v>
      </c>
    </row>
    <row r="182" spans="1:4" ht="18" hidden="1" x14ac:dyDescent="0.35">
      <c r="A182" s="8" t="s">
        <v>153</v>
      </c>
      <c r="B182" s="33">
        <v>0</v>
      </c>
      <c r="C182" s="10"/>
      <c r="D182" s="11">
        <f t="shared" si="2"/>
        <v>0</v>
      </c>
    </row>
    <row r="183" spans="1:4" ht="18" hidden="1" x14ac:dyDescent="0.35">
      <c r="A183" s="8" t="s">
        <v>154</v>
      </c>
      <c r="B183" s="33">
        <v>0</v>
      </c>
      <c r="C183" s="10"/>
      <c r="D183" s="11">
        <f t="shared" si="2"/>
        <v>0</v>
      </c>
    </row>
    <row r="184" spans="1:4" ht="18" hidden="1" x14ac:dyDescent="0.35">
      <c r="A184" s="8" t="s">
        <v>155</v>
      </c>
      <c r="B184" s="33">
        <v>0</v>
      </c>
      <c r="C184" s="10"/>
      <c r="D184" s="11">
        <f t="shared" si="2"/>
        <v>0</v>
      </c>
    </row>
    <row r="185" spans="1:4" ht="18.75" x14ac:dyDescent="0.25">
      <c r="A185" s="8" t="s">
        <v>156</v>
      </c>
      <c r="B185" s="33">
        <v>3</v>
      </c>
      <c r="C185" s="10">
        <v>40000</v>
      </c>
      <c r="D185" s="11">
        <f t="shared" si="2"/>
        <v>120000</v>
      </c>
    </row>
    <row r="186" spans="1:4" ht="18" hidden="1" x14ac:dyDescent="0.35">
      <c r="A186" s="8" t="s">
        <v>157</v>
      </c>
      <c r="B186" s="33">
        <v>0</v>
      </c>
      <c r="C186" s="10">
        <v>15000</v>
      </c>
      <c r="D186" s="11">
        <f t="shared" si="2"/>
        <v>0</v>
      </c>
    </row>
    <row r="187" spans="1:4" ht="18" hidden="1" x14ac:dyDescent="0.35">
      <c r="A187" s="8" t="s">
        <v>158</v>
      </c>
      <c r="B187" s="33">
        <v>0</v>
      </c>
      <c r="C187" s="10">
        <v>50000</v>
      </c>
      <c r="D187" s="11">
        <f t="shared" si="2"/>
        <v>0</v>
      </c>
    </row>
    <row r="188" spans="1:4" ht="18" hidden="1" x14ac:dyDescent="0.35">
      <c r="A188" s="8" t="s">
        <v>159</v>
      </c>
      <c r="B188" s="33">
        <v>0</v>
      </c>
      <c r="C188" s="10"/>
      <c r="D188" s="11">
        <f t="shared" si="2"/>
        <v>0</v>
      </c>
    </row>
    <row r="189" spans="1:4" ht="18" hidden="1" x14ac:dyDescent="0.35">
      <c r="A189" s="8" t="s">
        <v>160</v>
      </c>
      <c r="B189" s="33">
        <v>0</v>
      </c>
      <c r="C189" s="10"/>
      <c r="D189" s="11">
        <f t="shared" si="2"/>
        <v>0</v>
      </c>
    </row>
    <row r="190" spans="1:4" ht="18" hidden="1" x14ac:dyDescent="0.35">
      <c r="A190" s="8" t="s">
        <v>161</v>
      </c>
      <c r="B190" s="33">
        <v>0</v>
      </c>
      <c r="C190" s="10">
        <v>30000</v>
      </c>
      <c r="D190" s="11">
        <f t="shared" si="2"/>
        <v>0</v>
      </c>
    </row>
    <row r="191" spans="1:4" ht="18" hidden="1" x14ac:dyDescent="0.35">
      <c r="A191" s="8" t="s">
        <v>162</v>
      </c>
      <c r="B191" s="33">
        <v>0</v>
      </c>
      <c r="C191" s="10"/>
      <c r="D191" s="11">
        <f t="shared" si="2"/>
        <v>0</v>
      </c>
    </row>
    <row r="192" spans="1:4" ht="18" hidden="1" x14ac:dyDescent="0.35">
      <c r="A192" s="14" t="s">
        <v>163</v>
      </c>
      <c r="B192" s="33">
        <v>0</v>
      </c>
      <c r="C192" s="15"/>
      <c r="D192" s="11">
        <f t="shared" si="2"/>
        <v>0</v>
      </c>
    </row>
    <row r="193" spans="1:4" ht="18" hidden="1" x14ac:dyDescent="0.35">
      <c r="A193" s="14" t="s">
        <v>164</v>
      </c>
      <c r="B193" s="33">
        <v>0</v>
      </c>
      <c r="C193" s="15"/>
      <c r="D193" s="11">
        <f t="shared" si="2"/>
        <v>0</v>
      </c>
    </row>
    <row r="194" spans="1:4" ht="18.75" x14ac:dyDescent="0.25">
      <c r="A194" s="8" t="s">
        <v>165</v>
      </c>
      <c r="B194" s="33">
        <v>107</v>
      </c>
      <c r="C194" s="10">
        <v>22000</v>
      </c>
      <c r="D194" s="11">
        <f t="shared" si="2"/>
        <v>2354000</v>
      </c>
    </row>
    <row r="195" spans="1:4" ht="18.75" x14ac:dyDescent="0.25">
      <c r="A195" s="26" t="s">
        <v>166</v>
      </c>
      <c r="B195" s="33">
        <v>54</v>
      </c>
      <c r="C195" s="10">
        <v>7500</v>
      </c>
      <c r="D195" s="11">
        <f t="shared" si="2"/>
        <v>405000</v>
      </c>
    </row>
    <row r="196" spans="1:4" ht="18" hidden="1" x14ac:dyDescent="0.35">
      <c r="A196" s="8" t="s">
        <v>167</v>
      </c>
      <c r="B196" s="33">
        <v>0</v>
      </c>
      <c r="C196" s="10"/>
      <c r="D196" s="11">
        <f t="shared" si="2"/>
        <v>0</v>
      </c>
    </row>
    <row r="197" spans="1:4" ht="18.75" x14ac:dyDescent="0.25">
      <c r="A197" s="8" t="s">
        <v>168</v>
      </c>
      <c r="B197" s="33">
        <v>110</v>
      </c>
      <c r="C197" s="12">
        <v>13000</v>
      </c>
      <c r="D197" s="11">
        <f t="shared" ref="D197:D250" si="3">B197*C197</f>
        <v>1430000</v>
      </c>
    </row>
    <row r="198" spans="1:4" ht="18" hidden="1" x14ac:dyDescent="0.35">
      <c r="A198" s="8" t="s">
        <v>169</v>
      </c>
      <c r="B198" s="33">
        <v>0</v>
      </c>
      <c r="C198" s="10"/>
      <c r="D198" s="11">
        <f t="shared" si="3"/>
        <v>0</v>
      </c>
    </row>
    <row r="199" spans="1:4" ht="18" hidden="1" x14ac:dyDescent="0.35">
      <c r="A199" s="8" t="s">
        <v>170</v>
      </c>
      <c r="B199" s="33">
        <v>0</v>
      </c>
      <c r="C199" s="10"/>
      <c r="D199" s="11">
        <f t="shared" si="3"/>
        <v>0</v>
      </c>
    </row>
    <row r="200" spans="1:4" ht="18" hidden="1" x14ac:dyDescent="0.35">
      <c r="A200" s="8" t="s">
        <v>171</v>
      </c>
      <c r="B200" s="33">
        <v>0</v>
      </c>
      <c r="C200" s="13"/>
      <c r="D200" s="11">
        <f t="shared" si="3"/>
        <v>0</v>
      </c>
    </row>
    <row r="201" spans="1:4" ht="18" hidden="1" x14ac:dyDescent="0.35">
      <c r="A201" s="8" t="s">
        <v>172</v>
      </c>
      <c r="B201" s="33">
        <v>0</v>
      </c>
      <c r="C201" s="13">
        <v>6100</v>
      </c>
      <c r="D201" s="11">
        <f t="shared" si="3"/>
        <v>0</v>
      </c>
    </row>
    <row r="202" spans="1:4" ht="18" hidden="1" x14ac:dyDescent="0.35">
      <c r="A202" s="8" t="s">
        <v>173</v>
      </c>
      <c r="B202" s="33">
        <v>0</v>
      </c>
      <c r="C202" s="13">
        <v>25000</v>
      </c>
      <c r="D202" s="11">
        <f t="shared" si="3"/>
        <v>0</v>
      </c>
    </row>
    <row r="203" spans="1:4" ht="18" hidden="1" x14ac:dyDescent="0.35">
      <c r="A203" s="8" t="s">
        <v>174</v>
      </c>
      <c r="B203" s="33">
        <v>0</v>
      </c>
      <c r="C203" s="13">
        <v>6100</v>
      </c>
      <c r="D203" s="11">
        <f t="shared" si="3"/>
        <v>0</v>
      </c>
    </row>
    <row r="204" spans="1:4" ht="18" hidden="1" x14ac:dyDescent="0.35">
      <c r="A204" s="8" t="s">
        <v>175</v>
      </c>
      <c r="B204" s="33">
        <v>0</v>
      </c>
      <c r="C204" s="13"/>
      <c r="D204" s="11">
        <f t="shared" si="3"/>
        <v>0</v>
      </c>
    </row>
    <row r="205" spans="1:4" ht="18" hidden="1" x14ac:dyDescent="0.35">
      <c r="A205" s="8" t="s">
        <v>176</v>
      </c>
      <c r="B205" s="33">
        <v>0</v>
      </c>
      <c r="C205" s="13"/>
      <c r="D205" s="11">
        <f t="shared" si="3"/>
        <v>0</v>
      </c>
    </row>
    <row r="206" spans="1:4" ht="18" hidden="1" x14ac:dyDescent="0.35">
      <c r="A206" s="8" t="s">
        <v>177</v>
      </c>
      <c r="B206" s="33">
        <v>0</v>
      </c>
      <c r="C206" s="12"/>
      <c r="D206" s="11">
        <f t="shared" si="3"/>
        <v>0</v>
      </c>
    </row>
    <row r="207" spans="1:4" ht="18" hidden="1" x14ac:dyDescent="0.35">
      <c r="A207" s="27" t="s">
        <v>178</v>
      </c>
      <c r="B207" s="33">
        <v>0</v>
      </c>
      <c r="C207" s="12">
        <v>27000</v>
      </c>
      <c r="D207" s="11">
        <f t="shared" si="3"/>
        <v>0</v>
      </c>
    </row>
    <row r="208" spans="1:4" ht="18" hidden="1" x14ac:dyDescent="0.35">
      <c r="A208" s="27" t="s">
        <v>179</v>
      </c>
      <c r="B208" s="33">
        <v>0</v>
      </c>
      <c r="C208" s="13">
        <v>25000</v>
      </c>
      <c r="D208" s="11">
        <f t="shared" si="3"/>
        <v>0</v>
      </c>
    </row>
    <row r="209" spans="1:4" ht="18" hidden="1" x14ac:dyDescent="0.35">
      <c r="A209" s="27" t="s">
        <v>180</v>
      </c>
      <c r="B209" s="33">
        <v>0</v>
      </c>
      <c r="C209" s="13">
        <v>6100</v>
      </c>
      <c r="D209" s="11">
        <f t="shared" si="3"/>
        <v>0</v>
      </c>
    </row>
    <row r="210" spans="1:4" ht="18" hidden="1" x14ac:dyDescent="0.35">
      <c r="A210" s="27" t="s">
        <v>181</v>
      </c>
      <c r="B210" s="33">
        <v>0</v>
      </c>
      <c r="C210" s="12"/>
      <c r="D210" s="11">
        <f t="shared" si="3"/>
        <v>0</v>
      </c>
    </row>
    <row r="211" spans="1:4" ht="18" hidden="1" x14ac:dyDescent="0.35">
      <c r="A211" s="27" t="s">
        <v>182</v>
      </c>
      <c r="B211" s="33">
        <v>0</v>
      </c>
      <c r="C211" s="12"/>
      <c r="D211" s="11">
        <f t="shared" si="3"/>
        <v>0</v>
      </c>
    </row>
    <row r="212" spans="1:4" ht="18" hidden="1" x14ac:dyDescent="0.35">
      <c r="A212" s="8" t="s">
        <v>183</v>
      </c>
      <c r="B212" s="33">
        <v>0</v>
      </c>
      <c r="C212" s="13">
        <v>6100</v>
      </c>
      <c r="D212" s="11">
        <f t="shared" si="3"/>
        <v>0</v>
      </c>
    </row>
    <row r="213" spans="1:4" ht="18" hidden="1" x14ac:dyDescent="0.35">
      <c r="A213" s="8" t="s">
        <v>184</v>
      </c>
      <c r="B213" s="33">
        <v>0</v>
      </c>
      <c r="C213" s="13"/>
      <c r="D213" s="11">
        <f t="shared" si="3"/>
        <v>0</v>
      </c>
    </row>
    <row r="214" spans="1:4" ht="18" hidden="1" x14ac:dyDescent="0.35">
      <c r="A214" s="8" t="s">
        <v>185</v>
      </c>
      <c r="B214" s="33">
        <v>0</v>
      </c>
      <c r="C214" s="13">
        <v>25000</v>
      </c>
      <c r="D214" s="11">
        <f t="shared" si="3"/>
        <v>0</v>
      </c>
    </row>
    <row r="215" spans="1:4" ht="18" hidden="1" x14ac:dyDescent="0.35">
      <c r="A215" s="8" t="s">
        <v>186</v>
      </c>
      <c r="B215" s="33">
        <v>0</v>
      </c>
      <c r="C215" s="13">
        <v>25000</v>
      </c>
      <c r="D215" s="11">
        <f t="shared" si="3"/>
        <v>0</v>
      </c>
    </row>
    <row r="216" spans="1:4" ht="18" hidden="1" x14ac:dyDescent="0.35">
      <c r="A216" s="8" t="s">
        <v>187</v>
      </c>
      <c r="B216" s="33">
        <v>0</v>
      </c>
      <c r="C216" s="13"/>
      <c r="D216" s="11">
        <f t="shared" si="3"/>
        <v>0</v>
      </c>
    </row>
    <row r="217" spans="1:4" ht="18" hidden="1" x14ac:dyDescent="0.35">
      <c r="A217" s="8" t="s">
        <v>188</v>
      </c>
      <c r="B217" s="33">
        <v>0</v>
      </c>
      <c r="C217" s="10">
        <v>11000</v>
      </c>
      <c r="D217" s="11">
        <f t="shared" si="3"/>
        <v>0</v>
      </c>
    </row>
    <row r="218" spans="1:4" ht="18" hidden="1" x14ac:dyDescent="0.35">
      <c r="A218" s="8" t="s">
        <v>189</v>
      </c>
      <c r="B218" s="33">
        <v>0</v>
      </c>
      <c r="C218" s="13"/>
      <c r="D218" s="11">
        <f t="shared" si="3"/>
        <v>0</v>
      </c>
    </row>
    <row r="219" spans="1:4" ht="18" hidden="1" x14ac:dyDescent="0.35">
      <c r="A219" s="8" t="s">
        <v>190</v>
      </c>
      <c r="B219" s="33">
        <v>0</v>
      </c>
      <c r="C219" s="12"/>
      <c r="D219" s="11">
        <f t="shared" si="3"/>
        <v>0</v>
      </c>
    </row>
    <row r="220" spans="1:4" ht="18" hidden="1" x14ac:dyDescent="0.35">
      <c r="A220" s="8" t="s">
        <v>191</v>
      </c>
      <c r="B220" s="33">
        <v>0</v>
      </c>
      <c r="C220" s="10"/>
      <c r="D220" s="11">
        <f t="shared" si="3"/>
        <v>0</v>
      </c>
    </row>
    <row r="221" spans="1:4" ht="18" hidden="1" x14ac:dyDescent="0.35">
      <c r="A221" s="8" t="s">
        <v>192</v>
      </c>
      <c r="B221" s="33">
        <v>0</v>
      </c>
      <c r="C221" s="13">
        <v>42000</v>
      </c>
      <c r="D221" s="11">
        <f t="shared" si="3"/>
        <v>0</v>
      </c>
    </row>
    <row r="222" spans="1:4" ht="18" hidden="1" x14ac:dyDescent="0.35">
      <c r="A222" s="8"/>
      <c r="B222" s="33">
        <v>0</v>
      </c>
      <c r="C222" s="13">
        <v>55988</v>
      </c>
      <c r="D222" s="11">
        <f t="shared" si="3"/>
        <v>0</v>
      </c>
    </row>
    <row r="223" spans="1:4" ht="18" hidden="1" x14ac:dyDescent="0.35">
      <c r="A223" s="8"/>
      <c r="B223" s="33">
        <v>0</v>
      </c>
      <c r="C223" s="13">
        <v>72000</v>
      </c>
      <c r="D223" s="11">
        <f t="shared" si="3"/>
        <v>0</v>
      </c>
    </row>
    <row r="224" spans="1:4" ht="18" hidden="1" x14ac:dyDescent="0.35">
      <c r="A224" s="8" t="s">
        <v>193</v>
      </c>
      <c r="B224" s="33">
        <v>0</v>
      </c>
      <c r="C224" s="10">
        <v>18000</v>
      </c>
      <c r="D224" s="11">
        <f t="shared" si="3"/>
        <v>0</v>
      </c>
    </row>
    <row r="225" spans="1:4" ht="18" hidden="1" x14ac:dyDescent="0.35">
      <c r="A225" s="8" t="s">
        <v>194</v>
      </c>
      <c r="B225" s="33">
        <v>0</v>
      </c>
      <c r="C225" s="10"/>
      <c r="D225" s="11">
        <f t="shared" si="3"/>
        <v>0</v>
      </c>
    </row>
    <row r="226" spans="1:4" ht="18" hidden="1" x14ac:dyDescent="0.35">
      <c r="A226" s="8"/>
      <c r="B226" s="33">
        <v>0</v>
      </c>
      <c r="C226" s="10">
        <v>36000</v>
      </c>
      <c r="D226" s="11">
        <f t="shared" si="3"/>
        <v>0</v>
      </c>
    </row>
    <row r="227" spans="1:4" ht="18" hidden="1" x14ac:dyDescent="0.35">
      <c r="A227" s="8"/>
      <c r="B227" s="33">
        <v>0</v>
      </c>
      <c r="C227" s="10">
        <v>36000</v>
      </c>
      <c r="D227" s="11">
        <f t="shared" si="3"/>
        <v>0</v>
      </c>
    </row>
    <row r="228" spans="1:4" ht="18" hidden="1" x14ac:dyDescent="0.35">
      <c r="A228" s="8" t="s">
        <v>195</v>
      </c>
      <c r="B228" s="33">
        <v>0</v>
      </c>
      <c r="C228" s="10"/>
      <c r="D228" s="11">
        <f t="shared" si="3"/>
        <v>0</v>
      </c>
    </row>
    <row r="229" spans="1:4" ht="18" hidden="1" x14ac:dyDescent="0.35">
      <c r="A229" s="8"/>
      <c r="B229" s="33">
        <v>0</v>
      </c>
      <c r="C229" s="10">
        <v>35000</v>
      </c>
      <c r="D229" s="11">
        <f t="shared" si="3"/>
        <v>0</v>
      </c>
    </row>
    <row r="230" spans="1:4" ht="18" hidden="1" x14ac:dyDescent="0.35">
      <c r="A230" s="14" t="s">
        <v>196</v>
      </c>
      <c r="B230" s="33">
        <v>0</v>
      </c>
      <c r="C230" s="12"/>
      <c r="D230" s="11">
        <f t="shared" si="3"/>
        <v>0</v>
      </c>
    </row>
    <row r="231" spans="1:4" ht="18.75" x14ac:dyDescent="0.25">
      <c r="A231" s="14" t="s">
        <v>197</v>
      </c>
      <c r="B231" s="33">
        <v>6</v>
      </c>
      <c r="C231" s="10">
        <v>12000</v>
      </c>
      <c r="D231" s="11">
        <f t="shared" si="3"/>
        <v>72000</v>
      </c>
    </row>
    <row r="232" spans="1:4" ht="18" hidden="1" x14ac:dyDescent="0.35">
      <c r="A232" s="8" t="s">
        <v>198</v>
      </c>
      <c r="B232" s="33">
        <v>0</v>
      </c>
      <c r="C232" s="10">
        <v>8000</v>
      </c>
      <c r="D232" s="11">
        <f t="shared" si="3"/>
        <v>0</v>
      </c>
    </row>
    <row r="233" spans="1:4" ht="18" hidden="1" x14ac:dyDescent="0.35">
      <c r="A233" s="8" t="s">
        <v>199</v>
      </c>
      <c r="B233" s="33">
        <v>0</v>
      </c>
      <c r="C233" s="12">
        <v>17000</v>
      </c>
      <c r="D233" s="11">
        <f t="shared" si="3"/>
        <v>0</v>
      </c>
    </row>
    <row r="234" spans="1:4" ht="18" hidden="1" x14ac:dyDescent="0.35">
      <c r="A234" s="8" t="s">
        <v>200</v>
      </c>
      <c r="B234" s="33">
        <v>0</v>
      </c>
      <c r="C234" s="12"/>
      <c r="D234" s="11">
        <f t="shared" si="3"/>
        <v>0</v>
      </c>
    </row>
    <row r="235" spans="1:4" ht="18" hidden="1" x14ac:dyDescent="0.35">
      <c r="A235" s="8" t="s">
        <v>201</v>
      </c>
      <c r="B235" s="33">
        <v>0</v>
      </c>
      <c r="C235" s="19"/>
      <c r="D235" s="11">
        <f t="shared" si="3"/>
        <v>0</v>
      </c>
    </row>
    <row r="236" spans="1:4" ht="18" hidden="1" x14ac:dyDescent="0.35">
      <c r="A236" s="8" t="s">
        <v>202</v>
      </c>
      <c r="B236" s="33">
        <v>0</v>
      </c>
      <c r="C236" s="12">
        <v>12000</v>
      </c>
      <c r="D236" s="11">
        <f t="shared" si="3"/>
        <v>0</v>
      </c>
    </row>
    <row r="237" spans="1:4" ht="18" hidden="1" x14ac:dyDescent="0.35">
      <c r="A237" s="8" t="s">
        <v>203</v>
      </c>
      <c r="B237" s="33">
        <v>0</v>
      </c>
      <c r="C237" s="12"/>
      <c r="D237" s="11">
        <f t="shared" si="3"/>
        <v>0</v>
      </c>
    </row>
    <row r="238" spans="1:4" ht="18.75" x14ac:dyDescent="0.25">
      <c r="A238" s="8" t="s">
        <v>204</v>
      </c>
      <c r="B238" s="33">
        <v>1215</v>
      </c>
      <c r="C238" s="13">
        <v>9000</v>
      </c>
      <c r="D238" s="11">
        <f t="shared" si="3"/>
        <v>10935000</v>
      </c>
    </row>
    <row r="239" spans="1:4" ht="18.75" x14ac:dyDescent="0.25">
      <c r="A239" s="8" t="s">
        <v>205</v>
      </c>
      <c r="B239" s="33">
        <v>8</v>
      </c>
      <c r="C239" s="10">
        <v>9000</v>
      </c>
      <c r="D239" s="11">
        <f t="shared" si="3"/>
        <v>72000</v>
      </c>
    </row>
    <row r="240" spans="1:4" ht="18" hidden="1" x14ac:dyDescent="0.35">
      <c r="A240" s="8"/>
      <c r="B240" s="33">
        <v>0</v>
      </c>
      <c r="C240" s="10">
        <v>9000</v>
      </c>
      <c r="D240" s="11">
        <f t="shared" si="3"/>
        <v>0</v>
      </c>
    </row>
    <row r="241" spans="1:4" ht="18" hidden="1" x14ac:dyDescent="0.35">
      <c r="A241" s="8"/>
      <c r="B241" s="33">
        <v>0</v>
      </c>
      <c r="C241" s="10">
        <v>8500</v>
      </c>
      <c r="D241" s="11">
        <f t="shared" si="3"/>
        <v>0</v>
      </c>
    </row>
    <row r="242" spans="1:4" ht="18" hidden="1" x14ac:dyDescent="0.35">
      <c r="A242" s="8" t="s">
        <v>206</v>
      </c>
      <c r="B242" s="33">
        <v>0</v>
      </c>
      <c r="C242" s="13"/>
      <c r="D242" s="11">
        <f t="shared" si="3"/>
        <v>0</v>
      </c>
    </row>
    <row r="243" spans="1:4" ht="18" hidden="1" x14ac:dyDescent="0.35">
      <c r="A243" s="8" t="s">
        <v>207</v>
      </c>
      <c r="B243" s="33">
        <v>0</v>
      </c>
      <c r="C243" s="13"/>
      <c r="D243" s="11">
        <f t="shared" si="3"/>
        <v>0</v>
      </c>
    </row>
    <row r="244" spans="1:4" ht="18" hidden="1" x14ac:dyDescent="0.35">
      <c r="A244" s="8" t="s">
        <v>208</v>
      </c>
      <c r="B244" s="33">
        <v>0</v>
      </c>
      <c r="C244" s="13"/>
      <c r="D244" s="11">
        <f t="shared" si="3"/>
        <v>0</v>
      </c>
    </row>
    <row r="245" spans="1:4" ht="18" hidden="1" x14ac:dyDescent="0.35">
      <c r="A245" s="14" t="s">
        <v>209</v>
      </c>
      <c r="B245" s="33">
        <v>0</v>
      </c>
      <c r="C245" s="10"/>
      <c r="D245" s="11">
        <f t="shared" si="3"/>
        <v>0</v>
      </c>
    </row>
    <row r="246" spans="1:4" ht="18" hidden="1" x14ac:dyDescent="0.35">
      <c r="A246" s="8" t="s">
        <v>210</v>
      </c>
      <c r="B246" s="33">
        <v>0</v>
      </c>
      <c r="C246" s="12"/>
      <c r="D246" s="11">
        <f t="shared" si="3"/>
        <v>0</v>
      </c>
    </row>
    <row r="247" spans="1:4" ht="18" hidden="1" x14ac:dyDescent="0.35">
      <c r="A247" s="8" t="s">
        <v>211</v>
      </c>
      <c r="B247" s="33">
        <v>0</v>
      </c>
      <c r="C247" s="13"/>
      <c r="D247" s="11">
        <f t="shared" si="3"/>
        <v>0</v>
      </c>
    </row>
    <row r="248" spans="1:4" ht="18" hidden="1" x14ac:dyDescent="0.35">
      <c r="A248" s="8" t="s">
        <v>212</v>
      </c>
      <c r="B248" s="33">
        <v>0</v>
      </c>
      <c r="C248" s="13"/>
      <c r="D248" s="11">
        <f t="shared" si="3"/>
        <v>0</v>
      </c>
    </row>
    <row r="249" spans="1:4" ht="18" hidden="1" x14ac:dyDescent="0.35">
      <c r="A249" s="8" t="s">
        <v>213</v>
      </c>
      <c r="B249" s="33">
        <v>0</v>
      </c>
      <c r="C249" s="13"/>
      <c r="D249" s="11">
        <f t="shared" si="3"/>
        <v>0</v>
      </c>
    </row>
    <row r="250" spans="1:4" ht="18" hidden="1" x14ac:dyDescent="0.35">
      <c r="A250" s="8" t="s">
        <v>214</v>
      </c>
      <c r="B250" s="33">
        <v>0</v>
      </c>
      <c r="C250" s="13"/>
      <c r="D250" s="11">
        <f t="shared" si="3"/>
        <v>0</v>
      </c>
    </row>
    <row r="251" spans="1:4" ht="18.75" x14ac:dyDescent="0.25">
      <c r="A251" s="28"/>
      <c r="B251" s="30">
        <f t="shared" ref="B251:D251" si="4">SUM(B4:B250)</f>
        <v>1931.5</v>
      </c>
      <c r="C251" s="30">
        <f t="shared" si="4"/>
        <v>2741465</v>
      </c>
      <c r="D251" s="30">
        <f t="shared" si="4"/>
        <v>22895500</v>
      </c>
    </row>
  </sheetData>
  <protectedRanges>
    <protectedRange password="CC4C" sqref="C1:C250" name="tho5"/>
    <protectedRange password="CCD0" sqref="B1:B250" name="tho3"/>
  </protectedRanges>
  <autoFilter ref="A2:D251">
    <filterColumn colId="1">
      <filters>
        <filter val="1,215"/>
        <filter val="1,931.5"/>
        <filter val="107"/>
        <filter val="110"/>
        <filter val="12"/>
        <filter val="15"/>
        <filter val="20"/>
        <filter val="200"/>
        <filter val="27"/>
        <filter val="3"/>
        <filter val="4"/>
        <filter val="40"/>
        <filter val="5"/>
        <filter val="54"/>
        <filter val="6"/>
        <filter val="8"/>
        <filter val="90"/>
      </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5"/>
  <sheetViews>
    <sheetView workbookViewId="0">
      <selection activeCell="F76" sqref="F76:F126"/>
    </sheetView>
  </sheetViews>
  <sheetFormatPr defaultRowHeight="15" x14ac:dyDescent="0.25"/>
  <cols>
    <col min="1" max="1" width="16.7109375" customWidth="1"/>
    <col min="3" max="3" width="13.42578125" customWidth="1"/>
    <col min="4" max="4" width="16" customWidth="1"/>
  </cols>
  <sheetData>
    <row r="1" spans="1:4" x14ac:dyDescent="0.25">
      <c r="A1" s="1" t="s">
        <v>216</v>
      </c>
      <c r="B1" s="2"/>
      <c r="C1" s="2"/>
      <c r="D1" s="3"/>
    </row>
    <row r="2" spans="1:4" x14ac:dyDescent="0.25">
      <c r="A2" s="50" t="s">
        <v>1</v>
      </c>
      <c r="B2" s="4" t="s">
        <v>221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34">
        <v>0</v>
      </c>
      <c r="C4" s="10">
        <v>19000</v>
      </c>
      <c r="D4" s="11">
        <f>B4*C4</f>
        <v>0</v>
      </c>
    </row>
    <row r="5" spans="1:4" ht="18" hidden="1" x14ac:dyDescent="0.35">
      <c r="A5" s="8" t="s">
        <v>6</v>
      </c>
      <c r="B5" s="34">
        <v>0</v>
      </c>
      <c r="C5" s="10">
        <v>20000</v>
      </c>
      <c r="D5" s="11">
        <f t="shared" ref="D5:D68" si="0">B5*C5</f>
        <v>0</v>
      </c>
    </row>
    <row r="6" spans="1:4" ht="18" hidden="1" x14ac:dyDescent="0.35">
      <c r="A6" s="8"/>
      <c r="B6" s="34">
        <v>0</v>
      </c>
      <c r="C6" s="10">
        <v>20000</v>
      </c>
      <c r="D6" s="11">
        <f t="shared" si="0"/>
        <v>0</v>
      </c>
    </row>
    <row r="7" spans="1:4" ht="18" hidden="1" x14ac:dyDescent="0.35">
      <c r="A7" s="8"/>
      <c r="B7" s="34">
        <v>0</v>
      </c>
      <c r="C7" s="10">
        <v>20000</v>
      </c>
      <c r="D7" s="11">
        <f t="shared" si="0"/>
        <v>0</v>
      </c>
    </row>
    <row r="8" spans="1:4" ht="18" hidden="1" x14ac:dyDescent="0.35">
      <c r="A8" s="8"/>
      <c r="B8" s="34">
        <v>0</v>
      </c>
      <c r="C8" s="10">
        <v>24000</v>
      </c>
      <c r="D8" s="11">
        <f t="shared" si="0"/>
        <v>0</v>
      </c>
    </row>
    <row r="9" spans="1:4" ht="18" hidden="1" x14ac:dyDescent="0.35">
      <c r="A9" s="8" t="s">
        <v>7</v>
      </c>
      <c r="B9" s="34">
        <v>0</v>
      </c>
      <c r="C9" s="10">
        <v>200</v>
      </c>
      <c r="D9" s="11">
        <f t="shared" si="0"/>
        <v>0</v>
      </c>
    </row>
    <row r="10" spans="1:4" ht="18" hidden="1" x14ac:dyDescent="0.35">
      <c r="A10" s="8" t="s">
        <v>8</v>
      </c>
      <c r="B10" s="34">
        <v>0</v>
      </c>
      <c r="C10" s="12"/>
      <c r="D10" s="11">
        <f t="shared" si="0"/>
        <v>0</v>
      </c>
    </row>
    <row r="11" spans="1:4" ht="18" hidden="1" x14ac:dyDescent="0.35">
      <c r="A11" s="8"/>
      <c r="B11" s="34">
        <v>0</v>
      </c>
      <c r="C11" s="12">
        <v>39000</v>
      </c>
      <c r="D11" s="11">
        <f t="shared" si="0"/>
        <v>0</v>
      </c>
    </row>
    <row r="12" spans="1:4" ht="18" hidden="1" x14ac:dyDescent="0.35">
      <c r="A12" s="8" t="s">
        <v>9</v>
      </c>
      <c r="B12" s="34">
        <v>0</v>
      </c>
      <c r="C12" s="10"/>
      <c r="D12" s="11">
        <f t="shared" si="0"/>
        <v>0</v>
      </c>
    </row>
    <row r="13" spans="1:4" ht="18" hidden="1" x14ac:dyDescent="0.35">
      <c r="A13" s="8" t="s">
        <v>10</v>
      </c>
      <c r="B13" s="34">
        <v>0</v>
      </c>
      <c r="C13" s="10">
        <v>21000</v>
      </c>
      <c r="D13" s="11">
        <f t="shared" si="0"/>
        <v>0</v>
      </c>
    </row>
    <row r="14" spans="1:4" ht="18.75" x14ac:dyDescent="0.25">
      <c r="A14" s="8" t="s">
        <v>11</v>
      </c>
      <c r="B14" s="34">
        <v>36</v>
      </c>
      <c r="C14" s="10">
        <v>38000</v>
      </c>
      <c r="D14" s="11">
        <f t="shared" si="0"/>
        <v>1368000</v>
      </c>
    </row>
    <row r="15" spans="1:4" ht="18" hidden="1" x14ac:dyDescent="0.35">
      <c r="A15" s="8" t="s">
        <v>12</v>
      </c>
      <c r="B15" s="34">
        <v>0</v>
      </c>
      <c r="C15" s="10"/>
      <c r="D15" s="11">
        <f t="shared" si="0"/>
        <v>0</v>
      </c>
    </row>
    <row r="16" spans="1:4" ht="18" hidden="1" x14ac:dyDescent="0.35">
      <c r="A16" s="8" t="s">
        <v>13</v>
      </c>
      <c r="B16" s="34">
        <v>0</v>
      </c>
      <c r="C16" s="10"/>
      <c r="D16" s="11">
        <f t="shared" si="0"/>
        <v>0</v>
      </c>
    </row>
    <row r="17" spans="1:4" ht="18" hidden="1" x14ac:dyDescent="0.35">
      <c r="A17" s="8" t="s">
        <v>14</v>
      </c>
      <c r="B17" s="34">
        <v>0</v>
      </c>
      <c r="C17" s="12">
        <v>50000</v>
      </c>
      <c r="D17" s="11">
        <f t="shared" si="0"/>
        <v>0</v>
      </c>
    </row>
    <row r="18" spans="1:4" ht="18" hidden="1" x14ac:dyDescent="0.35">
      <c r="A18" s="8" t="s">
        <v>15</v>
      </c>
      <c r="B18" s="34">
        <v>0</v>
      </c>
      <c r="C18" s="12"/>
      <c r="D18" s="11">
        <f t="shared" si="0"/>
        <v>0</v>
      </c>
    </row>
    <row r="19" spans="1:4" ht="18" hidden="1" x14ac:dyDescent="0.35">
      <c r="A19" s="8" t="s">
        <v>16</v>
      </c>
      <c r="B19" s="34">
        <v>0</v>
      </c>
      <c r="C19" s="12"/>
      <c r="D19" s="11">
        <f t="shared" si="0"/>
        <v>0</v>
      </c>
    </row>
    <row r="20" spans="1:4" ht="18.75" x14ac:dyDescent="0.25">
      <c r="A20" s="8" t="s">
        <v>17</v>
      </c>
      <c r="B20" s="34">
        <v>14</v>
      </c>
      <c r="C20" s="10">
        <v>21000</v>
      </c>
      <c r="D20" s="11">
        <f t="shared" si="0"/>
        <v>294000</v>
      </c>
    </row>
    <row r="21" spans="1:4" ht="18" hidden="1" x14ac:dyDescent="0.35">
      <c r="A21" s="8" t="s">
        <v>18</v>
      </c>
      <c r="B21" s="34">
        <v>0</v>
      </c>
      <c r="C21" s="10"/>
      <c r="D21" s="11">
        <f t="shared" si="0"/>
        <v>0</v>
      </c>
    </row>
    <row r="22" spans="1:4" ht="18" hidden="1" x14ac:dyDescent="0.35">
      <c r="A22" s="8" t="s">
        <v>19</v>
      </c>
      <c r="B22" s="34">
        <v>0</v>
      </c>
      <c r="C22" s="10"/>
      <c r="D22" s="11">
        <f t="shared" si="0"/>
        <v>0</v>
      </c>
    </row>
    <row r="23" spans="1:4" ht="18" hidden="1" x14ac:dyDescent="0.35">
      <c r="A23" s="8" t="s">
        <v>20</v>
      </c>
      <c r="B23" s="34">
        <v>0</v>
      </c>
      <c r="C23" s="13">
        <v>11000</v>
      </c>
      <c r="D23" s="11">
        <f t="shared" si="0"/>
        <v>0</v>
      </c>
    </row>
    <row r="24" spans="1:4" ht="18" hidden="1" x14ac:dyDescent="0.35">
      <c r="A24" s="8"/>
      <c r="B24" s="34">
        <v>0</v>
      </c>
      <c r="C24" s="13">
        <v>10000</v>
      </c>
      <c r="D24" s="11">
        <f t="shared" si="0"/>
        <v>0</v>
      </c>
    </row>
    <row r="25" spans="1:4" ht="18" hidden="1" x14ac:dyDescent="0.35">
      <c r="A25" s="8" t="s">
        <v>21</v>
      </c>
      <c r="B25" s="34">
        <v>0</v>
      </c>
      <c r="C25" s="10"/>
      <c r="D25" s="11">
        <f t="shared" si="0"/>
        <v>0</v>
      </c>
    </row>
    <row r="26" spans="1:4" ht="18" hidden="1" x14ac:dyDescent="0.35">
      <c r="A26" s="8" t="s">
        <v>22</v>
      </c>
      <c r="B26" s="34">
        <v>0</v>
      </c>
      <c r="C26" s="10"/>
      <c r="D26" s="11">
        <f t="shared" si="0"/>
        <v>0</v>
      </c>
    </row>
    <row r="27" spans="1:4" ht="18" hidden="1" x14ac:dyDescent="0.35">
      <c r="A27" s="8" t="s">
        <v>23</v>
      </c>
      <c r="B27" s="34">
        <v>0</v>
      </c>
      <c r="C27" s="10"/>
      <c r="D27" s="11">
        <f t="shared" si="0"/>
        <v>0</v>
      </c>
    </row>
    <row r="28" spans="1:4" ht="18" hidden="1" x14ac:dyDescent="0.35">
      <c r="A28" s="8" t="s">
        <v>24</v>
      </c>
      <c r="B28" s="34">
        <v>0</v>
      </c>
      <c r="C28" s="10"/>
      <c r="D28" s="11">
        <f t="shared" si="0"/>
        <v>0</v>
      </c>
    </row>
    <row r="29" spans="1:4" ht="18" hidden="1" x14ac:dyDescent="0.35">
      <c r="A29" s="14" t="s">
        <v>25</v>
      </c>
      <c r="B29" s="34">
        <v>0</v>
      </c>
      <c r="C29" s="13"/>
      <c r="D29" s="11">
        <f t="shared" si="0"/>
        <v>0</v>
      </c>
    </row>
    <row r="30" spans="1:4" ht="18" hidden="1" x14ac:dyDescent="0.35">
      <c r="A30" s="8" t="s">
        <v>26</v>
      </c>
      <c r="B30" s="34">
        <v>0</v>
      </c>
      <c r="C30" s="10"/>
      <c r="D30" s="11">
        <f t="shared" si="0"/>
        <v>0</v>
      </c>
    </row>
    <row r="31" spans="1:4" ht="18" hidden="1" x14ac:dyDescent="0.35">
      <c r="A31" s="8" t="s">
        <v>27</v>
      </c>
      <c r="B31" s="34">
        <v>0</v>
      </c>
      <c r="C31" s="10">
        <v>12000</v>
      </c>
      <c r="D31" s="11">
        <f t="shared" si="0"/>
        <v>0</v>
      </c>
    </row>
    <row r="32" spans="1:4" ht="18" hidden="1" x14ac:dyDescent="0.35">
      <c r="A32" s="8" t="s">
        <v>28</v>
      </c>
      <c r="B32" s="34">
        <v>0</v>
      </c>
      <c r="C32" s="10">
        <v>4000</v>
      </c>
      <c r="D32" s="11">
        <f t="shared" si="0"/>
        <v>0</v>
      </c>
    </row>
    <row r="33" spans="1:4" ht="18" hidden="1" x14ac:dyDescent="0.35">
      <c r="A33" s="14" t="s">
        <v>29</v>
      </c>
      <c r="B33" s="34">
        <v>0</v>
      </c>
      <c r="C33" s="15"/>
      <c r="D33" s="11">
        <f t="shared" si="0"/>
        <v>0</v>
      </c>
    </row>
    <row r="34" spans="1:4" ht="18" hidden="1" x14ac:dyDescent="0.35">
      <c r="A34" s="8" t="s">
        <v>30</v>
      </c>
      <c r="B34" s="34">
        <v>0</v>
      </c>
      <c r="C34" s="10">
        <v>5000</v>
      </c>
      <c r="D34" s="11">
        <f t="shared" si="0"/>
        <v>0</v>
      </c>
    </row>
    <row r="35" spans="1:4" ht="18" hidden="1" x14ac:dyDescent="0.35">
      <c r="A35" s="8"/>
      <c r="B35" s="34">
        <v>0</v>
      </c>
      <c r="C35" s="10">
        <v>6000</v>
      </c>
      <c r="D35" s="11">
        <f t="shared" si="0"/>
        <v>0</v>
      </c>
    </row>
    <row r="36" spans="1:4" ht="18" hidden="1" x14ac:dyDescent="0.35">
      <c r="A36" s="8"/>
      <c r="B36" s="34">
        <v>0</v>
      </c>
      <c r="C36" s="10">
        <v>6000</v>
      </c>
      <c r="D36" s="11">
        <f t="shared" si="0"/>
        <v>0</v>
      </c>
    </row>
    <row r="37" spans="1:4" ht="18" hidden="1" x14ac:dyDescent="0.35">
      <c r="A37" s="8" t="s">
        <v>31</v>
      </c>
      <c r="B37" s="34">
        <v>0</v>
      </c>
      <c r="C37" s="10">
        <v>13000</v>
      </c>
      <c r="D37" s="11">
        <f t="shared" si="0"/>
        <v>0</v>
      </c>
    </row>
    <row r="38" spans="1:4" ht="18" hidden="1" x14ac:dyDescent="0.35">
      <c r="A38" s="14" t="s">
        <v>32</v>
      </c>
      <c r="B38" s="34">
        <v>0</v>
      </c>
      <c r="C38" s="10"/>
      <c r="D38" s="11">
        <f t="shared" si="0"/>
        <v>0</v>
      </c>
    </row>
    <row r="39" spans="1:4" ht="18" hidden="1" x14ac:dyDescent="0.35">
      <c r="A39" s="8" t="s">
        <v>33</v>
      </c>
      <c r="B39" s="34">
        <v>0</v>
      </c>
      <c r="C39" s="13"/>
      <c r="D39" s="11">
        <f t="shared" si="0"/>
        <v>0</v>
      </c>
    </row>
    <row r="40" spans="1:4" ht="18" hidden="1" x14ac:dyDescent="0.35">
      <c r="A40" s="8" t="s">
        <v>34</v>
      </c>
      <c r="B40" s="34">
        <v>0</v>
      </c>
      <c r="C40" s="10">
        <v>10000</v>
      </c>
      <c r="D40" s="11">
        <f t="shared" si="0"/>
        <v>0</v>
      </c>
    </row>
    <row r="41" spans="1:4" ht="18" hidden="1" x14ac:dyDescent="0.35">
      <c r="A41" s="8" t="s">
        <v>35</v>
      </c>
      <c r="B41" s="34">
        <v>0</v>
      </c>
      <c r="C41" s="15">
        <v>110000</v>
      </c>
      <c r="D41" s="11">
        <f t="shared" si="0"/>
        <v>0</v>
      </c>
    </row>
    <row r="42" spans="1:4" ht="18" hidden="1" x14ac:dyDescent="0.35">
      <c r="A42" s="8" t="s">
        <v>36</v>
      </c>
      <c r="B42" s="34">
        <v>0</v>
      </c>
      <c r="C42" s="10">
        <v>16000</v>
      </c>
      <c r="D42" s="11">
        <f t="shared" si="0"/>
        <v>0</v>
      </c>
    </row>
    <row r="43" spans="1:4" ht="18" hidden="1" x14ac:dyDescent="0.35">
      <c r="A43" s="14" t="s">
        <v>37</v>
      </c>
      <c r="B43" s="34">
        <v>0</v>
      </c>
      <c r="C43" s="12">
        <v>10000</v>
      </c>
      <c r="D43" s="11">
        <f t="shared" si="0"/>
        <v>0</v>
      </c>
    </row>
    <row r="44" spans="1:4" ht="18" hidden="1" x14ac:dyDescent="0.35">
      <c r="A44" s="14" t="s">
        <v>38</v>
      </c>
      <c r="B44" s="34">
        <v>0</v>
      </c>
      <c r="C44" s="10"/>
      <c r="D44" s="11">
        <f t="shared" si="0"/>
        <v>0</v>
      </c>
    </row>
    <row r="45" spans="1:4" ht="18" hidden="1" x14ac:dyDescent="0.35">
      <c r="A45" s="8" t="s">
        <v>39</v>
      </c>
      <c r="B45" s="34">
        <v>0</v>
      </c>
      <c r="C45" s="10">
        <v>11000</v>
      </c>
      <c r="D45" s="11">
        <f t="shared" si="0"/>
        <v>0</v>
      </c>
    </row>
    <row r="46" spans="1:4" ht="18" hidden="1" x14ac:dyDescent="0.35">
      <c r="A46" s="14" t="s">
        <v>40</v>
      </c>
      <c r="B46" s="34">
        <v>0</v>
      </c>
      <c r="C46" s="10"/>
      <c r="D46" s="11">
        <f t="shared" si="0"/>
        <v>0</v>
      </c>
    </row>
    <row r="47" spans="1:4" ht="18" hidden="1" x14ac:dyDescent="0.35">
      <c r="A47" s="8" t="s">
        <v>41</v>
      </c>
      <c r="B47" s="34">
        <v>0</v>
      </c>
      <c r="C47" s="10"/>
      <c r="D47" s="11">
        <f t="shared" si="0"/>
        <v>0</v>
      </c>
    </row>
    <row r="48" spans="1:4" ht="18" hidden="1" x14ac:dyDescent="0.35">
      <c r="A48" s="8" t="s">
        <v>42</v>
      </c>
      <c r="B48" s="34">
        <v>0</v>
      </c>
      <c r="C48" s="13"/>
      <c r="D48" s="11">
        <f t="shared" si="0"/>
        <v>0</v>
      </c>
    </row>
    <row r="49" spans="1:4" ht="15.6" hidden="1" x14ac:dyDescent="0.35">
      <c r="A49" s="16" t="s">
        <v>43</v>
      </c>
      <c r="B49" s="34">
        <v>0</v>
      </c>
      <c r="C49" s="10"/>
      <c r="D49" s="11">
        <f t="shared" si="0"/>
        <v>0</v>
      </c>
    </row>
    <row r="50" spans="1:4" ht="18" hidden="1" x14ac:dyDescent="0.35">
      <c r="A50" s="8" t="s">
        <v>44</v>
      </c>
      <c r="B50" s="34">
        <v>0</v>
      </c>
      <c r="C50" s="10">
        <v>16000</v>
      </c>
      <c r="D50" s="11">
        <f t="shared" si="0"/>
        <v>0</v>
      </c>
    </row>
    <row r="51" spans="1:4" ht="18" hidden="1" x14ac:dyDescent="0.35">
      <c r="A51" s="8" t="s">
        <v>45</v>
      </c>
      <c r="B51" s="34">
        <v>0</v>
      </c>
      <c r="C51" s="10"/>
      <c r="D51" s="11">
        <f t="shared" si="0"/>
        <v>0</v>
      </c>
    </row>
    <row r="52" spans="1:4" ht="18" hidden="1" x14ac:dyDescent="0.35">
      <c r="A52" s="8" t="s">
        <v>46</v>
      </c>
      <c r="B52" s="34">
        <v>0</v>
      </c>
      <c r="C52" s="12"/>
      <c r="D52" s="11">
        <f t="shared" si="0"/>
        <v>0</v>
      </c>
    </row>
    <row r="53" spans="1:4" ht="18" hidden="1" x14ac:dyDescent="0.35">
      <c r="A53" s="8" t="s">
        <v>47</v>
      </c>
      <c r="B53" s="34">
        <v>0</v>
      </c>
      <c r="C53" s="12"/>
      <c r="D53" s="11">
        <f t="shared" si="0"/>
        <v>0</v>
      </c>
    </row>
    <row r="54" spans="1:4" ht="18.75" x14ac:dyDescent="0.25">
      <c r="A54" s="8" t="s">
        <v>48</v>
      </c>
      <c r="B54" s="34">
        <v>15</v>
      </c>
      <c r="C54" s="10">
        <v>25000</v>
      </c>
      <c r="D54" s="11">
        <f t="shared" si="0"/>
        <v>375000</v>
      </c>
    </row>
    <row r="55" spans="1:4" ht="18" hidden="1" x14ac:dyDescent="0.35">
      <c r="A55" s="8" t="s">
        <v>49</v>
      </c>
      <c r="B55" s="34">
        <v>0</v>
      </c>
      <c r="C55" s="10"/>
      <c r="D55" s="11">
        <f t="shared" si="0"/>
        <v>0</v>
      </c>
    </row>
    <row r="56" spans="1:4" ht="18" hidden="1" x14ac:dyDescent="0.35">
      <c r="A56" s="8" t="s">
        <v>50</v>
      </c>
      <c r="B56" s="34">
        <v>0</v>
      </c>
      <c r="C56" s="10">
        <v>15000</v>
      </c>
      <c r="D56" s="11">
        <f t="shared" si="0"/>
        <v>0</v>
      </c>
    </row>
    <row r="57" spans="1:4" ht="18" hidden="1" x14ac:dyDescent="0.35">
      <c r="A57" s="8"/>
      <c r="B57" s="34">
        <v>0</v>
      </c>
      <c r="C57" s="10">
        <v>14500</v>
      </c>
      <c r="D57" s="11">
        <f t="shared" si="0"/>
        <v>0</v>
      </c>
    </row>
    <row r="58" spans="1:4" ht="18" hidden="1" x14ac:dyDescent="0.35">
      <c r="A58" s="8"/>
      <c r="B58" s="34">
        <v>0</v>
      </c>
      <c r="C58" s="10">
        <v>15000</v>
      </c>
      <c r="D58" s="11">
        <f t="shared" si="0"/>
        <v>0</v>
      </c>
    </row>
    <row r="59" spans="1:4" ht="18" hidden="1" x14ac:dyDescent="0.35">
      <c r="A59" s="8" t="s">
        <v>51</v>
      </c>
      <c r="B59" s="34">
        <v>0</v>
      </c>
      <c r="C59" s="10">
        <v>8000</v>
      </c>
      <c r="D59" s="11">
        <f t="shared" si="0"/>
        <v>0</v>
      </c>
    </row>
    <row r="60" spans="1:4" ht="18" hidden="1" x14ac:dyDescent="0.35">
      <c r="A60" s="8" t="s">
        <v>52</v>
      </c>
      <c r="B60" s="34">
        <v>0</v>
      </c>
      <c r="C60" s="12"/>
      <c r="D60" s="11">
        <f t="shared" si="0"/>
        <v>0</v>
      </c>
    </row>
    <row r="61" spans="1:4" ht="18" hidden="1" x14ac:dyDescent="0.35">
      <c r="A61" s="8" t="s">
        <v>53</v>
      </c>
      <c r="B61" s="34">
        <v>0</v>
      </c>
      <c r="C61" s="10"/>
      <c r="D61" s="11">
        <f t="shared" si="0"/>
        <v>0</v>
      </c>
    </row>
    <row r="62" spans="1:4" ht="18" hidden="1" x14ac:dyDescent="0.35">
      <c r="A62" s="8" t="s">
        <v>54</v>
      </c>
      <c r="B62" s="34">
        <v>0</v>
      </c>
      <c r="C62" s="10"/>
      <c r="D62" s="11">
        <f t="shared" si="0"/>
        <v>0</v>
      </c>
    </row>
    <row r="63" spans="1:4" ht="18" hidden="1" x14ac:dyDescent="0.35">
      <c r="A63" s="8" t="s">
        <v>55</v>
      </c>
      <c r="B63" s="34">
        <v>0</v>
      </c>
      <c r="C63" s="10">
        <v>12000</v>
      </c>
      <c r="D63" s="11">
        <f t="shared" si="0"/>
        <v>0</v>
      </c>
    </row>
    <row r="64" spans="1:4" ht="18" hidden="1" x14ac:dyDescent="0.35">
      <c r="A64" s="14" t="s">
        <v>56</v>
      </c>
      <c r="B64" s="34">
        <v>0</v>
      </c>
      <c r="C64" s="10">
        <v>38000</v>
      </c>
      <c r="D64" s="11">
        <f t="shared" si="0"/>
        <v>0</v>
      </c>
    </row>
    <row r="65" spans="1:4" ht="18" hidden="1" x14ac:dyDescent="0.35">
      <c r="A65" s="8" t="s">
        <v>57</v>
      </c>
      <c r="B65" s="34">
        <v>0</v>
      </c>
      <c r="C65" s="10">
        <v>8000</v>
      </c>
      <c r="D65" s="11">
        <f t="shared" si="0"/>
        <v>0</v>
      </c>
    </row>
    <row r="66" spans="1:4" ht="18" hidden="1" x14ac:dyDescent="0.35">
      <c r="A66" s="8"/>
      <c r="B66" s="34">
        <v>0</v>
      </c>
      <c r="C66" s="10">
        <v>8000</v>
      </c>
      <c r="D66" s="11">
        <f t="shared" si="0"/>
        <v>0</v>
      </c>
    </row>
    <row r="67" spans="1:4" ht="18" hidden="1" x14ac:dyDescent="0.35">
      <c r="A67" s="8"/>
      <c r="B67" s="34">
        <v>0</v>
      </c>
      <c r="C67" s="10">
        <v>9000</v>
      </c>
      <c r="D67" s="11">
        <f t="shared" si="0"/>
        <v>0</v>
      </c>
    </row>
    <row r="68" spans="1:4" ht="18" hidden="1" x14ac:dyDescent="0.35">
      <c r="A68" s="8"/>
      <c r="B68" s="34">
        <v>0</v>
      </c>
      <c r="C68" s="10">
        <v>8000</v>
      </c>
      <c r="D68" s="11">
        <f t="shared" si="0"/>
        <v>0</v>
      </c>
    </row>
    <row r="69" spans="1:4" ht="18" hidden="1" x14ac:dyDescent="0.35">
      <c r="A69" s="8" t="s">
        <v>58</v>
      </c>
      <c r="B69" s="34">
        <v>0</v>
      </c>
      <c r="C69" s="13"/>
      <c r="D69" s="11">
        <f t="shared" ref="D69:D132" si="1">B69*C69</f>
        <v>0</v>
      </c>
    </row>
    <row r="70" spans="1:4" ht="18" hidden="1" x14ac:dyDescent="0.35">
      <c r="A70" s="14" t="s">
        <v>59</v>
      </c>
      <c r="B70" s="34">
        <v>0</v>
      </c>
      <c r="C70" s="10"/>
      <c r="D70" s="11">
        <f t="shared" si="1"/>
        <v>0</v>
      </c>
    </row>
    <row r="71" spans="1:4" ht="18" hidden="1" x14ac:dyDescent="0.35">
      <c r="A71" s="8" t="s">
        <v>60</v>
      </c>
      <c r="B71" s="34">
        <v>0</v>
      </c>
      <c r="C71" s="12">
        <v>15000</v>
      </c>
      <c r="D71" s="11">
        <f t="shared" si="1"/>
        <v>0</v>
      </c>
    </row>
    <row r="72" spans="1:4" ht="18" hidden="1" x14ac:dyDescent="0.35">
      <c r="A72" s="8" t="s">
        <v>61</v>
      </c>
      <c r="B72" s="34">
        <v>0</v>
      </c>
      <c r="C72" s="10"/>
      <c r="D72" s="11">
        <f t="shared" si="1"/>
        <v>0</v>
      </c>
    </row>
    <row r="73" spans="1:4" ht="18" hidden="1" x14ac:dyDescent="0.35">
      <c r="A73" s="18" t="s">
        <v>62</v>
      </c>
      <c r="B73" s="34">
        <v>0</v>
      </c>
      <c r="C73" s="19"/>
      <c r="D73" s="11">
        <f t="shared" si="1"/>
        <v>0</v>
      </c>
    </row>
    <row r="74" spans="1:4" ht="18" hidden="1" x14ac:dyDescent="0.35">
      <c r="A74" s="18" t="s">
        <v>63</v>
      </c>
      <c r="B74" s="34">
        <v>0</v>
      </c>
      <c r="C74" s="10">
        <v>20000</v>
      </c>
      <c r="D74" s="11">
        <f t="shared" si="1"/>
        <v>0</v>
      </c>
    </row>
    <row r="75" spans="1:4" ht="18" hidden="1" x14ac:dyDescent="0.35">
      <c r="A75" s="14" t="s">
        <v>64</v>
      </c>
      <c r="B75" s="34">
        <v>0</v>
      </c>
      <c r="C75" s="10">
        <v>17000</v>
      </c>
      <c r="D75" s="11">
        <f t="shared" si="1"/>
        <v>0</v>
      </c>
    </row>
    <row r="76" spans="1:4" ht="18.75" x14ac:dyDescent="0.25">
      <c r="A76" s="8" t="s">
        <v>65</v>
      </c>
      <c r="B76" s="34">
        <v>147</v>
      </c>
      <c r="C76" s="12">
        <v>14000</v>
      </c>
      <c r="D76" s="11">
        <f t="shared" si="1"/>
        <v>2058000</v>
      </c>
    </row>
    <row r="77" spans="1:4" ht="18" hidden="1" x14ac:dyDescent="0.35">
      <c r="A77" s="14" t="s">
        <v>66</v>
      </c>
      <c r="B77" s="34">
        <v>0</v>
      </c>
      <c r="C77" s="10">
        <v>14000</v>
      </c>
      <c r="D77" s="11">
        <f t="shared" si="1"/>
        <v>0</v>
      </c>
    </row>
    <row r="78" spans="1:4" ht="18" hidden="1" x14ac:dyDescent="0.35">
      <c r="A78" s="8" t="s">
        <v>67</v>
      </c>
      <c r="B78" s="34">
        <v>0</v>
      </c>
      <c r="C78" s="13"/>
      <c r="D78" s="11">
        <f t="shared" si="1"/>
        <v>0</v>
      </c>
    </row>
    <row r="79" spans="1:4" ht="18" hidden="1" x14ac:dyDescent="0.35">
      <c r="A79" s="8" t="s">
        <v>68</v>
      </c>
      <c r="B79" s="34">
        <v>0</v>
      </c>
      <c r="C79" s="10">
        <v>8000</v>
      </c>
      <c r="D79" s="11">
        <f t="shared" si="1"/>
        <v>0</v>
      </c>
    </row>
    <row r="80" spans="1:4" ht="18" hidden="1" x14ac:dyDescent="0.35">
      <c r="A80" s="14" t="s">
        <v>69</v>
      </c>
      <c r="B80" s="34">
        <v>0</v>
      </c>
      <c r="C80" s="15">
        <v>10500</v>
      </c>
      <c r="D80" s="11">
        <f t="shared" si="1"/>
        <v>0</v>
      </c>
    </row>
    <row r="81" spans="1:4" ht="18" hidden="1" x14ac:dyDescent="0.35">
      <c r="A81" s="14"/>
      <c r="B81" s="34">
        <v>0</v>
      </c>
      <c r="C81" s="15">
        <v>10500</v>
      </c>
      <c r="D81" s="11">
        <f t="shared" si="1"/>
        <v>0</v>
      </c>
    </row>
    <row r="82" spans="1:4" ht="18" hidden="1" x14ac:dyDescent="0.35">
      <c r="A82" s="14" t="s">
        <v>70</v>
      </c>
      <c r="B82" s="34">
        <v>0</v>
      </c>
      <c r="C82" s="15"/>
      <c r="D82" s="11">
        <f t="shared" si="1"/>
        <v>0</v>
      </c>
    </row>
    <row r="83" spans="1:4" ht="18" hidden="1" x14ac:dyDescent="0.35">
      <c r="A83" s="14" t="s">
        <v>71</v>
      </c>
      <c r="B83" s="34">
        <v>0</v>
      </c>
      <c r="C83" s="10"/>
      <c r="D83" s="11">
        <f t="shared" si="1"/>
        <v>0</v>
      </c>
    </row>
    <row r="84" spans="1:4" ht="18" hidden="1" x14ac:dyDescent="0.35">
      <c r="A84" s="8" t="s">
        <v>72</v>
      </c>
      <c r="B84" s="34">
        <v>0</v>
      </c>
      <c r="C84" s="12">
        <v>60833</v>
      </c>
      <c r="D84" s="11">
        <f t="shared" si="1"/>
        <v>0</v>
      </c>
    </row>
    <row r="85" spans="1:4" ht="18" hidden="1" x14ac:dyDescent="0.35">
      <c r="A85" s="8"/>
      <c r="B85" s="34">
        <v>0</v>
      </c>
      <c r="C85" s="12">
        <v>38000</v>
      </c>
      <c r="D85" s="11">
        <f t="shared" si="1"/>
        <v>0</v>
      </c>
    </row>
    <row r="86" spans="1:4" ht="18" hidden="1" x14ac:dyDescent="0.35">
      <c r="A86" s="8" t="s">
        <v>73</v>
      </c>
      <c r="B86" s="34">
        <v>0</v>
      </c>
      <c r="C86" s="12">
        <v>25000</v>
      </c>
      <c r="D86" s="11">
        <f t="shared" si="1"/>
        <v>0</v>
      </c>
    </row>
    <row r="87" spans="1:4" ht="18" hidden="1" x14ac:dyDescent="0.35">
      <c r="A87" s="20" t="s">
        <v>74</v>
      </c>
      <c r="B87" s="34">
        <v>0</v>
      </c>
      <c r="C87" s="13"/>
      <c r="D87" s="11">
        <f t="shared" si="1"/>
        <v>0</v>
      </c>
    </row>
    <row r="88" spans="1:4" ht="18" hidden="1" x14ac:dyDescent="0.35">
      <c r="A88" s="20" t="s">
        <v>75</v>
      </c>
      <c r="B88" s="34">
        <v>0</v>
      </c>
      <c r="C88" s="15"/>
      <c r="D88" s="11">
        <f t="shared" si="1"/>
        <v>0</v>
      </c>
    </row>
    <row r="89" spans="1:4" ht="18" hidden="1" x14ac:dyDescent="0.35">
      <c r="A89" s="20" t="s">
        <v>76</v>
      </c>
      <c r="B89" s="34">
        <v>0</v>
      </c>
      <c r="C89" s="10"/>
      <c r="D89" s="11">
        <f t="shared" si="1"/>
        <v>0</v>
      </c>
    </row>
    <row r="90" spans="1:4" ht="18" hidden="1" x14ac:dyDescent="0.35">
      <c r="A90" s="8" t="s">
        <v>77</v>
      </c>
      <c r="B90" s="34">
        <v>0</v>
      </c>
      <c r="C90" s="13"/>
      <c r="D90" s="11">
        <f t="shared" si="1"/>
        <v>0</v>
      </c>
    </row>
    <row r="91" spans="1:4" ht="18" hidden="1" x14ac:dyDescent="0.35">
      <c r="A91" s="8" t="s">
        <v>78</v>
      </c>
      <c r="B91" s="34">
        <v>0</v>
      </c>
      <c r="C91" s="12">
        <v>11000</v>
      </c>
      <c r="D91" s="11">
        <f t="shared" si="1"/>
        <v>0</v>
      </c>
    </row>
    <row r="92" spans="1:4" ht="18" hidden="1" x14ac:dyDescent="0.35">
      <c r="A92" s="8" t="s">
        <v>79</v>
      </c>
      <c r="B92" s="34">
        <v>0</v>
      </c>
      <c r="C92" s="13"/>
      <c r="D92" s="11">
        <f t="shared" si="1"/>
        <v>0</v>
      </c>
    </row>
    <row r="93" spans="1:4" ht="18" hidden="1" x14ac:dyDescent="0.35">
      <c r="A93" s="8" t="s">
        <v>80</v>
      </c>
      <c r="B93" s="34">
        <v>0</v>
      </c>
      <c r="C93" s="10"/>
      <c r="D93" s="11">
        <f t="shared" si="1"/>
        <v>0</v>
      </c>
    </row>
    <row r="94" spans="1:4" ht="18" hidden="1" x14ac:dyDescent="0.35">
      <c r="A94" s="8" t="s">
        <v>81</v>
      </c>
      <c r="B94" s="34">
        <v>0</v>
      </c>
      <c r="C94" s="13"/>
      <c r="D94" s="11">
        <f t="shared" si="1"/>
        <v>0</v>
      </c>
    </row>
    <row r="95" spans="1:4" ht="18" hidden="1" x14ac:dyDescent="0.35">
      <c r="A95" s="8" t="s">
        <v>82</v>
      </c>
      <c r="B95" s="34">
        <v>0</v>
      </c>
      <c r="C95" s="10">
        <v>150000</v>
      </c>
      <c r="D95" s="11">
        <f t="shared" si="1"/>
        <v>0</v>
      </c>
    </row>
    <row r="96" spans="1:4" ht="18" hidden="1" x14ac:dyDescent="0.35">
      <c r="A96" s="8" t="s">
        <v>83</v>
      </c>
      <c r="B96" s="34">
        <v>0</v>
      </c>
      <c r="C96" s="10"/>
      <c r="D96" s="11">
        <f t="shared" si="1"/>
        <v>0</v>
      </c>
    </row>
    <row r="97" spans="1:4" ht="18" hidden="1" x14ac:dyDescent="0.35">
      <c r="A97" s="8" t="s">
        <v>84</v>
      </c>
      <c r="B97" s="34">
        <v>0</v>
      </c>
      <c r="C97" s="10">
        <v>50000</v>
      </c>
      <c r="D97" s="11">
        <f t="shared" si="1"/>
        <v>0</v>
      </c>
    </row>
    <row r="98" spans="1:4" ht="18" hidden="1" x14ac:dyDescent="0.35">
      <c r="A98" s="8" t="s">
        <v>85</v>
      </c>
      <c r="B98" s="34">
        <v>0</v>
      </c>
      <c r="C98" s="10"/>
      <c r="D98" s="11">
        <f t="shared" si="1"/>
        <v>0</v>
      </c>
    </row>
    <row r="99" spans="1:4" ht="18" hidden="1" x14ac:dyDescent="0.35">
      <c r="A99" s="8" t="s">
        <v>86</v>
      </c>
      <c r="B99" s="34">
        <v>0</v>
      </c>
      <c r="C99" s="10">
        <v>50000</v>
      </c>
      <c r="D99" s="11">
        <f t="shared" si="1"/>
        <v>0</v>
      </c>
    </row>
    <row r="100" spans="1:4" ht="18" hidden="1" x14ac:dyDescent="0.35">
      <c r="A100" s="8" t="s">
        <v>87</v>
      </c>
      <c r="B100" s="34">
        <v>0</v>
      </c>
      <c r="C100" s="12"/>
      <c r="D100" s="11">
        <f t="shared" si="1"/>
        <v>0</v>
      </c>
    </row>
    <row r="101" spans="1:4" ht="18" hidden="1" x14ac:dyDescent="0.35">
      <c r="A101" s="8" t="s">
        <v>88</v>
      </c>
      <c r="B101" s="34">
        <v>0</v>
      </c>
      <c r="C101" s="10">
        <v>45000</v>
      </c>
      <c r="D101" s="11">
        <f t="shared" si="1"/>
        <v>0</v>
      </c>
    </row>
    <row r="102" spans="1:4" ht="18" hidden="1" x14ac:dyDescent="0.35">
      <c r="A102" s="8" t="s">
        <v>89</v>
      </c>
      <c r="B102" s="34">
        <v>0</v>
      </c>
      <c r="C102" s="12"/>
      <c r="D102" s="11">
        <f t="shared" si="1"/>
        <v>0</v>
      </c>
    </row>
    <row r="103" spans="1:4" ht="18" hidden="1" x14ac:dyDescent="0.35">
      <c r="A103" s="8" t="s">
        <v>90</v>
      </c>
      <c r="B103" s="34">
        <v>0</v>
      </c>
      <c r="C103" s="10">
        <v>50000</v>
      </c>
      <c r="D103" s="11">
        <f t="shared" si="1"/>
        <v>0</v>
      </c>
    </row>
    <row r="104" spans="1:4" ht="18" hidden="1" x14ac:dyDescent="0.35">
      <c r="A104" s="8" t="s">
        <v>91</v>
      </c>
      <c r="B104" s="34">
        <v>0</v>
      </c>
      <c r="C104" s="10"/>
      <c r="D104" s="11">
        <f t="shared" si="1"/>
        <v>0</v>
      </c>
    </row>
    <row r="105" spans="1:4" ht="18" hidden="1" x14ac:dyDescent="0.35">
      <c r="A105" s="8" t="s">
        <v>92</v>
      </c>
      <c r="B105" s="34">
        <v>0</v>
      </c>
      <c r="C105" s="10"/>
      <c r="D105" s="11">
        <f t="shared" si="1"/>
        <v>0</v>
      </c>
    </row>
    <row r="106" spans="1:4" ht="18" hidden="1" x14ac:dyDescent="0.35">
      <c r="A106" s="8" t="s">
        <v>93</v>
      </c>
      <c r="B106" s="34">
        <v>0</v>
      </c>
      <c r="C106" s="10"/>
      <c r="D106" s="11">
        <f t="shared" si="1"/>
        <v>0</v>
      </c>
    </row>
    <row r="107" spans="1:4" ht="18" hidden="1" x14ac:dyDescent="0.35">
      <c r="A107" s="8" t="s">
        <v>94</v>
      </c>
      <c r="B107" s="34">
        <v>0</v>
      </c>
      <c r="C107" s="10"/>
      <c r="D107" s="11">
        <f t="shared" si="1"/>
        <v>0</v>
      </c>
    </row>
    <row r="108" spans="1:4" ht="18" hidden="1" x14ac:dyDescent="0.35">
      <c r="A108" s="8" t="s">
        <v>95</v>
      </c>
      <c r="B108" s="34">
        <v>0</v>
      </c>
      <c r="C108" s="12">
        <v>12000</v>
      </c>
      <c r="D108" s="11">
        <f t="shared" si="1"/>
        <v>0</v>
      </c>
    </row>
    <row r="109" spans="1:4" ht="18" hidden="1" x14ac:dyDescent="0.35">
      <c r="A109" s="8" t="s">
        <v>96</v>
      </c>
      <c r="B109" s="34">
        <v>0</v>
      </c>
      <c r="C109" s="10"/>
      <c r="D109" s="11">
        <f t="shared" si="1"/>
        <v>0</v>
      </c>
    </row>
    <row r="110" spans="1:4" ht="18" hidden="1" x14ac:dyDescent="0.35">
      <c r="A110" s="8" t="s">
        <v>97</v>
      </c>
      <c r="B110" s="34">
        <v>0</v>
      </c>
      <c r="C110" s="10">
        <v>13000</v>
      </c>
      <c r="D110" s="11">
        <f t="shared" si="1"/>
        <v>0</v>
      </c>
    </row>
    <row r="111" spans="1:4" ht="18" hidden="1" x14ac:dyDescent="0.35">
      <c r="A111" s="8" t="s">
        <v>98</v>
      </c>
      <c r="B111" s="34">
        <v>0</v>
      </c>
      <c r="C111" s="10"/>
      <c r="D111" s="11">
        <f t="shared" si="1"/>
        <v>0</v>
      </c>
    </row>
    <row r="112" spans="1:4" ht="18" hidden="1" x14ac:dyDescent="0.35">
      <c r="A112" s="8" t="s">
        <v>99</v>
      </c>
      <c r="B112" s="34">
        <v>0</v>
      </c>
      <c r="C112" s="12"/>
      <c r="D112" s="11">
        <f t="shared" si="1"/>
        <v>0</v>
      </c>
    </row>
    <row r="113" spans="1:4" ht="18" hidden="1" x14ac:dyDescent="0.35">
      <c r="A113" s="14" t="s">
        <v>100</v>
      </c>
      <c r="B113" s="34">
        <v>0</v>
      </c>
      <c r="C113" s="10"/>
      <c r="D113" s="11">
        <f t="shared" si="1"/>
        <v>0</v>
      </c>
    </row>
    <row r="114" spans="1:4" ht="18" hidden="1" x14ac:dyDescent="0.35">
      <c r="A114" s="14" t="s">
        <v>101</v>
      </c>
      <c r="B114" s="34">
        <v>0</v>
      </c>
      <c r="C114" s="10"/>
      <c r="D114" s="11">
        <f t="shared" si="1"/>
        <v>0</v>
      </c>
    </row>
    <row r="115" spans="1:4" ht="18" hidden="1" x14ac:dyDescent="0.35">
      <c r="A115" s="14" t="s">
        <v>102</v>
      </c>
      <c r="B115" s="34">
        <v>0</v>
      </c>
      <c r="C115" s="10"/>
      <c r="D115" s="11">
        <f t="shared" si="1"/>
        <v>0</v>
      </c>
    </row>
    <row r="116" spans="1:4" ht="18" hidden="1" x14ac:dyDescent="0.35">
      <c r="A116" s="8" t="s">
        <v>103</v>
      </c>
      <c r="B116" s="34">
        <v>0</v>
      </c>
      <c r="C116" s="10"/>
      <c r="D116" s="11">
        <f t="shared" si="1"/>
        <v>0</v>
      </c>
    </row>
    <row r="117" spans="1:4" ht="18" hidden="1" x14ac:dyDescent="0.35">
      <c r="A117" s="8" t="s">
        <v>104</v>
      </c>
      <c r="B117" s="34">
        <v>0</v>
      </c>
      <c r="C117" s="12"/>
      <c r="D117" s="11">
        <f t="shared" si="1"/>
        <v>0</v>
      </c>
    </row>
    <row r="118" spans="1:4" ht="18" hidden="1" x14ac:dyDescent="0.35">
      <c r="A118" s="8" t="s">
        <v>105</v>
      </c>
      <c r="B118" s="34">
        <v>0</v>
      </c>
      <c r="C118" s="10"/>
      <c r="D118" s="11">
        <f t="shared" si="1"/>
        <v>0</v>
      </c>
    </row>
    <row r="119" spans="1:4" ht="18" hidden="1" x14ac:dyDescent="0.35">
      <c r="A119" s="8" t="s">
        <v>106</v>
      </c>
      <c r="B119" s="34">
        <v>0</v>
      </c>
      <c r="C119" s="10"/>
      <c r="D119" s="11">
        <f t="shared" si="1"/>
        <v>0</v>
      </c>
    </row>
    <row r="120" spans="1:4" ht="18" hidden="1" x14ac:dyDescent="0.35">
      <c r="A120" s="8" t="s">
        <v>107</v>
      </c>
      <c r="B120" s="34">
        <v>0</v>
      </c>
      <c r="C120" s="10"/>
      <c r="D120" s="11">
        <f t="shared" si="1"/>
        <v>0</v>
      </c>
    </row>
    <row r="121" spans="1:4" ht="18" hidden="1" x14ac:dyDescent="0.35">
      <c r="A121" s="22" t="s">
        <v>108</v>
      </c>
      <c r="B121" s="34">
        <v>0</v>
      </c>
      <c r="C121" s="10"/>
      <c r="D121" s="11">
        <f t="shared" si="1"/>
        <v>0</v>
      </c>
    </row>
    <row r="122" spans="1:4" ht="18" hidden="1" x14ac:dyDescent="0.35">
      <c r="A122" s="8" t="s">
        <v>109</v>
      </c>
      <c r="B122" s="34">
        <v>0</v>
      </c>
      <c r="C122" s="12">
        <v>10000</v>
      </c>
      <c r="D122" s="11">
        <f t="shared" si="1"/>
        <v>0</v>
      </c>
    </row>
    <row r="123" spans="1:4" ht="18" hidden="1" x14ac:dyDescent="0.35">
      <c r="A123" s="8" t="s">
        <v>110</v>
      </c>
      <c r="B123" s="34">
        <v>0</v>
      </c>
      <c r="C123" s="10"/>
      <c r="D123" s="11">
        <f t="shared" si="1"/>
        <v>0</v>
      </c>
    </row>
    <row r="124" spans="1:4" ht="18" hidden="1" x14ac:dyDescent="0.35">
      <c r="A124" s="8" t="s">
        <v>111</v>
      </c>
      <c r="B124" s="34">
        <v>0</v>
      </c>
      <c r="C124" s="13"/>
      <c r="D124" s="11">
        <f t="shared" si="1"/>
        <v>0</v>
      </c>
    </row>
    <row r="125" spans="1:4" ht="18" hidden="1" x14ac:dyDescent="0.35">
      <c r="A125" s="14" t="s">
        <v>112</v>
      </c>
      <c r="B125" s="34">
        <v>0</v>
      </c>
      <c r="C125" s="10"/>
      <c r="D125" s="11">
        <f t="shared" si="1"/>
        <v>0</v>
      </c>
    </row>
    <row r="126" spans="1:4" ht="18.75" x14ac:dyDescent="0.25">
      <c r="A126" s="14" t="s">
        <v>113</v>
      </c>
      <c r="B126" s="34">
        <v>415</v>
      </c>
      <c r="C126" s="10">
        <v>16000</v>
      </c>
      <c r="D126" s="11">
        <f t="shared" si="1"/>
        <v>6640000</v>
      </c>
    </row>
    <row r="127" spans="1:4" ht="18" hidden="1" x14ac:dyDescent="0.35">
      <c r="A127" s="8" t="s">
        <v>114</v>
      </c>
      <c r="B127" s="34">
        <v>0</v>
      </c>
      <c r="C127" s="12"/>
      <c r="D127" s="11">
        <f t="shared" si="1"/>
        <v>0</v>
      </c>
    </row>
    <row r="128" spans="1:4" ht="18" hidden="1" x14ac:dyDescent="0.35">
      <c r="A128" s="14" t="s">
        <v>115</v>
      </c>
      <c r="B128" s="34">
        <v>0</v>
      </c>
      <c r="C128" s="10"/>
      <c r="D128" s="11">
        <f t="shared" si="1"/>
        <v>0</v>
      </c>
    </row>
    <row r="129" spans="1:4" ht="18" hidden="1" x14ac:dyDescent="0.35">
      <c r="A129" s="14" t="s">
        <v>116</v>
      </c>
      <c r="B129" s="34">
        <v>0</v>
      </c>
      <c r="C129" s="12"/>
      <c r="D129" s="11">
        <f t="shared" si="1"/>
        <v>0</v>
      </c>
    </row>
    <row r="130" spans="1:4" ht="18" hidden="1" x14ac:dyDescent="0.35">
      <c r="A130" s="8" t="s">
        <v>117</v>
      </c>
      <c r="B130" s="34">
        <v>0</v>
      </c>
      <c r="C130" s="10"/>
      <c r="D130" s="11">
        <f t="shared" si="1"/>
        <v>0</v>
      </c>
    </row>
    <row r="131" spans="1:4" ht="18" hidden="1" x14ac:dyDescent="0.35">
      <c r="A131" s="8" t="s">
        <v>118</v>
      </c>
      <c r="B131" s="34">
        <v>0</v>
      </c>
      <c r="C131" s="12"/>
      <c r="D131" s="11">
        <f t="shared" si="1"/>
        <v>0</v>
      </c>
    </row>
    <row r="132" spans="1:4" ht="18" hidden="1" x14ac:dyDescent="0.35">
      <c r="A132" s="8" t="s">
        <v>119</v>
      </c>
      <c r="B132" s="34">
        <v>0</v>
      </c>
      <c r="C132" s="10"/>
      <c r="D132" s="11">
        <f t="shared" si="1"/>
        <v>0</v>
      </c>
    </row>
    <row r="133" spans="1:4" ht="18" hidden="1" x14ac:dyDescent="0.35">
      <c r="A133" s="8" t="s">
        <v>120</v>
      </c>
      <c r="B133" s="34">
        <v>0</v>
      </c>
      <c r="C133" s="10">
        <v>13000</v>
      </c>
      <c r="D133" s="11">
        <f t="shared" ref="D133:D196" si="2">B133*C133</f>
        <v>0</v>
      </c>
    </row>
    <row r="134" spans="1:4" ht="18.75" x14ac:dyDescent="0.25">
      <c r="A134" s="8" t="s">
        <v>121</v>
      </c>
      <c r="B134" s="34">
        <v>10</v>
      </c>
      <c r="C134" s="13">
        <v>19000</v>
      </c>
      <c r="D134" s="11">
        <f t="shared" si="2"/>
        <v>190000</v>
      </c>
    </row>
    <row r="135" spans="1:4" ht="18" hidden="1" x14ac:dyDescent="0.35">
      <c r="A135" s="8"/>
      <c r="B135" s="34">
        <v>0</v>
      </c>
      <c r="C135" s="13">
        <v>19000</v>
      </c>
      <c r="D135" s="11">
        <f t="shared" si="2"/>
        <v>0</v>
      </c>
    </row>
    <row r="136" spans="1:4" ht="18" hidden="1" x14ac:dyDescent="0.35">
      <c r="A136" s="8"/>
      <c r="B136" s="34">
        <v>0</v>
      </c>
      <c r="C136" s="13">
        <v>19000</v>
      </c>
      <c r="D136" s="11">
        <f t="shared" si="2"/>
        <v>0</v>
      </c>
    </row>
    <row r="137" spans="1:4" ht="18" hidden="1" x14ac:dyDescent="0.35">
      <c r="A137" s="8" t="s">
        <v>122</v>
      </c>
      <c r="B137" s="34">
        <v>0</v>
      </c>
      <c r="C137" s="12">
        <v>19000</v>
      </c>
      <c r="D137" s="11">
        <f t="shared" si="2"/>
        <v>0</v>
      </c>
    </row>
    <row r="138" spans="1:4" ht="18" hidden="1" x14ac:dyDescent="0.35">
      <c r="A138" s="8" t="s">
        <v>123</v>
      </c>
      <c r="B138" s="34">
        <v>0</v>
      </c>
      <c r="C138" s="12"/>
      <c r="D138" s="11">
        <f t="shared" si="2"/>
        <v>0</v>
      </c>
    </row>
    <row r="139" spans="1:4" ht="18" hidden="1" x14ac:dyDescent="0.35">
      <c r="A139" s="8" t="s">
        <v>124</v>
      </c>
      <c r="B139" s="34">
        <v>0</v>
      </c>
      <c r="C139" s="13"/>
      <c r="D139" s="11">
        <f t="shared" si="2"/>
        <v>0</v>
      </c>
    </row>
    <row r="140" spans="1:4" ht="18" hidden="1" x14ac:dyDescent="0.35">
      <c r="A140" s="18" t="s">
        <v>125</v>
      </c>
      <c r="B140" s="34">
        <v>0</v>
      </c>
      <c r="C140" s="12">
        <v>7000</v>
      </c>
      <c r="D140" s="11">
        <f t="shared" si="2"/>
        <v>0</v>
      </c>
    </row>
    <row r="141" spans="1:4" ht="18" hidden="1" x14ac:dyDescent="0.35">
      <c r="A141" s="18"/>
      <c r="B141" s="34">
        <v>0</v>
      </c>
      <c r="C141" s="12">
        <v>6400</v>
      </c>
      <c r="D141" s="11">
        <f t="shared" si="2"/>
        <v>0</v>
      </c>
    </row>
    <row r="142" spans="1:4" ht="18" hidden="1" x14ac:dyDescent="0.35">
      <c r="A142" s="18"/>
      <c r="B142" s="34">
        <v>0</v>
      </c>
      <c r="C142" s="12">
        <v>7000</v>
      </c>
      <c r="D142" s="11">
        <f t="shared" si="2"/>
        <v>0</v>
      </c>
    </row>
    <row r="143" spans="1:4" ht="18" hidden="1" x14ac:dyDescent="0.35">
      <c r="A143" s="18"/>
      <c r="B143" s="34">
        <v>0</v>
      </c>
      <c r="C143" s="12">
        <v>7000</v>
      </c>
      <c r="D143" s="11">
        <f t="shared" si="2"/>
        <v>0</v>
      </c>
    </row>
    <row r="144" spans="1:4" ht="18" hidden="1" x14ac:dyDescent="0.35">
      <c r="A144" s="8" t="s">
        <v>126</v>
      </c>
      <c r="B144" s="34">
        <v>0</v>
      </c>
      <c r="C144" s="13"/>
      <c r="D144" s="11">
        <f t="shared" si="2"/>
        <v>0</v>
      </c>
    </row>
    <row r="145" spans="1:4" ht="18" hidden="1" x14ac:dyDescent="0.35">
      <c r="A145" s="8" t="s">
        <v>127</v>
      </c>
      <c r="B145" s="34">
        <v>0</v>
      </c>
      <c r="C145" s="13"/>
      <c r="D145" s="11">
        <f t="shared" si="2"/>
        <v>0</v>
      </c>
    </row>
    <row r="146" spans="1:4" ht="18" hidden="1" x14ac:dyDescent="0.35">
      <c r="A146" s="8" t="s">
        <v>128</v>
      </c>
      <c r="B146" s="34">
        <v>0</v>
      </c>
      <c r="C146" s="10">
        <v>9000</v>
      </c>
      <c r="D146" s="11">
        <f t="shared" si="2"/>
        <v>0</v>
      </c>
    </row>
    <row r="147" spans="1:4" ht="18" hidden="1" x14ac:dyDescent="0.35">
      <c r="A147" s="8"/>
      <c r="B147" s="34">
        <v>0</v>
      </c>
      <c r="C147" s="10">
        <v>8000</v>
      </c>
      <c r="D147" s="11">
        <f t="shared" si="2"/>
        <v>0</v>
      </c>
    </row>
    <row r="148" spans="1:4" ht="18" hidden="1" x14ac:dyDescent="0.35">
      <c r="A148" s="8"/>
      <c r="B148" s="34">
        <v>0</v>
      </c>
      <c r="C148" s="10">
        <v>6500</v>
      </c>
      <c r="D148" s="11">
        <f t="shared" si="2"/>
        <v>0</v>
      </c>
    </row>
    <row r="149" spans="1:4" ht="18" hidden="1" x14ac:dyDescent="0.35">
      <c r="A149" s="14" t="s">
        <v>129</v>
      </c>
      <c r="B149" s="34">
        <v>0</v>
      </c>
      <c r="C149" s="10"/>
      <c r="D149" s="11">
        <f t="shared" si="2"/>
        <v>0</v>
      </c>
    </row>
    <row r="150" spans="1:4" ht="18" hidden="1" x14ac:dyDescent="0.35">
      <c r="A150" s="8" t="s">
        <v>130</v>
      </c>
      <c r="B150" s="34">
        <v>0</v>
      </c>
      <c r="C150" s="12">
        <v>8000</v>
      </c>
      <c r="D150" s="11">
        <f t="shared" si="2"/>
        <v>0</v>
      </c>
    </row>
    <row r="151" spans="1:4" ht="18" hidden="1" x14ac:dyDescent="0.35">
      <c r="A151" s="8"/>
      <c r="B151" s="34">
        <v>0</v>
      </c>
      <c r="C151" s="12">
        <v>9000</v>
      </c>
      <c r="D151" s="11">
        <f t="shared" si="2"/>
        <v>0</v>
      </c>
    </row>
    <row r="152" spans="1:4" ht="18" hidden="1" x14ac:dyDescent="0.35">
      <c r="A152" s="8" t="s">
        <v>131</v>
      </c>
      <c r="B152" s="34">
        <v>0</v>
      </c>
      <c r="C152" s="12"/>
      <c r="D152" s="11">
        <f t="shared" si="2"/>
        <v>0</v>
      </c>
    </row>
    <row r="153" spans="1:4" ht="18" hidden="1" x14ac:dyDescent="0.35">
      <c r="A153" s="8" t="s">
        <v>132</v>
      </c>
      <c r="B153" s="34">
        <v>0</v>
      </c>
      <c r="C153" s="10"/>
      <c r="D153" s="11">
        <f t="shared" si="2"/>
        <v>0</v>
      </c>
    </row>
    <row r="154" spans="1:4" ht="18" hidden="1" x14ac:dyDescent="0.35">
      <c r="A154" s="8" t="s">
        <v>133</v>
      </c>
      <c r="B154" s="34">
        <v>0</v>
      </c>
      <c r="C154" s="10"/>
      <c r="D154" s="11">
        <f t="shared" si="2"/>
        <v>0</v>
      </c>
    </row>
    <row r="155" spans="1:4" ht="18" hidden="1" x14ac:dyDescent="0.35">
      <c r="A155" s="8" t="s">
        <v>134</v>
      </c>
      <c r="B155" s="34">
        <v>0</v>
      </c>
      <c r="C155" s="10">
        <v>4000</v>
      </c>
      <c r="D155" s="11">
        <f t="shared" si="2"/>
        <v>0</v>
      </c>
    </row>
    <row r="156" spans="1:4" ht="18" hidden="1" x14ac:dyDescent="0.35">
      <c r="A156" s="8" t="s">
        <v>135</v>
      </c>
      <c r="B156" s="34">
        <v>0</v>
      </c>
      <c r="C156" s="19"/>
      <c r="D156" s="11">
        <f t="shared" si="2"/>
        <v>0</v>
      </c>
    </row>
    <row r="157" spans="1:4" ht="18" hidden="1" x14ac:dyDescent="0.35">
      <c r="A157" s="8" t="s">
        <v>136</v>
      </c>
      <c r="B157" s="34">
        <v>0</v>
      </c>
      <c r="C157" s="10">
        <v>15000</v>
      </c>
      <c r="D157" s="11">
        <f t="shared" si="2"/>
        <v>0</v>
      </c>
    </row>
    <row r="158" spans="1:4" ht="18" hidden="1" x14ac:dyDescent="0.35">
      <c r="A158" s="8" t="s">
        <v>137</v>
      </c>
      <c r="B158" s="34">
        <v>0</v>
      </c>
      <c r="C158" s="13"/>
      <c r="D158" s="11">
        <f t="shared" si="2"/>
        <v>0</v>
      </c>
    </row>
    <row r="159" spans="1:4" ht="18" hidden="1" x14ac:dyDescent="0.35">
      <c r="A159" s="8" t="s">
        <v>138</v>
      </c>
      <c r="B159" s="34">
        <v>0</v>
      </c>
      <c r="C159" s="13">
        <v>25000</v>
      </c>
      <c r="D159" s="11">
        <f t="shared" si="2"/>
        <v>0</v>
      </c>
    </row>
    <row r="160" spans="1:4" ht="15.6" hidden="1" x14ac:dyDescent="0.35">
      <c r="A160" s="23" t="s">
        <v>139</v>
      </c>
      <c r="B160" s="34">
        <v>0</v>
      </c>
      <c r="C160" s="10"/>
      <c r="D160" s="11">
        <f t="shared" si="2"/>
        <v>0</v>
      </c>
    </row>
    <row r="161" spans="1:4" ht="18" hidden="1" x14ac:dyDescent="0.35">
      <c r="A161" s="8" t="s">
        <v>140</v>
      </c>
      <c r="B161" s="34">
        <v>0</v>
      </c>
      <c r="C161" s="10"/>
      <c r="D161" s="11">
        <f t="shared" si="2"/>
        <v>0</v>
      </c>
    </row>
    <row r="162" spans="1:4" ht="18.75" x14ac:dyDescent="0.25">
      <c r="A162" s="14" t="s">
        <v>141</v>
      </c>
      <c r="B162" s="34">
        <v>11</v>
      </c>
      <c r="C162" s="10">
        <v>11000</v>
      </c>
      <c r="D162" s="11">
        <f t="shared" si="2"/>
        <v>121000</v>
      </c>
    </row>
    <row r="163" spans="1:4" ht="18" hidden="1" x14ac:dyDescent="0.35">
      <c r="A163" s="8" t="s">
        <v>142</v>
      </c>
      <c r="B163" s="34">
        <v>0</v>
      </c>
      <c r="C163" s="10"/>
      <c r="D163" s="11">
        <f t="shared" si="2"/>
        <v>0</v>
      </c>
    </row>
    <row r="164" spans="1:4" ht="18" hidden="1" x14ac:dyDescent="0.35">
      <c r="A164" s="8" t="s">
        <v>143</v>
      </c>
      <c r="B164" s="34">
        <v>0</v>
      </c>
      <c r="C164" s="13">
        <v>9000</v>
      </c>
      <c r="D164" s="11">
        <f t="shared" si="2"/>
        <v>0</v>
      </c>
    </row>
    <row r="165" spans="1:4" ht="18" hidden="1" x14ac:dyDescent="0.35">
      <c r="A165" s="8"/>
      <c r="B165" s="34">
        <v>0</v>
      </c>
      <c r="C165" s="13">
        <v>8000</v>
      </c>
      <c r="D165" s="11">
        <f t="shared" si="2"/>
        <v>0</v>
      </c>
    </row>
    <row r="166" spans="1:4" ht="18" hidden="1" x14ac:dyDescent="0.35">
      <c r="A166" s="8" t="s">
        <v>144</v>
      </c>
      <c r="B166" s="34">
        <v>0</v>
      </c>
      <c r="C166" s="10"/>
      <c r="D166" s="11">
        <f t="shared" si="2"/>
        <v>0</v>
      </c>
    </row>
    <row r="167" spans="1:4" ht="18" hidden="1" x14ac:dyDescent="0.35">
      <c r="A167" s="8" t="s">
        <v>145</v>
      </c>
      <c r="B167" s="34">
        <v>0</v>
      </c>
      <c r="C167" s="12">
        <v>12500</v>
      </c>
      <c r="D167" s="11">
        <f t="shared" si="2"/>
        <v>0</v>
      </c>
    </row>
    <row r="168" spans="1:4" ht="18" hidden="1" x14ac:dyDescent="0.35">
      <c r="A168" s="8" t="s">
        <v>146</v>
      </c>
      <c r="B168" s="34">
        <v>0</v>
      </c>
      <c r="C168" s="12">
        <v>11000</v>
      </c>
      <c r="D168" s="11">
        <f t="shared" si="2"/>
        <v>0</v>
      </c>
    </row>
    <row r="169" spans="1:4" ht="18" hidden="1" x14ac:dyDescent="0.35">
      <c r="A169" s="8" t="s">
        <v>147</v>
      </c>
      <c r="B169" s="34">
        <v>0</v>
      </c>
      <c r="C169" s="12"/>
      <c r="D169" s="11">
        <f t="shared" si="2"/>
        <v>0</v>
      </c>
    </row>
    <row r="170" spans="1:4" ht="15.6" hidden="1" x14ac:dyDescent="0.35">
      <c r="A170" s="24" t="s">
        <v>148</v>
      </c>
      <c r="B170" s="34">
        <v>0</v>
      </c>
      <c r="C170" s="12"/>
      <c r="D170" s="11">
        <f t="shared" si="2"/>
        <v>0</v>
      </c>
    </row>
    <row r="171" spans="1:4" ht="18.75" x14ac:dyDescent="0.25">
      <c r="A171" s="8" t="s">
        <v>149</v>
      </c>
      <c r="B171" s="34">
        <v>3</v>
      </c>
      <c r="C171" s="10">
        <v>18000</v>
      </c>
      <c r="D171" s="11">
        <f t="shared" si="2"/>
        <v>54000</v>
      </c>
    </row>
    <row r="172" spans="1:4" ht="18" hidden="1" x14ac:dyDescent="0.35">
      <c r="A172" s="8" t="s">
        <v>150</v>
      </c>
      <c r="B172" s="34">
        <v>0</v>
      </c>
      <c r="C172" s="25"/>
      <c r="D172" s="11">
        <f t="shared" si="2"/>
        <v>0</v>
      </c>
    </row>
    <row r="173" spans="1:4" ht="18" hidden="1" x14ac:dyDescent="0.35">
      <c r="A173" s="14" t="s">
        <v>151</v>
      </c>
      <c r="B173" s="34">
        <v>0</v>
      </c>
      <c r="C173" s="10"/>
      <c r="D173" s="11">
        <f t="shared" si="2"/>
        <v>0</v>
      </c>
    </row>
    <row r="174" spans="1:4" ht="18" hidden="1" x14ac:dyDescent="0.35">
      <c r="A174" s="14" t="s">
        <v>152</v>
      </c>
      <c r="B174" s="34">
        <v>0</v>
      </c>
      <c r="C174" s="10"/>
      <c r="D174" s="11">
        <f t="shared" si="2"/>
        <v>0</v>
      </c>
    </row>
    <row r="175" spans="1:4" ht="18" hidden="1" x14ac:dyDescent="0.35">
      <c r="A175" s="8" t="s">
        <v>153</v>
      </c>
      <c r="B175" s="34">
        <v>0</v>
      </c>
      <c r="C175" s="10"/>
      <c r="D175" s="11">
        <f t="shared" si="2"/>
        <v>0</v>
      </c>
    </row>
    <row r="176" spans="1:4" ht="18" hidden="1" x14ac:dyDescent="0.35">
      <c r="A176" s="8" t="s">
        <v>154</v>
      </c>
      <c r="B176" s="34">
        <v>0</v>
      </c>
      <c r="C176" s="10"/>
      <c r="D176" s="11">
        <f t="shared" si="2"/>
        <v>0</v>
      </c>
    </row>
    <row r="177" spans="1:4" ht="18" hidden="1" x14ac:dyDescent="0.35">
      <c r="A177" s="8" t="s">
        <v>155</v>
      </c>
      <c r="B177" s="34">
        <v>0</v>
      </c>
      <c r="C177" s="10"/>
      <c r="D177" s="11">
        <f t="shared" si="2"/>
        <v>0</v>
      </c>
    </row>
    <row r="178" spans="1:4" ht="18.75" x14ac:dyDescent="0.25">
      <c r="A178" s="8" t="s">
        <v>156</v>
      </c>
      <c r="B178" s="34">
        <v>4</v>
      </c>
      <c r="C178" s="10">
        <v>40000</v>
      </c>
      <c r="D178" s="11">
        <f t="shared" si="2"/>
        <v>160000</v>
      </c>
    </row>
    <row r="179" spans="1:4" ht="18" hidden="1" x14ac:dyDescent="0.35">
      <c r="A179" s="8" t="s">
        <v>157</v>
      </c>
      <c r="B179" s="34">
        <v>0</v>
      </c>
      <c r="C179" s="10">
        <v>6000</v>
      </c>
      <c r="D179" s="11">
        <f t="shared" si="2"/>
        <v>0</v>
      </c>
    </row>
    <row r="180" spans="1:4" ht="18" hidden="1" x14ac:dyDescent="0.35">
      <c r="A180" s="8" t="s">
        <v>158</v>
      </c>
      <c r="B180" s="34">
        <v>0</v>
      </c>
      <c r="C180" s="10">
        <v>50000</v>
      </c>
      <c r="D180" s="11">
        <f t="shared" si="2"/>
        <v>0</v>
      </c>
    </row>
    <row r="181" spans="1:4" ht="18" hidden="1" x14ac:dyDescent="0.35">
      <c r="A181" s="8" t="s">
        <v>159</v>
      </c>
      <c r="B181" s="34">
        <v>0</v>
      </c>
      <c r="C181" s="10"/>
      <c r="D181" s="11">
        <f t="shared" si="2"/>
        <v>0</v>
      </c>
    </row>
    <row r="182" spans="1:4" ht="18" hidden="1" x14ac:dyDescent="0.35">
      <c r="A182" s="8" t="s">
        <v>160</v>
      </c>
      <c r="B182" s="34">
        <v>0</v>
      </c>
      <c r="C182" s="10"/>
      <c r="D182" s="11">
        <f t="shared" si="2"/>
        <v>0</v>
      </c>
    </row>
    <row r="183" spans="1:4" ht="18" hidden="1" x14ac:dyDescent="0.35">
      <c r="A183" s="8" t="s">
        <v>161</v>
      </c>
      <c r="B183" s="34">
        <v>0</v>
      </c>
      <c r="C183" s="10">
        <v>30000</v>
      </c>
      <c r="D183" s="11">
        <f t="shared" si="2"/>
        <v>0</v>
      </c>
    </row>
    <row r="184" spans="1:4" ht="18" hidden="1" x14ac:dyDescent="0.35">
      <c r="A184" s="8" t="s">
        <v>162</v>
      </c>
      <c r="B184" s="34">
        <v>0</v>
      </c>
      <c r="C184" s="10"/>
      <c r="D184" s="11">
        <f t="shared" si="2"/>
        <v>0</v>
      </c>
    </row>
    <row r="185" spans="1:4" ht="18" hidden="1" x14ac:dyDescent="0.35">
      <c r="A185" s="14" t="s">
        <v>163</v>
      </c>
      <c r="B185" s="34">
        <v>0</v>
      </c>
      <c r="C185" s="15"/>
      <c r="D185" s="11">
        <f t="shared" si="2"/>
        <v>0</v>
      </c>
    </row>
    <row r="186" spans="1:4" ht="18" hidden="1" x14ac:dyDescent="0.35">
      <c r="A186" s="14" t="s">
        <v>164</v>
      </c>
      <c r="B186" s="34">
        <v>0</v>
      </c>
      <c r="C186" s="15"/>
      <c r="D186" s="11">
        <f t="shared" si="2"/>
        <v>0</v>
      </c>
    </row>
    <row r="187" spans="1:4" ht="18.75" x14ac:dyDescent="0.25">
      <c r="A187" s="8" t="s">
        <v>165</v>
      </c>
      <c r="B187" s="34">
        <v>49</v>
      </c>
      <c r="C187" s="10">
        <v>22000</v>
      </c>
      <c r="D187" s="11">
        <f t="shared" si="2"/>
        <v>1078000</v>
      </c>
    </row>
    <row r="188" spans="1:4" ht="18" hidden="1" x14ac:dyDescent="0.35">
      <c r="A188" s="26" t="s">
        <v>166</v>
      </c>
      <c r="B188" s="34">
        <v>0</v>
      </c>
      <c r="C188" s="10"/>
      <c r="D188" s="11">
        <f t="shared" si="2"/>
        <v>0</v>
      </c>
    </row>
    <row r="189" spans="1:4" ht="18" hidden="1" x14ac:dyDescent="0.35">
      <c r="A189" s="8" t="s">
        <v>167</v>
      </c>
      <c r="B189" s="34">
        <v>0</v>
      </c>
      <c r="C189" s="10"/>
      <c r="D189" s="11">
        <f t="shared" si="2"/>
        <v>0</v>
      </c>
    </row>
    <row r="190" spans="1:4" ht="18.75" x14ac:dyDescent="0.25">
      <c r="A190" s="8" t="s">
        <v>168</v>
      </c>
      <c r="B190" s="34">
        <v>20</v>
      </c>
      <c r="C190" s="12">
        <v>13000</v>
      </c>
      <c r="D190" s="11">
        <f t="shared" si="2"/>
        <v>260000</v>
      </c>
    </row>
    <row r="191" spans="1:4" ht="18" hidden="1" x14ac:dyDescent="0.35">
      <c r="A191" s="8" t="s">
        <v>169</v>
      </c>
      <c r="B191" s="34">
        <v>0</v>
      </c>
      <c r="C191" s="10"/>
      <c r="D191" s="11">
        <f t="shared" si="2"/>
        <v>0</v>
      </c>
    </row>
    <row r="192" spans="1:4" ht="18" hidden="1" x14ac:dyDescent="0.35">
      <c r="A192" s="8" t="s">
        <v>170</v>
      </c>
      <c r="B192" s="34">
        <v>0</v>
      </c>
      <c r="C192" s="10"/>
      <c r="D192" s="11">
        <f t="shared" si="2"/>
        <v>0</v>
      </c>
    </row>
    <row r="193" spans="1:4" ht="18" hidden="1" x14ac:dyDescent="0.35">
      <c r="A193" s="8" t="s">
        <v>171</v>
      </c>
      <c r="B193" s="34">
        <v>0</v>
      </c>
      <c r="C193" s="13"/>
      <c r="D193" s="11">
        <f t="shared" si="2"/>
        <v>0</v>
      </c>
    </row>
    <row r="194" spans="1:4" ht="18" hidden="1" x14ac:dyDescent="0.35">
      <c r="A194" s="8" t="s">
        <v>172</v>
      </c>
      <c r="B194" s="34">
        <v>0</v>
      </c>
      <c r="C194" s="13">
        <v>6100</v>
      </c>
      <c r="D194" s="11">
        <f t="shared" si="2"/>
        <v>0</v>
      </c>
    </row>
    <row r="195" spans="1:4" ht="18" hidden="1" x14ac:dyDescent="0.35">
      <c r="A195" s="8" t="s">
        <v>173</v>
      </c>
      <c r="B195" s="34">
        <v>0</v>
      </c>
      <c r="C195" s="13">
        <v>25000</v>
      </c>
      <c r="D195" s="11">
        <f t="shared" si="2"/>
        <v>0</v>
      </c>
    </row>
    <row r="196" spans="1:4" ht="18" hidden="1" x14ac:dyDescent="0.35">
      <c r="A196" s="8" t="s">
        <v>174</v>
      </c>
      <c r="B196" s="34">
        <v>0</v>
      </c>
      <c r="C196" s="13">
        <v>6100</v>
      </c>
      <c r="D196" s="11">
        <f t="shared" si="2"/>
        <v>0</v>
      </c>
    </row>
    <row r="197" spans="1:4" ht="18" hidden="1" x14ac:dyDescent="0.35">
      <c r="A197" s="8" t="s">
        <v>175</v>
      </c>
      <c r="B197" s="34">
        <v>0</v>
      </c>
      <c r="C197" s="13"/>
      <c r="D197" s="11">
        <f t="shared" ref="D197:D244" si="3">B197*C197</f>
        <v>0</v>
      </c>
    </row>
    <row r="198" spans="1:4" ht="18" hidden="1" x14ac:dyDescent="0.35">
      <c r="A198" s="8" t="s">
        <v>176</v>
      </c>
      <c r="B198" s="34">
        <v>0</v>
      </c>
      <c r="C198" s="13"/>
      <c r="D198" s="11">
        <f t="shared" si="3"/>
        <v>0</v>
      </c>
    </row>
    <row r="199" spans="1:4" ht="18" hidden="1" x14ac:dyDescent="0.35">
      <c r="A199" s="8" t="s">
        <v>177</v>
      </c>
      <c r="B199" s="34">
        <v>0</v>
      </c>
      <c r="C199" s="12"/>
      <c r="D199" s="11">
        <f t="shared" si="3"/>
        <v>0</v>
      </c>
    </row>
    <row r="200" spans="1:4" ht="18" hidden="1" x14ac:dyDescent="0.35">
      <c r="A200" s="27" t="s">
        <v>178</v>
      </c>
      <c r="B200" s="34">
        <v>0</v>
      </c>
      <c r="C200" s="12">
        <v>27000</v>
      </c>
      <c r="D200" s="11">
        <f t="shared" si="3"/>
        <v>0</v>
      </c>
    </row>
    <row r="201" spans="1:4" ht="18" hidden="1" x14ac:dyDescent="0.35">
      <c r="A201" s="27" t="s">
        <v>179</v>
      </c>
      <c r="B201" s="34">
        <v>0</v>
      </c>
      <c r="C201" s="13">
        <v>6100</v>
      </c>
      <c r="D201" s="11">
        <f t="shared" si="3"/>
        <v>0</v>
      </c>
    </row>
    <row r="202" spans="1:4" ht="18" hidden="1" x14ac:dyDescent="0.35">
      <c r="A202" s="27" t="s">
        <v>180</v>
      </c>
      <c r="B202" s="34">
        <v>0</v>
      </c>
      <c r="C202" s="13"/>
      <c r="D202" s="11">
        <f t="shared" si="3"/>
        <v>0</v>
      </c>
    </row>
    <row r="203" spans="1:4" ht="18" hidden="1" x14ac:dyDescent="0.35">
      <c r="A203" s="27" t="s">
        <v>181</v>
      </c>
      <c r="B203" s="34">
        <v>0</v>
      </c>
      <c r="C203" s="12"/>
      <c r="D203" s="11">
        <f t="shared" si="3"/>
        <v>0</v>
      </c>
    </row>
    <row r="204" spans="1:4" ht="18" hidden="1" x14ac:dyDescent="0.35">
      <c r="A204" s="27" t="s">
        <v>182</v>
      </c>
      <c r="B204" s="34">
        <v>0</v>
      </c>
      <c r="C204" s="12"/>
      <c r="D204" s="11">
        <f t="shared" si="3"/>
        <v>0</v>
      </c>
    </row>
    <row r="205" spans="1:4" ht="18" hidden="1" x14ac:dyDescent="0.35">
      <c r="A205" s="8" t="s">
        <v>183</v>
      </c>
      <c r="B205" s="34">
        <v>0</v>
      </c>
      <c r="C205" s="13">
        <v>6100</v>
      </c>
      <c r="D205" s="11">
        <f t="shared" si="3"/>
        <v>0</v>
      </c>
    </row>
    <row r="206" spans="1:4" ht="18" hidden="1" x14ac:dyDescent="0.35">
      <c r="A206" s="8" t="s">
        <v>184</v>
      </c>
      <c r="B206" s="34">
        <v>0</v>
      </c>
      <c r="C206" s="13">
        <v>5500</v>
      </c>
      <c r="D206" s="11">
        <f t="shared" si="3"/>
        <v>0</v>
      </c>
    </row>
    <row r="207" spans="1:4" ht="18" hidden="1" x14ac:dyDescent="0.35">
      <c r="A207" s="8" t="s">
        <v>185</v>
      </c>
      <c r="B207" s="34">
        <v>0</v>
      </c>
      <c r="C207" s="13">
        <v>25000</v>
      </c>
      <c r="D207" s="11">
        <f t="shared" si="3"/>
        <v>0</v>
      </c>
    </row>
    <row r="208" spans="1:4" ht="18" hidden="1" x14ac:dyDescent="0.35">
      <c r="A208" s="8" t="s">
        <v>186</v>
      </c>
      <c r="B208" s="34">
        <v>0</v>
      </c>
      <c r="C208" s="13">
        <v>25000</v>
      </c>
      <c r="D208" s="11">
        <f t="shared" si="3"/>
        <v>0</v>
      </c>
    </row>
    <row r="209" spans="1:4" ht="18" hidden="1" x14ac:dyDescent="0.35">
      <c r="A209" s="8" t="s">
        <v>187</v>
      </c>
      <c r="B209" s="34">
        <v>0</v>
      </c>
      <c r="C209" s="13"/>
      <c r="D209" s="11">
        <f t="shared" si="3"/>
        <v>0</v>
      </c>
    </row>
    <row r="210" spans="1:4" ht="18" hidden="1" x14ac:dyDescent="0.35">
      <c r="A210" s="8" t="s">
        <v>188</v>
      </c>
      <c r="B210" s="34">
        <v>0</v>
      </c>
      <c r="C210" s="10">
        <v>11000</v>
      </c>
      <c r="D210" s="11">
        <f t="shared" si="3"/>
        <v>0</v>
      </c>
    </row>
    <row r="211" spans="1:4" ht="18" hidden="1" x14ac:dyDescent="0.35">
      <c r="A211" s="8" t="s">
        <v>189</v>
      </c>
      <c r="B211" s="34">
        <v>0</v>
      </c>
      <c r="C211" s="13"/>
      <c r="D211" s="11">
        <f t="shared" si="3"/>
        <v>0</v>
      </c>
    </row>
    <row r="212" spans="1:4" ht="18" hidden="1" x14ac:dyDescent="0.35">
      <c r="A212" s="8" t="s">
        <v>190</v>
      </c>
      <c r="B212" s="34">
        <v>0</v>
      </c>
      <c r="C212" s="12"/>
      <c r="D212" s="11">
        <f t="shared" si="3"/>
        <v>0</v>
      </c>
    </row>
    <row r="213" spans="1:4" ht="18" hidden="1" x14ac:dyDescent="0.35">
      <c r="A213" s="8" t="s">
        <v>191</v>
      </c>
      <c r="B213" s="34">
        <v>0</v>
      </c>
      <c r="C213" s="10"/>
      <c r="D213" s="11">
        <f t="shared" si="3"/>
        <v>0</v>
      </c>
    </row>
    <row r="214" spans="1:4" ht="18" hidden="1" x14ac:dyDescent="0.35">
      <c r="A214" s="8" t="s">
        <v>192</v>
      </c>
      <c r="B214" s="34">
        <v>0</v>
      </c>
      <c r="C214" s="13">
        <v>42000</v>
      </c>
      <c r="D214" s="11">
        <f t="shared" si="3"/>
        <v>0</v>
      </c>
    </row>
    <row r="215" spans="1:4" ht="18" hidden="1" x14ac:dyDescent="0.35">
      <c r="A215" s="8"/>
      <c r="B215" s="34">
        <v>0</v>
      </c>
      <c r="C215" s="13">
        <v>42000</v>
      </c>
      <c r="D215" s="11">
        <f t="shared" si="3"/>
        <v>0</v>
      </c>
    </row>
    <row r="216" spans="1:4" ht="18" hidden="1" x14ac:dyDescent="0.35">
      <c r="A216" s="8"/>
      <c r="B216" s="34">
        <v>0</v>
      </c>
      <c r="C216" s="13">
        <v>46800</v>
      </c>
      <c r="D216" s="11">
        <f t="shared" si="3"/>
        <v>0</v>
      </c>
    </row>
    <row r="217" spans="1:4" ht="18" hidden="1" x14ac:dyDescent="0.35">
      <c r="A217" s="8"/>
      <c r="B217" s="34">
        <v>0</v>
      </c>
      <c r="C217" s="13">
        <v>42000</v>
      </c>
      <c r="D217" s="11">
        <f t="shared" si="3"/>
        <v>0</v>
      </c>
    </row>
    <row r="218" spans="1:4" ht="18" hidden="1" x14ac:dyDescent="0.35">
      <c r="A218" s="8" t="s">
        <v>193</v>
      </c>
      <c r="B218" s="34">
        <v>0</v>
      </c>
      <c r="C218" s="10">
        <v>18000</v>
      </c>
      <c r="D218" s="11">
        <f t="shared" si="3"/>
        <v>0</v>
      </c>
    </row>
    <row r="219" spans="1:4" ht="18" hidden="1" x14ac:dyDescent="0.35">
      <c r="A219" s="8" t="s">
        <v>194</v>
      </c>
      <c r="B219" s="34">
        <v>0</v>
      </c>
      <c r="C219" s="10">
        <v>40083</v>
      </c>
      <c r="D219" s="11">
        <f t="shared" si="3"/>
        <v>0</v>
      </c>
    </row>
    <row r="220" spans="1:4" ht="18" hidden="1" x14ac:dyDescent="0.35">
      <c r="A220" s="8"/>
      <c r="B220" s="34">
        <v>0</v>
      </c>
      <c r="C220" s="10">
        <v>36000</v>
      </c>
      <c r="D220" s="11">
        <f t="shared" si="3"/>
        <v>0</v>
      </c>
    </row>
    <row r="221" spans="1:4" ht="18" hidden="1" x14ac:dyDescent="0.35">
      <c r="A221" s="8"/>
      <c r="B221" s="34">
        <v>0</v>
      </c>
      <c r="C221" s="10">
        <v>36000</v>
      </c>
      <c r="D221" s="11">
        <f t="shared" si="3"/>
        <v>0</v>
      </c>
    </row>
    <row r="222" spans="1:4" ht="18" hidden="1" x14ac:dyDescent="0.35">
      <c r="A222" s="8" t="s">
        <v>195</v>
      </c>
      <c r="B222" s="34">
        <v>0</v>
      </c>
      <c r="C222" s="10">
        <v>35000</v>
      </c>
      <c r="D222" s="11">
        <f t="shared" si="3"/>
        <v>0</v>
      </c>
    </row>
    <row r="223" spans="1:4" ht="18" hidden="1" x14ac:dyDescent="0.35">
      <c r="A223" s="8"/>
      <c r="B223" s="34">
        <v>0</v>
      </c>
      <c r="C223" s="10">
        <v>35000</v>
      </c>
      <c r="D223" s="11">
        <f t="shared" si="3"/>
        <v>0</v>
      </c>
    </row>
    <row r="224" spans="1:4" ht="18.75" x14ac:dyDescent="0.25">
      <c r="A224" s="14" t="s">
        <v>196</v>
      </c>
      <c r="B224" s="34">
        <v>24</v>
      </c>
      <c r="C224" s="12">
        <v>4000</v>
      </c>
      <c r="D224" s="11">
        <f t="shared" si="3"/>
        <v>96000</v>
      </c>
    </row>
    <row r="225" spans="1:4" ht="18" hidden="1" x14ac:dyDescent="0.35">
      <c r="A225" s="14" t="s">
        <v>197</v>
      </c>
      <c r="B225" s="34">
        <v>0</v>
      </c>
      <c r="C225" s="10"/>
      <c r="D225" s="11">
        <f t="shared" si="3"/>
        <v>0</v>
      </c>
    </row>
    <row r="226" spans="1:4" ht="18" hidden="1" x14ac:dyDescent="0.35">
      <c r="A226" s="8" t="s">
        <v>198</v>
      </c>
      <c r="B226" s="34">
        <v>0</v>
      </c>
      <c r="C226" s="10">
        <v>7000</v>
      </c>
      <c r="D226" s="11">
        <f t="shared" si="3"/>
        <v>0</v>
      </c>
    </row>
    <row r="227" spans="1:4" ht="18" x14ac:dyDescent="0.35">
      <c r="A227" s="8" t="s">
        <v>199</v>
      </c>
      <c r="B227" s="34">
        <v>4</v>
      </c>
      <c r="C227" s="12">
        <v>15000</v>
      </c>
      <c r="D227" s="11">
        <f t="shared" si="3"/>
        <v>60000</v>
      </c>
    </row>
    <row r="228" spans="1:4" ht="18" hidden="1" x14ac:dyDescent="0.35">
      <c r="A228" s="8" t="s">
        <v>200</v>
      </c>
      <c r="B228" s="34">
        <v>0</v>
      </c>
      <c r="C228" s="12"/>
      <c r="D228" s="11">
        <f t="shared" si="3"/>
        <v>0</v>
      </c>
    </row>
    <row r="229" spans="1:4" ht="18" hidden="1" x14ac:dyDescent="0.35">
      <c r="A229" s="8" t="s">
        <v>201</v>
      </c>
      <c r="B229" s="34">
        <v>0</v>
      </c>
      <c r="C229" s="19"/>
      <c r="D229" s="11">
        <f t="shared" si="3"/>
        <v>0</v>
      </c>
    </row>
    <row r="230" spans="1:4" ht="18" hidden="1" x14ac:dyDescent="0.35">
      <c r="A230" s="8" t="s">
        <v>202</v>
      </c>
      <c r="B230" s="34">
        <v>0</v>
      </c>
      <c r="C230" s="12">
        <v>12000</v>
      </c>
      <c r="D230" s="11">
        <f t="shared" si="3"/>
        <v>0</v>
      </c>
    </row>
    <row r="231" spans="1:4" ht="18" hidden="1" x14ac:dyDescent="0.35">
      <c r="A231" s="8" t="s">
        <v>203</v>
      </c>
      <c r="B231" s="34">
        <v>0</v>
      </c>
      <c r="C231" s="12"/>
      <c r="D231" s="11">
        <f t="shared" si="3"/>
        <v>0</v>
      </c>
    </row>
    <row r="232" spans="1:4" ht="18.75" x14ac:dyDescent="0.25">
      <c r="A232" s="8" t="s">
        <v>204</v>
      </c>
      <c r="B232" s="34">
        <v>270</v>
      </c>
      <c r="C232" s="13">
        <v>9000</v>
      </c>
      <c r="D232" s="11">
        <f t="shared" si="3"/>
        <v>2430000</v>
      </c>
    </row>
    <row r="233" spans="1:4" ht="18.75" x14ac:dyDescent="0.25">
      <c r="A233" s="8" t="s">
        <v>205</v>
      </c>
      <c r="B233" s="34">
        <v>33</v>
      </c>
      <c r="C233" s="10">
        <v>9000</v>
      </c>
      <c r="D233" s="11">
        <f t="shared" si="3"/>
        <v>297000</v>
      </c>
    </row>
    <row r="234" spans="1:4" ht="18" hidden="1" x14ac:dyDescent="0.35">
      <c r="A234" s="8"/>
      <c r="B234" s="34">
        <v>0</v>
      </c>
      <c r="C234" s="10">
        <v>9000</v>
      </c>
      <c r="D234" s="11">
        <f t="shared" si="3"/>
        <v>0</v>
      </c>
    </row>
    <row r="235" spans="1:4" ht="18" hidden="1" x14ac:dyDescent="0.35">
      <c r="A235" s="8"/>
      <c r="B235" s="34">
        <v>0</v>
      </c>
      <c r="C235" s="10">
        <v>8500</v>
      </c>
      <c r="D235" s="11">
        <f t="shared" si="3"/>
        <v>0</v>
      </c>
    </row>
    <row r="236" spans="1:4" ht="18" hidden="1" x14ac:dyDescent="0.35">
      <c r="A236" s="8" t="s">
        <v>206</v>
      </c>
      <c r="B236" s="34">
        <v>0</v>
      </c>
      <c r="C236" s="13"/>
      <c r="D236" s="11">
        <f t="shared" si="3"/>
        <v>0</v>
      </c>
    </row>
    <row r="237" spans="1:4" ht="18" hidden="1" x14ac:dyDescent="0.35">
      <c r="A237" s="8" t="s">
        <v>207</v>
      </c>
      <c r="B237" s="34">
        <v>0</v>
      </c>
      <c r="C237" s="13"/>
      <c r="D237" s="11">
        <f t="shared" si="3"/>
        <v>0</v>
      </c>
    </row>
    <row r="238" spans="1:4" ht="18" hidden="1" x14ac:dyDescent="0.35">
      <c r="A238" s="8" t="s">
        <v>208</v>
      </c>
      <c r="B238" s="34">
        <v>0</v>
      </c>
      <c r="C238" s="13"/>
      <c r="D238" s="11">
        <f t="shared" si="3"/>
        <v>0</v>
      </c>
    </row>
    <row r="239" spans="1:4" ht="18" hidden="1" x14ac:dyDescent="0.35">
      <c r="A239" s="14" t="s">
        <v>209</v>
      </c>
      <c r="B239" s="34">
        <v>0</v>
      </c>
      <c r="C239" s="10"/>
      <c r="D239" s="11">
        <f t="shared" si="3"/>
        <v>0</v>
      </c>
    </row>
    <row r="240" spans="1:4" ht="18" hidden="1" x14ac:dyDescent="0.35">
      <c r="A240" s="8" t="s">
        <v>210</v>
      </c>
      <c r="B240" s="34">
        <v>0</v>
      </c>
      <c r="C240" s="12"/>
      <c r="D240" s="11">
        <f t="shared" si="3"/>
        <v>0</v>
      </c>
    </row>
    <row r="241" spans="1:4" ht="18" hidden="1" x14ac:dyDescent="0.35">
      <c r="A241" s="8" t="s">
        <v>211</v>
      </c>
      <c r="B241" s="34">
        <v>0</v>
      </c>
      <c r="C241" s="13"/>
      <c r="D241" s="11">
        <f t="shared" si="3"/>
        <v>0</v>
      </c>
    </row>
    <row r="242" spans="1:4" ht="18" hidden="1" x14ac:dyDescent="0.35">
      <c r="A242" s="8" t="s">
        <v>212</v>
      </c>
      <c r="B242" s="34">
        <v>0</v>
      </c>
      <c r="C242" s="13"/>
      <c r="D242" s="11">
        <f t="shared" si="3"/>
        <v>0</v>
      </c>
    </row>
    <row r="243" spans="1:4" ht="18" hidden="1" x14ac:dyDescent="0.35">
      <c r="A243" s="8" t="s">
        <v>213</v>
      </c>
      <c r="B243" s="34">
        <v>0</v>
      </c>
      <c r="C243" s="13"/>
      <c r="D243" s="11">
        <f t="shared" si="3"/>
        <v>0</v>
      </c>
    </row>
    <row r="244" spans="1:4" ht="18" hidden="1" x14ac:dyDescent="0.35">
      <c r="A244" s="8" t="s">
        <v>214</v>
      </c>
      <c r="B244" s="34">
        <v>0</v>
      </c>
      <c r="C244" s="13"/>
      <c r="D244" s="11">
        <f t="shared" si="3"/>
        <v>0</v>
      </c>
    </row>
    <row r="245" spans="1:4" ht="17.45" x14ac:dyDescent="0.35">
      <c r="A245" s="28"/>
      <c r="B245" s="29">
        <f t="shared" ref="B245" si="4">SUM(B4:B244)</f>
        <v>1055</v>
      </c>
      <c r="C245" s="35"/>
      <c r="D245" s="35">
        <f>SUM(D4:D209)</f>
        <v>12598000</v>
      </c>
    </row>
  </sheetData>
  <protectedRanges>
    <protectedRange password="CC4C" sqref="C1:C244" name="tho5"/>
    <protectedRange password="CCD0" sqref="B1:B244" name="tho3"/>
  </protectedRanges>
  <autoFilter ref="A2:D245">
    <filterColumn colId="1">
      <filters>
        <filter val="1,055"/>
        <filter val="10.0"/>
        <filter val="11.0"/>
        <filter val="14.0"/>
        <filter val="147.0"/>
        <filter val="15.0"/>
        <filter val="20.0"/>
        <filter val="24.0"/>
        <filter val="270.0"/>
        <filter val="3.0"/>
        <filter val="33.0"/>
        <filter val="36.0"/>
        <filter val="4.0"/>
        <filter val="415.0"/>
        <filter val="49.0"/>
      </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B2" sqref="B2"/>
    </sheetView>
  </sheetViews>
  <sheetFormatPr defaultRowHeight="15" x14ac:dyDescent="0.25"/>
  <cols>
    <col min="1" max="1" width="30.5703125" customWidth="1"/>
    <col min="4" max="4" width="14" customWidth="1"/>
  </cols>
  <sheetData>
    <row r="1" spans="1:4" x14ac:dyDescent="0.25">
      <c r="A1" s="1" t="s">
        <v>217</v>
      </c>
      <c r="B1" s="2"/>
      <c r="C1" s="2"/>
      <c r="D1" s="3"/>
    </row>
    <row r="2" spans="1:4" ht="25.5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.75" x14ac:dyDescent="0.25">
      <c r="A4" s="8" t="s">
        <v>5</v>
      </c>
      <c r="B4" s="9">
        <v>3</v>
      </c>
      <c r="C4" s="10">
        <v>19000</v>
      </c>
      <c r="D4" s="11">
        <f>B4*C4</f>
        <v>57000</v>
      </c>
    </row>
    <row r="5" spans="1:4" ht="18.75" x14ac:dyDescent="0.25">
      <c r="A5" s="8" t="s">
        <v>6</v>
      </c>
      <c r="B5" s="9">
        <f>105+34</f>
        <v>139</v>
      </c>
      <c r="C5" s="10">
        <v>24000</v>
      </c>
      <c r="D5" s="11">
        <f t="shared" ref="D5:D68" si="0">B5*C5</f>
        <v>3336000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126</v>
      </c>
      <c r="B7" s="9"/>
      <c r="C7" s="13"/>
      <c r="D7" s="11">
        <f t="shared" si="0"/>
        <v>0</v>
      </c>
    </row>
    <row r="8" spans="1:4" ht="18" hidden="1" x14ac:dyDescent="0.35">
      <c r="A8" s="8" t="s">
        <v>8</v>
      </c>
      <c r="B8" s="9"/>
      <c r="C8" s="12"/>
      <c r="D8" s="11">
        <f t="shared" si="0"/>
        <v>0</v>
      </c>
    </row>
    <row r="9" spans="1:4" ht="18" hidden="1" x14ac:dyDescent="0.35">
      <c r="A9" s="8" t="s">
        <v>74</v>
      </c>
      <c r="B9" s="9"/>
      <c r="C9" s="13"/>
      <c r="D9" s="11">
        <f t="shared" si="0"/>
        <v>0</v>
      </c>
    </row>
    <row r="10" spans="1:4" ht="18" hidden="1" x14ac:dyDescent="0.35">
      <c r="A10" s="8" t="s">
        <v>10</v>
      </c>
      <c r="B10" s="9"/>
      <c r="C10" s="10">
        <v>21000</v>
      </c>
      <c r="D10" s="11">
        <f t="shared" si="0"/>
        <v>0</v>
      </c>
    </row>
    <row r="11" spans="1:4" ht="18" hidden="1" x14ac:dyDescent="0.35">
      <c r="A11" s="14" t="s">
        <v>29</v>
      </c>
      <c r="B11" s="9"/>
      <c r="C11" s="15"/>
      <c r="D11" s="11">
        <f t="shared" si="0"/>
        <v>0</v>
      </c>
    </row>
    <row r="12" spans="1:4" ht="18.75" x14ac:dyDescent="0.25">
      <c r="A12" s="8" t="s">
        <v>11</v>
      </c>
      <c r="B12" s="9">
        <v>39</v>
      </c>
      <c r="C12" s="10">
        <v>33000</v>
      </c>
      <c r="D12" s="11">
        <f t="shared" si="0"/>
        <v>1287000</v>
      </c>
    </row>
    <row r="13" spans="1:4" ht="18" hidden="1" x14ac:dyDescent="0.35">
      <c r="A13" s="8" t="s">
        <v>91</v>
      </c>
      <c r="B13" s="9"/>
      <c r="C13" s="10"/>
      <c r="D13" s="11">
        <f t="shared" si="0"/>
        <v>0</v>
      </c>
    </row>
    <row r="14" spans="1:4" ht="18" hidden="1" x14ac:dyDescent="0.35">
      <c r="A14" s="8" t="s">
        <v>142</v>
      </c>
      <c r="B14" s="9"/>
      <c r="C14" s="10"/>
      <c r="D14" s="11">
        <f t="shared" si="0"/>
        <v>0</v>
      </c>
    </row>
    <row r="15" spans="1:4" ht="18" hidden="1" x14ac:dyDescent="0.35">
      <c r="A15" s="8" t="s">
        <v>13</v>
      </c>
      <c r="B15" s="9"/>
      <c r="C15" s="10"/>
      <c r="D15" s="11">
        <f t="shared" si="0"/>
        <v>0</v>
      </c>
    </row>
    <row r="16" spans="1:4" ht="18" hidden="1" x14ac:dyDescent="0.35">
      <c r="A16" s="23" t="s">
        <v>139</v>
      </c>
      <c r="B16" s="9"/>
      <c r="C16" s="10"/>
      <c r="D16" s="11">
        <f t="shared" si="0"/>
        <v>0</v>
      </c>
    </row>
    <row r="17" spans="1:4" ht="18" hidden="1" x14ac:dyDescent="0.35">
      <c r="A17" s="8" t="s">
        <v>14</v>
      </c>
      <c r="B17" s="9"/>
      <c r="C17" s="12"/>
      <c r="D17" s="11">
        <f t="shared" si="0"/>
        <v>0</v>
      </c>
    </row>
    <row r="18" spans="1:4" ht="18" hidden="1" x14ac:dyDescent="0.35">
      <c r="A18" s="8" t="s">
        <v>206</v>
      </c>
      <c r="B18" s="9"/>
      <c r="C18" s="13"/>
      <c r="D18" s="11">
        <f t="shared" si="0"/>
        <v>0</v>
      </c>
    </row>
    <row r="19" spans="1:4" ht="18" hidden="1" x14ac:dyDescent="0.35">
      <c r="A19" s="8" t="s">
        <v>16</v>
      </c>
      <c r="B19" s="9"/>
      <c r="C19" s="12"/>
      <c r="D19" s="11">
        <f t="shared" si="0"/>
        <v>0</v>
      </c>
    </row>
    <row r="20" spans="1:4" ht="18" hidden="1" x14ac:dyDescent="0.35">
      <c r="A20" s="8" t="s">
        <v>111</v>
      </c>
      <c r="B20" s="9"/>
      <c r="C20" s="13"/>
      <c r="D20" s="11">
        <f t="shared" si="0"/>
        <v>0</v>
      </c>
    </row>
    <row r="21" spans="1:4" ht="18.75" x14ac:dyDescent="0.25">
      <c r="A21" s="8" t="s">
        <v>17</v>
      </c>
      <c r="B21" s="9">
        <v>15</v>
      </c>
      <c r="C21" s="10">
        <v>20000</v>
      </c>
      <c r="D21" s="11">
        <f t="shared" si="0"/>
        <v>300000</v>
      </c>
    </row>
    <row r="22" spans="1:4" ht="18" hidden="1" x14ac:dyDescent="0.35">
      <c r="A22" s="8" t="s">
        <v>19</v>
      </c>
      <c r="B22" s="9"/>
      <c r="C22" s="10"/>
      <c r="D22" s="11">
        <f t="shared" si="0"/>
        <v>0</v>
      </c>
    </row>
    <row r="23" spans="1:4" ht="18" hidden="1" x14ac:dyDescent="0.35">
      <c r="A23" s="8" t="s">
        <v>140</v>
      </c>
      <c r="B23" s="9"/>
      <c r="C23" s="10"/>
      <c r="D23" s="11">
        <f t="shared" si="0"/>
        <v>0</v>
      </c>
    </row>
    <row r="24" spans="1:4" ht="18" hidden="1" x14ac:dyDescent="0.35">
      <c r="A24" s="8" t="s">
        <v>36</v>
      </c>
      <c r="B24" s="9"/>
      <c r="C24" s="10"/>
      <c r="D24" s="11">
        <f t="shared" si="0"/>
        <v>0</v>
      </c>
    </row>
    <row r="25" spans="1:4" ht="18" hidden="1" x14ac:dyDescent="0.35">
      <c r="A25" s="8" t="s">
        <v>20</v>
      </c>
      <c r="B25" s="9"/>
      <c r="C25" s="13"/>
      <c r="D25" s="11">
        <f t="shared" si="0"/>
        <v>0</v>
      </c>
    </row>
    <row r="26" spans="1:4" ht="18" hidden="1" x14ac:dyDescent="0.35">
      <c r="A26" s="14" t="s">
        <v>38</v>
      </c>
      <c r="B26" s="9"/>
      <c r="C26" s="10"/>
      <c r="D26" s="11">
        <f t="shared" si="0"/>
        <v>0</v>
      </c>
    </row>
    <row r="27" spans="1:4" ht="18" hidden="1" x14ac:dyDescent="0.35">
      <c r="A27" s="8" t="s">
        <v>96</v>
      </c>
      <c r="B27" s="9"/>
      <c r="C27" s="10"/>
      <c r="D27" s="11">
        <f t="shared" si="0"/>
        <v>0</v>
      </c>
    </row>
    <row r="28" spans="1:4" ht="18" hidden="1" x14ac:dyDescent="0.35">
      <c r="A28" s="8" t="s">
        <v>27</v>
      </c>
      <c r="B28" s="9"/>
      <c r="C28" s="10"/>
      <c r="D28" s="11">
        <f t="shared" si="0"/>
        <v>0</v>
      </c>
    </row>
    <row r="29" spans="1:4" ht="18" hidden="1" x14ac:dyDescent="0.35">
      <c r="A29" s="8" t="s">
        <v>127</v>
      </c>
      <c r="B29" s="9"/>
      <c r="C29" s="13"/>
      <c r="D29" s="11">
        <f t="shared" si="0"/>
        <v>0</v>
      </c>
    </row>
    <row r="30" spans="1:4" ht="18" hidden="1" x14ac:dyDescent="0.35">
      <c r="A30" s="8" t="s">
        <v>123</v>
      </c>
      <c r="B30" s="9"/>
      <c r="C30" s="12"/>
      <c r="D30" s="11">
        <f t="shared" si="0"/>
        <v>0</v>
      </c>
    </row>
    <row r="31" spans="1:4" ht="18" hidden="1" x14ac:dyDescent="0.35">
      <c r="A31" s="8" t="s">
        <v>124</v>
      </c>
      <c r="B31" s="9"/>
      <c r="C31" s="13"/>
      <c r="D31" s="11">
        <f t="shared" si="0"/>
        <v>0</v>
      </c>
    </row>
    <row r="32" spans="1:4" ht="18" hidden="1" x14ac:dyDescent="0.35">
      <c r="A32" s="8" t="s">
        <v>28</v>
      </c>
      <c r="B32" s="9"/>
      <c r="C32" s="10"/>
      <c r="D32" s="11">
        <f t="shared" si="0"/>
        <v>0</v>
      </c>
    </row>
    <row r="33" spans="1:4" ht="18" hidden="1" x14ac:dyDescent="0.35">
      <c r="A33" s="8" t="s">
        <v>73</v>
      </c>
      <c r="B33" s="9"/>
      <c r="C33" s="12">
        <v>25000</v>
      </c>
      <c r="D33" s="11">
        <f t="shared" si="0"/>
        <v>0</v>
      </c>
    </row>
    <row r="34" spans="1:4" ht="18" hidden="1" x14ac:dyDescent="0.35">
      <c r="A34" s="8" t="s">
        <v>190</v>
      </c>
      <c r="B34" s="9"/>
      <c r="C34" s="12"/>
      <c r="D34" s="11">
        <f t="shared" si="0"/>
        <v>0</v>
      </c>
    </row>
    <row r="35" spans="1:4" ht="18" hidden="1" x14ac:dyDescent="0.35">
      <c r="A35" s="8" t="s">
        <v>191</v>
      </c>
      <c r="B35" s="9"/>
      <c r="C35" s="10"/>
      <c r="D35" s="11">
        <f t="shared" si="0"/>
        <v>0</v>
      </c>
    </row>
    <row r="36" spans="1:4" ht="18" hidden="1" x14ac:dyDescent="0.35">
      <c r="A36" s="8" t="s">
        <v>30</v>
      </c>
      <c r="B36" s="9"/>
      <c r="C36" s="10"/>
      <c r="D36" s="11">
        <f t="shared" si="0"/>
        <v>0</v>
      </c>
    </row>
    <row r="37" spans="1:4" ht="18" hidden="1" x14ac:dyDescent="0.35">
      <c r="A37" s="8" t="s">
        <v>193</v>
      </c>
      <c r="B37" s="9"/>
      <c r="C37" s="10">
        <v>18000</v>
      </c>
      <c r="D37" s="11">
        <f t="shared" si="0"/>
        <v>0</v>
      </c>
    </row>
    <row r="38" spans="1:4" ht="18" hidden="1" x14ac:dyDescent="0.35">
      <c r="A38" s="8" t="s">
        <v>31</v>
      </c>
      <c r="B38" s="9"/>
      <c r="C38" s="10"/>
      <c r="D38" s="11">
        <f t="shared" si="0"/>
        <v>0</v>
      </c>
    </row>
    <row r="39" spans="1:4" ht="18" hidden="1" x14ac:dyDescent="0.35">
      <c r="A39" s="8" t="s">
        <v>34</v>
      </c>
      <c r="B39" s="9"/>
      <c r="C39" s="10"/>
      <c r="D39" s="11">
        <f t="shared" si="0"/>
        <v>0</v>
      </c>
    </row>
    <row r="40" spans="1:4" ht="18" hidden="1" x14ac:dyDescent="0.35">
      <c r="A40" s="14" t="s">
        <v>37</v>
      </c>
      <c r="B40" s="9"/>
      <c r="C40" s="12">
        <v>20000</v>
      </c>
      <c r="D40" s="11">
        <f t="shared" si="0"/>
        <v>0</v>
      </c>
    </row>
    <row r="41" spans="1:4" ht="18" hidden="1" x14ac:dyDescent="0.35">
      <c r="A41" s="8" t="s">
        <v>119</v>
      </c>
      <c r="B41" s="9"/>
      <c r="C41" s="10"/>
      <c r="D41" s="11">
        <f t="shared" si="0"/>
        <v>0</v>
      </c>
    </row>
    <row r="42" spans="1:4" ht="18" hidden="1" x14ac:dyDescent="0.35">
      <c r="A42" s="8" t="s">
        <v>39</v>
      </c>
      <c r="B42" s="9"/>
      <c r="C42" s="10"/>
      <c r="D42" s="11">
        <f t="shared" si="0"/>
        <v>0</v>
      </c>
    </row>
    <row r="43" spans="1:4" ht="18" hidden="1" x14ac:dyDescent="0.35">
      <c r="A43" s="8" t="s">
        <v>47</v>
      </c>
      <c r="B43" s="9"/>
      <c r="C43" s="12"/>
      <c r="D43" s="11">
        <f t="shared" si="0"/>
        <v>0</v>
      </c>
    </row>
    <row r="44" spans="1:4" ht="18" hidden="1" x14ac:dyDescent="0.35">
      <c r="A44" s="8" t="s">
        <v>42</v>
      </c>
      <c r="B44" s="9"/>
      <c r="C44" s="13"/>
      <c r="D44" s="11">
        <f t="shared" si="0"/>
        <v>0</v>
      </c>
    </row>
    <row r="45" spans="1:4" ht="18" hidden="1" x14ac:dyDescent="0.35">
      <c r="A45" s="8" t="s">
        <v>107</v>
      </c>
      <c r="B45" s="9"/>
      <c r="C45" s="10"/>
      <c r="D45" s="11">
        <f t="shared" si="0"/>
        <v>0</v>
      </c>
    </row>
    <row r="46" spans="1:4" ht="18" hidden="1" x14ac:dyDescent="0.35">
      <c r="A46" s="8" t="s">
        <v>44</v>
      </c>
      <c r="B46" s="9"/>
      <c r="C46" s="10">
        <v>15000</v>
      </c>
      <c r="D46" s="11">
        <f t="shared" si="0"/>
        <v>0</v>
      </c>
    </row>
    <row r="47" spans="1:4" ht="18.75" x14ac:dyDescent="0.25">
      <c r="A47" s="8" t="s">
        <v>46</v>
      </c>
      <c r="B47" s="9">
        <v>10</v>
      </c>
      <c r="C47" s="12">
        <v>25000</v>
      </c>
      <c r="D47" s="11">
        <f t="shared" si="0"/>
        <v>250000</v>
      </c>
    </row>
    <row r="48" spans="1:4" ht="18.75" x14ac:dyDescent="0.25">
      <c r="A48" s="8" t="s">
        <v>48</v>
      </c>
      <c r="B48" s="9">
        <v>18</v>
      </c>
      <c r="C48" s="10">
        <v>25000</v>
      </c>
      <c r="D48" s="11">
        <f t="shared" si="0"/>
        <v>450000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75</v>
      </c>
      <c r="B50" s="9"/>
      <c r="C50" s="15"/>
      <c r="D50" s="11">
        <f t="shared" si="0"/>
        <v>0</v>
      </c>
    </row>
    <row r="51" spans="1:4" ht="18" hidden="1" x14ac:dyDescent="0.35">
      <c r="A51" s="8" t="s">
        <v>51</v>
      </c>
      <c r="B51" s="9"/>
      <c r="C51" s="10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99</v>
      </c>
      <c r="B54" s="9"/>
      <c r="C54" s="12"/>
      <c r="D54" s="11">
        <f t="shared" si="0"/>
        <v>0</v>
      </c>
    </row>
    <row r="55" spans="1:4" ht="18" hidden="1" x14ac:dyDescent="0.35">
      <c r="A55" s="8" t="s">
        <v>49</v>
      </c>
      <c r="B55" s="9"/>
      <c r="C55" s="10"/>
      <c r="D55" s="11">
        <f t="shared" si="0"/>
        <v>0</v>
      </c>
    </row>
    <row r="56" spans="1:4" ht="18.75" x14ac:dyDescent="0.25">
      <c r="A56" s="8" t="s">
        <v>55</v>
      </c>
      <c r="B56" s="9">
        <v>1</v>
      </c>
      <c r="C56" s="10">
        <v>12000</v>
      </c>
      <c r="D56" s="11">
        <f t="shared" si="0"/>
        <v>12000</v>
      </c>
    </row>
    <row r="57" spans="1:4" ht="18.75" x14ac:dyDescent="0.25">
      <c r="A57" s="14" t="s">
        <v>56</v>
      </c>
      <c r="B57" s="9">
        <v>2</v>
      </c>
      <c r="C57" s="10">
        <v>38000</v>
      </c>
      <c r="D57" s="11">
        <f t="shared" si="0"/>
        <v>76000</v>
      </c>
    </row>
    <row r="58" spans="1:4" ht="18" hidden="1" x14ac:dyDescent="0.35">
      <c r="A58" s="8" t="s">
        <v>52</v>
      </c>
      <c r="B58" s="9"/>
      <c r="C58" s="12"/>
      <c r="D58" s="11">
        <f t="shared" si="0"/>
        <v>0</v>
      </c>
    </row>
    <row r="59" spans="1:4" ht="18" hidden="1" x14ac:dyDescent="0.35">
      <c r="A59" s="8" t="s">
        <v>57</v>
      </c>
      <c r="B59" s="9"/>
      <c r="C59" s="10"/>
      <c r="D59" s="11">
        <f t="shared" si="0"/>
        <v>0</v>
      </c>
    </row>
    <row r="60" spans="1:4" ht="18" hidden="1" x14ac:dyDescent="0.35">
      <c r="A60" s="8" t="s">
        <v>58</v>
      </c>
      <c r="B60" s="9"/>
      <c r="C60" s="13"/>
      <c r="D60" s="11">
        <f t="shared" si="0"/>
        <v>0</v>
      </c>
    </row>
    <row r="61" spans="1:4" ht="18" hidden="1" x14ac:dyDescent="0.35">
      <c r="A61" s="8" t="s">
        <v>21</v>
      </c>
      <c r="B61" s="9"/>
      <c r="C61" s="10"/>
      <c r="D61" s="11">
        <f t="shared" si="0"/>
        <v>0</v>
      </c>
    </row>
    <row r="62" spans="1:4" ht="18" hidden="1" x14ac:dyDescent="0.35">
      <c r="A62" s="8" t="s">
        <v>207</v>
      </c>
      <c r="B62" s="9"/>
      <c r="C62" s="13"/>
      <c r="D62" s="11">
        <f t="shared" si="0"/>
        <v>0</v>
      </c>
    </row>
    <row r="63" spans="1:4" ht="18" hidden="1" x14ac:dyDescent="0.35">
      <c r="A63" s="8" t="s">
        <v>208</v>
      </c>
      <c r="B63" s="9"/>
      <c r="C63" s="13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8" t="s">
        <v>23</v>
      </c>
      <c r="B65" s="9"/>
      <c r="C65" s="10"/>
      <c r="D65" s="11">
        <f t="shared" si="0"/>
        <v>0</v>
      </c>
    </row>
    <row r="66" spans="1:4" ht="18" hidden="1" x14ac:dyDescent="0.35">
      <c r="A66" s="8" t="s">
        <v>26</v>
      </c>
      <c r="B66" s="9"/>
      <c r="C66" s="10"/>
      <c r="D66" s="11">
        <f t="shared" si="0"/>
        <v>0</v>
      </c>
    </row>
    <row r="67" spans="1:4" ht="18" hidden="1" x14ac:dyDescent="0.35">
      <c r="A67" s="14" t="s">
        <v>59</v>
      </c>
      <c r="B67" s="9"/>
      <c r="C67" s="10"/>
      <c r="D67" s="11">
        <f t="shared" si="0"/>
        <v>0</v>
      </c>
    </row>
    <row r="68" spans="1:4" ht="18" hidden="1" x14ac:dyDescent="0.35">
      <c r="A68" s="18" t="s">
        <v>63</v>
      </c>
      <c r="B68" s="9"/>
      <c r="C68" s="10">
        <v>10000</v>
      </c>
      <c r="D68" s="11">
        <f t="shared" si="0"/>
        <v>0</v>
      </c>
    </row>
    <row r="69" spans="1:4" ht="18" hidden="1" x14ac:dyDescent="0.35">
      <c r="A69" s="18" t="s">
        <v>62</v>
      </c>
      <c r="B69" s="9"/>
      <c r="C69" s="19"/>
      <c r="D69" s="11">
        <f t="shared" ref="D69:D132" si="1">B69*C69</f>
        <v>0</v>
      </c>
    </row>
    <row r="70" spans="1:4" ht="18.75" x14ac:dyDescent="0.25">
      <c r="A70" s="14" t="s">
        <v>64</v>
      </c>
      <c r="B70" s="9">
        <v>12</v>
      </c>
      <c r="C70" s="10">
        <v>17000</v>
      </c>
      <c r="D70" s="11">
        <f t="shared" si="1"/>
        <v>204000</v>
      </c>
    </row>
    <row r="71" spans="1:4" ht="18" hidden="1" x14ac:dyDescent="0.35">
      <c r="A71" s="8" t="s">
        <v>9</v>
      </c>
      <c r="B71" s="9"/>
      <c r="C71" s="10"/>
      <c r="D71" s="11">
        <f t="shared" si="1"/>
        <v>0</v>
      </c>
    </row>
    <row r="72" spans="1:4" ht="18" hidden="1" x14ac:dyDescent="0.35">
      <c r="A72" s="8" t="s">
        <v>65</v>
      </c>
      <c r="B72" s="9"/>
      <c r="C72" s="12"/>
      <c r="D72" s="11">
        <f t="shared" si="1"/>
        <v>0</v>
      </c>
    </row>
    <row r="73" spans="1:4" ht="18" hidden="1" x14ac:dyDescent="0.35">
      <c r="A73" s="20" t="s">
        <v>150</v>
      </c>
      <c r="B73" s="9"/>
      <c r="C73" s="25"/>
      <c r="D73" s="11">
        <f t="shared" si="1"/>
        <v>0</v>
      </c>
    </row>
    <row r="74" spans="1:4" ht="18.75" x14ac:dyDescent="0.25">
      <c r="A74" s="36" t="s">
        <v>66</v>
      </c>
      <c r="B74" s="9">
        <v>60</v>
      </c>
      <c r="C74" s="10">
        <v>14000</v>
      </c>
      <c r="D74" s="11">
        <f t="shared" si="1"/>
        <v>840000</v>
      </c>
    </row>
    <row r="75" spans="1:4" ht="18" hidden="1" x14ac:dyDescent="0.35">
      <c r="A75" s="20" t="s">
        <v>68</v>
      </c>
      <c r="B75" s="9"/>
      <c r="C75" s="10"/>
      <c r="D75" s="11">
        <f t="shared" si="1"/>
        <v>0</v>
      </c>
    </row>
    <row r="76" spans="1:4" ht="18" hidden="1" x14ac:dyDescent="0.35">
      <c r="A76" s="8" t="s">
        <v>109</v>
      </c>
      <c r="B76" s="9"/>
      <c r="C76" s="12">
        <v>10000</v>
      </c>
      <c r="D76" s="11">
        <f t="shared" si="1"/>
        <v>0</v>
      </c>
    </row>
    <row r="77" spans="1:4" ht="18" hidden="1" x14ac:dyDescent="0.35">
      <c r="A77" s="14" t="s">
        <v>209</v>
      </c>
      <c r="B77" s="9"/>
      <c r="C77" s="10"/>
      <c r="D77" s="11">
        <f t="shared" si="1"/>
        <v>0</v>
      </c>
    </row>
    <row r="78" spans="1:4" ht="18" hidden="1" x14ac:dyDescent="0.35">
      <c r="A78" s="14" t="s">
        <v>100</v>
      </c>
      <c r="B78" s="9"/>
      <c r="C78" s="10"/>
      <c r="D78" s="11">
        <f t="shared" si="1"/>
        <v>0</v>
      </c>
    </row>
    <row r="79" spans="1:4" ht="18" hidden="1" x14ac:dyDescent="0.35">
      <c r="A79" s="14" t="s">
        <v>101</v>
      </c>
      <c r="B79" s="9"/>
      <c r="C79" s="10"/>
      <c r="D79" s="11">
        <f t="shared" si="1"/>
        <v>0</v>
      </c>
    </row>
    <row r="80" spans="1:4" ht="18" hidden="1" x14ac:dyDescent="0.35">
      <c r="A80" s="14" t="s">
        <v>102</v>
      </c>
      <c r="B80" s="21"/>
      <c r="C80" s="10"/>
      <c r="D80" s="11">
        <f t="shared" si="1"/>
        <v>0</v>
      </c>
    </row>
    <row r="81" spans="1:4" ht="18" hidden="1" x14ac:dyDescent="0.35">
      <c r="A81" s="14" t="s">
        <v>69</v>
      </c>
      <c r="B81" s="9"/>
      <c r="C81" s="15">
        <v>38000</v>
      </c>
      <c r="D81" s="11">
        <f t="shared" si="1"/>
        <v>0</v>
      </c>
    </row>
    <row r="82" spans="1:4" ht="18" hidden="1" x14ac:dyDescent="0.35">
      <c r="A82" s="14" t="s">
        <v>70</v>
      </c>
      <c r="B82" s="9"/>
      <c r="C82" s="15"/>
      <c r="D82" s="11">
        <f t="shared" si="1"/>
        <v>0</v>
      </c>
    </row>
    <row r="83" spans="1:4" ht="18" hidden="1" x14ac:dyDescent="0.35">
      <c r="A83" s="14" t="s">
        <v>71</v>
      </c>
      <c r="B83" s="9"/>
      <c r="C83" s="10"/>
      <c r="D83" s="11">
        <f t="shared" si="1"/>
        <v>0</v>
      </c>
    </row>
    <row r="84" spans="1:4" ht="18" hidden="1" x14ac:dyDescent="0.35">
      <c r="A84" s="8" t="s">
        <v>76</v>
      </c>
      <c r="B84" s="9"/>
      <c r="C84" s="10"/>
      <c r="D84" s="11">
        <f t="shared" si="1"/>
        <v>0</v>
      </c>
    </row>
    <row r="85" spans="1:4" ht="18" hidden="1" x14ac:dyDescent="0.35">
      <c r="A85" s="8" t="s">
        <v>72</v>
      </c>
      <c r="B85" s="9"/>
      <c r="C85" s="12"/>
      <c r="D85" s="11">
        <f t="shared" si="1"/>
        <v>0</v>
      </c>
    </row>
    <row r="86" spans="1:4" ht="18" hidden="1" x14ac:dyDescent="0.35">
      <c r="A86" s="8" t="s">
        <v>98</v>
      </c>
      <c r="B86" s="9"/>
      <c r="C86" s="10"/>
      <c r="D86" s="11">
        <f t="shared" si="1"/>
        <v>0</v>
      </c>
    </row>
    <row r="87" spans="1:4" ht="18" hidden="1" x14ac:dyDescent="0.35">
      <c r="A87" s="14" t="s">
        <v>151</v>
      </c>
      <c r="B87" s="9"/>
      <c r="C87" s="10"/>
      <c r="D87" s="11">
        <f t="shared" si="1"/>
        <v>0</v>
      </c>
    </row>
    <row r="88" spans="1:4" ht="18" hidden="1" x14ac:dyDescent="0.35">
      <c r="A88" s="14" t="s">
        <v>152</v>
      </c>
      <c r="B88" s="9"/>
      <c r="C88" s="10"/>
      <c r="D88" s="11">
        <f t="shared" si="1"/>
        <v>0</v>
      </c>
    </row>
    <row r="89" spans="1:4" ht="18" hidden="1" x14ac:dyDescent="0.35">
      <c r="A89" s="8" t="s">
        <v>153</v>
      </c>
      <c r="B89" s="9"/>
      <c r="C89" s="10"/>
      <c r="D89" s="11">
        <f t="shared" si="1"/>
        <v>0</v>
      </c>
    </row>
    <row r="90" spans="1:4" ht="18" hidden="1" x14ac:dyDescent="0.35">
      <c r="A90" s="8" t="s">
        <v>154</v>
      </c>
      <c r="B90" s="9"/>
      <c r="C90" s="10"/>
      <c r="D90" s="11">
        <f t="shared" si="1"/>
        <v>0</v>
      </c>
    </row>
    <row r="91" spans="1:4" ht="18" hidden="1" x14ac:dyDescent="0.35">
      <c r="A91" s="8" t="s">
        <v>80</v>
      </c>
      <c r="B91" s="9"/>
      <c r="C91" s="10"/>
      <c r="D91" s="11">
        <f t="shared" si="1"/>
        <v>0</v>
      </c>
    </row>
    <row r="92" spans="1:4" ht="18" hidden="1" x14ac:dyDescent="0.35">
      <c r="A92" s="8" t="s">
        <v>81</v>
      </c>
      <c r="B92" s="9"/>
      <c r="C92" s="13"/>
      <c r="D92" s="11">
        <f t="shared" si="1"/>
        <v>0</v>
      </c>
    </row>
    <row r="93" spans="1:4" ht="18" hidden="1" x14ac:dyDescent="0.35">
      <c r="A93" s="8" t="s">
        <v>82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83</v>
      </c>
      <c r="B94" s="9"/>
      <c r="C94" s="10"/>
      <c r="D94" s="11">
        <f t="shared" si="1"/>
        <v>0</v>
      </c>
    </row>
    <row r="95" spans="1:4" ht="18" hidden="1" x14ac:dyDescent="0.35">
      <c r="A95" s="8" t="s">
        <v>84</v>
      </c>
      <c r="B95" s="9"/>
      <c r="C95" s="10">
        <v>50000</v>
      </c>
      <c r="D95" s="11">
        <f t="shared" si="1"/>
        <v>0</v>
      </c>
    </row>
    <row r="96" spans="1:4" ht="18" hidden="1" x14ac:dyDescent="0.35">
      <c r="A96" s="8" t="s">
        <v>78</v>
      </c>
      <c r="B96" s="9"/>
      <c r="C96" s="12"/>
      <c r="D96" s="11">
        <f t="shared" si="1"/>
        <v>0</v>
      </c>
    </row>
    <row r="97" spans="1:4" ht="18" hidden="1" x14ac:dyDescent="0.35">
      <c r="A97" s="8" t="s">
        <v>86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103</v>
      </c>
      <c r="B98" s="9"/>
      <c r="C98" s="10"/>
      <c r="D98" s="11">
        <f t="shared" si="1"/>
        <v>0</v>
      </c>
    </row>
    <row r="99" spans="1:4" ht="18" hidden="1" x14ac:dyDescent="0.35">
      <c r="A99" s="8" t="s">
        <v>104</v>
      </c>
      <c r="B99" s="9"/>
      <c r="C99" s="12"/>
      <c r="D99" s="11">
        <f t="shared" si="1"/>
        <v>0</v>
      </c>
    </row>
    <row r="100" spans="1:4" ht="18" hidden="1" x14ac:dyDescent="0.35">
      <c r="A100" s="8" t="s">
        <v>79</v>
      </c>
      <c r="B100" s="9"/>
      <c r="C100" s="13"/>
      <c r="D100" s="11">
        <f t="shared" si="1"/>
        <v>0</v>
      </c>
    </row>
    <row r="101" spans="1:4" ht="18" hidden="1" x14ac:dyDescent="0.35">
      <c r="A101" s="8" t="s">
        <v>88</v>
      </c>
      <c r="B101" s="9"/>
      <c r="C101" s="10">
        <v>45000</v>
      </c>
      <c r="D101" s="11">
        <f t="shared" si="1"/>
        <v>0</v>
      </c>
    </row>
    <row r="102" spans="1:4" ht="18" hidden="1" x14ac:dyDescent="0.35">
      <c r="A102" s="8" t="s">
        <v>85</v>
      </c>
      <c r="B102" s="9"/>
      <c r="C102" s="10"/>
      <c r="D102" s="11">
        <f t="shared" si="1"/>
        <v>0</v>
      </c>
    </row>
    <row r="103" spans="1:4" ht="18" hidden="1" x14ac:dyDescent="0.35">
      <c r="A103" s="8" t="s">
        <v>87</v>
      </c>
      <c r="B103" s="9"/>
      <c r="C103" s="12"/>
      <c r="D103" s="11">
        <f t="shared" si="1"/>
        <v>0</v>
      </c>
    </row>
    <row r="104" spans="1:4" ht="18" hidden="1" x14ac:dyDescent="0.35">
      <c r="A104" s="8" t="s">
        <v>89</v>
      </c>
      <c r="B104" s="9"/>
      <c r="C104" s="12"/>
      <c r="D104" s="11">
        <f t="shared" si="1"/>
        <v>0</v>
      </c>
    </row>
    <row r="105" spans="1:4" ht="18" hidden="1" x14ac:dyDescent="0.35">
      <c r="A105" s="8" t="s">
        <v>147</v>
      </c>
      <c r="B105" s="9"/>
      <c r="C105" s="12"/>
      <c r="D105" s="11">
        <f t="shared" si="1"/>
        <v>0</v>
      </c>
    </row>
    <row r="106" spans="1:4" ht="18" hidden="1" x14ac:dyDescent="0.35">
      <c r="A106" s="8" t="s">
        <v>97</v>
      </c>
      <c r="B106" s="9"/>
      <c r="C106" s="10"/>
      <c r="D106" s="11">
        <f t="shared" si="1"/>
        <v>0</v>
      </c>
    </row>
    <row r="107" spans="1:4" ht="18.75" x14ac:dyDescent="0.25">
      <c r="A107" s="8" t="s">
        <v>110</v>
      </c>
      <c r="B107" s="9">
        <v>7</v>
      </c>
      <c r="C107" s="10">
        <v>10000</v>
      </c>
      <c r="D107" s="11">
        <f t="shared" si="1"/>
        <v>70000</v>
      </c>
    </row>
    <row r="108" spans="1:4" ht="18" hidden="1" x14ac:dyDescent="0.35">
      <c r="A108" s="8" t="s">
        <v>95</v>
      </c>
      <c r="B108" s="9"/>
      <c r="C108" s="12">
        <v>12000</v>
      </c>
      <c r="D108" s="11">
        <f t="shared" si="1"/>
        <v>0</v>
      </c>
    </row>
    <row r="109" spans="1:4" ht="18.75" x14ac:dyDescent="0.25">
      <c r="A109" s="14" t="s">
        <v>112</v>
      </c>
      <c r="B109" s="9">
        <v>20</v>
      </c>
      <c r="C109" s="10">
        <v>20000</v>
      </c>
      <c r="D109" s="11">
        <f t="shared" si="1"/>
        <v>400000</v>
      </c>
    </row>
    <row r="110" spans="1:4" ht="18" hidden="1" x14ac:dyDescent="0.35">
      <c r="A110" s="8" t="s">
        <v>90</v>
      </c>
      <c r="B110" s="9"/>
      <c r="C110" s="10">
        <v>50000</v>
      </c>
      <c r="D110" s="11">
        <f t="shared" si="1"/>
        <v>0</v>
      </c>
    </row>
    <row r="111" spans="1:4" ht="18" hidden="1" x14ac:dyDescent="0.35">
      <c r="A111" s="8" t="s">
        <v>105</v>
      </c>
      <c r="B111" s="9"/>
      <c r="C111" s="10"/>
      <c r="D111" s="11">
        <f t="shared" si="1"/>
        <v>0</v>
      </c>
    </row>
    <row r="112" spans="1:4" ht="18.75" x14ac:dyDescent="0.25">
      <c r="A112" s="14" t="s">
        <v>113</v>
      </c>
      <c r="B112" s="9">
        <v>220</v>
      </c>
      <c r="C112" s="10">
        <v>16000</v>
      </c>
      <c r="D112" s="11">
        <f t="shared" si="1"/>
        <v>3520000</v>
      </c>
    </row>
    <row r="113" spans="1:4" ht="18.75" x14ac:dyDescent="0.25">
      <c r="A113" s="8" t="s">
        <v>114</v>
      </c>
      <c r="B113" s="9">
        <v>7</v>
      </c>
      <c r="C113" s="12">
        <v>15000</v>
      </c>
      <c r="D113" s="11">
        <f t="shared" si="1"/>
        <v>105000</v>
      </c>
    </row>
    <row r="114" spans="1:4" ht="18" hidden="1" x14ac:dyDescent="0.35">
      <c r="A114" s="8" t="s">
        <v>120</v>
      </c>
      <c r="B114" s="9"/>
      <c r="C114" s="10">
        <v>15000</v>
      </c>
      <c r="D114" s="11">
        <f t="shared" si="1"/>
        <v>0</v>
      </c>
    </row>
    <row r="115" spans="1:4" ht="18.75" x14ac:dyDescent="0.25">
      <c r="A115" s="8" t="s">
        <v>121</v>
      </c>
      <c r="B115" s="9">
        <f>2+9+13</f>
        <v>24</v>
      </c>
      <c r="C115" s="13">
        <v>20000</v>
      </c>
      <c r="D115" s="11">
        <f t="shared" si="1"/>
        <v>480000</v>
      </c>
    </row>
    <row r="116" spans="1:4" ht="18" hidden="1" x14ac:dyDescent="0.35">
      <c r="A116" s="8" t="s">
        <v>122</v>
      </c>
      <c r="B116" s="9"/>
      <c r="C116" s="12">
        <v>17000</v>
      </c>
      <c r="D116" s="11">
        <f t="shared" si="1"/>
        <v>0</v>
      </c>
    </row>
    <row r="117" spans="1:4" ht="18" hidden="1" x14ac:dyDescent="0.35">
      <c r="A117" s="8" t="s">
        <v>210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132</v>
      </c>
      <c r="B118" s="9"/>
      <c r="C118" s="10"/>
      <c r="D118" s="11">
        <f t="shared" si="1"/>
        <v>0</v>
      </c>
    </row>
    <row r="119" spans="1:4" ht="18" hidden="1" x14ac:dyDescent="0.35">
      <c r="A119" s="18" t="s">
        <v>125</v>
      </c>
      <c r="B119" s="9"/>
      <c r="C119" s="12"/>
      <c r="D119" s="11">
        <f t="shared" si="1"/>
        <v>0</v>
      </c>
    </row>
    <row r="120" spans="1:4" ht="18" hidden="1" x14ac:dyDescent="0.35">
      <c r="A120" s="8" t="s">
        <v>24</v>
      </c>
      <c r="B120" s="9"/>
      <c r="C120" s="10"/>
      <c r="D120" s="11">
        <f t="shared" si="1"/>
        <v>0</v>
      </c>
    </row>
    <row r="121" spans="1:4" ht="18" hidden="1" x14ac:dyDescent="0.35">
      <c r="A121" s="8" t="s">
        <v>128</v>
      </c>
      <c r="B121" s="9"/>
      <c r="C121" s="10"/>
      <c r="D121" s="11">
        <f t="shared" si="1"/>
        <v>0</v>
      </c>
    </row>
    <row r="122" spans="1:4" ht="18" hidden="1" x14ac:dyDescent="0.35">
      <c r="A122" s="14" t="s">
        <v>129</v>
      </c>
      <c r="B122" s="9"/>
      <c r="C122" s="10"/>
      <c r="D122" s="11">
        <f t="shared" si="1"/>
        <v>0</v>
      </c>
    </row>
    <row r="123" spans="1:4" ht="18" hidden="1" x14ac:dyDescent="0.35">
      <c r="A123" s="8" t="s">
        <v>130</v>
      </c>
      <c r="B123" s="9"/>
      <c r="C123" s="12">
        <v>15000</v>
      </c>
      <c r="D123" s="11">
        <f t="shared" si="1"/>
        <v>0</v>
      </c>
    </row>
    <row r="124" spans="1:4" ht="18" hidden="1" x14ac:dyDescent="0.35">
      <c r="A124" s="8" t="s">
        <v>131</v>
      </c>
      <c r="B124" s="9"/>
      <c r="C124" s="12"/>
      <c r="D124" s="11">
        <f t="shared" si="1"/>
        <v>0</v>
      </c>
    </row>
    <row r="125" spans="1:4" ht="18" hidden="1" x14ac:dyDescent="0.35">
      <c r="A125" s="14" t="s">
        <v>115</v>
      </c>
      <c r="B125" s="9"/>
      <c r="C125" s="10"/>
      <c r="D125" s="11">
        <f t="shared" si="1"/>
        <v>0</v>
      </c>
    </row>
    <row r="126" spans="1:4" ht="18" hidden="1" x14ac:dyDescent="0.35">
      <c r="A126" s="14" t="s">
        <v>116</v>
      </c>
      <c r="B126" s="9"/>
      <c r="C126" s="12"/>
      <c r="D126" s="11">
        <f t="shared" si="1"/>
        <v>0</v>
      </c>
    </row>
    <row r="127" spans="1:4" ht="18" hidden="1" x14ac:dyDescent="0.35">
      <c r="A127" s="8" t="s">
        <v>67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117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25</v>
      </c>
      <c r="B129" s="9"/>
      <c r="C129" s="13"/>
      <c r="D129" s="11">
        <f t="shared" si="1"/>
        <v>0</v>
      </c>
    </row>
    <row r="130" spans="1:4" ht="18" hidden="1" x14ac:dyDescent="0.35">
      <c r="A130" s="8" t="s">
        <v>133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33</v>
      </c>
      <c r="B132" s="9"/>
      <c r="C132" s="13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14" t="s">
        <v>40</v>
      </c>
      <c r="B134" s="9"/>
      <c r="C134" s="10"/>
      <c r="D134" s="11">
        <f t="shared" si="2"/>
        <v>0</v>
      </c>
    </row>
    <row r="135" spans="1:4" ht="18" hidden="1" x14ac:dyDescent="0.35">
      <c r="A135" s="8" t="s">
        <v>41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136</v>
      </c>
      <c r="B136" s="9"/>
      <c r="C136" s="10"/>
      <c r="D136" s="11">
        <f t="shared" si="2"/>
        <v>0</v>
      </c>
    </row>
    <row r="137" spans="1:4" ht="18.75" x14ac:dyDescent="0.25">
      <c r="A137" s="14" t="s">
        <v>141</v>
      </c>
      <c r="B137" s="9">
        <v>16</v>
      </c>
      <c r="C137" s="10">
        <v>11000</v>
      </c>
      <c r="D137" s="11">
        <f t="shared" si="2"/>
        <v>176000</v>
      </c>
    </row>
    <row r="138" spans="1:4" ht="18" hidden="1" x14ac:dyDescent="0.35">
      <c r="A138" s="16" t="s">
        <v>43</v>
      </c>
      <c r="B138" s="9"/>
      <c r="C138" s="10"/>
      <c r="D138" s="11">
        <f t="shared" si="2"/>
        <v>0</v>
      </c>
    </row>
    <row r="139" spans="1:4" ht="18" hidden="1" x14ac:dyDescent="0.35">
      <c r="A139" s="8" t="s">
        <v>211</v>
      </c>
      <c r="B139" s="9"/>
      <c r="C139" s="13"/>
      <c r="D139" s="11">
        <f t="shared" si="2"/>
        <v>0</v>
      </c>
    </row>
    <row r="140" spans="1:4" ht="18" hidden="1" x14ac:dyDescent="0.35">
      <c r="A140" s="8" t="s">
        <v>155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143</v>
      </c>
      <c r="B141" s="9"/>
      <c r="C141" s="13"/>
      <c r="D141" s="11">
        <f t="shared" si="2"/>
        <v>0</v>
      </c>
    </row>
    <row r="142" spans="1:4" ht="18" hidden="1" x14ac:dyDescent="0.35">
      <c r="A142" s="22" t="s">
        <v>108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201</v>
      </c>
      <c r="B145" s="9"/>
      <c r="C145" s="19"/>
      <c r="D145" s="11">
        <f t="shared" si="2"/>
        <v>0</v>
      </c>
    </row>
    <row r="146" spans="1:4" ht="18" hidden="1" x14ac:dyDescent="0.35">
      <c r="A146" s="8" t="s">
        <v>146</v>
      </c>
      <c r="B146" s="9"/>
      <c r="C146" s="12"/>
      <c r="D146" s="11">
        <f t="shared" si="2"/>
        <v>0</v>
      </c>
    </row>
    <row r="147" spans="1:4" ht="18.75" x14ac:dyDescent="0.25">
      <c r="A147" s="8" t="s">
        <v>149</v>
      </c>
      <c r="B147" s="9">
        <v>4</v>
      </c>
      <c r="C147" s="10">
        <v>18000</v>
      </c>
      <c r="D147" s="11">
        <f t="shared" si="2"/>
        <v>72000</v>
      </c>
    </row>
    <row r="148" spans="1:4" ht="18" hidden="1" x14ac:dyDescent="0.35">
      <c r="A148" s="8" t="s">
        <v>167</v>
      </c>
      <c r="B148" s="9"/>
      <c r="C148" s="10"/>
      <c r="D148" s="11">
        <f t="shared" si="2"/>
        <v>0</v>
      </c>
    </row>
    <row r="149" spans="1:4" ht="18.75" x14ac:dyDescent="0.25">
      <c r="A149" s="8" t="s">
        <v>156</v>
      </c>
      <c r="B149" s="9">
        <v>9</v>
      </c>
      <c r="C149" s="10">
        <v>40000</v>
      </c>
      <c r="D149" s="11">
        <f t="shared" si="2"/>
        <v>360000</v>
      </c>
    </row>
    <row r="150" spans="1:4" ht="18" hidden="1" x14ac:dyDescent="0.35">
      <c r="A150" s="8" t="s">
        <v>157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158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135</v>
      </c>
      <c r="B152" s="9"/>
      <c r="C152" s="19"/>
      <c r="D152" s="11">
        <f t="shared" si="2"/>
        <v>0</v>
      </c>
    </row>
    <row r="153" spans="1:4" ht="18" hidden="1" x14ac:dyDescent="0.35">
      <c r="A153" s="24" t="s">
        <v>148</v>
      </c>
      <c r="B153" s="9"/>
      <c r="C153" s="12"/>
      <c r="D153" s="11">
        <f t="shared" si="2"/>
        <v>0</v>
      </c>
    </row>
    <row r="154" spans="1:4" ht="18" hidden="1" x14ac:dyDescent="0.35">
      <c r="A154" s="8" t="s">
        <v>161</v>
      </c>
      <c r="B154" s="9"/>
      <c r="C154" s="10">
        <v>32000</v>
      </c>
      <c r="D154" s="11">
        <f t="shared" si="2"/>
        <v>0</v>
      </c>
    </row>
    <row r="155" spans="1:4" ht="18" hidden="1" x14ac:dyDescent="0.35">
      <c r="A155" s="8" t="s">
        <v>35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77</v>
      </c>
      <c r="B156" s="9"/>
      <c r="C156" s="13"/>
      <c r="D156" s="11">
        <f t="shared" si="2"/>
        <v>0</v>
      </c>
    </row>
    <row r="157" spans="1:4" ht="18" hidden="1" x14ac:dyDescent="0.35">
      <c r="A157" s="8" t="s">
        <v>118</v>
      </c>
      <c r="B157" s="9"/>
      <c r="C157" s="12"/>
      <c r="D157" s="11">
        <f t="shared" si="2"/>
        <v>0</v>
      </c>
    </row>
    <row r="158" spans="1:4" ht="18" hidden="1" x14ac:dyDescent="0.35">
      <c r="A158" s="8" t="s">
        <v>106</v>
      </c>
      <c r="B158" s="9"/>
      <c r="C158" s="10"/>
      <c r="D158" s="11">
        <f t="shared" si="2"/>
        <v>0</v>
      </c>
    </row>
    <row r="159" spans="1:4" ht="18.75" x14ac:dyDescent="0.25">
      <c r="A159" s="8" t="s">
        <v>165</v>
      </c>
      <c r="B159" s="9">
        <v>90</v>
      </c>
      <c r="C159" s="10">
        <v>23000</v>
      </c>
      <c r="D159" s="11">
        <f t="shared" si="2"/>
        <v>2070000</v>
      </c>
    </row>
    <row r="160" spans="1:4" ht="18.75" x14ac:dyDescent="0.25">
      <c r="A160" s="26" t="s">
        <v>166</v>
      </c>
      <c r="B160" s="9">
        <v>100</v>
      </c>
      <c r="C160" s="10">
        <v>15000</v>
      </c>
      <c r="D160" s="11">
        <f t="shared" si="2"/>
        <v>1500000</v>
      </c>
    </row>
    <row r="161" spans="1:4" ht="18" hidden="1" x14ac:dyDescent="0.35">
      <c r="A161" s="8" t="s">
        <v>12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168</v>
      </c>
      <c r="B162" s="9"/>
      <c r="C162" s="12"/>
      <c r="D162" s="11">
        <f t="shared" si="2"/>
        <v>0</v>
      </c>
    </row>
    <row r="163" spans="1:4" ht="18" hidden="1" x14ac:dyDescent="0.35">
      <c r="A163" s="8" t="s">
        <v>212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170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137</v>
      </c>
      <c r="B165" s="9"/>
      <c r="C165" s="13"/>
      <c r="D165" s="11">
        <f t="shared" si="2"/>
        <v>0</v>
      </c>
    </row>
    <row r="166" spans="1:4" ht="18.75" x14ac:dyDescent="0.25">
      <c r="A166" s="8" t="s">
        <v>169</v>
      </c>
      <c r="B166" s="9">
        <f>115+8</f>
        <v>123</v>
      </c>
      <c r="C166" s="10">
        <v>13000</v>
      </c>
      <c r="D166" s="11">
        <f t="shared" si="2"/>
        <v>1599000</v>
      </c>
    </row>
    <row r="167" spans="1:4" ht="18" hidden="1" x14ac:dyDescent="0.35">
      <c r="A167" s="8" t="s">
        <v>15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171</v>
      </c>
      <c r="B168" s="9"/>
      <c r="C168" s="13"/>
      <c r="D168" s="11">
        <f t="shared" si="2"/>
        <v>0</v>
      </c>
    </row>
    <row r="169" spans="1:4" ht="18" hidden="1" x14ac:dyDescent="0.35">
      <c r="A169" s="8" t="s">
        <v>213</v>
      </c>
      <c r="B169" s="9"/>
      <c r="C169" s="13"/>
      <c r="D169" s="11">
        <f t="shared" si="2"/>
        <v>0</v>
      </c>
    </row>
    <row r="170" spans="1:4" ht="18" hidden="1" x14ac:dyDescent="0.35">
      <c r="A170" s="8" t="s">
        <v>172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18</v>
      </c>
      <c r="B171" s="9"/>
      <c r="C171" s="10"/>
      <c r="D171" s="11">
        <f t="shared" si="2"/>
        <v>0</v>
      </c>
    </row>
    <row r="172" spans="1:4" ht="18" hidden="1" x14ac:dyDescent="0.35">
      <c r="A172" s="27" t="s">
        <v>178</v>
      </c>
      <c r="B172" s="9"/>
      <c r="C172" s="12"/>
      <c r="D172" s="11">
        <f t="shared" si="2"/>
        <v>0</v>
      </c>
    </row>
    <row r="173" spans="1:4" ht="18" hidden="1" x14ac:dyDescent="0.35">
      <c r="A173" s="8" t="s">
        <v>214</v>
      </c>
      <c r="B173" s="9"/>
      <c r="C173" s="13"/>
      <c r="D173" s="11">
        <f t="shared" si="2"/>
        <v>0</v>
      </c>
    </row>
    <row r="174" spans="1:4" ht="18" hidden="1" x14ac:dyDescent="0.35">
      <c r="A174" s="27" t="s">
        <v>179</v>
      </c>
      <c r="B174" s="9"/>
      <c r="C174" s="13">
        <v>25000</v>
      </c>
      <c r="D174" s="11">
        <f t="shared" si="2"/>
        <v>0</v>
      </c>
    </row>
    <row r="175" spans="1:4" ht="18" hidden="1" x14ac:dyDescent="0.35">
      <c r="A175" s="8" t="s">
        <v>92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159</v>
      </c>
      <c r="B176" s="9"/>
      <c r="C176" s="10"/>
      <c r="D176" s="11">
        <f t="shared" si="2"/>
        <v>0</v>
      </c>
    </row>
    <row r="177" spans="1:4" ht="18" hidden="1" x14ac:dyDescent="0.35">
      <c r="A177" s="8" t="s">
        <v>160</v>
      </c>
      <c r="B177" s="9"/>
      <c r="C177" s="10"/>
      <c r="D177" s="11">
        <f t="shared" si="2"/>
        <v>0</v>
      </c>
    </row>
    <row r="178" spans="1:4" ht="18" hidden="1" x14ac:dyDescent="0.35">
      <c r="A178" s="8" t="s">
        <v>93</v>
      </c>
      <c r="B178" s="9"/>
      <c r="C178" s="10"/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8" t="s">
        <v>183</v>
      </c>
      <c r="B180" s="9"/>
      <c r="C180" s="13">
        <v>6100</v>
      </c>
      <c r="D180" s="11">
        <f t="shared" si="2"/>
        <v>0</v>
      </c>
    </row>
    <row r="181" spans="1:4" ht="18" hidden="1" x14ac:dyDescent="0.35">
      <c r="A181" s="8" t="s">
        <v>184</v>
      </c>
      <c r="B181" s="9"/>
      <c r="C181" s="13"/>
      <c r="D181" s="11">
        <f t="shared" si="2"/>
        <v>0</v>
      </c>
    </row>
    <row r="182" spans="1:4" ht="18" hidden="1" x14ac:dyDescent="0.35">
      <c r="A182" s="8" t="s">
        <v>185</v>
      </c>
      <c r="B182" s="9"/>
      <c r="C182" s="13">
        <v>23000</v>
      </c>
      <c r="D182" s="11">
        <f t="shared" si="2"/>
        <v>0</v>
      </c>
    </row>
    <row r="183" spans="1:4" ht="18" hidden="1" x14ac:dyDescent="0.35">
      <c r="A183" s="8" t="s">
        <v>188</v>
      </c>
      <c r="B183" s="9"/>
      <c r="C183" s="10"/>
      <c r="D183" s="11">
        <f t="shared" si="2"/>
        <v>0</v>
      </c>
    </row>
    <row r="184" spans="1:4" ht="18" hidden="1" x14ac:dyDescent="0.35">
      <c r="A184" s="8" t="s">
        <v>189</v>
      </c>
      <c r="B184" s="9"/>
      <c r="C184" s="13"/>
      <c r="D184" s="11">
        <f t="shared" si="2"/>
        <v>0</v>
      </c>
    </row>
    <row r="185" spans="1:4" ht="18" hidden="1" x14ac:dyDescent="0.35">
      <c r="A185" s="8" t="s">
        <v>192</v>
      </c>
      <c r="B185" s="9"/>
      <c r="C185" s="13"/>
      <c r="D185" s="11">
        <f t="shared" si="2"/>
        <v>0</v>
      </c>
    </row>
    <row r="186" spans="1:4" ht="18" hidden="1" x14ac:dyDescent="0.35">
      <c r="A186" s="8" t="s">
        <v>194</v>
      </c>
      <c r="B186" s="9"/>
      <c r="C186" s="10"/>
      <c r="D186" s="11">
        <f t="shared" si="2"/>
        <v>0</v>
      </c>
    </row>
    <row r="187" spans="1:4" ht="18" hidden="1" x14ac:dyDescent="0.35">
      <c r="A187" s="8" t="s">
        <v>45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195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162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163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164</v>
      </c>
      <c r="B191" s="9"/>
      <c r="C191" s="15"/>
      <c r="D191" s="11">
        <f t="shared" si="2"/>
        <v>0</v>
      </c>
    </row>
    <row r="192" spans="1:4" ht="18" hidden="1" x14ac:dyDescent="0.35">
      <c r="A192" s="8" t="s">
        <v>94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196</v>
      </c>
      <c r="B193" s="9"/>
      <c r="C193" s="12"/>
      <c r="D193" s="11">
        <f t="shared" si="2"/>
        <v>0</v>
      </c>
    </row>
    <row r="194" spans="1:4" ht="18" hidden="1" x14ac:dyDescent="0.35">
      <c r="A194" s="8" t="s">
        <v>138</v>
      </c>
      <c r="B194" s="9"/>
      <c r="C194" s="13">
        <v>25000</v>
      </c>
      <c r="D194" s="11">
        <f t="shared" si="2"/>
        <v>0</v>
      </c>
    </row>
    <row r="195" spans="1:4" ht="18.75" x14ac:dyDescent="0.25">
      <c r="A195" s="14" t="s">
        <v>197</v>
      </c>
      <c r="B195" s="9">
        <v>1</v>
      </c>
      <c r="C195" s="10">
        <v>12000</v>
      </c>
      <c r="D195" s="11">
        <f t="shared" si="2"/>
        <v>12000</v>
      </c>
    </row>
    <row r="196" spans="1:4" ht="18" hidden="1" x14ac:dyDescent="0.35">
      <c r="A196" s="8" t="s">
        <v>198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173</v>
      </c>
      <c r="B197" s="9"/>
      <c r="C197" s="13">
        <v>25000</v>
      </c>
      <c r="D197" s="11">
        <f t="shared" ref="D197:D213" si="3">B197*C197</f>
        <v>0</v>
      </c>
    </row>
    <row r="198" spans="1:4" ht="18" hidden="1" x14ac:dyDescent="0.35">
      <c r="A198" s="8" t="s">
        <v>174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175</v>
      </c>
      <c r="B199" s="9"/>
      <c r="C199" s="13"/>
      <c r="D199" s="11">
        <f t="shared" si="3"/>
        <v>0</v>
      </c>
    </row>
    <row r="200" spans="1:4" ht="18" hidden="1" x14ac:dyDescent="0.35">
      <c r="A200" s="8" t="s">
        <v>60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176</v>
      </c>
      <c r="B201" s="9"/>
      <c r="C201" s="13"/>
      <c r="D201" s="11">
        <f t="shared" si="3"/>
        <v>0</v>
      </c>
    </row>
    <row r="202" spans="1:4" ht="18" hidden="1" x14ac:dyDescent="0.35">
      <c r="A202" s="8" t="s">
        <v>177</v>
      </c>
      <c r="B202" s="9"/>
      <c r="C202" s="12"/>
      <c r="D202" s="11">
        <f t="shared" si="3"/>
        <v>0</v>
      </c>
    </row>
    <row r="203" spans="1:4" ht="18" hidden="1" x14ac:dyDescent="0.35">
      <c r="A203" s="8" t="s">
        <v>199</v>
      </c>
      <c r="B203" s="9"/>
      <c r="C203" s="12">
        <v>40000</v>
      </c>
      <c r="D203" s="11">
        <f t="shared" si="3"/>
        <v>0</v>
      </c>
    </row>
    <row r="204" spans="1:4" ht="18" hidden="1" x14ac:dyDescent="0.35">
      <c r="A204" s="8" t="s">
        <v>200</v>
      </c>
      <c r="B204" s="9"/>
      <c r="C204" s="12"/>
      <c r="D204" s="11">
        <f t="shared" si="3"/>
        <v>0</v>
      </c>
    </row>
    <row r="205" spans="1:4" ht="18" hidden="1" x14ac:dyDescent="0.35">
      <c r="A205" s="8" t="s">
        <v>202</v>
      </c>
      <c r="B205" s="9"/>
      <c r="C205" s="12">
        <v>23000</v>
      </c>
      <c r="D205" s="11">
        <f t="shared" si="3"/>
        <v>0</v>
      </c>
    </row>
    <row r="206" spans="1:4" ht="18" hidden="1" x14ac:dyDescent="0.35">
      <c r="A206" s="27" t="s">
        <v>181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182</v>
      </c>
      <c r="B207" s="9"/>
      <c r="C207" s="12"/>
      <c r="D207" s="11">
        <f t="shared" si="3"/>
        <v>0</v>
      </c>
    </row>
    <row r="208" spans="1:4" ht="18" hidden="1" x14ac:dyDescent="0.35">
      <c r="A208" s="8" t="s">
        <v>61</v>
      </c>
      <c r="B208" s="17"/>
      <c r="C208" s="10"/>
      <c r="D208" s="11">
        <f t="shared" si="3"/>
        <v>0</v>
      </c>
    </row>
    <row r="209" spans="1:4" ht="18" hidden="1" x14ac:dyDescent="0.35">
      <c r="A209" s="8" t="s">
        <v>203</v>
      </c>
      <c r="B209" s="9"/>
      <c r="C209" s="12"/>
      <c r="D209" s="11">
        <f t="shared" si="3"/>
        <v>0</v>
      </c>
    </row>
    <row r="210" spans="1:4" ht="18.75" x14ac:dyDescent="0.25">
      <c r="A210" s="8" t="s">
        <v>204</v>
      </c>
      <c r="B210" s="9">
        <f>898+165</f>
        <v>1063</v>
      </c>
      <c r="C210" s="13">
        <v>8500</v>
      </c>
      <c r="D210" s="11">
        <f t="shared" si="3"/>
        <v>9035500</v>
      </c>
    </row>
    <row r="211" spans="1:4" ht="18.75" x14ac:dyDescent="0.25">
      <c r="A211" s="8" t="s">
        <v>205</v>
      </c>
      <c r="B211" s="9">
        <v>80</v>
      </c>
      <c r="C211" s="10">
        <v>9000</v>
      </c>
      <c r="D211" s="11">
        <f t="shared" si="3"/>
        <v>720000</v>
      </c>
    </row>
    <row r="212" spans="1:4" ht="18" hidden="1" x14ac:dyDescent="0.35">
      <c r="A212" s="8" t="s">
        <v>186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187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" si="4">SUM(B4:B213)</f>
        <v>2063</v>
      </c>
      <c r="C214" s="35"/>
      <c r="D214" s="35">
        <f>SUM(D4:D186)</f>
        <v>17164000</v>
      </c>
    </row>
  </sheetData>
  <protectedRanges>
    <protectedRange password="CC4C" sqref="C1:C213" name="tho5"/>
    <protectedRange password="CF71" sqref="B1 B3:B213" name="tho"/>
    <protectedRange password="CCD0" sqref="B2" name="tho3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0"/>
  <sheetViews>
    <sheetView workbookViewId="0">
      <selection activeCell="B2" sqref="B2"/>
    </sheetView>
  </sheetViews>
  <sheetFormatPr defaultRowHeight="15" x14ac:dyDescent="0.25"/>
  <cols>
    <col min="1" max="1" width="30.42578125" customWidth="1"/>
    <col min="3" max="3" width="12.7109375" customWidth="1"/>
    <col min="4" max="4" width="16.42578125" customWidth="1"/>
  </cols>
  <sheetData>
    <row r="1" spans="1:4" x14ac:dyDescent="0.25">
      <c r="A1" s="1" t="s">
        <v>218</v>
      </c>
      <c r="B1" s="2"/>
      <c r="C1" s="2"/>
      <c r="D1" s="3"/>
    </row>
    <row r="2" spans="1:4" ht="25.5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 t="shared" ref="D4:D67" si="0">B4*C4</f>
        <v>0</v>
      </c>
    </row>
    <row r="5" spans="1:4" ht="18" hidden="1" x14ac:dyDescent="0.35">
      <c r="A5" s="8"/>
      <c r="B5" s="9"/>
      <c r="C5" s="10">
        <v>19000</v>
      </c>
      <c r="D5" s="11">
        <f t="shared" si="0"/>
        <v>0</v>
      </c>
    </row>
    <row r="6" spans="1:4" ht="18" hidden="1" x14ac:dyDescent="0.35">
      <c r="A6" s="8" t="s">
        <v>6</v>
      </c>
      <c r="B6" s="9"/>
      <c r="C6" s="10">
        <v>24000</v>
      </c>
      <c r="D6" s="11">
        <f t="shared" si="0"/>
        <v>0</v>
      </c>
    </row>
    <row r="7" spans="1:4" ht="18" hidden="1" x14ac:dyDescent="0.35">
      <c r="A7" s="8"/>
      <c r="B7" s="9"/>
      <c r="C7" s="10">
        <v>20000</v>
      </c>
      <c r="D7" s="11">
        <f t="shared" si="0"/>
        <v>0</v>
      </c>
    </row>
    <row r="8" spans="1:4" ht="18" hidden="1" x14ac:dyDescent="0.35">
      <c r="A8" s="8" t="s">
        <v>7</v>
      </c>
      <c r="B8" s="9"/>
      <c r="C8" s="10"/>
      <c r="D8" s="11">
        <f t="shared" si="0"/>
        <v>0</v>
      </c>
    </row>
    <row r="9" spans="1:4" ht="18" hidden="1" x14ac:dyDescent="0.35">
      <c r="A9" s="8" t="s">
        <v>8</v>
      </c>
      <c r="B9" s="9"/>
      <c r="C9" s="12">
        <v>38000</v>
      </c>
      <c r="D9" s="11">
        <f t="shared" si="0"/>
        <v>0</v>
      </c>
    </row>
    <row r="10" spans="1:4" ht="18" hidden="1" x14ac:dyDescent="0.35">
      <c r="A10" s="8" t="s">
        <v>10</v>
      </c>
      <c r="B10" s="9"/>
      <c r="C10" s="10">
        <v>21000</v>
      </c>
      <c r="D10" s="11">
        <f t="shared" si="0"/>
        <v>0</v>
      </c>
    </row>
    <row r="11" spans="1:4" ht="18" hidden="1" x14ac:dyDescent="0.35">
      <c r="A11" s="8" t="s">
        <v>9</v>
      </c>
      <c r="B11" s="9"/>
      <c r="C11" s="10"/>
      <c r="D11" s="11">
        <f t="shared" si="0"/>
        <v>0</v>
      </c>
    </row>
    <row r="12" spans="1:4" ht="18.75" x14ac:dyDescent="0.25">
      <c r="A12" s="8" t="s">
        <v>11</v>
      </c>
      <c r="B12" s="9">
        <v>31</v>
      </c>
      <c r="C12" s="10">
        <v>36000</v>
      </c>
      <c r="D12" s="11">
        <f t="shared" si="0"/>
        <v>1116000</v>
      </c>
    </row>
    <row r="13" spans="1:4" ht="18" hidden="1" x14ac:dyDescent="0.35">
      <c r="A13" s="8" t="s">
        <v>13</v>
      </c>
      <c r="B13" s="9"/>
      <c r="C13" s="10"/>
      <c r="D13" s="11">
        <f t="shared" si="0"/>
        <v>0</v>
      </c>
    </row>
    <row r="14" spans="1:4" ht="18.75" x14ac:dyDescent="0.25">
      <c r="A14" s="8" t="s">
        <v>14</v>
      </c>
      <c r="B14" s="9">
        <v>4</v>
      </c>
      <c r="C14" s="12">
        <v>50000</v>
      </c>
      <c r="D14" s="11">
        <f t="shared" si="0"/>
        <v>200000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v>13</v>
      </c>
      <c r="C16" s="10">
        <v>20000</v>
      </c>
      <c r="D16" s="11">
        <f t="shared" si="0"/>
        <v>260000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12</v>
      </c>
      <c r="B18" s="9"/>
      <c r="C18" s="10"/>
      <c r="D18" s="11">
        <f t="shared" si="0"/>
        <v>0</v>
      </c>
    </row>
    <row r="19" spans="1:4" ht="18" hidden="1" x14ac:dyDescent="0.35">
      <c r="A19" s="8" t="s">
        <v>15</v>
      </c>
      <c r="B19" s="9"/>
      <c r="C19" s="12"/>
      <c r="D19" s="11">
        <f t="shared" si="0"/>
        <v>0</v>
      </c>
    </row>
    <row r="20" spans="1:4" ht="18" hidden="1" x14ac:dyDescent="0.35">
      <c r="A20" s="8" t="s">
        <v>18</v>
      </c>
      <c r="B20" s="9"/>
      <c r="C20" s="10"/>
      <c r="D20" s="11">
        <f t="shared" si="0"/>
        <v>0</v>
      </c>
    </row>
    <row r="21" spans="1:4" ht="18.75" x14ac:dyDescent="0.25">
      <c r="A21" s="8" t="s">
        <v>20</v>
      </c>
      <c r="B21" s="9">
        <v>3</v>
      </c>
      <c r="C21" s="13">
        <v>11000</v>
      </c>
      <c r="D21" s="11">
        <f t="shared" si="0"/>
        <v>33000</v>
      </c>
    </row>
    <row r="22" spans="1:4" ht="18" hidden="1" x14ac:dyDescent="0.35">
      <c r="A22" s="8"/>
      <c r="B22" s="9"/>
      <c r="C22" s="13">
        <v>10000</v>
      </c>
      <c r="D22" s="11">
        <f t="shared" si="0"/>
        <v>0</v>
      </c>
    </row>
    <row r="23" spans="1:4" ht="18" hidden="1" x14ac:dyDescent="0.35">
      <c r="A23" s="8"/>
      <c r="B23" s="9"/>
      <c r="C23" s="13">
        <v>9000</v>
      </c>
      <c r="D23" s="11">
        <f t="shared" si="0"/>
        <v>0</v>
      </c>
    </row>
    <row r="24" spans="1:4" ht="18" hidden="1" x14ac:dyDescent="0.35">
      <c r="A24" s="8" t="s">
        <v>21</v>
      </c>
      <c r="B24" s="9"/>
      <c r="C24" s="10"/>
      <c r="D24" s="11">
        <f t="shared" si="0"/>
        <v>0</v>
      </c>
    </row>
    <row r="25" spans="1:4" ht="18" hidden="1" x14ac:dyDescent="0.35">
      <c r="A25" s="8" t="s">
        <v>22</v>
      </c>
      <c r="B25" s="9"/>
      <c r="C25" s="10"/>
      <c r="D25" s="11">
        <f t="shared" si="0"/>
        <v>0</v>
      </c>
    </row>
    <row r="26" spans="1:4" ht="18" hidden="1" x14ac:dyDescent="0.35">
      <c r="A26" s="8" t="s">
        <v>23</v>
      </c>
      <c r="B26" s="9"/>
      <c r="C26" s="10"/>
      <c r="D26" s="11">
        <f t="shared" si="0"/>
        <v>0</v>
      </c>
    </row>
    <row r="27" spans="1:4" ht="18" hidden="1" x14ac:dyDescent="0.35">
      <c r="A27" s="8" t="s">
        <v>24</v>
      </c>
      <c r="B27" s="9"/>
      <c r="C27" s="10"/>
      <c r="D27" s="11">
        <f t="shared" si="0"/>
        <v>0</v>
      </c>
    </row>
    <row r="28" spans="1:4" ht="18" hidden="1" x14ac:dyDescent="0.35">
      <c r="A28" s="14" t="s">
        <v>25</v>
      </c>
      <c r="B28" s="9"/>
      <c r="C28" s="13"/>
      <c r="D28" s="11">
        <f t="shared" si="0"/>
        <v>0</v>
      </c>
    </row>
    <row r="29" spans="1:4" ht="18" hidden="1" x14ac:dyDescent="0.35">
      <c r="A29" s="8" t="s">
        <v>26</v>
      </c>
      <c r="B29" s="9"/>
      <c r="C29" s="10"/>
      <c r="D29" s="11">
        <f t="shared" si="0"/>
        <v>0</v>
      </c>
    </row>
    <row r="30" spans="1:4" ht="18" hidden="1" x14ac:dyDescent="0.35">
      <c r="A30" s="14" t="s">
        <v>29</v>
      </c>
      <c r="B30" s="9"/>
      <c r="C30" s="15"/>
      <c r="D30" s="11">
        <f t="shared" si="0"/>
        <v>0</v>
      </c>
    </row>
    <row r="31" spans="1:4" ht="18" hidden="1" x14ac:dyDescent="0.35">
      <c r="A31" s="8" t="s">
        <v>27</v>
      </c>
      <c r="B31" s="9"/>
      <c r="C31" s="10">
        <v>12000</v>
      </c>
      <c r="D31" s="11">
        <f t="shared" si="0"/>
        <v>0</v>
      </c>
    </row>
    <row r="32" spans="1:4" ht="18" hidden="1" x14ac:dyDescent="0.35">
      <c r="A32" s="8" t="s">
        <v>28</v>
      </c>
      <c r="B32" s="9"/>
      <c r="C32" s="10">
        <v>6000</v>
      </c>
      <c r="D32" s="11">
        <f t="shared" si="0"/>
        <v>0</v>
      </c>
    </row>
    <row r="33" spans="1:4" ht="18" hidden="1" x14ac:dyDescent="0.35">
      <c r="A33" s="8" t="s">
        <v>30</v>
      </c>
      <c r="B33" s="9"/>
      <c r="C33" s="10">
        <v>9000</v>
      </c>
      <c r="D33" s="11">
        <f t="shared" si="0"/>
        <v>0</v>
      </c>
    </row>
    <row r="34" spans="1:4" ht="18" hidden="1" x14ac:dyDescent="0.35">
      <c r="A34" s="8"/>
      <c r="B34" s="9"/>
      <c r="C34" s="10">
        <v>10000</v>
      </c>
      <c r="D34" s="11">
        <f t="shared" si="0"/>
        <v>0</v>
      </c>
    </row>
    <row r="35" spans="1:4" ht="18" hidden="1" x14ac:dyDescent="0.35">
      <c r="A35" s="8"/>
      <c r="B35" s="9"/>
      <c r="C35" s="10">
        <v>10000</v>
      </c>
      <c r="D35" s="11">
        <f t="shared" si="0"/>
        <v>0</v>
      </c>
    </row>
    <row r="36" spans="1:4" ht="18" hidden="1" x14ac:dyDescent="0.35">
      <c r="A36" s="8"/>
      <c r="B36" s="9"/>
      <c r="C36" s="10">
        <v>6000</v>
      </c>
      <c r="D36" s="11">
        <f t="shared" si="0"/>
        <v>0</v>
      </c>
    </row>
    <row r="37" spans="1:4" ht="18" hidden="1" x14ac:dyDescent="0.35">
      <c r="A37" s="8" t="s">
        <v>31</v>
      </c>
      <c r="B37" s="9"/>
      <c r="C37" s="10">
        <v>10000</v>
      </c>
      <c r="D37" s="11">
        <f t="shared" si="0"/>
        <v>0</v>
      </c>
    </row>
    <row r="38" spans="1:4" ht="18" hidden="1" x14ac:dyDescent="0.35">
      <c r="A38" s="8" t="s">
        <v>34</v>
      </c>
      <c r="B38" s="9"/>
      <c r="C38" s="10">
        <v>8000</v>
      </c>
      <c r="D38" s="11">
        <f t="shared" si="0"/>
        <v>0</v>
      </c>
    </row>
    <row r="39" spans="1:4" ht="18" hidden="1" x14ac:dyDescent="0.35">
      <c r="A39" s="14" t="s">
        <v>32</v>
      </c>
      <c r="B39" s="9"/>
      <c r="C39" s="10"/>
      <c r="D39" s="11">
        <f t="shared" si="0"/>
        <v>0</v>
      </c>
    </row>
    <row r="40" spans="1:4" ht="18" hidden="1" x14ac:dyDescent="0.35">
      <c r="A40" s="8" t="s">
        <v>33</v>
      </c>
      <c r="B40" s="9"/>
      <c r="C40" s="13"/>
      <c r="D40" s="11">
        <f t="shared" si="0"/>
        <v>0</v>
      </c>
    </row>
    <row r="41" spans="1:4" ht="18" hidden="1" x14ac:dyDescent="0.35">
      <c r="A41" s="8" t="s">
        <v>35</v>
      </c>
      <c r="B41" s="9"/>
      <c r="C41" s="15">
        <v>110000</v>
      </c>
      <c r="D41" s="11">
        <f t="shared" si="0"/>
        <v>0</v>
      </c>
    </row>
    <row r="42" spans="1:4" ht="18" hidden="1" x14ac:dyDescent="0.35">
      <c r="A42" s="8" t="s">
        <v>36</v>
      </c>
      <c r="B42" s="9"/>
      <c r="C42" s="10"/>
      <c r="D42" s="11">
        <f t="shared" si="0"/>
        <v>0</v>
      </c>
    </row>
    <row r="43" spans="1:4" ht="18" hidden="1" x14ac:dyDescent="0.35">
      <c r="A43" s="14" t="s">
        <v>38</v>
      </c>
      <c r="B43" s="9"/>
      <c r="C43" s="10"/>
      <c r="D43" s="11">
        <f t="shared" si="0"/>
        <v>0</v>
      </c>
    </row>
    <row r="44" spans="1:4" ht="18" hidden="1" x14ac:dyDescent="0.35">
      <c r="A44" s="14" t="s">
        <v>37</v>
      </c>
      <c r="B44" s="9"/>
      <c r="C44" s="12">
        <v>20000</v>
      </c>
      <c r="D44" s="11">
        <f t="shared" si="0"/>
        <v>0</v>
      </c>
    </row>
    <row r="45" spans="1:4" ht="18" hidden="1" x14ac:dyDescent="0.35">
      <c r="A45" s="8" t="s">
        <v>42</v>
      </c>
      <c r="B45" s="9"/>
      <c r="C45" s="13">
        <v>11000</v>
      </c>
      <c r="D45" s="11">
        <f t="shared" si="0"/>
        <v>0</v>
      </c>
    </row>
    <row r="46" spans="1:4" ht="18" hidden="1" x14ac:dyDescent="0.35">
      <c r="A46" s="8" t="s">
        <v>39</v>
      </c>
      <c r="B46" s="9"/>
      <c r="C46" s="10"/>
      <c r="D46" s="11">
        <f t="shared" si="0"/>
        <v>0</v>
      </c>
    </row>
    <row r="47" spans="1:4" ht="18" hidden="1" x14ac:dyDescent="0.35">
      <c r="A47" s="14" t="s">
        <v>40</v>
      </c>
      <c r="B47" s="9"/>
      <c r="C47" s="10"/>
      <c r="D47" s="11">
        <f t="shared" si="0"/>
        <v>0</v>
      </c>
    </row>
    <row r="48" spans="1:4" ht="18" hidden="1" x14ac:dyDescent="0.35">
      <c r="A48" s="8" t="s">
        <v>41</v>
      </c>
      <c r="B48" s="9"/>
      <c r="C48" s="10"/>
      <c r="D48" s="11">
        <f t="shared" si="0"/>
        <v>0</v>
      </c>
    </row>
    <row r="49" spans="1:4" ht="18" hidden="1" x14ac:dyDescent="0.35">
      <c r="A49" s="16" t="s">
        <v>43</v>
      </c>
      <c r="B49" s="9"/>
      <c r="C49" s="10"/>
      <c r="D49" s="11">
        <f t="shared" si="0"/>
        <v>0</v>
      </c>
    </row>
    <row r="50" spans="1:4" ht="18" hidden="1" x14ac:dyDescent="0.35">
      <c r="A50" s="8" t="s">
        <v>44</v>
      </c>
      <c r="B50" s="9"/>
      <c r="C50" s="10">
        <v>16000</v>
      </c>
      <c r="D50" s="11">
        <f t="shared" si="0"/>
        <v>0</v>
      </c>
    </row>
    <row r="51" spans="1:4" ht="18" hidden="1" x14ac:dyDescent="0.35">
      <c r="A51" s="8" t="s">
        <v>45</v>
      </c>
      <c r="B51" s="9"/>
      <c r="C51" s="10"/>
      <c r="D51" s="11">
        <f t="shared" si="0"/>
        <v>0</v>
      </c>
    </row>
    <row r="52" spans="1:4" ht="18" hidden="1" x14ac:dyDescent="0.35">
      <c r="A52" s="8" t="s">
        <v>47</v>
      </c>
      <c r="B52" s="9"/>
      <c r="C52" s="12"/>
      <c r="D52" s="11">
        <f t="shared" si="0"/>
        <v>0</v>
      </c>
    </row>
    <row r="53" spans="1:4" ht="18" hidden="1" x14ac:dyDescent="0.35">
      <c r="A53" s="8" t="s">
        <v>46</v>
      </c>
      <c r="B53" s="9"/>
      <c r="C53" s="12"/>
      <c r="D53" s="11">
        <f t="shared" si="0"/>
        <v>0</v>
      </c>
    </row>
    <row r="54" spans="1:4" ht="18" hidden="1" x14ac:dyDescent="0.35">
      <c r="A54" s="8" t="s">
        <v>48</v>
      </c>
      <c r="B54" s="9"/>
      <c r="C54" s="10">
        <v>25000</v>
      </c>
      <c r="D54" s="11">
        <f t="shared" si="0"/>
        <v>0</v>
      </c>
    </row>
    <row r="55" spans="1:4" ht="18" hidden="1" x14ac:dyDescent="0.35">
      <c r="A55" s="8" t="s">
        <v>50</v>
      </c>
      <c r="B55" s="9"/>
      <c r="C55" s="10">
        <v>16000</v>
      </c>
      <c r="D55" s="11">
        <f t="shared" si="0"/>
        <v>0</v>
      </c>
    </row>
    <row r="56" spans="1:4" ht="18" hidden="1" x14ac:dyDescent="0.35">
      <c r="A56" s="8"/>
      <c r="B56" s="9"/>
      <c r="C56" s="10">
        <v>14500</v>
      </c>
      <c r="D56" s="11">
        <f t="shared" si="0"/>
        <v>0</v>
      </c>
    </row>
    <row r="57" spans="1:4" ht="18" hidden="1" x14ac:dyDescent="0.35">
      <c r="A57" s="8"/>
      <c r="B57" s="9"/>
      <c r="C57" s="10">
        <v>15000</v>
      </c>
      <c r="D57" s="11">
        <f t="shared" si="0"/>
        <v>0</v>
      </c>
    </row>
    <row r="58" spans="1:4" ht="18" hidden="1" x14ac:dyDescent="0.35">
      <c r="A58" s="8"/>
      <c r="B58" s="9"/>
      <c r="C58" s="10">
        <v>16000</v>
      </c>
      <c r="D58" s="11">
        <f t="shared" si="0"/>
        <v>0</v>
      </c>
    </row>
    <row r="59" spans="1:4" ht="18" hidden="1" x14ac:dyDescent="0.35">
      <c r="A59" s="8" t="s">
        <v>51</v>
      </c>
      <c r="B59" s="9"/>
      <c r="C59" s="10">
        <v>9000</v>
      </c>
      <c r="D59" s="11">
        <f t="shared" si="0"/>
        <v>0</v>
      </c>
    </row>
    <row r="60" spans="1:4" ht="18" hidden="1" x14ac:dyDescent="0.35">
      <c r="A60" s="8" t="s">
        <v>53</v>
      </c>
      <c r="B60" s="9"/>
      <c r="C60" s="10"/>
      <c r="D60" s="11">
        <f t="shared" si="0"/>
        <v>0</v>
      </c>
    </row>
    <row r="61" spans="1:4" ht="18" hidden="1" x14ac:dyDescent="0.35">
      <c r="A61" s="8" t="s">
        <v>54</v>
      </c>
      <c r="B61" s="9"/>
      <c r="C61" s="10">
        <v>22000</v>
      </c>
      <c r="D61" s="11">
        <f t="shared" si="0"/>
        <v>0</v>
      </c>
    </row>
    <row r="62" spans="1:4" ht="18" hidden="1" x14ac:dyDescent="0.35">
      <c r="A62" s="8" t="s">
        <v>49</v>
      </c>
      <c r="B62" s="9"/>
      <c r="C62" s="10"/>
      <c r="D62" s="11">
        <f t="shared" si="0"/>
        <v>0</v>
      </c>
    </row>
    <row r="63" spans="1:4" ht="18.75" x14ac:dyDescent="0.25">
      <c r="A63" s="8" t="s">
        <v>55</v>
      </c>
      <c r="B63" s="9">
        <v>3.5</v>
      </c>
      <c r="C63" s="10">
        <v>12000</v>
      </c>
      <c r="D63" s="11">
        <f t="shared" si="0"/>
        <v>42000</v>
      </c>
    </row>
    <row r="64" spans="1:4" ht="18" hidden="1" x14ac:dyDescent="0.35">
      <c r="A64" s="14" t="s">
        <v>56</v>
      </c>
      <c r="B64" s="9"/>
      <c r="C64" s="10">
        <v>38000</v>
      </c>
      <c r="D64" s="11">
        <f t="shared" si="0"/>
        <v>0</v>
      </c>
    </row>
    <row r="65" spans="1:4" ht="18" hidden="1" x14ac:dyDescent="0.35">
      <c r="A65" s="8" t="s">
        <v>52</v>
      </c>
      <c r="B65" s="9"/>
      <c r="C65" s="12"/>
      <c r="D65" s="11">
        <f t="shared" si="0"/>
        <v>0</v>
      </c>
    </row>
    <row r="66" spans="1:4" ht="18" hidden="1" x14ac:dyDescent="0.35">
      <c r="A66" s="8" t="s">
        <v>57</v>
      </c>
      <c r="B66" s="9"/>
      <c r="C66" s="10">
        <v>6000</v>
      </c>
      <c r="D66" s="11">
        <f t="shared" si="0"/>
        <v>0</v>
      </c>
    </row>
    <row r="67" spans="1:4" ht="18" hidden="1" x14ac:dyDescent="0.35">
      <c r="A67" s="8"/>
      <c r="B67" s="9"/>
      <c r="C67" s="10">
        <v>8000</v>
      </c>
      <c r="D67" s="11">
        <f t="shared" si="0"/>
        <v>0</v>
      </c>
    </row>
    <row r="68" spans="1:4" ht="18" hidden="1" x14ac:dyDescent="0.35">
      <c r="A68" s="8"/>
      <c r="B68" s="9"/>
      <c r="C68" s="10">
        <v>7000</v>
      </c>
      <c r="D68" s="11">
        <f t="shared" ref="D68:D131" si="1">B68*C68</f>
        <v>0</v>
      </c>
    </row>
    <row r="69" spans="1:4" ht="18" hidden="1" x14ac:dyDescent="0.35">
      <c r="A69" s="8"/>
      <c r="B69" s="9"/>
      <c r="C69" s="10">
        <v>7000</v>
      </c>
      <c r="D69" s="11">
        <f t="shared" si="1"/>
        <v>0</v>
      </c>
    </row>
    <row r="70" spans="1:4" ht="18" hidden="1" x14ac:dyDescent="0.35">
      <c r="A70" s="8"/>
      <c r="B70" s="9"/>
      <c r="C70" s="10">
        <v>6000</v>
      </c>
      <c r="D70" s="11">
        <f t="shared" si="1"/>
        <v>0</v>
      </c>
    </row>
    <row r="71" spans="1:4" ht="18" hidden="1" x14ac:dyDescent="0.35">
      <c r="A71" s="8" t="s">
        <v>58</v>
      </c>
      <c r="B71" s="9"/>
      <c r="C71" s="13"/>
      <c r="D71" s="11">
        <f t="shared" si="1"/>
        <v>0</v>
      </c>
    </row>
    <row r="72" spans="1:4" ht="18" hidden="1" x14ac:dyDescent="0.35">
      <c r="A72" s="14" t="s">
        <v>59</v>
      </c>
      <c r="B72" s="9"/>
      <c r="C72" s="10"/>
      <c r="D72" s="11">
        <f t="shared" si="1"/>
        <v>0</v>
      </c>
    </row>
    <row r="73" spans="1:4" ht="18" hidden="1" x14ac:dyDescent="0.35">
      <c r="A73" s="8" t="s">
        <v>60</v>
      </c>
      <c r="B73" s="9"/>
      <c r="C73" s="12">
        <v>15000</v>
      </c>
      <c r="D73" s="11">
        <f t="shared" si="1"/>
        <v>0</v>
      </c>
    </row>
    <row r="74" spans="1:4" ht="18" hidden="1" x14ac:dyDescent="0.35">
      <c r="A74" s="8" t="s">
        <v>61</v>
      </c>
      <c r="B74" s="17"/>
      <c r="C74" s="10"/>
      <c r="D74" s="11">
        <f t="shared" si="1"/>
        <v>0</v>
      </c>
    </row>
    <row r="75" spans="1:4" ht="18" hidden="1" x14ac:dyDescent="0.35">
      <c r="A75" s="18" t="s">
        <v>62</v>
      </c>
      <c r="B75" s="9"/>
      <c r="C75" s="19"/>
      <c r="D75" s="11">
        <f t="shared" si="1"/>
        <v>0</v>
      </c>
    </row>
    <row r="76" spans="1:4" ht="18" hidden="1" x14ac:dyDescent="0.35">
      <c r="A76" s="18" t="s">
        <v>63</v>
      </c>
      <c r="B76" s="9"/>
      <c r="C76" s="10">
        <v>20000</v>
      </c>
      <c r="D76" s="11">
        <f t="shared" si="1"/>
        <v>0</v>
      </c>
    </row>
    <row r="77" spans="1:4" ht="18" hidden="1" x14ac:dyDescent="0.35">
      <c r="A77" s="14" t="s">
        <v>66</v>
      </c>
      <c r="B77" s="9"/>
      <c r="C77" s="10"/>
      <c r="D77" s="11">
        <f t="shared" si="1"/>
        <v>0</v>
      </c>
    </row>
    <row r="78" spans="1:4" ht="18.75" x14ac:dyDescent="0.25">
      <c r="A78" s="14" t="s">
        <v>64</v>
      </c>
      <c r="B78" s="9">
        <v>7</v>
      </c>
      <c r="C78" s="10">
        <v>15000</v>
      </c>
      <c r="D78" s="11">
        <f t="shared" si="1"/>
        <v>105000</v>
      </c>
    </row>
    <row r="79" spans="1:4" ht="18" hidden="1" x14ac:dyDescent="0.35">
      <c r="A79" s="14"/>
      <c r="B79" s="9"/>
      <c r="C79" s="10">
        <v>16000</v>
      </c>
      <c r="D79" s="11">
        <f t="shared" si="1"/>
        <v>0</v>
      </c>
    </row>
    <row r="80" spans="1:4" ht="18" hidden="1" x14ac:dyDescent="0.35">
      <c r="A80" s="8" t="s">
        <v>65</v>
      </c>
      <c r="B80" s="9"/>
      <c r="C80" s="12">
        <v>12000</v>
      </c>
      <c r="D80" s="11">
        <f t="shared" si="1"/>
        <v>0</v>
      </c>
    </row>
    <row r="81" spans="1:4" ht="18" hidden="1" x14ac:dyDescent="0.35">
      <c r="A81" s="8" t="s">
        <v>67</v>
      </c>
      <c r="B81" s="9"/>
      <c r="C81" s="13"/>
      <c r="D81" s="11">
        <f t="shared" si="1"/>
        <v>0</v>
      </c>
    </row>
    <row r="82" spans="1:4" ht="18" hidden="1" x14ac:dyDescent="0.35">
      <c r="A82" s="8" t="s">
        <v>68</v>
      </c>
      <c r="B82" s="9"/>
      <c r="C82" s="10">
        <v>8000</v>
      </c>
      <c r="D82" s="11">
        <f t="shared" si="1"/>
        <v>0</v>
      </c>
    </row>
    <row r="83" spans="1:4" ht="18" hidden="1" x14ac:dyDescent="0.35">
      <c r="A83" s="14" t="s">
        <v>69</v>
      </c>
      <c r="B83" s="9"/>
      <c r="C83" s="15">
        <v>10500</v>
      </c>
      <c r="D83" s="11">
        <f t="shared" si="1"/>
        <v>0</v>
      </c>
    </row>
    <row r="84" spans="1:4" ht="18" hidden="1" x14ac:dyDescent="0.35">
      <c r="A84" s="14"/>
      <c r="B84" s="9"/>
      <c r="C84" s="15">
        <v>9300</v>
      </c>
      <c r="D84" s="11">
        <f t="shared" si="1"/>
        <v>0</v>
      </c>
    </row>
    <row r="85" spans="1:4" ht="18" hidden="1" x14ac:dyDescent="0.35">
      <c r="A85" s="14" t="s">
        <v>70</v>
      </c>
      <c r="B85" s="9"/>
      <c r="C85" s="15"/>
      <c r="D85" s="11">
        <f t="shared" si="1"/>
        <v>0</v>
      </c>
    </row>
    <row r="86" spans="1:4" ht="18" hidden="1" x14ac:dyDescent="0.35">
      <c r="A86" s="14" t="s">
        <v>71</v>
      </c>
      <c r="B86" s="9"/>
      <c r="C86" s="10"/>
      <c r="D86" s="11">
        <f t="shared" si="1"/>
        <v>0</v>
      </c>
    </row>
    <row r="87" spans="1:4" ht="18" hidden="1" x14ac:dyDescent="0.35">
      <c r="A87" s="8" t="s">
        <v>73</v>
      </c>
      <c r="B87" s="9"/>
      <c r="C87" s="12">
        <v>25000</v>
      </c>
      <c r="D87" s="11">
        <f t="shared" si="1"/>
        <v>0</v>
      </c>
    </row>
    <row r="88" spans="1:4" ht="18" hidden="1" x14ac:dyDescent="0.35">
      <c r="A88" s="8" t="s">
        <v>72</v>
      </c>
      <c r="B88" s="9"/>
      <c r="C88" s="12">
        <v>69000</v>
      </c>
      <c r="D88" s="11">
        <f t="shared" si="1"/>
        <v>0</v>
      </c>
    </row>
    <row r="89" spans="1:4" ht="18" hidden="1" x14ac:dyDescent="0.35">
      <c r="A89" s="20"/>
      <c r="B89" s="9"/>
      <c r="C89" s="12">
        <v>40000</v>
      </c>
      <c r="D89" s="11">
        <f t="shared" si="1"/>
        <v>0</v>
      </c>
    </row>
    <row r="90" spans="1:4" ht="18" hidden="1" x14ac:dyDescent="0.35">
      <c r="A90" s="20" t="s">
        <v>74</v>
      </c>
      <c r="B90" s="9"/>
      <c r="C90" s="13"/>
      <c r="D90" s="11">
        <f t="shared" si="1"/>
        <v>0</v>
      </c>
    </row>
    <row r="91" spans="1:4" ht="18" hidden="1" x14ac:dyDescent="0.35">
      <c r="A91" s="20" t="s">
        <v>75</v>
      </c>
      <c r="B91" s="9"/>
      <c r="C91" s="15"/>
      <c r="D91" s="11">
        <f t="shared" si="1"/>
        <v>0</v>
      </c>
    </row>
    <row r="92" spans="1:4" ht="18" hidden="1" x14ac:dyDescent="0.35">
      <c r="A92" s="20" t="s">
        <v>76</v>
      </c>
      <c r="B92" s="9"/>
      <c r="C92" s="10"/>
      <c r="D92" s="11">
        <f t="shared" si="1"/>
        <v>0</v>
      </c>
    </row>
    <row r="93" spans="1:4" ht="18" hidden="1" x14ac:dyDescent="0.35">
      <c r="A93" s="8" t="s">
        <v>77</v>
      </c>
      <c r="B93" s="9"/>
      <c r="C93" s="13"/>
      <c r="D93" s="11">
        <f t="shared" si="1"/>
        <v>0</v>
      </c>
    </row>
    <row r="94" spans="1:4" ht="18" hidden="1" x14ac:dyDescent="0.35">
      <c r="A94" s="8" t="s">
        <v>78</v>
      </c>
      <c r="B94" s="9"/>
      <c r="C94" s="12">
        <v>11000</v>
      </c>
      <c r="D94" s="11">
        <f t="shared" si="1"/>
        <v>0</v>
      </c>
    </row>
    <row r="95" spans="1:4" ht="18" hidden="1" x14ac:dyDescent="0.35">
      <c r="A95" s="8" t="s">
        <v>79</v>
      </c>
      <c r="B95" s="9"/>
      <c r="C95" s="13">
        <v>8000</v>
      </c>
      <c r="D95" s="11">
        <f t="shared" si="1"/>
        <v>0</v>
      </c>
    </row>
    <row r="96" spans="1:4" ht="18" hidden="1" x14ac:dyDescent="0.35">
      <c r="A96" s="8" t="s">
        <v>80</v>
      </c>
      <c r="B96" s="9"/>
      <c r="C96" s="10"/>
      <c r="D96" s="11">
        <f t="shared" si="1"/>
        <v>0</v>
      </c>
    </row>
    <row r="97" spans="1:4" ht="18" hidden="1" x14ac:dyDescent="0.35">
      <c r="A97" s="8" t="s">
        <v>81</v>
      </c>
      <c r="B97" s="9"/>
      <c r="C97" s="13"/>
      <c r="D97" s="11">
        <f t="shared" si="1"/>
        <v>0</v>
      </c>
    </row>
    <row r="98" spans="1:4" ht="18" hidden="1" x14ac:dyDescent="0.35">
      <c r="A98" s="8" t="s">
        <v>82</v>
      </c>
      <c r="B98" s="9"/>
      <c r="C98" s="10">
        <v>150000</v>
      </c>
      <c r="D98" s="11">
        <f t="shared" si="1"/>
        <v>0</v>
      </c>
    </row>
    <row r="99" spans="1:4" ht="18" hidden="1" x14ac:dyDescent="0.35">
      <c r="A99" s="8" t="s">
        <v>83</v>
      </c>
      <c r="B99" s="9"/>
      <c r="C99" s="10"/>
      <c r="D99" s="11">
        <f t="shared" si="1"/>
        <v>0</v>
      </c>
    </row>
    <row r="100" spans="1:4" ht="18" hidden="1" x14ac:dyDescent="0.35">
      <c r="A100" s="8" t="s">
        <v>84</v>
      </c>
      <c r="B100" s="9"/>
      <c r="C100" s="10">
        <v>50000</v>
      </c>
      <c r="D100" s="11">
        <f t="shared" si="1"/>
        <v>0</v>
      </c>
    </row>
    <row r="101" spans="1:4" ht="18" hidden="1" x14ac:dyDescent="0.35">
      <c r="A101" s="8" t="s">
        <v>85</v>
      </c>
      <c r="B101" s="9"/>
      <c r="C101" s="10">
        <v>80000</v>
      </c>
      <c r="D101" s="11">
        <f t="shared" si="1"/>
        <v>0</v>
      </c>
    </row>
    <row r="102" spans="1:4" ht="18" hidden="1" x14ac:dyDescent="0.35">
      <c r="A102" s="8" t="s">
        <v>86</v>
      </c>
      <c r="B102" s="9"/>
      <c r="C102" s="10">
        <v>50000</v>
      </c>
      <c r="D102" s="11">
        <f t="shared" si="1"/>
        <v>0</v>
      </c>
    </row>
    <row r="103" spans="1:4" ht="18" hidden="1" x14ac:dyDescent="0.35">
      <c r="A103" s="8" t="s">
        <v>87</v>
      </c>
      <c r="B103" s="9"/>
      <c r="C103" s="12">
        <v>70000</v>
      </c>
      <c r="D103" s="11">
        <f t="shared" si="1"/>
        <v>0</v>
      </c>
    </row>
    <row r="104" spans="1:4" ht="18" hidden="1" x14ac:dyDescent="0.35">
      <c r="A104" s="8" t="s">
        <v>88</v>
      </c>
      <c r="B104" s="9"/>
      <c r="C104" s="10">
        <v>45000</v>
      </c>
      <c r="D104" s="11">
        <f t="shared" si="1"/>
        <v>0</v>
      </c>
    </row>
    <row r="105" spans="1:4" ht="18" hidden="1" x14ac:dyDescent="0.35">
      <c r="A105" s="8" t="s">
        <v>89</v>
      </c>
      <c r="B105" s="9"/>
      <c r="C105" s="12">
        <v>70000</v>
      </c>
      <c r="D105" s="11">
        <f t="shared" si="1"/>
        <v>0</v>
      </c>
    </row>
    <row r="106" spans="1:4" ht="18" hidden="1" x14ac:dyDescent="0.35">
      <c r="A106" s="8" t="s">
        <v>90</v>
      </c>
      <c r="B106" s="9"/>
      <c r="C106" s="10">
        <v>50000</v>
      </c>
      <c r="D106" s="11">
        <f t="shared" si="1"/>
        <v>0</v>
      </c>
    </row>
    <row r="107" spans="1:4" ht="18" hidden="1" x14ac:dyDescent="0.35">
      <c r="A107" s="8" t="s">
        <v>91</v>
      </c>
      <c r="B107" s="9"/>
      <c r="C107" s="10"/>
      <c r="D107" s="11">
        <f t="shared" si="1"/>
        <v>0</v>
      </c>
    </row>
    <row r="108" spans="1:4" ht="18" hidden="1" x14ac:dyDescent="0.35">
      <c r="A108" s="8" t="s">
        <v>92</v>
      </c>
      <c r="B108" s="9"/>
      <c r="C108" s="10"/>
      <c r="D108" s="11">
        <f t="shared" si="1"/>
        <v>0</v>
      </c>
    </row>
    <row r="109" spans="1:4" ht="18" hidden="1" x14ac:dyDescent="0.35">
      <c r="A109" s="8" t="s">
        <v>93</v>
      </c>
      <c r="B109" s="9"/>
      <c r="C109" s="10"/>
      <c r="D109" s="11">
        <f t="shared" si="1"/>
        <v>0</v>
      </c>
    </row>
    <row r="110" spans="1:4" ht="18" hidden="1" x14ac:dyDescent="0.35">
      <c r="A110" s="8" t="s">
        <v>94</v>
      </c>
      <c r="B110" s="9"/>
      <c r="C110" s="10"/>
      <c r="D110" s="11">
        <f t="shared" si="1"/>
        <v>0</v>
      </c>
    </row>
    <row r="111" spans="1:4" ht="18" hidden="1" x14ac:dyDescent="0.35">
      <c r="A111" s="8" t="s">
        <v>95</v>
      </c>
      <c r="B111" s="9"/>
      <c r="C111" s="12">
        <v>12000</v>
      </c>
      <c r="D111" s="11">
        <f t="shared" si="1"/>
        <v>0</v>
      </c>
    </row>
    <row r="112" spans="1:4" ht="18" hidden="1" x14ac:dyDescent="0.35">
      <c r="A112" s="8" t="s">
        <v>96</v>
      </c>
      <c r="B112" s="9"/>
      <c r="C112" s="10"/>
      <c r="D112" s="11">
        <f t="shared" si="1"/>
        <v>0</v>
      </c>
    </row>
    <row r="113" spans="1:4" ht="18" hidden="1" x14ac:dyDescent="0.35">
      <c r="A113" s="8" t="s">
        <v>97</v>
      </c>
      <c r="B113" s="9"/>
      <c r="C113" s="10">
        <v>13000</v>
      </c>
      <c r="D113" s="11">
        <f t="shared" si="1"/>
        <v>0</v>
      </c>
    </row>
    <row r="114" spans="1:4" ht="18" hidden="1" x14ac:dyDescent="0.35">
      <c r="A114" s="8" t="s">
        <v>98</v>
      </c>
      <c r="B114" s="9"/>
      <c r="C114" s="10"/>
      <c r="D114" s="11">
        <f t="shared" si="1"/>
        <v>0</v>
      </c>
    </row>
    <row r="115" spans="1:4" ht="18" hidden="1" x14ac:dyDescent="0.35">
      <c r="A115" s="8" t="s">
        <v>99</v>
      </c>
      <c r="B115" s="9"/>
      <c r="C115" s="12"/>
      <c r="D115" s="11">
        <f t="shared" si="1"/>
        <v>0</v>
      </c>
    </row>
    <row r="116" spans="1:4" ht="18" hidden="1" x14ac:dyDescent="0.35">
      <c r="A116" s="14" t="s">
        <v>100</v>
      </c>
      <c r="B116" s="9"/>
      <c r="C116" s="10"/>
      <c r="D116" s="11">
        <f t="shared" si="1"/>
        <v>0</v>
      </c>
    </row>
    <row r="117" spans="1:4" ht="18" hidden="1" x14ac:dyDescent="0.35">
      <c r="A117" s="14" t="s">
        <v>101</v>
      </c>
      <c r="B117" s="9"/>
      <c r="C117" s="10"/>
      <c r="D117" s="11">
        <f t="shared" si="1"/>
        <v>0</v>
      </c>
    </row>
    <row r="118" spans="1:4" ht="18" hidden="1" x14ac:dyDescent="0.35">
      <c r="A118" s="14" t="s">
        <v>102</v>
      </c>
      <c r="B118" s="21"/>
      <c r="C118" s="10"/>
      <c r="D118" s="11">
        <f t="shared" si="1"/>
        <v>0</v>
      </c>
    </row>
    <row r="119" spans="1:4" ht="18" hidden="1" x14ac:dyDescent="0.35">
      <c r="A119" s="8" t="s">
        <v>103</v>
      </c>
      <c r="B119" s="9"/>
      <c r="C119" s="10"/>
      <c r="D119" s="11">
        <f t="shared" si="1"/>
        <v>0</v>
      </c>
    </row>
    <row r="120" spans="1:4" ht="18" hidden="1" x14ac:dyDescent="0.35">
      <c r="A120" s="8" t="s">
        <v>104</v>
      </c>
      <c r="B120" s="9"/>
      <c r="C120" s="12"/>
      <c r="D120" s="11">
        <f t="shared" si="1"/>
        <v>0</v>
      </c>
    </row>
    <row r="121" spans="1:4" ht="18" hidden="1" x14ac:dyDescent="0.35">
      <c r="A121" s="8" t="s">
        <v>105</v>
      </c>
      <c r="B121" s="9"/>
      <c r="C121" s="10"/>
      <c r="D121" s="11">
        <f t="shared" si="1"/>
        <v>0</v>
      </c>
    </row>
    <row r="122" spans="1:4" ht="18" hidden="1" x14ac:dyDescent="0.35">
      <c r="A122" s="8" t="s">
        <v>106</v>
      </c>
      <c r="B122" s="9"/>
      <c r="C122" s="10"/>
      <c r="D122" s="11">
        <f t="shared" si="1"/>
        <v>0</v>
      </c>
    </row>
    <row r="123" spans="1:4" ht="18" hidden="1" x14ac:dyDescent="0.35">
      <c r="A123" s="8" t="s">
        <v>107</v>
      </c>
      <c r="B123" s="9"/>
      <c r="C123" s="10"/>
      <c r="D123" s="11">
        <f t="shared" si="1"/>
        <v>0</v>
      </c>
    </row>
    <row r="124" spans="1:4" ht="18" hidden="1" x14ac:dyDescent="0.35">
      <c r="A124" s="22" t="s">
        <v>108</v>
      </c>
      <c r="B124" s="9"/>
      <c r="C124" s="10"/>
      <c r="D124" s="11">
        <f t="shared" si="1"/>
        <v>0</v>
      </c>
    </row>
    <row r="125" spans="1:4" ht="18" hidden="1" x14ac:dyDescent="0.35">
      <c r="A125" s="8" t="s">
        <v>109</v>
      </c>
      <c r="B125" s="9"/>
      <c r="C125" s="12">
        <v>10000</v>
      </c>
      <c r="D125" s="11">
        <f t="shared" si="1"/>
        <v>0</v>
      </c>
    </row>
    <row r="126" spans="1:4" ht="18.75" x14ac:dyDescent="0.25">
      <c r="A126" s="8" t="s">
        <v>110</v>
      </c>
      <c r="B126" s="9">
        <v>2</v>
      </c>
      <c r="C126" s="10">
        <v>10000</v>
      </c>
      <c r="D126" s="11">
        <f t="shared" si="1"/>
        <v>20000</v>
      </c>
    </row>
    <row r="127" spans="1:4" ht="18" hidden="1" x14ac:dyDescent="0.35">
      <c r="A127" s="8" t="s">
        <v>111</v>
      </c>
      <c r="B127" s="9"/>
      <c r="C127" s="13"/>
      <c r="D127" s="11">
        <f t="shared" si="1"/>
        <v>0</v>
      </c>
    </row>
    <row r="128" spans="1:4" ht="18.75" x14ac:dyDescent="0.25">
      <c r="A128" s="14" t="s">
        <v>112</v>
      </c>
      <c r="B128" s="9">
        <v>2970</v>
      </c>
      <c r="C128" s="10">
        <v>20000</v>
      </c>
      <c r="D128" s="11">
        <f t="shared" si="1"/>
        <v>59400000</v>
      </c>
    </row>
    <row r="129" spans="1:4" ht="18.75" x14ac:dyDescent="0.25">
      <c r="A129" s="14" t="s">
        <v>113</v>
      </c>
      <c r="B129" s="9">
        <v>229</v>
      </c>
      <c r="C129" s="10">
        <v>16000</v>
      </c>
      <c r="D129" s="11">
        <f t="shared" si="1"/>
        <v>3664000</v>
      </c>
    </row>
    <row r="130" spans="1:4" ht="18" hidden="1" x14ac:dyDescent="0.35">
      <c r="A130" s="14"/>
      <c r="B130" s="9"/>
      <c r="C130" s="10">
        <v>16000</v>
      </c>
      <c r="D130" s="11">
        <f t="shared" si="1"/>
        <v>0</v>
      </c>
    </row>
    <row r="131" spans="1:4" ht="18.75" x14ac:dyDescent="0.25">
      <c r="A131" s="8" t="s">
        <v>114</v>
      </c>
      <c r="B131" s="9">
        <v>1020</v>
      </c>
      <c r="C131" s="12">
        <v>15000</v>
      </c>
      <c r="D131" s="11">
        <f t="shared" si="1"/>
        <v>15300000</v>
      </c>
    </row>
    <row r="132" spans="1:4" ht="18" hidden="1" x14ac:dyDescent="0.35">
      <c r="A132" s="14" t="s">
        <v>115</v>
      </c>
      <c r="B132" s="9"/>
      <c r="C132" s="10"/>
      <c r="D132" s="11">
        <f t="shared" ref="D132:D195" si="2">B132*C132</f>
        <v>0</v>
      </c>
    </row>
    <row r="133" spans="1:4" ht="18" hidden="1" x14ac:dyDescent="0.35">
      <c r="A133" s="14" t="s">
        <v>116</v>
      </c>
      <c r="B133" s="9"/>
      <c r="C133" s="12"/>
      <c r="D133" s="11">
        <f t="shared" si="2"/>
        <v>0</v>
      </c>
    </row>
    <row r="134" spans="1:4" ht="18" hidden="1" x14ac:dyDescent="0.35">
      <c r="A134" s="8" t="s">
        <v>117</v>
      </c>
      <c r="B134" s="9"/>
      <c r="C134" s="10"/>
      <c r="D134" s="11">
        <f t="shared" si="2"/>
        <v>0</v>
      </c>
    </row>
    <row r="135" spans="1:4" ht="18" hidden="1" x14ac:dyDescent="0.35">
      <c r="A135" s="8" t="s">
        <v>118</v>
      </c>
      <c r="B135" s="9"/>
      <c r="C135" s="12"/>
      <c r="D135" s="11">
        <f t="shared" si="2"/>
        <v>0</v>
      </c>
    </row>
    <row r="136" spans="1:4" ht="18" hidden="1" x14ac:dyDescent="0.35">
      <c r="A136" s="8" t="s">
        <v>119</v>
      </c>
      <c r="B136" s="9"/>
      <c r="C136" s="10"/>
      <c r="D136" s="11">
        <f t="shared" si="2"/>
        <v>0</v>
      </c>
    </row>
    <row r="137" spans="1:4" ht="18" hidden="1" x14ac:dyDescent="0.35">
      <c r="A137" s="8" t="s">
        <v>120</v>
      </c>
      <c r="B137" s="9"/>
      <c r="C137" s="10">
        <v>16000</v>
      </c>
      <c r="D137" s="11">
        <f t="shared" si="2"/>
        <v>0</v>
      </c>
    </row>
    <row r="138" spans="1:4" ht="18" hidden="1" x14ac:dyDescent="0.35">
      <c r="A138" s="8" t="s">
        <v>121</v>
      </c>
      <c r="B138" s="9"/>
      <c r="C138" s="13">
        <v>20000</v>
      </c>
      <c r="D138" s="11">
        <f t="shared" si="2"/>
        <v>0</v>
      </c>
    </row>
    <row r="139" spans="1:4" ht="18" hidden="1" x14ac:dyDescent="0.35">
      <c r="A139" s="8"/>
      <c r="B139" s="9"/>
      <c r="C139" s="13">
        <v>19000</v>
      </c>
      <c r="D139" s="11">
        <f t="shared" si="2"/>
        <v>0</v>
      </c>
    </row>
    <row r="140" spans="1:4" ht="18" hidden="1" x14ac:dyDescent="0.35">
      <c r="A140" s="8"/>
      <c r="B140" s="9"/>
      <c r="C140" s="13">
        <v>19000</v>
      </c>
      <c r="D140" s="11">
        <f t="shared" si="2"/>
        <v>0</v>
      </c>
    </row>
    <row r="141" spans="1:4" ht="18.75" x14ac:dyDescent="0.25">
      <c r="A141" s="8" t="s">
        <v>122</v>
      </c>
      <c r="B141" s="9">
        <v>2</v>
      </c>
      <c r="C141" s="12">
        <v>19000</v>
      </c>
      <c r="D141" s="11">
        <f t="shared" si="2"/>
        <v>38000</v>
      </c>
    </row>
    <row r="142" spans="1:4" ht="18" hidden="1" x14ac:dyDescent="0.35">
      <c r="A142" s="8" t="s">
        <v>123</v>
      </c>
      <c r="B142" s="9"/>
      <c r="C142" s="12"/>
      <c r="D142" s="11">
        <f t="shared" si="2"/>
        <v>0</v>
      </c>
    </row>
    <row r="143" spans="1:4" ht="18" hidden="1" x14ac:dyDescent="0.35">
      <c r="A143" s="8" t="s">
        <v>124</v>
      </c>
      <c r="B143" s="9"/>
      <c r="C143" s="13"/>
      <c r="D143" s="11">
        <f t="shared" si="2"/>
        <v>0</v>
      </c>
    </row>
    <row r="144" spans="1:4" ht="18" hidden="1" x14ac:dyDescent="0.35">
      <c r="A144" s="8" t="s">
        <v>126</v>
      </c>
      <c r="B144" s="9"/>
      <c r="C144" s="13"/>
      <c r="D144" s="11">
        <f t="shared" si="2"/>
        <v>0</v>
      </c>
    </row>
    <row r="145" spans="1:4" ht="18" hidden="1" x14ac:dyDescent="0.35">
      <c r="A145" s="18" t="s">
        <v>125</v>
      </c>
      <c r="B145" s="9"/>
      <c r="C145" s="12">
        <v>7000</v>
      </c>
      <c r="D145" s="11">
        <f t="shared" si="2"/>
        <v>0</v>
      </c>
    </row>
    <row r="146" spans="1:4" ht="18" hidden="1" x14ac:dyDescent="0.35">
      <c r="A146" s="18"/>
      <c r="B146" s="9"/>
      <c r="C146" s="12">
        <v>6500</v>
      </c>
      <c r="D146" s="11">
        <f t="shared" si="2"/>
        <v>0</v>
      </c>
    </row>
    <row r="147" spans="1:4" ht="18" hidden="1" x14ac:dyDescent="0.35">
      <c r="A147" s="18"/>
      <c r="B147" s="9"/>
      <c r="C147" s="12">
        <v>5500</v>
      </c>
      <c r="D147" s="11">
        <f t="shared" si="2"/>
        <v>0</v>
      </c>
    </row>
    <row r="148" spans="1:4" ht="18" hidden="1" x14ac:dyDescent="0.35">
      <c r="A148" s="8" t="s">
        <v>127</v>
      </c>
      <c r="B148" s="9"/>
      <c r="C148" s="13"/>
      <c r="D148" s="11">
        <f t="shared" si="2"/>
        <v>0</v>
      </c>
    </row>
    <row r="149" spans="1:4" ht="18.75" x14ac:dyDescent="0.25">
      <c r="A149" s="8" t="s">
        <v>128</v>
      </c>
      <c r="B149" s="9">
        <v>14</v>
      </c>
      <c r="C149" s="10">
        <v>8000</v>
      </c>
      <c r="D149" s="11">
        <f t="shared" si="2"/>
        <v>112000</v>
      </c>
    </row>
    <row r="150" spans="1:4" ht="18" hidden="1" x14ac:dyDescent="0.35">
      <c r="A150" s="8" t="s">
        <v>132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129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130</v>
      </c>
      <c r="B152" s="9"/>
      <c r="C152" s="12">
        <v>8000</v>
      </c>
      <c r="D152" s="11">
        <f t="shared" si="2"/>
        <v>0</v>
      </c>
    </row>
    <row r="153" spans="1:4" ht="18" hidden="1" x14ac:dyDescent="0.35">
      <c r="A153" s="8"/>
      <c r="B153" s="9"/>
      <c r="C153" s="12">
        <v>8000</v>
      </c>
      <c r="D153" s="11">
        <f t="shared" si="2"/>
        <v>0</v>
      </c>
    </row>
    <row r="154" spans="1:4" ht="18" hidden="1" x14ac:dyDescent="0.35">
      <c r="A154" s="8"/>
      <c r="B154" s="9"/>
      <c r="C154" s="13">
        <v>9000</v>
      </c>
      <c r="D154" s="11">
        <f t="shared" si="2"/>
        <v>0</v>
      </c>
    </row>
    <row r="155" spans="1:4" ht="18" hidden="1" x14ac:dyDescent="0.35">
      <c r="A155" s="8"/>
      <c r="B155" s="9"/>
      <c r="C155" s="13">
        <v>8000</v>
      </c>
      <c r="D155" s="11">
        <f t="shared" si="2"/>
        <v>0</v>
      </c>
    </row>
    <row r="156" spans="1:4" ht="18" hidden="1" x14ac:dyDescent="0.35">
      <c r="A156" s="8"/>
      <c r="B156" s="9"/>
      <c r="C156" s="13">
        <v>6500</v>
      </c>
      <c r="D156" s="11">
        <f t="shared" si="2"/>
        <v>0</v>
      </c>
    </row>
    <row r="157" spans="1:4" ht="18" hidden="1" x14ac:dyDescent="0.35">
      <c r="A157" s="8" t="s">
        <v>131</v>
      </c>
      <c r="B157" s="9"/>
      <c r="C157" s="12"/>
      <c r="D157" s="11">
        <f t="shared" si="2"/>
        <v>0</v>
      </c>
    </row>
    <row r="158" spans="1:4" ht="18" hidden="1" x14ac:dyDescent="0.35">
      <c r="A158" s="8" t="s">
        <v>133</v>
      </c>
      <c r="B158" s="9"/>
      <c r="C158" s="10">
        <v>4000</v>
      </c>
      <c r="D158" s="11">
        <f t="shared" si="2"/>
        <v>0</v>
      </c>
    </row>
    <row r="159" spans="1:4" ht="18" hidden="1" x14ac:dyDescent="0.35">
      <c r="A159" s="8" t="s">
        <v>134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136</v>
      </c>
      <c r="B160" s="9"/>
      <c r="C160" s="10">
        <v>15000</v>
      </c>
      <c r="D160" s="11">
        <f t="shared" si="2"/>
        <v>0</v>
      </c>
    </row>
    <row r="161" spans="1:4" ht="18" hidden="1" x14ac:dyDescent="0.35">
      <c r="A161" s="8" t="s">
        <v>135</v>
      </c>
      <c r="B161" s="9"/>
      <c r="C161" s="19"/>
      <c r="D161" s="11">
        <f t="shared" si="2"/>
        <v>0</v>
      </c>
    </row>
    <row r="162" spans="1:4" ht="18" hidden="1" x14ac:dyDescent="0.35">
      <c r="A162" s="8" t="s">
        <v>137</v>
      </c>
      <c r="B162" s="9"/>
      <c r="C162" s="13"/>
      <c r="D162" s="11">
        <f t="shared" si="2"/>
        <v>0</v>
      </c>
    </row>
    <row r="163" spans="1:4" ht="18" hidden="1" x14ac:dyDescent="0.35">
      <c r="A163" s="8" t="s">
        <v>138</v>
      </c>
      <c r="B163" s="9"/>
      <c r="C163" s="13">
        <v>25000</v>
      </c>
      <c r="D163" s="11">
        <f t="shared" si="2"/>
        <v>0</v>
      </c>
    </row>
    <row r="164" spans="1:4" ht="18" hidden="1" x14ac:dyDescent="0.35">
      <c r="A164" s="23" t="s">
        <v>139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140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142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147</v>
      </c>
      <c r="B167" s="9"/>
      <c r="C167" s="12"/>
      <c r="D167" s="11">
        <f t="shared" si="2"/>
        <v>0</v>
      </c>
    </row>
    <row r="168" spans="1:4" ht="18.75" x14ac:dyDescent="0.25">
      <c r="A168" s="14" t="s">
        <v>141</v>
      </c>
      <c r="B168" s="9">
        <v>9</v>
      </c>
      <c r="C168" s="10">
        <v>11000</v>
      </c>
      <c r="D168" s="11">
        <f t="shared" si="2"/>
        <v>99000</v>
      </c>
    </row>
    <row r="169" spans="1:4" ht="18" hidden="1" x14ac:dyDescent="0.35">
      <c r="A169" s="8" t="s">
        <v>143</v>
      </c>
      <c r="B169" s="9"/>
      <c r="C169" s="13">
        <v>9000</v>
      </c>
      <c r="D169" s="11">
        <f t="shared" si="2"/>
        <v>0</v>
      </c>
    </row>
    <row r="170" spans="1:4" ht="18" hidden="1" x14ac:dyDescent="0.35">
      <c r="A170" s="8"/>
      <c r="B170" s="9"/>
      <c r="C170" s="13">
        <v>8000</v>
      </c>
      <c r="D170" s="11">
        <f t="shared" si="2"/>
        <v>0</v>
      </c>
    </row>
    <row r="171" spans="1:4" ht="18" hidden="1" x14ac:dyDescent="0.35">
      <c r="A171" s="8" t="s">
        <v>144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145</v>
      </c>
      <c r="B172" s="9"/>
      <c r="C172" s="12">
        <v>11000</v>
      </c>
      <c r="D172" s="11">
        <f t="shared" si="2"/>
        <v>0</v>
      </c>
    </row>
    <row r="173" spans="1:4" ht="18" hidden="1" x14ac:dyDescent="0.35">
      <c r="A173" s="8"/>
      <c r="B173" s="9"/>
      <c r="C173" s="12">
        <v>11000</v>
      </c>
      <c r="D173" s="11">
        <f t="shared" si="2"/>
        <v>0</v>
      </c>
    </row>
    <row r="174" spans="1:4" ht="18" hidden="1" x14ac:dyDescent="0.35">
      <c r="A174" s="8" t="s">
        <v>146</v>
      </c>
      <c r="B174" s="9"/>
      <c r="C174" s="12"/>
      <c r="D174" s="11">
        <f t="shared" si="2"/>
        <v>0</v>
      </c>
    </row>
    <row r="175" spans="1:4" ht="18" hidden="1" x14ac:dyDescent="0.35">
      <c r="A175" s="24" t="s">
        <v>148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150</v>
      </c>
      <c r="B176" s="9"/>
      <c r="C176" s="25"/>
      <c r="D176" s="11">
        <f t="shared" si="2"/>
        <v>0</v>
      </c>
    </row>
    <row r="177" spans="1:4" ht="18" hidden="1" x14ac:dyDescent="0.35">
      <c r="A177" s="14" t="s">
        <v>151</v>
      </c>
      <c r="B177" s="9"/>
      <c r="C177" s="10"/>
      <c r="D177" s="11">
        <f t="shared" si="2"/>
        <v>0</v>
      </c>
    </row>
    <row r="178" spans="1:4" ht="18" hidden="1" x14ac:dyDescent="0.35">
      <c r="A178" s="14" t="s">
        <v>152</v>
      </c>
      <c r="B178" s="9"/>
      <c r="C178" s="10"/>
      <c r="D178" s="11">
        <f t="shared" si="2"/>
        <v>0</v>
      </c>
    </row>
    <row r="179" spans="1:4" ht="18" hidden="1" x14ac:dyDescent="0.35">
      <c r="A179" s="8" t="s">
        <v>154</v>
      </c>
      <c r="B179" s="9"/>
      <c r="C179" s="10"/>
      <c r="D179" s="11">
        <f t="shared" si="2"/>
        <v>0</v>
      </c>
    </row>
    <row r="180" spans="1:4" ht="18" hidden="1" x14ac:dyDescent="0.35">
      <c r="A180" s="8" t="s">
        <v>149</v>
      </c>
      <c r="B180" s="9"/>
      <c r="C180" s="10">
        <v>18000</v>
      </c>
      <c r="D180" s="11">
        <f t="shared" si="2"/>
        <v>0</v>
      </c>
    </row>
    <row r="181" spans="1:4" ht="18" hidden="1" x14ac:dyDescent="0.35">
      <c r="A181" s="8" t="s">
        <v>153</v>
      </c>
      <c r="B181" s="9"/>
      <c r="C181" s="10"/>
      <c r="D181" s="11">
        <f t="shared" si="2"/>
        <v>0</v>
      </c>
    </row>
    <row r="182" spans="1:4" ht="18.75" x14ac:dyDescent="0.25">
      <c r="A182" s="8" t="s">
        <v>155</v>
      </c>
      <c r="B182" s="9">
        <v>20</v>
      </c>
      <c r="C182" s="10">
        <v>25000</v>
      </c>
      <c r="D182" s="11">
        <f t="shared" si="2"/>
        <v>500000</v>
      </c>
    </row>
    <row r="183" spans="1:4" ht="18.75" x14ac:dyDescent="0.25">
      <c r="A183" s="8" t="s">
        <v>156</v>
      </c>
      <c r="B183" s="9">
        <v>3</v>
      </c>
      <c r="C183" s="10">
        <v>40000</v>
      </c>
      <c r="D183" s="11">
        <f t="shared" si="2"/>
        <v>120000</v>
      </c>
    </row>
    <row r="184" spans="1:4" ht="18" hidden="1" x14ac:dyDescent="0.35">
      <c r="A184" s="8" t="s">
        <v>157</v>
      </c>
      <c r="B184" s="9"/>
      <c r="C184" s="10">
        <v>15000</v>
      </c>
      <c r="D184" s="11">
        <f t="shared" si="2"/>
        <v>0</v>
      </c>
    </row>
    <row r="185" spans="1:4" ht="18" hidden="1" x14ac:dyDescent="0.35">
      <c r="A185" s="8" t="s">
        <v>161</v>
      </c>
      <c r="B185" s="9"/>
      <c r="C185" s="10">
        <v>30000</v>
      </c>
      <c r="D185" s="11">
        <f t="shared" si="2"/>
        <v>0</v>
      </c>
    </row>
    <row r="186" spans="1:4" ht="18" hidden="1" x14ac:dyDescent="0.35">
      <c r="A186" s="8" t="s">
        <v>158</v>
      </c>
      <c r="B186" s="9"/>
      <c r="C186" s="10"/>
      <c r="D186" s="11">
        <f t="shared" si="2"/>
        <v>0</v>
      </c>
    </row>
    <row r="187" spans="1:4" ht="18" hidden="1" x14ac:dyDescent="0.35">
      <c r="A187" s="8" t="s">
        <v>159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160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162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163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164</v>
      </c>
      <c r="B191" s="9"/>
      <c r="C191" s="15"/>
      <c r="D191" s="11">
        <f t="shared" si="2"/>
        <v>0</v>
      </c>
    </row>
    <row r="192" spans="1:4" ht="18" hidden="1" x14ac:dyDescent="0.35">
      <c r="A192" s="8" t="s">
        <v>167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170</v>
      </c>
      <c r="B193" s="9"/>
      <c r="C193" s="10"/>
      <c r="D193" s="11">
        <f t="shared" si="2"/>
        <v>0</v>
      </c>
    </row>
    <row r="194" spans="1:4" ht="18.75" x14ac:dyDescent="0.25">
      <c r="A194" s="8" t="s">
        <v>165</v>
      </c>
      <c r="B194" s="9">
        <v>60</v>
      </c>
      <c r="C194" s="10">
        <v>23000</v>
      </c>
      <c r="D194" s="11">
        <f t="shared" si="2"/>
        <v>1380000</v>
      </c>
    </row>
    <row r="195" spans="1:4" ht="18.75" x14ac:dyDescent="0.25">
      <c r="A195" s="26" t="s">
        <v>166</v>
      </c>
      <c r="B195" s="9">
        <v>68</v>
      </c>
      <c r="C195" s="10">
        <v>15000</v>
      </c>
      <c r="D195" s="11">
        <f t="shared" si="2"/>
        <v>1020000</v>
      </c>
    </row>
    <row r="196" spans="1:4" ht="18.75" x14ac:dyDescent="0.25">
      <c r="A196" s="8" t="s">
        <v>168</v>
      </c>
      <c r="B196" s="9">
        <v>100</v>
      </c>
      <c r="C196" s="12">
        <v>13000</v>
      </c>
      <c r="D196" s="11">
        <f t="shared" ref="D196:D249" si="3">B196*C196</f>
        <v>1300000</v>
      </c>
    </row>
    <row r="197" spans="1:4" ht="18.75" x14ac:dyDescent="0.25">
      <c r="A197" s="8" t="s">
        <v>169</v>
      </c>
      <c r="B197" s="9">
        <v>10</v>
      </c>
      <c r="C197" s="10">
        <v>13000</v>
      </c>
      <c r="D197" s="11">
        <f t="shared" si="3"/>
        <v>130000</v>
      </c>
    </row>
    <row r="198" spans="1:4" ht="18" hidden="1" x14ac:dyDescent="0.35">
      <c r="A198" s="8" t="s">
        <v>171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172</v>
      </c>
      <c r="B199" s="9"/>
      <c r="C199" s="13"/>
      <c r="D199" s="11">
        <f t="shared" si="3"/>
        <v>0</v>
      </c>
    </row>
    <row r="200" spans="1:4" ht="18" hidden="1" x14ac:dyDescent="0.35">
      <c r="A200" s="8" t="s">
        <v>173</v>
      </c>
      <c r="B200" s="9"/>
      <c r="C200" s="13">
        <v>25000</v>
      </c>
      <c r="D200" s="11">
        <f t="shared" si="3"/>
        <v>0</v>
      </c>
    </row>
    <row r="201" spans="1:4" ht="18" hidden="1" x14ac:dyDescent="0.35">
      <c r="A201" s="27" t="s">
        <v>178</v>
      </c>
      <c r="B201" s="9"/>
      <c r="C201" s="12">
        <v>27000</v>
      </c>
      <c r="D201" s="11">
        <f t="shared" si="3"/>
        <v>0</v>
      </c>
    </row>
    <row r="202" spans="1:4" ht="18" hidden="1" x14ac:dyDescent="0.35">
      <c r="A202" s="27" t="s">
        <v>179</v>
      </c>
      <c r="B202" s="9"/>
      <c r="C202" s="13">
        <v>6100</v>
      </c>
      <c r="D202" s="11">
        <f t="shared" si="3"/>
        <v>0</v>
      </c>
    </row>
    <row r="203" spans="1:4" ht="18" hidden="1" x14ac:dyDescent="0.35">
      <c r="A203" s="27" t="s">
        <v>180</v>
      </c>
      <c r="B203" s="9"/>
      <c r="C203" s="13">
        <v>5500</v>
      </c>
      <c r="D203" s="11">
        <f t="shared" si="3"/>
        <v>0</v>
      </c>
    </row>
    <row r="204" spans="1:4" ht="18" hidden="1" x14ac:dyDescent="0.35">
      <c r="A204" s="8" t="s">
        <v>183</v>
      </c>
      <c r="B204" s="9"/>
      <c r="C204" s="13">
        <v>6100</v>
      </c>
      <c r="D204" s="11">
        <f t="shared" si="3"/>
        <v>0</v>
      </c>
    </row>
    <row r="205" spans="1:4" ht="18" hidden="1" x14ac:dyDescent="0.35">
      <c r="A205" s="8" t="s">
        <v>184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185</v>
      </c>
      <c r="B206" s="9"/>
      <c r="C206" s="13">
        <v>25000</v>
      </c>
      <c r="D206" s="11">
        <f t="shared" si="3"/>
        <v>0</v>
      </c>
    </row>
    <row r="207" spans="1:4" ht="18" hidden="1" x14ac:dyDescent="0.35">
      <c r="A207" s="8" t="s">
        <v>174</v>
      </c>
      <c r="B207" s="9"/>
      <c r="C207" s="13">
        <v>6100</v>
      </c>
      <c r="D207" s="11">
        <f t="shared" si="3"/>
        <v>0</v>
      </c>
    </row>
    <row r="208" spans="1:4" ht="18" hidden="1" x14ac:dyDescent="0.35">
      <c r="A208" s="8" t="s">
        <v>175</v>
      </c>
      <c r="B208" s="9"/>
      <c r="C208" s="13"/>
      <c r="D208" s="11">
        <f t="shared" si="3"/>
        <v>0</v>
      </c>
    </row>
    <row r="209" spans="1:4" ht="18" hidden="1" x14ac:dyDescent="0.35">
      <c r="A209" s="8" t="s">
        <v>176</v>
      </c>
      <c r="B209" s="9"/>
      <c r="C209" s="13"/>
      <c r="D209" s="11">
        <f t="shared" si="3"/>
        <v>0</v>
      </c>
    </row>
    <row r="210" spans="1:4" ht="18" hidden="1" x14ac:dyDescent="0.35">
      <c r="A210" s="8" t="s">
        <v>177</v>
      </c>
      <c r="B210" s="9"/>
      <c r="C210" s="12"/>
      <c r="D210" s="11">
        <f t="shared" si="3"/>
        <v>0</v>
      </c>
    </row>
    <row r="211" spans="1:4" ht="18" hidden="1" x14ac:dyDescent="0.35">
      <c r="A211" s="27" t="s">
        <v>181</v>
      </c>
      <c r="B211" s="9"/>
      <c r="C211" s="12"/>
      <c r="D211" s="11">
        <f t="shared" si="3"/>
        <v>0</v>
      </c>
    </row>
    <row r="212" spans="1:4" ht="18" hidden="1" x14ac:dyDescent="0.35">
      <c r="A212" s="27" t="s">
        <v>182</v>
      </c>
      <c r="B212" s="9"/>
      <c r="C212" s="12"/>
      <c r="D212" s="11">
        <f t="shared" si="3"/>
        <v>0</v>
      </c>
    </row>
    <row r="213" spans="1:4" ht="18" hidden="1" x14ac:dyDescent="0.35">
      <c r="A213" s="8" t="s">
        <v>186</v>
      </c>
      <c r="B213" s="9"/>
      <c r="C213" s="13">
        <v>25000</v>
      </c>
      <c r="D213" s="11">
        <f t="shared" si="3"/>
        <v>0</v>
      </c>
    </row>
    <row r="214" spans="1:4" ht="18" hidden="1" x14ac:dyDescent="0.35">
      <c r="A214" s="8" t="s">
        <v>187</v>
      </c>
      <c r="B214" s="9"/>
      <c r="C214" s="13"/>
      <c r="D214" s="11">
        <f t="shared" si="3"/>
        <v>0</v>
      </c>
    </row>
    <row r="215" spans="1:4" ht="18" hidden="1" x14ac:dyDescent="0.35">
      <c r="A215" s="8" t="s">
        <v>188</v>
      </c>
      <c r="B215" s="9"/>
      <c r="C215" s="10">
        <v>11000</v>
      </c>
      <c r="D215" s="11">
        <f t="shared" si="3"/>
        <v>0</v>
      </c>
    </row>
    <row r="216" spans="1:4" ht="18" hidden="1" x14ac:dyDescent="0.35">
      <c r="A216" s="8" t="s">
        <v>189</v>
      </c>
      <c r="B216" s="9"/>
      <c r="C216" s="13"/>
      <c r="D216" s="11">
        <f t="shared" si="3"/>
        <v>0</v>
      </c>
    </row>
    <row r="217" spans="1:4" ht="18" hidden="1" x14ac:dyDescent="0.35">
      <c r="A217" s="8" t="s">
        <v>190</v>
      </c>
      <c r="B217" s="9"/>
      <c r="C217" s="12"/>
      <c r="D217" s="11">
        <f t="shared" si="3"/>
        <v>0</v>
      </c>
    </row>
    <row r="218" spans="1:4" ht="18" hidden="1" x14ac:dyDescent="0.35">
      <c r="A218" s="8" t="s">
        <v>191</v>
      </c>
      <c r="B218" s="9"/>
      <c r="C218" s="10"/>
      <c r="D218" s="11">
        <f t="shared" si="3"/>
        <v>0</v>
      </c>
    </row>
    <row r="219" spans="1:4" ht="18" hidden="1" x14ac:dyDescent="0.35">
      <c r="A219" s="8" t="s">
        <v>193</v>
      </c>
      <c r="B219" s="9"/>
      <c r="C219" s="10">
        <v>18000</v>
      </c>
      <c r="D219" s="11">
        <f t="shared" si="3"/>
        <v>0</v>
      </c>
    </row>
    <row r="220" spans="1:4" ht="18.75" x14ac:dyDescent="0.25">
      <c r="A220" s="8" t="s">
        <v>192</v>
      </c>
      <c r="B220" s="9">
        <v>27</v>
      </c>
      <c r="C220" s="13">
        <v>42000</v>
      </c>
      <c r="D220" s="11">
        <f t="shared" si="3"/>
        <v>1134000</v>
      </c>
    </row>
    <row r="221" spans="1:4" ht="18" hidden="1" x14ac:dyDescent="0.35">
      <c r="A221" s="8"/>
      <c r="B221" s="9"/>
      <c r="C221" s="13">
        <v>42000</v>
      </c>
      <c r="D221" s="11">
        <f t="shared" si="3"/>
        <v>0</v>
      </c>
    </row>
    <row r="222" spans="1:4" ht="18" hidden="1" x14ac:dyDescent="0.35">
      <c r="A222" s="8"/>
      <c r="B222" s="9"/>
      <c r="C222" s="13">
        <v>42000</v>
      </c>
      <c r="D222" s="11">
        <f t="shared" si="3"/>
        <v>0</v>
      </c>
    </row>
    <row r="223" spans="1:4" ht="18" hidden="1" x14ac:dyDescent="0.35">
      <c r="A223" s="8"/>
      <c r="B223" s="9"/>
      <c r="C223" s="13">
        <v>42000</v>
      </c>
      <c r="D223" s="11">
        <f t="shared" si="3"/>
        <v>0</v>
      </c>
    </row>
    <row r="224" spans="1:4" ht="18" hidden="1" x14ac:dyDescent="0.35">
      <c r="A224" s="8" t="s">
        <v>194</v>
      </c>
      <c r="B224" s="9"/>
      <c r="C224" s="10"/>
      <c r="D224" s="11">
        <f t="shared" si="3"/>
        <v>0</v>
      </c>
    </row>
    <row r="225" spans="1:4" ht="18" hidden="1" x14ac:dyDescent="0.35">
      <c r="A225" s="8"/>
      <c r="B225" s="9"/>
      <c r="C225" s="10">
        <v>36000</v>
      </c>
      <c r="D225" s="11">
        <f t="shared" si="3"/>
        <v>0</v>
      </c>
    </row>
    <row r="226" spans="1:4" ht="18" hidden="1" x14ac:dyDescent="0.35">
      <c r="A226" s="8"/>
      <c r="B226" s="9"/>
      <c r="C226" s="10">
        <v>36000</v>
      </c>
      <c r="D226" s="11">
        <f t="shared" si="3"/>
        <v>0</v>
      </c>
    </row>
    <row r="227" spans="1:4" ht="18.75" x14ac:dyDescent="0.25">
      <c r="A227" s="8" t="s">
        <v>195</v>
      </c>
      <c r="B227" s="9">
        <v>37</v>
      </c>
      <c r="C227" s="10">
        <v>35000</v>
      </c>
      <c r="D227" s="11">
        <f t="shared" si="3"/>
        <v>1295000</v>
      </c>
    </row>
    <row r="228" spans="1:4" ht="18" hidden="1" x14ac:dyDescent="0.35">
      <c r="A228" s="14" t="s">
        <v>196</v>
      </c>
      <c r="B228" s="9"/>
      <c r="C228" s="12"/>
      <c r="D228" s="11">
        <f t="shared" si="3"/>
        <v>0</v>
      </c>
    </row>
    <row r="229" spans="1:4" ht="18.75" x14ac:dyDescent="0.25">
      <c r="A229" s="14" t="s">
        <v>197</v>
      </c>
      <c r="B229" s="9">
        <v>4</v>
      </c>
      <c r="C229" s="10">
        <v>12000</v>
      </c>
      <c r="D229" s="11">
        <f t="shared" si="3"/>
        <v>48000</v>
      </c>
    </row>
    <row r="230" spans="1:4" ht="18" hidden="1" x14ac:dyDescent="0.35">
      <c r="A230" s="8" t="s">
        <v>198</v>
      </c>
      <c r="B230" s="9"/>
      <c r="C230" s="10">
        <v>6000</v>
      </c>
      <c r="D230" s="11">
        <f t="shared" si="3"/>
        <v>0</v>
      </c>
    </row>
    <row r="231" spans="1:4" ht="18" hidden="1" x14ac:dyDescent="0.35">
      <c r="A231" s="8" t="s">
        <v>199</v>
      </c>
      <c r="B231" s="9"/>
      <c r="C231" s="12">
        <v>13000</v>
      </c>
      <c r="D231" s="11">
        <f t="shared" si="3"/>
        <v>0</v>
      </c>
    </row>
    <row r="232" spans="1:4" ht="18" hidden="1" x14ac:dyDescent="0.35">
      <c r="A232" s="8"/>
      <c r="B232" s="9"/>
      <c r="C232" s="12">
        <v>15000</v>
      </c>
      <c r="D232" s="11">
        <f t="shared" si="3"/>
        <v>0</v>
      </c>
    </row>
    <row r="233" spans="1:4" ht="18" hidden="1" x14ac:dyDescent="0.35">
      <c r="A233" s="8" t="s">
        <v>200</v>
      </c>
      <c r="B233" s="9"/>
      <c r="C233" s="12"/>
      <c r="D233" s="11">
        <f t="shared" si="3"/>
        <v>0</v>
      </c>
    </row>
    <row r="234" spans="1:4" ht="18" hidden="1" x14ac:dyDescent="0.35">
      <c r="A234" s="8" t="s">
        <v>201</v>
      </c>
      <c r="B234" s="9"/>
      <c r="C234" s="19"/>
      <c r="D234" s="11">
        <f t="shared" si="3"/>
        <v>0</v>
      </c>
    </row>
    <row r="235" spans="1:4" ht="18" hidden="1" x14ac:dyDescent="0.35">
      <c r="A235" s="8" t="s">
        <v>202</v>
      </c>
      <c r="B235" s="9"/>
      <c r="C235" s="12">
        <v>12000</v>
      </c>
      <c r="D235" s="11">
        <f t="shared" si="3"/>
        <v>0</v>
      </c>
    </row>
    <row r="236" spans="1:4" ht="18" hidden="1" x14ac:dyDescent="0.35">
      <c r="A236" s="8" t="s">
        <v>203</v>
      </c>
      <c r="B236" s="9"/>
      <c r="C236" s="12"/>
      <c r="D236" s="11">
        <f t="shared" si="3"/>
        <v>0</v>
      </c>
    </row>
    <row r="237" spans="1:4" ht="18.75" x14ac:dyDescent="0.25">
      <c r="A237" s="8" t="s">
        <v>204</v>
      </c>
      <c r="B237" s="9">
        <f>48+278+2215</f>
        <v>2541</v>
      </c>
      <c r="C237" s="13">
        <v>8500</v>
      </c>
      <c r="D237" s="11">
        <f t="shared" si="3"/>
        <v>21598500</v>
      </c>
    </row>
    <row r="238" spans="1:4" ht="18" hidden="1" x14ac:dyDescent="0.35">
      <c r="A238" s="8" t="s">
        <v>205</v>
      </c>
      <c r="B238" s="9"/>
      <c r="C238" s="10">
        <v>14000</v>
      </c>
      <c r="D238" s="11">
        <f t="shared" si="3"/>
        <v>0</v>
      </c>
    </row>
    <row r="239" spans="1:4" ht="18" hidden="1" x14ac:dyDescent="0.35">
      <c r="A239" s="8"/>
      <c r="B239" s="9"/>
      <c r="C239" s="10">
        <v>9000</v>
      </c>
      <c r="D239" s="11">
        <f t="shared" si="3"/>
        <v>0</v>
      </c>
    </row>
    <row r="240" spans="1:4" ht="18" hidden="1" x14ac:dyDescent="0.35">
      <c r="A240" s="8"/>
      <c r="B240" s="9"/>
      <c r="C240" s="10">
        <v>9000</v>
      </c>
      <c r="D240" s="11">
        <f t="shared" si="3"/>
        <v>0</v>
      </c>
    </row>
    <row r="241" spans="1:4" ht="18" hidden="1" x14ac:dyDescent="0.35">
      <c r="A241" s="8" t="s">
        <v>206</v>
      </c>
      <c r="B241" s="9"/>
      <c r="C241" s="13"/>
      <c r="D241" s="11">
        <f t="shared" si="3"/>
        <v>0</v>
      </c>
    </row>
    <row r="242" spans="1:4" ht="18" hidden="1" x14ac:dyDescent="0.35">
      <c r="A242" s="8" t="s">
        <v>207</v>
      </c>
      <c r="B242" s="9"/>
      <c r="C242" s="13"/>
      <c r="D242" s="11">
        <f t="shared" si="3"/>
        <v>0</v>
      </c>
    </row>
    <row r="243" spans="1:4" ht="18" hidden="1" x14ac:dyDescent="0.35">
      <c r="A243" s="8" t="s">
        <v>208</v>
      </c>
      <c r="B243" s="9"/>
      <c r="C243" s="13"/>
      <c r="D243" s="11">
        <f t="shared" si="3"/>
        <v>0</v>
      </c>
    </row>
    <row r="244" spans="1:4" ht="18" hidden="1" x14ac:dyDescent="0.35">
      <c r="A244" s="14" t="s">
        <v>209</v>
      </c>
      <c r="B244" s="9"/>
      <c r="C244" s="10"/>
      <c r="D244" s="11">
        <f t="shared" si="3"/>
        <v>0</v>
      </c>
    </row>
    <row r="245" spans="1:4" ht="18" hidden="1" x14ac:dyDescent="0.35">
      <c r="A245" s="8" t="s">
        <v>210</v>
      </c>
      <c r="B245" s="9"/>
      <c r="C245" s="12"/>
      <c r="D245" s="11">
        <f t="shared" si="3"/>
        <v>0</v>
      </c>
    </row>
    <row r="246" spans="1:4" ht="18" hidden="1" x14ac:dyDescent="0.35">
      <c r="A246" s="8" t="s">
        <v>211</v>
      </c>
      <c r="B246" s="9"/>
      <c r="C246" s="13"/>
      <c r="D246" s="11">
        <f t="shared" si="3"/>
        <v>0</v>
      </c>
    </row>
    <row r="247" spans="1:4" ht="18" hidden="1" x14ac:dyDescent="0.35">
      <c r="A247" s="8" t="s">
        <v>212</v>
      </c>
      <c r="B247" s="9"/>
      <c r="C247" s="13"/>
      <c r="D247" s="11">
        <f t="shared" si="3"/>
        <v>0</v>
      </c>
    </row>
    <row r="248" spans="1:4" ht="18" hidden="1" x14ac:dyDescent="0.35">
      <c r="A248" s="8" t="s">
        <v>213</v>
      </c>
      <c r="B248" s="9"/>
      <c r="C248" s="13"/>
      <c r="D248" s="11">
        <f t="shared" si="3"/>
        <v>0</v>
      </c>
    </row>
    <row r="249" spans="1:4" ht="18" hidden="1" x14ac:dyDescent="0.35">
      <c r="A249" s="8" t="s">
        <v>214</v>
      </c>
      <c r="B249" s="9"/>
      <c r="C249" s="13"/>
      <c r="D249" s="11">
        <f t="shared" si="3"/>
        <v>0</v>
      </c>
    </row>
    <row r="250" spans="1:4" ht="18.75" x14ac:dyDescent="0.25">
      <c r="A250" s="28"/>
      <c r="B250" s="29">
        <f t="shared" ref="B250" si="4">SUM(B4:B249)</f>
        <v>7177.5</v>
      </c>
      <c r="C250" s="35"/>
      <c r="D250" s="35">
        <f>SUM(D4:D214)</f>
        <v>84839000</v>
      </c>
    </row>
  </sheetData>
  <protectedRanges>
    <protectedRange password="CC4C" sqref="C1:C249" name="tho5"/>
    <protectedRange password="CF71" sqref="B1 B3:B249" name="tho"/>
    <protectedRange password="CCD0" sqref="B2" name="tho3"/>
  </protectedRanges>
  <autoFilter ref="A2:M25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0"/>
  <sheetViews>
    <sheetView workbookViewId="0">
      <selection activeCell="B2" sqref="B2"/>
    </sheetView>
  </sheetViews>
  <sheetFormatPr defaultRowHeight="15" x14ac:dyDescent="0.25"/>
  <cols>
    <col min="1" max="1" width="23.7109375" customWidth="1"/>
    <col min="2" max="2" width="11.28515625" customWidth="1"/>
    <col min="3" max="3" width="17" customWidth="1"/>
    <col min="4" max="4" width="18.140625" customWidth="1"/>
  </cols>
  <sheetData>
    <row r="1" spans="1:4" x14ac:dyDescent="0.25">
      <c r="A1" s="1" t="s">
        <v>219</v>
      </c>
      <c r="B1" s="2"/>
      <c r="C1" s="2"/>
      <c r="D1" s="3"/>
    </row>
    <row r="2" spans="1:4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34">
        <v>0</v>
      </c>
      <c r="C4" s="10">
        <v>10000</v>
      </c>
      <c r="D4" s="11">
        <f>B4*C4</f>
        <v>0</v>
      </c>
    </row>
    <row r="5" spans="1:4" ht="18" hidden="1" x14ac:dyDescent="0.35">
      <c r="A5" s="8"/>
      <c r="B5" s="34">
        <v>0</v>
      </c>
      <c r="C5" s="10">
        <v>19000</v>
      </c>
      <c r="D5" s="11">
        <f t="shared" ref="D5:D68" si="0">B5*C5</f>
        <v>0</v>
      </c>
    </row>
    <row r="6" spans="1:4" ht="18" hidden="1" x14ac:dyDescent="0.35">
      <c r="A6" s="8" t="s">
        <v>6</v>
      </c>
      <c r="B6" s="34">
        <v>0</v>
      </c>
      <c r="C6" s="10">
        <v>24000</v>
      </c>
      <c r="D6" s="11">
        <f t="shared" si="0"/>
        <v>0</v>
      </c>
    </row>
    <row r="7" spans="1:4" ht="18" hidden="1" x14ac:dyDescent="0.35">
      <c r="A7" s="8"/>
      <c r="B7" s="34">
        <v>0</v>
      </c>
      <c r="C7" s="10">
        <v>20000</v>
      </c>
      <c r="D7" s="11">
        <f t="shared" si="0"/>
        <v>0</v>
      </c>
    </row>
    <row r="8" spans="1:4" ht="18" hidden="1" x14ac:dyDescent="0.35">
      <c r="A8" s="8" t="s">
        <v>7</v>
      </c>
      <c r="B8" s="34">
        <v>0</v>
      </c>
      <c r="C8" s="10"/>
      <c r="D8" s="11">
        <f t="shared" si="0"/>
        <v>0</v>
      </c>
    </row>
    <row r="9" spans="1:4" ht="18.75" x14ac:dyDescent="0.25">
      <c r="A9" s="8" t="s">
        <v>8</v>
      </c>
      <c r="B9" s="34">
        <v>16</v>
      </c>
      <c r="C9" s="12">
        <v>38000</v>
      </c>
      <c r="D9" s="11">
        <f t="shared" si="0"/>
        <v>608000</v>
      </c>
    </row>
    <row r="10" spans="1:4" ht="18" hidden="1" x14ac:dyDescent="0.35">
      <c r="A10" s="8" t="s">
        <v>10</v>
      </c>
      <c r="B10" s="34">
        <v>0</v>
      </c>
      <c r="C10" s="10">
        <v>21000</v>
      </c>
      <c r="D10" s="11">
        <f t="shared" si="0"/>
        <v>0</v>
      </c>
    </row>
    <row r="11" spans="1:4" ht="18" hidden="1" x14ac:dyDescent="0.35">
      <c r="A11" s="8" t="s">
        <v>9</v>
      </c>
      <c r="B11" s="34">
        <v>0</v>
      </c>
      <c r="C11" s="10"/>
      <c r="D11" s="11">
        <f t="shared" si="0"/>
        <v>0</v>
      </c>
    </row>
    <row r="12" spans="1:4" ht="18.75" x14ac:dyDescent="0.25">
      <c r="A12" s="8" t="s">
        <v>11</v>
      </c>
      <c r="B12" s="34">
        <v>4</v>
      </c>
      <c r="C12" s="10">
        <v>36000</v>
      </c>
      <c r="D12" s="11">
        <f t="shared" si="0"/>
        <v>144000</v>
      </c>
    </row>
    <row r="13" spans="1:4" ht="18" hidden="1" x14ac:dyDescent="0.35">
      <c r="A13" s="8" t="s">
        <v>13</v>
      </c>
      <c r="B13" s="34">
        <v>0</v>
      </c>
      <c r="C13" s="10"/>
      <c r="D13" s="11">
        <f t="shared" si="0"/>
        <v>0</v>
      </c>
    </row>
    <row r="14" spans="1:4" ht="18" hidden="1" x14ac:dyDescent="0.35">
      <c r="A14" s="8" t="s">
        <v>14</v>
      </c>
      <c r="B14" s="34">
        <v>0</v>
      </c>
      <c r="C14" s="12">
        <v>50000</v>
      </c>
      <c r="D14" s="11">
        <f t="shared" si="0"/>
        <v>0</v>
      </c>
    </row>
    <row r="15" spans="1:4" ht="18" hidden="1" x14ac:dyDescent="0.35">
      <c r="A15" s="8" t="s">
        <v>16</v>
      </c>
      <c r="B15" s="34">
        <v>0</v>
      </c>
      <c r="C15" s="12"/>
      <c r="D15" s="11">
        <f t="shared" si="0"/>
        <v>0</v>
      </c>
    </row>
    <row r="16" spans="1:4" ht="18.75" x14ac:dyDescent="0.25">
      <c r="A16" s="8" t="s">
        <v>17</v>
      </c>
      <c r="B16" s="34">
        <v>14</v>
      </c>
      <c r="C16" s="10">
        <v>20000</v>
      </c>
      <c r="D16" s="11">
        <f t="shared" si="0"/>
        <v>280000</v>
      </c>
    </row>
    <row r="17" spans="1:4" ht="18" hidden="1" x14ac:dyDescent="0.35">
      <c r="A17" s="8" t="s">
        <v>19</v>
      </c>
      <c r="B17" s="34">
        <v>0</v>
      </c>
      <c r="C17" s="10"/>
      <c r="D17" s="11">
        <f t="shared" si="0"/>
        <v>0</v>
      </c>
    </row>
    <row r="18" spans="1:4" ht="18" hidden="1" x14ac:dyDescent="0.35">
      <c r="A18" s="8" t="s">
        <v>12</v>
      </c>
      <c r="B18" s="34">
        <v>0</v>
      </c>
      <c r="C18" s="10"/>
      <c r="D18" s="11">
        <f t="shared" si="0"/>
        <v>0</v>
      </c>
    </row>
    <row r="19" spans="1:4" ht="18" hidden="1" x14ac:dyDescent="0.35">
      <c r="A19" s="8" t="s">
        <v>15</v>
      </c>
      <c r="B19" s="34">
        <v>0</v>
      </c>
      <c r="C19" s="12"/>
      <c r="D19" s="11">
        <f t="shared" si="0"/>
        <v>0</v>
      </c>
    </row>
    <row r="20" spans="1:4" ht="18" hidden="1" x14ac:dyDescent="0.35">
      <c r="A20" s="8" t="s">
        <v>18</v>
      </c>
      <c r="B20" s="34">
        <v>0</v>
      </c>
      <c r="C20" s="10"/>
      <c r="D20" s="11">
        <f t="shared" si="0"/>
        <v>0</v>
      </c>
    </row>
    <row r="21" spans="1:4" ht="18.75" x14ac:dyDescent="0.25">
      <c r="A21" s="8" t="s">
        <v>20</v>
      </c>
      <c r="B21" s="34">
        <v>8</v>
      </c>
      <c r="C21" s="13">
        <v>11000</v>
      </c>
      <c r="D21" s="11">
        <f t="shared" si="0"/>
        <v>88000</v>
      </c>
    </row>
    <row r="22" spans="1:4" ht="18" hidden="1" x14ac:dyDescent="0.35">
      <c r="A22" s="8"/>
      <c r="B22" s="34">
        <v>0</v>
      </c>
      <c r="C22" s="13">
        <v>10000</v>
      </c>
      <c r="D22" s="11">
        <f t="shared" si="0"/>
        <v>0</v>
      </c>
    </row>
    <row r="23" spans="1:4" ht="18" hidden="1" x14ac:dyDescent="0.35">
      <c r="A23" s="8"/>
      <c r="B23" s="34">
        <v>0</v>
      </c>
      <c r="C23" s="13">
        <v>9000</v>
      </c>
      <c r="D23" s="11">
        <f t="shared" si="0"/>
        <v>0</v>
      </c>
    </row>
    <row r="24" spans="1:4" ht="18" hidden="1" x14ac:dyDescent="0.35">
      <c r="A24" s="8" t="s">
        <v>21</v>
      </c>
      <c r="B24" s="34">
        <v>0</v>
      </c>
      <c r="C24" s="10"/>
      <c r="D24" s="11">
        <f t="shared" si="0"/>
        <v>0</v>
      </c>
    </row>
    <row r="25" spans="1:4" ht="18" hidden="1" x14ac:dyDescent="0.35">
      <c r="A25" s="8" t="s">
        <v>22</v>
      </c>
      <c r="B25" s="34">
        <v>0</v>
      </c>
      <c r="C25" s="10"/>
      <c r="D25" s="11">
        <f t="shared" si="0"/>
        <v>0</v>
      </c>
    </row>
    <row r="26" spans="1:4" ht="18" hidden="1" x14ac:dyDescent="0.35">
      <c r="A26" s="8" t="s">
        <v>23</v>
      </c>
      <c r="B26" s="34">
        <v>0</v>
      </c>
      <c r="C26" s="10"/>
      <c r="D26" s="11">
        <f t="shared" si="0"/>
        <v>0</v>
      </c>
    </row>
    <row r="27" spans="1:4" ht="18" hidden="1" x14ac:dyDescent="0.35">
      <c r="A27" s="8" t="s">
        <v>24</v>
      </c>
      <c r="B27" s="34">
        <v>0</v>
      </c>
      <c r="C27" s="10"/>
      <c r="D27" s="11">
        <f t="shared" si="0"/>
        <v>0</v>
      </c>
    </row>
    <row r="28" spans="1:4" ht="18" hidden="1" x14ac:dyDescent="0.35">
      <c r="A28" s="14" t="s">
        <v>25</v>
      </c>
      <c r="B28" s="34">
        <v>0</v>
      </c>
      <c r="C28" s="13"/>
      <c r="D28" s="11">
        <f t="shared" si="0"/>
        <v>0</v>
      </c>
    </row>
    <row r="29" spans="1:4" ht="18" hidden="1" x14ac:dyDescent="0.35">
      <c r="A29" s="8" t="s">
        <v>26</v>
      </c>
      <c r="B29" s="34">
        <v>0</v>
      </c>
      <c r="C29" s="10"/>
      <c r="D29" s="11">
        <f t="shared" si="0"/>
        <v>0</v>
      </c>
    </row>
    <row r="30" spans="1:4" ht="18" hidden="1" x14ac:dyDescent="0.35">
      <c r="A30" s="14" t="s">
        <v>29</v>
      </c>
      <c r="B30" s="34">
        <v>0</v>
      </c>
      <c r="C30" s="15"/>
      <c r="D30" s="11">
        <f t="shared" si="0"/>
        <v>0</v>
      </c>
    </row>
    <row r="31" spans="1:4" ht="18" hidden="1" x14ac:dyDescent="0.35">
      <c r="A31" s="8" t="s">
        <v>27</v>
      </c>
      <c r="B31" s="34">
        <v>0</v>
      </c>
      <c r="C31" s="10">
        <v>12000</v>
      </c>
      <c r="D31" s="11">
        <f t="shared" si="0"/>
        <v>0</v>
      </c>
    </row>
    <row r="32" spans="1:4" ht="18" hidden="1" x14ac:dyDescent="0.35">
      <c r="A32" s="8" t="s">
        <v>28</v>
      </c>
      <c r="B32" s="34">
        <v>0</v>
      </c>
      <c r="C32" s="10">
        <v>6000</v>
      </c>
      <c r="D32" s="11">
        <f t="shared" si="0"/>
        <v>0</v>
      </c>
    </row>
    <row r="33" spans="1:4" ht="18" hidden="1" x14ac:dyDescent="0.35">
      <c r="A33" s="8" t="s">
        <v>30</v>
      </c>
      <c r="B33" s="34">
        <v>0</v>
      </c>
      <c r="C33" s="10">
        <v>9000</v>
      </c>
      <c r="D33" s="11">
        <f t="shared" si="0"/>
        <v>0</v>
      </c>
    </row>
    <row r="34" spans="1:4" ht="18" hidden="1" x14ac:dyDescent="0.35">
      <c r="A34" s="8"/>
      <c r="B34" s="34">
        <v>0</v>
      </c>
      <c r="C34" s="10">
        <v>10000</v>
      </c>
      <c r="D34" s="11">
        <f t="shared" si="0"/>
        <v>0</v>
      </c>
    </row>
    <row r="35" spans="1:4" ht="18" hidden="1" x14ac:dyDescent="0.35">
      <c r="A35" s="8"/>
      <c r="B35" s="34">
        <v>0</v>
      </c>
      <c r="C35" s="10">
        <v>10000</v>
      </c>
      <c r="D35" s="11">
        <f t="shared" si="0"/>
        <v>0</v>
      </c>
    </row>
    <row r="36" spans="1:4" ht="18" hidden="1" x14ac:dyDescent="0.35">
      <c r="A36" s="8"/>
      <c r="B36" s="34">
        <v>0</v>
      </c>
      <c r="C36" s="10">
        <v>6000</v>
      </c>
      <c r="D36" s="11">
        <f t="shared" si="0"/>
        <v>0</v>
      </c>
    </row>
    <row r="37" spans="1:4" ht="18" hidden="1" x14ac:dyDescent="0.35">
      <c r="A37" s="8" t="s">
        <v>31</v>
      </c>
      <c r="B37" s="34">
        <v>0</v>
      </c>
      <c r="C37" s="10">
        <v>10000</v>
      </c>
      <c r="D37" s="11">
        <f t="shared" si="0"/>
        <v>0</v>
      </c>
    </row>
    <row r="38" spans="1:4" ht="18" hidden="1" x14ac:dyDescent="0.35">
      <c r="A38" s="8" t="s">
        <v>34</v>
      </c>
      <c r="B38" s="34">
        <v>0</v>
      </c>
      <c r="C38" s="10">
        <v>8000</v>
      </c>
      <c r="D38" s="11">
        <f t="shared" si="0"/>
        <v>0</v>
      </c>
    </row>
    <row r="39" spans="1:4" ht="18" hidden="1" x14ac:dyDescent="0.35">
      <c r="A39" s="14" t="s">
        <v>32</v>
      </c>
      <c r="B39" s="34">
        <v>0</v>
      </c>
      <c r="C39" s="10"/>
      <c r="D39" s="11">
        <f t="shared" si="0"/>
        <v>0</v>
      </c>
    </row>
    <row r="40" spans="1:4" ht="18" hidden="1" x14ac:dyDescent="0.35">
      <c r="A40" s="8" t="s">
        <v>33</v>
      </c>
      <c r="B40" s="34">
        <v>0</v>
      </c>
      <c r="C40" s="13"/>
      <c r="D40" s="11">
        <f t="shared" si="0"/>
        <v>0</v>
      </c>
    </row>
    <row r="41" spans="1:4" ht="18" hidden="1" x14ac:dyDescent="0.35">
      <c r="A41" s="8" t="s">
        <v>35</v>
      </c>
      <c r="B41" s="34">
        <v>0</v>
      </c>
      <c r="C41" s="15">
        <v>110000</v>
      </c>
      <c r="D41" s="11">
        <f t="shared" si="0"/>
        <v>0</v>
      </c>
    </row>
    <row r="42" spans="1:4" ht="18" hidden="1" x14ac:dyDescent="0.35">
      <c r="A42" s="8" t="s">
        <v>36</v>
      </c>
      <c r="B42" s="34">
        <v>0</v>
      </c>
      <c r="C42" s="10"/>
      <c r="D42" s="11">
        <f t="shared" si="0"/>
        <v>0</v>
      </c>
    </row>
    <row r="43" spans="1:4" ht="18" hidden="1" x14ac:dyDescent="0.35">
      <c r="A43" s="14" t="s">
        <v>38</v>
      </c>
      <c r="B43" s="34">
        <v>0</v>
      </c>
      <c r="C43" s="10"/>
      <c r="D43" s="11">
        <f t="shared" si="0"/>
        <v>0</v>
      </c>
    </row>
    <row r="44" spans="1:4" ht="18" hidden="1" x14ac:dyDescent="0.35">
      <c r="A44" s="14" t="s">
        <v>37</v>
      </c>
      <c r="B44" s="34">
        <v>0</v>
      </c>
      <c r="C44" s="12">
        <v>20000</v>
      </c>
      <c r="D44" s="11">
        <f t="shared" si="0"/>
        <v>0</v>
      </c>
    </row>
    <row r="45" spans="1:4" ht="18.75" x14ac:dyDescent="0.25">
      <c r="A45" s="8" t="s">
        <v>42</v>
      </c>
      <c r="B45" s="34">
        <v>28</v>
      </c>
      <c r="C45" s="13">
        <v>11000</v>
      </c>
      <c r="D45" s="11">
        <f t="shared" si="0"/>
        <v>308000</v>
      </c>
    </row>
    <row r="46" spans="1:4" ht="18" hidden="1" x14ac:dyDescent="0.35">
      <c r="A46" s="8" t="s">
        <v>39</v>
      </c>
      <c r="B46" s="34">
        <v>0</v>
      </c>
      <c r="C46" s="10"/>
      <c r="D46" s="11">
        <f t="shared" si="0"/>
        <v>0</v>
      </c>
    </row>
    <row r="47" spans="1:4" ht="18" hidden="1" x14ac:dyDescent="0.35">
      <c r="A47" s="14" t="s">
        <v>40</v>
      </c>
      <c r="B47" s="34">
        <v>0</v>
      </c>
      <c r="C47" s="10"/>
      <c r="D47" s="11">
        <f t="shared" si="0"/>
        <v>0</v>
      </c>
    </row>
    <row r="48" spans="1:4" ht="18" hidden="1" x14ac:dyDescent="0.35">
      <c r="A48" s="8" t="s">
        <v>41</v>
      </c>
      <c r="B48" s="34">
        <v>0</v>
      </c>
      <c r="C48" s="10"/>
      <c r="D48" s="11">
        <f t="shared" si="0"/>
        <v>0</v>
      </c>
    </row>
    <row r="49" spans="1:4" ht="15.6" hidden="1" x14ac:dyDescent="0.35">
      <c r="A49" s="16" t="s">
        <v>43</v>
      </c>
      <c r="B49" s="34">
        <v>0</v>
      </c>
      <c r="C49" s="10"/>
      <c r="D49" s="11">
        <f t="shared" si="0"/>
        <v>0</v>
      </c>
    </row>
    <row r="50" spans="1:4" ht="18" hidden="1" x14ac:dyDescent="0.35">
      <c r="A50" s="8" t="s">
        <v>44</v>
      </c>
      <c r="B50" s="34">
        <v>0</v>
      </c>
      <c r="C50" s="10">
        <v>16000</v>
      </c>
      <c r="D50" s="11">
        <f t="shared" si="0"/>
        <v>0</v>
      </c>
    </row>
    <row r="51" spans="1:4" ht="18" hidden="1" x14ac:dyDescent="0.35">
      <c r="A51" s="8" t="s">
        <v>45</v>
      </c>
      <c r="B51" s="34">
        <v>0</v>
      </c>
      <c r="C51" s="10"/>
      <c r="D51" s="11">
        <f t="shared" si="0"/>
        <v>0</v>
      </c>
    </row>
    <row r="52" spans="1:4" ht="18" hidden="1" x14ac:dyDescent="0.35">
      <c r="A52" s="8" t="s">
        <v>47</v>
      </c>
      <c r="B52" s="34">
        <v>0</v>
      </c>
      <c r="C52" s="12"/>
      <c r="D52" s="11">
        <f t="shared" si="0"/>
        <v>0</v>
      </c>
    </row>
    <row r="53" spans="1:4" ht="18" hidden="1" x14ac:dyDescent="0.35">
      <c r="A53" s="8" t="s">
        <v>46</v>
      </c>
      <c r="B53" s="34">
        <v>0</v>
      </c>
      <c r="C53" s="12"/>
      <c r="D53" s="11">
        <f t="shared" si="0"/>
        <v>0</v>
      </c>
    </row>
    <row r="54" spans="1:4" ht="18.75" x14ac:dyDescent="0.25">
      <c r="A54" s="8" t="s">
        <v>48</v>
      </c>
      <c r="B54" s="34">
        <v>18</v>
      </c>
      <c r="C54" s="10">
        <v>25000</v>
      </c>
      <c r="D54" s="11">
        <f t="shared" si="0"/>
        <v>450000</v>
      </c>
    </row>
    <row r="55" spans="1:4" ht="18" hidden="1" x14ac:dyDescent="0.35">
      <c r="A55" s="8" t="s">
        <v>50</v>
      </c>
      <c r="B55" s="34">
        <v>0</v>
      </c>
      <c r="C55" s="10">
        <v>16000</v>
      </c>
      <c r="D55" s="11">
        <f t="shared" si="0"/>
        <v>0</v>
      </c>
    </row>
    <row r="56" spans="1:4" ht="18" hidden="1" x14ac:dyDescent="0.35">
      <c r="A56" s="8"/>
      <c r="B56" s="34">
        <v>0</v>
      </c>
      <c r="C56" s="10">
        <v>14500</v>
      </c>
      <c r="D56" s="11">
        <f t="shared" si="0"/>
        <v>0</v>
      </c>
    </row>
    <row r="57" spans="1:4" ht="18" hidden="1" x14ac:dyDescent="0.35">
      <c r="A57" s="8"/>
      <c r="B57" s="34">
        <v>0</v>
      </c>
      <c r="C57" s="10">
        <v>15000</v>
      </c>
      <c r="D57" s="11">
        <f t="shared" si="0"/>
        <v>0</v>
      </c>
    </row>
    <row r="58" spans="1:4" ht="18" hidden="1" x14ac:dyDescent="0.35">
      <c r="A58" s="8"/>
      <c r="B58" s="34">
        <v>0</v>
      </c>
      <c r="C58" s="10">
        <v>16000</v>
      </c>
      <c r="D58" s="11">
        <f t="shared" si="0"/>
        <v>0</v>
      </c>
    </row>
    <row r="59" spans="1:4" ht="18" hidden="1" x14ac:dyDescent="0.35">
      <c r="A59" s="8" t="s">
        <v>51</v>
      </c>
      <c r="B59" s="34">
        <v>0</v>
      </c>
      <c r="C59" s="10">
        <v>9000</v>
      </c>
      <c r="D59" s="11">
        <f t="shared" si="0"/>
        <v>0</v>
      </c>
    </row>
    <row r="60" spans="1:4" ht="18" hidden="1" x14ac:dyDescent="0.35">
      <c r="A60" s="8" t="s">
        <v>53</v>
      </c>
      <c r="B60" s="34">
        <v>0</v>
      </c>
      <c r="C60" s="10"/>
      <c r="D60" s="11">
        <f t="shared" si="0"/>
        <v>0</v>
      </c>
    </row>
    <row r="61" spans="1:4" ht="18" hidden="1" x14ac:dyDescent="0.35">
      <c r="A61" s="8" t="s">
        <v>54</v>
      </c>
      <c r="B61" s="34">
        <v>0</v>
      </c>
      <c r="C61" s="10">
        <v>22000</v>
      </c>
      <c r="D61" s="11">
        <f t="shared" si="0"/>
        <v>0</v>
      </c>
    </row>
    <row r="62" spans="1:4" ht="18" hidden="1" x14ac:dyDescent="0.35">
      <c r="A62" s="8" t="s">
        <v>49</v>
      </c>
      <c r="B62" s="34">
        <v>0</v>
      </c>
      <c r="C62" s="10"/>
      <c r="D62" s="11">
        <f t="shared" si="0"/>
        <v>0</v>
      </c>
    </row>
    <row r="63" spans="1:4" ht="18" hidden="1" x14ac:dyDescent="0.35">
      <c r="A63" s="8" t="s">
        <v>55</v>
      </c>
      <c r="B63" s="34">
        <v>0</v>
      </c>
      <c r="C63" s="10"/>
      <c r="D63" s="11">
        <f t="shared" si="0"/>
        <v>0</v>
      </c>
    </row>
    <row r="64" spans="1:4" ht="18" hidden="1" x14ac:dyDescent="0.35">
      <c r="A64" s="14" t="s">
        <v>56</v>
      </c>
      <c r="B64" s="34">
        <v>0</v>
      </c>
      <c r="C64" s="10">
        <v>38000</v>
      </c>
      <c r="D64" s="11">
        <f t="shared" si="0"/>
        <v>0</v>
      </c>
    </row>
    <row r="65" spans="1:4" ht="18" hidden="1" x14ac:dyDescent="0.35">
      <c r="A65" s="8" t="s">
        <v>52</v>
      </c>
      <c r="B65" s="34">
        <v>0</v>
      </c>
      <c r="C65" s="12"/>
      <c r="D65" s="11">
        <f t="shared" si="0"/>
        <v>0</v>
      </c>
    </row>
    <row r="66" spans="1:4" ht="18" x14ac:dyDescent="0.35">
      <c r="A66" s="8" t="s">
        <v>57</v>
      </c>
      <c r="B66" s="34">
        <v>40</v>
      </c>
      <c r="C66" s="10">
        <v>8000</v>
      </c>
      <c r="D66" s="11">
        <f t="shared" si="0"/>
        <v>320000</v>
      </c>
    </row>
    <row r="67" spans="1:4" ht="18" hidden="1" x14ac:dyDescent="0.35">
      <c r="A67" s="8"/>
      <c r="B67" s="34">
        <v>0</v>
      </c>
      <c r="C67" s="10">
        <v>8000</v>
      </c>
      <c r="D67" s="11">
        <f t="shared" si="0"/>
        <v>0</v>
      </c>
    </row>
    <row r="68" spans="1:4" ht="18" hidden="1" x14ac:dyDescent="0.35">
      <c r="A68" s="8"/>
      <c r="B68" s="34">
        <v>0</v>
      </c>
      <c r="C68" s="10">
        <v>7000</v>
      </c>
      <c r="D68" s="11">
        <f t="shared" si="0"/>
        <v>0</v>
      </c>
    </row>
    <row r="69" spans="1:4" ht="18" hidden="1" x14ac:dyDescent="0.35">
      <c r="A69" s="8"/>
      <c r="B69" s="34">
        <v>0</v>
      </c>
      <c r="C69" s="10">
        <v>7000</v>
      </c>
      <c r="D69" s="11">
        <f t="shared" ref="D69:D132" si="1">B69*C69</f>
        <v>0</v>
      </c>
    </row>
    <row r="70" spans="1:4" ht="18" hidden="1" x14ac:dyDescent="0.35">
      <c r="A70" s="8"/>
      <c r="B70" s="34">
        <v>0</v>
      </c>
      <c r="C70" s="10">
        <v>6000</v>
      </c>
      <c r="D70" s="11">
        <f t="shared" si="1"/>
        <v>0</v>
      </c>
    </row>
    <row r="71" spans="1:4" ht="18" hidden="1" x14ac:dyDescent="0.35">
      <c r="A71" s="8" t="s">
        <v>58</v>
      </c>
      <c r="B71" s="34">
        <v>0</v>
      </c>
      <c r="C71" s="13"/>
      <c r="D71" s="11">
        <f t="shared" si="1"/>
        <v>0</v>
      </c>
    </row>
    <row r="72" spans="1:4" ht="18" hidden="1" x14ac:dyDescent="0.35">
      <c r="A72" s="14" t="s">
        <v>59</v>
      </c>
      <c r="B72" s="34">
        <v>0</v>
      </c>
      <c r="C72" s="10"/>
      <c r="D72" s="11">
        <f t="shared" si="1"/>
        <v>0</v>
      </c>
    </row>
    <row r="73" spans="1:4" ht="18" hidden="1" x14ac:dyDescent="0.35">
      <c r="A73" s="8" t="s">
        <v>60</v>
      </c>
      <c r="B73" s="34">
        <v>0</v>
      </c>
      <c r="C73" s="12">
        <v>15000</v>
      </c>
      <c r="D73" s="11">
        <f t="shared" si="1"/>
        <v>0</v>
      </c>
    </row>
    <row r="74" spans="1:4" ht="18" hidden="1" x14ac:dyDescent="0.35">
      <c r="A74" s="8" t="s">
        <v>61</v>
      </c>
      <c r="B74" s="34">
        <v>0</v>
      </c>
      <c r="C74" s="10"/>
      <c r="D74" s="11">
        <f t="shared" si="1"/>
        <v>0</v>
      </c>
    </row>
    <row r="75" spans="1:4" ht="18" hidden="1" x14ac:dyDescent="0.35">
      <c r="A75" s="18" t="s">
        <v>62</v>
      </c>
      <c r="B75" s="34">
        <v>0</v>
      </c>
      <c r="C75" s="19"/>
      <c r="D75" s="11">
        <f t="shared" si="1"/>
        <v>0</v>
      </c>
    </row>
    <row r="76" spans="1:4" ht="18" hidden="1" x14ac:dyDescent="0.35">
      <c r="A76" s="18" t="s">
        <v>63</v>
      </c>
      <c r="B76" s="34">
        <v>0</v>
      </c>
      <c r="C76" s="10">
        <v>20000</v>
      </c>
      <c r="D76" s="11">
        <f t="shared" si="1"/>
        <v>0</v>
      </c>
    </row>
    <row r="77" spans="1:4" ht="18" hidden="1" x14ac:dyDescent="0.35">
      <c r="A77" s="14" t="s">
        <v>66</v>
      </c>
      <c r="B77" s="34">
        <v>0</v>
      </c>
      <c r="C77" s="10"/>
      <c r="D77" s="11">
        <f t="shared" si="1"/>
        <v>0</v>
      </c>
    </row>
    <row r="78" spans="1:4" ht="18" hidden="1" x14ac:dyDescent="0.35">
      <c r="A78" s="14" t="s">
        <v>64</v>
      </c>
      <c r="B78" s="34">
        <v>0</v>
      </c>
      <c r="C78" s="10">
        <v>15000</v>
      </c>
      <c r="D78" s="11">
        <f t="shared" si="1"/>
        <v>0</v>
      </c>
    </row>
    <row r="79" spans="1:4" ht="18" hidden="1" x14ac:dyDescent="0.35">
      <c r="A79" s="14"/>
      <c r="B79" s="34">
        <v>0</v>
      </c>
      <c r="C79" s="10">
        <v>16000</v>
      </c>
      <c r="D79" s="11">
        <f t="shared" si="1"/>
        <v>0</v>
      </c>
    </row>
    <row r="80" spans="1:4" ht="18" hidden="1" x14ac:dyDescent="0.35">
      <c r="A80" s="8" t="s">
        <v>65</v>
      </c>
      <c r="B80" s="34">
        <v>0</v>
      </c>
      <c r="C80" s="12">
        <v>12000</v>
      </c>
      <c r="D80" s="11">
        <f t="shared" si="1"/>
        <v>0</v>
      </c>
    </row>
    <row r="81" spans="1:4" ht="18" hidden="1" x14ac:dyDescent="0.35">
      <c r="A81" s="8" t="s">
        <v>67</v>
      </c>
      <c r="B81" s="34">
        <v>0</v>
      </c>
      <c r="C81" s="13"/>
      <c r="D81" s="11">
        <f t="shared" si="1"/>
        <v>0</v>
      </c>
    </row>
    <row r="82" spans="1:4" ht="18" hidden="1" x14ac:dyDescent="0.35">
      <c r="A82" s="8" t="s">
        <v>68</v>
      </c>
      <c r="B82" s="34">
        <v>0</v>
      </c>
      <c r="C82" s="10">
        <v>8000</v>
      </c>
      <c r="D82" s="11">
        <f t="shared" si="1"/>
        <v>0</v>
      </c>
    </row>
    <row r="83" spans="1:4" ht="18" hidden="1" x14ac:dyDescent="0.35">
      <c r="A83" s="14" t="s">
        <v>69</v>
      </c>
      <c r="B83" s="34">
        <v>0</v>
      </c>
      <c r="C83" s="15">
        <v>10500</v>
      </c>
      <c r="D83" s="11">
        <f t="shared" si="1"/>
        <v>0</v>
      </c>
    </row>
    <row r="84" spans="1:4" ht="18" hidden="1" x14ac:dyDescent="0.35">
      <c r="A84" s="14"/>
      <c r="B84" s="34">
        <v>0</v>
      </c>
      <c r="C84" s="15">
        <v>9300</v>
      </c>
      <c r="D84" s="11">
        <f t="shared" si="1"/>
        <v>0</v>
      </c>
    </row>
    <row r="85" spans="1:4" ht="18" hidden="1" x14ac:dyDescent="0.35">
      <c r="A85" s="14" t="s">
        <v>70</v>
      </c>
      <c r="B85" s="34">
        <v>0</v>
      </c>
      <c r="C85" s="15"/>
      <c r="D85" s="11">
        <f t="shared" si="1"/>
        <v>0</v>
      </c>
    </row>
    <row r="86" spans="1:4" ht="18.75" x14ac:dyDescent="0.25">
      <c r="A86" s="14" t="s">
        <v>71</v>
      </c>
      <c r="B86" s="34">
        <v>2</v>
      </c>
      <c r="C86" s="10">
        <v>10500</v>
      </c>
      <c r="D86" s="11">
        <f t="shared" si="1"/>
        <v>21000</v>
      </c>
    </row>
    <row r="87" spans="1:4" ht="18" hidden="1" x14ac:dyDescent="0.35">
      <c r="A87" s="8" t="s">
        <v>73</v>
      </c>
      <c r="B87" s="34">
        <v>0</v>
      </c>
      <c r="C87" s="12">
        <v>25000</v>
      </c>
      <c r="D87" s="11">
        <f t="shared" si="1"/>
        <v>0</v>
      </c>
    </row>
    <row r="88" spans="1:4" ht="18" hidden="1" x14ac:dyDescent="0.35">
      <c r="A88" s="8" t="s">
        <v>72</v>
      </c>
      <c r="B88" s="34">
        <v>0</v>
      </c>
      <c r="C88" s="12">
        <v>69000</v>
      </c>
      <c r="D88" s="11">
        <f t="shared" si="1"/>
        <v>0</v>
      </c>
    </row>
    <row r="89" spans="1:4" ht="18" hidden="1" x14ac:dyDescent="0.35">
      <c r="A89" s="20"/>
      <c r="B89" s="34">
        <v>0</v>
      </c>
      <c r="C89" s="12">
        <v>40000</v>
      </c>
      <c r="D89" s="11">
        <f t="shared" si="1"/>
        <v>0</v>
      </c>
    </row>
    <row r="90" spans="1:4" ht="18" hidden="1" x14ac:dyDescent="0.35">
      <c r="A90" s="20" t="s">
        <v>74</v>
      </c>
      <c r="B90" s="34">
        <v>0</v>
      </c>
      <c r="C90" s="13"/>
      <c r="D90" s="11">
        <f t="shared" si="1"/>
        <v>0</v>
      </c>
    </row>
    <row r="91" spans="1:4" ht="18" hidden="1" x14ac:dyDescent="0.35">
      <c r="A91" s="20" t="s">
        <v>75</v>
      </c>
      <c r="B91" s="34">
        <v>0</v>
      </c>
      <c r="C91" s="15"/>
      <c r="D91" s="11">
        <f t="shared" si="1"/>
        <v>0</v>
      </c>
    </row>
    <row r="92" spans="1:4" ht="18" hidden="1" x14ac:dyDescent="0.35">
      <c r="A92" s="20" t="s">
        <v>76</v>
      </c>
      <c r="B92" s="34">
        <v>0</v>
      </c>
      <c r="C92" s="10"/>
      <c r="D92" s="11">
        <f t="shared" si="1"/>
        <v>0</v>
      </c>
    </row>
    <row r="93" spans="1:4" ht="18" hidden="1" x14ac:dyDescent="0.35">
      <c r="A93" s="8" t="s">
        <v>77</v>
      </c>
      <c r="B93" s="34">
        <v>0</v>
      </c>
      <c r="C93" s="13"/>
      <c r="D93" s="11">
        <f t="shared" si="1"/>
        <v>0</v>
      </c>
    </row>
    <row r="94" spans="1:4" ht="18" hidden="1" x14ac:dyDescent="0.35">
      <c r="A94" s="8" t="s">
        <v>78</v>
      </c>
      <c r="B94" s="34">
        <v>0</v>
      </c>
      <c r="C94" s="12">
        <v>11000</v>
      </c>
      <c r="D94" s="11">
        <f t="shared" si="1"/>
        <v>0</v>
      </c>
    </row>
    <row r="95" spans="1:4" ht="18" hidden="1" x14ac:dyDescent="0.35">
      <c r="A95" s="8" t="s">
        <v>79</v>
      </c>
      <c r="B95" s="34">
        <v>0</v>
      </c>
      <c r="C95" s="13">
        <v>8000</v>
      </c>
      <c r="D95" s="11">
        <f t="shared" si="1"/>
        <v>0</v>
      </c>
    </row>
    <row r="96" spans="1:4" ht="18" hidden="1" x14ac:dyDescent="0.35">
      <c r="A96" s="8" t="s">
        <v>80</v>
      </c>
      <c r="B96" s="34">
        <v>0</v>
      </c>
      <c r="C96" s="10"/>
      <c r="D96" s="11">
        <f t="shared" si="1"/>
        <v>0</v>
      </c>
    </row>
    <row r="97" spans="1:4" ht="18" hidden="1" x14ac:dyDescent="0.35">
      <c r="A97" s="8" t="s">
        <v>81</v>
      </c>
      <c r="B97" s="34">
        <v>0</v>
      </c>
      <c r="C97" s="13"/>
      <c r="D97" s="11">
        <f t="shared" si="1"/>
        <v>0</v>
      </c>
    </row>
    <row r="98" spans="1:4" ht="18" hidden="1" x14ac:dyDescent="0.35">
      <c r="A98" s="8" t="s">
        <v>82</v>
      </c>
      <c r="B98" s="34">
        <v>0</v>
      </c>
      <c r="C98" s="10">
        <v>150000</v>
      </c>
      <c r="D98" s="11">
        <f t="shared" si="1"/>
        <v>0</v>
      </c>
    </row>
    <row r="99" spans="1:4" ht="18" hidden="1" x14ac:dyDescent="0.35">
      <c r="A99" s="8" t="s">
        <v>83</v>
      </c>
      <c r="B99" s="34">
        <v>0</v>
      </c>
      <c r="C99" s="10"/>
      <c r="D99" s="11">
        <f t="shared" si="1"/>
        <v>0</v>
      </c>
    </row>
    <row r="100" spans="1:4" ht="18" hidden="1" x14ac:dyDescent="0.35">
      <c r="A100" s="8" t="s">
        <v>84</v>
      </c>
      <c r="B100" s="34">
        <v>0</v>
      </c>
      <c r="C100" s="10">
        <v>50000</v>
      </c>
      <c r="D100" s="11">
        <f t="shared" si="1"/>
        <v>0</v>
      </c>
    </row>
    <row r="101" spans="1:4" ht="18.75" x14ac:dyDescent="0.25">
      <c r="A101" s="8" t="s">
        <v>85</v>
      </c>
      <c r="B101" s="34">
        <v>0.5</v>
      </c>
      <c r="C101" s="10">
        <v>80000</v>
      </c>
      <c r="D101" s="11">
        <f t="shared" si="1"/>
        <v>40000</v>
      </c>
    </row>
    <row r="102" spans="1:4" ht="18" hidden="1" x14ac:dyDescent="0.35">
      <c r="A102" s="8" t="s">
        <v>86</v>
      </c>
      <c r="B102" s="34">
        <v>0</v>
      </c>
      <c r="C102" s="10">
        <v>50000</v>
      </c>
      <c r="D102" s="11">
        <f t="shared" si="1"/>
        <v>0</v>
      </c>
    </row>
    <row r="103" spans="1:4" ht="18" hidden="1" x14ac:dyDescent="0.35">
      <c r="A103" s="8" t="s">
        <v>87</v>
      </c>
      <c r="B103" s="34">
        <v>0</v>
      </c>
      <c r="C103" s="12">
        <v>70000</v>
      </c>
      <c r="D103" s="11">
        <f t="shared" si="1"/>
        <v>0</v>
      </c>
    </row>
    <row r="104" spans="1:4" ht="18" hidden="1" x14ac:dyDescent="0.35">
      <c r="A104" s="8" t="s">
        <v>88</v>
      </c>
      <c r="B104" s="34">
        <v>0</v>
      </c>
      <c r="C104" s="10">
        <v>45000</v>
      </c>
      <c r="D104" s="11">
        <f t="shared" si="1"/>
        <v>0</v>
      </c>
    </row>
    <row r="105" spans="1:4" ht="18" hidden="1" x14ac:dyDescent="0.35">
      <c r="A105" s="8" t="s">
        <v>89</v>
      </c>
      <c r="B105" s="34">
        <v>0</v>
      </c>
      <c r="C105" s="12">
        <v>70000</v>
      </c>
      <c r="D105" s="11">
        <f t="shared" si="1"/>
        <v>0</v>
      </c>
    </row>
    <row r="106" spans="1:4" ht="18" hidden="1" x14ac:dyDescent="0.35">
      <c r="A106" s="8" t="s">
        <v>90</v>
      </c>
      <c r="B106" s="34">
        <v>0</v>
      </c>
      <c r="C106" s="10">
        <v>50000</v>
      </c>
      <c r="D106" s="11">
        <f t="shared" si="1"/>
        <v>0</v>
      </c>
    </row>
    <row r="107" spans="1:4" ht="18" hidden="1" x14ac:dyDescent="0.35">
      <c r="A107" s="8" t="s">
        <v>91</v>
      </c>
      <c r="B107" s="34">
        <v>0</v>
      </c>
      <c r="C107" s="10"/>
      <c r="D107" s="11">
        <f t="shared" si="1"/>
        <v>0</v>
      </c>
    </row>
    <row r="108" spans="1:4" ht="18" hidden="1" x14ac:dyDescent="0.35">
      <c r="A108" s="8" t="s">
        <v>92</v>
      </c>
      <c r="B108" s="34">
        <v>0</v>
      </c>
      <c r="C108" s="10"/>
      <c r="D108" s="11">
        <f t="shared" si="1"/>
        <v>0</v>
      </c>
    </row>
    <row r="109" spans="1:4" ht="18" hidden="1" x14ac:dyDescent="0.35">
      <c r="A109" s="8" t="s">
        <v>93</v>
      </c>
      <c r="B109" s="34">
        <v>0</v>
      </c>
      <c r="C109" s="10"/>
      <c r="D109" s="11">
        <f t="shared" si="1"/>
        <v>0</v>
      </c>
    </row>
    <row r="110" spans="1:4" ht="18" hidden="1" x14ac:dyDescent="0.35">
      <c r="A110" s="8" t="s">
        <v>94</v>
      </c>
      <c r="B110" s="34">
        <v>0</v>
      </c>
      <c r="C110" s="10"/>
      <c r="D110" s="11">
        <f t="shared" si="1"/>
        <v>0</v>
      </c>
    </row>
    <row r="111" spans="1:4" ht="18" hidden="1" x14ac:dyDescent="0.35">
      <c r="A111" s="8" t="s">
        <v>95</v>
      </c>
      <c r="B111" s="34">
        <v>0</v>
      </c>
      <c r="C111" s="12">
        <v>12000</v>
      </c>
      <c r="D111" s="11">
        <f t="shared" si="1"/>
        <v>0</v>
      </c>
    </row>
    <row r="112" spans="1:4" ht="18" hidden="1" x14ac:dyDescent="0.35">
      <c r="A112" s="8" t="s">
        <v>96</v>
      </c>
      <c r="B112" s="34">
        <v>0</v>
      </c>
      <c r="C112" s="10"/>
      <c r="D112" s="11">
        <f t="shared" si="1"/>
        <v>0</v>
      </c>
    </row>
    <row r="113" spans="1:4" ht="18" hidden="1" x14ac:dyDescent="0.35">
      <c r="A113" s="8" t="s">
        <v>97</v>
      </c>
      <c r="B113" s="34">
        <v>0</v>
      </c>
      <c r="C113" s="10">
        <v>13000</v>
      </c>
      <c r="D113" s="11">
        <f t="shared" si="1"/>
        <v>0</v>
      </c>
    </row>
    <row r="114" spans="1:4" ht="18" hidden="1" x14ac:dyDescent="0.35">
      <c r="A114" s="8" t="s">
        <v>98</v>
      </c>
      <c r="B114" s="34">
        <v>0</v>
      </c>
      <c r="C114" s="10"/>
      <c r="D114" s="11">
        <f t="shared" si="1"/>
        <v>0</v>
      </c>
    </row>
    <row r="115" spans="1:4" ht="18" hidden="1" x14ac:dyDescent="0.35">
      <c r="A115" s="8" t="s">
        <v>99</v>
      </c>
      <c r="B115" s="34">
        <v>0</v>
      </c>
      <c r="C115" s="12"/>
      <c r="D115" s="11">
        <f t="shared" si="1"/>
        <v>0</v>
      </c>
    </row>
    <row r="116" spans="1:4" ht="18" hidden="1" x14ac:dyDescent="0.35">
      <c r="A116" s="14" t="s">
        <v>100</v>
      </c>
      <c r="B116" s="34">
        <v>0</v>
      </c>
      <c r="C116" s="10"/>
      <c r="D116" s="11">
        <f t="shared" si="1"/>
        <v>0</v>
      </c>
    </row>
    <row r="117" spans="1:4" ht="18" hidden="1" x14ac:dyDescent="0.35">
      <c r="A117" s="14" t="s">
        <v>101</v>
      </c>
      <c r="B117" s="34">
        <v>0</v>
      </c>
      <c r="C117" s="10"/>
      <c r="D117" s="11">
        <f t="shared" si="1"/>
        <v>0</v>
      </c>
    </row>
    <row r="118" spans="1:4" ht="18" hidden="1" x14ac:dyDescent="0.35">
      <c r="A118" s="14" t="s">
        <v>102</v>
      </c>
      <c r="B118" s="34">
        <v>0</v>
      </c>
      <c r="C118" s="10"/>
      <c r="D118" s="11">
        <f t="shared" si="1"/>
        <v>0</v>
      </c>
    </row>
    <row r="119" spans="1:4" ht="18" hidden="1" x14ac:dyDescent="0.35">
      <c r="A119" s="8" t="s">
        <v>103</v>
      </c>
      <c r="B119" s="34">
        <v>0</v>
      </c>
      <c r="C119" s="10"/>
      <c r="D119" s="11">
        <f t="shared" si="1"/>
        <v>0</v>
      </c>
    </row>
    <row r="120" spans="1:4" ht="18" hidden="1" x14ac:dyDescent="0.35">
      <c r="A120" s="8" t="s">
        <v>104</v>
      </c>
      <c r="B120" s="34">
        <v>0</v>
      </c>
      <c r="C120" s="12"/>
      <c r="D120" s="11">
        <f t="shared" si="1"/>
        <v>0</v>
      </c>
    </row>
    <row r="121" spans="1:4" ht="18" hidden="1" x14ac:dyDescent="0.35">
      <c r="A121" s="8" t="s">
        <v>105</v>
      </c>
      <c r="B121" s="34">
        <v>0</v>
      </c>
      <c r="C121" s="10"/>
      <c r="D121" s="11">
        <f t="shared" si="1"/>
        <v>0</v>
      </c>
    </row>
    <row r="122" spans="1:4" ht="18" hidden="1" x14ac:dyDescent="0.35">
      <c r="A122" s="8" t="s">
        <v>106</v>
      </c>
      <c r="B122" s="34">
        <v>0</v>
      </c>
      <c r="C122" s="10"/>
      <c r="D122" s="11">
        <f t="shared" si="1"/>
        <v>0</v>
      </c>
    </row>
    <row r="123" spans="1:4" ht="18" hidden="1" x14ac:dyDescent="0.35">
      <c r="A123" s="8" t="s">
        <v>107</v>
      </c>
      <c r="B123" s="34">
        <v>0</v>
      </c>
      <c r="C123" s="10"/>
      <c r="D123" s="11">
        <f t="shared" si="1"/>
        <v>0</v>
      </c>
    </row>
    <row r="124" spans="1:4" ht="18" hidden="1" x14ac:dyDescent="0.35">
      <c r="A124" s="22" t="s">
        <v>108</v>
      </c>
      <c r="B124" s="34">
        <v>0</v>
      </c>
      <c r="C124" s="10"/>
      <c r="D124" s="11">
        <f t="shared" si="1"/>
        <v>0</v>
      </c>
    </row>
    <row r="125" spans="1:4" ht="18" hidden="1" x14ac:dyDescent="0.35">
      <c r="A125" s="8" t="s">
        <v>109</v>
      </c>
      <c r="B125" s="34">
        <v>0</v>
      </c>
      <c r="C125" s="12">
        <v>10000</v>
      </c>
      <c r="D125" s="11">
        <f t="shared" si="1"/>
        <v>0</v>
      </c>
    </row>
    <row r="126" spans="1:4" ht="18" hidden="1" x14ac:dyDescent="0.35">
      <c r="A126" s="8" t="s">
        <v>110</v>
      </c>
      <c r="B126" s="34">
        <v>0</v>
      </c>
      <c r="C126" s="10">
        <v>10000</v>
      </c>
      <c r="D126" s="11">
        <f t="shared" si="1"/>
        <v>0</v>
      </c>
    </row>
    <row r="127" spans="1:4" ht="18" hidden="1" x14ac:dyDescent="0.35">
      <c r="A127" s="8" t="s">
        <v>111</v>
      </c>
      <c r="B127" s="34">
        <v>0</v>
      </c>
      <c r="C127" s="13"/>
      <c r="D127" s="11">
        <f t="shared" si="1"/>
        <v>0</v>
      </c>
    </row>
    <row r="128" spans="1:4" ht="18.75" x14ac:dyDescent="0.25">
      <c r="A128" s="14" t="s">
        <v>112</v>
      </c>
      <c r="B128" s="34">
        <v>2720</v>
      </c>
      <c r="C128" s="10">
        <v>20000</v>
      </c>
      <c r="D128" s="11">
        <f t="shared" si="1"/>
        <v>54400000</v>
      </c>
    </row>
    <row r="129" spans="1:4" ht="18.75" x14ac:dyDescent="0.25">
      <c r="A129" s="14" t="s">
        <v>113</v>
      </c>
      <c r="B129" s="34">
        <v>10</v>
      </c>
      <c r="C129" s="10">
        <v>15000</v>
      </c>
      <c r="D129" s="11">
        <f t="shared" si="1"/>
        <v>150000</v>
      </c>
    </row>
    <row r="130" spans="1:4" ht="18" hidden="1" x14ac:dyDescent="0.35">
      <c r="A130" s="14"/>
      <c r="B130" s="34">
        <v>0</v>
      </c>
      <c r="C130" s="10">
        <v>16000</v>
      </c>
      <c r="D130" s="11">
        <f t="shared" si="1"/>
        <v>0</v>
      </c>
    </row>
    <row r="131" spans="1:4" ht="18.75" x14ac:dyDescent="0.25">
      <c r="A131" s="8" t="s">
        <v>114</v>
      </c>
      <c r="B131" s="34">
        <v>1540</v>
      </c>
      <c r="C131" s="12">
        <v>15000</v>
      </c>
      <c r="D131" s="11">
        <f t="shared" si="1"/>
        <v>23100000</v>
      </c>
    </row>
    <row r="132" spans="1:4" ht="18" hidden="1" x14ac:dyDescent="0.35">
      <c r="A132" s="14" t="s">
        <v>115</v>
      </c>
      <c r="B132" s="34">
        <v>0</v>
      </c>
      <c r="C132" s="10"/>
      <c r="D132" s="11">
        <f t="shared" si="1"/>
        <v>0</v>
      </c>
    </row>
    <row r="133" spans="1:4" ht="18" hidden="1" x14ac:dyDescent="0.35">
      <c r="A133" s="14" t="s">
        <v>116</v>
      </c>
      <c r="B133" s="34">
        <v>0</v>
      </c>
      <c r="C133" s="12"/>
      <c r="D133" s="11">
        <f t="shared" ref="D133:D196" si="2">B133*C133</f>
        <v>0</v>
      </c>
    </row>
    <row r="134" spans="1:4" ht="18" hidden="1" x14ac:dyDescent="0.35">
      <c r="A134" s="8" t="s">
        <v>117</v>
      </c>
      <c r="B134" s="34">
        <v>0</v>
      </c>
      <c r="C134" s="10"/>
      <c r="D134" s="11">
        <f t="shared" si="2"/>
        <v>0</v>
      </c>
    </row>
    <row r="135" spans="1:4" ht="18" hidden="1" x14ac:dyDescent="0.35">
      <c r="A135" s="8" t="s">
        <v>118</v>
      </c>
      <c r="B135" s="34">
        <v>0</v>
      </c>
      <c r="C135" s="12"/>
      <c r="D135" s="11">
        <f t="shared" si="2"/>
        <v>0</v>
      </c>
    </row>
    <row r="136" spans="1:4" ht="18" hidden="1" x14ac:dyDescent="0.35">
      <c r="A136" s="8" t="s">
        <v>119</v>
      </c>
      <c r="B136" s="34">
        <v>0</v>
      </c>
      <c r="C136" s="10"/>
      <c r="D136" s="11">
        <f t="shared" si="2"/>
        <v>0</v>
      </c>
    </row>
    <row r="137" spans="1:4" ht="18" hidden="1" x14ac:dyDescent="0.35">
      <c r="A137" s="8" t="s">
        <v>120</v>
      </c>
      <c r="B137" s="34">
        <v>0</v>
      </c>
      <c r="C137" s="10">
        <v>16000</v>
      </c>
      <c r="D137" s="11">
        <f t="shared" si="2"/>
        <v>0</v>
      </c>
    </row>
    <row r="138" spans="1:4" ht="18.75" x14ac:dyDescent="0.25">
      <c r="A138" s="8" t="s">
        <v>121</v>
      </c>
      <c r="B138" s="34">
        <v>68</v>
      </c>
      <c r="C138" s="13">
        <v>20000</v>
      </c>
      <c r="D138" s="11">
        <f t="shared" si="2"/>
        <v>1360000</v>
      </c>
    </row>
    <row r="139" spans="1:4" ht="18" hidden="1" x14ac:dyDescent="0.35">
      <c r="A139" s="8"/>
      <c r="B139" s="34">
        <v>0</v>
      </c>
      <c r="C139" s="13">
        <v>19000</v>
      </c>
      <c r="D139" s="11">
        <f t="shared" si="2"/>
        <v>0</v>
      </c>
    </row>
    <row r="140" spans="1:4" ht="18" hidden="1" x14ac:dyDescent="0.35">
      <c r="A140" s="8"/>
      <c r="B140" s="34">
        <v>0</v>
      </c>
      <c r="C140" s="13">
        <v>19000</v>
      </c>
      <c r="D140" s="11">
        <f t="shared" si="2"/>
        <v>0</v>
      </c>
    </row>
    <row r="141" spans="1:4" ht="18" hidden="1" x14ac:dyDescent="0.35">
      <c r="A141" s="8" t="s">
        <v>122</v>
      </c>
      <c r="B141" s="34">
        <v>0</v>
      </c>
      <c r="C141" s="12">
        <v>17000</v>
      </c>
      <c r="D141" s="11">
        <f t="shared" si="2"/>
        <v>0</v>
      </c>
    </row>
    <row r="142" spans="1:4" ht="18" hidden="1" x14ac:dyDescent="0.35">
      <c r="A142" s="8" t="s">
        <v>123</v>
      </c>
      <c r="B142" s="34">
        <v>0</v>
      </c>
      <c r="C142" s="12"/>
      <c r="D142" s="11">
        <f t="shared" si="2"/>
        <v>0</v>
      </c>
    </row>
    <row r="143" spans="1:4" ht="18" hidden="1" x14ac:dyDescent="0.35">
      <c r="A143" s="8" t="s">
        <v>124</v>
      </c>
      <c r="B143" s="34">
        <v>0</v>
      </c>
      <c r="C143" s="13"/>
      <c r="D143" s="11">
        <f t="shared" si="2"/>
        <v>0</v>
      </c>
    </row>
    <row r="144" spans="1:4" ht="18" hidden="1" x14ac:dyDescent="0.35">
      <c r="A144" s="8" t="s">
        <v>126</v>
      </c>
      <c r="B144" s="34">
        <v>0</v>
      </c>
      <c r="C144" s="13"/>
      <c r="D144" s="11">
        <f t="shared" si="2"/>
        <v>0</v>
      </c>
    </row>
    <row r="145" spans="1:4" ht="18" hidden="1" x14ac:dyDescent="0.35">
      <c r="A145" s="18" t="s">
        <v>125</v>
      </c>
      <c r="B145" s="34">
        <v>0</v>
      </c>
      <c r="C145" s="12">
        <v>7000</v>
      </c>
      <c r="D145" s="11">
        <f t="shared" si="2"/>
        <v>0</v>
      </c>
    </row>
    <row r="146" spans="1:4" ht="18" hidden="1" x14ac:dyDescent="0.35">
      <c r="A146" s="18"/>
      <c r="B146" s="34">
        <v>0</v>
      </c>
      <c r="C146" s="12">
        <v>6500</v>
      </c>
      <c r="D146" s="11">
        <f t="shared" si="2"/>
        <v>0</v>
      </c>
    </row>
    <row r="147" spans="1:4" ht="18" hidden="1" x14ac:dyDescent="0.35">
      <c r="A147" s="18"/>
      <c r="B147" s="34">
        <v>0</v>
      </c>
      <c r="C147" s="12">
        <v>5500</v>
      </c>
      <c r="D147" s="11">
        <f t="shared" si="2"/>
        <v>0</v>
      </c>
    </row>
    <row r="148" spans="1:4" ht="18" hidden="1" x14ac:dyDescent="0.35">
      <c r="A148" s="8" t="s">
        <v>127</v>
      </c>
      <c r="B148" s="34">
        <v>0</v>
      </c>
      <c r="C148" s="13"/>
      <c r="D148" s="11">
        <f t="shared" si="2"/>
        <v>0</v>
      </c>
    </row>
    <row r="149" spans="1:4" ht="18" hidden="1" x14ac:dyDescent="0.35">
      <c r="A149" s="8" t="s">
        <v>128</v>
      </c>
      <c r="B149" s="34">
        <v>0</v>
      </c>
      <c r="C149" s="10"/>
      <c r="D149" s="11">
        <f t="shared" si="2"/>
        <v>0</v>
      </c>
    </row>
    <row r="150" spans="1:4" ht="18" hidden="1" x14ac:dyDescent="0.35">
      <c r="A150" s="8" t="s">
        <v>132</v>
      </c>
      <c r="B150" s="34">
        <v>0</v>
      </c>
      <c r="C150" s="10"/>
      <c r="D150" s="11">
        <f t="shared" si="2"/>
        <v>0</v>
      </c>
    </row>
    <row r="151" spans="1:4" ht="18" hidden="1" x14ac:dyDescent="0.35">
      <c r="A151" s="14" t="s">
        <v>129</v>
      </c>
      <c r="B151" s="34">
        <v>0</v>
      </c>
      <c r="C151" s="10"/>
      <c r="D151" s="11">
        <f t="shared" si="2"/>
        <v>0</v>
      </c>
    </row>
    <row r="152" spans="1:4" ht="18" hidden="1" x14ac:dyDescent="0.35">
      <c r="A152" s="8" t="s">
        <v>130</v>
      </c>
      <c r="B152" s="34">
        <v>0</v>
      </c>
      <c r="C152" s="12">
        <v>8000</v>
      </c>
      <c r="D152" s="11">
        <f t="shared" si="2"/>
        <v>0</v>
      </c>
    </row>
    <row r="153" spans="1:4" ht="18" hidden="1" x14ac:dyDescent="0.35">
      <c r="A153" s="8"/>
      <c r="B153" s="34">
        <v>0</v>
      </c>
      <c r="C153" s="12">
        <v>8000</v>
      </c>
      <c r="D153" s="11">
        <f t="shared" si="2"/>
        <v>0</v>
      </c>
    </row>
    <row r="154" spans="1:4" ht="18" hidden="1" x14ac:dyDescent="0.35">
      <c r="A154" s="8"/>
      <c r="B154" s="34">
        <v>0</v>
      </c>
      <c r="C154" s="13">
        <v>9000</v>
      </c>
      <c r="D154" s="11">
        <f t="shared" si="2"/>
        <v>0</v>
      </c>
    </row>
    <row r="155" spans="1:4" ht="18" hidden="1" x14ac:dyDescent="0.35">
      <c r="A155" s="8"/>
      <c r="B155" s="34">
        <v>0</v>
      </c>
      <c r="C155" s="13">
        <v>8000</v>
      </c>
      <c r="D155" s="11">
        <f t="shared" si="2"/>
        <v>0</v>
      </c>
    </row>
    <row r="156" spans="1:4" ht="18" hidden="1" x14ac:dyDescent="0.35">
      <c r="A156" s="8"/>
      <c r="B156" s="34">
        <v>0</v>
      </c>
      <c r="C156" s="13">
        <v>6500</v>
      </c>
      <c r="D156" s="11">
        <f t="shared" si="2"/>
        <v>0</v>
      </c>
    </row>
    <row r="157" spans="1:4" ht="18" hidden="1" x14ac:dyDescent="0.35">
      <c r="A157" s="8" t="s">
        <v>131</v>
      </c>
      <c r="B157" s="34">
        <v>0</v>
      </c>
      <c r="C157" s="12"/>
      <c r="D157" s="11">
        <f t="shared" si="2"/>
        <v>0</v>
      </c>
    </row>
    <row r="158" spans="1:4" ht="18" hidden="1" x14ac:dyDescent="0.35">
      <c r="A158" s="8" t="s">
        <v>133</v>
      </c>
      <c r="B158" s="34">
        <v>0</v>
      </c>
      <c r="C158" s="10">
        <v>4000</v>
      </c>
      <c r="D158" s="11">
        <f t="shared" si="2"/>
        <v>0</v>
      </c>
    </row>
    <row r="159" spans="1:4" ht="18" hidden="1" x14ac:dyDescent="0.35">
      <c r="A159" s="8" t="s">
        <v>134</v>
      </c>
      <c r="B159" s="34">
        <v>0</v>
      </c>
      <c r="C159" s="10"/>
      <c r="D159" s="11">
        <f t="shared" si="2"/>
        <v>0</v>
      </c>
    </row>
    <row r="160" spans="1:4" ht="18" hidden="1" x14ac:dyDescent="0.35">
      <c r="A160" s="8" t="s">
        <v>136</v>
      </c>
      <c r="B160" s="34">
        <v>0</v>
      </c>
      <c r="C160" s="10">
        <v>15000</v>
      </c>
      <c r="D160" s="11">
        <f t="shared" si="2"/>
        <v>0</v>
      </c>
    </row>
    <row r="161" spans="1:4" ht="18" hidden="1" x14ac:dyDescent="0.35">
      <c r="A161" s="8" t="s">
        <v>135</v>
      </c>
      <c r="B161" s="34">
        <v>0</v>
      </c>
      <c r="C161" s="19"/>
      <c r="D161" s="11">
        <f t="shared" si="2"/>
        <v>0</v>
      </c>
    </row>
    <row r="162" spans="1:4" ht="18" hidden="1" x14ac:dyDescent="0.35">
      <c r="A162" s="8" t="s">
        <v>137</v>
      </c>
      <c r="B162" s="34">
        <v>0</v>
      </c>
      <c r="C162" s="13"/>
      <c r="D162" s="11">
        <f t="shared" si="2"/>
        <v>0</v>
      </c>
    </row>
    <row r="163" spans="1:4" ht="18" hidden="1" x14ac:dyDescent="0.35">
      <c r="A163" s="8" t="s">
        <v>138</v>
      </c>
      <c r="B163" s="34">
        <v>0</v>
      </c>
      <c r="C163" s="13">
        <v>25000</v>
      </c>
      <c r="D163" s="11">
        <f t="shared" si="2"/>
        <v>0</v>
      </c>
    </row>
    <row r="164" spans="1:4" ht="15.6" hidden="1" x14ac:dyDescent="0.35">
      <c r="A164" s="23" t="s">
        <v>139</v>
      </c>
      <c r="B164" s="34">
        <v>0</v>
      </c>
      <c r="C164" s="10"/>
      <c r="D164" s="11">
        <f t="shared" si="2"/>
        <v>0</v>
      </c>
    </row>
    <row r="165" spans="1:4" ht="18" hidden="1" x14ac:dyDescent="0.35">
      <c r="A165" s="8" t="s">
        <v>140</v>
      </c>
      <c r="B165" s="34">
        <v>0</v>
      </c>
      <c r="C165" s="10"/>
      <c r="D165" s="11">
        <f t="shared" si="2"/>
        <v>0</v>
      </c>
    </row>
    <row r="166" spans="1:4" ht="18" hidden="1" x14ac:dyDescent="0.35">
      <c r="A166" s="8" t="s">
        <v>142</v>
      </c>
      <c r="B166" s="34">
        <v>0</v>
      </c>
      <c r="C166" s="10"/>
      <c r="D166" s="11">
        <f t="shared" si="2"/>
        <v>0</v>
      </c>
    </row>
    <row r="167" spans="1:4" ht="18" hidden="1" x14ac:dyDescent="0.35">
      <c r="A167" s="8" t="s">
        <v>147</v>
      </c>
      <c r="B167" s="34">
        <v>0</v>
      </c>
      <c r="C167" s="12"/>
      <c r="D167" s="11">
        <f t="shared" si="2"/>
        <v>0</v>
      </c>
    </row>
    <row r="168" spans="1:4" ht="18.75" x14ac:dyDescent="0.25">
      <c r="A168" s="14" t="s">
        <v>141</v>
      </c>
      <c r="B168" s="34">
        <v>13</v>
      </c>
      <c r="C168" s="10">
        <v>11000</v>
      </c>
      <c r="D168" s="11">
        <f t="shared" si="2"/>
        <v>143000</v>
      </c>
    </row>
    <row r="169" spans="1:4" ht="18" hidden="1" x14ac:dyDescent="0.35">
      <c r="A169" s="8" t="s">
        <v>143</v>
      </c>
      <c r="B169" s="34">
        <v>0</v>
      </c>
      <c r="C169" s="13">
        <v>9000</v>
      </c>
      <c r="D169" s="11">
        <f t="shared" si="2"/>
        <v>0</v>
      </c>
    </row>
    <row r="170" spans="1:4" ht="18" hidden="1" x14ac:dyDescent="0.35">
      <c r="A170" s="8"/>
      <c r="B170" s="34">
        <v>0</v>
      </c>
      <c r="C170" s="13">
        <v>8000</v>
      </c>
      <c r="D170" s="11">
        <f t="shared" si="2"/>
        <v>0</v>
      </c>
    </row>
    <row r="171" spans="1:4" ht="18" hidden="1" x14ac:dyDescent="0.35">
      <c r="A171" s="8" t="s">
        <v>144</v>
      </c>
      <c r="B171" s="34">
        <v>0</v>
      </c>
      <c r="C171" s="10"/>
      <c r="D171" s="11">
        <f t="shared" si="2"/>
        <v>0</v>
      </c>
    </row>
    <row r="172" spans="1:4" ht="18" hidden="1" x14ac:dyDescent="0.35">
      <c r="A172" s="8" t="s">
        <v>145</v>
      </c>
      <c r="B172" s="34">
        <v>0</v>
      </c>
      <c r="C172" s="12">
        <v>11000</v>
      </c>
      <c r="D172" s="11">
        <f t="shared" si="2"/>
        <v>0</v>
      </c>
    </row>
    <row r="173" spans="1:4" ht="18" hidden="1" x14ac:dyDescent="0.35">
      <c r="A173" s="8"/>
      <c r="B173" s="34">
        <v>0</v>
      </c>
      <c r="C173" s="12">
        <v>11000</v>
      </c>
      <c r="D173" s="11">
        <f t="shared" si="2"/>
        <v>0</v>
      </c>
    </row>
    <row r="174" spans="1:4" ht="18" hidden="1" x14ac:dyDescent="0.35">
      <c r="A174" s="8" t="s">
        <v>146</v>
      </c>
      <c r="B174" s="34">
        <v>0</v>
      </c>
      <c r="C174" s="12"/>
      <c r="D174" s="11">
        <f t="shared" si="2"/>
        <v>0</v>
      </c>
    </row>
    <row r="175" spans="1:4" ht="15.6" hidden="1" x14ac:dyDescent="0.35">
      <c r="A175" s="24" t="s">
        <v>148</v>
      </c>
      <c r="B175" s="34">
        <v>0</v>
      </c>
      <c r="C175" s="12"/>
      <c r="D175" s="11">
        <f t="shared" si="2"/>
        <v>0</v>
      </c>
    </row>
    <row r="176" spans="1:4" ht="18" hidden="1" x14ac:dyDescent="0.35">
      <c r="A176" s="8" t="s">
        <v>150</v>
      </c>
      <c r="B176" s="34">
        <v>0</v>
      </c>
      <c r="C176" s="25"/>
      <c r="D176" s="11">
        <f t="shared" si="2"/>
        <v>0</v>
      </c>
    </row>
    <row r="177" spans="1:4" ht="18" hidden="1" x14ac:dyDescent="0.35">
      <c r="A177" s="14" t="s">
        <v>151</v>
      </c>
      <c r="B177" s="34">
        <v>0</v>
      </c>
      <c r="C177" s="10"/>
      <c r="D177" s="11">
        <f t="shared" si="2"/>
        <v>0</v>
      </c>
    </row>
    <row r="178" spans="1:4" ht="18" hidden="1" x14ac:dyDescent="0.35">
      <c r="A178" s="14" t="s">
        <v>152</v>
      </c>
      <c r="B178" s="34">
        <v>0</v>
      </c>
      <c r="C178" s="10"/>
      <c r="D178" s="11">
        <f t="shared" si="2"/>
        <v>0</v>
      </c>
    </row>
    <row r="179" spans="1:4" ht="18" hidden="1" x14ac:dyDescent="0.35">
      <c r="A179" s="8" t="s">
        <v>154</v>
      </c>
      <c r="B179" s="34">
        <v>0</v>
      </c>
      <c r="C179" s="10"/>
      <c r="D179" s="11">
        <f t="shared" si="2"/>
        <v>0</v>
      </c>
    </row>
    <row r="180" spans="1:4" ht="18" hidden="1" x14ac:dyDescent="0.35">
      <c r="A180" s="8" t="s">
        <v>149</v>
      </c>
      <c r="B180" s="34">
        <v>0</v>
      </c>
      <c r="C180" s="10">
        <v>18000</v>
      </c>
      <c r="D180" s="11">
        <f t="shared" si="2"/>
        <v>0</v>
      </c>
    </row>
    <row r="181" spans="1:4" ht="18" hidden="1" x14ac:dyDescent="0.35">
      <c r="A181" s="8" t="s">
        <v>153</v>
      </c>
      <c r="B181" s="34">
        <v>0</v>
      </c>
      <c r="C181" s="10"/>
      <c r="D181" s="11">
        <f t="shared" si="2"/>
        <v>0</v>
      </c>
    </row>
    <row r="182" spans="1:4" ht="18" hidden="1" x14ac:dyDescent="0.35">
      <c r="A182" s="8" t="s">
        <v>155</v>
      </c>
      <c r="B182" s="34">
        <v>0</v>
      </c>
      <c r="C182" s="10">
        <v>25000</v>
      </c>
      <c r="D182" s="11">
        <f t="shared" si="2"/>
        <v>0</v>
      </c>
    </row>
    <row r="183" spans="1:4" ht="18" hidden="1" x14ac:dyDescent="0.35">
      <c r="A183" s="8" t="s">
        <v>156</v>
      </c>
      <c r="B183" s="34">
        <v>0</v>
      </c>
      <c r="C183" s="10"/>
      <c r="D183" s="11">
        <f t="shared" si="2"/>
        <v>0</v>
      </c>
    </row>
    <row r="184" spans="1:4" ht="18" x14ac:dyDescent="0.35">
      <c r="A184" s="8" t="s">
        <v>157</v>
      </c>
      <c r="B184" s="34">
        <v>3</v>
      </c>
      <c r="C184" s="10">
        <v>15000</v>
      </c>
      <c r="D184" s="11">
        <f t="shared" si="2"/>
        <v>45000</v>
      </c>
    </row>
    <row r="185" spans="1:4" ht="18" hidden="1" x14ac:dyDescent="0.35">
      <c r="A185" s="8" t="s">
        <v>161</v>
      </c>
      <c r="B185" s="34">
        <v>0</v>
      </c>
      <c r="C185" s="10">
        <v>30000</v>
      </c>
      <c r="D185" s="11">
        <f t="shared" si="2"/>
        <v>0</v>
      </c>
    </row>
    <row r="186" spans="1:4" ht="18" hidden="1" x14ac:dyDescent="0.35">
      <c r="A186" s="8" t="s">
        <v>158</v>
      </c>
      <c r="B186" s="34">
        <v>0</v>
      </c>
      <c r="C186" s="10"/>
      <c r="D186" s="11">
        <f t="shared" si="2"/>
        <v>0</v>
      </c>
    </row>
    <row r="187" spans="1:4" ht="18" hidden="1" x14ac:dyDescent="0.35">
      <c r="A187" s="8" t="s">
        <v>159</v>
      </c>
      <c r="B187" s="34">
        <v>0</v>
      </c>
      <c r="C187" s="10"/>
      <c r="D187" s="11">
        <f t="shared" si="2"/>
        <v>0</v>
      </c>
    </row>
    <row r="188" spans="1:4" ht="18" hidden="1" x14ac:dyDescent="0.35">
      <c r="A188" s="8" t="s">
        <v>160</v>
      </c>
      <c r="B188" s="34">
        <v>0</v>
      </c>
      <c r="C188" s="10"/>
      <c r="D188" s="11">
        <f t="shared" si="2"/>
        <v>0</v>
      </c>
    </row>
    <row r="189" spans="1:4" ht="18" hidden="1" x14ac:dyDescent="0.35">
      <c r="A189" s="8" t="s">
        <v>162</v>
      </c>
      <c r="B189" s="34">
        <v>0</v>
      </c>
      <c r="C189" s="10"/>
      <c r="D189" s="11">
        <f t="shared" si="2"/>
        <v>0</v>
      </c>
    </row>
    <row r="190" spans="1:4" ht="18" hidden="1" x14ac:dyDescent="0.35">
      <c r="A190" s="14" t="s">
        <v>163</v>
      </c>
      <c r="B190" s="34">
        <v>0</v>
      </c>
      <c r="C190" s="15"/>
      <c r="D190" s="11">
        <f t="shared" si="2"/>
        <v>0</v>
      </c>
    </row>
    <row r="191" spans="1:4" ht="18" hidden="1" x14ac:dyDescent="0.35">
      <c r="A191" s="14" t="s">
        <v>164</v>
      </c>
      <c r="B191" s="34">
        <v>0</v>
      </c>
      <c r="C191" s="15"/>
      <c r="D191" s="11">
        <f t="shared" si="2"/>
        <v>0</v>
      </c>
    </row>
    <row r="192" spans="1:4" ht="18" hidden="1" x14ac:dyDescent="0.35">
      <c r="A192" s="8" t="s">
        <v>167</v>
      </c>
      <c r="B192" s="34">
        <v>0</v>
      </c>
      <c r="C192" s="10"/>
      <c r="D192" s="11">
        <f t="shared" si="2"/>
        <v>0</v>
      </c>
    </row>
    <row r="193" spans="1:4" ht="18" hidden="1" x14ac:dyDescent="0.35">
      <c r="A193" s="8" t="s">
        <v>170</v>
      </c>
      <c r="B193" s="34">
        <v>0</v>
      </c>
      <c r="C193" s="10"/>
      <c r="D193" s="11">
        <f t="shared" si="2"/>
        <v>0</v>
      </c>
    </row>
    <row r="194" spans="1:4" ht="18.75" x14ac:dyDescent="0.25">
      <c r="A194" s="8" t="s">
        <v>165</v>
      </c>
      <c r="B194" s="34">
        <v>22</v>
      </c>
      <c r="C194" s="10">
        <v>23000</v>
      </c>
      <c r="D194" s="11">
        <f t="shared" si="2"/>
        <v>506000</v>
      </c>
    </row>
    <row r="195" spans="1:4" ht="18.75" x14ac:dyDescent="0.25">
      <c r="A195" s="26" t="s">
        <v>166</v>
      </c>
      <c r="B195" s="34">
        <v>86</v>
      </c>
      <c r="C195" s="10">
        <v>15000</v>
      </c>
      <c r="D195" s="11">
        <f t="shared" si="2"/>
        <v>1290000</v>
      </c>
    </row>
    <row r="196" spans="1:4" ht="18.75" x14ac:dyDescent="0.25">
      <c r="A196" s="8" t="s">
        <v>168</v>
      </c>
      <c r="B196" s="34">
        <v>68</v>
      </c>
      <c r="C196" s="12">
        <v>13000</v>
      </c>
      <c r="D196" s="11">
        <f t="shared" si="2"/>
        <v>884000</v>
      </c>
    </row>
    <row r="197" spans="1:4" ht="18" hidden="1" x14ac:dyDescent="0.35">
      <c r="A197" s="8" t="s">
        <v>169</v>
      </c>
      <c r="B197" s="34">
        <v>0</v>
      </c>
      <c r="C197" s="10"/>
      <c r="D197" s="11">
        <f t="shared" ref="D197:D249" si="3">B197*C197</f>
        <v>0</v>
      </c>
    </row>
    <row r="198" spans="1:4" ht="18" hidden="1" x14ac:dyDescent="0.35">
      <c r="A198" s="8" t="s">
        <v>171</v>
      </c>
      <c r="B198" s="34">
        <v>0</v>
      </c>
      <c r="C198" s="13">
        <v>6100</v>
      </c>
      <c r="D198" s="11">
        <f t="shared" si="3"/>
        <v>0</v>
      </c>
    </row>
    <row r="199" spans="1:4" ht="18" hidden="1" x14ac:dyDescent="0.35">
      <c r="A199" s="8" t="s">
        <v>172</v>
      </c>
      <c r="B199" s="34">
        <v>0</v>
      </c>
      <c r="C199" s="13"/>
      <c r="D199" s="11">
        <f t="shared" si="3"/>
        <v>0</v>
      </c>
    </row>
    <row r="200" spans="1:4" ht="18" hidden="1" x14ac:dyDescent="0.35">
      <c r="A200" s="8" t="s">
        <v>173</v>
      </c>
      <c r="B200" s="34">
        <v>0</v>
      </c>
      <c r="C200" s="13">
        <v>25000</v>
      </c>
      <c r="D200" s="11">
        <f t="shared" si="3"/>
        <v>0</v>
      </c>
    </row>
    <row r="201" spans="1:4" ht="18" hidden="1" x14ac:dyDescent="0.35">
      <c r="A201" s="27" t="s">
        <v>178</v>
      </c>
      <c r="B201" s="34">
        <v>0</v>
      </c>
      <c r="C201" s="12">
        <v>27000</v>
      </c>
      <c r="D201" s="11">
        <f t="shared" si="3"/>
        <v>0</v>
      </c>
    </row>
    <row r="202" spans="1:4" ht="18" hidden="1" x14ac:dyDescent="0.35">
      <c r="A202" s="27" t="s">
        <v>179</v>
      </c>
      <c r="B202" s="34">
        <v>0</v>
      </c>
      <c r="C202" s="13">
        <v>6100</v>
      </c>
      <c r="D202" s="11">
        <f t="shared" si="3"/>
        <v>0</v>
      </c>
    </row>
    <row r="203" spans="1:4" ht="18" hidden="1" x14ac:dyDescent="0.35">
      <c r="A203" s="27" t="s">
        <v>180</v>
      </c>
      <c r="B203" s="34">
        <v>0</v>
      </c>
      <c r="C203" s="13">
        <v>5500</v>
      </c>
      <c r="D203" s="11">
        <f t="shared" si="3"/>
        <v>0</v>
      </c>
    </row>
    <row r="204" spans="1:4" ht="18" hidden="1" x14ac:dyDescent="0.35">
      <c r="A204" s="8" t="s">
        <v>183</v>
      </c>
      <c r="B204" s="34">
        <v>0</v>
      </c>
      <c r="C204" s="13">
        <v>6100</v>
      </c>
      <c r="D204" s="11">
        <f t="shared" si="3"/>
        <v>0</v>
      </c>
    </row>
    <row r="205" spans="1:4" ht="18" hidden="1" x14ac:dyDescent="0.35">
      <c r="A205" s="8" t="s">
        <v>184</v>
      </c>
      <c r="B205" s="34">
        <v>0</v>
      </c>
      <c r="C205" s="13"/>
      <c r="D205" s="11">
        <f t="shared" si="3"/>
        <v>0</v>
      </c>
    </row>
    <row r="206" spans="1:4" ht="18" hidden="1" x14ac:dyDescent="0.35">
      <c r="A206" s="8" t="s">
        <v>185</v>
      </c>
      <c r="B206" s="34">
        <v>0</v>
      </c>
      <c r="C206" s="13">
        <v>25000</v>
      </c>
      <c r="D206" s="11">
        <f t="shared" si="3"/>
        <v>0</v>
      </c>
    </row>
    <row r="207" spans="1:4" ht="18" hidden="1" x14ac:dyDescent="0.35">
      <c r="A207" s="8" t="s">
        <v>174</v>
      </c>
      <c r="B207" s="34">
        <v>0</v>
      </c>
      <c r="C207" s="13">
        <v>6100</v>
      </c>
      <c r="D207" s="11">
        <f t="shared" si="3"/>
        <v>0</v>
      </c>
    </row>
    <row r="208" spans="1:4" ht="18" hidden="1" x14ac:dyDescent="0.35">
      <c r="A208" s="8" t="s">
        <v>175</v>
      </c>
      <c r="B208" s="34">
        <v>0</v>
      </c>
      <c r="C208" s="13"/>
      <c r="D208" s="11">
        <f t="shared" si="3"/>
        <v>0</v>
      </c>
    </row>
    <row r="209" spans="1:4" ht="18" hidden="1" x14ac:dyDescent="0.35">
      <c r="A209" s="8" t="s">
        <v>176</v>
      </c>
      <c r="B209" s="34">
        <v>0</v>
      </c>
      <c r="C209" s="13"/>
      <c r="D209" s="11">
        <f t="shared" si="3"/>
        <v>0</v>
      </c>
    </row>
    <row r="210" spans="1:4" ht="18" hidden="1" x14ac:dyDescent="0.35">
      <c r="A210" s="8" t="s">
        <v>177</v>
      </c>
      <c r="B210" s="34">
        <v>0</v>
      </c>
      <c r="C210" s="12"/>
      <c r="D210" s="11">
        <f t="shared" si="3"/>
        <v>0</v>
      </c>
    </row>
    <row r="211" spans="1:4" ht="18" hidden="1" x14ac:dyDescent="0.35">
      <c r="A211" s="27" t="s">
        <v>181</v>
      </c>
      <c r="B211" s="34">
        <v>0</v>
      </c>
      <c r="C211" s="12"/>
      <c r="D211" s="11">
        <f t="shared" si="3"/>
        <v>0</v>
      </c>
    </row>
    <row r="212" spans="1:4" ht="18" hidden="1" x14ac:dyDescent="0.35">
      <c r="A212" s="27" t="s">
        <v>182</v>
      </c>
      <c r="B212" s="34">
        <v>0</v>
      </c>
      <c r="C212" s="12"/>
      <c r="D212" s="11">
        <f t="shared" si="3"/>
        <v>0</v>
      </c>
    </row>
    <row r="213" spans="1:4" ht="18" hidden="1" x14ac:dyDescent="0.35">
      <c r="A213" s="8" t="s">
        <v>186</v>
      </c>
      <c r="B213" s="34">
        <v>0</v>
      </c>
      <c r="C213" s="13">
        <v>25000</v>
      </c>
      <c r="D213" s="11">
        <f t="shared" si="3"/>
        <v>0</v>
      </c>
    </row>
    <row r="214" spans="1:4" ht="18" hidden="1" x14ac:dyDescent="0.35">
      <c r="A214" s="8" t="s">
        <v>187</v>
      </c>
      <c r="B214" s="34">
        <v>0</v>
      </c>
      <c r="C214" s="13"/>
      <c r="D214" s="11">
        <f t="shared" si="3"/>
        <v>0</v>
      </c>
    </row>
    <row r="215" spans="1:4" ht="18" hidden="1" x14ac:dyDescent="0.35">
      <c r="A215" s="8" t="s">
        <v>188</v>
      </c>
      <c r="B215" s="34">
        <v>0</v>
      </c>
      <c r="C215" s="10">
        <v>11000</v>
      </c>
      <c r="D215" s="11">
        <f t="shared" si="3"/>
        <v>0</v>
      </c>
    </row>
    <row r="216" spans="1:4" ht="18" hidden="1" x14ac:dyDescent="0.35">
      <c r="A216" s="8" t="s">
        <v>189</v>
      </c>
      <c r="B216" s="34">
        <v>0</v>
      </c>
      <c r="C216" s="13"/>
      <c r="D216" s="11">
        <f t="shared" si="3"/>
        <v>0</v>
      </c>
    </row>
    <row r="217" spans="1:4" ht="18" hidden="1" x14ac:dyDescent="0.35">
      <c r="A217" s="8" t="s">
        <v>190</v>
      </c>
      <c r="B217" s="34">
        <v>0</v>
      </c>
      <c r="C217" s="12"/>
      <c r="D217" s="11">
        <f t="shared" si="3"/>
        <v>0</v>
      </c>
    </row>
    <row r="218" spans="1:4" ht="18" hidden="1" x14ac:dyDescent="0.35">
      <c r="A218" s="8" t="s">
        <v>191</v>
      </c>
      <c r="B218" s="34">
        <v>0</v>
      </c>
      <c r="C218" s="10"/>
      <c r="D218" s="11">
        <f t="shared" si="3"/>
        <v>0</v>
      </c>
    </row>
    <row r="219" spans="1:4" ht="18" hidden="1" x14ac:dyDescent="0.35">
      <c r="A219" s="8" t="s">
        <v>193</v>
      </c>
      <c r="B219" s="34">
        <v>0</v>
      </c>
      <c r="C219" s="10">
        <v>18000</v>
      </c>
      <c r="D219" s="11">
        <f t="shared" si="3"/>
        <v>0</v>
      </c>
    </row>
    <row r="220" spans="1:4" ht="18" hidden="1" x14ac:dyDescent="0.35">
      <c r="A220" s="8" t="s">
        <v>192</v>
      </c>
      <c r="B220" s="34">
        <v>0</v>
      </c>
      <c r="C220" s="13"/>
      <c r="D220" s="11">
        <f t="shared" si="3"/>
        <v>0</v>
      </c>
    </row>
    <row r="221" spans="1:4" ht="18" hidden="1" x14ac:dyDescent="0.35">
      <c r="A221" s="8"/>
      <c r="B221" s="34">
        <v>0</v>
      </c>
      <c r="C221" s="13">
        <v>42000</v>
      </c>
      <c r="D221" s="11">
        <f t="shared" si="3"/>
        <v>0</v>
      </c>
    </row>
    <row r="222" spans="1:4" ht="18" hidden="1" x14ac:dyDescent="0.35">
      <c r="A222" s="8"/>
      <c r="B222" s="34">
        <v>0</v>
      </c>
      <c r="C222" s="13">
        <v>42000</v>
      </c>
      <c r="D222" s="11">
        <f t="shared" si="3"/>
        <v>0</v>
      </c>
    </row>
    <row r="223" spans="1:4" ht="18" hidden="1" x14ac:dyDescent="0.35">
      <c r="A223" s="8"/>
      <c r="B223" s="34">
        <v>0</v>
      </c>
      <c r="C223" s="13">
        <v>42000</v>
      </c>
      <c r="D223" s="11">
        <f t="shared" si="3"/>
        <v>0</v>
      </c>
    </row>
    <row r="224" spans="1:4" ht="18" hidden="1" x14ac:dyDescent="0.35">
      <c r="A224" s="8" t="s">
        <v>194</v>
      </c>
      <c r="B224" s="34">
        <v>0</v>
      </c>
      <c r="C224" s="10"/>
      <c r="D224" s="11">
        <f t="shared" si="3"/>
        <v>0</v>
      </c>
    </row>
    <row r="225" spans="1:4" ht="18" hidden="1" x14ac:dyDescent="0.35">
      <c r="A225" s="8"/>
      <c r="B225" s="34">
        <v>0</v>
      </c>
      <c r="C225" s="10">
        <v>36000</v>
      </c>
      <c r="D225" s="11">
        <f t="shared" si="3"/>
        <v>0</v>
      </c>
    </row>
    <row r="226" spans="1:4" ht="18" hidden="1" x14ac:dyDescent="0.35">
      <c r="A226" s="8"/>
      <c r="B226" s="34">
        <v>0</v>
      </c>
      <c r="C226" s="10">
        <v>36000</v>
      </c>
      <c r="D226" s="11">
        <f t="shared" si="3"/>
        <v>0</v>
      </c>
    </row>
    <row r="227" spans="1:4" ht="18" hidden="1" x14ac:dyDescent="0.35">
      <c r="A227" s="8" t="s">
        <v>195</v>
      </c>
      <c r="B227" s="34">
        <v>0</v>
      </c>
      <c r="C227" s="10">
        <v>35000</v>
      </c>
      <c r="D227" s="11">
        <f t="shared" si="3"/>
        <v>0</v>
      </c>
    </row>
    <row r="228" spans="1:4" ht="18.75" x14ac:dyDescent="0.25">
      <c r="A228" s="14" t="s">
        <v>196</v>
      </c>
      <c r="B228" s="34">
        <v>17.2</v>
      </c>
      <c r="C228" s="12">
        <v>12000</v>
      </c>
      <c r="D228" s="11">
        <f t="shared" si="3"/>
        <v>206400</v>
      </c>
    </row>
    <row r="229" spans="1:4" ht="18" hidden="1" x14ac:dyDescent="0.35">
      <c r="A229" s="14" t="s">
        <v>197</v>
      </c>
      <c r="B229" s="34">
        <v>0</v>
      </c>
      <c r="C229" s="10"/>
      <c r="D229" s="11">
        <f t="shared" si="3"/>
        <v>0</v>
      </c>
    </row>
    <row r="230" spans="1:4" ht="18" hidden="1" x14ac:dyDescent="0.35">
      <c r="A230" s="8" t="s">
        <v>198</v>
      </c>
      <c r="B230" s="34">
        <v>0</v>
      </c>
      <c r="C230" s="10">
        <v>6000</v>
      </c>
      <c r="D230" s="11">
        <f t="shared" si="3"/>
        <v>0</v>
      </c>
    </row>
    <row r="231" spans="1:4" ht="18.75" x14ac:dyDescent="0.25">
      <c r="A231" s="8" t="s">
        <v>199</v>
      </c>
      <c r="B231" s="34">
        <v>1</v>
      </c>
      <c r="C231" s="12">
        <v>15000</v>
      </c>
      <c r="D231" s="11">
        <f t="shared" si="3"/>
        <v>15000</v>
      </c>
    </row>
    <row r="232" spans="1:4" ht="18" hidden="1" x14ac:dyDescent="0.35">
      <c r="A232" s="8"/>
      <c r="B232" s="34">
        <v>0</v>
      </c>
      <c r="C232" s="12">
        <v>15000</v>
      </c>
      <c r="D232" s="11">
        <f t="shared" si="3"/>
        <v>0</v>
      </c>
    </row>
    <row r="233" spans="1:4" ht="18" hidden="1" x14ac:dyDescent="0.35">
      <c r="A233" s="8" t="s">
        <v>200</v>
      </c>
      <c r="B233" s="34">
        <v>0</v>
      </c>
      <c r="C233" s="12"/>
      <c r="D233" s="11">
        <f t="shared" si="3"/>
        <v>0</v>
      </c>
    </row>
    <row r="234" spans="1:4" ht="18" hidden="1" x14ac:dyDescent="0.35">
      <c r="A234" s="8" t="s">
        <v>201</v>
      </c>
      <c r="B234" s="34">
        <v>0</v>
      </c>
      <c r="C234" s="19"/>
      <c r="D234" s="11">
        <f t="shared" si="3"/>
        <v>0</v>
      </c>
    </row>
    <row r="235" spans="1:4" ht="18" hidden="1" x14ac:dyDescent="0.35">
      <c r="A235" s="8" t="s">
        <v>202</v>
      </c>
      <c r="B235" s="34">
        <v>0</v>
      </c>
      <c r="C235" s="12">
        <v>12000</v>
      </c>
      <c r="D235" s="11">
        <f t="shared" si="3"/>
        <v>0</v>
      </c>
    </row>
    <row r="236" spans="1:4" ht="18" hidden="1" x14ac:dyDescent="0.35">
      <c r="A236" s="8" t="s">
        <v>203</v>
      </c>
      <c r="B236" s="34">
        <v>0</v>
      </c>
      <c r="C236" s="12"/>
      <c r="D236" s="11">
        <f t="shared" si="3"/>
        <v>0</v>
      </c>
    </row>
    <row r="237" spans="1:4" ht="18.75" x14ac:dyDescent="0.25">
      <c r="A237" s="8" t="s">
        <v>204</v>
      </c>
      <c r="B237" s="34">
        <v>2075</v>
      </c>
      <c r="C237" s="13">
        <v>8500</v>
      </c>
      <c r="D237" s="11">
        <f t="shared" si="3"/>
        <v>17637500</v>
      </c>
    </row>
    <row r="238" spans="1:4" ht="18" hidden="1" x14ac:dyDescent="0.35">
      <c r="A238" s="8" t="s">
        <v>205</v>
      </c>
      <c r="B238" s="34">
        <v>0</v>
      </c>
      <c r="C238" s="10">
        <v>14000</v>
      </c>
      <c r="D238" s="11">
        <f t="shared" si="3"/>
        <v>0</v>
      </c>
    </row>
    <row r="239" spans="1:4" ht="18" hidden="1" x14ac:dyDescent="0.35">
      <c r="A239" s="8"/>
      <c r="B239" s="34">
        <v>0</v>
      </c>
      <c r="C239" s="10">
        <v>9000</v>
      </c>
      <c r="D239" s="11">
        <f t="shared" si="3"/>
        <v>0</v>
      </c>
    </row>
    <row r="240" spans="1:4" ht="18" hidden="1" x14ac:dyDescent="0.35">
      <c r="A240" s="8"/>
      <c r="B240" s="34">
        <v>0</v>
      </c>
      <c r="C240" s="10">
        <v>9000</v>
      </c>
      <c r="D240" s="11">
        <f t="shared" si="3"/>
        <v>0</v>
      </c>
    </row>
    <row r="241" spans="1:4" ht="18" hidden="1" x14ac:dyDescent="0.35">
      <c r="A241" s="8" t="s">
        <v>206</v>
      </c>
      <c r="B241" s="34">
        <v>0</v>
      </c>
      <c r="C241" s="13"/>
      <c r="D241" s="11">
        <f t="shared" si="3"/>
        <v>0</v>
      </c>
    </row>
    <row r="242" spans="1:4" ht="18" hidden="1" x14ac:dyDescent="0.35">
      <c r="A242" s="8" t="s">
        <v>207</v>
      </c>
      <c r="B242" s="34">
        <v>0</v>
      </c>
      <c r="C242" s="13"/>
      <c r="D242" s="11">
        <f t="shared" si="3"/>
        <v>0</v>
      </c>
    </row>
    <row r="243" spans="1:4" ht="18" hidden="1" x14ac:dyDescent="0.35">
      <c r="A243" s="8" t="s">
        <v>208</v>
      </c>
      <c r="B243" s="34">
        <v>0</v>
      </c>
      <c r="C243" s="13"/>
      <c r="D243" s="11">
        <f t="shared" si="3"/>
        <v>0</v>
      </c>
    </row>
    <row r="244" spans="1:4" ht="18" hidden="1" x14ac:dyDescent="0.35">
      <c r="A244" s="14" t="s">
        <v>209</v>
      </c>
      <c r="B244" s="34">
        <v>0</v>
      </c>
      <c r="C244" s="10"/>
      <c r="D244" s="11">
        <f t="shared" si="3"/>
        <v>0</v>
      </c>
    </row>
    <row r="245" spans="1:4" ht="18" hidden="1" x14ac:dyDescent="0.35">
      <c r="A245" s="8" t="s">
        <v>210</v>
      </c>
      <c r="B245" s="34">
        <v>0</v>
      </c>
      <c r="C245" s="12"/>
      <c r="D245" s="11">
        <f t="shared" si="3"/>
        <v>0</v>
      </c>
    </row>
    <row r="246" spans="1:4" ht="18" hidden="1" x14ac:dyDescent="0.35">
      <c r="A246" s="8" t="s">
        <v>211</v>
      </c>
      <c r="B246" s="34">
        <v>0</v>
      </c>
      <c r="C246" s="13"/>
      <c r="D246" s="11">
        <f t="shared" si="3"/>
        <v>0</v>
      </c>
    </row>
    <row r="247" spans="1:4" ht="18" hidden="1" x14ac:dyDescent="0.35">
      <c r="A247" s="8" t="s">
        <v>212</v>
      </c>
      <c r="B247" s="34">
        <v>0</v>
      </c>
      <c r="C247" s="13"/>
      <c r="D247" s="11">
        <f t="shared" si="3"/>
        <v>0</v>
      </c>
    </row>
    <row r="248" spans="1:4" ht="18" hidden="1" x14ac:dyDescent="0.35">
      <c r="A248" s="8" t="s">
        <v>213</v>
      </c>
      <c r="B248" s="34">
        <v>0</v>
      </c>
      <c r="C248" s="13"/>
      <c r="D248" s="11">
        <f t="shared" si="3"/>
        <v>0</v>
      </c>
    </row>
    <row r="249" spans="1:4" ht="18" hidden="1" x14ac:dyDescent="0.35">
      <c r="A249" s="8" t="s">
        <v>214</v>
      </c>
      <c r="B249" s="34">
        <v>0</v>
      </c>
      <c r="C249" s="13"/>
      <c r="D249" s="11">
        <f t="shared" si="3"/>
        <v>0</v>
      </c>
    </row>
    <row r="250" spans="1:4" ht="18.75" x14ac:dyDescent="0.25">
      <c r="A250" s="28"/>
      <c r="B250" s="30">
        <f t="shared" ref="B250" si="4">SUM(B4:B249)</f>
        <v>6753.7</v>
      </c>
      <c r="C250" s="35"/>
      <c r="D250" s="35">
        <f>SUM(D4:D214)</f>
        <v>84137000</v>
      </c>
    </row>
  </sheetData>
  <protectedRanges>
    <protectedRange password="CC4C" sqref="C1:C249" name="tho5"/>
    <protectedRange password="CCD0" sqref="B1 B3:B249" name="tho3"/>
    <protectedRange password="CCD0" sqref="B2" name="tho3_1"/>
  </protectedRanges>
  <autoFilter ref="A2:D250">
    <filterColumn colId="1">
      <filters>
        <filter val="0.5"/>
        <filter val="1.0"/>
        <filter val="10.0"/>
        <filter val="13.0"/>
        <filter val="14.0"/>
        <filter val="16.0"/>
        <filter val="17.2"/>
        <filter val="18.0"/>
        <filter val="2,075.0"/>
        <filter val="2,745.0"/>
        <filter val="2.0"/>
        <filter val="22.0"/>
        <filter val="28.0"/>
        <filter val="3.0"/>
        <filter val="4,464.0"/>
        <filter val="4.0"/>
        <filter val="40.0"/>
        <filter val="68.0"/>
        <filter val="8.0"/>
        <filter val="86.0"/>
        <filter val="9,702.7"/>
      </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5" x14ac:dyDescent="0.25"/>
  <cols>
    <col min="1" max="1" width="32.7109375" customWidth="1"/>
    <col min="4" max="4" width="17.7109375" customWidth="1"/>
  </cols>
  <sheetData>
    <row r="1" spans="1:4" x14ac:dyDescent="0.25">
      <c r="A1" s="1" t="s">
        <v>220</v>
      </c>
      <c r="B1" s="2"/>
      <c r="C1" s="2"/>
      <c r="D1" s="3"/>
    </row>
    <row r="2" spans="1:4" ht="25.5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B4*C4</f>
        <v>0</v>
      </c>
    </row>
    <row r="5" spans="1:4" ht="18" hidden="1" x14ac:dyDescent="0.35">
      <c r="A5" s="8" t="s">
        <v>6</v>
      </c>
      <c r="B5" s="9"/>
      <c r="C5" s="10">
        <v>7000</v>
      </c>
      <c r="D5" s="11">
        <f t="shared" ref="D5:D68" si="0">B5*C5</f>
        <v>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25</v>
      </c>
      <c r="C10" s="10">
        <v>32000</v>
      </c>
      <c r="D10" s="11">
        <f t="shared" si="0"/>
        <v>800000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v>8</v>
      </c>
      <c r="C16" s="10">
        <v>20000</v>
      </c>
      <c r="D16" s="11">
        <f t="shared" si="0"/>
        <v>160000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.75" x14ac:dyDescent="0.25">
      <c r="A41" s="8" t="s">
        <v>42</v>
      </c>
      <c r="B41" s="9">
        <v>34</v>
      </c>
      <c r="C41" s="13">
        <v>11000</v>
      </c>
      <c r="D41" s="11">
        <f t="shared" si="0"/>
        <v>374000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2"/>
      <c r="D45" s="11">
        <f t="shared" si="0"/>
        <v>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21</v>
      </c>
      <c r="C47" s="10">
        <v>25000</v>
      </c>
      <c r="D47" s="11">
        <f t="shared" si="0"/>
        <v>525000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" hidden="1" x14ac:dyDescent="0.35">
      <c r="A61" s="18" t="s">
        <v>62</v>
      </c>
      <c r="B61" s="9"/>
      <c r="C61" s="19"/>
      <c r="D61" s="11">
        <f t="shared" si="0"/>
        <v>0</v>
      </c>
    </row>
    <row r="62" spans="1:4" ht="18.75" x14ac:dyDescent="0.25">
      <c r="A62" s="18" t="s">
        <v>63</v>
      </c>
      <c r="B62" s="9">
        <v>5</v>
      </c>
      <c r="C62" s="10">
        <v>22000</v>
      </c>
      <c r="D62" s="11">
        <f t="shared" si="0"/>
        <v>110000</v>
      </c>
    </row>
    <row r="63" spans="1:4" ht="18" hidden="1" x14ac:dyDescent="0.35">
      <c r="A63" s="14" t="s">
        <v>64</v>
      </c>
      <c r="B63" s="9"/>
      <c r="C63" s="10"/>
      <c r="D63" s="11">
        <f t="shared" si="0"/>
        <v>0</v>
      </c>
    </row>
    <row r="64" spans="1:4" ht="18" hidden="1" x14ac:dyDescent="0.35">
      <c r="A64" s="8" t="s">
        <v>65</v>
      </c>
      <c r="B64" s="9"/>
      <c r="C64" s="12"/>
      <c r="D64" s="11">
        <f t="shared" si="0"/>
        <v>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B69*C69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" hidden="1" x14ac:dyDescent="0.35">
      <c r="A77" s="8" t="s">
        <v>78</v>
      </c>
      <c r="B77" s="9"/>
      <c r="C77" s="12"/>
      <c r="D77" s="11">
        <f t="shared" si="1"/>
        <v>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87</v>
      </c>
      <c r="B86" s="9"/>
      <c r="C86" s="12"/>
      <c r="D86" s="11">
        <f t="shared" si="1"/>
        <v>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2420</v>
      </c>
      <c r="C111" s="10">
        <v>20000</v>
      </c>
      <c r="D111" s="11">
        <f t="shared" si="1"/>
        <v>48400000</v>
      </c>
    </row>
    <row r="112" spans="1:4" ht="18.75" x14ac:dyDescent="0.25">
      <c r="A112" s="14" t="s">
        <v>113</v>
      </c>
      <c r="B112" s="9">
        <f>195+20</f>
        <v>215</v>
      </c>
      <c r="C112" s="10">
        <v>16000</v>
      </c>
      <c r="D112" s="11">
        <f t="shared" si="1"/>
        <v>3440000</v>
      </c>
    </row>
    <row r="113" spans="1:4" ht="18.75" x14ac:dyDescent="0.25">
      <c r="A113" s="8" t="s">
        <v>114</v>
      </c>
      <c r="B113" s="9">
        <v>1480</v>
      </c>
      <c r="C113" s="12">
        <v>15000</v>
      </c>
      <c r="D113" s="11">
        <f t="shared" si="1"/>
        <v>22200000</v>
      </c>
    </row>
    <row r="114" spans="1:4" ht="18" x14ac:dyDescent="0.35">
      <c r="A114" s="14" t="s">
        <v>115</v>
      </c>
      <c r="B114" s="9">
        <v>2</v>
      </c>
      <c r="C114" s="10">
        <v>25000</v>
      </c>
      <c r="D114" s="11">
        <f t="shared" si="1"/>
        <v>50000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v>99</v>
      </c>
      <c r="C120" s="13">
        <v>20000</v>
      </c>
      <c r="D120" s="11">
        <f t="shared" si="1"/>
        <v>1980000</v>
      </c>
    </row>
    <row r="121" spans="1:4" ht="18.75" x14ac:dyDescent="0.25">
      <c r="A121" s="8" t="s">
        <v>122</v>
      </c>
      <c r="B121" s="9">
        <v>2</v>
      </c>
      <c r="C121" s="12">
        <v>19000</v>
      </c>
      <c r="D121" s="11">
        <f t="shared" si="1"/>
        <v>38000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.75" x14ac:dyDescent="0.25">
      <c r="A130" s="8" t="s">
        <v>131</v>
      </c>
      <c r="B130" s="9">
        <v>5</v>
      </c>
      <c r="C130" s="12">
        <v>16000</v>
      </c>
      <c r="D130" s="11">
        <f t="shared" si="1"/>
        <v>80000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v>4.5</v>
      </c>
      <c r="C140" s="10">
        <v>11000</v>
      </c>
      <c r="D140" s="11">
        <f t="shared" si="2"/>
        <v>49500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155</v>
      </c>
      <c r="B154" s="9"/>
      <c r="C154" s="10"/>
      <c r="D154" s="11">
        <f t="shared" si="2"/>
        <v>0</v>
      </c>
    </row>
    <row r="155" spans="1:4" ht="18.75" x14ac:dyDescent="0.25">
      <c r="A155" s="8" t="s">
        <v>156</v>
      </c>
      <c r="B155" s="9">
        <v>4</v>
      </c>
      <c r="C155" s="10">
        <v>40000</v>
      </c>
      <c r="D155" s="11">
        <f t="shared" si="2"/>
        <v>160000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v>6</v>
      </c>
      <c r="C164" s="10">
        <v>25000</v>
      </c>
      <c r="D164" s="11">
        <f t="shared" si="2"/>
        <v>150000</v>
      </c>
    </row>
    <row r="165" spans="1:4" ht="18.75" x14ac:dyDescent="0.25">
      <c r="A165" s="26" t="s">
        <v>166</v>
      </c>
      <c r="B165" s="9">
        <v>28</v>
      </c>
      <c r="C165" s="10">
        <v>7500</v>
      </c>
      <c r="D165" s="11">
        <f t="shared" si="2"/>
        <v>210000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168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169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.75" x14ac:dyDescent="0.25">
      <c r="A191" s="8" t="s">
        <v>192</v>
      </c>
      <c r="B191" s="9">
        <v>8</v>
      </c>
      <c r="C191" s="13">
        <v>39000</v>
      </c>
      <c r="D191" s="11">
        <f t="shared" si="2"/>
        <v>312000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.75" x14ac:dyDescent="0.25">
      <c r="A195" s="14" t="s">
        <v>196</v>
      </c>
      <c r="B195" s="9">
        <f>15*4</f>
        <v>60</v>
      </c>
      <c r="C195" s="12">
        <v>3000</v>
      </c>
      <c r="D195" s="11">
        <f t="shared" si="2"/>
        <v>180000</v>
      </c>
    </row>
    <row r="196" spans="1:4" ht="18" hidden="1" x14ac:dyDescent="0.35">
      <c r="A196" s="14" t="s">
        <v>197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20+735+1350</f>
        <v>2105</v>
      </c>
      <c r="C203" s="13">
        <v>8500</v>
      </c>
      <c r="D203" s="11">
        <f t="shared" si="3"/>
        <v>17892500</v>
      </c>
    </row>
    <row r="204" spans="1:4" ht="18" hidden="1" x14ac:dyDescent="0.35">
      <c r="A204" s="8" t="s">
        <v>205</v>
      </c>
      <c r="B204" s="9"/>
      <c r="C204" s="10"/>
      <c r="D204" s="11">
        <f t="shared" si="3"/>
        <v>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" si="4">SUM(B4:B213)</f>
        <v>6531.5</v>
      </c>
      <c r="C214" s="35"/>
      <c r="D214" s="35">
        <f>SUM(D4:D186)</f>
        <v>78726500</v>
      </c>
    </row>
  </sheetData>
  <protectedRanges>
    <protectedRange password="CC4C" sqref="C1:C213" name="tho5_1"/>
    <protectedRange password="CF71" sqref="B1 B3:B213" name="tho_1"/>
    <protectedRange password="CCD0" sqref="B2" name="tho3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5" x14ac:dyDescent="0.25"/>
  <cols>
    <col min="1" max="1" width="31.85546875" customWidth="1"/>
    <col min="3" max="3" width="12.5703125" customWidth="1"/>
    <col min="4" max="4" width="23.140625" customWidth="1"/>
  </cols>
  <sheetData>
    <row r="1" spans="1:4" x14ac:dyDescent="0.25">
      <c r="A1" s="1" t="s">
        <v>222</v>
      </c>
      <c r="B1" s="2"/>
      <c r="C1" s="2"/>
      <c r="D1" s="3"/>
    </row>
    <row r="2" spans="1:4" ht="25.5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C4*B4</f>
        <v>0</v>
      </c>
    </row>
    <row r="5" spans="1:4" ht="18" hidden="1" x14ac:dyDescent="0.35">
      <c r="A5" s="8" t="s">
        <v>6</v>
      </c>
      <c r="B5" s="9"/>
      <c r="C5" s="10">
        <v>7000</v>
      </c>
      <c r="D5" s="11">
        <f t="shared" ref="D5:D68" si="0">C5*B5</f>
        <v>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f>24+25</f>
        <v>49</v>
      </c>
      <c r="C10" s="10">
        <v>30000</v>
      </c>
      <c r="D10" s="11">
        <f t="shared" si="0"/>
        <v>1470000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.75" x14ac:dyDescent="0.25">
      <c r="A13" s="8" t="s">
        <v>14</v>
      </c>
      <c r="B13" s="9">
        <v>6</v>
      </c>
      <c r="C13" s="12">
        <v>44000</v>
      </c>
      <c r="D13" s="11">
        <f t="shared" si="0"/>
        <v>264000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" hidden="1" x14ac:dyDescent="0.35">
      <c r="A16" s="8" t="s">
        <v>17</v>
      </c>
      <c r="B16" s="9"/>
      <c r="C16" s="10"/>
      <c r="D16" s="11">
        <f t="shared" si="0"/>
        <v>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.75" x14ac:dyDescent="0.25">
      <c r="A41" s="8" t="s">
        <v>42</v>
      </c>
      <c r="B41" s="9">
        <v>7</v>
      </c>
      <c r="C41" s="13">
        <v>11000</v>
      </c>
      <c r="D41" s="11">
        <f t="shared" si="0"/>
        <v>77000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2"/>
      <c r="D45" s="11">
        <f t="shared" si="0"/>
        <v>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21</v>
      </c>
      <c r="C47" s="10">
        <v>25000</v>
      </c>
      <c r="D47" s="11">
        <f t="shared" si="0"/>
        <v>525000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" hidden="1" x14ac:dyDescent="0.35">
      <c r="A61" s="18" t="s">
        <v>62</v>
      </c>
      <c r="B61" s="9"/>
      <c r="C61" s="19"/>
      <c r="D61" s="11">
        <f t="shared" si="0"/>
        <v>0</v>
      </c>
    </row>
    <row r="62" spans="1:4" ht="18" hidden="1" x14ac:dyDescent="0.35">
      <c r="A62" s="18" t="s">
        <v>63</v>
      </c>
      <c r="B62" s="9"/>
      <c r="C62" s="10">
        <v>10000</v>
      </c>
      <c r="D62" s="11">
        <f t="shared" si="0"/>
        <v>0</v>
      </c>
    </row>
    <row r="63" spans="1:4" ht="18" hidden="1" x14ac:dyDescent="0.35">
      <c r="A63" s="14" t="s">
        <v>64</v>
      </c>
      <c r="B63" s="9"/>
      <c r="C63" s="10"/>
      <c r="D63" s="11">
        <f t="shared" si="0"/>
        <v>0</v>
      </c>
    </row>
    <row r="64" spans="1:4" ht="18" hidden="1" x14ac:dyDescent="0.35">
      <c r="A64" s="8" t="s">
        <v>65</v>
      </c>
      <c r="B64" s="9"/>
      <c r="C64" s="12"/>
      <c r="D64" s="11">
        <f t="shared" si="0"/>
        <v>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C69*B69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" hidden="1" x14ac:dyDescent="0.35">
      <c r="A77" s="8" t="s">
        <v>78</v>
      </c>
      <c r="B77" s="9"/>
      <c r="C77" s="12"/>
      <c r="D77" s="11">
        <f t="shared" si="1"/>
        <v>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87</v>
      </c>
      <c r="B86" s="9"/>
      <c r="C86" s="12"/>
      <c r="D86" s="11">
        <f t="shared" si="1"/>
        <v>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2220</v>
      </c>
      <c r="C111" s="10">
        <v>20000</v>
      </c>
      <c r="D111" s="11">
        <f t="shared" si="1"/>
        <v>44400000</v>
      </c>
    </row>
    <row r="112" spans="1:4" ht="18.75" x14ac:dyDescent="0.25">
      <c r="A112" s="14" t="s">
        <v>113</v>
      </c>
      <c r="B112" s="9">
        <v>360</v>
      </c>
      <c r="C112" s="10">
        <v>16000</v>
      </c>
      <c r="D112" s="11">
        <f t="shared" si="1"/>
        <v>5760000</v>
      </c>
    </row>
    <row r="113" spans="1:4" ht="18.75" x14ac:dyDescent="0.25">
      <c r="A113" s="8" t="s">
        <v>114</v>
      </c>
      <c r="B113" s="9">
        <v>1430</v>
      </c>
      <c r="C113" s="12">
        <v>15000</v>
      </c>
      <c r="D113" s="11">
        <f t="shared" si="1"/>
        <v>21450000</v>
      </c>
    </row>
    <row r="114" spans="1:4" ht="18" x14ac:dyDescent="0.35">
      <c r="A114" s="14" t="s">
        <v>115</v>
      </c>
      <c r="B114" s="9">
        <v>2</v>
      </c>
      <c r="C114" s="10">
        <v>25000</v>
      </c>
      <c r="D114" s="11">
        <f t="shared" si="1"/>
        <v>50000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f>90+48</f>
        <v>138</v>
      </c>
      <c r="C120" s="13">
        <v>20000</v>
      </c>
      <c r="D120" s="11">
        <f t="shared" si="1"/>
        <v>2760000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.75" x14ac:dyDescent="0.25">
      <c r="A133" s="8" t="s">
        <v>134</v>
      </c>
      <c r="B133" s="9">
        <v>6</v>
      </c>
      <c r="C133" s="10">
        <v>4000</v>
      </c>
      <c r="D133" s="11">
        <f t="shared" ref="D133:D196" si="2">C133*B133</f>
        <v>24000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" hidden="1" x14ac:dyDescent="0.35">
      <c r="A140" s="14" t="s">
        <v>141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155</v>
      </c>
      <c r="B154" s="9"/>
      <c r="C154" s="10"/>
      <c r="D154" s="11">
        <f t="shared" si="2"/>
        <v>0</v>
      </c>
    </row>
    <row r="155" spans="1:4" ht="18.75" x14ac:dyDescent="0.25">
      <c r="A155" s="8" t="s">
        <v>156</v>
      </c>
      <c r="B155" s="9">
        <v>4</v>
      </c>
      <c r="C155" s="10">
        <v>40000</v>
      </c>
      <c r="D155" s="11">
        <f t="shared" si="2"/>
        <v>160000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" hidden="1" x14ac:dyDescent="0.35">
      <c r="A164" s="8" t="s">
        <v>165</v>
      </c>
      <c r="B164" s="9"/>
      <c r="C164" s="10"/>
      <c r="D164" s="11">
        <f t="shared" si="2"/>
        <v>0</v>
      </c>
    </row>
    <row r="165" spans="1:4" ht="18.75" x14ac:dyDescent="0.25">
      <c r="A165" s="26" t="s">
        <v>166</v>
      </c>
      <c r="B165" s="9">
        <v>16</v>
      </c>
      <c r="C165" s="10">
        <v>7500</v>
      </c>
      <c r="D165" s="11">
        <f t="shared" si="2"/>
        <v>120000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168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169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.75" x14ac:dyDescent="0.25">
      <c r="A195" s="14" t="s">
        <v>196</v>
      </c>
      <c r="B195" s="9">
        <v>36</v>
      </c>
      <c r="C195" s="12">
        <v>3000</v>
      </c>
      <c r="D195" s="11">
        <f t="shared" si="2"/>
        <v>108000</v>
      </c>
    </row>
    <row r="196" spans="1:4" ht="18" hidden="1" x14ac:dyDescent="0.35">
      <c r="A196" s="14" t="s">
        <v>197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C197*B197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1455+30</f>
        <v>1485</v>
      </c>
      <c r="C203" s="13">
        <v>8500</v>
      </c>
      <c r="D203" s="11">
        <f t="shared" si="3"/>
        <v>12622500</v>
      </c>
    </row>
    <row r="204" spans="1:4" ht="18.75" x14ac:dyDescent="0.25">
      <c r="A204" s="8" t="s">
        <v>205</v>
      </c>
      <c r="B204" s="9">
        <v>30</v>
      </c>
      <c r="C204" s="10">
        <v>9000</v>
      </c>
      <c r="D204" s="11">
        <f t="shared" si="3"/>
        <v>270000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" si="4">SUM(B4:B213)</f>
        <v>5810</v>
      </c>
      <c r="C214" s="35"/>
      <c r="D214" s="35">
        <f>SUM(D4:D186)</f>
        <v>77060000</v>
      </c>
    </row>
  </sheetData>
  <protectedRanges>
    <protectedRange password="CC4C" sqref="C1:C213" name="tho5"/>
    <protectedRange password="CF71" sqref="B1 B3:B213" name="tho"/>
    <protectedRange password="CCD0" sqref="B2" name="tho3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204" sqref="F204"/>
    </sheetView>
  </sheetViews>
  <sheetFormatPr defaultRowHeight="15" x14ac:dyDescent="0.25"/>
  <cols>
    <col min="1" max="1" width="28.85546875" customWidth="1"/>
    <col min="4" max="4" width="17.5703125" customWidth="1"/>
  </cols>
  <sheetData>
    <row r="1" spans="1:4" x14ac:dyDescent="0.25">
      <c r="A1" s="1" t="s">
        <v>223</v>
      </c>
      <c r="B1" s="2"/>
      <c r="C1" s="2"/>
      <c r="D1" s="3"/>
    </row>
    <row r="2" spans="1:4" ht="25.5" x14ac:dyDescent="0.25">
      <c r="A2" s="50" t="s">
        <v>1</v>
      </c>
      <c r="B2" s="4" t="s">
        <v>2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B4*C4</f>
        <v>0</v>
      </c>
    </row>
    <row r="5" spans="1:4" ht="18.75" x14ac:dyDescent="0.25">
      <c r="A5" s="8" t="s">
        <v>6</v>
      </c>
      <c r="B5" s="9">
        <v>100</v>
      </c>
      <c r="C5" s="10">
        <v>24000</v>
      </c>
      <c r="D5" s="11">
        <f t="shared" ref="D5:D68" si="0">B5*C5</f>
        <v>2400000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.75" x14ac:dyDescent="0.25">
      <c r="A7" s="8" t="s">
        <v>8</v>
      </c>
      <c r="B7" s="9">
        <v>18</v>
      </c>
      <c r="C7" s="12">
        <v>38000</v>
      </c>
      <c r="D7" s="11">
        <f t="shared" si="0"/>
        <v>684000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14</v>
      </c>
      <c r="C10" s="10">
        <v>30000</v>
      </c>
      <c r="D10" s="11">
        <f t="shared" si="0"/>
        <v>420000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v>19</v>
      </c>
      <c r="C16" s="10">
        <v>20000</v>
      </c>
      <c r="D16" s="11">
        <f t="shared" si="0"/>
        <v>380000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.75" x14ac:dyDescent="0.25">
      <c r="A41" s="8" t="s">
        <v>42</v>
      </c>
      <c r="B41" s="9">
        <v>7</v>
      </c>
      <c r="C41" s="13">
        <v>11000</v>
      </c>
      <c r="D41" s="11">
        <f t="shared" si="0"/>
        <v>77000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2"/>
      <c r="D45" s="11">
        <f t="shared" si="0"/>
        <v>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25.5</v>
      </c>
      <c r="C47" s="10">
        <v>25000</v>
      </c>
      <c r="D47" s="11">
        <f t="shared" si="0"/>
        <v>637500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" hidden="1" x14ac:dyDescent="0.35">
      <c r="A61" s="18" t="s">
        <v>62</v>
      </c>
      <c r="B61" s="9"/>
      <c r="C61" s="19"/>
      <c r="D61" s="11">
        <f t="shared" si="0"/>
        <v>0</v>
      </c>
    </row>
    <row r="62" spans="1:4" ht="18" hidden="1" x14ac:dyDescent="0.35">
      <c r="A62" s="18" t="s">
        <v>63</v>
      </c>
      <c r="B62" s="9"/>
      <c r="C62" s="10">
        <v>10000</v>
      </c>
      <c r="D62" s="11">
        <f t="shared" si="0"/>
        <v>0</v>
      </c>
    </row>
    <row r="63" spans="1:4" ht="18" hidden="1" x14ac:dyDescent="0.35">
      <c r="A63" s="14" t="s">
        <v>64</v>
      </c>
      <c r="B63" s="9"/>
      <c r="C63" s="10"/>
      <c r="D63" s="11">
        <f t="shared" si="0"/>
        <v>0</v>
      </c>
    </row>
    <row r="64" spans="1:4" ht="18" hidden="1" x14ac:dyDescent="0.35">
      <c r="A64" s="8" t="s">
        <v>65</v>
      </c>
      <c r="B64" s="9"/>
      <c r="C64" s="12"/>
      <c r="D64" s="11">
        <f t="shared" si="0"/>
        <v>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B69*C69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" hidden="1" x14ac:dyDescent="0.35">
      <c r="A77" s="8" t="s">
        <v>78</v>
      </c>
      <c r="B77" s="9"/>
      <c r="C77" s="12"/>
      <c r="D77" s="11">
        <f t="shared" si="1"/>
        <v>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.75" x14ac:dyDescent="0.25">
      <c r="A86" s="8" t="s">
        <v>87</v>
      </c>
      <c r="B86" s="9">
        <v>0.5</v>
      </c>
      <c r="C86" s="12">
        <v>70000</v>
      </c>
      <c r="D86" s="11">
        <f t="shared" si="1"/>
        <v>35000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2080</v>
      </c>
      <c r="C111" s="10">
        <v>20000</v>
      </c>
      <c r="D111" s="11">
        <f t="shared" si="1"/>
        <v>41600000</v>
      </c>
    </row>
    <row r="112" spans="1:4" ht="18.75" x14ac:dyDescent="0.25">
      <c r="A112" s="14" t="s">
        <v>113</v>
      </c>
      <c r="B112" s="9">
        <v>450</v>
      </c>
      <c r="C112" s="10">
        <v>17000</v>
      </c>
      <c r="D112" s="11">
        <f t="shared" si="1"/>
        <v>7650000</v>
      </c>
    </row>
    <row r="113" spans="1:4" ht="18.75" x14ac:dyDescent="0.25">
      <c r="A113" s="8" t="s">
        <v>114</v>
      </c>
      <c r="B113" s="9">
        <v>1400</v>
      </c>
      <c r="C113" s="12">
        <v>15000</v>
      </c>
      <c r="D113" s="11">
        <f t="shared" si="1"/>
        <v>21000000</v>
      </c>
    </row>
    <row r="114" spans="1:4" ht="18" x14ac:dyDescent="0.35">
      <c r="A114" s="14" t="s">
        <v>115</v>
      </c>
      <c r="B114" s="9">
        <v>2</v>
      </c>
      <c r="C114" s="10">
        <v>25000</v>
      </c>
      <c r="D114" s="11">
        <f t="shared" si="1"/>
        <v>50000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v>57</v>
      </c>
      <c r="C120" s="13">
        <v>20000</v>
      </c>
      <c r="D120" s="11">
        <f t="shared" si="1"/>
        <v>1140000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.75" x14ac:dyDescent="0.25">
      <c r="A129" s="8" t="s">
        <v>130</v>
      </c>
      <c r="B129" s="9">
        <v>2</v>
      </c>
      <c r="C129" s="12">
        <v>16000</v>
      </c>
      <c r="D129" s="11">
        <f t="shared" si="1"/>
        <v>32000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v>5</v>
      </c>
      <c r="C140" s="10">
        <v>11000</v>
      </c>
      <c r="D140" s="11">
        <f t="shared" si="2"/>
        <v>55000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155</v>
      </c>
      <c r="B154" s="9"/>
      <c r="C154" s="10"/>
      <c r="D154" s="11">
        <f t="shared" si="2"/>
        <v>0</v>
      </c>
    </row>
    <row r="155" spans="1:4" ht="18.75" x14ac:dyDescent="0.25">
      <c r="A155" s="8" t="s">
        <v>156</v>
      </c>
      <c r="B155" s="9">
        <v>2</v>
      </c>
      <c r="C155" s="10">
        <v>40000</v>
      </c>
      <c r="D155" s="11">
        <f t="shared" si="2"/>
        <v>80000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" hidden="1" x14ac:dyDescent="0.35">
      <c r="A164" s="8" t="s">
        <v>165</v>
      </c>
      <c r="B164" s="9"/>
      <c r="C164" s="10"/>
      <c r="D164" s="11">
        <f t="shared" si="2"/>
        <v>0</v>
      </c>
    </row>
    <row r="165" spans="1:4" ht="18.75" x14ac:dyDescent="0.25">
      <c r="A165" s="26" t="s">
        <v>166</v>
      </c>
      <c r="B165" s="9">
        <f>19*2</f>
        <v>38</v>
      </c>
      <c r="C165" s="10">
        <v>7500</v>
      </c>
      <c r="D165" s="11">
        <f t="shared" si="2"/>
        <v>285000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.75" x14ac:dyDescent="0.25">
      <c r="A167" s="8" t="s">
        <v>168</v>
      </c>
      <c r="B167" s="9">
        <v>26</v>
      </c>
      <c r="C167" s="12">
        <v>14000</v>
      </c>
      <c r="D167" s="11">
        <f t="shared" si="2"/>
        <v>364000</v>
      </c>
    </row>
    <row r="168" spans="1:4" ht="18" hidden="1" x14ac:dyDescent="0.35">
      <c r="A168" s="8" t="s">
        <v>169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.75" x14ac:dyDescent="0.25">
      <c r="A195" s="14" t="s">
        <v>196</v>
      </c>
      <c r="B195" s="9">
        <v>20</v>
      </c>
      <c r="C195" s="12">
        <v>3000</v>
      </c>
      <c r="D195" s="11">
        <f t="shared" si="2"/>
        <v>60000</v>
      </c>
    </row>
    <row r="196" spans="1:4" ht="18" hidden="1" x14ac:dyDescent="0.35">
      <c r="A196" s="14" t="s">
        <v>197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v>675</v>
      </c>
      <c r="C203" s="13">
        <v>8500</v>
      </c>
      <c r="D203" s="11">
        <f t="shared" si="3"/>
        <v>5737500</v>
      </c>
    </row>
    <row r="204" spans="1:4" ht="18.75" x14ac:dyDescent="0.25">
      <c r="A204" s="8" t="s">
        <v>205</v>
      </c>
      <c r="B204" s="9">
        <f>16+8+10</f>
        <v>34</v>
      </c>
      <c r="C204" s="10">
        <v>9000</v>
      </c>
      <c r="D204" s="11">
        <f t="shared" si="3"/>
        <v>306000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" si="4">SUM(B4:B213)</f>
        <v>4975</v>
      </c>
      <c r="C214" s="35"/>
      <c r="D214" s="35">
        <f>SUM(D4:D186)</f>
        <v>76889500</v>
      </c>
    </row>
  </sheetData>
  <protectedRanges>
    <protectedRange password="CC4C" sqref="C1:C213" name="tho5"/>
    <protectedRange password="CF71" sqref="B1 B3:B213" name="tho"/>
    <protectedRange password="CCD0" sqref="B2" name="tho3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5" x14ac:dyDescent="0.25"/>
  <cols>
    <col min="1" max="1" width="21.140625" customWidth="1"/>
    <col min="4" max="4" width="19" customWidth="1"/>
  </cols>
  <sheetData>
    <row r="1" spans="1:4" x14ac:dyDescent="0.25">
      <c r="A1" s="1" t="s">
        <v>225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C4*B4</f>
        <v>0</v>
      </c>
    </row>
    <row r="5" spans="1:4" ht="18" hidden="1" x14ac:dyDescent="0.35">
      <c r="A5" s="8" t="s">
        <v>6</v>
      </c>
      <c r="B5" s="9"/>
      <c r="C5" s="10">
        <v>7000</v>
      </c>
      <c r="D5" s="11">
        <f t="shared" ref="D5:D68" si="0">C5*B5</f>
        <v>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10</v>
      </c>
      <c r="C10" s="10">
        <v>30000</v>
      </c>
      <c r="D10" s="11">
        <f t="shared" si="0"/>
        <v>300000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v>20</v>
      </c>
      <c r="C16" s="10">
        <v>20000</v>
      </c>
      <c r="D16" s="11">
        <f t="shared" si="0"/>
        <v>400000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.75" x14ac:dyDescent="0.25">
      <c r="A19" s="8" t="s">
        <v>20</v>
      </c>
      <c r="B19" s="9">
        <v>16</v>
      </c>
      <c r="C19" s="13">
        <v>11000</v>
      </c>
      <c r="D19" s="11">
        <f t="shared" si="0"/>
        <v>176000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" hidden="1" x14ac:dyDescent="0.35">
      <c r="A41" s="8" t="s">
        <v>42</v>
      </c>
      <c r="B41" s="9"/>
      <c r="C41" s="13"/>
      <c r="D41" s="11">
        <f t="shared" si="0"/>
        <v>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2"/>
      <c r="D45" s="11">
        <f t="shared" si="0"/>
        <v>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4.5</v>
      </c>
      <c r="C47" s="10">
        <v>25000</v>
      </c>
      <c r="D47" s="11">
        <f t="shared" si="0"/>
        <v>112500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" hidden="1" x14ac:dyDescent="0.35">
      <c r="A61" s="18" t="s">
        <v>62</v>
      </c>
      <c r="B61" s="9"/>
      <c r="C61" s="19"/>
      <c r="D61" s="11">
        <f t="shared" si="0"/>
        <v>0</v>
      </c>
    </row>
    <row r="62" spans="1:4" ht="18.75" x14ac:dyDescent="0.25">
      <c r="A62" s="18" t="s">
        <v>63</v>
      </c>
      <c r="B62" s="9">
        <v>4</v>
      </c>
      <c r="C62" s="10">
        <v>22000</v>
      </c>
      <c r="D62" s="11">
        <f t="shared" si="0"/>
        <v>88000</v>
      </c>
    </row>
    <row r="63" spans="1:4" ht="18.75" x14ac:dyDescent="0.25">
      <c r="A63" s="14" t="s">
        <v>64</v>
      </c>
      <c r="B63" s="9">
        <v>31</v>
      </c>
      <c r="C63" s="10">
        <v>20000</v>
      </c>
      <c r="D63" s="11">
        <f t="shared" si="0"/>
        <v>620000</v>
      </c>
    </row>
    <row r="64" spans="1:4" ht="18.75" x14ac:dyDescent="0.25">
      <c r="A64" s="8" t="s">
        <v>65</v>
      </c>
      <c r="B64" s="9">
        <v>15</v>
      </c>
      <c r="C64" s="12">
        <v>17000</v>
      </c>
      <c r="D64" s="11">
        <f t="shared" si="0"/>
        <v>255000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C69*B69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.75" x14ac:dyDescent="0.25">
      <c r="A77" s="8" t="s">
        <v>78</v>
      </c>
      <c r="B77" s="9">
        <v>15</v>
      </c>
      <c r="C77" s="12">
        <v>11000</v>
      </c>
      <c r="D77" s="11">
        <f t="shared" si="1"/>
        <v>165000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87</v>
      </c>
      <c r="B86" s="9"/>
      <c r="C86" s="12"/>
      <c r="D86" s="11">
        <f t="shared" si="1"/>
        <v>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2050</v>
      </c>
      <c r="C111" s="10">
        <v>20000</v>
      </c>
      <c r="D111" s="11">
        <f t="shared" si="1"/>
        <v>41000000</v>
      </c>
    </row>
    <row r="112" spans="1:4" ht="18.75" x14ac:dyDescent="0.25">
      <c r="A112" s="14" t="s">
        <v>113</v>
      </c>
      <c r="B112" s="9">
        <v>150</v>
      </c>
      <c r="C112" s="10">
        <v>17000</v>
      </c>
      <c r="D112" s="11">
        <f t="shared" si="1"/>
        <v>2550000</v>
      </c>
    </row>
    <row r="113" spans="1:4" ht="18.75" x14ac:dyDescent="0.25">
      <c r="A113" s="8" t="s">
        <v>114</v>
      </c>
      <c r="B113" s="9">
        <v>1370</v>
      </c>
      <c r="C113" s="12">
        <v>15000</v>
      </c>
      <c r="D113" s="11">
        <f t="shared" si="1"/>
        <v>20550000</v>
      </c>
    </row>
    <row r="114" spans="1:4" ht="18" hidden="1" x14ac:dyDescent="0.35">
      <c r="A114" s="14" t="s">
        <v>115</v>
      </c>
      <c r="B114" s="9"/>
      <c r="C114" s="10"/>
      <c r="D114" s="11">
        <f t="shared" si="1"/>
        <v>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v>20</v>
      </c>
      <c r="C120" s="13">
        <v>20000</v>
      </c>
      <c r="D120" s="11">
        <f t="shared" si="1"/>
        <v>400000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C133*B133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v>12</v>
      </c>
      <c r="C140" s="10">
        <v>11000</v>
      </c>
      <c r="D140" s="11">
        <f t="shared" si="2"/>
        <v>132000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.75" x14ac:dyDescent="0.25">
      <c r="A145" s="8" t="s">
        <v>146</v>
      </c>
      <c r="B145" s="9">
        <v>6</v>
      </c>
      <c r="C145" s="12">
        <v>12000</v>
      </c>
      <c r="D145" s="11">
        <f t="shared" si="2"/>
        <v>72000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.75" x14ac:dyDescent="0.25">
      <c r="A154" s="8" t="s">
        <v>155</v>
      </c>
      <c r="B154" s="9">
        <v>4.5</v>
      </c>
      <c r="C154" s="10">
        <v>25000</v>
      </c>
      <c r="D154" s="11">
        <f t="shared" si="2"/>
        <v>112500</v>
      </c>
    </row>
    <row r="155" spans="1:4" ht="18.75" x14ac:dyDescent="0.25">
      <c r="A155" s="8" t="s">
        <v>156</v>
      </c>
      <c r="B155" s="9">
        <v>3</v>
      </c>
      <c r="C155" s="10">
        <v>40000</v>
      </c>
      <c r="D155" s="11">
        <f t="shared" si="2"/>
        <v>120000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v>9</v>
      </c>
      <c r="C164" s="10">
        <v>25000</v>
      </c>
      <c r="D164" s="11">
        <f t="shared" si="2"/>
        <v>225000</v>
      </c>
    </row>
    <row r="165" spans="1:4" ht="18.75" x14ac:dyDescent="0.25">
      <c r="A165" s="26" t="s">
        <v>166</v>
      </c>
      <c r="B165" s="9">
        <v>32</v>
      </c>
      <c r="C165" s="10">
        <v>7500</v>
      </c>
      <c r="D165" s="11">
        <f t="shared" si="2"/>
        <v>240000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.75" x14ac:dyDescent="0.25">
      <c r="A167" s="8" t="s">
        <v>168</v>
      </c>
      <c r="B167" s="9">
        <v>6</v>
      </c>
      <c r="C167" s="12">
        <v>15000</v>
      </c>
      <c r="D167" s="11">
        <f t="shared" si="2"/>
        <v>90000</v>
      </c>
    </row>
    <row r="168" spans="1:4" ht="18" hidden="1" x14ac:dyDescent="0.35">
      <c r="A168" s="8" t="s">
        <v>169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" hidden="1" x14ac:dyDescent="0.35">
      <c r="A195" s="14" t="s">
        <v>196</v>
      </c>
      <c r="B195" s="9"/>
      <c r="C195" s="12"/>
      <c r="D195" s="11">
        <f t="shared" si="2"/>
        <v>0</v>
      </c>
    </row>
    <row r="196" spans="1:4" ht="18" hidden="1" x14ac:dyDescent="0.35">
      <c r="A196" s="14" t="s">
        <v>197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C197*B197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v>2090</v>
      </c>
      <c r="C203" s="13">
        <v>6500</v>
      </c>
      <c r="D203" s="11">
        <f t="shared" si="3"/>
        <v>13585000</v>
      </c>
    </row>
    <row r="204" spans="1:4" ht="18" hidden="1" x14ac:dyDescent="0.35">
      <c r="A204" s="8" t="s">
        <v>205</v>
      </c>
      <c r="B204" s="9"/>
      <c r="C204" s="10"/>
      <c r="D204" s="11">
        <f t="shared" si="3"/>
        <v>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" si="4">SUM(B4:B213)</f>
        <v>5868</v>
      </c>
      <c r="C214" s="35"/>
      <c r="D214" s="35">
        <f>SUM(D4:D186)</f>
        <v>67608000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1"/>
  <sheetViews>
    <sheetView workbookViewId="0"/>
  </sheetViews>
  <sheetFormatPr defaultRowHeight="15" x14ac:dyDescent="0.25"/>
  <cols>
    <col min="1" max="1" width="33" customWidth="1"/>
    <col min="2" max="2" width="13.140625" customWidth="1"/>
    <col min="3" max="3" width="18" customWidth="1"/>
    <col min="4" max="4" width="21.42578125" customWidth="1"/>
  </cols>
  <sheetData>
    <row r="1" spans="1:4" x14ac:dyDescent="0.25">
      <c r="A1" s="1" t="s">
        <v>227</v>
      </c>
    </row>
    <row r="2" spans="1:4" x14ac:dyDescent="0.25">
      <c r="A2" s="37" t="s">
        <v>1</v>
      </c>
      <c r="B2" s="37" t="s">
        <v>226</v>
      </c>
      <c r="C2" s="37" t="s">
        <v>3</v>
      </c>
      <c r="D2" s="37" t="s">
        <v>4</v>
      </c>
    </row>
    <row r="3" spans="1:4" ht="14.45" hidden="1" x14ac:dyDescent="0.35">
      <c r="A3" s="37" t="s">
        <v>5</v>
      </c>
      <c r="B3" s="37">
        <v>0</v>
      </c>
      <c r="C3" s="37">
        <v>10000</v>
      </c>
      <c r="D3" s="37">
        <f>+C3*B3</f>
        <v>0</v>
      </c>
    </row>
    <row r="4" spans="1:4" x14ac:dyDescent="0.25">
      <c r="A4" s="37" t="s">
        <v>6</v>
      </c>
      <c r="B4" s="39">
        <v>13</v>
      </c>
      <c r="C4" s="39">
        <v>24000</v>
      </c>
      <c r="D4" s="39">
        <f t="shared" ref="D4:D67" si="0">+C4*B4</f>
        <v>312000</v>
      </c>
    </row>
    <row r="5" spans="1:4" ht="14.45" hidden="1" x14ac:dyDescent="0.35">
      <c r="A5" s="37"/>
      <c r="B5" s="37">
        <v>0</v>
      </c>
      <c r="C5" s="37">
        <v>20000</v>
      </c>
      <c r="D5" s="37">
        <f t="shared" si="0"/>
        <v>0</v>
      </c>
    </row>
    <row r="6" spans="1:4" ht="14.45" hidden="1" x14ac:dyDescent="0.35">
      <c r="A6" s="37" t="s">
        <v>7</v>
      </c>
      <c r="B6" s="37">
        <v>0</v>
      </c>
      <c r="C6" s="37"/>
      <c r="D6" s="37">
        <f t="shared" si="0"/>
        <v>0</v>
      </c>
    </row>
    <row r="7" spans="1:4" ht="14.45" hidden="1" x14ac:dyDescent="0.35">
      <c r="A7" s="37" t="s">
        <v>8</v>
      </c>
      <c r="B7" s="37">
        <v>0</v>
      </c>
      <c r="C7" s="37">
        <v>38000</v>
      </c>
      <c r="D7" s="37">
        <f t="shared" si="0"/>
        <v>0</v>
      </c>
    </row>
    <row r="8" spans="1:4" ht="14.45" hidden="1" x14ac:dyDescent="0.35">
      <c r="A8" s="37" t="s">
        <v>9</v>
      </c>
      <c r="B8" s="37">
        <v>0</v>
      </c>
      <c r="C8" s="37"/>
      <c r="D8" s="37">
        <f t="shared" si="0"/>
        <v>0</v>
      </c>
    </row>
    <row r="9" spans="1:4" ht="14.45" hidden="1" x14ac:dyDescent="0.35">
      <c r="A9" s="37" t="s">
        <v>10</v>
      </c>
      <c r="B9" s="37">
        <v>0</v>
      </c>
      <c r="C9" s="37">
        <v>21000</v>
      </c>
      <c r="D9" s="37">
        <f t="shared" si="0"/>
        <v>0</v>
      </c>
    </row>
    <row r="10" spans="1:4" x14ac:dyDescent="0.25">
      <c r="A10" s="37" t="s">
        <v>11</v>
      </c>
      <c r="B10" s="39">
        <v>44</v>
      </c>
      <c r="C10" s="39">
        <v>30000</v>
      </c>
      <c r="D10" s="39">
        <f t="shared" si="0"/>
        <v>1320000</v>
      </c>
    </row>
    <row r="11" spans="1:4" ht="14.45" hidden="1" x14ac:dyDescent="0.35">
      <c r="A11" s="37"/>
      <c r="B11" s="37">
        <v>0</v>
      </c>
      <c r="C11" s="37">
        <v>35000</v>
      </c>
      <c r="D11" s="37">
        <f t="shared" si="0"/>
        <v>0</v>
      </c>
    </row>
    <row r="12" spans="1:4" ht="14.45" hidden="1" x14ac:dyDescent="0.35">
      <c r="A12" s="37" t="s">
        <v>12</v>
      </c>
      <c r="B12" s="37">
        <v>0</v>
      </c>
      <c r="C12" s="37"/>
      <c r="D12" s="37">
        <f t="shared" si="0"/>
        <v>0</v>
      </c>
    </row>
    <row r="13" spans="1:4" ht="14.45" hidden="1" x14ac:dyDescent="0.35">
      <c r="A13" s="37" t="s">
        <v>13</v>
      </c>
      <c r="B13" s="37">
        <v>0</v>
      </c>
      <c r="C13" s="37"/>
      <c r="D13" s="37">
        <f t="shared" si="0"/>
        <v>0</v>
      </c>
    </row>
    <row r="14" spans="1:4" x14ac:dyDescent="0.25">
      <c r="A14" s="37" t="s">
        <v>14</v>
      </c>
      <c r="B14" s="39">
        <v>5</v>
      </c>
      <c r="C14" s="39">
        <v>44000</v>
      </c>
      <c r="D14" s="39">
        <f t="shared" si="0"/>
        <v>220000</v>
      </c>
    </row>
    <row r="15" spans="1:4" ht="14.45" hidden="1" x14ac:dyDescent="0.35">
      <c r="A15" s="37"/>
      <c r="B15" s="37">
        <v>0</v>
      </c>
      <c r="C15" s="37">
        <v>42000</v>
      </c>
      <c r="D15" s="37">
        <f t="shared" si="0"/>
        <v>0</v>
      </c>
    </row>
    <row r="16" spans="1:4" ht="14.45" hidden="1" x14ac:dyDescent="0.35">
      <c r="A16" s="37" t="s">
        <v>15</v>
      </c>
      <c r="B16" s="37">
        <v>0</v>
      </c>
      <c r="C16" s="37"/>
      <c r="D16" s="37">
        <f t="shared" si="0"/>
        <v>0</v>
      </c>
    </row>
    <row r="17" spans="1:4" ht="14.45" hidden="1" x14ac:dyDescent="0.35">
      <c r="A17" s="37" t="s">
        <v>16</v>
      </c>
      <c r="B17" s="37">
        <v>0</v>
      </c>
      <c r="C17" s="37"/>
      <c r="D17" s="37">
        <f t="shared" si="0"/>
        <v>0</v>
      </c>
    </row>
    <row r="18" spans="1:4" x14ac:dyDescent="0.25">
      <c r="A18" s="37" t="s">
        <v>17</v>
      </c>
      <c r="B18" s="39">
        <v>15</v>
      </c>
      <c r="C18" s="39">
        <v>20000</v>
      </c>
      <c r="D18" s="39">
        <f t="shared" si="0"/>
        <v>300000</v>
      </c>
    </row>
    <row r="19" spans="1:4" ht="14.45" hidden="1" x14ac:dyDescent="0.35">
      <c r="A19" s="37"/>
      <c r="B19" s="37">
        <v>0</v>
      </c>
      <c r="C19" s="37">
        <v>18000</v>
      </c>
      <c r="D19" s="37">
        <f t="shared" si="0"/>
        <v>0</v>
      </c>
    </row>
    <row r="20" spans="1:4" ht="14.45" hidden="1" x14ac:dyDescent="0.35">
      <c r="A20" s="37" t="s">
        <v>18</v>
      </c>
      <c r="B20" s="37">
        <v>0</v>
      </c>
      <c r="C20" s="37"/>
      <c r="D20" s="37">
        <f t="shared" si="0"/>
        <v>0</v>
      </c>
    </row>
    <row r="21" spans="1:4" ht="14.45" hidden="1" x14ac:dyDescent="0.35">
      <c r="A21" s="37" t="s">
        <v>19</v>
      </c>
      <c r="B21" s="37">
        <v>0</v>
      </c>
      <c r="C21" s="37"/>
      <c r="D21" s="37">
        <f t="shared" si="0"/>
        <v>0</v>
      </c>
    </row>
    <row r="22" spans="1:4" x14ac:dyDescent="0.25">
      <c r="A22" s="37" t="s">
        <v>20</v>
      </c>
      <c r="B22" s="39">
        <v>8</v>
      </c>
      <c r="C22" s="39">
        <v>8000</v>
      </c>
      <c r="D22" s="39">
        <f t="shared" si="0"/>
        <v>64000</v>
      </c>
    </row>
    <row r="23" spans="1:4" ht="14.45" hidden="1" x14ac:dyDescent="0.35">
      <c r="A23" s="37" t="s">
        <v>21</v>
      </c>
      <c r="B23" s="37">
        <v>0</v>
      </c>
      <c r="C23" s="37"/>
      <c r="D23" s="37">
        <f t="shared" si="0"/>
        <v>0</v>
      </c>
    </row>
    <row r="24" spans="1:4" ht="14.45" hidden="1" x14ac:dyDescent="0.35">
      <c r="A24" s="37" t="s">
        <v>22</v>
      </c>
      <c r="B24" s="37">
        <v>0</v>
      </c>
      <c r="C24" s="37"/>
      <c r="D24" s="37">
        <f t="shared" si="0"/>
        <v>0</v>
      </c>
    </row>
    <row r="25" spans="1:4" ht="14.45" hidden="1" x14ac:dyDescent="0.35">
      <c r="A25" s="37" t="s">
        <v>23</v>
      </c>
      <c r="B25" s="37">
        <v>0</v>
      </c>
      <c r="C25" s="37"/>
      <c r="D25" s="37">
        <f t="shared" si="0"/>
        <v>0</v>
      </c>
    </row>
    <row r="26" spans="1:4" ht="14.45" hidden="1" x14ac:dyDescent="0.35">
      <c r="A26" s="37" t="s">
        <v>24</v>
      </c>
      <c r="B26" s="37">
        <v>0</v>
      </c>
      <c r="C26" s="37"/>
      <c r="D26" s="37">
        <f t="shared" si="0"/>
        <v>0</v>
      </c>
    </row>
    <row r="27" spans="1:4" ht="14.45" hidden="1" x14ac:dyDescent="0.35">
      <c r="A27" s="37" t="s">
        <v>25</v>
      </c>
      <c r="B27" s="37">
        <v>0</v>
      </c>
      <c r="C27" s="37"/>
      <c r="D27" s="37">
        <f t="shared" si="0"/>
        <v>0</v>
      </c>
    </row>
    <row r="28" spans="1:4" ht="14.45" hidden="1" x14ac:dyDescent="0.35">
      <c r="A28" s="37" t="s">
        <v>26</v>
      </c>
      <c r="B28" s="37">
        <v>0</v>
      </c>
      <c r="C28" s="37"/>
      <c r="D28" s="37">
        <f t="shared" si="0"/>
        <v>0</v>
      </c>
    </row>
    <row r="29" spans="1:4" ht="14.45" hidden="1" x14ac:dyDescent="0.35">
      <c r="A29" s="37" t="s">
        <v>27</v>
      </c>
      <c r="B29" s="37">
        <v>0</v>
      </c>
      <c r="C29" s="37">
        <v>12000</v>
      </c>
      <c r="D29" s="37">
        <f t="shared" si="0"/>
        <v>0</v>
      </c>
    </row>
    <row r="30" spans="1:4" ht="14.45" hidden="1" x14ac:dyDescent="0.35">
      <c r="A30" s="37" t="s">
        <v>28</v>
      </c>
      <c r="B30" s="37">
        <v>0</v>
      </c>
      <c r="C30" s="37">
        <v>5000</v>
      </c>
      <c r="D30" s="37">
        <f t="shared" si="0"/>
        <v>0</v>
      </c>
    </row>
    <row r="31" spans="1:4" ht="14.45" hidden="1" x14ac:dyDescent="0.35">
      <c r="A31" s="37" t="s">
        <v>29</v>
      </c>
      <c r="B31" s="37">
        <v>0</v>
      </c>
      <c r="C31" s="37"/>
      <c r="D31" s="37">
        <f t="shared" si="0"/>
        <v>0</v>
      </c>
    </row>
    <row r="32" spans="1:4" ht="14.45" hidden="1" x14ac:dyDescent="0.35">
      <c r="A32" s="37" t="s">
        <v>30</v>
      </c>
      <c r="B32" s="37">
        <v>0</v>
      </c>
      <c r="C32" s="37">
        <v>7000</v>
      </c>
      <c r="D32" s="37">
        <f t="shared" si="0"/>
        <v>0</v>
      </c>
    </row>
    <row r="33" spans="1:4" ht="14.45" hidden="1" x14ac:dyDescent="0.35">
      <c r="A33" s="37"/>
      <c r="B33" s="37">
        <v>0</v>
      </c>
      <c r="C33" s="37">
        <v>8000</v>
      </c>
      <c r="D33" s="37">
        <f t="shared" si="0"/>
        <v>0</v>
      </c>
    </row>
    <row r="34" spans="1:4" ht="14.45" hidden="1" x14ac:dyDescent="0.35">
      <c r="A34" s="37" t="s">
        <v>31</v>
      </c>
      <c r="B34" s="37">
        <v>0</v>
      </c>
      <c r="C34" s="37">
        <v>10000</v>
      </c>
      <c r="D34" s="37">
        <f t="shared" si="0"/>
        <v>0</v>
      </c>
    </row>
    <row r="35" spans="1:4" ht="14.45" hidden="1" x14ac:dyDescent="0.35">
      <c r="A35" s="37" t="s">
        <v>32</v>
      </c>
      <c r="B35" s="37">
        <v>0</v>
      </c>
      <c r="C35" s="37"/>
      <c r="D35" s="37">
        <f t="shared" si="0"/>
        <v>0</v>
      </c>
    </row>
    <row r="36" spans="1:4" ht="14.45" hidden="1" x14ac:dyDescent="0.35">
      <c r="A36" s="37" t="s">
        <v>33</v>
      </c>
      <c r="B36" s="37">
        <v>0</v>
      </c>
      <c r="C36" s="37"/>
      <c r="D36" s="37">
        <f t="shared" si="0"/>
        <v>0</v>
      </c>
    </row>
    <row r="37" spans="1:4" ht="14.45" hidden="1" x14ac:dyDescent="0.35">
      <c r="A37" s="37" t="s">
        <v>34</v>
      </c>
      <c r="B37" s="37">
        <v>0</v>
      </c>
      <c r="C37" s="37">
        <v>8000</v>
      </c>
      <c r="D37" s="37">
        <f t="shared" si="0"/>
        <v>0</v>
      </c>
    </row>
    <row r="38" spans="1:4" ht="14.45" hidden="1" x14ac:dyDescent="0.35">
      <c r="A38" s="37" t="s">
        <v>35</v>
      </c>
      <c r="B38" s="37">
        <v>0</v>
      </c>
      <c r="C38" s="37">
        <v>110000</v>
      </c>
      <c r="D38" s="37">
        <f t="shared" si="0"/>
        <v>0</v>
      </c>
    </row>
    <row r="39" spans="1:4" ht="14.45" hidden="1" x14ac:dyDescent="0.35">
      <c r="A39" s="37" t="s">
        <v>36</v>
      </c>
      <c r="B39" s="37">
        <v>0</v>
      </c>
      <c r="C39" s="37">
        <v>18000</v>
      </c>
      <c r="D39" s="37">
        <f t="shared" si="0"/>
        <v>0</v>
      </c>
    </row>
    <row r="40" spans="1:4" ht="14.45" hidden="1" x14ac:dyDescent="0.35">
      <c r="A40" s="37" t="s">
        <v>37</v>
      </c>
      <c r="B40" s="37">
        <v>0</v>
      </c>
      <c r="C40" s="37">
        <v>10000</v>
      </c>
      <c r="D40" s="37">
        <f t="shared" si="0"/>
        <v>0</v>
      </c>
    </row>
    <row r="41" spans="1:4" ht="14.45" hidden="1" x14ac:dyDescent="0.35">
      <c r="A41" s="37" t="s">
        <v>38</v>
      </c>
      <c r="B41" s="37">
        <v>0</v>
      </c>
      <c r="C41" s="37"/>
      <c r="D41" s="37">
        <f t="shared" si="0"/>
        <v>0</v>
      </c>
    </row>
    <row r="42" spans="1:4" ht="14.45" hidden="1" x14ac:dyDescent="0.35">
      <c r="A42" s="37" t="s">
        <v>39</v>
      </c>
      <c r="B42" s="37">
        <v>0</v>
      </c>
      <c r="C42" s="37"/>
      <c r="D42" s="37">
        <f t="shared" si="0"/>
        <v>0</v>
      </c>
    </row>
    <row r="43" spans="1:4" ht="14.45" hidden="1" x14ac:dyDescent="0.35">
      <c r="A43" s="37" t="s">
        <v>40</v>
      </c>
      <c r="B43" s="37">
        <v>0</v>
      </c>
      <c r="C43" s="37"/>
      <c r="D43" s="37">
        <f t="shared" si="0"/>
        <v>0</v>
      </c>
    </row>
    <row r="44" spans="1:4" ht="14.45" hidden="1" x14ac:dyDescent="0.35">
      <c r="A44" s="37" t="s">
        <v>41</v>
      </c>
      <c r="B44" s="37">
        <v>0</v>
      </c>
      <c r="C44" s="37"/>
      <c r="D44" s="37">
        <f t="shared" si="0"/>
        <v>0</v>
      </c>
    </row>
    <row r="45" spans="1:4" ht="14.45" hidden="1" x14ac:dyDescent="0.35">
      <c r="A45" s="37" t="s">
        <v>42</v>
      </c>
      <c r="B45" s="37">
        <v>0</v>
      </c>
      <c r="C45" s="37"/>
      <c r="D45" s="37">
        <f t="shared" si="0"/>
        <v>0</v>
      </c>
    </row>
    <row r="46" spans="1:4" ht="14.45" hidden="1" x14ac:dyDescent="0.35">
      <c r="A46" s="37" t="s">
        <v>43</v>
      </c>
      <c r="B46" s="37">
        <v>0</v>
      </c>
      <c r="C46" s="37"/>
      <c r="D46" s="37">
        <f t="shared" si="0"/>
        <v>0</v>
      </c>
    </row>
    <row r="47" spans="1:4" ht="14.45" hidden="1" x14ac:dyDescent="0.35">
      <c r="A47" s="37" t="s">
        <v>44</v>
      </c>
      <c r="B47" s="37">
        <v>0</v>
      </c>
      <c r="C47" s="37">
        <v>15000</v>
      </c>
      <c r="D47" s="37">
        <f t="shared" si="0"/>
        <v>0</v>
      </c>
    </row>
    <row r="48" spans="1:4" ht="14.45" hidden="1" x14ac:dyDescent="0.35">
      <c r="A48" s="37"/>
      <c r="B48" s="37">
        <v>0</v>
      </c>
      <c r="C48" s="37">
        <v>16000</v>
      </c>
      <c r="D48" s="37">
        <f t="shared" si="0"/>
        <v>0</v>
      </c>
    </row>
    <row r="49" spans="1:4" ht="14.45" hidden="1" x14ac:dyDescent="0.35">
      <c r="A49" s="37" t="s">
        <v>45</v>
      </c>
      <c r="B49" s="37">
        <v>0</v>
      </c>
      <c r="C49" s="37"/>
      <c r="D49" s="37">
        <f t="shared" si="0"/>
        <v>0</v>
      </c>
    </row>
    <row r="50" spans="1:4" x14ac:dyDescent="0.25">
      <c r="A50" s="37" t="s">
        <v>46</v>
      </c>
      <c r="B50" s="39">
        <v>3</v>
      </c>
      <c r="C50" s="39">
        <v>15000</v>
      </c>
      <c r="D50" s="39">
        <f t="shared" si="0"/>
        <v>45000</v>
      </c>
    </row>
    <row r="51" spans="1:4" ht="14.45" hidden="1" x14ac:dyDescent="0.35">
      <c r="A51" s="37" t="s">
        <v>47</v>
      </c>
      <c r="B51" s="37">
        <v>0</v>
      </c>
      <c r="C51" s="37"/>
      <c r="D51" s="37">
        <f t="shared" si="0"/>
        <v>0</v>
      </c>
    </row>
    <row r="52" spans="1:4" x14ac:dyDescent="0.25">
      <c r="A52" s="37" t="s">
        <v>48</v>
      </c>
      <c r="B52" s="39">
        <v>18</v>
      </c>
      <c r="C52" s="39">
        <v>15000</v>
      </c>
      <c r="D52" s="39">
        <f t="shared" si="0"/>
        <v>270000</v>
      </c>
    </row>
    <row r="53" spans="1:4" ht="14.45" hidden="1" x14ac:dyDescent="0.35">
      <c r="A53" s="37" t="s">
        <v>49</v>
      </c>
      <c r="B53" s="37">
        <v>0</v>
      </c>
      <c r="C53" s="37"/>
      <c r="D53" s="37">
        <f t="shared" si="0"/>
        <v>0</v>
      </c>
    </row>
    <row r="54" spans="1:4" ht="14.45" hidden="1" x14ac:dyDescent="0.35">
      <c r="A54" s="37" t="s">
        <v>50</v>
      </c>
      <c r="B54" s="37">
        <v>0</v>
      </c>
      <c r="C54" s="37">
        <v>14500</v>
      </c>
      <c r="D54" s="37">
        <f t="shared" si="0"/>
        <v>0</v>
      </c>
    </row>
    <row r="55" spans="1:4" ht="14.45" hidden="1" x14ac:dyDescent="0.35">
      <c r="A55" s="37"/>
      <c r="B55" s="37">
        <v>0</v>
      </c>
      <c r="C55" s="37">
        <v>17000</v>
      </c>
      <c r="D55" s="37">
        <f t="shared" si="0"/>
        <v>0</v>
      </c>
    </row>
    <row r="56" spans="1:4" ht="14.45" hidden="1" x14ac:dyDescent="0.35">
      <c r="A56" s="37"/>
      <c r="B56" s="37">
        <v>0</v>
      </c>
      <c r="C56" s="37">
        <v>17000</v>
      </c>
      <c r="D56" s="37">
        <f t="shared" si="0"/>
        <v>0</v>
      </c>
    </row>
    <row r="57" spans="1:4" ht="14.45" hidden="1" x14ac:dyDescent="0.35">
      <c r="A57" s="37" t="s">
        <v>51</v>
      </c>
      <c r="B57" s="37">
        <v>0</v>
      </c>
      <c r="C57" s="37">
        <v>9000</v>
      </c>
      <c r="D57" s="37">
        <f t="shared" si="0"/>
        <v>0</v>
      </c>
    </row>
    <row r="58" spans="1:4" ht="14.45" hidden="1" x14ac:dyDescent="0.35">
      <c r="A58" s="37" t="s">
        <v>52</v>
      </c>
      <c r="B58" s="37">
        <v>0</v>
      </c>
      <c r="C58" s="37"/>
      <c r="D58" s="37">
        <f t="shared" si="0"/>
        <v>0</v>
      </c>
    </row>
    <row r="59" spans="1:4" ht="14.45" hidden="1" x14ac:dyDescent="0.35">
      <c r="A59" s="37" t="s">
        <v>53</v>
      </c>
      <c r="B59" s="37">
        <v>0</v>
      </c>
      <c r="C59" s="37"/>
      <c r="D59" s="37">
        <f t="shared" si="0"/>
        <v>0</v>
      </c>
    </row>
    <row r="60" spans="1:4" ht="14.45" hidden="1" x14ac:dyDescent="0.35">
      <c r="A60" s="37" t="s">
        <v>54</v>
      </c>
      <c r="B60" s="37">
        <v>0</v>
      </c>
      <c r="C60" s="37">
        <v>22000</v>
      </c>
      <c r="D60" s="37">
        <f t="shared" si="0"/>
        <v>0</v>
      </c>
    </row>
    <row r="61" spans="1:4" ht="14.45" hidden="1" x14ac:dyDescent="0.35">
      <c r="A61" s="37" t="s">
        <v>55</v>
      </c>
      <c r="B61" s="37">
        <v>0</v>
      </c>
      <c r="C61" s="37"/>
      <c r="D61" s="37">
        <f t="shared" si="0"/>
        <v>0</v>
      </c>
    </row>
    <row r="62" spans="1:4" ht="14.45" hidden="1" x14ac:dyDescent="0.35">
      <c r="A62" s="37" t="s">
        <v>56</v>
      </c>
      <c r="B62" s="37">
        <v>0</v>
      </c>
      <c r="C62" s="37"/>
      <c r="D62" s="37">
        <f t="shared" si="0"/>
        <v>0</v>
      </c>
    </row>
    <row r="63" spans="1:4" ht="14.45" hidden="1" x14ac:dyDescent="0.35">
      <c r="A63" s="37" t="s">
        <v>57</v>
      </c>
      <c r="B63" s="37">
        <v>0</v>
      </c>
      <c r="C63" s="37">
        <v>8000</v>
      </c>
      <c r="D63" s="37">
        <f t="shared" si="0"/>
        <v>0</v>
      </c>
    </row>
    <row r="64" spans="1:4" ht="14.45" hidden="1" x14ac:dyDescent="0.35">
      <c r="A64" s="37"/>
      <c r="B64" s="37">
        <v>0</v>
      </c>
      <c r="C64" s="37">
        <v>7000</v>
      </c>
      <c r="D64" s="37">
        <f t="shared" si="0"/>
        <v>0</v>
      </c>
    </row>
    <row r="65" spans="1:4" ht="14.45" hidden="1" x14ac:dyDescent="0.35">
      <c r="A65" s="37"/>
      <c r="B65" s="37">
        <v>0</v>
      </c>
      <c r="C65" s="37">
        <v>7000</v>
      </c>
      <c r="D65" s="37">
        <f t="shared" si="0"/>
        <v>0</v>
      </c>
    </row>
    <row r="66" spans="1:4" ht="14.45" hidden="1" x14ac:dyDescent="0.35">
      <c r="A66" s="37"/>
      <c r="B66" s="37">
        <v>0</v>
      </c>
      <c r="C66" s="37">
        <v>7000</v>
      </c>
      <c r="D66" s="37">
        <f t="shared" si="0"/>
        <v>0</v>
      </c>
    </row>
    <row r="67" spans="1:4" ht="14.45" hidden="1" x14ac:dyDescent="0.35">
      <c r="A67" s="37" t="s">
        <v>58</v>
      </c>
      <c r="B67" s="37">
        <v>0</v>
      </c>
      <c r="C67" s="37"/>
      <c r="D67" s="37">
        <f t="shared" si="0"/>
        <v>0</v>
      </c>
    </row>
    <row r="68" spans="1:4" ht="14.45" hidden="1" x14ac:dyDescent="0.35">
      <c r="A68" s="37" t="s">
        <v>59</v>
      </c>
      <c r="B68" s="37">
        <v>0</v>
      </c>
      <c r="C68" s="37"/>
      <c r="D68" s="37">
        <f t="shared" ref="D68:D131" si="1">+C68*B68</f>
        <v>0</v>
      </c>
    </row>
    <row r="69" spans="1:4" ht="14.45" hidden="1" x14ac:dyDescent="0.35">
      <c r="A69" s="37" t="s">
        <v>60</v>
      </c>
      <c r="B69" s="37">
        <v>0</v>
      </c>
      <c r="C69" s="37">
        <v>15000</v>
      </c>
      <c r="D69" s="37">
        <f t="shared" si="1"/>
        <v>0</v>
      </c>
    </row>
    <row r="70" spans="1:4" ht="14.45" hidden="1" x14ac:dyDescent="0.35">
      <c r="A70" s="37" t="s">
        <v>61</v>
      </c>
      <c r="B70" s="37">
        <v>0</v>
      </c>
      <c r="C70" s="37"/>
      <c r="D70" s="37">
        <f t="shared" si="1"/>
        <v>0</v>
      </c>
    </row>
    <row r="71" spans="1:4" ht="14.45" hidden="1" x14ac:dyDescent="0.35">
      <c r="A71" s="37" t="s">
        <v>62</v>
      </c>
      <c r="B71" s="37">
        <v>0</v>
      </c>
      <c r="C71" s="37">
        <v>38000</v>
      </c>
      <c r="D71" s="37">
        <f t="shared" si="1"/>
        <v>0</v>
      </c>
    </row>
    <row r="72" spans="1:4" x14ac:dyDescent="0.25">
      <c r="A72" s="37" t="s">
        <v>63</v>
      </c>
      <c r="B72" s="39">
        <v>8</v>
      </c>
      <c r="C72" s="39">
        <v>22000</v>
      </c>
      <c r="D72" s="39">
        <f t="shared" si="1"/>
        <v>176000</v>
      </c>
    </row>
    <row r="73" spans="1:4" ht="14.45" hidden="1" x14ac:dyDescent="0.35">
      <c r="A73" s="37" t="s">
        <v>64</v>
      </c>
      <c r="B73" s="37">
        <v>0</v>
      </c>
      <c r="C73" s="37">
        <v>20000</v>
      </c>
      <c r="D73" s="37">
        <f t="shared" si="1"/>
        <v>0</v>
      </c>
    </row>
    <row r="74" spans="1:4" ht="14.45" hidden="1" x14ac:dyDescent="0.35">
      <c r="A74" s="37"/>
      <c r="B74" s="37">
        <v>0</v>
      </c>
      <c r="C74" s="37">
        <v>20000</v>
      </c>
      <c r="D74" s="37">
        <f t="shared" si="1"/>
        <v>0</v>
      </c>
    </row>
    <row r="75" spans="1:4" ht="14.45" hidden="1" x14ac:dyDescent="0.35">
      <c r="A75" s="37" t="s">
        <v>65</v>
      </c>
      <c r="B75" s="37">
        <v>0</v>
      </c>
      <c r="C75" s="37">
        <v>17000</v>
      </c>
      <c r="D75" s="37">
        <f t="shared" si="1"/>
        <v>0</v>
      </c>
    </row>
    <row r="76" spans="1:4" ht="14.45" hidden="1" x14ac:dyDescent="0.35">
      <c r="A76" s="37" t="s">
        <v>66</v>
      </c>
      <c r="B76" s="37">
        <v>0</v>
      </c>
      <c r="C76" s="37"/>
      <c r="D76" s="37">
        <f t="shared" si="1"/>
        <v>0</v>
      </c>
    </row>
    <row r="77" spans="1:4" ht="14.45" hidden="1" x14ac:dyDescent="0.35">
      <c r="A77" s="37" t="s">
        <v>67</v>
      </c>
      <c r="B77" s="37">
        <v>0</v>
      </c>
      <c r="C77" s="37"/>
      <c r="D77" s="37">
        <f t="shared" si="1"/>
        <v>0</v>
      </c>
    </row>
    <row r="78" spans="1:4" ht="14.45" hidden="1" x14ac:dyDescent="0.35">
      <c r="A78" s="37" t="s">
        <v>68</v>
      </c>
      <c r="B78" s="37">
        <v>0</v>
      </c>
      <c r="C78" s="37">
        <v>8000</v>
      </c>
      <c r="D78" s="37">
        <f t="shared" si="1"/>
        <v>0</v>
      </c>
    </row>
    <row r="79" spans="1:4" ht="14.45" hidden="1" x14ac:dyDescent="0.35">
      <c r="A79" s="37" t="s">
        <v>69</v>
      </c>
      <c r="B79" s="37">
        <v>0</v>
      </c>
      <c r="C79" s="37">
        <v>10500</v>
      </c>
      <c r="D79" s="37">
        <f t="shared" si="1"/>
        <v>0</v>
      </c>
    </row>
    <row r="80" spans="1:4" ht="14.45" hidden="1" x14ac:dyDescent="0.35">
      <c r="A80" s="37" t="s">
        <v>70</v>
      </c>
      <c r="B80" s="37">
        <v>0</v>
      </c>
      <c r="C80" s="37"/>
      <c r="D80" s="37">
        <f t="shared" si="1"/>
        <v>0</v>
      </c>
    </row>
    <row r="81" spans="1:4" ht="14.45" hidden="1" x14ac:dyDescent="0.35">
      <c r="A81" s="37" t="s">
        <v>71</v>
      </c>
      <c r="B81" s="37">
        <v>0</v>
      </c>
      <c r="C81" s="37"/>
      <c r="D81" s="37">
        <f t="shared" si="1"/>
        <v>0</v>
      </c>
    </row>
    <row r="82" spans="1:4" ht="14.45" hidden="1" x14ac:dyDescent="0.35">
      <c r="A82" s="37" t="s">
        <v>72</v>
      </c>
      <c r="B82" s="37">
        <v>0</v>
      </c>
      <c r="C82" s="37">
        <v>18000</v>
      </c>
      <c r="D82" s="37">
        <f t="shared" si="1"/>
        <v>0</v>
      </c>
    </row>
    <row r="83" spans="1:4" ht="14.45" hidden="1" x14ac:dyDescent="0.35">
      <c r="A83" s="37" t="s">
        <v>73</v>
      </c>
      <c r="B83" s="37">
        <v>0</v>
      </c>
      <c r="C83" s="37">
        <v>25000</v>
      </c>
      <c r="D83" s="37">
        <f t="shared" si="1"/>
        <v>0</v>
      </c>
    </row>
    <row r="84" spans="1:4" ht="14.45" hidden="1" x14ac:dyDescent="0.35">
      <c r="A84" s="37" t="s">
        <v>74</v>
      </c>
      <c r="B84" s="37">
        <v>0</v>
      </c>
      <c r="C84" s="37"/>
      <c r="D84" s="37">
        <f t="shared" si="1"/>
        <v>0</v>
      </c>
    </row>
    <row r="85" spans="1:4" ht="14.45" hidden="1" x14ac:dyDescent="0.35">
      <c r="A85" s="37" t="s">
        <v>75</v>
      </c>
      <c r="B85" s="37">
        <v>0</v>
      </c>
      <c r="C85" s="37"/>
      <c r="D85" s="37">
        <f t="shared" si="1"/>
        <v>0</v>
      </c>
    </row>
    <row r="86" spans="1:4" ht="14.45" hidden="1" x14ac:dyDescent="0.35">
      <c r="A86" s="37" t="s">
        <v>76</v>
      </c>
      <c r="B86" s="37">
        <v>0</v>
      </c>
      <c r="C86" s="37"/>
      <c r="D86" s="37">
        <f t="shared" si="1"/>
        <v>0</v>
      </c>
    </row>
    <row r="87" spans="1:4" ht="14.45" hidden="1" x14ac:dyDescent="0.35">
      <c r="A87" s="37" t="s">
        <v>77</v>
      </c>
      <c r="B87" s="37">
        <v>0</v>
      </c>
      <c r="C87" s="37"/>
      <c r="D87" s="37">
        <f t="shared" si="1"/>
        <v>0</v>
      </c>
    </row>
    <row r="88" spans="1:4" ht="14.45" hidden="1" x14ac:dyDescent="0.35">
      <c r="A88" s="37" t="s">
        <v>78</v>
      </c>
      <c r="B88" s="37">
        <v>0</v>
      </c>
      <c r="C88" s="37">
        <v>11000</v>
      </c>
      <c r="D88" s="37">
        <f t="shared" si="1"/>
        <v>0</v>
      </c>
    </row>
    <row r="89" spans="1:4" ht="14.45" hidden="1" x14ac:dyDescent="0.35">
      <c r="A89" s="37"/>
      <c r="B89" s="37">
        <v>0</v>
      </c>
      <c r="C89" s="37">
        <v>13000</v>
      </c>
      <c r="D89" s="37">
        <f t="shared" si="1"/>
        <v>0</v>
      </c>
    </row>
    <row r="90" spans="1:4" ht="14.45" hidden="1" x14ac:dyDescent="0.35">
      <c r="A90" s="37" t="s">
        <v>79</v>
      </c>
      <c r="B90" s="37">
        <v>0</v>
      </c>
      <c r="C90" s="37">
        <v>9000</v>
      </c>
      <c r="D90" s="37">
        <f t="shared" si="1"/>
        <v>0</v>
      </c>
    </row>
    <row r="91" spans="1:4" ht="14.45" hidden="1" x14ac:dyDescent="0.35">
      <c r="A91" s="37" t="s">
        <v>80</v>
      </c>
      <c r="B91" s="37">
        <v>0</v>
      </c>
      <c r="C91" s="37"/>
      <c r="D91" s="37">
        <f t="shared" si="1"/>
        <v>0</v>
      </c>
    </row>
    <row r="92" spans="1:4" ht="14.45" hidden="1" x14ac:dyDescent="0.35">
      <c r="A92" s="37" t="s">
        <v>81</v>
      </c>
      <c r="B92" s="37">
        <v>0</v>
      </c>
      <c r="C92" s="37"/>
      <c r="D92" s="37">
        <f t="shared" si="1"/>
        <v>0</v>
      </c>
    </row>
    <row r="93" spans="1:4" ht="14.45" hidden="1" x14ac:dyDescent="0.35">
      <c r="A93" s="37" t="s">
        <v>82</v>
      </c>
      <c r="B93" s="37">
        <v>0</v>
      </c>
      <c r="C93" s="37">
        <v>150000</v>
      </c>
      <c r="D93" s="37">
        <f t="shared" si="1"/>
        <v>0</v>
      </c>
    </row>
    <row r="94" spans="1:4" ht="14.45" hidden="1" x14ac:dyDescent="0.35">
      <c r="A94" s="37" t="s">
        <v>83</v>
      </c>
      <c r="B94" s="37">
        <v>0</v>
      </c>
      <c r="C94" s="37">
        <v>20000</v>
      </c>
      <c r="D94" s="37">
        <f t="shared" si="1"/>
        <v>0</v>
      </c>
    </row>
    <row r="95" spans="1:4" ht="14.45" hidden="1" x14ac:dyDescent="0.35">
      <c r="A95" s="37" t="s">
        <v>84</v>
      </c>
      <c r="B95" s="37">
        <v>0</v>
      </c>
      <c r="C95" s="37">
        <v>50000</v>
      </c>
      <c r="D95" s="37">
        <f t="shared" si="1"/>
        <v>0</v>
      </c>
    </row>
    <row r="96" spans="1:4" x14ac:dyDescent="0.25">
      <c r="A96" s="37" t="s">
        <v>85</v>
      </c>
      <c r="B96" s="38">
        <v>0.5</v>
      </c>
      <c r="C96" s="39">
        <v>80000</v>
      </c>
      <c r="D96" s="39">
        <f t="shared" si="1"/>
        <v>40000</v>
      </c>
    </row>
    <row r="97" spans="1:4" ht="14.45" hidden="1" x14ac:dyDescent="0.35">
      <c r="A97" s="37" t="s">
        <v>86</v>
      </c>
      <c r="B97" s="37">
        <v>0</v>
      </c>
      <c r="C97" s="37">
        <v>50000</v>
      </c>
      <c r="D97" s="37">
        <f t="shared" si="1"/>
        <v>0</v>
      </c>
    </row>
    <row r="98" spans="1:4" ht="14.45" hidden="1" x14ac:dyDescent="0.35">
      <c r="A98" s="37" t="s">
        <v>87</v>
      </c>
      <c r="B98" s="37">
        <v>0</v>
      </c>
      <c r="C98" s="37">
        <v>70000</v>
      </c>
      <c r="D98" s="37">
        <f t="shared" si="1"/>
        <v>0</v>
      </c>
    </row>
    <row r="99" spans="1:4" ht="14.45" hidden="1" x14ac:dyDescent="0.35">
      <c r="A99" s="37" t="s">
        <v>88</v>
      </c>
      <c r="B99" s="37">
        <v>0</v>
      </c>
      <c r="C99" s="37">
        <v>45000</v>
      </c>
      <c r="D99" s="37">
        <f t="shared" si="1"/>
        <v>0</v>
      </c>
    </row>
    <row r="100" spans="1:4" x14ac:dyDescent="0.25">
      <c r="A100" s="37" t="s">
        <v>89</v>
      </c>
      <c r="B100" s="38">
        <v>0.5</v>
      </c>
      <c r="C100" s="39">
        <v>70000</v>
      </c>
      <c r="D100" s="39">
        <f t="shared" si="1"/>
        <v>35000</v>
      </c>
    </row>
    <row r="101" spans="1:4" ht="14.45" hidden="1" x14ac:dyDescent="0.35">
      <c r="A101" s="37" t="s">
        <v>90</v>
      </c>
      <c r="B101" s="37">
        <v>0</v>
      </c>
      <c r="C101" s="37">
        <v>50000</v>
      </c>
      <c r="D101" s="37">
        <f t="shared" si="1"/>
        <v>0</v>
      </c>
    </row>
    <row r="102" spans="1:4" ht="14.45" hidden="1" x14ac:dyDescent="0.35">
      <c r="A102" s="37" t="s">
        <v>91</v>
      </c>
      <c r="B102" s="37">
        <v>0</v>
      </c>
      <c r="C102" s="37"/>
      <c r="D102" s="37">
        <f t="shared" si="1"/>
        <v>0</v>
      </c>
    </row>
    <row r="103" spans="1:4" ht="14.45" hidden="1" x14ac:dyDescent="0.35">
      <c r="A103" s="37" t="s">
        <v>92</v>
      </c>
      <c r="B103" s="37">
        <v>0</v>
      </c>
      <c r="C103" s="37"/>
      <c r="D103" s="37">
        <f t="shared" si="1"/>
        <v>0</v>
      </c>
    </row>
    <row r="104" spans="1:4" ht="14.45" hidden="1" x14ac:dyDescent="0.35">
      <c r="A104" s="37" t="s">
        <v>93</v>
      </c>
      <c r="B104" s="37">
        <v>0</v>
      </c>
      <c r="C104" s="37"/>
      <c r="D104" s="37">
        <f t="shared" si="1"/>
        <v>0</v>
      </c>
    </row>
    <row r="105" spans="1:4" ht="14.45" hidden="1" x14ac:dyDescent="0.35">
      <c r="A105" s="37" t="s">
        <v>94</v>
      </c>
      <c r="B105" s="37">
        <v>0</v>
      </c>
      <c r="C105" s="37"/>
      <c r="D105" s="37">
        <f t="shared" si="1"/>
        <v>0</v>
      </c>
    </row>
    <row r="106" spans="1:4" ht="14.45" hidden="1" x14ac:dyDescent="0.35">
      <c r="A106" s="37" t="s">
        <v>95</v>
      </c>
      <c r="B106" s="37">
        <v>0</v>
      </c>
      <c r="C106" s="37">
        <v>12000</v>
      </c>
      <c r="D106" s="37">
        <f t="shared" si="1"/>
        <v>0</v>
      </c>
    </row>
    <row r="107" spans="1:4" ht="14.45" hidden="1" x14ac:dyDescent="0.35">
      <c r="A107" s="37" t="s">
        <v>96</v>
      </c>
      <c r="B107" s="37">
        <v>0</v>
      </c>
      <c r="C107" s="37"/>
      <c r="D107" s="37">
        <f t="shared" si="1"/>
        <v>0</v>
      </c>
    </row>
    <row r="108" spans="1:4" ht="14.45" hidden="1" x14ac:dyDescent="0.35">
      <c r="A108" s="37" t="s">
        <v>97</v>
      </c>
      <c r="B108" s="37">
        <v>0</v>
      </c>
      <c r="C108" s="37">
        <v>13000</v>
      </c>
      <c r="D108" s="37">
        <f t="shared" si="1"/>
        <v>0</v>
      </c>
    </row>
    <row r="109" spans="1:4" ht="14.45" hidden="1" x14ac:dyDescent="0.35">
      <c r="A109" s="37" t="s">
        <v>98</v>
      </c>
      <c r="B109" s="37">
        <v>0</v>
      </c>
      <c r="C109" s="37"/>
      <c r="D109" s="37">
        <f t="shared" si="1"/>
        <v>0</v>
      </c>
    </row>
    <row r="110" spans="1:4" ht="14.45" hidden="1" x14ac:dyDescent="0.35">
      <c r="A110" s="37" t="s">
        <v>99</v>
      </c>
      <c r="B110" s="37">
        <v>0</v>
      </c>
      <c r="C110" s="37"/>
      <c r="D110" s="37">
        <f t="shared" si="1"/>
        <v>0</v>
      </c>
    </row>
    <row r="111" spans="1:4" ht="14.45" hidden="1" x14ac:dyDescent="0.35">
      <c r="A111" s="37" t="s">
        <v>100</v>
      </c>
      <c r="B111" s="37">
        <v>0</v>
      </c>
      <c r="C111" s="37"/>
      <c r="D111" s="37">
        <f t="shared" si="1"/>
        <v>0</v>
      </c>
    </row>
    <row r="112" spans="1:4" ht="14.45" hidden="1" x14ac:dyDescent="0.35">
      <c r="A112" s="37" t="s">
        <v>101</v>
      </c>
      <c r="B112" s="37">
        <v>0</v>
      </c>
      <c r="C112" s="37"/>
      <c r="D112" s="37">
        <f t="shared" si="1"/>
        <v>0</v>
      </c>
    </row>
    <row r="113" spans="1:4" ht="14.45" hidden="1" x14ac:dyDescent="0.35">
      <c r="A113" s="37" t="s">
        <v>102</v>
      </c>
      <c r="B113" s="37">
        <v>0</v>
      </c>
      <c r="C113" s="37"/>
      <c r="D113" s="37">
        <f t="shared" si="1"/>
        <v>0</v>
      </c>
    </row>
    <row r="114" spans="1:4" ht="14.45" hidden="1" x14ac:dyDescent="0.35">
      <c r="A114" s="37" t="s">
        <v>103</v>
      </c>
      <c r="B114" s="37">
        <v>0</v>
      </c>
      <c r="C114" s="37"/>
      <c r="D114" s="37">
        <f t="shared" si="1"/>
        <v>0</v>
      </c>
    </row>
    <row r="115" spans="1:4" ht="14.45" hidden="1" x14ac:dyDescent="0.35">
      <c r="A115" s="37" t="s">
        <v>104</v>
      </c>
      <c r="B115" s="37">
        <v>0</v>
      </c>
      <c r="C115" s="37"/>
      <c r="D115" s="37">
        <f t="shared" si="1"/>
        <v>0</v>
      </c>
    </row>
    <row r="116" spans="1:4" ht="14.45" hidden="1" x14ac:dyDescent="0.35">
      <c r="A116" s="37" t="s">
        <v>105</v>
      </c>
      <c r="B116" s="37">
        <v>0</v>
      </c>
      <c r="C116" s="37"/>
      <c r="D116" s="37">
        <f t="shared" si="1"/>
        <v>0</v>
      </c>
    </row>
    <row r="117" spans="1:4" ht="14.45" hidden="1" x14ac:dyDescent="0.35">
      <c r="A117" s="37" t="s">
        <v>106</v>
      </c>
      <c r="B117" s="37">
        <v>0</v>
      </c>
      <c r="C117" s="37"/>
      <c r="D117" s="37">
        <f t="shared" si="1"/>
        <v>0</v>
      </c>
    </row>
    <row r="118" spans="1:4" ht="14.45" hidden="1" x14ac:dyDescent="0.35">
      <c r="A118" s="37" t="s">
        <v>107</v>
      </c>
      <c r="B118" s="37">
        <v>0</v>
      </c>
      <c r="C118" s="37"/>
      <c r="D118" s="37">
        <f t="shared" si="1"/>
        <v>0</v>
      </c>
    </row>
    <row r="119" spans="1:4" ht="14.45" hidden="1" x14ac:dyDescent="0.35">
      <c r="A119" s="37" t="s">
        <v>108</v>
      </c>
      <c r="B119" s="37">
        <v>0</v>
      </c>
      <c r="C119" s="37"/>
      <c r="D119" s="37">
        <f t="shared" si="1"/>
        <v>0</v>
      </c>
    </row>
    <row r="120" spans="1:4" ht="14.45" hidden="1" x14ac:dyDescent="0.35">
      <c r="A120" s="37" t="s">
        <v>109</v>
      </c>
      <c r="B120" s="37">
        <v>0</v>
      </c>
      <c r="C120" s="37">
        <v>10000</v>
      </c>
      <c r="D120" s="37">
        <f t="shared" si="1"/>
        <v>0</v>
      </c>
    </row>
    <row r="121" spans="1:4" x14ac:dyDescent="0.25">
      <c r="A121" s="37" t="s">
        <v>110</v>
      </c>
      <c r="B121" s="39">
        <v>10</v>
      </c>
      <c r="C121" s="39">
        <v>6250</v>
      </c>
      <c r="D121" s="39">
        <f t="shared" si="1"/>
        <v>62500</v>
      </c>
    </row>
    <row r="122" spans="1:4" ht="14.45" hidden="1" x14ac:dyDescent="0.35">
      <c r="A122" s="37" t="s">
        <v>111</v>
      </c>
      <c r="B122" s="37">
        <v>0</v>
      </c>
      <c r="C122" s="37"/>
      <c r="D122" s="37">
        <f t="shared" si="1"/>
        <v>0</v>
      </c>
    </row>
    <row r="123" spans="1:4" x14ac:dyDescent="0.25">
      <c r="A123" s="37" t="s">
        <v>112</v>
      </c>
      <c r="B123" s="39">
        <v>2010</v>
      </c>
      <c r="C123" s="39">
        <v>20000</v>
      </c>
      <c r="D123" s="39">
        <f t="shared" si="1"/>
        <v>40200000</v>
      </c>
    </row>
    <row r="124" spans="1:4" x14ac:dyDescent="0.25">
      <c r="A124" s="37" t="s">
        <v>113</v>
      </c>
      <c r="B124" s="39">
        <v>260</v>
      </c>
      <c r="C124" s="39">
        <v>17000</v>
      </c>
      <c r="D124" s="39">
        <f t="shared" si="1"/>
        <v>4420000</v>
      </c>
    </row>
    <row r="125" spans="1:4" x14ac:dyDescent="0.25">
      <c r="A125" s="37" t="s">
        <v>114</v>
      </c>
      <c r="B125" s="39">
        <v>1370</v>
      </c>
      <c r="C125" s="39">
        <v>15000</v>
      </c>
      <c r="D125" s="39">
        <f t="shared" si="1"/>
        <v>20550000</v>
      </c>
    </row>
    <row r="126" spans="1:4" ht="14.45" hidden="1" x14ac:dyDescent="0.35">
      <c r="A126" s="37" t="s">
        <v>115</v>
      </c>
      <c r="B126" s="37">
        <v>0</v>
      </c>
      <c r="C126" s="37"/>
      <c r="D126" s="37">
        <f t="shared" si="1"/>
        <v>0</v>
      </c>
    </row>
    <row r="127" spans="1:4" ht="14.45" hidden="1" x14ac:dyDescent="0.35">
      <c r="A127" s="37" t="s">
        <v>116</v>
      </c>
      <c r="B127" s="37">
        <v>0</v>
      </c>
      <c r="C127" s="37"/>
      <c r="D127" s="37">
        <f t="shared" si="1"/>
        <v>0</v>
      </c>
    </row>
    <row r="128" spans="1:4" ht="14.45" hidden="1" x14ac:dyDescent="0.35">
      <c r="A128" s="37" t="s">
        <v>117</v>
      </c>
      <c r="B128" s="37">
        <v>0</v>
      </c>
      <c r="C128" s="37"/>
      <c r="D128" s="37">
        <f t="shared" si="1"/>
        <v>0</v>
      </c>
    </row>
    <row r="129" spans="1:4" ht="14.45" hidden="1" x14ac:dyDescent="0.35">
      <c r="A129" s="37" t="s">
        <v>118</v>
      </c>
      <c r="B129" s="37">
        <v>0</v>
      </c>
      <c r="C129" s="37"/>
      <c r="D129" s="37">
        <f t="shared" si="1"/>
        <v>0</v>
      </c>
    </row>
    <row r="130" spans="1:4" ht="14.45" hidden="1" x14ac:dyDescent="0.35">
      <c r="A130" s="37" t="s">
        <v>119</v>
      </c>
      <c r="B130" s="37">
        <v>0</v>
      </c>
      <c r="C130" s="37"/>
      <c r="D130" s="37">
        <f t="shared" si="1"/>
        <v>0</v>
      </c>
    </row>
    <row r="131" spans="1:4" ht="14.45" hidden="1" x14ac:dyDescent="0.35">
      <c r="A131" s="37" t="s">
        <v>120</v>
      </c>
      <c r="B131" s="37">
        <v>0</v>
      </c>
      <c r="C131" s="37">
        <v>16000</v>
      </c>
      <c r="D131" s="37">
        <f t="shared" si="1"/>
        <v>0</v>
      </c>
    </row>
    <row r="132" spans="1:4" x14ac:dyDescent="0.25">
      <c r="A132" s="37" t="s">
        <v>121</v>
      </c>
      <c r="B132" s="39">
        <v>106</v>
      </c>
      <c r="C132" s="39">
        <v>20000</v>
      </c>
      <c r="D132" s="39">
        <f t="shared" ref="D132:D195" si="2">+C132*B132</f>
        <v>2120000</v>
      </c>
    </row>
    <row r="133" spans="1:4" ht="14.45" hidden="1" x14ac:dyDescent="0.35">
      <c r="A133" s="37"/>
      <c r="B133" s="37">
        <v>0</v>
      </c>
      <c r="C133" s="37">
        <v>20000</v>
      </c>
      <c r="D133" s="37">
        <f t="shared" si="2"/>
        <v>0</v>
      </c>
    </row>
    <row r="134" spans="1:4" ht="14.45" hidden="1" x14ac:dyDescent="0.35">
      <c r="A134" s="37"/>
      <c r="B134" s="37">
        <v>0</v>
      </c>
      <c r="C134" s="37">
        <v>19000</v>
      </c>
      <c r="D134" s="37">
        <f t="shared" si="2"/>
        <v>0</v>
      </c>
    </row>
    <row r="135" spans="1:4" x14ac:dyDescent="0.25">
      <c r="A135" s="37" t="s">
        <v>122</v>
      </c>
      <c r="B135" s="39">
        <v>10</v>
      </c>
      <c r="C135" s="39">
        <v>20000</v>
      </c>
      <c r="D135" s="39">
        <f t="shared" si="2"/>
        <v>200000</v>
      </c>
    </row>
    <row r="136" spans="1:4" ht="14.45" hidden="1" x14ac:dyDescent="0.35">
      <c r="A136" s="37" t="s">
        <v>123</v>
      </c>
      <c r="B136" s="37">
        <v>0</v>
      </c>
      <c r="C136" s="37"/>
      <c r="D136" s="37">
        <f t="shared" si="2"/>
        <v>0</v>
      </c>
    </row>
    <row r="137" spans="1:4" ht="14.45" hidden="1" x14ac:dyDescent="0.35">
      <c r="A137" s="37" t="s">
        <v>124</v>
      </c>
      <c r="B137" s="37">
        <v>0</v>
      </c>
      <c r="C137" s="37"/>
      <c r="D137" s="37">
        <f t="shared" si="2"/>
        <v>0</v>
      </c>
    </row>
    <row r="138" spans="1:4" ht="14.45" hidden="1" x14ac:dyDescent="0.35">
      <c r="A138" s="37" t="s">
        <v>125</v>
      </c>
      <c r="B138" s="37">
        <v>0</v>
      </c>
      <c r="C138" s="37">
        <v>6500</v>
      </c>
      <c r="D138" s="37">
        <f t="shared" si="2"/>
        <v>0</v>
      </c>
    </row>
    <row r="139" spans="1:4" ht="14.45" hidden="1" x14ac:dyDescent="0.35">
      <c r="A139" s="37"/>
      <c r="B139" s="37">
        <v>0</v>
      </c>
      <c r="C139" s="37">
        <v>6500</v>
      </c>
      <c r="D139" s="37">
        <f t="shared" si="2"/>
        <v>0</v>
      </c>
    </row>
    <row r="140" spans="1:4" ht="14.45" hidden="1" x14ac:dyDescent="0.35">
      <c r="A140" s="37"/>
      <c r="B140" s="37">
        <v>0</v>
      </c>
      <c r="C140" s="37">
        <v>6500</v>
      </c>
      <c r="D140" s="37">
        <f t="shared" si="2"/>
        <v>0</v>
      </c>
    </row>
    <row r="141" spans="1:4" ht="14.45" hidden="1" x14ac:dyDescent="0.35">
      <c r="A141" s="37"/>
      <c r="B141" s="37">
        <v>0</v>
      </c>
      <c r="C141" s="37">
        <v>6500</v>
      </c>
      <c r="D141" s="37">
        <f t="shared" si="2"/>
        <v>0</v>
      </c>
    </row>
    <row r="142" spans="1:4" ht="14.45" hidden="1" x14ac:dyDescent="0.35">
      <c r="A142" s="37" t="s">
        <v>126</v>
      </c>
      <c r="B142" s="37">
        <v>0</v>
      </c>
      <c r="C142" s="37"/>
      <c r="D142" s="37">
        <f t="shared" si="2"/>
        <v>0</v>
      </c>
    </row>
    <row r="143" spans="1:4" ht="14.45" hidden="1" x14ac:dyDescent="0.35">
      <c r="A143" s="37" t="s">
        <v>127</v>
      </c>
      <c r="B143" s="37">
        <v>0</v>
      </c>
      <c r="C143" s="37"/>
      <c r="D143" s="37">
        <f t="shared" si="2"/>
        <v>0</v>
      </c>
    </row>
    <row r="144" spans="1:4" ht="14.45" hidden="1" x14ac:dyDescent="0.35">
      <c r="A144" s="37" t="s">
        <v>128</v>
      </c>
      <c r="B144" s="37">
        <v>0</v>
      </c>
      <c r="C144" s="37">
        <v>6500</v>
      </c>
      <c r="D144" s="37">
        <f t="shared" si="2"/>
        <v>0</v>
      </c>
    </row>
    <row r="145" spans="1:4" ht="14.45" hidden="1" x14ac:dyDescent="0.35">
      <c r="A145" s="37" t="s">
        <v>129</v>
      </c>
      <c r="B145" s="37">
        <v>0</v>
      </c>
      <c r="C145" s="37"/>
      <c r="D145" s="37">
        <f t="shared" si="2"/>
        <v>0</v>
      </c>
    </row>
    <row r="146" spans="1:4" ht="14.45" hidden="1" x14ac:dyDescent="0.35">
      <c r="A146" s="37" t="s">
        <v>130</v>
      </c>
      <c r="B146" s="37">
        <v>0</v>
      </c>
      <c r="C146" s="37">
        <v>8000</v>
      </c>
      <c r="D146" s="37">
        <f t="shared" si="2"/>
        <v>0</v>
      </c>
    </row>
    <row r="147" spans="1:4" ht="14.45" hidden="1" x14ac:dyDescent="0.35">
      <c r="A147" s="37"/>
      <c r="B147" s="37">
        <v>0</v>
      </c>
      <c r="C147" s="37">
        <v>8000</v>
      </c>
      <c r="D147" s="37">
        <f t="shared" si="2"/>
        <v>0</v>
      </c>
    </row>
    <row r="148" spans="1:4" ht="14.45" hidden="1" x14ac:dyDescent="0.35">
      <c r="A148" s="37" t="s">
        <v>131</v>
      </c>
      <c r="B148" s="37">
        <v>0</v>
      </c>
      <c r="C148" s="37"/>
      <c r="D148" s="37">
        <f t="shared" si="2"/>
        <v>0</v>
      </c>
    </row>
    <row r="149" spans="1:4" ht="14.45" hidden="1" x14ac:dyDescent="0.35">
      <c r="A149" s="37" t="s">
        <v>132</v>
      </c>
      <c r="B149" s="37">
        <v>0</v>
      </c>
      <c r="C149" s="37"/>
      <c r="D149" s="37">
        <f t="shared" si="2"/>
        <v>0</v>
      </c>
    </row>
    <row r="150" spans="1:4" ht="14.45" hidden="1" x14ac:dyDescent="0.35">
      <c r="A150" s="37" t="s">
        <v>133</v>
      </c>
      <c r="B150" s="37">
        <v>0</v>
      </c>
      <c r="C150" s="37"/>
      <c r="D150" s="37">
        <f t="shared" si="2"/>
        <v>0</v>
      </c>
    </row>
    <row r="151" spans="1:4" ht="14.45" hidden="1" x14ac:dyDescent="0.35">
      <c r="A151" s="37" t="s">
        <v>134</v>
      </c>
      <c r="B151" s="37">
        <v>0</v>
      </c>
      <c r="C151" s="37">
        <v>4000</v>
      </c>
      <c r="D151" s="37">
        <f t="shared" si="2"/>
        <v>0</v>
      </c>
    </row>
    <row r="152" spans="1:4" ht="14.45" hidden="1" x14ac:dyDescent="0.35">
      <c r="A152" s="37" t="s">
        <v>135</v>
      </c>
      <c r="B152" s="37">
        <v>0</v>
      </c>
      <c r="C152" s="37"/>
      <c r="D152" s="37">
        <f t="shared" si="2"/>
        <v>0</v>
      </c>
    </row>
    <row r="153" spans="1:4" ht="14.45" hidden="1" x14ac:dyDescent="0.35">
      <c r="A153" s="37" t="s">
        <v>136</v>
      </c>
      <c r="B153" s="37">
        <v>0</v>
      </c>
      <c r="C153" s="37">
        <v>15000</v>
      </c>
      <c r="D153" s="37">
        <f t="shared" si="2"/>
        <v>0</v>
      </c>
    </row>
    <row r="154" spans="1:4" ht="14.45" hidden="1" x14ac:dyDescent="0.35">
      <c r="A154" s="37" t="s">
        <v>137</v>
      </c>
      <c r="B154" s="37">
        <v>0</v>
      </c>
      <c r="C154" s="37"/>
      <c r="D154" s="37">
        <f t="shared" si="2"/>
        <v>0</v>
      </c>
    </row>
    <row r="155" spans="1:4" ht="14.45" hidden="1" x14ac:dyDescent="0.35">
      <c r="A155" s="37" t="s">
        <v>138</v>
      </c>
      <c r="B155" s="37">
        <v>0</v>
      </c>
      <c r="C155" s="37">
        <v>25000</v>
      </c>
      <c r="D155" s="37">
        <f t="shared" si="2"/>
        <v>0</v>
      </c>
    </row>
    <row r="156" spans="1:4" ht="14.45" hidden="1" x14ac:dyDescent="0.35">
      <c r="A156" s="37" t="s">
        <v>139</v>
      </c>
      <c r="B156" s="37">
        <v>0</v>
      </c>
      <c r="C156" s="37"/>
      <c r="D156" s="37">
        <f t="shared" si="2"/>
        <v>0</v>
      </c>
    </row>
    <row r="157" spans="1:4" ht="14.45" hidden="1" x14ac:dyDescent="0.35">
      <c r="A157" s="37" t="s">
        <v>140</v>
      </c>
      <c r="B157" s="37">
        <v>0</v>
      </c>
      <c r="C157" s="37"/>
      <c r="D157" s="37">
        <f t="shared" si="2"/>
        <v>0</v>
      </c>
    </row>
    <row r="158" spans="1:4" ht="14.45" hidden="1" x14ac:dyDescent="0.35">
      <c r="A158" s="37" t="s">
        <v>141</v>
      </c>
      <c r="B158" s="37">
        <v>0</v>
      </c>
      <c r="C158" s="37"/>
      <c r="D158" s="37">
        <f t="shared" si="2"/>
        <v>0</v>
      </c>
    </row>
    <row r="159" spans="1:4" ht="14.45" hidden="1" x14ac:dyDescent="0.35">
      <c r="A159" s="37" t="s">
        <v>142</v>
      </c>
      <c r="B159" s="37">
        <v>0</v>
      </c>
      <c r="C159" s="37"/>
      <c r="D159" s="37">
        <f t="shared" si="2"/>
        <v>0</v>
      </c>
    </row>
    <row r="160" spans="1:4" ht="14.45" hidden="1" x14ac:dyDescent="0.35">
      <c r="A160" s="37" t="s">
        <v>143</v>
      </c>
      <c r="B160" s="37">
        <v>0</v>
      </c>
      <c r="C160" s="37">
        <v>6000</v>
      </c>
      <c r="D160" s="37">
        <f t="shared" si="2"/>
        <v>0</v>
      </c>
    </row>
    <row r="161" spans="1:4" ht="14.45" hidden="1" x14ac:dyDescent="0.35">
      <c r="A161" s="37"/>
      <c r="B161" s="37">
        <v>0</v>
      </c>
      <c r="C161" s="37">
        <v>7000</v>
      </c>
      <c r="D161" s="37">
        <f t="shared" si="2"/>
        <v>0</v>
      </c>
    </row>
    <row r="162" spans="1:4" ht="14.45" hidden="1" x14ac:dyDescent="0.35">
      <c r="A162" s="37" t="s">
        <v>144</v>
      </c>
      <c r="B162" s="37">
        <v>0</v>
      </c>
      <c r="C162" s="37"/>
      <c r="D162" s="37">
        <f t="shared" si="2"/>
        <v>0</v>
      </c>
    </row>
    <row r="163" spans="1:4" ht="14.45" hidden="1" x14ac:dyDescent="0.35">
      <c r="A163" s="37" t="s">
        <v>145</v>
      </c>
      <c r="B163" s="37">
        <v>0</v>
      </c>
      <c r="C163" s="37">
        <v>12500</v>
      </c>
      <c r="D163" s="37">
        <f t="shared" si="2"/>
        <v>0</v>
      </c>
    </row>
    <row r="164" spans="1:4" ht="14.45" hidden="1" x14ac:dyDescent="0.35">
      <c r="A164" s="37" t="s">
        <v>146</v>
      </c>
      <c r="B164" s="37">
        <v>0</v>
      </c>
      <c r="C164" s="37"/>
      <c r="D164" s="37">
        <f t="shared" si="2"/>
        <v>0</v>
      </c>
    </row>
    <row r="165" spans="1:4" ht="14.45" hidden="1" x14ac:dyDescent="0.35">
      <c r="A165" s="37" t="s">
        <v>147</v>
      </c>
      <c r="B165" s="37">
        <v>0</v>
      </c>
      <c r="C165" s="37"/>
      <c r="D165" s="37">
        <f t="shared" si="2"/>
        <v>0</v>
      </c>
    </row>
    <row r="166" spans="1:4" ht="14.45" hidden="1" x14ac:dyDescent="0.35">
      <c r="A166" s="37" t="s">
        <v>148</v>
      </c>
      <c r="B166" s="37">
        <v>0</v>
      </c>
      <c r="C166" s="37"/>
      <c r="D166" s="37">
        <f t="shared" si="2"/>
        <v>0</v>
      </c>
    </row>
    <row r="167" spans="1:4" ht="14.45" hidden="1" x14ac:dyDescent="0.35">
      <c r="A167" s="37" t="s">
        <v>149</v>
      </c>
      <c r="B167" s="37">
        <v>0</v>
      </c>
      <c r="C167" s="37"/>
      <c r="D167" s="37">
        <f t="shared" si="2"/>
        <v>0</v>
      </c>
    </row>
    <row r="168" spans="1:4" ht="14.45" hidden="1" x14ac:dyDescent="0.35">
      <c r="A168" s="37" t="s">
        <v>150</v>
      </c>
      <c r="B168" s="37">
        <v>0</v>
      </c>
      <c r="C168" s="37"/>
      <c r="D168" s="37">
        <f t="shared" si="2"/>
        <v>0</v>
      </c>
    </row>
    <row r="169" spans="1:4" ht="14.45" hidden="1" x14ac:dyDescent="0.35">
      <c r="A169" s="37" t="s">
        <v>151</v>
      </c>
      <c r="B169" s="37">
        <v>0</v>
      </c>
      <c r="C169" s="37">
        <v>45000</v>
      </c>
      <c r="D169" s="37">
        <f t="shared" si="2"/>
        <v>0</v>
      </c>
    </row>
    <row r="170" spans="1:4" ht="14.45" hidden="1" x14ac:dyDescent="0.35">
      <c r="A170" s="37" t="s">
        <v>152</v>
      </c>
      <c r="B170" s="37">
        <v>0</v>
      </c>
      <c r="C170" s="37"/>
      <c r="D170" s="37">
        <f t="shared" si="2"/>
        <v>0</v>
      </c>
    </row>
    <row r="171" spans="1:4" ht="14.45" hidden="1" x14ac:dyDescent="0.35">
      <c r="A171" s="37" t="s">
        <v>153</v>
      </c>
      <c r="B171" s="37">
        <v>0</v>
      </c>
      <c r="C171" s="37"/>
      <c r="D171" s="37">
        <f t="shared" si="2"/>
        <v>0</v>
      </c>
    </row>
    <row r="172" spans="1:4" ht="14.45" hidden="1" x14ac:dyDescent="0.35">
      <c r="A172" s="37" t="s">
        <v>154</v>
      </c>
      <c r="B172" s="37">
        <v>0</v>
      </c>
      <c r="C172" s="37"/>
      <c r="D172" s="37">
        <f t="shared" si="2"/>
        <v>0</v>
      </c>
    </row>
    <row r="173" spans="1:4" ht="14.45" hidden="1" x14ac:dyDescent="0.35">
      <c r="A173" s="37" t="s">
        <v>155</v>
      </c>
      <c r="B173" s="37">
        <v>0</v>
      </c>
      <c r="C173" s="37">
        <v>26000</v>
      </c>
      <c r="D173" s="37">
        <f t="shared" si="2"/>
        <v>0</v>
      </c>
    </row>
    <row r="174" spans="1:4" ht="14.45" hidden="1" x14ac:dyDescent="0.35">
      <c r="A174" s="37" t="s">
        <v>156</v>
      </c>
      <c r="B174" s="37">
        <v>0</v>
      </c>
      <c r="C174" s="37"/>
      <c r="D174" s="37">
        <f t="shared" si="2"/>
        <v>0</v>
      </c>
    </row>
    <row r="175" spans="1:4" ht="14.45" hidden="1" x14ac:dyDescent="0.35">
      <c r="A175" s="37" t="s">
        <v>157</v>
      </c>
      <c r="B175" s="37">
        <v>0</v>
      </c>
      <c r="C175" s="37">
        <v>15000</v>
      </c>
      <c r="D175" s="37">
        <f t="shared" si="2"/>
        <v>0</v>
      </c>
    </row>
    <row r="176" spans="1:4" ht="14.45" hidden="1" x14ac:dyDescent="0.35">
      <c r="A176" s="37" t="s">
        <v>158</v>
      </c>
      <c r="B176" s="37">
        <v>0</v>
      </c>
      <c r="C176" s="37">
        <v>60000</v>
      </c>
      <c r="D176" s="37">
        <f t="shared" si="2"/>
        <v>0</v>
      </c>
    </row>
    <row r="177" spans="1:4" ht="14.45" hidden="1" x14ac:dyDescent="0.35">
      <c r="A177" s="37" t="s">
        <v>159</v>
      </c>
      <c r="B177" s="37">
        <v>0</v>
      </c>
      <c r="C177" s="37"/>
      <c r="D177" s="37">
        <f t="shared" si="2"/>
        <v>0</v>
      </c>
    </row>
    <row r="178" spans="1:4" ht="14.45" hidden="1" x14ac:dyDescent="0.35">
      <c r="A178" s="37" t="s">
        <v>160</v>
      </c>
      <c r="B178" s="37">
        <v>0</v>
      </c>
      <c r="C178" s="37"/>
      <c r="D178" s="37">
        <f t="shared" si="2"/>
        <v>0</v>
      </c>
    </row>
    <row r="179" spans="1:4" ht="14.45" hidden="1" x14ac:dyDescent="0.35">
      <c r="A179" s="37" t="s">
        <v>161</v>
      </c>
      <c r="B179" s="37">
        <v>0</v>
      </c>
      <c r="C179" s="37">
        <v>30000</v>
      </c>
      <c r="D179" s="37">
        <f t="shared" si="2"/>
        <v>0</v>
      </c>
    </row>
    <row r="180" spans="1:4" ht="14.45" hidden="1" x14ac:dyDescent="0.35">
      <c r="A180" s="37" t="s">
        <v>162</v>
      </c>
      <c r="B180" s="37">
        <v>0</v>
      </c>
      <c r="C180" s="37"/>
      <c r="D180" s="37">
        <f t="shared" si="2"/>
        <v>0</v>
      </c>
    </row>
    <row r="181" spans="1:4" ht="14.45" hidden="1" x14ac:dyDescent="0.35">
      <c r="A181" s="37" t="s">
        <v>163</v>
      </c>
      <c r="B181" s="37">
        <v>0</v>
      </c>
      <c r="C181" s="37"/>
      <c r="D181" s="37">
        <f t="shared" si="2"/>
        <v>0</v>
      </c>
    </row>
    <row r="182" spans="1:4" ht="14.45" hidden="1" x14ac:dyDescent="0.35">
      <c r="A182" s="37" t="s">
        <v>164</v>
      </c>
      <c r="B182" s="37">
        <v>0</v>
      </c>
      <c r="C182" s="37"/>
      <c r="D182" s="37">
        <f t="shared" si="2"/>
        <v>0</v>
      </c>
    </row>
    <row r="183" spans="1:4" x14ac:dyDescent="0.25">
      <c r="A183" s="37" t="s">
        <v>165</v>
      </c>
      <c r="B183" s="39">
        <v>9</v>
      </c>
      <c r="C183" s="39">
        <v>25000</v>
      </c>
      <c r="D183" s="39">
        <f t="shared" si="2"/>
        <v>225000</v>
      </c>
    </row>
    <row r="184" spans="1:4" ht="14.45" hidden="1" x14ac:dyDescent="0.35">
      <c r="A184" s="37" t="s">
        <v>166</v>
      </c>
      <c r="B184" s="37">
        <v>0</v>
      </c>
      <c r="C184" s="37"/>
      <c r="D184" s="37">
        <f t="shared" si="2"/>
        <v>0</v>
      </c>
    </row>
    <row r="185" spans="1:4" ht="14.45" hidden="1" x14ac:dyDescent="0.35">
      <c r="A185" s="37" t="s">
        <v>167</v>
      </c>
      <c r="B185" s="37">
        <v>0</v>
      </c>
      <c r="C185" s="37"/>
      <c r="D185" s="37">
        <f t="shared" si="2"/>
        <v>0</v>
      </c>
    </row>
    <row r="186" spans="1:4" x14ac:dyDescent="0.25">
      <c r="A186" s="37" t="s">
        <v>168</v>
      </c>
      <c r="B186" s="39">
        <v>80</v>
      </c>
      <c r="C186" s="39">
        <v>15000</v>
      </c>
      <c r="D186" s="39">
        <f t="shared" si="2"/>
        <v>1200000</v>
      </c>
    </row>
    <row r="187" spans="1:4" ht="14.45" hidden="1" x14ac:dyDescent="0.35">
      <c r="A187" s="37" t="s">
        <v>169</v>
      </c>
      <c r="B187" s="37">
        <v>0</v>
      </c>
      <c r="C187" s="37"/>
      <c r="D187" s="37">
        <f t="shared" si="2"/>
        <v>0</v>
      </c>
    </row>
    <row r="188" spans="1:4" ht="14.45" hidden="1" x14ac:dyDescent="0.35">
      <c r="A188" s="37" t="s">
        <v>170</v>
      </c>
      <c r="B188" s="37">
        <v>0</v>
      </c>
      <c r="C188" s="37"/>
      <c r="D188" s="37">
        <f t="shared" si="2"/>
        <v>0</v>
      </c>
    </row>
    <row r="189" spans="1:4" ht="14.45" hidden="1" x14ac:dyDescent="0.35">
      <c r="A189" s="37" t="s">
        <v>171</v>
      </c>
      <c r="B189" s="37">
        <v>0</v>
      </c>
      <c r="C189" s="37">
        <v>6100</v>
      </c>
      <c r="D189" s="37">
        <f t="shared" si="2"/>
        <v>0</v>
      </c>
    </row>
    <row r="190" spans="1:4" ht="14.45" hidden="1" x14ac:dyDescent="0.35">
      <c r="A190" s="37" t="s">
        <v>172</v>
      </c>
      <c r="B190" s="37">
        <v>0</v>
      </c>
      <c r="C190" s="37"/>
      <c r="D190" s="37">
        <f t="shared" si="2"/>
        <v>0</v>
      </c>
    </row>
    <row r="191" spans="1:4" ht="14.45" hidden="1" x14ac:dyDescent="0.35">
      <c r="A191" s="37" t="s">
        <v>173</v>
      </c>
      <c r="B191" s="37">
        <v>0</v>
      </c>
      <c r="C191" s="37">
        <v>25000</v>
      </c>
      <c r="D191" s="37">
        <f t="shared" si="2"/>
        <v>0</v>
      </c>
    </row>
    <row r="192" spans="1:4" ht="14.45" hidden="1" x14ac:dyDescent="0.35">
      <c r="A192" s="37" t="s">
        <v>174</v>
      </c>
      <c r="B192" s="37">
        <v>0</v>
      </c>
      <c r="C192" s="37">
        <v>6100</v>
      </c>
      <c r="D192" s="37">
        <f t="shared" si="2"/>
        <v>0</v>
      </c>
    </row>
    <row r="193" spans="1:4" ht="14.45" hidden="1" x14ac:dyDescent="0.35">
      <c r="A193" s="37" t="s">
        <v>175</v>
      </c>
      <c r="B193" s="37">
        <v>0</v>
      </c>
      <c r="C193" s="37"/>
      <c r="D193" s="37">
        <f t="shared" si="2"/>
        <v>0</v>
      </c>
    </row>
    <row r="194" spans="1:4" ht="14.45" hidden="1" x14ac:dyDescent="0.35">
      <c r="A194" s="37" t="s">
        <v>176</v>
      </c>
      <c r="B194" s="37">
        <v>0</v>
      </c>
      <c r="C194" s="37"/>
      <c r="D194" s="37">
        <f t="shared" si="2"/>
        <v>0</v>
      </c>
    </row>
    <row r="195" spans="1:4" ht="14.45" hidden="1" x14ac:dyDescent="0.35">
      <c r="A195" s="37" t="s">
        <v>177</v>
      </c>
      <c r="B195" s="37">
        <v>0</v>
      </c>
      <c r="C195" s="37"/>
      <c r="D195" s="37">
        <f t="shared" si="2"/>
        <v>0</v>
      </c>
    </row>
    <row r="196" spans="1:4" ht="14.45" hidden="1" x14ac:dyDescent="0.35">
      <c r="A196" s="37" t="s">
        <v>178</v>
      </c>
      <c r="B196" s="37">
        <v>0</v>
      </c>
      <c r="C196" s="37">
        <v>27000</v>
      </c>
      <c r="D196" s="37">
        <f t="shared" ref="D196:D240" si="3">+C196*B196</f>
        <v>0</v>
      </c>
    </row>
    <row r="197" spans="1:4" ht="14.45" hidden="1" x14ac:dyDescent="0.35">
      <c r="A197" s="37" t="s">
        <v>179</v>
      </c>
      <c r="B197" s="37">
        <v>0</v>
      </c>
      <c r="C197" s="37">
        <v>6100</v>
      </c>
      <c r="D197" s="37">
        <f t="shared" si="3"/>
        <v>0</v>
      </c>
    </row>
    <row r="198" spans="1:4" ht="14.45" hidden="1" x14ac:dyDescent="0.35">
      <c r="A198" s="37" t="s">
        <v>180</v>
      </c>
      <c r="B198" s="37">
        <v>0</v>
      </c>
      <c r="C198" s="37"/>
      <c r="D198" s="37">
        <f t="shared" si="3"/>
        <v>0</v>
      </c>
    </row>
    <row r="199" spans="1:4" ht="14.45" hidden="1" x14ac:dyDescent="0.35">
      <c r="A199" s="37" t="s">
        <v>181</v>
      </c>
      <c r="B199" s="37">
        <v>0</v>
      </c>
      <c r="C199" s="37"/>
      <c r="D199" s="37">
        <f t="shared" si="3"/>
        <v>0</v>
      </c>
    </row>
    <row r="200" spans="1:4" ht="14.45" hidden="1" x14ac:dyDescent="0.35">
      <c r="A200" s="37" t="s">
        <v>182</v>
      </c>
      <c r="B200" s="37">
        <v>0</v>
      </c>
      <c r="C200" s="37"/>
      <c r="D200" s="37">
        <f t="shared" si="3"/>
        <v>0</v>
      </c>
    </row>
    <row r="201" spans="1:4" ht="14.45" hidden="1" x14ac:dyDescent="0.35">
      <c r="A201" s="37" t="s">
        <v>183</v>
      </c>
      <c r="B201" s="37">
        <v>0</v>
      </c>
      <c r="C201" s="37">
        <v>6100</v>
      </c>
      <c r="D201" s="37">
        <f t="shared" si="3"/>
        <v>0</v>
      </c>
    </row>
    <row r="202" spans="1:4" ht="14.45" hidden="1" x14ac:dyDescent="0.35">
      <c r="A202" s="37" t="s">
        <v>184</v>
      </c>
      <c r="B202" s="37">
        <v>0</v>
      </c>
      <c r="C202" s="37">
        <v>5500</v>
      </c>
      <c r="D202" s="37">
        <f t="shared" si="3"/>
        <v>0</v>
      </c>
    </row>
    <row r="203" spans="1:4" ht="14.45" hidden="1" x14ac:dyDescent="0.35">
      <c r="A203" s="37" t="s">
        <v>185</v>
      </c>
      <c r="B203" s="37">
        <v>0</v>
      </c>
      <c r="C203" s="37">
        <v>25000</v>
      </c>
      <c r="D203" s="37">
        <f t="shared" si="3"/>
        <v>0</v>
      </c>
    </row>
    <row r="204" spans="1:4" ht="14.45" hidden="1" x14ac:dyDescent="0.35">
      <c r="A204" s="37" t="s">
        <v>186</v>
      </c>
      <c r="B204" s="37">
        <v>0</v>
      </c>
      <c r="C204" s="37">
        <v>25000</v>
      </c>
      <c r="D204" s="37">
        <f t="shared" si="3"/>
        <v>0</v>
      </c>
    </row>
    <row r="205" spans="1:4" ht="14.45" hidden="1" x14ac:dyDescent="0.35">
      <c r="A205" s="37" t="s">
        <v>187</v>
      </c>
      <c r="B205" s="37">
        <v>0</v>
      </c>
      <c r="C205" s="37"/>
      <c r="D205" s="37">
        <f t="shared" si="3"/>
        <v>0</v>
      </c>
    </row>
    <row r="206" spans="1:4" ht="14.45" hidden="1" x14ac:dyDescent="0.35">
      <c r="A206" s="37" t="s">
        <v>188</v>
      </c>
      <c r="B206" s="37">
        <v>0</v>
      </c>
      <c r="C206" s="37">
        <v>11000</v>
      </c>
      <c r="D206" s="37">
        <f t="shared" si="3"/>
        <v>0</v>
      </c>
    </row>
    <row r="207" spans="1:4" ht="14.45" hidden="1" x14ac:dyDescent="0.35">
      <c r="A207" s="37" t="s">
        <v>189</v>
      </c>
      <c r="B207" s="37">
        <v>0</v>
      </c>
      <c r="C207" s="37"/>
      <c r="D207" s="37">
        <f t="shared" si="3"/>
        <v>0</v>
      </c>
    </row>
    <row r="208" spans="1:4" ht="14.45" hidden="1" x14ac:dyDescent="0.35">
      <c r="A208" s="37" t="s">
        <v>190</v>
      </c>
      <c r="B208" s="37">
        <v>0</v>
      </c>
      <c r="C208" s="37"/>
      <c r="D208" s="37">
        <f t="shared" si="3"/>
        <v>0</v>
      </c>
    </row>
    <row r="209" spans="1:4" ht="14.45" hidden="1" x14ac:dyDescent="0.35">
      <c r="A209" s="37" t="s">
        <v>191</v>
      </c>
      <c r="B209" s="37">
        <v>0</v>
      </c>
      <c r="C209" s="37"/>
      <c r="D209" s="37">
        <f t="shared" si="3"/>
        <v>0</v>
      </c>
    </row>
    <row r="210" spans="1:4" ht="14.45" hidden="1" x14ac:dyDescent="0.35">
      <c r="A210" s="37" t="s">
        <v>192</v>
      </c>
      <c r="B210" s="37">
        <v>0</v>
      </c>
      <c r="C210" s="37"/>
      <c r="D210" s="37">
        <f t="shared" si="3"/>
        <v>0</v>
      </c>
    </row>
    <row r="211" spans="1:4" ht="14.45" hidden="1" x14ac:dyDescent="0.35">
      <c r="A211" s="37"/>
      <c r="B211" s="37">
        <v>0</v>
      </c>
      <c r="C211" s="37">
        <v>37000</v>
      </c>
      <c r="D211" s="37">
        <f t="shared" si="3"/>
        <v>0</v>
      </c>
    </row>
    <row r="212" spans="1:4" ht="14.45" hidden="1" x14ac:dyDescent="0.35">
      <c r="A212" s="37"/>
      <c r="B212" s="37">
        <v>0</v>
      </c>
      <c r="C212" s="37">
        <v>37000</v>
      </c>
      <c r="D212" s="37">
        <f t="shared" si="3"/>
        <v>0</v>
      </c>
    </row>
    <row r="213" spans="1:4" ht="14.45" hidden="1" x14ac:dyDescent="0.35">
      <c r="A213" s="37"/>
      <c r="B213" s="37">
        <v>0</v>
      </c>
      <c r="C213" s="37">
        <v>37000</v>
      </c>
      <c r="D213" s="37">
        <f t="shared" si="3"/>
        <v>0</v>
      </c>
    </row>
    <row r="214" spans="1:4" ht="14.45" hidden="1" x14ac:dyDescent="0.35">
      <c r="A214" s="37" t="s">
        <v>193</v>
      </c>
      <c r="B214" s="37">
        <v>0</v>
      </c>
      <c r="C214" s="37">
        <v>18000</v>
      </c>
      <c r="D214" s="37">
        <f t="shared" si="3"/>
        <v>0</v>
      </c>
    </row>
    <row r="215" spans="1:4" ht="14.45" hidden="1" x14ac:dyDescent="0.35">
      <c r="A215" s="37" t="s">
        <v>194</v>
      </c>
      <c r="B215" s="37">
        <v>0</v>
      </c>
      <c r="C215" s="37">
        <v>31000</v>
      </c>
      <c r="D215" s="37">
        <f t="shared" si="3"/>
        <v>0</v>
      </c>
    </row>
    <row r="216" spans="1:4" ht="14.45" hidden="1" x14ac:dyDescent="0.35">
      <c r="A216" s="37"/>
      <c r="B216" s="37">
        <v>0</v>
      </c>
      <c r="C216" s="37">
        <v>31000</v>
      </c>
      <c r="D216" s="37">
        <f t="shared" si="3"/>
        <v>0</v>
      </c>
    </row>
    <row r="217" spans="1:4" ht="14.45" hidden="1" x14ac:dyDescent="0.35">
      <c r="A217" s="37" t="s">
        <v>195</v>
      </c>
      <c r="B217" s="37">
        <v>0</v>
      </c>
      <c r="C217" s="37"/>
      <c r="D217" s="37">
        <f t="shared" si="3"/>
        <v>0</v>
      </c>
    </row>
    <row r="218" spans="1:4" ht="14.45" hidden="1" x14ac:dyDescent="0.35">
      <c r="A218" s="37"/>
      <c r="B218" s="37">
        <v>0</v>
      </c>
      <c r="C218" s="37">
        <v>30000</v>
      </c>
      <c r="D218" s="37">
        <f t="shared" si="3"/>
        <v>0</v>
      </c>
    </row>
    <row r="219" spans="1:4" ht="14.45" hidden="1" x14ac:dyDescent="0.35">
      <c r="A219" s="37" t="s">
        <v>196</v>
      </c>
      <c r="B219" s="37">
        <v>0</v>
      </c>
      <c r="C219" s="37"/>
      <c r="D219" s="37">
        <f t="shared" si="3"/>
        <v>0</v>
      </c>
    </row>
    <row r="220" spans="1:4" x14ac:dyDescent="0.25">
      <c r="A220" s="37" t="s">
        <v>197</v>
      </c>
      <c r="B220" s="39">
        <v>8</v>
      </c>
      <c r="C220" s="39">
        <v>12000</v>
      </c>
      <c r="D220" s="39">
        <f t="shared" si="3"/>
        <v>96000</v>
      </c>
    </row>
    <row r="221" spans="1:4" ht="14.45" hidden="1" x14ac:dyDescent="0.35">
      <c r="A221" s="37" t="s">
        <v>198</v>
      </c>
      <c r="B221" s="37">
        <v>0</v>
      </c>
      <c r="C221" s="37">
        <v>6000</v>
      </c>
      <c r="D221" s="37">
        <f t="shared" si="3"/>
        <v>0</v>
      </c>
    </row>
    <row r="222" spans="1:4" ht="14.45" hidden="1" x14ac:dyDescent="0.35">
      <c r="A222" s="37" t="s">
        <v>199</v>
      </c>
      <c r="B222" s="37">
        <v>0</v>
      </c>
      <c r="C222" s="37">
        <v>40000</v>
      </c>
      <c r="D222" s="37">
        <f t="shared" si="3"/>
        <v>0</v>
      </c>
    </row>
    <row r="223" spans="1:4" ht="14.45" hidden="1" x14ac:dyDescent="0.35">
      <c r="A223" s="37"/>
      <c r="B223" s="37">
        <v>0</v>
      </c>
      <c r="C223" s="37">
        <v>15000</v>
      </c>
      <c r="D223" s="37">
        <f t="shared" si="3"/>
        <v>0</v>
      </c>
    </row>
    <row r="224" spans="1:4" ht="14.45" hidden="1" x14ac:dyDescent="0.35">
      <c r="A224" s="37" t="s">
        <v>200</v>
      </c>
      <c r="B224" s="37">
        <v>0</v>
      </c>
      <c r="C224" s="37"/>
      <c r="D224" s="37">
        <f t="shared" si="3"/>
        <v>0</v>
      </c>
    </row>
    <row r="225" spans="1:4" ht="14.45" hidden="1" x14ac:dyDescent="0.35">
      <c r="A225" s="37" t="s">
        <v>201</v>
      </c>
      <c r="B225" s="37">
        <v>0</v>
      </c>
      <c r="C225" s="37"/>
      <c r="D225" s="37">
        <f t="shared" si="3"/>
        <v>0</v>
      </c>
    </row>
    <row r="226" spans="1:4" ht="14.45" hidden="1" x14ac:dyDescent="0.35">
      <c r="A226" s="37" t="s">
        <v>202</v>
      </c>
      <c r="B226" s="37">
        <v>0</v>
      </c>
      <c r="C226" s="37">
        <v>12000</v>
      </c>
      <c r="D226" s="37">
        <f t="shared" si="3"/>
        <v>0</v>
      </c>
    </row>
    <row r="227" spans="1:4" ht="14.45" hidden="1" x14ac:dyDescent="0.35">
      <c r="A227" s="37" t="s">
        <v>203</v>
      </c>
      <c r="B227" s="37">
        <v>0</v>
      </c>
      <c r="C227" s="37"/>
      <c r="D227" s="37">
        <f t="shared" si="3"/>
        <v>0</v>
      </c>
    </row>
    <row r="228" spans="1:4" x14ac:dyDescent="0.25">
      <c r="A228" s="37" t="s">
        <v>204</v>
      </c>
      <c r="B228" s="39">
        <v>3070</v>
      </c>
      <c r="C228" s="39">
        <v>7000</v>
      </c>
      <c r="D228" s="39">
        <f t="shared" si="3"/>
        <v>21490000</v>
      </c>
    </row>
    <row r="229" spans="1:4" x14ac:dyDescent="0.25">
      <c r="A229" s="37" t="s">
        <v>205</v>
      </c>
      <c r="B229" s="39">
        <v>160</v>
      </c>
      <c r="C229" s="39">
        <v>9000</v>
      </c>
      <c r="D229" s="39">
        <f t="shared" si="3"/>
        <v>1440000</v>
      </c>
    </row>
    <row r="230" spans="1:4" ht="14.45" hidden="1" x14ac:dyDescent="0.35">
      <c r="A230" s="37"/>
      <c r="B230" s="37">
        <v>0</v>
      </c>
      <c r="C230" s="37">
        <v>9000</v>
      </c>
      <c r="D230" s="37">
        <f t="shared" si="3"/>
        <v>0</v>
      </c>
    </row>
    <row r="231" spans="1:4" ht="14.45" hidden="1" x14ac:dyDescent="0.35">
      <c r="A231" s="37"/>
      <c r="B231" s="37">
        <v>0</v>
      </c>
      <c r="C231" s="37">
        <v>9000</v>
      </c>
      <c r="D231" s="37">
        <f t="shared" si="3"/>
        <v>0</v>
      </c>
    </row>
    <row r="232" spans="1:4" ht="14.45" hidden="1" x14ac:dyDescent="0.35">
      <c r="A232" s="37" t="s">
        <v>206</v>
      </c>
      <c r="B232" s="37">
        <v>0</v>
      </c>
      <c r="C232" s="37"/>
      <c r="D232" s="37">
        <f t="shared" si="3"/>
        <v>0</v>
      </c>
    </row>
    <row r="233" spans="1:4" ht="14.45" hidden="1" x14ac:dyDescent="0.35">
      <c r="A233" s="37" t="s">
        <v>207</v>
      </c>
      <c r="B233" s="37">
        <v>0</v>
      </c>
      <c r="C233" s="37"/>
      <c r="D233" s="37">
        <f t="shared" si="3"/>
        <v>0</v>
      </c>
    </row>
    <row r="234" spans="1:4" ht="14.45" hidden="1" x14ac:dyDescent="0.35">
      <c r="A234" s="37" t="s">
        <v>208</v>
      </c>
      <c r="B234" s="37">
        <v>0</v>
      </c>
      <c r="C234" s="37"/>
      <c r="D234" s="37">
        <f t="shared" si="3"/>
        <v>0</v>
      </c>
    </row>
    <row r="235" spans="1:4" ht="14.45" hidden="1" x14ac:dyDescent="0.35">
      <c r="A235" s="37" t="s">
        <v>209</v>
      </c>
      <c r="B235" s="37">
        <v>0</v>
      </c>
      <c r="C235" s="37"/>
      <c r="D235" s="37">
        <f t="shared" si="3"/>
        <v>0</v>
      </c>
    </row>
    <row r="236" spans="1:4" ht="14.45" hidden="1" x14ac:dyDescent="0.35">
      <c r="A236" s="37" t="s">
        <v>210</v>
      </c>
      <c r="B236" s="37">
        <v>0</v>
      </c>
      <c r="C236" s="37"/>
      <c r="D236" s="37">
        <f t="shared" si="3"/>
        <v>0</v>
      </c>
    </row>
    <row r="237" spans="1:4" ht="14.45" hidden="1" x14ac:dyDescent="0.35">
      <c r="A237" s="37" t="s">
        <v>211</v>
      </c>
      <c r="B237" s="37">
        <v>0</v>
      </c>
      <c r="C237" s="37"/>
      <c r="D237" s="37">
        <f t="shared" si="3"/>
        <v>0</v>
      </c>
    </row>
    <row r="238" spans="1:4" ht="14.45" hidden="1" x14ac:dyDescent="0.35">
      <c r="A238" s="37" t="s">
        <v>212</v>
      </c>
      <c r="B238" s="37">
        <v>0</v>
      </c>
      <c r="C238" s="37"/>
      <c r="D238" s="37">
        <f t="shared" si="3"/>
        <v>0</v>
      </c>
    </row>
    <row r="239" spans="1:4" ht="14.45" hidden="1" x14ac:dyDescent="0.35">
      <c r="A239" s="37" t="s">
        <v>213</v>
      </c>
      <c r="B239" s="37">
        <v>0</v>
      </c>
      <c r="C239" s="37"/>
      <c r="D239" s="37">
        <f t="shared" si="3"/>
        <v>0</v>
      </c>
    </row>
    <row r="240" spans="1:4" ht="14.45" hidden="1" x14ac:dyDescent="0.35">
      <c r="A240" s="37" t="s">
        <v>214</v>
      </c>
      <c r="B240" s="37">
        <v>0</v>
      </c>
      <c r="C240" s="37"/>
      <c r="D240" s="37">
        <f t="shared" si="3"/>
        <v>0</v>
      </c>
    </row>
    <row r="241" spans="1:4" x14ac:dyDescent="0.25">
      <c r="A241" s="40"/>
      <c r="B241" s="41">
        <f t="shared" ref="B241:C241" si="4">SUM(B3:B240)</f>
        <v>7208</v>
      </c>
      <c r="C241" s="41">
        <f t="shared" si="4"/>
        <v>2484150</v>
      </c>
      <c r="D241" s="41">
        <f>SUM(D3:D240)</f>
        <v>94785500</v>
      </c>
    </row>
  </sheetData>
  <autoFilter ref="A2:D241">
    <filterColumn colId="1">
      <filters>
        <filter val="0.5"/>
        <filter val="10"/>
        <filter val="106"/>
        <filter val="13"/>
        <filter val="1370"/>
        <filter val="15"/>
        <filter val="160"/>
        <filter val="18"/>
        <filter val="2010"/>
        <filter val="260"/>
        <filter val="3"/>
        <filter val="3070"/>
        <filter val="44"/>
        <filter val="5"/>
        <filter val="7208"/>
        <filter val="8"/>
        <filter val="80"/>
        <filter val="9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9"/>
  <sheetViews>
    <sheetView workbookViewId="0"/>
  </sheetViews>
  <sheetFormatPr defaultRowHeight="15" x14ac:dyDescent="0.25"/>
  <cols>
    <col min="1" max="1" width="31.7109375" customWidth="1"/>
    <col min="2" max="2" width="14.5703125" customWidth="1"/>
    <col min="3" max="3" width="17.42578125" customWidth="1"/>
    <col min="4" max="4" width="17.7109375" customWidth="1"/>
  </cols>
  <sheetData>
    <row r="1" spans="1:4" x14ac:dyDescent="0.25">
      <c r="A1" s="1" t="s">
        <v>228</v>
      </c>
    </row>
    <row r="2" spans="1:4" ht="15.75" x14ac:dyDescent="0.25">
      <c r="A2" s="42" t="s">
        <v>1</v>
      </c>
      <c r="B2" s="42" t="s">
        <v>226</v>
      </c>
      <c r="C2" s="42" t="s">
        <v>3</v>
      </c>
      <c r="D2" s="42" t="s">
        <v>4</v>
      </c>
    </row>
    <row r="3" spans="1:4" ht="15.75" hidden="1" customHeight="1" x14ac:dyDescent="0.35">
      <c r="A3" s="42" t="s">
        <v>5</v>
      </c>
      <c r="B3" s="42">
        <v>0</v>
      </c>
      <c r="C3" s="42">
        <v>25000</v>
      </c>
      <c r="D3" s="42">
        <v>500000</v>
      </c>
    </row>
    <row r="4" spans="1:4" ht="15.75" x14ac:dyDescent="0.25">
      <c r="A4" s="42" t="s">
        <v>6</v>
      </c>
      <c r="B4" s="43">
        <v>9</v>
      </c>
      <c r="C4" s="43">
        <v>22000</v>
      </c>
      <c r="D4" s="43">
        <f>+C4*B4</f>
        <v>198000</v>
      </c>
    </row>
    <row r="5" spans="1:4" ht="15.6" hidden="1" x14ac:dyDescent="0.35">
      <c r="A5" s="42"/>
      <c r="B5" s="42">
        <v>0</v>
      </c>
      <c r="C5" s="42">
        <v>20000</v>
      </c>
      <c r="D5" s="42">
        <v>2800000</v>
      </c>
    </row>
    <row r="6" spans="1:4" ht="15.6" hidden="1" x14ac:dyDescent="0.35">
      <c r="A6" s="42" t="s">
        <v>7</v>
      </c>
      <c r="B6" s="42">
        <v>0</v>
      </c>
      <c r="C6" s="42"/>
      <c r="D6" s="42">
        <v>0</v>
      </c>
    </row>
    <row r="7" spans="1:4" ht="15.6" hidden="1" x14ac:dyDescent="0.35">
      <c r="A7" s="42" t="s">
        <v>8</v>
      </c>
      <c r="B7" s="42">
        <v>0</v>
      </c>
      <c r="C7" s="42">
        <v>43000</v>
      </c>
      <c r="D7" s="42">
        <v>5590000</v>
      </c>
    </row>
    <row r="8" spans="1:4" ht="15.6" hidden="1" x14ac:dyDescent="0.35">
      <c r="A8" s="42"/>
      <c r="B8" s="42">
        <v>0</v>
      </c>
      <c r="C8" s="42"/>
      <c r="D8" s="42"/>
    </row>
    <row r="9" spans="1:4" ht="15.6" hidden="1" x14ac:dyDescent="0.35">
      <c r="A9" s="42" t="s">
        <v>9</v>
      </c>
      <c r="B9" s="42">
        <v>0</v>
      </c>
      <c r="C9" s="42"/>
      <c r="D9" s="42">
        <v>0</v>
      </c>
    </row>
    <row r="10" spans="1:4" ht="15.6" hidden="1" x14ac:dyDescent="0.35">
      <c r="A10" s="42" t="s">
        <v>10</v>
      </c>
      <c r="B10" s="42">
        <v>0</v>
      </c>
      <c r="C10" s="42">
        <v>21000</v>
      </c>
      <c r="D10" s="42">
        <v>0</v>
      </c>
    </row>
    <row r="11" spans="1:4" ht="15.75" x14ac:dyDescent="0.25">
      <c r="A11" s="42" t="s">
        <v>11</v>
      </c>
      <c r="B11" s="43">
        <v>15</v>
      </c>
      <c r="C11" s="43">
        <v>35000</v>
      </c>
      <c r="D11" s="43">
        <f>+C11*B11</f>
        <v>525000</v>
      </c>
    </row>
    <row r="12" spans="1:4" ht="15.6" hidden="1" x14ac:dyDescent="0.35">
      <c r="A12" s="42" t="s">
        <v>12</v>
      </c>
      <c r="B12" s="42">
        <v>0</v>
      </c>
      <c r="C12" s="42"/>
      <c r="D12" s="42">
        <v>0</v>
      </c>
    </row>
    <row r="13" spans="1:4" ht="15.6" hidden="1" x14ac:dyDescent="0.35">
      <c r="A13" s="42" t="s">
        <v>13</v>
      </c>
      <c r="B13" s="42">
        <v>0</v>
      </c>
      <c r="C13" s="42"/>
      <c r="D13" s="42">
        <v>0</v>
      </c>
    </row>
    <row r="14" spans="1:4" ht="15.75" x14ac:dyDescent="0.25">
      <c r="A14" s="42" t="s">
        <v>14</v>
      </c>
      <c r="B14" s="43">
        <v>6</v>
      </c>
      <c r="C14" s="43">
        <v>46000</v>
      </c>
      <c r="D14" s="43">
        <f>+C14*B14</f>
        <v>276000</v>
      </c>
    </row>
    <row r="15" spans="1:4" ht="15.6" hidden="1" x14ac:dyDescent="0.35">
      <c r="A15" s="42" t="s">
        <v>15</v>
      </c>
      <c r="B15" s="42">
        <v>0</v>
      </c>
      <c r="C15" s="42"/>
      <c r="D15" s="42">
        <v>0</v>
      </c>
    </row>
    <row r="16" spans="1:4" ht="15.6" hidden="1" x14ac:dyDescent="0.35">
      <c r="A16" s="42" t="s">
        <v>16</v>
      </c>
      <c r="B16" s="42">
        <v>0</v>
      </c>
      <c r="C16" s="42"/>
      <c r="D16" s="42">
        <v>0</v>
      </c>
    </row>
    <row r="17" spans="1:4" ht="15.6" hidden="1" x14ac:dyDescent="0.35">
      <c r="A17" s="42" t="s">
        <v>17</v>
      </c>
      <c r="B17" s="42">
        <v>0</v>
      </c>
      <c r="C17" s="42">
        <v>18000</v>
      </c>
      <c r="D17" s="42">
        <v>720000</v>
      </c>
    </row>
    <row r="18" spans="1:4" ht="15.6" hidden="1" x14ac:dyDescent="0.35">
      <c r="A18" s="42" t="s">
        <v>18</v>
      </c>
      <c r="B18" s="42">
        <v>0</v>
      </c>
      <c r="C18" s="42"/>
      <c r="D18" s="42">
        <v>0</v>
      </c>
    </row>
    <row r="19" spans="1:4" ht="15.6" hidden="1" x14ac:dyDescent="0.35">
      <c r="A19" s="42" t="s">
        <v>19</v>
      </c>
      <c r="B19" s="42">
        <v>0</v>
      </c>
      <c r="C19" s="42"/>
      <c r="D19" s="42">
        <v>0</v>
      </c>
    </row>
    <row r="20" spans="1:4" ht="15.75" x14ac:dyDescent="0.25">
      <c r="A20" s="42" t="s">
        <v>20</v>
      </c>
      <c r="B20" s="43">
        <v>3</v>
      </c>
      <c r="C20" s="43">
        <v>8000</v>
      </c>
      <c r="D20" s="43">
        <f>+C20*B20</f>
        <v>24000</v>
      </c>
    </row>
    <row r="21" spans="1:4" ht="15.6" hidden="1" x14ac:dyDescent="0.35">
      <c r="A21" s="42" t="s">
        <v>21</v>
      </c>
      <c r="B21" s="42">
        <v>0</v>
      </c>
      <c r="C21" s="42"/>
      <c r="D21" s="42">
        <v>0</v>
      </c>
    </row>
    <row r="22" spans="1:4" ht="15.6" hidden="1" x14ac:dyDescent="0.35">
      <c r="A22" s="42" t="s">
        <v>22</v>
      </c>
      <c r="B22" s="42">
        <v>0</v>
      </c>
      <c r="C22" s="42"/>
      <c r="D22" s="42">
        <v>0</v>
      </c>
    </row>
    <row r="23" spans="1:4" ht="15.6" hidden="1" x14ac:dyDescent="0.35">
      <c r="A23" s="42" t="s">
        <v>23</v>
      </c>
      <c r="B23" s="42">
        <v>0</v>
      </c>
      <c r="C23" s="42"/>
      <c r="D23" s="42">
        <v>0</v>
      </c>
    </row>
    <row r="24" spans="1:4" ht="15.6" hidden="1" x14ac:dyDescent="0.35">
      <c r="A24" s="42" t="s">
        <v>24</v>
      </c>
      <c r="B24" s="42">
        <v>0</v>
      </c>
      <c r="C24" s="42"/>
      <c r="D24" s="42">
        <v>0</v>
      </c>
    </row>
    <row r="25" spans="1:4" ht="15.6" hidden="1" x14ac:dyDescent="0.35">
      <c r="A25" s="42" t="s">
        <v>25</v>
      </c>
      <c r="B25" s="42">
        <v>0</v>
      </c>
      <c r="C25" s="42"/>
      <c r="D25" s="42"/>
    </row>
    <row r="26" spans="1:4" ht="15.6" hidden="1" x14ac:dyDescent="0.35">
      <c r="A26" s="42" t="s">
        <v>26</v>
      </c>
      <c r="B26" s="42">
        <v>0</v>
      </c>
      <c r="C26" s="42"/>
      <c r="D26" s="42"/>
    </row>
    <row r="27" spans="1:4" ht="15.6" hidden="1" x14ac:dyDescent="0.35">
      <c r="A27" s="42" t="s">
        <v>27</v>
      </c>
      <c r="B27" s="42">
        <v>0</v>
      </c>
      <c r="C27" s="42">
        <v>12000</v>
      </c>
      <c r="D27" s="42">
        <v>108000</v>
      </c>
    </row>
    <row r="28" spans="1:4" ht="15.6" hidden="1" x14ac:dyDescent="0.35">
      <c r="A28" s="42" t="s">
        <v>28</v>
      </c>
      <c r="B28" s="42">
        <v>0</v>
      </c>
      <c r="C28" s="42">
        <v>5000</v>
      </c>
      <c r="D28" s="42">
        <v>1045000</v>
      </c>
    </row>
    <row r="29" spans="1:4" ht="15.6" hidden="1" x14ac:dyDescent="0.35">
      <c r="A29" s="42" t="s">
        <v>29</v>
      </c>
      <c r="B29" s="42">
        <v>0</v>
      </c>
      <c r="C29" s="42"/>
      <c r="D29" s="42">
        <v>0</v>
      </c>
    </row>
    <row r="30" spans="1:4" ht="15.6" hidden="1" x14ac:dyDescent="0.35">
      <c r="A30" s="42" t="s">
        <v>30</v>
      </c>
      <c r="B30" s="42">
        <v>0</v>
      </c>
      <c r="C30" s="42">
        <v>8000</v>
      </c>
      <c r="D30" s="42">
        <v>1200000</v>
      </c>
    </row>
    <row r="31" spans="1:4" ht="15.6" hidden="1" x14ac:dyDescent="0.35">
      <c r="A31" s="42"/>
      <c r="B31" s="42">
        <v>0</v>
      </c>
      <c r="C31" s="42">
        <v>9000</v>
      </c>
      <c r="D31" s="42">
        <v>855000</v>
      </c>
    </row>
    <row r="32" spans="1:4" ht="15.6" hidden="1" x14ac:dyDescent="0.35">
      <c r="A32" s="42" t="s">
        <v>31</v>
      </c>
      <c r="B32" s="42">
        <v>0</v>
      </c>
      <c r="C32" s="42">
        <v>10000</v>
      </c>
      <c r="D32" s="42">
        <v>410000</v>
      </c>
    </row>
    <row r="33" spans="1:4" ht="15.6" hidden="1" x14ac:dyDescent="0.35">
      <c r="A33" s="42" t="s">
        <v>32</v>
      </c>
      <c r="B33" s="42">
        <v>0</v>
      </c>
      <c r="C33" s="42"/>
      <c r="D33" s="42">
        <v>0</v>
      </c>
    </row>
    <row r="34" spans="1:4" ht="15.6" hidden="1" x14ac:dyDescent="0.35">
      <c r="A34" s="42" t="s">
        <v>33</v>
      </c>
      <c r="B34" s="42">
        <v>0</v>
      </c>
      <c r="C34" s="42"/>
      <c r="D34" s="42"/>
    </row>
    <row r="35" spans="1:4" ht="15.6" hidden="1" x14ac:dyDescent="0.35">
      <c r="A35" s="42" t="s">
        <v>34</v>
      </c>
      <c r="B35" s="42">
        <v>0</v>
      </c>
      <c r="C35" s="42">
        <v>8000</v>
      </c>
      <c r="D35" s="42">
        <v>40000</v>
      </c>
    </row>
    <row r="36" spans="1:4" ht="15.6" hidden="1" x14ac:dyDescent="0.35">
      <c r="A36" s="42" t="s">
        <v>35</v>
      </c>
      <c r="B36" s="42">
        <v>0</v>
      </c>
      <c r="C36" s="42">
        <v>110000</v>
      </c>
      <c r="D36" s="42">
        <v>0</v>
      </c>
    </row>
    <row r="37" spans="1:4" ht="15.6" hidden="1" x14ac:dyDescent="0.35">
      <c r="A37" s="42" t="s">
        <v>36</v>
      </c>
      <c r="B37" s="42">
        <v>0</v>
      </c>
      <c r="C37" s="42">
        <v>18000</v>
      </c>
      <c r="D37" s="42">
        <v>180000</v>
      </c>
    </row>
    <row r="38" spans="1:4" ht="15.6" hidden="1" x14ac:dyDescent="0.35">
      <c r="A38" s="42" t="s">
        <v>37</v>
      </c>
      <c r="B38" s="42">
        <v>0</v>
      </c>
      <c r="C38" s="42">
        <v>10000</v>
      </c>
      <c r="D38" s="42">
        <v>300000</v>
      </c>
    </row>
    <row r="39" spans="1:4" ht="15.6" hidden="1" x14ac:dyDescent="0.35">
      <c r="A39" s="42" t="s">
        <v>38</v>
      </c>
      <c r="B39" s="42">
        <v>0</v>
      </c>
      <c r="C39" s="42"/>
      <c r="D39" s="42">
        <v>0</v>
      </c>
    </row>
    <row r="40" spans="1:4" ht="15.6" hidden="1" x14ac:dyDescent="0.35">
      <c r="A40" s="42" t="s">
        <v>39</v>
      </c>
      <c r="B40" s="42">
        <v>0</v>
      </c>
      <c r="C40" s="42"/>
      <c r="D40" s="42">
        <v>0</v>
      </c>
    </row>
    <row r="41" spans="1:4" ht="15.6" hidden="1" x14ac:dyDescent="0.35">
      <c r="A41" s="42" t="s">
        <v>40</v>
      </c>
      <c r="B41" s="42">
        <v>0</v>
      </c>
      <c r="C41" s="42"/>
      <c r="D41" s="42">
        <v>0</v>
      </c>
    </row>
    <row r="42" spans="1:4" ht="15.6" hidden="1" x14ac:dyDescent="0.35">
      <c r="A42" s="42" t="s">
        <v>41</v>
      </c>
      <c r="B42" s="42">
        <v>0</v>
      </c>
      <c r="C42" s="42"/>
      <c r="D42" s="42">
        <v>0</v>
      </c>
    </row>
    <row r="43" spans="1:4" ht="15.6" hidden="1" x14ac:dyDescent="0.35">
      <c r="A43" s="42" t="s">
        <v>42</v>
      </c>
      <c r="B43" s="42">
        <v>0</v>
      </c>
      <c r="C43" s="42">
        <v>22000</v>
      </c>
      <c r="D43" s="42">
        <v>66000</v>
      </c>
    </row>
    <row r="44" spans="1:4" ht="15.6" hidden="1" x14ac:dyDescent="0.35">
      <c r="A44" s="42" t="s">
        <v>43</v>
      </c>
      <c r="B44" s="42">
        <v>0</v>
      </c>
      <c r="C44" s="42"/>
      <c r="D44" s="42">
        <v>0</v>
      </c>
    </row>
    <row r="45" spans="1:4" ht="15.6" hidden="1" x14ac:dyDescent="0.35">
      <c r="A45" s="42" t="s">
        <v>44</v>
      </c>
      <c r="B45" s="42">
        <v>0</v>
      </c>
      <c r="C45" s="42">
        <v>15000</v>
      </c>
      <c r="D45" s="42">
        <v>0</v>
      </c>
    </row>
    <row r="46" spans="1:4" ht="15.6" hidden="1" x14ac:dyDescent="0.35">
      <c r="A46" s="42"/>
      <c r="B46" s="42">
        <v>0</v>
      </c>
      <c r="C46" s="42">
        <v>15000</v>
      </c>
      <c r="D46" s="42">
        <v>2190000</v>
      </c>
    </row>
    <row r="47" spans="1:4" ht="15.6" hidden="1" x14ac:dyDescent="0.35">
      <c r="A47" s="42" t="s">
        <v>45</v>
      </c>
      <c r="B47" s="42">
        <v>0</v>
      </c>
      <c r="C47" s="42"/>
      <c r="D47" s="42"/>
    </row>
    <row r="48" spans="1:4" ht="15.75" x14ac:dyDescent="0.25">
      <c r="A48" s="42" t="s">
        <v>46</v>
      </c>
      <c r="B48" s="43">
        <v>20</v>
      </c>
      <c r="C48" s="43">
        <v>15000</v>
      </c>
      <c r="D48" s="43">
        <f>+C48*B48</f>
        <v>300000</v>
      </c>
    </row>
    <row r="49" spans="1:4" ht="15.6" hidden="1" x14ac:dyDescent="0.35">
      <c r="A49" s="42" t="s">
        <v>47</v>
      </c>
      <c r="B49" s="42">
        <v>0</v>
      </c>
      <c r="C49" s="42"/>
      <c r="D49" s="42">
        <v>0</v>
      </c>
    </row>
    <row r="50" spans="1:4" ht="15.6" hidden="1" x14ac:dyDescent="0.35">
      <c r="A50" s="42" t="s">
        <v>48</v>
      </c>
      <c r="B50" s="42">
        <v>0</v>
      </c>
      <c r="C50" s="42">
        <v>15000</v>
      </c>
      <c r="D50" s="42">
        <v>450000</v>
      </c>
    </row>
    <row r="51" spans="1:4" ht="15.6" hidden="1" x14ac:dyDescent="0.35">
      <c r="A51" s="42" t="s">
        <v>49</v>
      </c>
      <c r="B51" s="42">
        <v>0</v>
      </c>
      <c r="C51" s="42"/>
      <c r="D51" s="42">
        <v>0</v>
      </c>
    </row>
    <row r="52" spans="1:4" ht="15.6" hidden="1" x14ac:dyDescent="0.35">
      <c r="A52" s="42" t="s">
        <v>50</v>
      </c>
      <c r="B52" s="42">
        <v>0</v>
      </c>
      <c r="C52" s="42">
        <v>16000</v>
      </c>
      <c r="D52" s="42">
        <v>8496000</v>
      </c>
    </row>
    <row r="53" spans="1:4" ht="15.6" hidden="1" x14ac:dyDescent="0.35">
      <c r="A53" s="42"/>
      <c r="B53" s="42">
        <v>0</v>
      </c>
      <c r="C53" s="42">
        <v>14500</v>
      </c>
      <c r="D53" s="42">
        <v>1450000</v>
      </c>
    </row>
    <row r="54" spans="1:4" ht="15.6" hidden="1" x14ac:dyDescent="0.35">
      <c r="A54" s="42"/>
      <c r="B54" s="42">
        <v>0</v>
      </c>
      <c r="C54" s="42">
        <v>17000</v>
      </c>
      <c r="D54" s="42">
        <v>5100000</v>
      </c>
    </row>
    <row r="55" spans="1:4" ht="15.6" hidden="1" x14ac:dyDescent="0.35">
      <c r="A55" s="42"/>
      <c r="B55" s="42">
        <v>0</v>
      </c>
      <c r="C55" s="42">
        <v>18000</v>
      </c>
      <c r="D55" s="42">
        <v>5760000</v>
      </c>
    </row>
    <row r="56" spans="1:4" ht="15.6" hidden="1" x14ac:dyDescent="0.35">
      <c r="A56" s="42" t="s">
        <v>51</v>
      </c>
      <c r="B56" s="42">
        <v>0</v>
      </c>
      <c r="C56" s="42">
        <v>9500</v>
      </c>
      <c r="D56" s="42">
        <v>380000</v>
      </c>
    </row>
    <row r="57" spans="1:4" ht="15.6" hidden="1" x14ac:dyDescent="0.35">
      <c r="A57" s="42" t="s">
        <v>52</v>
      </c>
      <c r="B57" s="42">
        <v>0</v>
      </c>
      <c r="C57" s="42"/>
      <c r="D57" s="42">
        <v>0</v>
      </c>
    </row>
    <row r="58" spans="1:4" ht="15.6" hidden="1" x14ac:dyDescent="0.35">
      <c r="A58" s="42" t="s">
        <v>53</v>
      </c>
      <c r="B58" s="42">
        <v>0</v>
      </c>
      <c r="C58" s="42"/>
      <c r="D58" s="42">
        <v>0</v>
      </c>
    </row>
    <row r="59" spans="1:4" ht="15.6" hidden="1" x14ac:dyDescent="0.35">
      <c r="A59" s="42" t="s">
        <v>54</v>
      </c>
      <c r="B59" s="42">
        <v>0</v>
      </c>
      <c r="C59" s="42">
        <v>22000</v>
      </c>
      <c r="D59" s="42">
        <v>176000</v>
      </c>
    </row>
    <row r="60" spans="1:4" ht="15.6" hidden="1" x14ac:dyDescent="0.35">
      <c r="A60" s="42" t="s">
        <v>55</v>
      </c>
      <c r="B60" s="42">
        <v>0</v>
      </c>
      <c r="C60" s="42"/>
      <c r="D60" s="42">
        <v>0</v>
      </c>
    </row>
    <row r="61" spans="1:4" ht="15.6" hidden="1" x14ac:dyDescent="0.35">
      <c r="A61" s="42" t="s">
        <v>56</v>
      </c>
      <c r="B61" s="42">
        <v>0</v>
      </c>
      <c r="C61" s="42"/>
      <c r="D61" s="42"/>
    </row>
    <row r="62" spans="1:4" ht="15.6" hidden="1" x14ac:dyDescent="0.35">
      <c r="A62" s="42" t="s">
        <v>57</v>
      </c>
      <c r="B62" s="42">
        <v>0</v>
      </c>
      <c r="C62" s="42">
        <v>8000</v>
      </c>
      <c r="D62" s="42">
        <v>800000</v>
      </c>
    </row>
    <row r="63" spans="1:4" ht="15.6" hidden="1" x14ac:dyDescent="0.35">
      <c r="A63" s="42"/>
      <c r="B63" s="42">
        <v>0</v>
      </c>
      <c r="C63" s="42">
        <v>7000</v>
      </c>
      <c r="D63" s="42">
        <v>665000</v>
      </c>
    </row>
    <row r="64" spans="1:4" ht="15.6" hidden="1" x14ac:dyDescent="0.35">
      <c r="A64" s="42"/>
      <c r="B64" s="42">
        <v>0</v>
      </c>
      <c r="C64" s="42">
        <v>7000</v>
      </c>
      <c r="D64" s="42">
        <v>840000</v>
      </c>
    </row>
    <row r="65" spans="1:4" ht="15.6" hidden="1" x14ac:dyDescent="0.35">
      <c r="A65" s="42"/>
      <c r="B65" s="42">
        <v>0</v>
      </c>
      <c r="C65" s="42">
        <v>7000</v>
      </c>
      <c r="D65" s="42">
        <v>700000</v>
      </c>
    </row>
    <row r="66" spans="1:4" ht="15.6" hidden="1" x14ac:dyDescent="0.35">
      <c r="A66" s="42" t="s">
        <v>58</v>
      </c>
      <c r="B66" s="42">
        <v>0</v>
      </c>
      <c r="C66" s="42"/>
      <c r="D66" s="42"/>
    </row>
    <row r="67" spans="1:4" ht="15.6" hidden="1" x14ac:dyDescent="0.35">
      <c r="A67" s="42" t="s">
        <v>59</v>
      </c>
      <c r="B67" s="42">
        <v>0</v>
      </c>
      <c r="C67" s="42">
        <v>25000</v>
      </c>
      <c r="D67" s="42">
        <v>75000</v>
      </c>
    </row>
    <row r="68" spans="1:4" ht="15.6" hidden="1" x14ac:dyDescent="0.35">
      <c r="A68" s="42" t="s">
        <v>60</v>
      </c>
      <c r="B68" s="42">
        <v>0</v>
      </c>
      <c r="C68" s="42">
        <v>15000</v>
      </c>
      <c r="D68" s="42">
        <v>0</v>
      </c>
    </row>
    <row r="69" spans="1:4" ht="15.6" hidden="1" x14ac:dyDescent="0.35">
      <c r="A69" s="42" t="s">
        <v>61</v>
      </c>
      <c r="B69" s="42">
        <v>0</v>
      </c>
      <c r="C69" s="42"/>
      <c r="D69" s="42">
        <v>0</v>
      </c>
    </row>
    <row r="70" spans="1:4" ht="15.6" hidden="1" x14ac:dyDescent="0.35">
      <c r="A70" s="42" t="s">
        <v>62</v>
      </c>
      <c r="B70" s="42">
        <v>0</v>
      </c>
      <c r="C70" s="42">
        <v>36000</v>
      </c>
      <c r="D70" s="42">
        <v>1368000</v>
      </c>
    </row>
    <row r="71" spans="1:4" ht="15.6" hidden="1" x14ac:dyDescent="0.35">
      <c r="A71" s="42" t="s">
        <v>63</v>
      </c>
      <c r="B71" s="42">
        <v>0</v>
      </c>
      <c r="C71" s="42">
        <v>22000</v>
      </c>
      <c r="D71" s="42">
        <v>1100000</v>
      </c>
    </row>
    <row r="72" spans="1:4" ht="15.75" x14ac:dyDescent="0.25">
      <c r="A72" s="42" t="s">
        <v>64</v>
      </c>
      <c r="B72" s="43">
        <v>35</v>
      </c>
      <c r="C72" s="43">
        <v>19000</v>
      </c>
      <c r="D72" s="43">
        <f>+C72*B72</f>
        <v>665000</v>
      </c>
    </row>
    <row r="73" spans="1:4" ht="15.6" hidden="1" x14ac:dyDescent="0.35">
      <c r="A73" s="42"/>
      <c r="B73" s="42">
        <v>0</v>
      </c>
      <c r="C73" s="42">
        <v>19000</v>
      </c>
      <c r="D73" s="42">
        <v>9120000</v>
      </c>
    </row>
    <row r="74" spans="1:4" ht="15.6" hidden="1" x14ac:dyDescent="0.35">
      <c r="A74" s="42" t="s">
        <v>65</v>
      </c>
      <c r="B74" s="42">
        <v>0</v>
      </c>
      <c r="C74" s="42">
        <v>16000</v>
      </c>
      <c r="D74" s="42">
        <v>880000</v>
      </c>
    </row>
    <row r="75" spans="1:4" ht="15.6" hidden="1" x14ac:dyDescent="0.35">
      <c r="A75" s="42" t="s">
        <v>66</v>
      </c>
      <c r="B75" s="42">
        <v>0</v>
      </c>
      <c r="C75" s="42"/>
      <c r="D75" s="42">
        <v>0</v>
      </c>
    </row>
    <row r="76" spans="1:4" ht="15.6" hidden="1" x14ac:dyDescent="0.35">
      <c r="A76" s="42" t="s">
        <v>67</v>
      </c>
      <c r="B76" s="42">
        <v>0</v>
      </c>
      <c r="C76" s="42"/>
      <c r="D76" s="42"/>
    </row>
    <row r="77" spans="1:4" ht="15.6" hidden="1" x14ac:dyDescent="0.35">
      <c r="A77" s="42" t="s">
        <v>68</v>
      </c>
      <c r="B77" s="42">
        <v>0</v>
      </c>
      <c r="C77" s="42">
        <v>8000</v>
      </c>
      <c r="D77" s="42">
        <v>1360000</v>
      </c>
    </row>
    <row r="78" spans="1:4" ht="15.6" hidden="1" x14ac:dyDescent="0.35">
      <c r="A78" s="42" t="s">
        <v>69</v>
      </c>
      <c r="B78" s="42">
        <v>0</v>
      </c>
      <c r="C78" s="42">
        <v>10500</v>
      </c>
      <c r="D78" s="42">
        <v>2478000</v>
      </c>
    </row>
    <row r="79" spans="1:4" ht="15.6" hidden="1" x14ac:dyDescent="0.35">
      <c r="A79" s="42"/>
      <c r="B79" s="42">
        <v>0</v>
      </c>
      <c r="C79" s="42">
        <v>11000</v>
      </c>
      <c r="D79" s="42">
        <v>616000</v>
      </c>
    </row>
    <row r="80" spans="1:4" ht="15.6" hidden="1" x14ac:dyDescent="0.35">
      <c r="A80" s="42" t="s">
        <v>70</v>
      </c>
      <c r="B80" s="42">
        <v>0</v>
      </c>
      <c r="C80" s="42"/>
      <c r="D80" s="42">
        <v>0</v>
      </c>
    </row>
    <row r="81" spans="1:4" ht="15.6" hidden="1" x14ac:dyDescent="0.35">
      <c r="A81" s="42" t="s">
        <v>71</v>
      </c>
      <c r="B81" s="42">
        <v>0</v>
      </c>
      <c r="C81" s="42"/>
      <c r="D81" s="42">
        <v>0</v>
      </c>
    </row>
    <row r="82" spans="1:4" ht="15.6" hidden="1" x14ac:dyDescent="0.35">
      <c r="A82" s="42" t="s">
        <v>72</v>
      </c>
      <c r="B82" s="42">
        <v>0</v>
      </c>
      <c r="C82" s="42">
        <v>18000</v>
      </c>
      <c r="D82" s="42">
        <v>846000</v>
      </c>
    </row>
    <row r="83" spans="1:4" ht="15.6" hidden="1" x14ac:dyDescent="0.35">
      <c r="A83" s="42"/>
      <c r="B83" s="42">
        <v>0</v>
      </c>
      <c r="C83" s="42">
        <v>45000</v>
      </c>
      <c r="D83" s="42">
        <v>675000</v>
      </c>
    </row>
    <row r="84" spans="1:4" ht="15.6" hidden="1" x14ac:dyDescent="0.35">
      <c r="A84" s="42" t="s">
        <v>73</v>
      </c>
      <c r="B84" s="42">
        <v>0</v>
      </c>
      <c r="C84" s="42">
        <v>25000</v>
      </c>
      <c r="D84" s="42">
        <v>0</v>
      </c>
    </row>
    <row r="85" spans="1:4" ht="15.6" hidden="1" x14ac:dyDescent="0.35">
      <c r="A85" s="42" t="s">
        <v>74</v>
      </c>
      <c r="B85" s="42">
        <v>0</v>
      </c>
      <c r="C85" s="42"/>
      <c r="D85" s="42"/>
    </row>
    <row r="86" spans="1:4" ht="15.6" hidden="1" x14ac:dyDescent="0.35">
      <c r="A86" s="42" t="s">
        <v>75</v>
      </c>
      <c r="B86" s="42">
        <v>0</v>
      </c>
      <c r="C86" s="42"/>
      <c r="D86" s="42"/>
    </row>
    <row r="87" spans="1:4" ht="15.6" hidden="1" x14ac:dyDescent="0.35">
      <c r="A87" s="42" t="s">
        <v>76</v>
      </c>
      <c r="B87" s="42">
        <v>0</v>
      </c>
      <c r="C87" s="42"/>
      <c r="D87" s="42">
        <v>0</v>
      </c>
    </row>
    <row r="88" spans="1:4" ht="15.6" hidden="1" x14ac:dyDescent="0.35">
      <c r="A88" s="42" t="s">
        <v>77</v>
      </c>
      <c r="B88" s="42">
        <v>0</v>
      </c>
      <c r="C88" s="42"/>
      <c r="D88" s="42"/>
    </row>
    <row r="89" spans="1:4" ht="15.6" hidden="1" x14ac:dyDescent="0.35">
      <c r="A89" s="42" t="s">
        <v>78</v>
      </c>
      <c r="B89" s="42">
        <v>0</v>
      </c>
      <c r="C89" s="42">
        <v>11000</v>
      </c>
      <c r="D89" s="42">
        <v>2200000</v>
      </c>
    </row>
    <row r="90" spans="1:4" ht="15.6" hidden="1" x14ac:dyDescent="0.35">
      <c r="A90" s="42"/>
      <c r="B90" s="42">
        <v>0</v>
      </c>
      <c r="C90" s="42">
        <v>13000</v>
      </c>
      <c r="D90" s="42">
        <v>6500000</v>
      </c>
    </row>
    <row r="91" spans="1:4" ht="15.6" hidden="1" x14ac:dyDescent="0.35">
      <c r="A91" s="42" t="s">
        <v>79</v>
      </c>
      <c r="B91" s="42">
        <v>0</v>
      </c>
      <c r="C91" s="42">
        <v>9000</v>
      </c>
      <c r="D91" s="42">
        <v>1800000</v>
      </c>
    </row>
    <row r="92" spans="1:4" ht="15.6" hidden="1" x14ac:dyDescent="0.35">
      <c r="A92" s="42" t="s">
        <v>80</v>
      </c>
      <c r="B92" s="42">
        <v>0</v>
      </c>
      <c r="C92" s="42"/>
      <c r="D92" s="42">
        <v>0</v>
      </c>
    </row>
    <row r="93" spans="1:4" ht="15.6" hidden="1" x14ac:dyDescent="0.35">
      <c r="A93" s="42" t="s">
        <v>81</v>
      </c>
      <c r="B93" s="42">
        <v>0</v>
      </c>
      <c r="C93" s="42"/>
      <c r="D93" s="42"/>
    </row>
    <row r="94" spans="1:4" ht="15.6" hidden="1" x14ac:dyDescent="0.35">
      <c r="A94" s="42" t="s">
        <v>82</v>
      </c>
      <c r="B94" s="42">
        <v>0</v>
      </c>
      <c r="C94" s="42">
        <v>150000</v>
      </c>
      <c r="D94" s="42">
        <v>0</v>
      </c>
    </row>
    <row r="95" spans="1:4" ht="15.6" hidden="1" x14ac:dyDescent="0.35">
      <c r="A95" s="42" t="s">
        <v>83</v>
      </c>
      <c r="B95" s="42">
        <v>0</v>
      </c>
      <c r="C95" s="42"/>
      <c r="D95" s="42"/>
    </row>
    <row r="96" spans="1:4" ht="15.6" hidden="1" x14ac:dyDescent="0.35">
      <c r="A96" s="42" t="s">
        <v>84</v>
      </c>
      <c r="B96" s="42">
        <v>0</v>
      </c>
      <c r="C96" s="42">
        <v>50000</v>
      </c>
      <c r="D96" s="42">
        <v>0</v>
      </c>
    </row>
    <row r="97" spans="1:4" ht="15.6" hidden="1" x14ac:dyDescent="0.35">
      <c r="A97" s="42" t="s">
        <v>85</v>
      </c>
      <c r="B97" s="42">
        <v>0</v>
      </c>
      <c r="C97" s="42">
        <v>80000</v>
      </c>
      <c r="D97" s="42">
        <v>160000</v>
      </c>
    </row>
    <row r="98" spans="1:4" ht="15.6" hidden="1" x14ac:dyDescent="0.35">
      <c r="A98" s="42" t="s">
        <v>86</v>
      </c>
      <c r="B98" s="42">
        <v>0</v>
      </c>
      <c r="C98" s="42">
        <v>50000</v>
      </c>
      <c r="D98" s="42">
        <v>0</v>
      </c>
    </row>
    <row r="99" spans="1:4" ht="15.6" hidden="1" x14ac:dyDescent="0.35">
      <c r="A99" s="42" t="s">
        <v>87</v>
      </c>
      <c r="B99" s="42">
        <v>0</v>
      </c>
      <c r="C99" s="42">
        <v>70000</v>
      </c>
      <c r="D99" s="42">
        <v>140000</v>
      </c>
    </row>
    <row r="100" spans="1:4" ht="15.6" hidden="1" x14ac:dyDescent="0.35">
      <c r="A100" s="42" t="s">
        <v>88</v>
      </c>
      <c r="B100" s="42">
        <v>0</v>
      </c>
      <c r="C100" s="42">
        <v>45000</v>
      </c>
      <c r="D100" s="42">
        <v>0</v>
      </c>
    </row>
    <row r="101" spans="1:4" ht="15.6" hidden="1" x14ac:dyDescent="0.35">
      <c r="A101" s="42" t="s">
        <v>89</v>
      </c>
      <c r="B101" s="42">
        <v>0</v>
      </c>
      <c r="C101" s="42">
        <v>70000</v>
      </c>
      <c r="D101" s="42">
        <v>140000</v>
      </c>
    </row>
    <row r="102" spans="1:4" ht="15.6" hidden="1" x14ac:dyDescent="0.35">
      <c r="A102" s="42" t="s">
        <v>90</v>
      </c>
      <c r="B102" s="42">
        <v>0</v>
      </c>
      <c r="C102" s="42">
        <v>50000</v>
      </c>
      <c r="D102" s="42">
        <v>0</v>
      </c>
    </row>
    <row r="103" spans="1:4" ht="15.6" hidden="1" x14ac:dyDescent="0.35">
      <c r="A103" s="42" t="s">
        <v>91</v>
      </c>
      <c r="B103" s="42">
        <v>0</v>
      </c>
      <c r="C103" s="42"/>
      <c r="D103" s="42"/>
    </row>
    <row r="104" spans="1:4" ht="15.6" hidden="1" x14ac:dyDescent="0.35">
      <c r="A104" s="42" t="s">
        <v>92</v>
      </c>
      <c r="B104" s="42">
        <v>0</v>
      </c>
      <c r="C104" s="42"/>
      <c r="D104" s="42"/>
    </row>
    <row r="105" spans="1:4" ht="15.6" hidden="1" x14ac:dyDescent="0.35">
      <c r="A105" s="42" t="s">
        <v>93</v>
      </c>
      <c r="B105" s="42">
        <v>0</v>
      </c>
      <c r="C105" s="42"/>
      <c r="D105" s="42"/>
    </row>
    <row r="106" spans="1:4" ht="15.6" hidden="1" x14ac:dyDescent="0.35">
      <c r="A106" s="42" t="s">
        <v>94</v>
      </c>
      <c r="B106" s="42">
        <v>0</v>
      </c>
      <c r="C106" s="42"/>
      <c r="D106" s="42">
        <v>0</v>
      </c>
    </row>
    <row r="107" spans="1:4" ht="15.6" hidden="1" x14ac:dyDescent="0.35">
      <c r="A107" s="42" t="s">
        <v>95</v>
      </c>
      <c r="B107" s="42">
        <v>0</v>
      </c>
      <c r="C107" s="42">
        <v>12000</v>
      </c>
      <c r="D107" s="42">
        <v>0</v>
      </c>
    </row>
    <row r="108" spans="1:4" ht="15.6" hidden="1" x14ac:dyDescent="0.35">
      <c r="A108" s="42" t="s">
        <v>96</v>
      </c>
      <c r="B108" s="42">
        <v>0</v>
      </c>
      <c r="C108" s="42"/>
      <c r="D108" s="42">
        <v>0</v>
      </c>
    </row>
    <row r="109" spans="1:4" ht="15.6" hidden="1" x14ac:dyDescent="0.35">
      <c r="A109" s="42" t="s">
        <v>97</v>
      </c>
      <c r="B109" s="42">
        <v>0</v>
      </c>
      <c r="C109" s="42">
        <v>13000</v>
      </c>
      <c r="D109" s="42">
        <v>1170000</v>
      </c>
    </row>
    <row r="110" spans="1:4" ht="15.6" hidden="1" x14ac:dyDescent="0.35">
      <c r="A110" s="42" t="s">
        <v>98</v>
      </c>
      <c r="B110" s="42">
        <v>0</v>
      </c>
      <c r="C110" s="42"/>
      <c r="D110" s="42">
        <v>0</v>
      </c>
    </row>
    <row r="111" spans="1:4" ht="15.6" hidden="1" x14ac:dyDescent="0.35">
      <c r="A111" s="42" t="s">
        <v>99</v>
      </c>
      <c r="B111" s="42">
        <v>0</v>
      </c>
      <c r="C111" s="42"/>
      <c r="D111" s="42">
        <v>0</v>
      </c>
    </row>
    <row r="112" spans="1:4" ht="15.6" hidden="1" x14ac:dyDescent="0.35">
      <c r="A112" s="42" t="s">
        <v>100</v>
      </c>
      <c r="B112" s="42">
        <v>0</v>
      </c>
      <c r="C112" s="42"/>
      <c r="D112" s="42">
        <v>0</v>
      </c>
    </row>
    <row r="113" spans="1:4" ht="15.6" hidden="1" x14ac:dyDescent="0.35">
      <c r="A113" s="42" t="s">
        <v>101</v>
      </c>
      <c r="B113" s="42">
        <v>0</v>
      </c>
      <c r="C113" s="42"/>
      <c r="D113" s="42">
        <v>0</v>
      </c>
    </row>
    <row r="114" spans="1:4" ht="15.6" hidden="1" x14ac:dyDescent="0.35">
      <c r="A114" s="42" t="s">
        <v>102</v>
      </c>
      <c r="B114" s="42">
        <v>0</v>
      </c>
      <c r="C114" s="42"/>
      <c r="D114" s="42">
        <v>0</v>
      </c>
    </row>
    <row r="115" spans="1:4" ht="15.6" hidden="1" x14ac:dyDescent="0.35">
      <c r="A115" s="42" t="s">
        <v>103</v>
      </c>
      <c r="B115" s="42">
        <v>0</v>
      </c>
      <c r="C115" s="42"/>
      <c r="D115" s="42"/>
    </row>
    <row r="116" spans="1:4" ht="15.6" hidden="1" x14ac:dyDescent="0.35">
      <c r="A116" s="42" t="s">
        <v>104</v>
      </c>
      <c r="B116" s="42">
        <v>0</v>
      </c>
      <c r="C116" s="42"/>
      <c r="D116" s="42">
        <v>0</v>
      </c>
    </row>
    <row r="117" spans="1:4" ht="15.6" hidden="1" x14ac:dyDescent="0.35">
      <c r="A117" s="42" t="s">
        <v>105</v>
      </c>
      <c r="B117" s="42">
        <v>0</v>
      </c>
      <c r="C117" s="42"/>
      <c r="D117" s="42"/>
    </row>
    <row r="118" spans="1:4" ht="15.6" hidden="1" x14ac:dyDescent="0.35">
      <c r="A118" s="42" t="s">
        <v>106</v>
      </c>
      <c r="B118" s="42">
        <v>0</v>
      </c>
      <c r="C118" s="42"/>
      <c r="D118" s="42">
        <v>0</v>
      </c>
    </row>
    <row r="119" spans="1:4" ht="15.6" hidden="1" x14ac:dyDescent="0.35">
      <c r="A119" s="42" t="s">
        <v>107</v>
      </c>
      <c r="B119" s="42">
        <v>0</v>
      </c>
      <c r="C119" s="42"/>
      <c r="D119" s="42">
        <v>0</v>
      </c>
    </row>
    <row r="120" spans="1:4" ht="15.6" hidden="1" x14ac:dyDescent="0.35">
      <c r="A120" s="42" t="s">
        <v>108</v>
      </c>
      <c r="B120" s="42">
        <v>0</v>
      </c>
      <c r="C120" s="42"/>
      <c r="D120" s="42">
        <v>0</v>
      </c>
    </row>
    <row r="121" spans="1:4" ht="15.6" hidden="1" x14ac:dyDescent="0.35">
      <c r="A121" s="42" t="s">
        <v>109</v>
      </c>
      <c r="B121" s="42">
        <v>0</v>
      </c>
      <c r="C121" s="42">
        <v>10000</v>
      </c>
      <c r="D121" s="42">
        <v>0</v>
      </c>
    </row>
    <row r="122" spans="1:4" ht="15.6" hidden="1" x14ac:dyDescent="0.35">
      <c r="A122" s="42" t="s">
        <v>110</v>
      </c>
      <c r="B122" s="42">
        <v>0</v>
      </c>
      <c r="C122" s="42">
        <v>7500</v>
      </c>
      <c r="D122" s="42">
        <v>390000</v>
      </c>
    </row>
    <row r="123" spans="1:4" ht="15.6" hidden="1" x14ac:dyDescent="0.35">
      <c r="A123" s="42" t="s">
        <v>111</v>
      </c>
      <c r="B123" s="42">
        <v>0</v>
      </c>
      <c r="C123" s="42"/>
      <c r="D123" s="42"/>
    </row>
    <row r="124" spans="1:4" ht="15.75" x14ac:dyDescent="0.25">
      <c r="A124" s="42" t="s">
        <v>112</v>
      </c>
      <c r="B124" s="43">
        <v>1960</v>
      </c>
      <c r="C124" s="43">
        <v>17000</v>
      </c>
      <c r="D124" s="43">
        <f>+C124*B124</f>
        <v>33320000</v>
      </c>
    </row>
    <row r="125" spans="1:4" ht="15.6" hidden="1" x14ac:dyDescent="0.35">
      <c r="A125" s="42" t="s">
        <v>113</v>
      </c>
      <c r="B125" s="42">
        <v>0</v>
      </c>
      <c r="C125" s="42">
        <v>17000</v>
      </c>
      <c r="D125" s="42">
        <v>8500000</v>
      </c>
    </row>
    <row r="126" spans="1:4" ht="15.75" x14ac:dyDescent="0.25">
      <c r="A126" s="42" t="s">
        <v>114</v>
      </c>
      <c r="B126" s="43">
        <v>1037</v>
      </c>
      <c r="C126" s="43">
        <v>15000</v>
      </c>
      <c r="D126" s="43">
        <f>+C126*B126</f>
        <v>15555000</v>
      </c>
    </row>
    <row r="127" spans="1:4" ht="15.6" hidden="1" x14ac:dyDescent="0.35">
      <c r="A127" s="42" t="s">
        <v>115</v>
      </c>
      <c r="B127" s="42">
        <v>0</v>
      </c>
      <c r="C127" s="42"/>
      <c r="D127" s="42">
        <v>0</v>
      </c>
    </row>
    <row r="128" spans="1:4" ht="15.6" hidden="1" x14ac:dyDescent="0.35">
      <c r="A128" s="42" t="s">
        <v>116</v>
      </c>
      <c r="B128" s="42">
        <v>0</v>
      </c>
      <c r="C128" s="42"/>
      <c r="D128" s="42">
        <v>0</v>
      </c>
    </row>
    <row r="129" spans="1:4" ht="15.6" hidden="1" x14ac:dyDescent="0.35">
      <c r="A129" s="42" t="s">
        <v>117</v>
      </c>
      <c r="B129" s="42">
        <v>0</v>
      </c>
      <c r="C129" s="42"/>
      <c r="D129" s="42">
        <v>0</v>
      </c>
    </row>
    <row r="130" spans="1:4" ht="15.6" hidden="1" x14ac:dyDescent="0.35">
      <c r="A130" s="42" t="s">
        <v>118</v>
      </c>
      <c r="B130" s="42">
        <v>0</v>
      </c>
      <c r="C130" s="42"/>
      <c r="D130" s="42">
        <v>0</v>
      </c>
    </row>
    <row r="131" spans="1:4" ht="15.6" hidden="1" x14ac:dyDescent="0.35">
      <c r="A131" s="42" t="s">
        <v>119</v>
      </c>
      <c r="B131" s="42">
        <v>0</v>
      </c>
      <c r="C131" s="42"/>
      <c r="D131" s="42">
        <v>0</v>
      </c>
    </row>
    <row r="132" spans="1:4" ht="15.6" hidden="1" x14ac:dyDescent="0.35">
      <c r="A132" s="42" t="s">
        <v>120</v>
      </c>
      <c r="B132" s="42">
        <v>0</v>
      </c>
      <c r="C132" s="42">
        <v>16000</v>
      </c>
      <c r="D132" s="42">
        <v>1296000</v>
      </c>
    </row>
    <row r="133" spans="1:4" ht="15.75" x14ac:dyDescent="0.25">
      <c r="A133" s="42" t="s">
        <v>121</v>
      </c>
      <c r="B133" s="43">
        <v>16</v>
      </c>
      <c r="C133" s="43">
        <v>20000</v>
      </c>
      <c r="D133" s="43">
        <f>+C133*B133</f>
        <v>320000</v>
      </c>
    </row>
    <row r="134" spans="1:4" ht="15.6" hidden="1" x14ac:dyDescent="0.35">
      <c r="A134" s="42"/>
      <c r="B134" s="42">
        <v>0</v>
      </c>
      <c r="C134" s="42">
        <v>20000</v>
      </c>
      <c r="D134" s="42">
        <v>2000000</v>
      </c>
    </row>
    <row r="135" spans="1:4" ht="15.6" hidden="1" x14ac:dyDescent="0.35">
      <c r="A135" s="42"/>
      <c r="B135" s="42">
        <v>0</v>
      </c>
      <c r="C135" s="42">
        <v>22000</v>
      </c>
      <c r="D135" s="42">
        <v>2200000</v>
      </c>
    </row>
    <row r="136" spans="1:4" ht="15.6" hidden="1" x14ac:dyDescent="0.35">
      <c r="A136" s="42" t="s">
        <v>122</v>
      </c>
      <c r="B136" s="42">
        <v>0</v>
      </c>
      <c r="C136" s="42">
        <v>17000</v>
      </c>
      <c r="D136" s="42">
        <v>0</v>
      </c>
    </row>
    <row r="137" spans="1:4" ht="15.6" hidden="1" x14ac:dyDescent="0.35">
      <c r="A137" s="42" t="s">
        <v>123</v>
      </c>
      <c r="B137" s="42">
        <v>0</v>
      </c>
      <c r="C137" s="42"/>
      <c r="D137" s="42">
        <v>0</v>
      </c>
    </row>
    <row r="138" spans="1:4" ht="15.6" hidden="1" x14ac:dyDescent="0.35">
      <c r="A138" s="42" t="s">
        <v>124</v>
      </c>
      <c r="B138" s="42">
        <v>0</v>
      </c>
      <c r="C138" s="42"/>
      <c r="D138" s="42"/>
    </row>
    <row r="139" spans="1:4" ht="15.6" hidden="1" x14ac:dyDescent="0.35">
      <c r="A139" s="42" t="s">
        <v>125</v>
      </c>
      <c r="B139" s="42">
        <v>0</v>
      </c>
      <c r="C139" s="42">
        <v>6000</v>
      </c>
      <c r="D139" s="42">
        <v>2448000</v>
      </c>
    </row>
    <row r="140" spans="1:4" ht="15.6" hidden="1" x14ac:dyDescent="0.35">
      <c r="A140" s="42"/>
      <c r="B140" s="42">
        <v>0</v>
      </c>
      <c r="C140" s="42">
        <v>6000</v>
      </c>
      <c r="D140" s="42">
        <v>4320000</v>
      </c>
    </row>
    <row r="141" spans="1:4" ht="15.6" hidden="1" x14ac:dyDescent="0.35">
      <c r="A141" s="42"/>
      <c r="B141" s="42">
        <v>0</v>
      </c>
      <c r="C141" s="42">
        <v>6000</v>
      </c>
      <c r="D141" s="42">
        <v>2448000</v>
      </c>
    </row>
    <row r="142" spans="1:4" ht="15.6" hidden="1" x14ac:dyDescent="0.35">
      <c r="A142" s="42" t="s">
        <v>126</v>
      </c>
      <c r="B142" s="42">
        <v>0</v>
      </c>
      <c r="C142" s="42"/>
      <c r="D142" s="42"/>
    </row>
    <row r="143" spans="1:4" ht="15.6" hidden="1" x14ac:dyDescent="0.35">
      <c r="A143" s="42" t="s">
        <v>127</v>
      </c>
      <c r="B143" s="42">
        <v>0</v>
      </c>
      <c r="C143" s="42"/>
      <c r="D143" s="42"/>
    </row>
    <row r="144" spans="1:4" ht="15.6" hidden="1" x14ac:dyDescent="0.35">
      <c r="A144" s="42" t="s">
        <v>128</v>
      </c>
      <c r="B144" s="42">
        <v>0</v>
      </c>
      <c r="C144" s="42">
        <v>8000</v>
      </c>
      <c r="D144" s="42">
        <v>2040000</v>
      </c>
    </row>
    <row r="145" spans="1:4" ht="15.6" hidden="1" x14ac:dyDescent="0.35">
      <c r="A145" s="42"/>
      <c r="B145" s="42">
        <v>0</v>
      </c>
      <c r="C145" s="42">
        <v>6500</v>
      </c>
      <c r="D145" s="42">
        <v>1300000</v>
      </c>
    </row>
    <row r="146" spans="1:4" ht="15.6" hidden="1" x14ac:dyDescent="0.35">
      <c r="A146" s="42"/>
      <c r="B146" s="42">
        <v>0</v>
      </c>
      <c r="C146" s="42">
        <v>9000</v>
      </c>
      <c r="D146" s="42">
        <v>900000</v>
      </c>
    </row>
    <row r="147" spans="1:4" ht="15.6" hidden="1" x14ac:dyDescent="0.35">
      <c r="A147" s="42"/>
      <c r="B147" s="42">
        <v>0</v>
      </c>
      <c r="C147" s="42">
        <v>8000</v>
      </c>
      <c r="D147" s="42">
        <v>920000</v>
      </c>
    </row>
    <row r="148" spans="1:4" ht="15.6" hidden="1" x14ac:dyDescent="0.35">
      <c r="A148" s="42" t="s">
        <v>129</v>
      </c>
      <c r="B148" s="42">
        <v>0</v>
      </c>
      <c r="C148" s="42"/>
      <c r="D148" s="42">
        <v>0</v>
      </c>
    </row>
    <row r="149" spans="1:4" ht="15.6" hidden="1" x14ac:dyDescent="0.35">
      <c r="A149" s="42" t="s">
        <v>130</v>
      </c>
      <c r="B149" s="42">
        <v>0</v>
      </c>
      <c r="C149" s="42">
        <v>15000</v>
      </c>
      <c r="D149" s="42">
        <v>0</v>
      </c>
    </row>
    <row r="150" spans="1:4" ht="15.6" hidden="1" x14ac:dyDescent="0.35">
      <c r="A150" s="42" t="s">
        <v>131</v>
      </c>
      <c r="B150" s="42">
        <v>0</v>
      </c>
      <c r="C150" s="42">
        <v>8500</v>
      </c>
      <c r="D150" s="42">
        <v>2108000</v>
      </c>
    </row>
    <row r="151" spans="1:4" ht="15.6" hidden="1" x14ac:dyDescent="0.35">
      <c r="A151" s="42" t="s">
        <v>132</v>
      </c>
      <c r="B151" s="42">
        <v>0</v>
      </c>
      <c r="C151" s="42"/>
      <c r="D151" s="42"/>
    </row>
    <row r="152" spans="1:4" ht="15.6" hidden="1" x14ac:dyDescent="0.35">
      <c r="A152" s="42" t="s">
        <v>133</v>
      </c>
      <c r="B152" s="42">
        <v>0</v>
      </c>
      <c r="C152" s="42"/>
      <c r="D152" s="42">
        <v>0</v>
      </c>
    </row>
    <row r="153" spans="1:4" ht="15.6" hidden="1" x14ac:dyDescent="0.35">
      <c r="A153" s="42" t="s">
        <v>134</v>
      </c>
      <c r="B153" s="42">
        <v>0</v>
      </c>
      <c r="C153" s="42">
        <v>4000</v>
      </c>
      <c r="D153" s="42">
        <v>76000</v>
      </c>
    </row>
    <row r="154" spans="1:4" ht="15.6" hidden="1" x14ac:dyDescent="0.35">
      <c r="A154" s="42" t="s">
        <v>135</v>
      </c>
      <c r="B154" s="42">
        <v>0</v>
      </c>
      <c r="C154" s="42"/>
      <c r="D154" s="42">
        <v>0</v>
      </c>
    </row>
    <row r="155" spans="1:4" ht="15.6" hidden="1" x14ac:dyDescent="0.35">
      <c r="A155" s="42" t="s">
        <v>136</v>
      </c>
      <c r="B155" s="42">
        <v>0</v>
      </c>
      <c r="C155" s="42">
        <v>15000</v>
      </c>
      <c r="D155" s="42">
        <v>225000</v>
      </c>
    </row>
    <row r="156" spans="1:4" ht="15.6" hidden="1" x14ac:dyDescent="0.35">
      <c r="A156" s="42" t="s">
        <v>137</v>
      </c>
      <c r="B156" s="42">
        <v>0</v>
      </c>
      <c r="C156" s="42"/>
      <c r="D156" s="42"/>
    </row>
    <row r="157" spans="1:4" ht="15.6" hidden="1" x14ac:dyDescent="0.35">
      <c r="A157" s="42" t="s">
        <v>138</v>
      </c>
      <c r="B157" s="42">
        <v>0</v>
      </c>
      <c r="C157" s="42">
        <v>25000</v>
      </c>
      <c r="D157" s="42">
        <v>0</v>
      </c>
    </row>
    <row r="158" spans="1:4" ht="15.6" hidden="1" x14ac:dyDescent="0.35">
      <c r="A158" s="42" t="s">
        <v>139</v>
      </c>
      <c r="B158" s="42">
        <v>0</v>
      </c>
      <c r="C158" s="42"/>
      <c r="D158" s="42">
        <v>0</v>
      </c>
    </row>
    <row r="159" spans="1:4" ht="15.6" hidden="1" x14ac:dyDescent="0.35">
      <c r="A159" s="42" t="s">
        <v>140</v>
      </c>
      <c r="B159" s="42">
        <v>0</v>
      </c>
      <c r="C159" s="42"/>
      <c r="D159" s="42"/>
    </row>
    <row r="160" spans="1:4" ht="15.75" x14ac:dyDescent="0.25">
      <c r="A160" s="42" t="s">
        <v>141</v>
      </c>
      <c r="B160" s="43">
        <v>4</v>
      </c>
      <c r="C160" s="43">
        <v>10000</v>
      </c>
      <c r="D160" s="43">
        <f>+C160*B160</f>
        <v>40000</v>
      </c>
    </row>
    <row r="161" spans="1:4" ht="15.6" hidden="1" x14ac:dyDescent="0.35">
      <c r="A161" s="42" t="s">
        <v>142</v>
      </c>
      <c r="B161" s="42">
        <v>0</v>
      </c>
      <c r="C161" s="42"/>
      <c r="D161" s="42">
        <v>0</v>
      </c>
    </row>
    <row r="162" spans="1:4" ht="15.6" hidden="1" x14ac:dyDescent="0.35">
      <c r="A162" s="42" t="s">
        <v>143</v>
      </c>
      <c r="B162" s="42">
        <v>0</v>
      </c>
      <c r="C162" s="42">
        <v>4000</v>
      </c>
      <c r="D162" s="42">
        <v>680000</v>
      </c>
    </row>
    <row r="163" spans="1:4" ht="15.6" hidden="1" x14ac:dyDescent="0.35">
      <c r="A163" s="42" t="s">
        <v>144</v>
      </c>
      <c r="B163" s="42">
        <v>0</v>
      </c>
      <c r="C163" s="42"/>
      <c r="D163" s="42">
        <v>0</v>
      </c>
    </row>
    <row r="164" spans="1:4" ht="15.6" hidden="1" x14ac:dyDescent="0.35">
      <c r="A164" s="42" t="s">
        <v>145</v>
      </c>
      <c r="B164" s="42">
        <v>0</v>
      </c>
      <c r="C164" s="42">
        <v>8500</v>
      </c>
      <c r="D164" s="42">
        <v>2108000</v>
      </c>
    </row>
    <row r="165" spans="1:4" ht="15.6" hidden="1" x14ac:dyDescent="0.35">
      <c r="A165" s="42" t="s">
        <v>146</v>
      </c>
      <c r="B165" s="42">
        <v>0</v>
      </c>
      <c r="C165" s="42"/>
      <c r="D165" s="42">
        <v>0</v>
      </c>
    </row>
    <row r="166" spans="1:4" ht="15.6" hidden="1" x14ac:dyDescent="0.35">
      <c r="A166" s="42" t="s">
        <v>147</v>
      </c>
      <c r="B166" s="42">
        <v>0</v>
      </c>
      <c r="C166" s="42"/>
      <c r="D166" s="42"/>
    </row>
    <row r="167" spans="1:4" ht="15.6" hidden="1" x14ac:dyDescent="0.35">
      <c r="A167" s="42" t="s">
        <v>148</v>
      </c>
      <c r="B167" s="42">
        <v>0</v>
      </c>
      <c r="C167" s="42"/>
      <c r="D167" s="42">
        <v>0</v>
      </c>
    </row>
    <row r="168" spans="1:4" ht="15.6" hidden="1" x14ac:dyDescent="0.35">
      <c r="A168" s="42" t="s">
        <v>149</v>
      </c>
      <c r="B168" s="42">
        <v>0</v>
      </c>
      <c r="C168" s="42"/>
      <c r="D168" s="42">
        <v>0</v>
      </c>
    </row>
    <row r="169" spans="1:4" ht="15.6" hidden="1" x14ac:dyDescent="0.35">
      <c r="A169" s="42" t="s">
        <v>150</v>
      </c>
      <c r="B169" s="42">
        <v>0</v>
      </c>
      <c r="C169" s="42"/>
      <c r="D169" s="42">
        <v>0</v>
      </c>
    </row>
    <row r="170" spans="1:4" ht="15.6" hidden="1" x14ac:dyDescent="0.35">
      <c r="A170" s="42" t="s">
        <v>151</v>
      </c>
      <c r="B170" s="42">
        <v>0</v>
      </c>
      <c r="C170" s="42"/>
      <c r="D170" s="42">
        <v>0</v>
      </c>
    </row>
    <row r="171" spans="1:4" ht="15.6" hidden="1" x14ac:dyDescent="0.35">
      <c r="A171" s="42" t="s">
        <v>152</v>
      </c>
      <c r="B171" s="42">
        <v>0</v>
      </c>
      <c r="C171" s="42"/>
      <c r="D171" s="42">
        <v>0</v>
      </c>
    </row>
    <row r="172" spans="1:4" ht="15.6" hidden="1" x14ac:dyDescent="0.35">
      <c r="A172" s="42" t="s">
        <v>153</v>
      </c>
      <c r="B172" s="42">
        <v>0</v>
      </c>
      <c r="C172" s="42"/>
      <c r="D172" s="42">
        <v>0</v>
      </c>
    </row>
    <row r="173" spans="1:4" ht="15.6" hidden="1" x14ac:dyDescent="0.35">
      <c r="A173" s="42" t="s">
        <v>154</v>
      </c>
      <c r="B173" s="42">
        <v>0</v>
      </c>
      <c r="C173" s="42"/>
      <c r="D173" s="42">
        <v>0</v>
      </c>
    </row>
    <row r="174" spans="1:4" ht="15.6" hidden="1" x14ac:dyDescent="0.35">
      <c r="A174" s="42" t="s">
        <v>155</v>
      </c>
      <c r="B174" s="42">
        <v>0</v>
      </c>
      <c r="C174" s="42"/>
      <c r="D174" s="42">
        <v>0</v>
      </c>
    </row>
    <row r="175" spans="1:4" ht="15.6" hidden="1" x14ac:dyDescent="0.35">
      <c r="A175" s="42" t="s">
        <v>156</v>
      </c>
      <c r="B175" s="42">
        <v>0</v>
      </c>
      <c r="C175" s="42"/>
      <c r="D175" s="42">
        <v>0</v>
      </c>
    </row>
    <row r="176" spans="1:4" ht="15.6" hidden="1" x14ac:dyDescent="0.35">
      <c r="A176" s="42" t="s">
        <v>157</v>
      </c>
      <c r="B176" s="42">
        <v>0</v>
      </c>
      <c r="C176" s="42">
        <v>15000</v>
      </c>
      <c r="D176" s="42">
        <v>180000</v>
      </c>
    </row>
    <row r="177" spans="1:4" ht="15.6" hidden="1" x14ac:dyDescent="0.35">
      <c r="A177" s="42" t="s">
        <v>158</v>
      </c>
      <c r="B177" s="42">
        <v>0</v>
      </c>
      <c r="C177" s="42">
        <v>60000</v>
      </c>
      <c r="D177" s="42">
        <v>120000</v>
      </c>
    </row>
    <row r="178" spans="1:4" ht="15.6" hidden="1" x14ac:dyDescent="0.35">
      <c r="A178" s="42" t="s">
        <v>159</v>
      </c>
      <c r="B178" s="42">
        <v>0</v>
      </c>
      <c r="C178" s="42"/>
      <c r="D178" s="42">
        <v>0</v>
      </c>
    </row>
    <row r="179" spans="1:4" ht="15.6" hidden="1" x14ac:dyDescent="0.35">
      <c r="A179" s="42" t="s">
        <v>160</v>
      </c>
      <c r="B179" s="42">
        <v>0</v>
      </c>
      <c r="C179" s="42"/>
      <c r="D179" s="42">
        <v>0</v>
      </c>
    </row>
    <row r="180" spans="1:4" ht="15.6" hidden="1" x14ac:dyDescent="0.35">
      <c r="A180" s="42" t="s">
        <v>161</v>
      </c>
      <c r="B180" s="42">
        <v>0</v>
      </c>
      <c r="C180" s="42">
        <v>30000</v>
      </c>
      <c r="D180" s="42">
        <v>90000</v>
      </c>
    </row>
    <row r="181" spans="1:4" ht="15.6" hidden="1" x14ac:dyDescent="0.35">
      <c r="A181" s="42" t="s">
        <v>162</v>
      </c>
      <c r="B181" s="42">
        <v>0</v>
      </c>
      <c r="C181" s="42"/>
      <c r="D181" s="42"/>
    </row>
    <row r="182" spans="1:4" ht="15.6" hidden="1" x14ac:dyDescent="0.35">
      <c r="A182" s="42" t="s">
        <v>163</v>
      </c>
      <c r="B182" s="42">
        <v>0</v>
      </c>
      <c r="C182" s="42"/>
      <c r="D182" s="42">
        <v>0</v>
      </c>
    </row>
    <row r="183" spans="1:4" ht="15.6" hidden="1" x14ac:dyDescent="0.35">
      <c r="A183" s="42" t="s">
        <v>164</v>
      </c>
      <c r="B183" s="42">
        <v>0</v>
      </c>
      <c r="C183" s="42"/>
      <c r="D183" s="42"/>
    </row>
    <row r="184" spans="1:4" ht="15.75" x14ac:dyDescent="0.25">
      <c r="A184" s="42" t="s">
        <v>165</v>
      </c>
      <c r="B184" s="43">
        <v>3</v>
      </c>
      <c r="C184" s="43">
        <v>25000</v>
      </c>
      <c r="D184" s="43">
        <f t="shared" ref="D184:D185" si="0">+C184*B184</f>
        <v>75000</v>
      </c>
    </row>
    <row r="185" spans="1:4" ht="15.75" x14ac:dyDescent="0.25">
      <c r="A185" s="42" t="s">
        <v>166</v>
      </c>
      <c r="B185" s="43">
        <v>2</v>
      </c>
      <c r="C185" s="43">
        <v>7500</v>
      </c>
      <c r="D185" s="43">
        <f t="shared" si="0"/>
        <v>15000</v>
      </c>
    </row>
    <row r="186" spans="1:4" ht="15.6" hidden="1" x14ac:dyDescent="0.35">
      <c r="A186" s="42" t="s">
        <v>167</v>
      </c>
      <c r="B186" s="42">
        <v>0</v>
      </c>
      <c r="C186" s="42"/>
      <c r="D186" s="42">
        <v>0</v>
      </c>
    </row>
    <row r="187" spans="1:4" ht="15.75" x14ac:dyDescent="0.25">
      <c r="A187" s="42" t="s">
        <v>168</v>
      </c>
      <c r="B187" s="43">
        <v>40</v>
      </c>
      <c r="C187" s="43">
        <v>15000</v>
      </c>
      <c r="D187" s="43">
        <f>+C187*B187</f>
        <v>600000</v>
      </c>
    </row>
    <row r="188" spans="1:4" ht="15.6" hidden="1" x14ac:dyDescent="0.35">
      <c r="A188" s="42" t="s">
        <v>169</v>
      </c>
      <c r="B188" s="42">
        <v>0</v>
      </c>
      <c r="C188" s="42"/>
      <c r="D188" s="42">
        <v>0</v>
      </c>
    </row>
    <row r="189" spans="1:4" ht="15.6" hidden="1" x14ac:dyDescent="0.35">
      <c r="A189" s="42" t="s">
        <v>170</v>
      </c>
      <c r="B189" s="42">
        <v>0</v>
      </c>
      <c r="C189" s="42"/>
      <c r="D189" s="42">
        <v>0</v>
      </c>
    </row>
    <row r="190" spans="1:4" ht="15.6" hidden="1" x14ac:dyDescent="0.35">
      <c r="A190" s="42" t="s">
        <v>171</v>
      </c>
      <c r="B190" s="42">
        <v>0</v>
      </c>
      <c r="C190" s="42">
        <v>6100</v>
      </c>
      <c r="D190" s="42">
        <v>427000</v>
      </c>
    </row>
    <row r="191" spans="1:4" ht="15.6" hidden="1" x14ac:dyDescent="0.35">
      <c r="A191" s="42" t="s">
        <v>172</v>
      </c>
      <c r="B191" s="42">
        <v>0</v>
      </c>
      <c r="C191" s="42"/>
      <c r="D191" s="42"/>
    </row>
    <row r="192" spans="1:4" ht="15.6" hidden="1" x14ac:dyDescent="0.35">
      <c r="A192" s="42" t="s">
        <v>173</v>
      </c>
      <c r="B192" s="42">
        <v>0</v>
      </c>
      <c r="C192" s="42">
        <v>25000</v>
      </c>
      <c r="D192" s="42">
        <v>0</v>
      </c>
    </row>
    <row r="193" spans="1:4" ht="15.6" hidden="1" x14ac:dyDescent="0.35">
      <c r="A193" s="42" t="s">
        <v>174</v>
      </c>
      <c r="B193" s="42">
        <v>0</v>
      </c>
      <c r="C193" s="42">
        <v>6100</v>
      </c>
      <c r="D193" s="42">
        <v>0</v>
      </c>
    </row>
    <row r="194" spans="1:4" ht="15.6" hidden="1" x14ac:dyDescent="0.35">
      <c r="A194" s="42" t="s">
        <v>175</v>
      </c>
      <c r="B194" s="42">
        <v>0</v>
      </c>
      <c r="C194" s="42"/>
      <c r="D194" s="42"/>
    </row>
    <row r="195" spans="1:4" ht="15.6" hidden="1" x14ac:dyDescent="0.35">
      <c r="A195" s="42" t="s">
        <v>176</v>
      </c>
      <c r="B195" s="42">
        <v>0</v>
      </c>
      <c r="C195" s="42"/>
      <c r="D195" s="42">
        <v>0</v>
      </c>
    </row>
    <row r="196" spans="1:4" ht="15.6" hidden="1" x14ac:dyDescent="0.35">
      <c r="A196" s="42" t="s">
        <v>177</v>
      </c>
      <c r="B196" s="42">
        <v>0</v>
      </c>
      <c r="C196" s="42"/>
      <c r="D196" s="42">
        <v>0</v>
      </c>
    </row>
    <row r="197" spans="1:4" ht="15.6" hidden="1" x14ac:dyDescent="0.35">
      <c r="A197" s="42" t="s">
        <v>178</v>
      </c>
      <c r="B197" s="42">
        <v>0</v>
      </c>
      <c r="C197" s="42">
        <v>27000</v>
      </c>
      <c r="D197" s="42">
        <v>405000</v>
      </c>
    </row>
    <row r="198" spans="1:4" ht="15.6" hidden="1" x14ac:dyDescent="0.35">
      <c r="A198" s="42" t="s">
        <v>179</v>
      </c>
      <c r="B198" s="42">
        <v>0</v>
      </c>
      <c r="C198" s="42">
        <v>6100</v>
      </c>
      <c r="D198" s="42">
        <v>8570500</v>
      </c>
    </row>
    <row r="199" spans="1:4" ht="15.6" hidden="1" x14ac:dyDescent="0.35">
      <c r="A199" s="42" t="s">
        <v>180</v>
      </c>
      <c r="B199" s="42">
        <v>0</v>
      </c>
      <c r="C199" s="42"/>
      <c r="D199" s="42"/>
    </row>
    <row r="200" spans="1:4" ht="15.6" hidden="1" x14ac:dyDescent="0.35">
      <c r="A200" s="42" t="s">
        <v>181</v>
      </c>
      <c r="B200" s="42">
        <v>0</v>
      </c>
      <c r="C200" s="42"/>
      <c r="D200" s="42">
        <v>0</v>
      </c>
    </row>
    <row r="201" spans="1:4" ht="15.6" hidden="1" x14ac:dyDescent="0.35">
      <c r="A201" s="42" t="s">
        <v>182</v>
      </c>
      <c r="B201" s="42">
        <v>0</v>
      </c>
      <c r="C201" s="42"/>
      <c r="D201" s="42"/>
    </row>
    <row r="202" spans="1:4" ht="15.6" hidden="1" x14ac:dyDescent="0.35">
      <c r="A202" s="42" t="s">
        <v>183</v>
      </c>
      <c r="B202" s="42">
        <v>0</v>
      </c>
      <c r="C202" s="42">
        <v>6100</v>
      </c>
      <c r="D202" s="42">
        <v>671000</v>
      </c>
    </row>
    <row r="203" spans="1:4" ht="15.6" hidden="1" x14ac:dyDescent="0.35">
      <c r="A203" s="42" t="s">
        <v>184</v>
      </c>
      <c r="B203" s="42">
        <v>0</v>
      </c>
      <c r="C203" s="42">
        <v>5500</v>
      </c>
      <c r="D203" s="42">
        <v>1650000</v>
      </c>
    </row>
    <row r="204" spans="1:4" ht="15.6" hidden="1" x14ac:dyDescent="0.35">
      <c r="A204" s="42" t="s">
        <v>185</v>
      </c>
      <c r="B204" s="42">
        <v>0</v>
      </c>
      <c r="C204" s="42">
        <v>25000</v>
      </c>
      <c r="D204" s="42">
        <v>1125000</v>
      </c>
    </row>
    <row r="205" spans="1:4" ht="15.6" hidden="1" x14ac:dyDescent="0.35">
      <c r="A205" s="42" t="s">
        <v>186</v>
      </c>
      <c r="B205" s="42">
        <v>0</v>
      </c>
      <c r="C205" s="42">
        <v>25000</v>
      </c>
      <c r="D205" s="42">
        <v>0</v>
      </c>
    </row>
    <row r="206" spans="1:4" ht="15.6" hidden="1" x14ac:dyDescent="0.35">
      <c r="A206" s="42" t="s">
        <v>187</v>
      </c>
      <c r="B206" s="42">
        <v>0</v>
      </c>
      <c r="C206" s="42"/>
      <c r="D206" s="42"/>
    </row>
    <row r="207" spans="1:4" ht="15.6" hidden="1" x14ac:dyDescent="0.35">
      <c r="A207" s="42" t="s">
        <v>188</v>
      </c>
      <c r="B207" s="42">
        <v>0</v>
      </c>
      <c r="C207" s="42">
        <v>11000</v>
      </c>
      <c r="D207" s="42">
        <v>1980000</v>
      </c>
    </row>
    <row r="208" spans="1:4" ht="15.6" hidden="1" x14ac:dyDescent="0.35">
      <c r="A208" s="42" t="s">
        <v>189</v>
      </c>
      <c r="B208" s="42">
        <v>0</v>
      </c>
      <c r="C208" s="42"/>
      <c r="D208" s="42"/>
    </row>
    <row r="209" spans="1:4" ht="15.6" hidden="1" x14ac:dyDescent="0.35">
      <c r="A209" s="42" t="s">
        <v>190</v>
      </c>
      <c r="B209" s="42">
        <v>0</v>
      </c>
      <c r="C209" s="42"/>
      <c r="D209" s="42">
        <v>0</v>
      </c>
    </row>
    <row r="210" spans="1:4" ht="15.6" hidden="1" x14ac:dyDescent="0.35">
      <c r="A210" s="42" t="s">
        <v>191</v>
      </c>
      <c r="B210" s="42">
        <v>0</v>
      </c>
      <c r="C210" s="42"/>
      <c r="D210" s="42"/>
    </row>
    <row r="211" spans="1:4" ht="15.6" hidden="1" x14ac:dyDescent="0.35">
      <c r="A211" s="42" t="s">
        <v>192</v>
      </c>
      <c r="B211" s="42">
        <v>0</v>
      </c>
      <c r="C211" s="42">
        <v>37000</v>
      </c>
      <c r="D211" s="42">
        <v>2812000</v>
      </c>
    </row>
    <row r="212" spans="1:4" ht="15.6" hidden="1" x14ac:dyDescent="0.35">
      <c r="A212" s="42"/>
      <c r="B212" s="42">
        <v>0</v>
      </c>
      <c r="C212" s="42">
        <v>37000</v>
      </c>
      <c r="D212" s="42">
        <v>1517000</v>
      </c>
    </row>
    <row r="213" spans="1:4" ht="15.6" hidden="1" x14ac:dyDescent="0.35">
      <c r="A213" s="42"/>
      <c r="B213" s="42">
        <v>0</v>
      </c>
      <c r="C213" s="42">
        <v>37000</v>
      </c>
      <c r="D213" s="42">
        <v>3848000</v>
      </c>
    </row>
    <row r="214" spans="1:4" ht="15.6" hidden="1" x14ac:dyDescent="0.35">
      <c r="A214" s="42" t="s">
        <v>193</v>
      </c>
      <c r="B214" s="42">
        <v>0</v>
      </c>
      <c r="C214" s="42">
        <v>18000</v>
      </c>
      <c r="D214" s="42">
        <v>0</v>
      </c>
    </row>
    <row r="215" spans="1:4" ht="15.6" hidden="1" x14ac:dyDescent="0.35">
      <c r="A215" s="42" t="s">
        <v>194</v>
      </c>
      <c r="B215" s="42">
        <v>0</v>
      </c>
      <c r="C215" s="42">
        <v>31000</v>
      </c>
      <c r="D215" s="42">
        <v>3999000</v>
      </c>
    </row>
    <row r="216" spans="1:4" ht="15.6" hidden="1" x14ac:dyDescent="0.35">
      <c r="A216" s="42"/>
      <c r="B216" s="42">
        <v>0</v>
      </c>
      <c r="C216" s="42">
        <v>31000</v>
      </c>
      <c r="D216" s="42">
        <v>2170000</v>
      </c>
    </row>
    <row r="217" spans="1:4" ht="15.6" hidden="1" x14ac:dyDescent="0.35">
      <c r="A217" s="42" t="s">
        <v>195</v>
      </c>
      <c r="B217" s="42">
        <v>0</v>
      </c>
      <c r="C217" s="42">
        <v>30000</v>
      </c>
      <c r="D217" s="42">
        <v>2010000</v>
      </c>
    </row>
    <row r="218" spans="1:4" ht="15.6" hidden="1" x14ac:dyDescent="0.35">
      <c r="A218" s="42" t="s">
        <v>196</v>
      </c>
      <c r="B218" s="42">
        <v>0</v>
      </c>
      <c r="C218" s="42"/>
      <c r="D218" s="42">
        <v>0</v>
      </c>
    </row>
    <row r="219" spans="1:4" ht="15.75" x14ac:dyDescent="0.25">
      <c r="A219" s="42" t="s">
        <v>197</v>
      </c>
      <c r="B219" s="43">
        <v>7</v>
      </c>
      <c r="C219" s="43">
        <v>12000</v>
      </c>
      <c r="D219" s="43">
        <f>+C219*B219</f>
        <v>84000</v>
      </c>
    </row>
    <row r="220" spans="1:4" ht="15.6" hidden="1" x14ac:dyDescent="0.35">
      <c r="A220" s="42" t="s">
        <v>198</v>
      </c>
      <c r="B220" s="42">
        <v>0</v>
      </c>
      <c r="C220" s="42">
        <v>6000</v>
      </c>
      <c r="D220" s="42">
        <v>1980000</v>
      </c>
    </row>
    <row r="221" spans="1:4" ht="15.6" hidden="1" x14ac:dyDescent="0.35">
      <c r="A221" s="42" t="s">
        <v>199</v>
      </c>
      <c r="B221" s="42">
        <v>0</v>
      </c>
      <c r="C221" s="42">
        <v>19000</v>
      </c>
      <c r="D221" s="42">
        <v>2014000</v>
      </c>
    </row>
    <row r="222" spans="1:4" ht="15.6" hidden="1" x14ac:dyDescent="0.35">
      <c r="A222" s="42" t="s">
        <v>200</v>
      </c>
      <c r="B222" s="42">
        <v>0</v>
      </c>
      <c r="C222" s="42"/>
      <c r="D222" s="42">
        <v>0</v>
      </c>
    </row>
    <row r="223" spans="1:4" ht="15.6" hidden="1" x14ac:dyDescent="0.35">
      <c r="A223" s="42" t="s">
        <v>201</v>
      </c>
      <c r="B223" s="42">
        <v>0</v>
      </c>
      <c r="C223" s="42"/>
      <c r="D223" s="42">
        <v>0</v>
      </c>
    </row>
    <row r="224" spans="1:4" ht="15.6" hidden="1" x14ac:dyDescent="0.35">
      <c r="A224" s="42" t="s">
        <v>202</v>
      </c>
      <c r="B224" s="42">
        <v>0</v>
      </c>
      <c r="C224" s="42">
        <v>12000</v>
      </c>
      <c r="D224" s="42">
        <v>1056000</v>
      </c>
    </row>
    <row r="225" spans="1:4" ht="15.6" hidden="1" x14ac:dyDescent="0.35">
      <c r="A225" s="42" t="s">
        <v>203</v>
      </c>
      <c r="B225" s="42">
        <v>0</v>
      </c>
      <c r="C225" s="42"/>
      <c r="D225" s="42">
        <v>0</v>
      </c>
    </row>
    <row r="226" spans="1:4" ht="15.75" x14ac:dyDescent="0.25">
      <c r="A226" s="42" t="s">
        <v>204</v>
      </c>
      <c r="B226" s="43">
        <v>2505</v>
      </c>
      <c r="C226" s="43">
        <v>7000</v>
      </c>
      <c r="D226" s="43">
        <f t="shared" ref="D226:D227" si="1">+C226*B226</f>
        <v>17535000</v>
      </c>
    </row>
    <row r="227" spans="1:4" ht="15.75" x14ac:dyDescent="0.25">
      <c r="A227" s="42" t="s">
        <v>205</v>
      </c>
      <c r="B227" s="43">
        <v>140</v>
      </c>
      <c r="C227" s="43">
        <v>9000</v>
      </c>
      <c r="D227" s="43">
        <f t="shared" si="1"/>
        <v>1260000</v>
      </c>
    </row>
    <row r="228" spans="1:4" ht="15.6" hidden="1" x14ac:dyDescent="0.35">
      <c r="A228" s="42"/>
      <c r="B228" s="42">
        <v>0</v>
      </c>
      <c r="C228" s="42">
        <v>9000</v>
      </c>
      <c r="D228" s="42">
        <v>1980000</v>
      </c>
    </row>
    <row r="229" spans="1:4" ht="15.6" hidden="1" x14ac:dyDescent="0.35">
      <c r="A229" s="42"/>
      <c r="B229" s="42">
        <v>0</v>
      </c>
      <c r="C229" s="42">
        <v>9500</v>
      </c>
      <c r="D229" s="42">
        <v>4750000</v>
      </c>
    </row>
    <row r="230" spans="1:4" ht="15.6" hidden="1" x14ac:dyDescent="0.35">
      <c r="A230" s="42" t="s">
        <v>206</v>
      </c>
      <c r="B230" s="42">
        <v>0</v>
      </c>
      <c r="C230" s="42"/>
      <c r="D230" s="42"/>
    </row>
    <row r="231" spans="1:4" ht="15.6" hidden="1" x14ac:dyDescent="0.35">
      <c r="A231" s="42" t="s">
        <v>207</v>
      </c>
      <c r="B231" s="42">
        <v>0</v>
      </c>
      <c r="C231" s="42"/>
      <c r="D231" s="42"/>
    </row>
    <row r="232" spans="1:4" ht="15.6" hidden="1" x14ac:dyDescent="0.35">
      <c r="A232" s="42" t="s">
        <v>208</v>
      </c>
      <c r="B232" s="42">
        <v>0</v>
      </c>
      <c r="C232" s="42"/>
      <c r="D232" s="42"/>
    </row>
    <row r="233" spans="1:4" ht="15.6" hidden="1" x14ac:dyDescent="0.35">
      <c r="A233" s="42" t="s">
        <v>209</v>
      </c>
      <c r="B233" s="42">
        <v>0</v>
      </c>
      <c r="C233" s="42"/>
      <c r="D233" s="42">
        <v>0</v>
      </c>
    </row>
    <row r="234" spans="1:4" ht="15.6" hidden="1" x14ac:dyDescent="0.35">
      <c r="A234" s="42" t="s">
        <v>210</v>
      </c>
      <c r="B234" s="42">
        <v>0</v>
      </c>
      <c r="C234" s="42"/>
      <c r="D234" s="42">
        <v>0</v>
      </c>
    </row>
    <row r="235" spans="1:4" ht="15.6" hidden="1" x14ac:dyDescent="0.35">
      <c r="A235" s="42" t="s">
        <v>211</v>
      </c>
      <c r="B235" s="42">
        <v>0</v>
      </c>
      <c r="C235" s="42"/>
      <c r="D235" s="42"/>
    </row>
    <row r="236" spans="1:4" ht="15.6" hidden="1" x14ac:dyDescent="0.35">
      <c r="A236" s="42" t="s">
        <v>212</v>
      </c>
      <c r="B236" s="42">
        <v>0</v>
      </c>
      <c r="C236" s="42"/>
      <c r="D236" s="42"/>
    </row>
    <row r="237" spans="1:4" ht="15.6" hidden="1" x14ac:dyDescent="0.35">
      <c r="A237" s="42" t="s">
        <v>213</v>
      </c>
      <c r="B237" s="42">
        <v>0</v>
      </c>
      <c r="C237" s="42"/>
      <c r="D237" s="42"/>
    </row>
    <row r="238" spans="1:4" ht="15.6" hidden="1" x14ac:dyDescent="0.35">
      <c r="A238" s="42" t="s">
        <v>214</v>
      </c>
      <c r="B238" s="42">
        <v>0</v>
      </c>
      <c r="C238" s="42"/>
      <c r="D238" s="42"/>
    </row>
    <row r="239" spans="1:4" s="46" customFormat="1" ht="15.6" x14ac:dyDescent="0.35">
      <c r="A239" s="44"/>
      <c r="B239" s="45">
        <f t="shared" ref="B239:C239" si="2">SUBTOTAL(9,B4:B227)</f>
        <v>5802</v>
      </c>
      <c r="C239" s="45">
        <f t="shared" si="2"/>
        <v>282500</v>
      </c>
      <c r="D239" s="45">
        <f>SUBTOTAL(9,D4:D227)</f>
        <v>70792000</v>
      </c>
    </row>
  </sheetData>
  <autoFilter ref="A2:D239">
    <filterColumn colId="1">
      <filters>
        <filter val="1037"/>
        <filter val="140"/>
        <filter val="15"/>
        <filter val="16"/>
        <filter val="1960"/>
        <filter val="2"/>
        <filter val="20"/>
        <filter val="2505"/>
        <filter val="3"/>
        <filter val="35"/>
        <filter val="4"/>
        <filter val="40"/>
        <filter val="5802"/>
        <filter val="6"/>
        <filter val="7"/>
        <filter val="9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7"/>
  <sheetViews>
    <sheetView workbookViewId="0">
      <selection activeCell="F51" sqref="F51"/>
    </sheetView>
  </sheetViews>
  <sheetFormatPr defaultRowHeight="15.75" x14ac:dyDescent="0.25"/>
  <cols>
    <col min="1" max="1" width="43.28515625" style="47" customWidth="1"/>
    <col min="2" max="2" width="10.7109375" style="47" customWidth="1"/>
    <col min="3" max="3" width="12.140625" style="47" customWidth="1"/>
    <col min="4" max="4" width="12.140625" style="48" customWidth="1"/>
  </cols>
  <sheetData>
    <row r="1" spans="1:4" ht="15" x14ac:dyDescent="0.25">
      <c r="A1" s="1" t="s">
        <v>229</v>
      </c>
      <c r="B1" s="2"/>
      <c r="C1" s="2"/>
      <c r="D1" s="3"/>
    </row>
    <row r="2" spans="1:4" ht="25.5" x14ac:dyDescent="0.25">
      <c r="A2" s="50" t="s">
        <v>1</v>
      </c>
      <c r="B2" s="4" t="s">
        <v>226</v>
      </c>
      <c r="C2" s="5" t="s">
        <v>3</v>
      </c>
      <c r="D2" s="4" t="s">
        <v>4</v>
      </c>
    </row>
    <row r="3" spans="1:4" ht="15" x14ac:dyDescent="0.25">
      <c r="A3" s="51"/>
      <c r="B3" s="4"/>
      <c r="C3" s="6"/>
      <c r="D3" s="7"/>
    </row>
    <row r="4" spans="1:4" ht="18" hidden="1" x14ac:dyDescent="0.35">
      <c r="A4" s="8" t="s">
        <v>5</v>
      </c>
      <c r="B4" s="34">
        <v>0</v>
      </c>
      <c r="C4" s="10">
        <v>25000</v>
      </c>
      <c r="D4" s="11">
        <v>525000</v>
      </c>
    </row>
    <row r="5" spans="1:4" ht="18.75" x14ac:dyDescent="0.25">
      <c r="A5" s="8" t="s">
        <v>6</v>
      </c>
      <c r="B5" s="34">
        <v>141</v>
      </c>
      <c r="C5" s="10">
        <v>20000</v>
      </c>
      <c r="D5" s="11">
        <f>+C5*B5</f>
        <v>2820000</v>
      </c>
    </row>
    <row r="6" spans="1:4" ht="18" hidden="1" x14ac:dyDescent="0.35">
      <c r="A6" s="8"/>
      <c r="B6" s="34">
        <v>0</v>
      </c>
      <c r="C6" s="10">
        <v>25000</v>
      </c>
      <c r="D6" s="11">
        <v>1000000</v>
      </c>
    </row>
    <row r="7" spans="1:4" ht="18" hidden="1" x14ac:dyDescent="0.35">
      <c r="A7" s="8"/>
      <c r="B7" s="34">
        <v>0</v>
      </c>
      <c r="C7" s="10">
        <v>19000</v>
      </c>
      <c r="D7" s="11">
        <v>1900000</v>
      </c>
    </row>
    <row r="8" spans="1:4" ht="18" hidden="1" x14ac:dyDescent="0.35">
      <c r="A8" s="8"/>
      <c r="B8" s="34">
        <v>0</v>
      </c>
      <c r="C8" s="10">
        <v>20000</v>
      </c>
      <c r="D8" s="11">
        <v>3720000</v>
      </c>
    </row>
    <row r="9" spans="1:4" ht="18" hidden="1" x14ac:dyDescent="0.35">
      <c r="A9" s="8" t="s">
        <v>7</v>
      </c>
      <c r="B9" s="34">
        <v>0</v>
      </c>
      <c r="C9" s="10"/>
      <c r="D9" s="11">
        <v>0</v>
      </c>
    </row>
    <row r="10" spans="1:4" ht="18" hidden="1" x14ac:dyDescent="0.35">
      <c r="A10" s="8" t="s">
        <v>8</v>
      </c>
      <c r="B10" s="34">
        <v>0</v>
      </c>
      <c r="C10" s="12"/>
      <c r="D10" s="11">
        <v>0</v>
      </c>
    </row>
    <row r="11" spans="1:4" ht="18" hidden="1" x14ac:dyDescent="0.35">
      <c r="A11" s="8"/>
      <c r="B11" s="34">
        <v>0</v>
      </c>
      <c r="C11" s="12">
        <v>43000</v>
      </c>
      <c r="D11" s="11">
        <v>4300000</v>
      </c>
    </row>
    <row r="12" spans="1:4" ht="18" hidden="1" x14ac:dyDescent="0.35">
      <c r="A12" s="8" t="s">
        <v>9</v>
      </c>
      <c r="B12" s="34">
        <v>0</v>
      </c>
      <c r="C12" s="10"/>
      <c r="D12" s="11">
        <v>0</v>
      </c>
    </row>
    <row r="13" spans="1:4" ht="18" hidden="1" x14ac:dyDescent="0.35">
      <c r="A13" s="8" t="s">
        <v>10</v>
      </c>
      <c r="B13" s="34">
        <v>0</v>
      </c>
      <c r="C13" s="10">
        <v>21000</v>
      </c>
      <c r="D13" s="11">
        <v>0</v>
      </c>
    </row>
    <row r="14" spans="1:4" ht="18.75" x14ac:dyDescent="0.25">
      <c r="A14" s="8" t="s">
        <v>11</v>
      </c>
      <c r="B14" s="34">
        <v>13</v>
      </c>
      <c r="C14" s="10">
        <v>32000</v>
      </c>
      <c r="D14" s="11">
        <f>+C14*B14</f>
        <v>416000</v>
      </c>
    </row>
    <row r="15" spans="1:4" ht="18" hidden="1" x14ac:dyDescent="0.35">
      <c r="A15" s="8"/>
      <c r="B15" s="34">
        <v>0</v>
      </c>
      <c r="C15" s="10">
        <v>35000</v>
      </c>
      <c r="D15" s="11">
        <v>700000</v>
      </c>
    </row>
    <row r="16" spans="1:4" ht="18" hidden="1" x14ac:dyDescent="0.35">
      <c r="A16" s="8" t="s">
        <v>12</v>
      </c>
      <c r="B16" s="34">
        <v>0</v>
      </c>
      <c r="C16" s="10"/>
      <c r="D16" s="11">
        <v>0</v>
      </c>
    </row>
    <row r="17" spans="1:4" ht="18" hidden="1" x14ac:dyDescent="0.35">
      <c r="A17" s="8" t="s">
        <v>13</v>
      </c>
      <c r="B17" s="34">
        <v>0</v>
      </c>
      <c r="C17" s="10"/>
      <c r="D17" s="11">
        <v>0</v>
      </c>
    </row>
    <row r="18" spans="1:4" ht="18" hidden="1" x14ac:dyDescent="0.35">
      <c r="A18" s="8" t="s">
        <v>14</v>
      </c>
      <c r="B18" s="34">
        <v>0</v>
      </c>
      <c r="C18" s="12">
        <v>46000</v>
      </c>
      <c r="D18" s="11">
        <v>1840000</v>
      </c>
    </row>
    <row r="19" spans="1:4" ht="18" hidden="1" x14ac:dyDescent="0.35">
      <c r="A19" s="8" t="s">
        <v>15</v>
      </c>
      <c r="B19" s="34">
        <v>0</v>
      </c>
      <c r="C19" s="12"/>
      <c r="D19" s="11">
        <v>0</v>
      </c>
    </row>
    <row r="20" spans="1:4" ht="18" hidden="1" x14ac:dyDescent="0.35">
      <c r="A20" s="8" t="s">
        <v>16</v>
      </c>
      <c r="B20" s="34">
        <v>0</v>
      </c>
      <c r="C20" s="12"/>
      <c r="D20" s="11">
        <v>0</v>
      </c>
    </row>
    <row r="21" spans="1:4" ht="18.75" x14ac:dyDescent="0.25">
      <c r="A21" s="8" t="s">
        <v>17</v>
      </c>
      <c r="B21" s="34">
        <v>22</v>
      </c>
      <c r="C21" s="10">
        <v>16000</v>
      </c>
      <c r="D21" s="11">
        <f>+C21*B21</f>
        <v>352000</v>
      </c>
    </row>
    <row r="22" spans="1:4" ht="18" hidden="1" x14ac:dyDescent="0.35">
      <c r="A22" s="8"/>
      <c r="B22" s="34">
        <v>0</v>
      </c>
      <c r="C22" s="10">
        <v>18000</v>
      </c>
      <c r="D22" s="11">
        <v>360000</v>
      </c>
    </row>
    <row r="23" spans="1:4" ht="18" hidden="1" x14ac:dyDescent="0.35">
      <c r="A23" s="8" t="s">
        <v>18</v>
      </c>
      <c r="B23" s="34">
        <v>0</v>
      </c>
      <c r="C23" s="10"/>
      <c r="D23" s="11">
        <v>0</v>
      </c>
    </row>
    <row r="24" spans="1:4" ht="18" hidden="1" x14ac:dyDescent="0.35">
      <c r="A24" s="8" t="s">
        <v>19</v>
      </c>
      <c r="B24" s="34">
        <v>0</v>
      </c>
      <c r="C24" s="10"/>
      <c r="D24" s="11">
        <v>0</v>
      </c>
    </row>
    <row r="25" spans="1:4" ht="18.75" x14ac:dyDescent="0.25">
      <c r="A25" s="8" t="s">
        <v>20</v>
      </c>
      <c r="B25" s="34">
        <v>11</v>
      </c>
      <c r="C25" s="13">
        <v>8000</v>
      </c>
      <c r="D25" s="11">
        <f>+C25*B25</f>
        <v>88000</v>
      </c>
    </row>
    <row r="26" spans="1:4" ht="18" hidden="1" x14ac:dyDescent="0.35">
      <c r="A26" s="8"/>
      <c r="B26" s="34">
        <v>0</v>
      </c>
      <c r="C26" s="13">
        <v>8000</v>
      </c>
      <c r="D26" s="11">
        <v>1240000</v>
      </c>
    </row>
    <row r="27" spans="1:4" ht="18" hidden="1" x14ac:dyDescent="0.35">
      <c r="A27" s="8" t="s">
        <v>21</v>
      </c>
      <c r="B27" s="34">
        <v>0</v>
      </c>
      <c r="C27" s="10"/>
      <c r="D27" s="11">
        <v>0</v>
      </c>
    </row>
    <row r="28" spans="1:4" ht="18" hidden="1" x14ac:dyDescent="0.35">
      <c r="A28" s="8" t="s">
        <v>22</v>
      </c>
      <c r="B28" s="34">
        <v>0</v>
      </c>
      <c r="C28" s="10"/>
      <c r="D28" s="11">
        <v>0</v>
      </c>
    </row>
    <row r="29" spans="1:4" ht="18" hidden="1" x14ac:dyDescent="0.35">
      <c r="A29" s="8" t="s">
        <v>23</v>
      </c>
      <c r="B29" s="34">
        <v>0</v>
      </c>
      <c r="C29" s="10"/>
      <c r="D29" s="11">
        <v>0</v>
      </c>
    </row>
    <row r="30" spans="1:4" ht="18" hidden="1" x14ac:dyDescent="0.35">
      <c r="A30" s="8" t="s">
        <v>24</v>
      </c>
      <c r="B30" s="34">
        <v>0</v>
      </c>
      <c r="C30" s="10"/>
      <c r="D30" s="11">
        <v>0</v>
      </c>
    </row>
    <row r="31" spans="1:4" ht="18" hidden="1" x14ac:dyDescent="0.35">
      <c r="A31" s="14" t="s">
        <v>25</v>
      </c>
      <c r="B31" s="34">
        <v>0</v>
      </c>
      <c r="C31" s="13"/>
      <c r="D31" s="11"/>
    </row>
    <row r="32" spans="1:4" ht="18" hidden="1" x14ac:dyDescent="0.35">
      <c r="A32" s="8" t="s">
        <v>26</v>
      </c>
      <c r="B32" s="34">
        <v>0</v>
      </c>
      <c r="C32" s="10"/>
      <c r="D32" s="11"/>
    </row>
    <row r="33" spans="1:4" ht="18" hidden="1" x14ac:dyDescent="0.35">
      <c r="A33" s="8" t="s">
        <v>27</v>
      </c>
      <c r="B33" s="34">
        <v>0</v>
      </c>
      <c r="C33" s="10">
        <v>12000</v>
      </c>
      <c r="D33" s="11">
        <v>108000</v>
      </c>
    </row>
    <row r="34" spans="1:4" ht="18" hidden="1" x14ac:dyDescent="0.35">
      <c r="A34" s="8" t="s">
        <v>28</v>
      </c>
      <c r="B34" s="34">
        <v>0</v>
      </c>
      <c r="C34" s="10">
        <v>5000</v>
      </c>
      <c r="D34" s="11">
        <v>1200000</v>
      </c>
    </row>
    <row r="35" spans="1:4" ht="18" hidden="1" x14ac:dyDescent="0.35">
      <c r="A35" s="14" t="s">
        <v>29</v>
      </c>
      <c r="B35" s="34">
        <v>0</v>
      </c>
      <c r="C35" s="15"/>
      <c r="D35" s="11">
        <v>0</v>
      </c>
    </row>
    <row r="36" spans="1:4" ht="18" hidden="1" x14ac:dyDescent="0.35">
      <c r="A36" s="8" t="s">
        <v>30</v>
      </c>
      <c r="B36" s="34">
        <v>0</v>
      </c>
      <c r="C36" s="10">
        <v>8000</v>
      </c>
      <c r="D36" s="11">
        <v>800000</v>
      </c>
    </row>
    <row r="37" spans="1:4" ht="18" hidden="1" x14ac:dyDescent="0.35">
      <c r="A37" s="8"/>
      <c r="B37" s="34">
        <v>0</v>
      </c>
      <c r="C37" s="10">
        <v>9000</v>
      </c>
      <c r="D37" s="11">
        <v>1800000</v>
      </c>
    </row>
    <row r="38" spans="1:4" ht="18" hidden="1" x14ac:dyDescent="0.35">
      <c r="A38" s="8" t="s">
        <v>31</v>
      </c>
      <c r="B38" s="34">
        <v>0</v>
      </c>
      <c r="C38" s="10">
        <v>10000</v>
      </c>
      <c r="D38" s="11">
        <v>300000</v>
      </c>
    </row>
    <row r="39" spans="1:4" ht="18" hidden="1" x14ac:dyDescent="0.35">
      <c r="A39" s="14" t="s">
        <v>32</v>
      </c>
      <c r="B39" s="34">
        <v>0</v>
      </c>
      <c r="C39" s="10"/>
      <c r="D39" s="11">
        <v>0</v>
      </c>
    </row>
    <row r="40" spans="1:4" ht="18" hidden="1" x14ac:dyDescent="0.35">
      <c r="A40" s="8" t="s">
        <v>33</v>
      </c>
      <c r="B40" s="34">
        <v>0</v>
      </c>
      <c r="C40" s="13"/>
      <c r="D40" s="11"/>
    </row>
    <row r="41" spans="1:4" ht="18" hidden="1" x14ac:dyDescent="0.35">
      <c r="A41" s="8" t="s">
        <v>34</v>
      </c>
      <c r="B41" s="34">
        <v>0</v>
      </c>
      <c r="C41" s="10">
        <v>8000</v>
      </c>
      <c r="D41" s="11">
        <v>40000</v>
      </c>
    </row>
    <row r="42" spans="1:4" ht="18" hidden="1" x14ac:dyDescent="0.35">
      <c r="A42" s="8" t="s">
        <v>35</v>
      </c>
      <c r="B42" s="34">
        <v>0</v>
      </c>
      <c r="C42" s="15">
        <v>110000</v>
      </c>
      <c r="D42" s="11">
        <v>0</v>
      </c>
    </row>
    <row r="43" spans="1:4" ht="18" hidden="1" x14ac:dyDescent="0.35">
      <c r="A43" s="8" t="s">
        <v>36</v>
      </c>
      <c r="B43" s="34">
        <v>0</v>
      </c>
      <c r="C43" s="10">
        <v>18000</v>
      </c>
      <c r="D43" s="11">
        <v>180000</v>
      </c>
    </row>
    <row r="44" spans="1:4" ht="18" hidden="1" x14ac:dyDescent="0.35">
      <c r="A44" s="14" t="s">
        <v>37</v>
      </c>
      <c r="B44" s="34">
        <v>0</v>
      </c>
      <c r="C44" s="12">
        <v>10000</v>
      </c>
      <c r="D44" s="11">
        <v>300000</v>
      </c>
    </row>
    <row r="45" spans="1:4" ht="18" hidden="1" x14ac:dyDescent="0.35">
      <c r="A45" s="14" t="s">
        <v>38</v>
      </c>
      <c r="B45" s="34">
        <v>0</v>
      </c>
      <c r="C45" s="10"/>
      <c r="D45" s="11">
        <v>0</v>
      </c>
    </row>
    <row r="46" spans="1:4" ht="18" hidden="1" x14ac:dyDescent="0.35">
      <c r="A46" s="8" t="s">
        <v>39</v>
      </c>
      <c r="B46" s="34">
        <v>0</v>
      </c>
      <c r="C46" s="10"/>
      <c r="D46" s="11">
        <v>0</v>
      </c>
    </row>
    <row r="47" spans="1:4" ht="18" hidden="1" x14ac:dyDescent="0.35">
      <c r="A47" s="14" t="s">
        <v>40</v>
      </c>
      <c r="B47" s="34">
        <v>0</v>
      </c>
      <c r="C47" s="10"/>
      <c r="D47" s="11">
        <v>0</v>
      </c>
    </row>
    <row r="48" spans="1:4" ht="18" hidden="1" x14ac:dyDescent="0.35">
      <c r="A48" s="8" t="s">
        <v>41</v>
      </c>
      <c r="B48" s="34">
        <v>0</v>
      </c>
      <c r="C48" s="10"/>
      <c r="D48" s="11">
        <v>0</v>
      </c>
    </row>
    <row r="49" spans="1:4" ht="18" hidden="1" x14ac:dyDescent="0.35">
      <c r="A49" s="8" t="s">
        <v>42</v>
      </c>
      <c r="B49" s="34">
        <v>0</v>
      </c>
      <c r="C49" s="13">
        <v>11000</v>
      </c>
      <c r="D49" s="11">
        <v>220000</v>
      </c>
    </row>
    <row r="50" spans="1:4" ht="15.6" hidden="1" x14ac:dyDescent="0.35">
      <c r="A50" s="16" t="s">
        <v>43</v>
      </c>
      <c r="B50" s="34">
        <v>0</v>
      </c>
      <c r="C50" s="10"/>
      <c r="D50" s="11">
        <v>0</v>
      </c>
    </row>
    <row r="51" spans="1:4" ht="18.75" x14ac:dyDescent="0.25">
      <c r="A51" s="8" t="s">
        <v>44</v>
      </c>
      <c r="B51" s="34">
        <v>13</v>
      </c>
      <c r="C51" s="10">
        <v>15000</v>
      </c>
      <c r="D51" s="11">
        <f>+C51*B51</f>
        <v>195000</v>
      </c>
    </row>
    <row r="52" spans="1:4" ht="18" hidden="1" x14ac:dyDescent="0.35">
      <c r="A52" s="8"/>
      <c r="B52" s="34">
        <v>0</v>
      </c>
      <c r="C52" s="10">
        <v>16000</v>
      </c>
      <c r="D52" s="11">
        <v>3200000</v>
      </c>
    </row>
    <row r="53" spans="1:4" ht="18" hidden="1" x14ac:dyDescent="0.35">
      <c r="A53" s="8"/>
      <c r="B53" s="34">
        <v>0</v>
      </c>
      <c r="C53" s="10">
        <v>16000</v>
      </c>
      <c r="D53" s="11">
        <v>3200000</v>
      </c>
    </row>
    <row r="54" spans="1:4" ht="18" hidden="1" x14ac:dyDescent="0.35">
      <c r="A54" s="8" t="s">
        <v>45</v>
      </c>
      <c r="B54" s="34">
        <v>0</v>
      </c>
      <c r="C54" s="10"/>
      <c r="D54" s="11"/>
    </row>
    <row r="55" spans="1:4" ht="18" hidden="1" x14ac:dyDescent="0.35">
      <c r="A55" s="8" t="s">
        <v>46</v>
      </c>
      <c r="B55" s="34">
        <v>0</v>
      </c>
      <c r="C55" s="12"/>
      <c r="D55" s="11">
        <v>0</v>
      </c>
    </row>
    <row r="56" spans="1:4" ht="18" hidden="1" x14ac:dyDescent="0.35">
      <c r="A56" s="8" t="s">
        <v>47</v>
      </c>
      <c r="B56" s="34">
        <v>0</v>
      </c>
      <c r="C56" s="12"/>
      <c r="D56" s="11">
        <v>0</v>
      </c>
    </row>
    <row r="57" spans="1:4" ht="18.75" x14ac:dyDescent="0.25">
      <c r="A57" s="8" t="s">
        <v>48</v>
      </c>
      <c r="B57" s="34">
        <v>4</v>
      </c>
      <c r="C57" s="10">
        <v>15000</v>
      </c>
      <c r="D57" s="11">
        <f>+C57*B57</f>
        <v>60000</v>
      </c>
    </row>
    <row r="58" spans="1:4" ht="18" hidden="1" x14ac:dyDescent="0.35">
      <c r="A58" s="8" t="s">
        <v>49</v>
      </c>
      <c r="B58" s="34">
        <v>0</v>
      </c>
      <c r="C58" s="10"/>
      <c r="D58" s="11">
        <v>0</v>
      </c>
    </row>
    <row r="59" spans="1:4" ht="18" hidden="1" x14ac:dyDescent="0.35">
      <c r="A59" s="8" t="s">
        <v>50</v>
      </c>
      <c r="B59" s="34">
        <v>0</v>
      </c>
      <c r="C59" s="10">
        <v>19000</v>
      </c>
      <c r="D59" s="11">
        <v>3800000</v>
      </c>
    </row>
    <row r="60" spans="1:4" ht="18" hidden="1" x14ac:dyDescent="0.35">
      <c r="A60" s="8"/>
      <c r="B60" s="34">
        <v>0</v>
      </c>
      <c r="C60" s="10">
        <v>17000</v>
      </c>
      <c r="D60" s="11">
        <v>3400000</v>
      </c>
    </row>
    <row r="61" spans="1:4" ht="18" hidden="1" x14ac:dyDescent="0.35">
      <c r="A61" s="8"/>
      <c r="B61" s="34">
        <v>0</v>
      </c>
      <c r="C61" s="10">
        <v>18000</v>
      </c>
      <c r="D61" s="11">
        <v>5760000</v>
      </c>
    </row>
    <row r="62" spans="1:4" ht="18" hidden="1" x14ac:dyDescent="0.35">
      <c r="A62" s="8"/>
      <c r="B62" s="34">
        <v>0</v>
      </c>
      <c r="C62" s="10">
        <v>17000</v>
      </c>
      <c r="D62" s="11">
        <v>5202000</v>
      </c>
    </row>
    <row r="63" spans="1:4" ht="18" hidden="1" x14ac:dyDescent="0.35">
      <c r="A63" s="8"/>
      <c r="B63" s="34">
        <v>0</v>
      </c>
      <c r="C63" s="10">
        <v>15500</v>
      </c>
      <c r="D63" s="11">
        <v>3100000</v>
      </c>
    </row>
    <row r="64" spans="1:4" ht="18" hidden="1" x14ac:dyDescent="0.35">
      <c r="A64" s="8" t="s">
        <v>51</v>
      </c>
      <c r="B64" s="34">
        <v>0</v>
      </c>
      <c r="C64" s="10">
        <v>9500</v>
      </c>
      <c r="D64" s="11">
        <v>380000</v>
      </c>
    </row>
    <row r="65" spans="1:4" ht="18" hidden="1" x14ac:dyDescent="0.35">
      <c r="A65" s="8" t="s">
        <v>52</v>
      </c>
      <c r="B65" s="34">
        <v>0</v>
      </c>
      <c r="C65" s="12"/>
      <c r="D65" s="11">
        <v>0</v>
      </c>
    </row>
    <row r="66" spans="1:4" ht="18.75" x14ac:dyDescent="0.25">
      <c r="A66" s="8" t="s">
        <v>53</v>
      </c>
      <c r="B66" s="34">
        <v>30</v>
      </c>
      <c r="C66" s="10">
        <v>15500</v>
      </c>
      <c r="D66" s="11">
        <f>+C66*B66</f>
        <v>465000</v>
      </c>
    </row>
    <row r="67" spans="1:4" ht="18" hidden="1" x14ac:dyDescent="0.35">
      <c r="A67" s="8" t="s">
        <v>54</v>
      </c>
      <c r="B67" s="34">
        <v>0</v>
      </c>
      <c r="C67" s="10">
        <v>22000</v>
      </c>
      <c r="D67" s="11"/>
    </row>
    <row r="68" spans="1:4" ht="18" hidden="1" x14ac:dyDescent="0.35">
      <c r="A68" s="8" t="s">
        <v>55</v>
      </c>
      <c r="B68" s="34">
        <v>0</v>
      </c>
      <c r="C68" s="10"/>
      <c r="D68" s="11"/>
    </row>
    <row r="69" spans="1:4" ht="18" hidden="1" x14ac:dyDescent="0.35">
      <c r="A69" s="14" t="s">
        <v>56</v>
      </c>
      <c r="B69" s="34">
        <v>0</v>
      </c>
      <c r="C69" s="10">
        <v>40000</v>
      </c>
      <c r="D69" s="11"/>
    </row>
    <row r="70" spans="1:4" ht="18" x14ac:dyDescent="0.35">
      <c r="A70" s="8" t="s">
        <v>57</v>
      </c>
      <c r="B70" s="34">
        <v>15</v>
      </c>
      <c r="C70" s="10">
        <v>8000</v>
      </c>
      <c r="D70" s="11">
        <f>+C70*B70</f>
        <v>120000</v>
      </c>
    </row>
    <row r="71" spans="1:4" ht="18" hidden="1" x14ac:dyDescent="0.35">
      <c r="A71" s="8"/>
      <c r="B71" s="34">
        <v>0</v>
      </c>
      <c r="C71" s="10">
        <v>7000</v>
      </c>
      <c r="D71" s="11">
        <v>700000</v>
      </c>
    </row>
    <row r="72" spans="1:4" ht="18" hidden="1" x14ac:dyDescent="0.35">
      <c r="A72" s="8"/>
      <c r="B72" s="34">
        <v>0</v>
      </c>
      <c r="C72" s="10">
        <v>7000</v>
      </c>
      <c r="D72" s="11">
        <v>700000</v>
      </c>
    </row>
    <row r="73" spans="1:4" ht="18" hidden="1" x14ac:dyDescent="0.35">
      <c r="A73" s="8"/>
      <c r="B73" s="34">
        <v>0</v>
      </c>
      <c r="C73" s="10">
        <v>7000</v>
      </c>
      <c r="D73" s="11">
        <v>700000</v>
      </c>
    </row>
    <row r="74" spans="1:4" ht="18" hidden="1" x14ac:dyDescent="0.35">
      <c r="A74" s="8" t="s">
        <v>58</v>
      </c>
      <c r="B74" s="34">
        <v>0</v>
      </c>
      <c r="C74" s="13"/>
      <c r="D74" s="11"/>
    </row>
    <row r="75" spans="1:4" ht="18" hidden="1" x14ac:dyDescent="0.35">
      <c r="A75" s="14" t="s">
        <v>59</v>
      </c>
      <c r="B75" s="34">
        <v>0</v>
      </c>
      <c r="C75" s="10">
        <v>22000</v>
      </c>
      <c r="D75" s="11">
        <v>66000</v>
      </c>
    </row>
    <row r="76" spans="1:4" ht="18" hidden="1" x14ac:dyDescent="0.35">
      <c r="A76" s="8" t="s">
        <v>60</v>
      </c>
      <c r="B76" s="34">
        <v>0</v>
      </c>
      <c r="C76" s="12">
        <v>15000</v>
      </c>
      <c r="D76" s="11">
        <v>0</v>
      </c>
    </row>
    <row r="77" spans="1:4" ht="18" hidden="1" x14ac:dyDescent="0.35">
      <c r="A77" s="8" t="s">
        <v>61</v>
      </c>
      <c r="B77" s="34">
        <v>0</v>
      </c>
      <c r="C77" s="10"/>
      <c r="D77" s="11">
        <v>0</v>
      </c>
    </row>
    <row r="78" spans="1:4" ht="18.75" x14ac:dyDescent="0.25">
      <c r="A78" s="18" t="s">
        <v>62</v>
      </c>
      <c r="B78" s="34">
        <v>6</v>
      </c>
      <c r="C78" s="19">
        <v>40000</v>
      </c>
      <c r="D78" s="11">
        <f>+C78*B78</f>
        <v>240000</v>
      </c>
    </row>
    <row r="79" spans="1:4" ht="18" hidden="1" x14ac:dyDescent="0.35">
      <c r="A79" s="18" t="s">
        <v>63</v>
      </c>
      <c r="B79" s="34">
        <v>0</v>
      </c>
      <c r="C79" s="10">
        <v>22000</v>
      </c>
      <c r="D79" s="11">
        <v>2640000</v>
      </c>
    </row>
    <row r="80" spans="1:4" ht="18.75" x14ac:dyDescent="0.25">
      <c r="A80" s="14" t="s">
        <v>64</v>
      </c>
      <c r="B80" s="34">
        <v>46</v>
      </c>
      <c r="C80" s="10">
        <v>17000</v>
      </c>
      <c r="D80" s="11">
        <f>+C80*B80</f>
        <v>782000</v>
      </c>
    </row>
    <row r="81" spans="1:4" ht="18" hidden="1" x14ac:dyDescent="0.35">
      <c r="A81" s="14"/>
      <c r="B81" s="34">
        <v>0</v>
      </c>
      <c r="C81" s="10">
        <v>17000</v>
      </c>
      <c r="D81" s="11">
        <v>9180000</v>
      </c>
    </row>
    <row r="82" spans="1:4" ht="18" hidden="1" x14ac:dyDescent="0.35">
      <c r="A82" s="8" t="s">
        <v>65</v>
      </c>
      <c r="B82" s="34">
        <v>0</v>
      </c>
      <c r="C82" s="12">
        <v>14000</v>
      </c>
      <c r="D82" s="11">
        <v>840000</v>
      </c>
    </row>
    <row r="83" spans="1:4" ht="18" hidden="1" x14ac:dyDescent="0.35">
      <c r="A83" s="14" t="s">
        <v>66</v>
      </c>
      <c r="B83" s="34">
        <v>0</v>
      </c>
      <c r="C83" s="10"/>
      <c r="D83" s="11">
        <v>0</v>
      </c>
    </row>
    <row r="84" spans="1:4" ht="18" hidden="1" x14ac:dyDescent="0.35">
      <c r="A84" s="8" t="s">
        <v>67</v>
      </c>
      <c r="B84" s="34">
        <v>0</v>
      </c>
      <c r="C84" s="13"/>
      <c r="D84" s="11"/>
    </row>
    <row r="85" spans="1:4" ht="18" hidden="1" x14ac:dyDescent="0.35">
      <c r="A85" s="8" t="s">
        <v>68</v>
      </c>
      <c r="B85" s="34">
        <v>0</v>
      </c>
      <c r="C85" s="10">
        <v>8000</v>
      </c>
      <c r="D85" s="11">
        <v>1256000</v>
      </c>
    </row>
    <row r="86" spans="1:4" ht="18" hidden="1" x14ac:dyDescent="0.35">
      <c r="A86" s="14" t="s">
        <v>69</v>
      </c>
      <c r="B86" s="34">
        <v>0</v>
      </c>
      <c r="C86" s="15">
        <v>11500</v>
      </c>
      <c r="D86" s="11">
        <v>1150000</v>
      </c>
    </row>
    <row r="87" spans="1:4" ht="18" hidden="1" x14ac:dyDescent="0.35">
      <c r="A87" s="14"/>
      <c r="B87" s="34">
        <v>0</v>
      </c>
      <c r="C87" s="15">
        <v>11000</v>
      </c>
      <c r="D87" s="11">
        <v>1298000</v>
      </c>
    </row>
    <row r="88" spans="1:4" ht="18" hidden="1" x14ac:dyDescent="0.35">
      <c r="A88" s="14" t="s">
        <v>70</v>
      </c>
      <c r="B88" s="34">
        <v>0</v>
      </c>
      <c r="C88" s="15"/>
      <c r="D88" s="11">
        <v>0</v>
      </c>
    </row>
    <row r="89" spans="1:4" ht="18" hidden="1" x14ac:dyDescent="0.35">
      <c r="A89" s="14" t="s">
        <v>71</v>
      </c>
      <c r="B89" s="34">
        <v>0</v>
      </c>
      <c r="C89" s="10"/>
      <c r="D89" s="11">
        <v>0</v>
      </c>
    </row>
    <row r="90" spans="1:4" ht="18" hidden="1" x14ac:dyDescent="0.35">
      <c r="A90" s="8" t="s">
        <v>72</v>
      </c>
      <c r="B90" s="34">
        <v>0</v>
      </c>
      <c r="C90" s="12">
        <v>18000</v>
      </c>
      <c r="D90" s="11">
        <v>846000</v>
      </c>
    </row>
    <row r="91" spans="1:4" ht="18" hidden="1" x14ac:dyDescent="0.35">
      <c r="A91" s="8"/>
      <c r="B91" s="34">
        <v>0</v>
      </c>
      <c r="C91" s="12">
        <v>45000</v>
      </c>
      <c r="D91" s="11">
        <v>1350000</v>
      </c>
    </row>
    <row r="92" spans="1:4" ht="18" hidden="1" x14ac:dyDescent="0.35">
      <c r="A92" s="8" t="s">
        <v>73</v>
      </c>
      <c r="B92" s="34">
        <v>0</v>
      </c>
      <c r="C92" s="12">
        <v>25000</v>
      </c>
      <c r="D92" s="11">
        <v>0</v>
      </c>
    </row>
    <row r="93" spans="1:4" ht="18" hidden="1" x14ac:dyDescent="0.35">
      <c r="A93" s="20" t="s">
        <v>74</v>
      </c>
      <c r="B93" s="34">
        <v>0</v>
      </c>
      <c r="C93" s="13"/>
      <c r="D93" s="11"/>
    </row>
    <row r="94" spans="1:4" ht="18" hidden="1" x14ac:dyDescent="0.35">
      <c r="A94" s="20" t="s">
        <v>75</v>
      </c>
      <c r="B94" s="34">
        <v>0</v>
      </c>
      <c r="C94" s="15"/>
      <c r="D94" s="11"/>
    </row>
    <row r="95" spans="1:4" ht="18" hidden="1" x14ac:dyDescent="0.35">
      <c r="A95" s="20" t="s">
        <v>76</v>
      </c>
      <c r="B95" s="34">
        <v>0</v>
      </c>
      <c r="C95" s="10"/>
      <c r="D95" s="11">
        <v>0</v>
      </c>
    </row>
    <row r="96" spans="1:4" ht="18" hidden="1" x14ac:dyDescent="0.35">
      <c r="A96" s="8" t="s">
        <v>77</v>
      </c>
      <c r="B96" s="34">
        <v>0</v>
      </c>
      <c r="C96" s="13"/>
      <c r="D96" s="11"/>
    </row>
    <row r="97" spans="1:4" ht="18" hidden="1" x14ac:dyDescent="0.35">
      <c r="A97" s="8" t="s">
        <v>78</v>
      </c>
      <c r="B97" s="34">
        <v>0</v>
      </c>
      <c r="C97" s="12">
        <v>11000</v>
      </c>
      <c r="D97" s="11">
        <v>4840000</v>
      </c>
    </row>
    <row r="98" spans="1:4" ht="18" hidden="1" x14ac:dyDescent="0.35">
      <c r="A98" s="8"/>
      <c r="B98" s="34">
        <v>0</v>
      </c>
      <c r="C98" s="12">
        <v>13000</v>
      </c>
      <c r="D98" s="11">
        <v>6500000</v>
      </c>
    </row>
    <row r="99" spans="1:4" ht="18" hidden="1" x14ac:dyDescent="0.35">
      <c r="A99" s="8" t="s">
        <v>79</v>
      </c>
      <c r="B99" s="34">
        <v>0</v>
      </c>
      <c r="C99" s="13"/>
      <c r="D99" s="11"/>
    </row>
    <row r="100" spans="1:4" ht="18" hidden="1" x14ac:dyDescent="0.35">
      <c r="A100" s="8" t="s">
        <v>80</v>
      </c>
      <c r="B100" s="34">
        <v>0</v>
      </c>
      <c r="C100" s="10"/>
      <c r="D100" s="11">
        <v>0</v>
      </c>
    </row>
    <row r="101" spans="1:4" ht="18" hidden="1" x14ac:dyDescent="0.35">
      <c r="A101" s="8" t="s">
        <v>81</v>
      </c>
      <c r="B101" s="34">
        <v>0</v>
      </c>
      <c r="C101" s="13"/>
      <c r="D101" s="11"/>
    </row>
    <row r="102" spans="1:4" ht="18" hidden="1" x14ac:dyDescent="0.35">
      <c r="A102" s="8" t="s">
        <v>82</v>
      </c>
      <c r="B102" s="34">
        <v>0</v>
      </c>
      <c r="C102" s="10">
        <v>150000</v>
      </c>
      <c r="D102" s="11">
        <v>0</v>
      </c>
    </row>
    <row r="103" spans="1:4" ht="18" hidden="1" x14ac:dyDescent="0.35">
      <c r="A103" s="8" t="s">
        <v>83</v>
      </c>
      <c r="B103" s="34">
        <v>0</v>
      </c>
      <c r="C103" s="10"/>
      <c r="D103" s="11"/>
    </row>
    <row r="104" spans="1:4" ht="18" hidden="1" x14ac:dyDescent="0.35">
      <c r="A104" s="8" t="s">
        <v>84</v>
      </c>
      <c r="B104" s="34">
        <v>0</v>
      </c>
      <c r="C104" s="10">
        <v>50000</v>
      </c>
      <c r="D104" s="11">
        <v>0</v>
      </c>
    </row>
    <row r="105" spans="1:4" ht="18" hidden="1" x14ac:dyDescent="0.35">
      <c r="A105" s="8" t="s">
        <v>85</v>
      </c>
      <c r="B105" s="34">
        <v>0</v>
      </c>
      <c r="C105" s="10"/>
      <c r="D105" s="11"/>
    </row>
    <row r="106" spans="1:4" ht="18" hidden="1" x14ac:dyDescent="0.35">
      <c r="A106" s="8" t="s">
        <v>86</v>
      </c>
      <c r="B106" s="34">
        <v>0</v>
      </c>
      <c r="C106" s="10">
        <v>50000</v>
      </c>
      <c r="D106" s="11">
        <v>0</v>
      </c>
    </row>
    <row r="107" spans="1:4" ht="18" hidden="1" x14ac:dyDescent="0.35">
      <c r="A107" s="8" t="s">
        <v>87</v>
      </c>
      <c r="B107" s="34">
        <v>0</v>
      </c>
      <c r="C107" s="12"/>
      <c r="D107" s="11">
        <v>0</v>
      </c>
    </row>
    <row r="108" spans="1:4" ht="18" hidden="1" x14ac:dyDescent="0.35">
      <c r="A108" s="8" t="s">
        <v>88</v>
      </c>
      <c r="B108" s="34">
        <v>0</v>
      </c>
      <c r="C108" s="10">
        <v>45000</v>
      </c>
      <c r="D108" s="11">
        <v>0</v>
      </c>
    </row>
    <row r="109" spans="1:4" ht="18" hidden="1" x14ac:dyDescent="0.35">
      <c r="A109" s="8" t="s">
        <v>89</v>
      </c>
      <c r="B109" s="34">
        <v>0</v>
      </c>
      <c r="C109" s="12"/>
      <c r="D109" s="11"/>
    </row>
    <row r="110" spans="1:4" ht="18" hidden="1" x14ac:dyDescent="0.35">
      <c r="A110" s="8" t="s">
        <v>90</v>
      </c>
      <c r="B110" s="34">
        <v>0</v>
      </c>
      <c r="C110" s="10">
        <v>50000</v>
      </c>
      <c r="D110" s="11">
        <v>0</v>
      </c>
    </row>
    <row r="111" spans="1:4" ht="18" hidden="1" x14ac:dyDescent="0.35">
      <c r="A111" s="8" t="s">
        <v>91</v>
      </c>
      <c r="B111" s="34">
        <v>0</v>
      </c>
      <c r="C111" s="10"/>
      <c r="D111" s="11"/>
    </row>
    <row r="112" spans="1:4" ht="18" hidden="1" x14ac:dyDescent="0.35">
      <c r="A112" s="8" t="s">
        <v>92</v>
      </c>
      <c r="B112" s="34">
        <v>0</v>
      </c>
      <c r="C112" s="10"/>
      <c r="D112" s="11"/>
    </row>
    <row r="113" spans="1:4" ht="18" hidden="1" x14ac:dyDescent="0.35">
      <c r="A113" s="8" t="s">
        <v>93</v>
      </c>
      <c r="B113" s="34">
        <v>0</v>
      </c>
      <c r="C113" s="10"/>
      <c r="D113" s="11"/>
    </row>
    <row r="114" spans="1:4" ht="18" hidden="1" x14ac:dyDescent="0.35">
      <c r="A114" s="8" t="s">
        <v>94</v>
      </c>
      <c r="B114" s="34">
        <v>0</v>
      </c>
      <c r="C114" s="10"/>
      <c r="D114" s="11">
        <v>0</v>
      </c>
    </row>
    <row r="115" spans="1:4" ht="18" hidden="1" x14ac:dyDescent="0.35">
      <c r="A115" s="8" t="s">
        <v>95</v>
      </c>
      <c r="B115" s="34">
        <v>0</v>
      </c>
      <c r="C115" s="12">
        <v>12000</v>
      </c>
      <c r="D115" s="11">
        <v>0</v>
      </c>
    </row>
    <row r="116" spans="1:4" ht="18" hidden="1" x14ac:dyDescent="0.35">
      <c r="A116" s="8" t="s">
        <v>96</v>
      </c>
      <c r="B116" s="34">
        <v>0</v>
      </c>
      <c r="C116" s="10"/>
      <c r="D116" s="11">
        <v>0</v>
      </c>
    </row>
    <row r="117" spans="1:4" ht="18" hidden="1" x14ac:dyDescent="0.35">
      <c r="A117" s="8" t="s">
        <v>97</v>
      </c>
      <c r="B117" s="34">
        <v>0</v>
      </c>
      <c r="C117" s="10">
        <v>13000</v>
      </c>
      <c r="D117" s="11">
        <v>1170000</v>
      </c>
    </row>
    <row r="118" spans="1:4" ht="18" hidden="1" x14ac:dyDescent="0.35">
      <c r="A118" s="8" t="s">
        <v>98</v>
      </c>
      <c r="B118" s="34">
        <v>0</v>
      </c>
      <c r="C118" s="10"/>
      <c r="D118" s="11">
        <v>0</v>
      </c>
    </row>
    <row r="119" spans="1:4" ht="18" hidden="1" x14ac:dyDescent="0.35">
      <c r="A119" s="8" t="s">
        <v>99</v>
      </c>
      <c r="B119" s="34">
        <v>0</v>
      </c>
      <c r="C119" s="12"/>
      <c r="D119" s="11">
        <v>0</v>
      </c>
    </row>
    <row r="120" spans="1:4" ht="18" hidden="1" x14ac:dyDescent="0.35">
      <c r="A120" s="14" t="s">
        <v>100</v>
      </c>
      <c r="B120" s="34">
        <v>0</v>
      </c>
      <c r="C120" s="10"/>
      <c r="D120" s="11">
        <v>0</v>
      </c>
    </row>
    <row r="121" spans="1:4" ht="18" hidden="1" x14ac:dyDescent="0.35">
      <c r="A121" s="14" t="s">
        <v>101</v>
      </c>
      <c r="B121" s="34">
        <v>0</v>
      </c>
      <c r="C121" s="10"/>
      <c r="D121" s="11">
        <v>0</v>
      </c>
    </row>
    <row r="122" spans="1:4" ht="18" hidden="1" x14ac:dyDescent="0.35">
      <c r="A122" s="14" t="s">
        <v>102</v>
      </c>
      <c r="B122" s="34">
        <v>0</v>
      </c>
      <c r="C122" s="10"/>
      <c r="D122" s="11">
        <v>0</v>
      </c>
    </row>
    <row r="123" spans="1:4" ht="18" hidden="1" x14ac:dyDescent="0.35">
      <c r="A123" s="8" t="s">
        <v>103</v>
      </c>
      <c r="B123" s="34">
        <v>0</v>
      </c>
      <c r="C123" s="10"/>
      <c r="D123" s="11"/>
    </row>
    <row r="124" spans="1:4" ht="18" hidden="1" x14ac:dyDescent="0.35">
      <c r="A124" s="8" t="s">
        <v>104</v>
      </c>
      <c r="B124" s="34">
        <v>0</v>
      </c>
      <c r="C124" s="12"/>
      <c r="D124" s="11">
        <v>0</v>
      </c>
    </row>
    <row r="125" spans="1:4" ht="18" hidden="1" x14ac:dyDescent="0.35">
      <c r="A125" s="8" t="s">
        <v>105</v>
      </c>
      <c r="B125" s="34">
        <v>0</v>
      </c>
      <c r="C125" s="10"/>
      <c r="D125" s="11"/>
    </row>
    <row r="126" spans="1:4" ht="18" hidden="1" x14ac:dyDescent="0.35">
      <c r="A126" s="8" t="s">
        <v>106</v>
      </c>
      <c r="B126" s="34">
        <v>0</v>
      </c>
      <c r="C126" s="10"/>
      <c r="D126" s="11">
        <v>0</v>
      </c>
    </row>
    <row r="127" spans="1:4" ht="18" hidden="1" x14ac:dyDescent="0.35">
      <c r="A127" s="8" t="s">
        <v>107</v>
      </c>
      <c r="B127" s="34">
        <v>0</v>
      </c>
      <c r="C127" s="10"/>
      <c r="D127" s="11">
        <v>0</v>
      </c>
    </row>
    <row r="128" spans="1:4" ht="18" hidden="1" x14ac:dyDescent="0.35">
      <c r="A128" s="22" t="s">
        <v>108</v>
      </c>
      <c r="B128" s="34">
        <v>0</v>
      </c>
      <c r="C128" s="10"/>
      <c r="D128" s="11">
        <v>0</v>
      </c>
    </row>
    <row r="129" spans="1:4" ht="18" hidden="1" x14ac:dyDescent="0.35">
      <c r="A129" s="8" t="s">
        <v>109</v>
      </c>
      <c r="B129" s="34">
        <v>0</v>
      </c>
      <c r="C129" s="12">
        <v>10000</v>
      </c>
      <c r="D129" s="11">
        <v>0</v>
      </c>
    </row>
    <row r="130" spans="1:4" ht="18.75" x14ac:dyDescent="0.25">
      <c r="A130" s="8" t="s">
        <v>110</v>
      </c>
      <c r="B130" s="34">
        <v>4</v>
      </c>
      <c r="C130" s="10">
        <v>30000</v>
      </c>
      <c r="D130" s="11">
        <f>+C130*B130</f>
        <v>120000</v>
      </c>
    </row>
    <row r="131" spans="1:4" ht="18" hidden="1" x14ac:dyDescent="0.35">
      <c r="A131" s="8" t="s">
        <v>111</v>
      </c>
      <c r="B131" s="34">
        <v>0</v>
      </c>
      <c r="C131" s="13"/>
      <c r="D131" s="11"/>
    </row>
    <row r="132" spans="1:4" ht="18.75" x14ac:dyDescent="0.25">
      <c r="A132" s="14" t="s">
        <v>112</v>
      </c>
      <c r="B132" s="34">
        <v>1880</v>
      </c>
      <c r="C132" s="10">
        <v>17000</v>
      </c>
      <c r="D132" s="11">
        <f t="shared" ref="D132:D134" si="0">+C132*B132</f>
        <v>31960000</v>
      </c>
    </row>
    <row r="133" spans="1:4" ht="18.75" x14ac:dyDescent="0.25">
      <c r="A133" s="14" t="s">
        <v>113</v>
      </c>
      <c r="B133" s="34">
        <v>85</v>
      </c>
      <c r="C133" s="10">
        <v>17000</v>
      </c>
      <c r="D133" s="11">
        <f t="shared" si="0"/>
        <v>1445000</v>
      </c>
    </row>
    <row r="134" spans="1:4" ht="18.75" x14ac:dyDescent="0.25">
      <c r="A134" s="8" t="s">
        <v>114</v>
      </c>
      <c r="B134" s="34">
        <v>1027</v>
      </c>
      <c r="C134" s="12">
        <v>15000</v>
      </c>
      <c r="D134" s="11">
        <f t="shared" si="0"/>
        <v>15405000</v>
      </c>
    </row>
    <row r="135" spans="1:4" ht="18" hidden="1" x14ac:dyDescent="0.35">
      <c r="A135" s="14" t="s">
        <v>115</v>
      </c>
      <c r="B135" s="34">
        <v>0</v>
      </c>
      <c r="C135" s="10"/>
      <c r="D135" s="11">
        <v>0</v>
      </c>
    </row>
    <row r="136" spans="1:4" ht="18" hidden="1" x14ac:dyDescent="0.35">
      <c r="A136" s="14" t="s">
        <v>116</v>
      </c>
      <c r="B136" s="34">
        <v>0</v>
      </c>
      <c r="C136" s="12"/>
      <c r="D136" s="11">
        <v>0</v>
      </c>
    </row>
    <row r="137" spans="1:4" ht="18" hidden="1" x14ac:dyDescent="0.35">
      <c r="A137" s="8" t="s">
        <v>117</v>
      </c>
      <c r="B137" s="34">
        <v>0</v>
      </c>
      <c r="C137" s="10"/>
      <c r="D137" s="11">
        <v>0</v>
      </c>
    </row>
    <row r="138" spans="1:4" ht="18" hidden="1" x14ac:dyDescent="0.35">
      <c r="A138" s="8" t="s">
        <v>118</v>
      </c>
      <c r="B138" s="34">
        <v>0</v>
      </c>
      <c r="C138" s="12"/>
      <c r="D138" s="11">
        <v>0</v>
      </c>
    </row>
    <row r="139" spans="1:4" ht="18" hidden="1" x14ac:dyDescent="0.35">
      <c r="A139" s="8" t="s">
        <v>119</v>
      </c>
      <c r="B139" s="34">
        <v>0</v>
      </c>
      <c r="C139" s="10"/>
      <c r="D139" s="11">
        <v>0</v>
      </c>
    </row>
    <row r="140" spans="1:4" ht="18.75" x14ac:dyDescent="0.25">
      <c r="A140" s="8" t="s">
        <v>120</v>
      </c>
      <c r="B140" s="34">
        <v>3</v>
      </c>
      <c r="C140" s="10">
        <v>16000</v>
      </c>
      <c r="D140" s="11">
        <f t="shared" ref="D140:D141" si="1">+C140*B140</f>
        <v>48000</v>
      </c>
    </row>
    <row r="141" spans="1:4" ht="18.75" x14ac:dyDescent="0.25">
      <c r="A141" s="8" t="s">
        <v>121</v>
      </c>
      <c r="B141" s="34">
        <v>10</v>
      </c>
      <c r="C141" s="13">
        <v>20000</v>
      </c>
      <c r="D141" s="11">
        <f t="shared" si="1"/>
        <v>200000</v>
      </c>
    </row>
    <row r="142" spans="1:4" ht="18" hidden="1" x14ac:dyDescent="0.35">
      <c r="A142" s="8"/>
      <c r="B142" s="34">
        <v>0</v>
      </c>
      <c r="C142" s="13">
        <v>20000</v>
      </c>
      <c r="D142" s="11">
        <v>4000000</v>
      </c>
    </row>
    <row r="143" spans="1:4" ht="18" hidden="1" x14ac:dyDescent="0.35">
      <c r="A143" s="8"/>
      <c r="B143" s="34">
        <v>0</v>
      </c>
      <c r="C143" s="13">
        <v>22000</v>
      </c>
      <c r="D143" s="11">
        <v>2200000</v>
      </c>
    </row>
    <row r="144" spans="1:4" ht="18" hidden="1" x14ac:dyDescent="0.35">
      <c r="A144" s="8" t="s">
        <v>122</v>
      </c>
      <c r="B144" s="34">
        <v>0</v>
      </c>
      <c r="C144" s="12">
        <v>17000</v>
      </c>
      <c r="D144" s="11">
        <v>0</v>
      </c>
    </row>
    <row r="145" spans="1:4" ht="18" hidden="1" x14ac:dyDescent="0.35">
      <c r="A145" s="8" t="s">
        <v>123</v>
      </c>
      <c r="B145" s="34">
        <v>0</v>
      </c>
      <c r="C145" s="12"/>
      <c r="D145" s="11">
        <v>0</v>
      </c>
    </row>
    <row r="146" spans="1:4" ht="18" hidden="1" x14ac:dyDescent="0.35">
      <c r="A146" s="8" t="s">
        <v>124</v>
      </c>
      <c r="B146" s="34">
        <v>0</v>
      </c>
      <c r="C146" s="13"/>
      <c r="D146" s="11"/>
    </row>
    <row r="147" spans="1:4" ht="18.75" x14ac:dyDescent="0.25">
      <c r="A147" s="18" t="s">
        <v>125</v>
      </c>
      <c r="B147" s="34">
        <v>27</v>
      </c>
      <c r="C147" s="12">
        <v>6000</v>
      </c>
      <c r="D147" s="11">
        <f>+C147*B147</f>
        <v>162000</v>
      </c>
    </row>
    <row r="148" spans="1:4" ht="18" hidden="1" x14ac:dyDescent="0.35">
      <c r="A148" s="18"/>
      <c r="B148" s="34">
        <v>0</v>
      </c>
      <c r="C148" s="12">
        <v>6000</v>
      </c>
      <c r="D148" s="11">
        <v>1584000</v>
      </c>
    </row>
    <row r="149" spans="1:4" ht="18" hidden="1" x14ac:dyDescent="0.35">
      <c r="A149" s="18"/>
      <c r="B149" s="34">
        <v>0</v>
      </c>
      <c r="C149" s="12">
        <v>6000</v>
      </c>
      <c r="D149" s="11">
        <v>3600000</v>
      </c>
    </row>
    <row r="150" spans="1:4" ht="18" hidden="1" x14ac:dyDescent="0.35">
      <c r="A150" s="18"/>
      <c r="B150" s="34">
        <v>0</v>
      </c>
      <c r="C150" s="12">
        <v>5500</v>
      </c>
      <c r="D150" s="11">
        <v>2046000</v>
      </c>
    </row>
    <row r="151" spans="1:4" ht="18" hidden="1" x14ac:dyDescent="0.35">
      <c r="A151" s="8" t="s">
        <v>126</v>
      </c>
      <c r="B151" s="34">
        <v>0</v>
      </c>
      <c r="C151" s="13"/>
      <c r="D151" s="11"/>
    </row>
    <row r="152" spans="1:4" ht="18" hidden="1" x14ac:dyDescent="0.35">
      <c r="A152" s="8" t="s">
        <v>127</v>
      </c>
      <c r="B152" s="34">
        <v>0</v>
      </c>
      <c r="C152" s="13"/>
      <c r="D152" s="11"/>
    </row>
    <row r="153" spans="1:4" ht="18" hidden="1" x14ac:dyDescent="0.35">
      <c r="A153" s="8" t="s">
        <v>128</v>
      </c>
      <c r="B153" s="34">
        <v>0</v>
      </c>
      <c r="C153" s="10">
        <v>8000</v>
      </c>
      <c r="D153" s="11">
        <v>800000</v>
      </c>
    </row>
    <row r="154" spans="1:4" ht="18" hidden="1" x14ac:dyDescent="0.35">
      <c r="A154" s="8"/>
      <c r="B154" s="34">
        <v>0</v>
      </c>
      <c r="C154" s="10">
        <v>8000</v>
      </c>
      <c r="D154" s="11">
        <v>1720000</v>
      </c>
    </row>
    <row r="155" spans="1:4" ht="18" hidden="1" x14ac:dyDescent="0.35">
      <c r="A155" s="8"/>
      <c r="B155" s="34">
        <v>0</v>
      </c>
      <c r="C155" s="10">
        <v>8000</v>
      </c>
      <c r="D155" s="11">
        <v>840000</v>
      </c>
    </row>
    <row r="156" spans="1:4" ht="18" hidden="1" x14ac:dyDescent="0.35">
      <c r="A156" s="8"/>
      <c r="B156" s="34">
        <v>0</v>
      </c>
      <c r="C156" s="10">
        <v>6800</v>
      </c>
      <c r="D156" s="11">
        <v>1360000</v>
      </c>
    </row>
    <row r="157" spans="1:4" ht="18" hidden="1" x14ac:dyDescent="0.35">
      <c r="A157" s="8"/>
      <c r="B157" s="34">
        <v>0</v>
      </c>
      <c r="C157" s="10">
        <v>9000</v>
      </c>
      <c r="D157" s="11">
        <v>1350000</v>
      </c>
    </row>
    <row r="158" spans="1:4" ht="18" hidden="1" x14ac:dyDescent="0.35">
      <c r="A158" s="8"/>
      <c r="B158" s="34">
        <v>0</v>
      </c>
      <c r="C158" s="10">
        <v>9000</v>
      </c>
      <c r="D158" s="11">
        <v>900000</v>
      </c>
    </row>
    <row r="159" spans="1:4" ht="18.75" x14ac:dyDescent="0.25">
      <c r="A159" s="14" t="s">
        <v>129</v>
      </c>
      <c r="B159" s="34">
        <v>6</v>
      </c>
      <c r="C159" s="10">
        <v>16000</v>
      </c>
      <c r="D159" s="11">
        <f t="shared" ref="D159:D160" si="2">+C159*B159</f>
        <v>96000</v>
      </c>
    </row>
    <row r="160" spans="1:4" ht="18.75" x14ac:dyDescent="0.25">
      <c r="A160" s="8" t="s">
        <v>130</v>
      </c>
      <c r="B160" s="34">
        <v>5</v>
      </c>
      <c r="C160" s="12">
        <v>8000</v>
      </c>
      <c r="D160" s="11">
        <f t="shared" si="2"/>
        <v>40000</v>
      </c>
    </row>
    <row r="161" spans="1:4" ht="18" hidden="1" x14ac:dyDescent="0.35">
      <c r="A161" s="8" t="s">
        <v>131</v>
      </c>
      <c r="B161" s="34">
        <v>0</v>
      </c>
      <c r="C161" s="12"/>
      <c r="D161" s="11"/>
    </row>
    <row r="162" spans="1:4" ht="18" hidden="1" x14ac:dyDescent="0.35">
      <c r="A162" s="8" t="s">
        <v>132</v>
      </c>
      <c r="B162" s="34">
        <v>0</v>
      </c>
      <c r="C162" s="10"/>
      <c r="D162" s="11"/>
    </row>
    <row r="163" spans="1:4" ht="18" hidden="1" x14ac:dyDescent="0.35">
      <c r="A163" s="8" t="s">
        <v>133</v>
      </c>
      <c r="B163" s="34">
        <v>0</v>
      </c>
      <c r="C163" s="10">
        <v>4000</v>
      </c>
      <c r="D163" s="11">
        <v>68000</v>
      </c>
    </row>
    <row r="164" spans="1:4" ht="18" hidden="1" x14ac:dyDescent="0.35">
      <c r="A164" s="8" t="s">
        <v>134</v>
      </c>
      <c r="B164" s="34">
        <v>0</v>
      </c>
      <c r="C164" s="10"/>
      <c r="D164" s="11">
        <v>0</v>
      </c>
    </row>
    <row r="165" spans="1:4" ht="18" hidden="1" x14ac:dyDescent="0.35">
      <c r="A165" s="8" t="s">
        <v>135</v>
      </c>
      <c r="B165" s="34">
        <v>0</v>
      </c>
      <c r="C165" s="19"/>
      <c r="D165" s="11">
        <v>0</v>
      </c>
    </row>
    <row r="166" spans="1:4" ht="18" hidden="1" x14ac:dyDescent="0.35">
      <c r="A166" s="8" t="s">
        <v>136</v>
      </c>
      <c r="B166" s="34">
        <v>0</v>
      </c>
      <c r="C166" s="10">
        <v>15000</v>
      </c>
      <c r="D166" s="11">
        <v>525000</v>
      </c>
    </row>
    <row r="167" spans="1:4" ht="18" hidden="1" x14ac:dyDescent="0.35">
      <c r="A167" s="8" t="s">
        <v>137</v>
      </c>
      <c r="B167" s="34">
        <v>0</v>
      </c>
      <c r="C167" s="13"/>
      <c r="D167" s="11"/>
    </row>
    <row r="168" spans="1:4" ht="18" hidden="1" x14ac:dyDescent="0.35">
      <c r="A168" s="8" t="s">
        <v>138</v>
      </c>
      <c r="B168" s="34">
        <v>0</v>
      </c>
      <c r="C168" s="13">
        <v>25000</v>
      </c>
      <c r="D168" s="11">
        <v>0</v>
      </c>
    </row>
    <row r="169" spans="1:4" ht="15.6" hidden="1" x14ac:dyDescent="0.35">
      <c r="A169" s="23" t="s">
        <v>139</v>
      </c>
      <c r="B169" s="34">
        <v>0</v>
      </c>
      <c r="C169" s="10"/>
      <c r="D169" s="11">
        <v>0</v>
      </c>
    </row>
    <row r="170" spans="1:4" ht="18" hidden="1" x14ac:dyDescent="0.35">
      <c r="A170" s="8" t="s">
        <v>140</v>
      </c>
      <c r="B170" s="34">
        <v>0</v>
      </c>
      <c r="C170" s="10"/>
      <c r="D170" s="11"/>
    </row>
    <row r="171" spans="1:4" ht="18.75" x14ac:dyDescent="0.25">
      <c r="A171" s="14" t="s">
        <v>141</v>
      </c>
      <c r="B171" s="34">
        <v>7</v>
      </c>
      <c r="C171" s="10">
        <v>10000</v>
      </c>
      <c r="D171" s="11">
        <f>+C171*B171</f>
        <v>70000</v>
      </c>
    </row>
    <row r="172" spans="1:4" ht="18" hidden="1" x14ac:dyDescent="0.35">
      <c r="A172" s="8" t="s">
        <v>142</v>
      </c>
      <c r="B172" s="34">
        <v>0</v>
      </c>
      <c r="C172" s="10"/>
      <c r="D172" s="11"/>
    </row>
    <row r="173" spans="1:4" ht="18" hidden="1" x14ac:dyDescent="0.35">
      <c r="A173" s="8" t="s">
        <v>143</v>
      </c>
      <c r="B173" s="34">
        <v>0</v>
      </c>
      <c r="C173" s="13"/>
      <c r="D173" s="11">
        <v>0</v>
      </c>
    </row>
    <row r="174" spans="1:4" ht="18" hidden="1" x14ac:dyDescent="0.35">
      <c r="A174" s="8"/>
      <c r="B174" s="34">
        <v>0</v>
      </c>
      <c r="C174" s="13">
        <v>4000</v>
      </c>
      <c r="D174" s="11">
        <v>720000</v>
      </c>
    </row>
    <row r="175" spans="1:4" ht="18" hidden="1" x14ac:dyDescent="0.35">
      <c r="A175" s="8" t="s">
        <v>144</v>
      </c>
      <c r="B175" s="34">
        <v>0</v>
      </c>
      <c r="C175" s="10">
        <v>13000</v>
      </c>
      <c r="D175" s="11">
        <v>2340000</v>
      </c>
    </row>
    <row r="176" spans="1:4" ht="18" hidden="1" x14ac:dyDescent="0.35">
      <c r="A176" s="8" t="s">
        <v>145</v>
      </c>
      <c r="B176" s="34">
        <v>0</v>
      </c>
      <c r="C176" s="12">
        <v>18000</v>
      </c>
      <c r="D176" s="11">
        <v>0</v>
      </c>
    </row>
    <row r="177" spans="1:4" ht="18" hidden="1" x14ac:dyDescent="0.35">
      <c r="A177" s="8" t="s">
        <v>146</v>
      </c>
      <c r="B177" s="34">
        <v>0</v>
      </c>
      <c r="C177" s="12"/>
      <c r="D177" s="11">
        <v>0</v>
      </c>
    </row>
    <row r="178" spans="1:4" ht="18" hidden="1" x14ac:dyDescent="0.35">
      <c r="A178" s="8" t="s">
        <v>147</v>
      </c>
      <c r="B178" s="34">
        <v>0</v>
      </c>
      <c r="C178" s="12"/>
      <c r="D178" s="11"/>
    </row>
    <row r="179" spans="1:4" ht="15.6" hidden="1" x14ac:dyDescent="0.35">
      <c r="A179" s="24" t="s">
        <v>148</v>
      </c>
      <c r="B179" s="34">
        <v>0</v>
      </c>
      <c r="C179" s="12"/>
      <c r="D179" s="11">
        <v>0</v>
      </c>
    </row>
    <row r="180" spans="1:4" ht="18" hidden="1" x14ac:dyDescent="0.35">
      <c r="A180" s="8" t="s">
        <v>149</v>
      </c>
      <c r="B180" s="34">
        <v>0</v>
      </c>
      <c r="C180" s="10"/>
      <c r="D180" s="11">
        <v>0</v>
      </c>
    </row>
    <row r="181" spans="1:4" ht="18" hidden="1" x14ac:dyDescent="0.35">
      <c r="A181" s="8" t="s">
        <v>150</v>
      </c>
      <c r="B181" s="34">
        <v>0</v>
      </c>
      <c r="C181" s="25"/>
      <c r="D181" s="11">
        <v>0</v>
      </c>
    </row>
    <row r="182" spans="1:4" ht="18" hidden="1" x14ac:dyDescent="0.35">
      <c r="A182" s="14" t="s">
        <v>151</v>
      </c>
      <c r="B182" s="34">
        <v>0</v>
      </c>
      <c r="C182" s="10"/>
      <c r="D182" s="11">
        <v>0</v>
      </c>
    </row>
    <row r="183" spans="1:4" ht="18" hidden="1" x14ac:dyDescent="0.35">
      <c r="A183" s="14" t="s">
        <v>152</v>
      </c>
      <c r="B183" s="34">
        <v>0</v>
      </c>
      <c r="C183" s="10"/>
      <c r="D183" s="11">
        <v>0</v>
      </c>
    </row>
    <row r="184" spans="1:4" ht="18" hidden="1" x14ac:dyDescent="0.35">
      <c r="A184" s="8" t="s">
        <v>153</v>
      </c>
      <c r="B184" s="34">
        <v>0</v>
      </c>
      <c r="C184" s="10"/>
      <c r="D184" s="11">
        <v>0</v>
      </c>
    </row>
    <row r="185" spans="1:4" ht="18" hidden="1" x14ac:dyDescent="0.35">
      <c r="A185" s="8" t="s">
        <v>154</v>
      </c>
      <c r="B185" s="34">
        <v>0</v>
      </c>
      <c r="C185" s="10"/>
      <c r="D185" s="11">
        <v>0</v>
      </c>
    </row>
    <row r="186" spans="1:4" ht="18.75" x14ac:dyDescent="0.25">
      <c r="A186" s="8" t="s">
        <v>155</v>
      </c>
      <c r="B186" s="34">
        <v>1</v>
      </c>
      <c r="C186" s="10">
        <v>26000</v>
      </c>
      <c r="D186" s="11">
        <f>+C186*B186</f>
        <v>26000</v>
      </c>
    </row>
    <row r="187" spans="1:4" ht="18" hidden="1" x14ac:dyDescent="0.35">
      <c r="A187" s="8" t="s">
        <v>156</v>
      </c>
      <c r="B187" s="34">
        <v>0</v>
      </c>
      <c r="C187" s="10"/>
      <c r="D187" s="11">
        <v>0</v>
      </c>
    </row>
    <row r="188" spans="1:4" ht="18.75" x14ac:dyDescent="0.25">
      <c r="A188" s="8" t="s">
        <v>157</v>
      </c>
      <c r="B188" s="34">
        <v>2</v>
      </c>
      <c r="C188" s="10">
        <v>15000</v>
      </c>
      <c r="D188" s="11">
        <f t="shared" ref="D188:D189" si="3">+C188*B188</f>
        <v>30000</v>
      </c>
    </row>
    <row r="189" spans="1:4" ht="18.75" x14ac:dyDescent="0.25">
      <c r="A189" s="8" t="s">
        <v>158</v>
      </c>
      <c r="B189" s="34">
        <v>2</v>
      </c>
      <c r="C189" s="10">
        <v>60000</v>
      </c>
      <c r="D189" s="11">
        <f t="shared" si="3"/>
        <v>120000</v>
      </c>
    </row>
    <row r="190" spans="1:4" ht="18" hidden="1" x14ac:dyDescent="0.35">
      <c r="A190" s="8" t="s">
        <v>159</v>
      </c>
      <c r="B190" s="34">
        <v>0</v>
      </c>
      <c r="C190" s="10"/>
      <c r="D190" s="11">
        <v>0</v>
      </c>
    </row>
    <row r="191" spans="1:4" ht="18" hidden="1" x14ac:dyDescent="0.35">
      <c r="A191" s="8" t="s">
        <v>160</v>
      </c>
      <c r="B191" s="34">
        <v>0</v>
      </c>
      <c r="C191" s="10"/>
      <c r="D191" s="11">
        <v>0</v>
      </c>
    </row>
    <row r="192" spans="1:4" ht="18" hidden="1" x14ac:dyDescent="0.35">
      <c r="A192" s="8" t="s">
        <v>161</v>
      </c>
      <c r="B192" s="34">
        <v>0</v>
      </c>
      <c r="C192" s="10">
        <v>30000</v>
      </c>
      <c r="D192" s="11">
        <v>300000</v>
      </c>
    </row>
    <row r="193" spans="1:4" ht="18" hidden="1" x14ac:dyDescent="0.35">
      <c r="A193" s="8" t="s">
        <v>162</v>
      </c>
      <c r="B193" s="34">
        <v>0</v>
      </c>
      <c r="C193" s="10"/>
      <c r="D193" s="11"/>
    </row>
    <row r="194" spans="1:4" ht="18" hidden="1" x14ac:dyDescent="0.35">
      <c r="A194" s="14" t="s">
        <v>163</v>
      </c>
      <c r="B194" s="34">
        <v>0</v>
      </c>
      <c r="C194" s="15"/>
      <c r="D194" s="11">
        <v>0</v>
      </c>
    </row>
    <row r="195" spans="1:4" ht="18" hidden="1" x14ac:dyDescent="0.35">
      <c r="A195" s="14" t="s">
        <v>164</v>
      </c>
      <c r="B195" s="34">
        <v>0</v>
      </c>
      <c r="C195" s="15"/>
      <c r="D195" s="11"/>
    </row>
    <row r="196" spans="1:4" ht="18.75" x14ac:dyDescent="0.25">
      <c r="A196" s="8" t="s">
        <v>165</v>
      </c>
      <c r="B196" s="34">
        <v>50</v>
      </c>
      <c r="C196" s="10">
        <v>25000</v>
      </c>
      <c r="D196" s="11">
        <f>+C196*B196</f>
        <v>1250000</v>
      </c>
    </row>
    <row r="197" spans="1:4" ht="18" hidden="1" x14ac:dyDescent="0.35">
      <c r="A197" s="26" t="s">
        <v>166</v>
      </c>
      <c r="B197" s="34">
        <v>0</v>
      </c>
      <c r="C197" s="10"/>
      <c r="D197" s="11">
        <v>0</v>
      </c>
    </row>
    <row r="198" spans="1:4" ht="18" hidden="1" x14ac:dyDescent="0.35">
      <c r="A198" s="8" t="s">
        <v>167</v>
      </c>
      <c r="B198" s="34">
        <v>0</v>
      </c>
      <c r="C198" s="10"/>
      <c r="D198" s="11">
        <v>0</v>
      </c>
    </row>
    <row r="199" spans="1:4" ht="18" hidden="1" x14ac:dyDescent="0.35">
      <c r="A199" s="8" t="s">
        <v>168</v>
      </c>
      <c r="B199" s="34">
        <v>0</v>
      </c>
      <c r="C199" s="12">
        <v>15000</v>
      </c>
      <c r="D199" s="11">
        <v>7350000</v>
      </c>
    </row>
    <row r="200" spans="1:4" ht="18" hidden="1" x14ac:dyDescent="0.35">
      <c r="A200" s="8" t="s">
        <v>169</v>
      </c>
      <c r="B200" s="34">
        <v>0</v>
      </c>
      <c r="C200" s="10"/>
      <c r="D200" s="11">
        <v>0</v>
      </c>
    </row>
    <row r="201" spans="1:4" ht="18" hidden="1" x14ac:dyDescent="0.35">
      <c r="A201" s="8" t="s">
        <v>170</v>
      </c>
      <c r="B201" s="34">
        <v>0</v>
      </c>
      <c r="C201" s="10"/>
      <c r="D201" s="11">
        <v>0</v>
      </c>
    </row>
    <row r="202" spans="1:4" ht="18" hidden="1" x14ac:dyDescent="0.35">
      <c r="A202" s="8" t="s">
        <v>171</v>
      </c>
      <c r="B202" s="34">
        <v>0</v>
      </c>
      <c r="C202" s="13">
        <v>6100</v>
      </c>
      <c r="D202" s="11">
        <v>335500</v>
      </c>
    </row>
    <row r="203" spans="1:4" ht="18" hidden="1" x14ac:dyDescent="0.35">
      <c r="A203" s="8" t="s">
        <v>172</v>
      </c>
      <c r="B203" s="34">
        <v>0</v>
      </c>
      <c r="C203" s="13"/>
      <c r="D203" s="11"/>
    </row>
    <row r="204" spans="1:4" ht="18" hidden="1" x14ac:dyDescent="0.35">
      <c r="A204" s="8" t="s">
        <v>173</v>
      </c>
      <c r="B204" s="34">
        <v>0</v>
      </c>
      <c r="C204" s="13">
        <v>25000</v>
      </c>
      <c r="D204" s="11">
        <v>400000</v>
      </c>
    </row>
    <row r="205" spans="1:4" ht="18" hidden="1" x14ac:dyDescent="0.35">
      <c r="A205" s="8" t="s">
        <v>174</v>
      </c>
      <c r="B205" s="34">
        <v>0</v>
      </c>
      <c r="C205" s="13">
        <v>6100</v>
      </c>
      <c r="D205" s="11">
        <v>0</v>
      </c>
    </row>
    <row r="206" spans="1:4" ht="18" hidden="1" x14ac:dyDescent="0.35">
      <c r="A206" s="8" t="s">
        <v>175</v>
      </c>
      <c r="B206" s="34">
        <v>0</v>
      </c>
      <c r="C206" s="13"/>
      <c r="D206" s="11"/>
    </row>
    <row r="207" spans="1:4" ht="18" hidden="1" x14ac:dyDescent="0.35">
      <c r="A207" s="8" t="s">
        <v>176</v>
      </c>
      <c r="B207" s="34">
        <v>0</v>
      </c>
      <c r="C207" s="13"/>
      <c r="D207" s="11">
        <v>0</v>
      </c>
    </row>
    <row r="208" spans="1:4" ht="18" hidden="1" x14ac:dyDescent="0.35">
      <c r="A208" s="8" t="s">
        <v>177</v>
      </c>
      <c r="B208" s="34">
        <v>0</v>
      </c>
      <c r="C208" s="12"/>
      <c r="D208" s="11">
        <v>0</v>
      </c>
    </row>
    <row r="209" spans="1:4" ht="18" hidden="1" x14ac:dyDescent="0.35">
      <c r="A209" s="27" t="s">
        <v>178</v>
      </c>
      <c r="B209" s="34">
        <v>0</v>
      </c>
      <c r="C209" s="12">
        <v>27000</v>
      </c>
      <c r="D209" s="11"/>
    </row>
    <row r="210" spans="1:4" ht="18" hidden="1" x14ac:dyDescent="0.35">
      <c r="A210" s="27" t="s">
        <v>179</v>
      </c>
      <c r="B210" s="34">
        <v>0</v>
      </c>
      <c r="C210" s="13">
        <v>6100</v>
      </c>
      <c r="D210" s="11">
        <v>4331000</v>
      </c>
    </row>
    <row r="211" spans="1:4" ht="18" hidden="1" x14ac:dyDescent="0.35">
      <c r="A211" s="27" t="s">
        <v>180</v>
      </c>
      <c r="B211" s="34">
        <v>0</v>
      </c>
      <c r="C211" s="13"/>
      <c r="D211" s="11"/>
    </row>
    <row r="212" spans="1:4" ht="18" hidden="1" x14ac:dyDescent="0.35">
      <c r="A212" s="27" t="s">
        <v>181</v>
      </c>
      <c r="B212" s="34">
        <v>0</v>
      </c>
      <c r="C212" s="12"/>
      <c r="D212" s="11">
        <v>0</v>
      </c>
    </row>
    <row r="213" spans="1:4" ht="18" hidden="1" x14ac:dyDescent="0.35">
      <c r="A213" s="27" t="s">
        <v>182</v>
      </c>
      <c r="B213" s="34">
        <v>0</v>
      </c>
      <c r="C213" s="12"/>
      <c r="D213" s="11"/>
    </row>
    <row r="214" spans="1:4" ht="18" hidden="1" x14ac:dyDescent="0.35">
      <c r="A214" s="8" t="s">
        <v>183</v>
      </c>
      <c r="B214" s="34">
        <v>0</v>
      </c>
      <c r="C214" s="13">
        <v>5500</v>
      </c>
      <c r="D214" s="11">
        <v>2200000</v>
      </c>
    </row>
    <row r="215" spans="1:4" ht="18" hidden="1" x14ac:dyDescent="0.35">
      <c r="A215" s="8" t="s">
        <v>184</v>
      </c>
      <c r="B215" s="34">
        <v>0</v>
      </c>
      <c r="C215" s="13">
        <v>6100</v>
      </c>
      <c r="D215" s="11">
        <v>1464000</v>
      </c>
    </row>
    <row r="216" spans="1:4" ht="18" hidden="1" x14ac:dyDescent="0.35">
      <c r="A216" s="8" t="s">
        <v>185</v>
      </c>
      <c r="B216" s="34">
        <v>0</v>
      </c>
      <c r="C216" s="13">
        <v>25000</v>
      </c>
      <c r="D216" s="11">
        <v>1550000</v>
      </c>
    </row>
    <row r="217" spans="1:4" ht="18" hidden="1" x14ac:dyDescent="0.35">
      <c r="A217" s="8" t="s">
        <v>186</v>
      </c>
      <c r="B217" s="34">
        <v>0</v>
      </c>
      <c r="C217" s="13">
        <v>25000</v>
      </c>
      <c r="D217" s="11">
        <v>0</v>
      </c>
    </row>
    <row r="218" spans="1:4" ht="18" hidden="1" x14ac:dyDescent="0.35">
      <c r="A218" s="8" t="s">
        <v>187</v>
      </c>
      <c r="B218" s="34">
        <v>0</v>
      </c>
      <c r="C218" s="13"/>
      <c r="D218" s="11"/>
    </row>
    <row r="219" spans="1:4" ht="18" hidden="1" x14ac:dyDescent="0.35">
      <c r="A219" s="8" t="s">
        <v>188</v>
      </c>
      <c r="B219" s="34">
        <v>0</v>
      </c>
      <c r="C219" s="10">
        <v>11000</v>
      </c>
      <c r="D219" s="11">
        <v>1650000</v>
      </c>
    </row>
    <row r="220" spans="1:4" ht="18" hidden="1" x14ac:dyDescent="0.35">
      <c r="A220" s="8" t="s">
        <v>189</v>
      </c>
      <c r="B220" s="34">
        <v>0</v>
      </c>
      <c r="C220" s="13"/>
      <c r="D220" s="11"/>
    </row>
    <row r="221" spans="1:4" ht="18" hidden="1" x14ac:dyDescent="0.35">
      <c r="A221" s="8" t="s">
        <v>190</v>
      </c>
      <c r="B221" s="34">
        <v>0</v>
      </c>
      <c r="C221" s="12"/>
      <c r="D221" s="11">
        <v>0</v>
      </c>
    </row>
    <row r="222" spans="1:4" ht="18" hidden="1" x14ac:dyDescent="0.35">
      <c r="A222" s="8" t="s">
        <v>191</v>
      </c>
      <c r="B222" s="34">
        <v>0</v>
      </c>
      <c r="C222" s="10"/>
      <c r="D222" s="11"/>
    </row>
    <row r="223" spans="1:4" ht="18" hidden="1" x14ac:dyDescent="0.35">
      <c r="A223" s="8" t="s">
        <v>192</v>
      </c>
      <c r="B223" s="34">
        <v>0</v>
      </c>
      <c r="C223" s="13"/>
      <c r="D223" s="11"/>
    </row>
    <row r="224" spans="1:4" ht="18" hidden="1" x14ac:dyDescent="0.35">
      <c r="A224" s="8"/>
      <c r="B224" s="34">
        <v>0</v>
      </c>
      <c r="C224" s="13">
        <v>33000</v>
      </c>
      <c r="D224" s="11">
        <v>2178000</v>
      </c>
    </row>
    <row r="225" spans="1:4" ht="18" hidden="1" x14ac:dyDescent="0.35">
      <c r="A225" s="8"/>
      <c r="B225" s="34">
        <v>0</v>
      </c>
      <c r="C225" s="13">
        <v>33000</v>
      </c>
      <c r="D225" s="11">
        <v>1848000</v>
      </c>
    </row>
    <row r="226" spans="1:4" ht="18" hidden="1" x14ac:dyDescent="0.35">
      <c r="A226" s="8"/>
      <c r="B226" s="34">
        <v>0</v>
      </c>
      <c r="C226" s="13">
        <v>33000</v>
      </c>
      <c r="D226" s="11">
        <v>1518000</v>
      </c>
    </row>
    <row r="227" spans="1:4" ht="18" hidden="1" x14ac:dyDescent="0.35">
      <c r="A227" s="8"/>
      <c r="B227" s="34">
        <v>0</v>
      </c>
      <c r="C227" s="13">
        <v>33000</v>
      </c>
      <c r="D227" s="11">
        <v>1320000</v>
      </c>
    </row>
    <row r="228" spans="1:4" ht="18" hidden="1" x14ac:dyDescent="0.35">
      <c r="A228" s="8" t="s">
        <v>193</v>
      </c>
      <c r="B228" s="34">
        <v>0</v>
      </c>
      <c r="C228" s="10">
        <v>18000</v>
      </c>
      <c r="D228" s="11">
        <v>0</v>
      </c>
    </row>
    <row r="229" spans="1:4" ht="18" hidden="1" x14ac:dyDescent="0.35">
      <c r="A229" s="8" t="s">
        <v>194</v>
      </c>
      <c r="B229" s="34">
        <v>0</v>
      </c>
      <c r="C229" s="10">
        <v>29000</v>
      </c>
      <c r="D229" s="11">
        <v>1450000</v>
      </c>
    </row>
    <row r="230" spans="1:4" ht="18" hidden="1" x14ac:dyDescent="0.35">
      <c r="A230" s="8"/>
      <c r="B230" s="34">
        <v>0</v>
      </c>
      <c r="C230" s="10">
        <v>29000</v>
      </c>
      <c r="D230" s="11">
        <v>1798000</v>
      </c>
    </row>
    <row r="231" spans="1:4" ht="18" hidden="1" x14ac:dyDescent="0.35">
      <c r="A231" s="8"/>
      <c r="B231" s="34">
        <v>0</v>
      </c>
      <c r="C231" s="10">
        <v>29000</v>
      </c>
      <c r="D231" s="11">
        <v>2929000</v>
      </c>
    </row>
    <row r="232" spans="1:4" ht="18" hidden="1" x14ac:dyDescent="0.35">
      <c r="A232" s="8" t="s">
        <v>195</v>
      </c>
      <c r="B232" s="34">
        <v>0</v>
      </c>
      <c r="C232" s="10"/>
      <c r="D232" s="11"/>
    </row>
    <row r="233" spans="1:4" ht="18" hidden="1" x14ac:dyDescent="0.35">
      <c r="A233" s="8"/>
      <c r="B233" s="34">
        <v>0</v>
      </c>
      <c r="C233" s="10">
        <v>28000</v>
      </c>
      <c r="D233" s="11">
        <v>1568000</v>
      </c>
    </row>
    <row r="234" spans="1:4" ht="18.75" x14ac:dyDescent="0.25">
      <c r="A234" s="14" t="s">
        <v>196</v>
      </c>
      <c r="B234" s="34">
        <v>4</v>
      </c>
      <c r="C234" s="12">
        <v>3000</v>
      </c>
      <c r="D234" s="11">
        <f t="shared" ref="D234:D235" si="4">+C234*B234</f>
        <v>12000</v>
      </c>
    </row>
    <row r="235" spans="1:4" ht="18.75" x14ac:dyDescent="0.25">
      <c r="A235" s="14" t="s">
        <v>197</v>
      </c>
      <c r="B235" s="34">
        <v>5</v>
      </c>
      <c r="C235" s="10">
        <v>12000</v>
      </c>
      <c r="D235" s="11">
        <f t="shared" si="4"/>
        <v>60000</v>
      </c>
    </row>
    <row r="236" spans="1:4" ht="18" hidden="1" x14ac:dyDescent="0.35">
      <c r="A236" s="8" t="s">
        <v>198</v>
      </c>
      <c r="B236" s="34">
        <v>0</v>
      </c>
      <c r="C236" s="10">
        <v>6000</v>
      </c>
      <c r="D236" s="11">
        <v>1920000</v>
      </c>
    </row>
    <row r="237" spans="1:4" ht="18" hidden="1" x14ac:dyDescent="0.35">
      <c r="A237" s="8" t="s">
        <v>199</v>
      </c>
      <c r="B237" s="34">
        <v>0</v>
      </c>
      <c r="C237" s="12">
        <v>14000</v>
      </c>
      <c r="D237" s="11">
        <v>1400000</v>
      </c>
    </row>
    <row r="238" spans="1:4" ht="18" hidden="1" x14ac:dyDescent="0.35">
      <c r="A238" s="8" t="s">
        <v>200</v>
      </c>
      <c r="B238" s="34">
        <v>0</v>
      </c>
      <c r="C238" s="12"/>
      <c r="D238" s="11">
        <v>0</v>
      </c>
    </row>
    <row r="239" spans="1:4" ht="18" hidden="1" x14ac:dyDescent="0.35">
      <c r="A239" s="8" t="s">
        <v>201</v>
      </c>
      <c r="B239" s="34">
        <v>0</v>
      </c>
      <c r="C239" s="19"/>
      <c r="D239" s="11">
        <v>0</v>
      </c>
    </row>
    <row r="240" spans="1:4" ht="18" hidden="1" x14ac:dyDescent="0.35">
      <c r="A240" s="8" t="s">
        <v>202</v>
      </c>
      <c r="B240" s="34">
        <v>0</v>
      </c>
      <c r="C240" s="12">
        <v>12000</v>
      </c>
      <c r="D240" s="11">
        <v>1512000</v>
      </c>
    </row>
    <row r="241" spans="1:4" ht="18" hidden="1" x14ac:dyDescent="0.35">
      <c r="A241" s="8" t="s">
        <v>203</v>
      </c>
      <c r="B241" s="34">
        <v>0</v>
      </c>
      <c r="C241" s="12"/>
      <c r="D241" s="11">
        <v>0</v>
      </c>
    </row>
    <row r="242" spans="1:4" ht="18.75" x14ac:dyDescent="0.25">
      <c r="A242" s="8" t="s">
        <v>204</v>
      </c>
      <c r="B242" s="34">
        <v>1920</v>
      </c>
      <c r="C242" s="13">
        <v>7000</v>
      </c>
      <c r="D242" s="11">
        <f t="shared" ref="D242:D243" si="5">+C242*B242</f>
        <v>13440000</v>
      </c>
    </row>
    <row r="243" spans="1:4" ht="18.75" x14ac:dyDescent="0.25">
      <c r="A243" s="8" t="s">
        <v>205</v>
      </c>
      <c r="B243" s="34">
        <v>20</v>
      </c>
      <c r="C243" s="10">
        <v>15000</v>
      </c>
      <c r="D243" s="11">
        <f t="shared" si="5"/>
        <v>300000</v>
      </c>
    </row>
    <row r="244" spans="1:4" ht="18" hidden="1" x14ac:dyDescent="0.35">
      <c r="A244" s="8"/>
      <c r="B244" s="34">
        <v>0</v>
      </c>
      <c r="C244" s="10">
        <v>10000</v>
      </c>
      <c r="D244" s="11">
        <v>1400000</v>
      </c>
    </row>
    <row r="245" spans="1:4" ht="18" hidden="1" x14ac:dyDescent="0.35">
      <c r="A245" s="8"/>
      <c r="B245" s="34">
        <v>0</v>
      </c>
      <c r="C245" s="10">
        <v>9500</v>
      </c>
      <c r="D245" s="11">
        <v>4750000</v>
      </c>
    </row>
    <row r="246" spans="1:4" ht="18" hidden="1" x14ac:dyDescent="0.35">
      <c r="A246" s="8" t="s">
        <v>206</v>
      </c>
      <c r="B246" s="34">
        <v>0</v>
      </c>
      <c r="C246" s="13"/>
      <c r="D246" s="11"/>
    </row>
    <row r="247" spans="1:4" ht="18" hidden="1" x14ac:dyDescent="0.35">
      <c r="A247" s="8" t="s">
        <v>207</v>
      </c>
      <c r="B247" s="34">
        <v>0</v>
      </c>
      <c r="C247" s="13"/>
      <c r="D247" s="11"/>
    </row>
    <row r="248" spans="1:4" ht="18" hidden="1" x14ac:dyDescent="0.35">
      <c r="A248" s="8" t="s">
        <v>208</v>
      </c>
      <c r="B248" s="34">
        <v>0</v>
      </c>
      <c r="C248" s="13"/>
      <c r="D248" s="11"/>
    </row>
    <row r="249" spans="1:4" ht="18" hidden="1" x14ac:dyDescent="0.35">
      <c r="A249" s="14" t="s">
        <v>209</v>
      </c>
      <c r="B249" s="34">
        <v>0</v>
      </c>
      <c r="C249" s="10"/>
      <c r="D249" s="11">
        <v>0</v>
      </c>
    </row>
    <row r="250" spans="1:4" ht="18" hidden="1" x14ac:dyDescent="0.35">
      <c r="A250" s="8" t="s">
        <v>210</v>
      </c>
      <c r="B250" s="34">
        <v>0</v>
      </c>
      <c r="C250" s="12"/>
      <c r="D250" s="11">
        <v>0</v>
      </c>
    </row>
    <row r="251" spans="1:4" ht="18" hidden="1" x14ac:dyDescent="0.35">
      <c r="A251" s="8" t="s">
        <v>211</v>
      </c>
      <c r="B251" s="34">
        <v>0</v>
      </c>
      <c r="C251" s="13"/>
      <c r="D251" s="11"/>
    </row>
    <row r="252" spans="1:4" ht="18" hidden="1" x14ac:dyDescent="0.35">
      <c r="A252" s="8" t="s">
        <v>212</v>
      </c>
      <c r="B252" s="34">
        <v>0</v>
      </c>
      <c r="C252" s="13"/>
      <c r="D252" s="11"/>
    </row>
    <row r="253" spans="1:4" ht="18" hidden="1" x14ac:dyDescent="0.35">
      <c r="A253" s="8" t="s">
        <v>213</v>
      </c>
      <c r="B253" s="34">
        <v>0</v>
      </c>
      <c r="C253" s="13"/>
      <c r="D253" s="11"/>
    </row>
    <row r="254" spans="1:4" ht="18" hidden="1" x14ac:dyDescent="0.35">
      <c r="A254" s="8" t="s">
        <v>214</v>
      </c>
      <c r="B254" s="34">
        <v>0</v>
      </c>
      <c r="C254" s="13"/>
      <c r="D254" s="11"/>
    </row>
    <row r="255" spans="1:4" ht="18.75" x14ac:dyDescent="0.25">
      <c r="A255" s="28"/>
      <c r="B255" s="29">
        <v>5365</v>
      </c>
      <c r="C255" s="29">
        <v>2383200</v>
      </c>
      <c r="D255" s="29">
        <f>SUBTOTAL(9,D5:D243)</f>
        <v>70322000</v>
      </c>
    </row>
    <row r="256" spans="1:4" ht="15" x14ac:dyDescent="0.25">
      <c r="A256" s="31"/>
      <c r="B256" s="31"/>
      <c r="C256" s="31"/>
      <c r="D256" s="32"/>
    </row>
    <row r="257" spans="1:4" ht="15" x14ac:dyDescent="0.25">
      <c r="A257" s="31"/>
      <c r="B257" s="31"/>
      <c r="C257" s="31"/>
      <c r="D257" s="32"/>
    </row>
  </sheetData>
  <protectedRanges>
    <protectedRange password="CCD0" sqref="B256:B65536 B1:B254" name="tho3"/>
    <protectedRange password="CC4C" sqref="C256:C65536 C1:C254" name="tho5"/>
  </protectedRanges>
  <autoFilter ref="A2:D255">
    <filterColumn colId="1">
      <filters blank="1">
        <filter val="1,027.0"/>
        <filter val="1,880.0"/>
        <filter val="1,920.0"/>
        <filter val="1.0"/>
        <filter val="10.0"/>
        <filter val="11.0"/>
        <filter val="12.0"/>
        <filter val="13.0"/>
        <filter val="141.0"/>
        <filter val="15.0"/>
        <filter val="2.0"/>
        <filter val="20.0"/>
        <filter val="22.0"/>
        <filter val="27.0"/>
        <filter val="3.0"/>
        <filter val="30.0"/>
        <filter val="4.0"/>
        <filter val="46.0"/>
        <filter val="5,365"/>
        <filter val="5.0"/>
        <filter val="50.0"/>
        <filter val="6.0"/>
        <filter val="7.0"/>
        <filter val="85.0"/>
      </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workbookViewId="0">
      <selection activeCell="G83" sqref="G83"/>
    </sheetView>
  </sheetViews>
  <sheetFormatPr defaultRowHeight="15" x14ac:dyDescent="0.25"/>
  <cols>
    <col min="1" max="1" width="22.7109375" customWidth="1"/>
    <col min="3" max="3" width="14" customWidth="1"/>
    <col min="4" max="4" width="18.28515625" customWidth="1"/>
  </cols>
  <sheetData>
    <row r="1" spans="1:4" x14ac:dyDescent="0.25">
      <c r="A1" s="1" t="s">
        <v>231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B4*C4</f>
        <v>0</v>
      </c>
    </row>
    <row r="5" spans="1:4" ht="18" hidden="1" x14ac:dyDescent="0.35">
      <c r="A5" s="8" t="s">
        <v>6</v>
      </c>
      <c r="B5" s="9"/>
      <c r="C5" s="10">
        <v>7000</v>
      </c>
      <c r="D5" s="11">
        <f t="shared" ref="D5:D68" si="0">B5*C5</f>
        <v>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" hidden="1" x14ac:dyDescent="0.35">
      <c r="A10" s="8" t="s">
        <v>11</v>
      </c>
      <c r="B10" s="9"/>
      <c r="C10" s="10"/>
      <c r="D10" s="11">
        <f t="shared" si="0"/>
        <v>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f>22+11</f>
        <v>33</v>
      </c>
      <c r="C16" s="10">
        <v>16000</v>
      </c>
      <c r="D16" s="11">
        <f t="shared" si="0"/>
        <v>528000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/>
      <c r="B30" s="9"/>
      <c r="C30" s="10"/>
      <c r="D30" s="11">
        <f t="shared" si="0"/>
        <v>0</v>
      </c>
    </row>
    <row r="31" spans="1:4" ht="18" hidden="1" x14ac:dyDescent="0.35">
      <c r="A31" s="8" t="s">
        <v>31</v>
      </c>
      <c r="B31" s="9"/>
      <c r="C31" s="10"/>
      <c r="D31" s="11">
        <f t="shared" si="0"/>
        <v>0</v>
      </c>
    </row>
    <row r="32" spans="1:4" ht="18" hidden="1" x14ac:dyDescent="0.35">
      <c r="A32" s="14" t="s">
        <v>32</v>
      </c>
      <c r="B32" s="9"/>
      <c r="C32" s="10"/>
      <c r="D32" s="11">
        <f t="shared" si="0"/>
        <v>0</v>
      </c>
    </row>
    <row r="33" spans="1:4" ht="18" hidden="1" x14ac:dyDescent="0.35">
      <c r="A33" s="8" t="s">
        <v>33</v>
      </c>
      <c r="B33" s="9"/>
      <c r="C33" s="13"/>
      <c r="D33" s="11">
        <f t="shared" si="0"/>
        <v>0</v>
      </c>
    </row>
    <row r="34" spans="1:4" ht="18" hidden="1" x14ac:dyDescent="0.35">
      <c r="A34" s="8" t="s">
        <v>34</v>
      </c>
      <c r="B34" s="9"/>
      <c r="C34" s="10"/>
      <c r="D34" s="11">
        <f t="shared" si="0"/>
        <v>0</v>
      </c>
    </row>
    <row r="35" spans="1:4" ht="18" hidden="1" x14ac:dyDescent="0.35">
      <c r="A35" s="8" t="s">
        <v>35</v>
      </c>
      <c r="B35" s="9"/>
      <c r="C35" s="15">
        <v>110000</v>
      </c>
      <c r="D35" s="11">
        <f t="shared" si="0"/>
        <v>0</v>
      </c>
    </row>
    <row r="36" spans="1:4" ht="18" hidden="1" x14ac:dyDescent="0.35">
      <c r="A36" s="8" t="s">
        <v>36</v>
      </c>
      <c r="B36" s="9"/>
      <c r="C36" s="10"/>
      <c r="D36" s="11">
        <f t="shared" si="0"/>
        <v>0</v>
      </c>
    </row>
    <row r="37" spans="1:4" ht="18" hidden="1" x14ac:dyDescent="0.35">
      <c r="A37" s="14" t="s">
        <v>37</v>
      </c>
      <c r="B37" s="9"/>
      <c r="C37" s="12">
        <v>20000</v>
      </c>
      <c r="D37" s="11">
        <f t="shared" si="0"/>
        <v>0</v>
      </c>
    </row>
    <row r="38" spans="1:4" ht="18" hidden="1" x14ac:dyDescent="0.35">
      <c r="A38" s="14" t="s">
        <v>38</v>
      </c>
      <c r="B38" s="9"/>
      <c r="C38" s="10"/>
      <c r="D38" s="11">
        <f t="shared" si="0"/>
        <v>0</v>
      </c>
    </row>
    <row r="39" spans="1:4" ht="18" hidden="1" x14ac:dyDescent="0.35">
      <c r="A39" s="8" t="s">
        <v>39</v>
      </c>
      <c r="B39" s="9"/>
      <c r="C39" s="10"/>
      <c r="D39" s="11">
        <f t="shared" si="0"/>
        <v>0</v>
      </c>
    </row>
    <row r="40" spans="1:4" ht="18" hidden="1" x14ac:dyDescent="0.35">
      <c r="A40" s="14" t="s">
        <v>40</v>
      </c>
      <c r="B40" s="9"/>
      <c r="C40" s="10"/>
      <c r="D40" s="11">
        <f t="shared" si="0"/>
        <v>0</v>
      </c>
    </row>
    <row r="41" spans="1:4" ht="18" hidden="1" x14ac:dyDescent="0.35">
      <c r="A41" s="8" t="s">
        <v>41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3"/>
      <c r="D42" s="11">
        <f t="shared" si="0"/>
        <v>0</v>
      </c>
    </row>
    <row r="43" spans="1:4" ht="18" hidden="1" x14ac:dyDescent="0.35">
      <c r="A43" s="16" t="s">
        <v>43</v>
      </c>
      <c r="B43" s="9"/>
      <c r="C43" s="10"/>
      <c r="D43" s="11">
        <f t="shared" si="0"/>
        <v>0</v>
      </c>
    </row>
    <row r="44" spans="1:4" ht="18.75" x14ac:dyDescent="0.25">
      <c r="A44" s="8" t="s">
        <v>44</v>
      </c>
      <c r="B44" s="9">
        <v>5</v>
      </c>
      <c r="C44" s="10">
        <v>18000</v>
      </c>
      <c r="D44" s="11">
        <f t="shared" si="0"/>
        <v>90000</v>
      </c>
    </row>
    <row r="45" spans="1:4" ht="18" hidden="1" x14ac:dyDescent="0.35">
      <c r="A45" s="8" t="s">
        <v>45</v>
      </c>
      <c r="B45" s="9"/>
      <c r="C45" s="10"/>
      <c r="D45" s="11">
        <f t="shared" si="0"/>
        <v>0</v>
      </c>
    </row>
    <row r="46" spans="1:4" ht="18" hidden="1" x14ac:dyDescent="0.35">
      <c r="A46" s="8" t="s">
        <v>46</v>
      </c>
      <c r="B46" s="9"/>
      <c r="C46" s="12"/>
      <c r="D46" s="11">
        <f t="shared" si="0"/>
        <v>0</v>
      </c>
    </row>
    <row r="47" spans="1:4" ht="18" hidden="1" x14ac:dyDescent="0.35">
      <c r="A47" s="8" t="s">
        <v>47</v>
      </c>
      <c r="B47" s="9"/>
      <c r="C47" s="12"/>
      <c r="D47" s="11">
        <f t="shared" si="0"/>
        <v>0</v>
      </c>
    </row>
    <row r="48" spans="1:4" ht="18.75" x14ac:dyDescent="0.25">
      <c r="A48" s="8" t="s">
        <v>48</v>
      </c>
      <c r="B48" s="9">
        <v>13</v>
      </c>
      <c r="C48" s="10">
        <v>15000</v>
      </c>
      <c r="D48" s="11">
        <f t="shared" si="0"/>
        <v>195000</v>
      </c>
    </row>
    <row r="49" spans="1:4" ht="18" hidden="1" x14ac:dyDescent="0.35">
      <c r="A49" s="8" t="s">
        <v>49</v>
      </c>
      <c r="B49" s="9"/>
      <c r="C49" s="10"/>
      <c r="D49" s="11">
        <f t="shared" si="0"/>
        <v>0</v>
      </c>
    </row>
    <row r="50" spans="1:4" ht="18" hidden="1" x14ac:dyDescent="0.35">
      <c r="A50" s="8" t="s">
        <v>50</v>
      </c>
      <c r="B50" s="9"/>
      <c r="C50" s="10"/>
      <c r="D50" s="11">
        <f t="shared" si="0"/>
        <v>0</v>
      </c>
    </row>
    <row r="51" spans="1:4" ht="18" hidden="1" x14ac:dyDescent="0.35">
      <c r="A51" s="8"/>
      <c r="B51" s="9"/>
      <c r="C51" s="10"/>
      <c r="D51" s="11">
        <f t="shared" si="0"/>
        <v>0</v>
      </c>
    </row>
    <row r="52" spans="1:4" ht="18" hidden="1" x14ac:dyDescent="0.35">
      <c r="A52" s="8"/>
      <c r="B52" s="9"/>
      <c r="C52" s="10"/>
      <c r="D52" s="11">
        <f t="shared" si="0"/>
        <v>0</v>
      </c>
    </row>
    <row r="53" spans="1:4" ht="18" hidden="1" x14ac:dyDescent="0.35">
      <c r="A53" s="8" t="s">
        <v>51</v>
      </c>
      <c r="B53" s="9"/>
      <c r="C53" s="10"/>
      <c r="D53" s="11">
        <f t="shared" si="0"/>
        <v>0</v>
      </c>
    </row>
    <row r="54" spans="1:4" ht="18" hidden="1" x14ac:dyDescent="0.35">
      <c r="A54" s="8" t="s">
        <v>52</v>
      </c>
      <c r="B54" s="9"/>
      <c r="C54" s="12"/>
      <c r="D54" s="11">
        <f t="shared" si="0"/>
        <v>0</v>
      </c>
    </row>
    <row r="55" spans="1:4" ht="18" hidden="1" x14ac:dyDescent="0.35">
      <c r="A55" s="8" t="s">
        <v>53</v>
      </c>
      <c r="B55" s="9"/>
      <c r="C55" s="10"/>
      <c r="D55" s="11">
        <f t="shared" si="0"/>
        <v>0</v>
      </c>
    </row>
    <row r="56" spans="1:4" ht="18" hidden="1" x14ac:dyDescent="0.35">
      <c r="A56" s="8" t="s">
        <v>54</v>
      </c>
      <c r="B56" s="9"/>
      <c r="C56" s="10"/>
      <c r="D56" s="11">
        <f t="shared" si="0"/>
        <v>0</v>
      </c>
    </row>
    <row r="57" spans="1:4" ht="18" hidden="1" x14ac:dyDescent="0.35">
      <c r="A57" s="8" t="s">
        <v>55</v>
      </c>
      <c r="B57" s="9"/>
      <c r="C57" s="10"/>
      <c r="D57" s="11">
        <f t="shared" si="0"/>
        <v>0</v>
      </c>
    </row>
    <row r="58" spans="1:4" ht="18" hidden="1" x14ac:dyDescent="0.35">
      <c r="A58" s="14" t="s">
        <v>56</v>
      </c>
      <c r="B58" s="9"/>
      <c r="C58" s="10"/>
      <c r="D58" s="11">
        <f t="shared" si="0"/>
        <v>0</v>
      </c>
    </row>
    <row r="59" spans="1:4" ht="18" hidden="1" x14ac:dyDescent="0.35">
      <c r="A59" s="8" t="s">
        <v>57</v>
      </c>
      <c r="B59" s="9"/>
      <c r="C59" s="10"/>
      <c r="D59" s="11">
        <f t="shared" si="0"/>
        <v>0</v>
      </c>
    </row>
    <row r="60" spans="1:4" ht="18" hidden="1" x14ac:dyDescent="0.35">
      <c r="A60" s="8"/>
      <c r="B60" s="9"/>
      <c r="C60" s="10"/>
      <c r="D60" s="11">
        <f t="shared" si="0"/>
        <v>0</v>
      </c>
    </row>
    <row r="61" spans="1:4" ht="18" hidden="1" x14ac:dyDescent="0.35">
      <c r="A61" s="8"/>
      <c r="B61" s="9"/>
      <c r="C61" s="10"/>
      <c r="D61" s="11">
        <f t="shared" si="0"/>
        <v>0</v>
      </c>
    </row>
    <row r="62" spans="1:4" ht="18" hidden="1" x14ac:dyDescent="0.35">
      <c r="A62" s="8" t="s">
        <v>58</v>
      </c>
      <c r="B62" s="9"/>
      <c r="C62" s="13"/>
      <c r="D62" s="11">
        <f t="shared" si="0"/>
        <v>0</v>
      </c>
    </row>
    <row r="63" spans="1:4" ht="18" hidden="1" x14ac:dyDescent="0.35">
      <c r="A63" s="14" t="s">
        <v>59</v>
      </c>
      <c r="B63" s="9"/>
      <c r="C63" s="10"/>
      <c r="D63" s="11">
        <f t="shared" si="0"/>
        <v>0</v>
      </c>
    </row>
    <row r="64" spans="1:4" ht="18" hidden="1" x14ac:dyDescent="0.35">
      <c r="A64" s="8" t="s">
        <v>60</v>
      </c>
      <c r="B64" s="9"/>
      <c r="C64" s="12">
        <v>15000</v>
      </c>
      <c r="D64" s="11">
        <f t="shared" si="0"/>
        <v>0</v>
      </c>
    </row>
    <row r="65" spans="1:4" ht="18" hidden="1" x14ac:dyDescent="0.35">
      <c r="A65" s="8" t="s">
        <v>61</v>
      </c>
      <c r="B65" s="17"/>
      <c r="C65" s="10"/>
      <c r="D65" s="11">
        <f t="shared" si="0"/>
        <v>0</v>
      </c>
    </row>
    <row r="66" spans="1:4" ht="18" hidden="1" x14ac:dyDescent="0.35">
      <c r="A66" s="18" t="s">
        <v>62</v>
      </c>
      <c r="B66" s="9"/>
      <c r="C66" s="19"/>
      <c r="D66" s="11">
        <f t="shared" si="0"/>
        <v>0</v>
      </c>
    </row>
    <row r="67" spans="1:4" ht="18" hidden="1" x14ac:dyDescent="0.35">
      <c r="A67" s="18" t="s">
        <v>63</v>
      </c>
      <c r="B67" s="9"/>
      <c r="C67" s="10">
        <v>10000</v>
      </c>
      <c r="D67" s="11">
        <f t="shared" si="0"/>
        <v>0</v>
      </c>
    </row>
    <row r="68" spans="1:4" ht="18" hidden="1" x14ac:dyDescent="0.35">
      <c r="A68" s="14" t="s">
        <v>64</v>
      </c>
      <c r="B68" s="9"/>
      <c r="C68" s="10"/>
      <c r="D68" s="11">
        <f t="shared" si="0"/>
        <v>0</v>
      </c>
    </row>
    <row r="69" spans="1:4" ht="18.75" x14ac:dyDescent="0.25">
      <c r="A69" s="8" t="s">
        <v>65</v>
      </c>
      <c r="B69" s="9">
        <v>27</v>
      </c>
      <c r="C69" s="12">
        <v>14000</v>
      </c>
      <c r="D69" s="11">
        <f t="shared" ref="D69:D132" si="1">B69*C69</f>
        <v>378000</v>
      </c>
    </row>
    <row r="70" spans="1:4" ht="18" hidden="1" x14ac:dyDescent="0.35">
      <c r="A70" s="14" t="s">
        <v>66</v>
      </c>
      <c r="B70" s="9"/>
      <c r="C70" s="10"/>
      <c r="D70" s="11">
        <f t="shared" si="1"/>
        <v>0</v>
      </c>
    </row>
    <row r="71" spans="1:4" ht="18" hidden="1" x14ac:dyDescent="0.35">
      <c r="A71" s="8" t="s">
        <v>67</v>
      </c>
      <c r="B71" s="9"/>
      <c r="C71" s="13"/>
      <c r="D71" s="11">
        <f t="shared" si="1"/>
        <v>0</v>
      </c>
    </row>
    <row r="72" spans="1:4" ht="18" hidden="1" x14ac:dyDescent="0.35">
      <c r="A72" s="8" t="s">
        <v>68</v>
      </c>
      <c r="B72" s="9"/>
      <c r="C72" s="10"/>
      <c r="D72" s="11">
        <f t="shared" si="1"/>
        <v>0</v>
      </c>
    </row>
    <row r="73" spans="1:4" ht="18" hidden="1" x14ac:dyDescent="0.35">
      <c r="A73" s="14" t="s">
        <v>69</v>
      </c>
      <c r="B73" s="9"/>
      <c r="C73" s="15">
        <v>38000</v>
      </c>
      <c r="D73" s="11">
        <f t="shared" si="1"/>
        <v>0</v>
      </c>
    </row>
    <row r="74" spans="1:4" ht="18" hidden="1" x14ac:dyDescent="0.35">
      <c r="A74" s="14"/>
      <c r="B74" s="9"/>
      <c r="C74" s="15"/>
      <c r="D74" s="11">
        <f t="shared" si="1"/>
        <v>0</v>
      </c>
    </row>
    <row r="75" spans="1:4" ht="18" hidden="1" x14ac:dyDescent="0.35">
      <c r="A75" s="14" t="s">
        <v>70</v>
      </c>
      <c r="B75" s="9"/>
      <c r="C75" s="15"/>
      <c r="D75" s="11">
        <f t="shared" si="1"/>
        <v>0</v>
      </c>
    </row>
    <row r="76" spans="1:4" ht="18" hidden="1" x14ac:dyDescent="0.35">
      <c r="A76" s="14" t="s">
        <v>71</v>
      </c>
      <c r="B76" s="9"/>
      <c r="C76" s="10"/>
      <c r="D76" s="11">
        <f t="shared" si="1"/>
        <v>0</v>
      </c>
    </row>
    <row r="77" spans="1:4" ht="18" hidden="1" x14ac:dyDescent="0.35">
      <c r="A77" s="8" t="s">
        <v>72</v>
      </c>
      <c r="B77" s="9"/>
      <c r="C77" s="12"/>
      <c r="D77" s="11">
        <f t="shared" si="1"/>
        <v>0</v>
      </c>
    </row>
    <row r="78" spans="1:4" ht="18" hidden="1" x14ac:dyDescent="0.35">
      <c r="A78" s="8" t="s">
        <v>73</v>
      </c>
      <c r="B78" s="9"/>
      <c r="C78" s="12">
        <v>25000</v>
      </c>
      <c r="D78" s="11">
        <f t="shared" si="1"/>
        <v>0</v>
      </c>
    </row>
    <row r="79" spans="1:4" ht="18" hidden="1" x14ac:dyDescent="0.35">
      <c r="A79" s="20" t="s">
        <v>74</v>
      </c>
      <c r="B79" s="9"/>
      <c r="C79" s="13"/>
      <c r="D79" s="11">
        <f t="shared" si="1"/>
        <v>0</v>
      </c>
    </row>
    <row r="80" spans="1:4" ht="18" hidden="1" x14ac:dyDescent="0.35">
      <c r="A80" s="20" t="s">
        <v>75</v>
      </c>
      <c r="B80" s="9"/>
      <c r="C80" s="15"/>
      <c r="D80" s="11">
        <f t="shared" si="1"/>
        <v>0</v>
      </c>
    </row>
    <row r="81" spans="1:4" ht="18" hidden="1" x14ac:dyDescent="0.35">
      <c r="A81" s="20" t="s">
        <v>76</v>
      </c>
      <c r="B81" s="9"/>
      <c r="C81" s="10"/>
      <c r="D81" s="11">
        <f t="shared" si="1"/>
        <v>0</v>
      </c>
    </row>
    <row r="82" spans="1:4" ht="18" hidden="1" x14ac:dyDescent="0.35">
      <c r="A82" s="8" t="s">
        <v>77</v>
      </c>
      <c r="B82" s="9"/>
      <c r="C82" s="13"/>
      <c r="D82" s="11">
        <f t="shared" si="1"/>
        <v>0</v>
      </c>
    </row>
    <row r="83" spans="1:4" ht="18.75" x14ac:dyDescent="0.25">
      <c r="A83" s="8" t="s">
        <v>78</v>
      </c>
      <c r="B83" s="9">
        <v>23</v>
      </c>
      <c r="C83" s="12">
        <v>13000</v>
      </c>
      <c r="D83" s="11">
        <f t="shared" si="1"/>
        <v>299000</v>
      </c>
    </row>
    <row r="84" spans="1:4" ht="18" hidden="1" x14ac:dyDescent="0.35">
      <c r="A84" s="8"/>
      <c r="B84" s="9"/>
      <c r="C84" s="12"/>
      <c r="D84" s="11">
        <f t="shared" si="1"/>
        <v>0</v>
      </c>
    </row>
    <row r="85" spans="1:4" ht="18" hidden="1" x14ac:dyDescent="0.35">
      <c r="A85" s="8" t="s">
        <v>79</v>
      </c>
      <c r="B85" s="9"/>
      <c r="C85" s="13"/>
      <c r="D85" s="11">
        <f t="shared" si="1"/>
        <v>0</v>
      </c>
    </row>
    <row r="86" spans="1:4" ht="18" hidden="1" x14ac:dyDescent="0.35">
      <c r="A86" s="8" t="s">
        <v>80</v>
      </c>
      <c r="B86" s="9"/>
      <c r="C86" s="10"/>
      <c r="D86" s="11">
        <f t="shared" si="1"/>
        <v>0</v>
      </c>
    </row>
    <row r="87" spans="1:4" ht="18" hidden="1" x14ac:dyDescent="0.35">
      <c r="A87" s="8" t="s">
        <v>81</v>
      </c>
      <c r="B87" s="9"/>
      <c r="C87" s="13"/>
      <c r="D87" s="11">
        <f t="shared" si="1"/>
        <v>0</v>
      </c>
    </row>
    <row r="88" spans="1:4" ht="18" hidden="1" x14ac:dyDescent="0.35">
      <c r="A88" s="8" t="s">
        <v>82</v>
      </c>
      <c r="B88" s="9"/>
      <c r="C88" s="10">
        <v>150000</v>
      </c>
      <c r="D88" s="11">
        <f t="shared" si="1"/>
        <v>0</v>
      </c>
    </row>
    <row r="89" spans="1:4" ht="18" hidden="1" x14ac:dyDescent="0.35">
      <c r="A89" s="8" t="s">
        <v>83</v>
      </c>
      <c r="B89" s="9"/>
      <c r="C89" s="10"/>
      <c r="D89" s="11">
        <f t="shared" si="1"/>
        <v>0</v>
      </c>
    </row>
    <row r="90" spans="1:4" ht="18" hidden="1" x14ac:dyDescent="0.35">
      <c r="A90" s="8" t="s">
        <v>84</v>
      </c>
      <c r="B90" s="9"/>
      <c r="C90" s="10">
        <v>50000</v>
      </c>
      <c r="D90" s="11">
        <f t="shared" si="1"/>
        <v>0</v>
      </c>
    </row>
    <row r="91" spans="1:4" ht="18" hidden="1" x14ac:dyDescent="0.35">
      <c r="A91" s="8" t="s">
        <v>85</v>
      </c>
      <c r="B91" s="9"/>
      <c r="C91" s="10"/>
      <c r="D91" s="11">
        <f t="shared" si="1"/>
        <v>0</v>
      </c>
    </row>
    <row r="92" spans="1:4" ht="18" hidden="1" x14ac:dyDescent="0.35">
      <c r="A92" s="8" t="s">
        <v>86</v>
      </c>
      <c r="B92" s="9"/>
      <c r="C92" s="10">
        <v>50000</v>
      </c>
      <c r="D92" s="11">
        <f t="shared" si="1"/>
        <v>0</v>
      </c>
    </row>
    <row r="93" spans="1:4" ht="18" hidden="1" x14ac:dyDescent="0.35">
      <c r="A93" s="8" t="s">
        <v>87</v>
      </c>
      <c r="B93" s="9"/>
      <c r="C93" s="12"/>
      <c r="D93" s="11">
        <f t="shared" si="1"/>
        <v>0</v>
      </c>
    </row>
    <row r="94" spans="1:4" ht="18" hidden="1" x14ac:dyDescent="0.35">
      <c r="A94" s="8" t="s">
        <v>88</v>
      </c>
      <c r="B94" s="9"/>
      <c r="C94" s="10">
        <v>45000</v>
      </c>
      <c r="D94" s="11">
        <f t="shared" si="1"/>
        <v>0</v>
      </c>
    </row>
    <row r="95" spans="1:4" ht="18" hidden="1" x14ac:dyDescent="0.35">
      <c r="A95" s="8" t="s">
        <v>89</v>
      </c>
      <c r="B95" s="9"/>
      <c r="C95" s="12"/>
      <c r="D95" s="11">
        <f t="shared" si="1"/>
        <v>0</v>
      </c>
    </row>
    <row r="96" spans="1:4" ht="18" hidden="1" x14ac:dyDescent="0.35">
      <c r="A96" s="8" t="s">
        <v>90</v>
      </c>
      <c r="B96" s="9"/>
      <c r="C96" s="10">
        <v>50000</v>
      </c>
      <c r="D96" s="11">
        <f t="shared" si="1"/>
        <v>0</v>
      </c>
    </row>
    <row r="97" spans="1:4" ht="18" hidden="1" x14ac:dyDescent="0.35">
      <c r="A97" s="8" t="s">
        <v>91</v>
      </c>
      <c r="B97" s="9"/>
      <c r="C97" s="10"/>
      <c r="D97" s="11">
        <f t="shared" si="1"/>
        <v>0</v>
      </c>
    </row>
    <row r="98" spans="1:4" ht="18" hidden="1" x14ac:dyDescent="0.35">
      <c r="A98" s="8" t="s">
        <v>92</v>
      </c>
      <c r="B98" s="9"/>
      <c r="C98" s="10"/>
      <c r="D98" s="11">
        <f t="shared" si="1"/>
        <v>0</v>
      </c>
    </row>
    <row r="99" spans="1:4" ht="18" hidden="1" x14ac:dyDescent="0.35">
      <c r="A99" s="8" t="s">
        <v>93</v>
      </c>
      <c r="B99" s="9"/>
      <c r="C99" s="10"/>
      <c r="D99" s="11">
        <f t="shared" si="1"/>
        <v>0</v>
      </c>
    </row>
    <row r="100" spans="1:4" ht="18" hidden="1" x14ac:dyDescent="0.35">
      <c r="A100" s="8" t="s">
        <v>94</v>
      </c>
      <c r="B100" s="9"/>
      <c r="C100" s="10"/>
      <c r="D100" s="11">
        <f t="shared" si="1"/>
        <v>0</v>
      </c>
    </row>
    <row r="101" spans="1:4" ht="18" hidden="1" x14ac:dyDescent="0.35">
      <c r="A101" s="8" t="s">
        <v>95</v>
      </c>
      <c r="B101" s="9"/>
      <c r="C101" s="12">
        <v>12000</v>
      </c>
      <c r="D101" s="11">
        <f t="shared" si="1"/>
        <v>0</v>
      </c>
    </row>
    <row r="102" spans="1:4" ht="18" hidden="1" x14ac:dyDescent="0.35">
      <c r="A102" s="8" t="s">
        <v>96</v>
      </c>
      <c r="B102" s="9"/>
      <c r="C102" s="10"/>
      <c r="D102" s="11">
        <f t="shared" si="1"/>
        <v>0</v>
      </c>
    </row>
    <row r="103" spans="1:4" ht="18" hidden="1" x14ac:dyDescent="0.35">
      <c r="A103" s="8" t="s">
        <v>97</v>
      </c>
      <c r="B103" s="9"/>
      <c r="C103" s="10"/>
      <c r="D103" s="11">
        <f t="shared" si="1"/>
        <v>0</v>
      </c>
    </row>
    <row r="104" spans="1:4" ht="18" hidden="1" x14ac:dyDescent="0.35">
      <c r="A104" s="8" t="s">
        <v>98</v>
      </c>
      <c r="B104" s="9"/>
      <c r="C104" s="10"/>
      <c r="D104" s="11">
        <f t="shared" si="1"/>
        <v>0</v>
      </c>
    </row>
    <row r="105" spans="1:4" ht="18" hidden="1" x14ac:dyDescent="0.35">
      <c r="A105" s="8" t="s">
        <v>99</v>
      </c>
      <c r="B105" s="9"/>
      <c r="C105" s="12"/>
      <c r="D105" s="11">
        <f t="shared" si="1"/>
        <v>0</v>
      </c>
    </row>
    <row r="106" spans="1:4" ht="18" hidden="1" x14ac:dyDescent="0.35">
      <c r="A106" s="14" t="s">
        <v>100</v>
      </c>
      <c r="B106" s="9"/>
      <c r="C106" s="10"/>
      <c r="D106" s="11">
        <f t="shared" si="1"/>
        <v>0</v>
      </c>
    </row>
    <row r="107" spans="1:4" ht="18" hidden="1" x14ac:dyDescent="0.35">
      <c r="A107" s="14" t="s">
        <v>101</v>
      </c>
      <c r="B107" s="9"/>
      <c r="C107" s="10"/>
      <c r="D107" s="11">
        <f t="shared" si="1"/>
        <v>0</v>
      </c>
    </row>
    <row r="108" spans="1:4" ht="18" hidden="1" x14ac:dyDescent="0.35">
      <c r="A108" s="14" t="s">
        <v>102</v>
      </c>
      <c r="B108" s="21"/>
      <c r="C108" s="10"/>
      <c r="D108" s="11">
        <f t="shared" si="1"/>
        <v>0</v>
      </c>
    </row>
    <row r="109" spans="1:4" ht="18" hidden="1" x14ac:dyDescent="0.35">
      <c r="A109" s="8" t="s">
        <v>103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104</v>
      </c>
      <c r="B110" s="9"/>
      <c r="C110" s="12"/>
      <c r="D110" s="11">
        <f t="shared" si="1"/>
        <v>0</v>
      </c>
    </row>
    <row r="111" spans="1:4" ht="18" hidden="1" x14ac:dyDescent="0.35">
      <c r="A111" s="8" t="s">
        <v>105</v>
      </c>
      <c r="B111" s="9"/>
      <c r="C111" s="10"/>
      <c r="D111" s="11">
        <f t="shared" si="1"/>
        <v>0</v>
      </c>
    </row>
    <row r="112" spans="1:4" ht="18" hidden="1" x14ac:dyDescent="0.35">
      <c r="A112" s="8" t="s">
        <v>106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107</v>
      </c>
      <c r="B113" s="9"/>
      <c r="C113" s="10"/>
      <c r="D113" s="11">
        <f t="shared" si="1"/>
        <v>0</v>
      </c>
    </row>
    <row r="114" spans="1:4" ht="18" hidden="1" x14ac:dyDescent="0.35">
      <c r="A114" s="22" t="s">
        <v>108</v>
      </c>
      <c r="B114" s="9"/>
      <c r="C114" s="10"/>
      <c r="D114" s="11">
        <f t="shared" si="1"/>
        <v>0</v>
      </c>
    </row>
    <row r="115" spans="1:4" ht="18" hidden="1" x14ac:dyDescent="0.35">
      <c r="A115" s="8" t="s">
        <v>109</v>
      </c>
      <c r="B115" s="9"/>
      <c r="C115" s="12">
        <v>10000</v>
      </c>
      <c r="D115" s="11">
        <f t="shared" si="1"/>
        <v>0</v>
      </c>
    </row>
    <row r="116" spans="1:4" ht="18.75" x14ac:dyDescent="0.25">
      <c r="A116" s="8" t="s">
        <v>110</v>
      </c>
      <c r="B116" s="9">
        <v>4</v>
      </c>
      <c r="C116" s="10">
        <v>7500</v>
      </c>
      <c r="D116" s="11">
        <f t="shared" si="1"/>
        <v>30000</v>
      </c>
    </row>
    <row r="117" spans="1:4" ht="18" hidden="1" x14ac:dyDescent="0.35">
      <c r="A117" s="8" t="s">
        <v>111</v>
      </c>
      <c r="B117" s="9"/>
      <c r="C117" s="13"/>
      <c r="D117" s="11">
        <f t="shared" si="1"/>
        <v>0</v>
      </c>
    </row>
    <row r="118" spans="1:4" ht="18.75" x14ac:dyDescent="0.25">
      <c r="A118" s="14" t="s">
        <v>112</v>
      </c>
      <c r="B118" s="9">
        <v>1810</v>
      </c>
      <c r="C118" s="10">
        <v>20000</v>
      </c>
      <c r="D118" s="11">
        <f t="shared" si="1"/>
        <v>36200000</v>
      </c>
    </row>
    <row r="119" spans="1:4" ht="18.75" x14ac:dyDescent="0.25">
      <c r="A119" s="14" t="s">
        <v>113</v>
      </c>
      <c r="B119" s="9">
        <v>206</v>
      </c>
      <c r="C119" s="10">
        <v>17000</v>
      </c>
      <c r="D119" s="11">
        <f t="shared" si="1"/>
        <v>3502000</v>
      </c>
    </row>
    <row r="120" spans="1:4" ht="18.75" x14ac:dyDescent="0.25">
      <c r="A120" s="8" t="s">
        <v>114</v>
      </c>
      <c r="B120" s="9">
        <v>1007</v>
      </c>
      <c r="C120" s="12">
        <v>15000</v>
      </c>
      <c r="D120" s="11">
        <f t="shared" si="1"/>
        <v>15105000</v>
      </c>
    </row>
    <row r="121" spans="1:4" ht="18" hidden="1" x14ac:dyDescent="0.35">
      <c r="A121" s="14" t="s">
        <v>115</v>
      </c>
      <c r="B121" s="9"/>
      <c r="C121" s="10"/>
      <c r="D121" s="11">
        <f t="shared" si="1"/>
        <v>0</v>
      </c>
    </row>
    <row r="122" spans="1:4" ht="18" hidden="1" x14ac:dyDescent="0.35">
      <c r="A122" s="14" t="s">
        <v>116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117</v>
      </c>
      <c r="B123" s="9"/>
      <c r="C123" s="10"/>
      <c r="D123" s="11">
        <f t="shared" si="1"/>
        <v>0</v>
      </c>
    </row>
    <row r="124" spans="1:4" ht="18" hidden="1" x14ac:dyDescent="0.35">
      <c r="A124" s="8" t="s">
        <v>118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119</v>
      </c>
      <c r="B125" s="9"/>
      <c r="C125" s="10"/>
      <c r="D125" s="11">
        <f t="shared" si="1"/>
        <v>0</v>
      </c>
    </row>
    <row r="126" spans="1:4" ht="18" hidden="1" x14ac:dyDescent="0.35">
      <c r="A126" s="8" t="s">
        <v>120</v>
      </c>
      <c r="B126" s="9"/>
      <c r="C126" s="10">
        <v>15000</v>
      </c>
      <c r="D126" s="11">
        <f t="shared" si="1"/>
        <v>0</v>
      </c>
    </row>
    <row r="127" spans="1:4" ht="18.75" x14ac:dyDescent="0.25">
      <c r="A127" s="8" t="s">
        <v>121</v>
      </c>
      <c r="B127" s="9">
        <v>120</v>
      </c>
      <c r="C127" s="13">
        <v>20000</v>
      </c>
      <c r="D127" s="11">
        <f t="shared" si="1"/>
        <v>2400000</v>
      </c>
    </row>
    <row r="128" spans="1:4" ht="18" hidden="1" x14ac:dyDescent="0.35">
      <c r="A128" s="8"/>
      <c r="B128" s="9"/>
      <c r="C128" s="13"/>
      <c r="D128" s="11">
        <f t="shared" si="1"/>
        <v>0</v>
      </c>
    </row>
    <row r="129" spans="1:4" ht="18" hidden="1" x14ac:dyDescent="0.35">
      <c r="A129" s="8" t="s">
        <v>122</v>
      </c>
      <c r="B129" s="9"/>
      <c r="C129" s="12">
        <v>17000</v>
      </c>
      <c r="D129" s="11">
        <f t="shared" si="1"/>
        <v>0</v>
      </c>
    </row>
    <row r="130" spans="1:4" ht="18" hidden="1" x14ac:dyDescent="0.35">
      <c r="A130" s="8" t="s">
        <v>123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124</v>
      </c>
      <c r="B131" s="9"/>
      <c r="C131" s="13"/>
      <c r="D131" s="11">
        <f t="shared" si="1"/>
        <v>0</v>
      </c>
    </row>
    <row r="132" spans="1:4" ht="18" hidden="1" x14ac:dyDescent="0.35">
      <c r="A132" s="18" t="s">
        <v>125</v>
      </c>
      <c r="B132" s="9"/>
      <c r="C132" s="12"/>
      <c r="D132" s="11">
        <f t="shared" si="1"/>
        <v>0</v>
      </c>
    </row>
    <row r="133" spans="1:4" ht="18" hidden="1" x14ac:dyDescent="0.35">
      <c r="A133" s="18"/>
      <c r="B133" s="9"/>
      <c r="C133" s="12"/>
      <c r="D133" s="11">
        <f t="shared" ref="D133:D196" si="2">B133*C133</f>
        <v>0</v>
      </c>
    </row>
    <row r="134" spans="1:4" ht="18" hidden="1" x14ac:dyDescent="0.35">
      <c r="A134" s="18"/>
      <c r="B134" s="9"/>
      <c r="C134" s="12"/>
      <c r="D134" s="11">
        <f t="shared" si="2"/>
        <v>0</v>
      </c>
    </row>
    <row r="135" spans="1:4" ht="18" hidden="1" x14ac:dyDescent="0.35">
      <c r="A135" s="8" t="s">
        <v>126</v>
      </c>
      <c r="B135" s="9"/>
      <c r="C135" s="13"/>
      <c r="D135" s="11">
        <f t="shared" si="2"/>
        <v>0</v>
      </c>
    </row>
    <row r="136" spans="1:4" ht="18" hidden="1" x14ac:dyDescent="0.35">
      <c r="A136" s="8" t="s">
        <v>127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128</v>
      </c>
      <c r="B137" s="9"/>
      <c r="C137" s="10"/>
      <c r="D137" s="11">
        <f t="shared" si="2"/>
        <v>0</v>
      </c>
    </row>
    <row r="138" spans="1:4" ht="18" hidden="1" x14ac:dyDescent="0.35">
      <c r="A138" s="8"/>
      <c r="B138" s="9"/>
      <c r="C138" s="10"/>
      <c r="D138" s="11">
        <f t="shared" si="2"/>
        <v>0</v>
      </c>
    </row>
    <row r="139" spans="1:4" ht="18" hidden="1" x14ac:dyDescent="0.35">
      <c r="A139" s="8"/>
      <c r="B139" s="9"/>
      <c r="C139" s="10"/>
      <c r="D139" s="11">
        <f t="shared" si="2"/>
        <v>0</v>
      </c>
    </row>
    <row r="140" spans="1:4" ht="18" hidden="1" x14ac:dyDescent="0.35">
      <c r="A140" s="14" t="s">
        <v>129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130</v>
      </c>
      <c r="B141" s="9"/>
      <c r="C141" s="12">
        <v>15000</v>
      </c>
      <c r="D141" s="11">
        <f t="shared" si="2"/>
        <v>0</v>
      </c>
    </row>
    <row r="142" spans="1:4" ht="18" hidden="1" x14ac:dyDescent="0.35">
      <c r="A142" s="8"/>
      <c r="B142" s="9"/>
      <c r="C142" s="12"/>
      <c r="D142" s="11">
        <f t="shared" si="2"/>
        <v>0</v>
      </c>
    </row>
    <row r="143" spans="1:4" ht="18" hidden="1" x14ac:dyDescent="0.35">
      <c r="A143" s="8"/>
      <c r="B143" s="9"/>
      <c r="C143" s="12"/>
      <c r="D143" s="11">
        <f t="shared" si="2"/>
        <v>0</v>
      </c>
    </row>
    <row r="144" spans="1:4" ht="18" hidden="1" x14ac:dyDescent="0.35">
      <c r="A144" s="8" t="s">
        <v>131</v>
      </c>
      <c r="B144" s="9"/>
      <c r="C144" s="12"/>
      <c r="D144" s="11">
        <f t="shared" si="2"/>
        <v>0</v>
      </c>
    </row>
    <row r="145" spans="1:4" ht="18" hidden="1" x14ac:dyDescent="0.35">
      <c r="A145" s="8" t="s">
        <v>132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133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134</v>
      </c>
      <c r="B147" s="9"/>
      <c r="C147" s="10"/>
      <c r="D147" s="11">
        <f t="shared" si="2"/>
        <v>0</v>
      </c>
    </row>
    <row r="148" spans="1:4" ht="18" hidden="1" x14ac:dyDescent="0.35">
      <c r="A148" s="8" t="s">
        <v>135</v>
      </c>
      <c r="B148" s="9"/>
      <c r="C148" s="19"/>
      <c r="D148" s="11">
        <f t="shared" si="2"/>
        <v>0</v>
      </c>
    </row>
    <row r="149" spans="1:4" ht="18" hidden="1" x14ac:dyDescent="0.35">
      <c r="A149" s="8" t="s">
        <v>136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137</v>
      </c>
      <c r="B150" s="9"/>
      <c r="C150" s="13"/>
      <c r="D150" s="11">
        <f t="shared" si="2"/>
        <v>0</v>
      </c>
    </row>
    <row r="151" spans="1:4" ht="18" hidden="1" x14ac:dyDescent="0.35">
      <c r="A151" s="8" t="s">
        <v>138</v>
      </c>
      <c r="B151" s="9"/>
      <c r="C151" s="13">
        <v>25000</v>
      </c>
      <c r="D151" s="11">
        <f t="shared" si="2"/>
        <v>0</v>
      </c>
    </row>
    <row r="152" spans="1:4" ht="18" hidden="1" x14ac:dyDescent="0.35">
      <c r="A152" s="23" t="s">
        <v>139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140</v>
      </c>
      <c r="B153" s="9"/>
      <c r="C153" s="10"/>
      <c r="D153" s="11">
        <f t="shared" si="2"/>
        <v>0</v>
      </c>
    </row>
    <row r="154" spans="1:4" ht="18" hidden="1" x14ac:dyDescent="0.35">
      <c r="A154" s="14" t="s">
        <v>141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142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143</v>
      </c>
      <c r="B156" s="9"/>
      <c r="C156" s="13"/>
      <c r="D156" s="11">
        <f t="shared" si="2"/>
        <v>0</v>
      </c>
    </row>
    <row r="157" spans="1:4" ht="18" hidden="1" x14ac:dyDescent="0.35">
      <c r="A157" s="8" t="s">
        <v>144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145</v>
      </c>
      <c r="B158" s="9"/>
      <c r="C158" s="12">
        <v>18000</v>
      </c>
      <c r="D158" s="11">
        <f t="shared" si="2"/>
        <v>0</v>
      </c>
    </row>
    <row r="159" spans="1:4" ht="18" hidden="1" x14ac:dyDescent="0.35">
      <c r="A159" s="8" t="s">
        <v>146</v>
      </c>
      <c r="B159" s="9"/>
      <c r="C159" s="12"/>
      <c r="D159" s="11">
        <f t="shared" si="2"/>
        <v>0</v>
      </c>
    </row>
    <row r="160" spans="1:4" ht="18" hidden="1" x14ac:dyDescent="0.35">
      <c r="A160" s="8" t="s">
        <v>147</v>
      </c>
      <c r="B160" s="9"/>
      <c r="C160" s="12"/>
      <c r="D160" s="11">
        <f t="shared" si="2"/>
        <v>0</v>
      </c>
    </row>
    <row r="161" spans="1:4" ht="18" hidden="1" x14ac:dyDescent="0.35">
      <c r="A161" s="24" t="s">
        <v>148</v>
      </c>
      <c r="B161" s="9"/>
      <c r="C161" s="12"/>
      <c r="D161" s="11">
        <f t="shared" si="2"/>
        <v>0</v>
      </c>
    </row>
    <row r="162" spans="1:4" ht="18" hidden="1" x14ac:dyDescent="0.35">
      <c r="A162" s="8" t="s">
        <v>149</v>
      </c>
      <c r="B162" s="9"/>
      <c r="C162" s="10"/>
      <c r="D162" s="11">
        <f t="shared" si="2"/>
        <v>0</v>
      </c>
    </row>
    <row r="163" spans="1:4" ht="18" hidden="1" x14ac:dyDescent="0.35">
      <c r="A163" s="8" t="s">
        <v>150</v>
      </c>
      <c r="B163" s="9"/>
      <c r="C163" s="25"/>
      <c r="D163" s="11">
        <f t="shared" si="2"/>
        <v>0</v>
      </c>
    </row>
    <row r="164" spans="1:4" ht="18" hidden="1" x14ac:dyDescent="0.35">
      <c r="A164" s="14" t="s">
        <v>151</v>
      </c>
      <c r="B164" s="9"/>
      <c r="C164" s="10"/>
      <c r="D164" s="11">
        <f t="shared" si="2"/>
        <v>0</v>
      </c>
    </row>
    <row r="165" spans="1:4" ht="18" hidden="1" x14ac:dyDescent="0.35">
      <c r="A165" s="14" t="s">
        <v>152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153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154</v>
      </c>
      <c r="B167" s="9"/>
      <c r="C167" s="10"/>
      <c r="D167" s="11">
        <f t="shared" si="2"/>
        <v>0</v>
      </c>
    </row>
    <row r="168" spans="1:4" ht="18" hidden="1" x14ac:dyDescent="0.35">
      <c r="A168" s="8" t="s">
        <v>155</v>
      </c>
      <c r="B168" s="9"/>
      <c r="C168" s="10"/>
      <c r="D168" s="11">
        <f t="shared" si="2"/>
        <v>0</v>
      </c>
    </row>
    <row r="169" spans="1:4" ht="18.75" x14ac:dyDescent="0.25">
      <c r="A169" s="8" t="s">
        <v>156</v>
      </c>
      <c r="B169" s="9">
        <v>4</v>
      </c>
      <c r="C169" s="10">
        <v>40000</v>
      </c>
      <c r="D169" s="11">
        <f t="shared" si="2"/>
        <v>160000</v>
      </c>
    </row>
    <row r="170" spans="1:4" ht="18" hidden="1" x14ac:dyDescent="0.35">
      <c r="A170" s="8" t="s">
        <v>157</v>
      </c>
      <c r="B170" s="9"/>
      <c r="C170" s="10">
        <v>6000</v>
      </c>
      <c r="D170" s="11">
        <f t="shared" si="2"/>
        <v>0</v>
      </c>
    </row>
    <row r="171" spans="1:4" ht="18" hidden="1" x14ac:dyDescent="0.35">
      <c r="A171" s="8" t="s">
        <v>158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159</v>
      </c>
      <c r="B172" s="9"/>
      <c r="C172" s="10"/>
      <c r="D172" s="11">
        <f t="shared" si="2"/>
        <v>0</v>
      </c>
    </row>
    <row r="173" spans="1:4" ht="18" hidden="1" x14ac:dyDescent="0.35">
      <c r="A173" s="8" t="s">
        <v>160</v>
      </c>
      <c r="B173" s="9"/>
      <c r="C173" s="10"/>
      <c r="D173" s="11">
        <f t="shared" si="2"/>
        <v>0</v>
      </c>
    </row>
    <row r="174" spans="1:4" ht="18" hidden="1" x14ac:dyDescent="0.35">
      <c r="A174" s="8" t="s">
        <v>161</v>
      </c>
      <c r="B174" s="9"/>
      <c r="C174" s="10">
        <v>32000</v>
      </c>
      <c r="D174" s="11">
        <f t="shared" si="2"/>
        <v>0</v>
      </c>
    </row>
    <row r="175" spans="1:4" ht="18" hidden="1" x14ac:dyDescent="0.35">
      <c r="A175" s="8" t="s">
        <v>162</v>
      </c>
      <c r="B175" s="9"/>
      <c r="C175" s="10"/>
      <c r="D175" s="11">
        <f t="shared" si="2"/>
        <v>0</v>
      </c>
    </row>
    <row r="176" spans="1:4" ht="18" hidden="1" x14ac:dyDescent="0.35">
      <c r="A176" s="14" t="s">
        <v>163</v>
      </c>
      <c r="B176" s="9"/>
      <c r="C176" s="15"/>
      <c r="D176" s="11">
        <f t="shared" si="2"/>
        <v>0</v>
      </c>
    </row>
    <row r="177" spans="1:4" ht="18" hidden="1" x14ac:dyDescent="0.35">
      <c r="A177" s="14" t="s">
        <v>164</v>
      </c>
      <c r="B177" s="9"/>
      <c r="C177" s="15"/>
      <c r="D177" s="11">
        <f t="shared" si="2"/>
        <v>0</v>
      </c>
    </row>
    <row r="178" spans="1:4" ht="18.75" x14ac:dyDescent="0.25">
      <c r="A178" s="8" t="s">
        <v>165</v>
      </c>
      <c r="B178" s="9">
        <v>23</v>
      </c>
      <c r="C178" s="10">
        <v>25000</v>
      </c>
      <c r="D178" s="11">
        <f t="shared" si="2"/>
        <v>575000</v>
      </c>
    </row>
    <row r="179" spans="1:4" ht="18" hidden="1" x14ac:dyDescent="0.35">
      <c r="A179" s="26" t="s">
        <v>166</v>
      </c>
      <c r="B179" s="9"/>
      <c r="C179" s="10"/>
      <c r="D179" s="11">
        <f t="shared" si="2"/>
        <v>0</v>
      </c>
    </row>
    <row r="180" spans="1:4" ht="18" hidden="1" x14ac:dyDescent="0.35">
      <c r="A180" s="8" t="s">
        <v>167</v>
      </c>
      <c r="B180" s="9"/>
      <c r="C180" s="10"/>
      <c r="D180" s="11">
        <f t="shared" si="2"/>
        <v>0</v>
      </c>
    </row>
    <row r="181" spans="1:4" ht="18" hidden="1" x14ac:dyDescent="0.35">
      <c r="A181" s="8" t="s">
        <v>168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169</v>
      </c>
      <c r="B182" s="9"/>
      <c r="C182" s="10"/>
      <c r="D182" s="11">
        <f t="shared" si="2"/>
        <v>0</v>
      </c>
    </row>
    <row r="183" spans="1:4" ht="18" hidden="1" x14ac:dyDescent="0.35">
      <c r="A183" s="8" t="s">
        <v>170</v>
      </c>
      <c r="B183" s="9"/>
      <c r="C183" s="10"/>
      <c r="D183" s="11">
        <f t="shared" si="2"/>
        <v>0</v>
      </c>
    </row>
    <row r="184" spans="1:4" ht="18" hidden="1" x14ac:dyDescent="0.35">
      <c r="A184" s="8" t="s">
        <v>171</v>
      </c>
      <c r="B184" s="9"/>
      <c r="C184" s="13"/>
      <c r="D184" s="11">
        <f t="shared" si="2"/>
        <v>0</v>
      </c>
    </row>
    <row r="185" spans="1:4" ht="18" hidden="1" x14ac:dyDescent="0.35">
      <c r="A185" s="8" t="s">
        <v>172</v>
      </c>
      <c r="B185" s="9"/>
      <c r="C185" s="13"/>
      <c r="D185" s="11">
        <f t="shared" si="2"/>
        <v>0</v>
      </c>
    </row>
    <row r="186" spans="1:4" ht="18" hidden="1" x14ac:dyDescent="0.35">
      <c r="A186" s="8" t="s">
        <v>173</v>
      </c>
      <c r="B186" s="9"/>
      <c r="C186" s="13">
        <v>25000</v>
      </c>
      <c r="D186" s="11">
        <f t="shared" si="2"/>
        <v>0</v>
      </c>
    </row>
    <row r="187" spans="1:4" ht="18" hidden="1" x14ac:dyDescent="0.35">
      <c r="A187" s="8" t="s">
        <v>174</v>
      </c>
      <c r="B187" s="9"/>
      <c r="C187" s="13">
        <v>6100</v>
      </c>
      <c r="D187" s="11">
        <f t="shared" si="2"/>
        <v>0</v>
      </c>
    </row>
    <row r="188" spans="1:4" ht="18" hidden="1" x14ac:dyDescent="0.35">
      <c r="A188" s="8" t="s">
        <v>175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176</v>
      </c>
      <c r="B189" s="9"/>
      <c r="C189" s="13"/>
      <c r="D189" s="11">
        <f t="shared" si="2"/>
        <v>0</v>
      </c>
    </row>
    <row r="190" spans="1:4" ht="18" hidden="1" x14ac:dyDescent="0.35">
      <c r="A190" s="8" t="s">
        <v>177</v>
      </c>
      <c r="B190" s="9"/>
      <c r="C190" s="12"/>
      <c r="D190" s="11">
        <f t="shared" si="2"/>
        <v>0</v>
      </c>
    </row>
    <row r="191" spans="1:4" ht="18.75" x14ac:dyDescent="0.25">
      <c r="A191" s="27" t="s">
        <v>178</v>
      </c>
      <c r="B191" s="9">
        <v>5</v>
      </c>
      <c r="C191" s="12">
        <v>27000</v>
      </c>
      <c r="D191" s="11">
        <f t="shared" si="2"/>
        <v>135000</v>
      </c>
    </row>
    <row r="192" spans="1:4" ht="18" hidden="1" x14ac:dyDescent="0.35">
      <c r="A192" s="27" t="s">
        <v>179</v>
      </c>
      <c r="B192" s="9"/>
      <c r="C192" s="13">
        <v>25000</v>
      </c>
      <c r="D192" s="11">
        <f t="shared" si="2"/>
        <v>0</v>
      </c>
    </row>
    <row r="193" spans="1:4" ht="18" hidden="1" x14ac:dyDescent="0.35">
      <c r="A193" s="27" t="s">
        <v>180</v>
      </c>
      <c r="B193" s="9"/>
      <c r="C193" s="13"/>
      <c r="D193" s="11">
        <f t="shared" si="2"/>
        <v>0</v>
      </c>
    </row>
    <row r="194" spans="1:4" ht="18" hidden="1" x14ac:dyDescent="0.35">
      <c r="A194" s="27" t="s">
        <v>181</v>
      </c>
      <c r="B194" s="9"/>
      <c r="C194" s="12"/>
      <c r="D194" s="11">
        <f t="shared" si="2"/>
        <v>0</v>
      </c>
    </row>
    <row r="195" spans="1:4" ht="18" hidden="1" x14ac:dyDescent="0.35">
      <c r="A195" s="27" t="s">
        <v>182</v>
      </c>
      <c r="B195" s="9"/>
      <c r="C195" s="12"/>
      <c r="D195" s="11">
        <f t="shared" si="2"/>
        <v>0</v>
      </c>
    </row>
    <row r="196" spans="1:4" ht="18" hidden="1" x14ac:dyDescent="0.35">
      <c r="A196" s="8" t="s">
        <v>183</v>
      </c>
      <c r="B196" s="9"/>
      <c r="C196" s="13">
        <v>6100</v>
      </c>
      <c r="D196" s="11">
        <f t="shared" si="2"/>
        <v>0</v>
      </c>
    </row>
    <row r="197" spans="1:4" ht="18" hidden="1" x14ac:dyDescent="0.35">
      <c r="A197" s="8" t="s">
        <v>184</v>
      </c>
      <c r="B197" s="9"/>
      <c r="C197" s="13"/>
      <c r="D197" s="11">
        <f t="shared" ref="D197:D230" si="3">B197*C197</f>
        <v>0</v>
      </c>
    </row>
    <row r="198" spans="1:4" ht="18" hidden="1" x14ac:dyDescent="0.35">
      <c r="A198" s="8" t="s">
        <v>185</v>
      </c>
      <c r="B198" s="9"/>
      <c r="C198" s="13">
        <v>23000</v>
      </c>
      <c r="D198" s="11">
        <f t="shared" si="3"/>
        <v>0</v>
      </c>
    </row>
    <row r="199" spans="1:4" ht="18" hidden="1" x14ac:dyDescent="0.35">
      <c r="A199" s="8" t="s">
        <v>186</v>
      </c>
      <c r="B199" s="9"/>
      <c r="C199" s="13">
        <v>25000</v>
      </c>
      <c r="D199" s="11">
        <f t="shared" si="3"/>
        <v>0</v>
      </c>
    </row>
    <row r="200" spans="1:4" ht="18" hidden="1" x14ac:dyDescent="0.35">
      <c r="A200" s="8" t="s">
        <v>187</v>
      </c>
      <c r="B200" s="9"/>
      <c r="C200" s="13"/>
      <c r="D200" s="11">
        <f t="shared" si="3"/>
        <v>0</v>
      </c>
    </row>
    <row r="201" spans="1:4" ht="18" hidden="1" x14ac:dyDescent="0.35">
      <c r="A201" s="8" t="s">
        <v>188</v>
      </c>
      <c r="B201" s="9"/>
      <c r="C201" s="10"/>
      <c r="D201" s="11">
        <f t="shared" si="3"/>
        <v>0</v>
      </c>
    </row>
    <row r="202" spans="1:4" ht="18" hidden="1" x14ac:dyDescent="0.35">
      <c r="A202" s="8" t="s">
        <v>189</v>
      </c>
      <c r="B202" s="9"/>
      <c r="C202" s="13"/>
      <c r="D202" s="11">
        <f t="shared" si="3"/>
        <v>0</v>
      </c>
    </row>
    <row r="203" spans="1:4" ht="18" hidden="1" x14ac:dyDescent="0.35">
      <c r="A203" s="8" t="s">
        <v>190</v>
      </c>
      <c r="B203" s="9"/>
      <c r="C203" s="12"/>
      <c r="D203" s="11">
        <f t="shared" si="3"/>
        <v>0</v>
      </c>
    </row>
    <row r="204" spans="1:4" ht="18" hidden="1" x14ac:dyDescent="0.35">
      <c r="A204" s="8" t="s">
        <v>191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192</v>
      </c>
      <c r="B205" s="9"/>
      <c r="C205" s="13"/>
      <c r="D205" s="11">
        <f t="shared" si="3"/>
        <v>0</v>
      </c>
    </row>
    <row r="206" spans="1:4" ht="18" hidden="1" x14ac:dyDescent="0.35">
      <c r="A206" s="8"/>
      <c r="B206" s="9"/>
      <c r="C206" s="13"/>
      <c r="D206" s="11">
        <f t="shared" si="3"/>
        <v>0</v>
      </c>
    </row>
    <row r="207" spans="1:4" ht="18" hidden="1" x14ac:dyDescent="0.35">
      <c r="A207" s="8" t="s">
        <v>193</v>
      </c>
      <c r="B207" s="9"/>
      <c r="C207" s="10">
        <v>18000</v>
      </c>
      <c r="D207" s="11">
        <f t="shared" si="3"/>
        <v>0</v>
      </c>
    </row>
    <row r="208" spans="1:4" ht="18" hidden="1" x14ac:dyDescent="0.35">
      <c r="A208" s="8" t="s">
        <v>194</v>
      </c>
      <c r="B208" s="9"/>
      <c r="C208" s="10"/>
      <c r="D208" s="11">
        <f t="shared" si="3"/>
        <v>0</v>
      </c>
    </row>
    <row r="209" spans="1:4" ht="18" hidden="1" x14ac:dyDescent="0.35">
      <c r="A209" s="8"/>
      <c r="B209" s="9"/>
      <c r="C209" s="10"/>
      <c r="D209" s="11">
        <f t="shared" si="3"/>
        <v>0</v>
      </c>
    </row>
    <row r="210" spans="1:4" ht="18" hidden="1" x14ac:dyDescent="0.35">
      <c r="A210" s="8" t="s">
        <v>195</v>
      </c>
      <c r="B210" s="9"/>
      <c r="C210" s="10"/>
      <c r="D210" s="11">
        <f t="shared" si="3"/>
        <v>0</v>
      </c>
    </row>
    <row r="211" spans="1:4" ht="18" hidden="1" x14ac:dyDescent="0.35">
      <c r="A211" s="14" t="s">
        <v>196</v>
      </c>
      <c r="B211" s="9"/>
      <c r="C211" s="12"/>
      <c r="D211" s="11">
        <f t="shared" si="3"/>
        <v>0</v>
      </c>
    </row>
    <row r="212" spans="1:4" ht="18.75" x14ac:dyDescent="0.25">
      <c r="A212" s="14" t="s">
        <v>197</v>
      </c>
      <c r="B212" s="9">
        <v>17</v>
      </c>
      <c r="C212" s="10">
        <v>12000</v>
      </c>
      <c r="D212" s="11">
        <f t="shared" si="3"/>
        <v>204000</v>
      </c>
    </row>
    <row r="213" spans="1:4" ht="18" hidden="1" x14ac:dyDescent="0.35">
      <c r="A213" s="8" t="s">
        <v>198</v>
      </c>
      <c r="B213" s="9"/>
      <c r="C213" s="10"/>
      <c r="D213" s="11">
        <f t="shared" si="3"/>
        <v>0</v>
      </c>
    </row>
    <row r="214" spans="1:4" ht="18" hidden="1" x14ac:dyDescent="0.35">
      <c r="A214" s="8" t="s">
        <v>199</v>
      </c>
      <c r="B214" s="9"/>
      <c r="C214" s="12">
        <v>40000</v>
      </c>
      <c r="D214" s="11">
        <f t="shared" si="3"/>
        <v>0</v>
      </c>
    </row>
    <row r="215" spans="1:4" ht="18" hidden="1" x14ac:dyDescent="0.35">
      <c r="A215" s="8" t="s">
        <v>200</v>
      </c>
      <c r="B215" s="9"/>
      <c r="C215" s="12"/>
      <c r="D215" s="11">
        <f t="shared" si="3"/>
        <v>0</v>
      </c>
    </row>
    <row r="216" spans="1:4" ht="18" hidden="1" x14ac:dyDescent="0.35">
      <c r="A216" s="8" t="s">
        <v>201</v>
      </c>
      <c r="B216" s="9"/>
      <c r="C216" s="19"/>
      <c r="D216" s="11">
        <f t="shared" si="3"/>
        <v>0</v>
      </c>
    </row>
    <row r="217" spans="1:4" ht="18" hidden="1" x14ac:dyDescent="0.35">
      <c r="A217" s="8" t="s">
        <v>202</v>
      </c>
      <c r="B217" s="9"/>
      <c r="C217" s="12">
        <v>23000</v>
      </c>
      <c r="D217" s="11">
        <f t="shared" si="3"/>
        <v>0</v>
      </c>
    </row>
    <row r="218" spans="1:4" ht="18" hidden="1" x14ac:dyDescent="0.35">
      <c r="A218" s="8" t="s">
        <v>203</v>
      </c>
      <c r="B218" s="9"/>
      <c r="C218" s="12"/>
      <c r="D218" s="11">
        <f t="shared" si="3"/>
        <v>0</v>
      </c>
    </row>
    <row r="219" spans="1:4" ht="18.75" x14ac:dyDescent="0.25">
      <c r="A219" s="8" t="s">
        <v>204</v>
      </c>
      <c r="B219" s="9">
        <f>1180+390</f>
        <v>1570</v>
      </c>
      <c r="C219" s="13">
        <v>7000</v>
      </c>
      <c r="D219" s="11">
        <f t="shared" si="3"/>
        <v>10990000</v>
      </c>
    </row>
    <row r="220" spans="1:4" ht="18" hidden="1" x14ac:dyDescent="0.35">
      <c r="A220" s="8" t="s">
        <v>205</v>
      </c>
      <c r="B220" s="9"/>
      <c r="C220" s="10"/>
      <c r="D220" s="11">
        <f t="shared" si="3"/>
        <v>0</v>
      </c>
    </row>
    <row r="221" spans="1:4" ht="18" hidden="1" x14ac:dyDescent="0.35">
      <c r="A221" s="8"/>
      <c r="B221" s="9"/>
      <c r="C221" s="10"/>
      <c r="D221" s="11">
        <f t="shared" si="3"/>
        <v>0</v>
      </c>
    </row>
    <row r="222" spans="1:4" ht="18" hidden="1" x14ac:dyDescent="0.35">
      <c r="A222" s="8" t="s">
        <v>206</v>
      </c>
      <c r="B222" s="9"/>
      <c r="C222" s="13"/>
      <c r="D222" s="11">
        <f t="shared" si="3"/>
        <v>0</v>
      </c>
    </row>
    <row r="223" spans="1:4" ht="18" hidden="1" x14ac:dyDescent="0.35">
      <c r="A223" s="8" t="s">
        <v>207</v>
      </c>
      <c r="B223" s="9"/>
      <c r="C223" s="13"/>
      <c r="D223" s="11">
        <f t="shared" si="3"/>
        <v>0</v>
      </c>
    </row>
    <row r="224" spans="1:4" ht="18" hidden="1" x14ac:dyDescent="0.35">
      <c r="A224" s="8" t="s">
        <v>208</v>
      </c>
      <c r="B224" s="9"/>
      <c r="C224" s="13"/>
      <c r="D224" s="11">
        <f t="shared" si="3"/>
        <v>0</v>
      </c>
    </row>
    <row r="225" spans="1:4" ht="18" hidden="1" x14ac:dyDescent="0.35">
      <c r="A225" s="14" t="s">
        <v>209</v>
      </c>
      <c r="B225" s="9"/>
      <c r="C225" s="10"/>
      <c r="D225" s="11">
        <f t="shared" si="3"/>
        <v>0</v>
      </c>
    </row>
    <row r="226" spans="1:4" ht="18" hidden="1" x14ac:dyDescent="0.35">
      <c r="A226" s="8" t="s">
        <v>210</v>
      </c>
      <c r="B226" s="9"/>
      <c r="C226" s="12"/>
      <c r="D226" s="11">
        <f t="shared" si="3"/>
        <v>0</v>
      </c>
    </row>
    <row r="227" spans="1:4" ht="18" hidden="1" x14ac:dyDescent="0.35">
      <c r="A227" s="8" t="s">
        <v>211</v>
      </c>
      <c r="B227" s="9"/>
      <c r="C227" s="13"/>
      <c r="D227" s="11">
        <f t="shared" si="3"/>
        <v>0</v>
      </c>
    </row>
    <row r="228" spans="1:4" ht="18" hidden="1" x14ac:dyDescent="0.35">
      <c r="A228" s="8" t="s">
        <v>212</v>
      </c>
      <c r="B228" s="9"/>
      <c r="C228" s="13"/>
      <c r="D228" s="11">
        <f t="shared" si="3"/>
        <v>0</v>
      </c>
    </row>
    <row r="229" spans="1:4" ht="18" hidden="1" x14ac:dyDescent="0.35">
      <c r="A229" s="8" t="s">
        <v>213</v>
      </c>
      <c r="B229" s="9"/>
      <c r="C229" s="13"/>
      <c r="D229" s="11">
        <f t="shared" si="3"/>
        <v>0</v>
      </c>
    </row>
    <row r="230" spans="1:4" ht="18" hidden="1" x14ac:dyDescent="0.35">
      <c r="A230" s="8" t="s">
        <v>214</v>
      </c>
      <c r="B230" s="9"/>
      <c r="C230" s="13"/>
      <c r="D230" s="11">
        <f t="shared" si="3"/>
        <v>0</v>
      </c>
    </row>
    <row r="231" spans="1:4" ht="18.75" x14ac:dyDescent="0.25">
      <c r="A231" s="28"/>
      <c r="B231" s="29">
        <f t="shared" ref="B231:D231" si="4">SUM(B4:B230)</f>
        <v>4867</v>
      </c>
      <c r="C231" s="29">
        <f t="shared" si="4"/>
        <v>1208700</v>
      </c>
      <c r="D231" s="29">
        <f t="shared" si="4"/>
        <v>70791000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3" workbookViewId="0">
      <selection activeCell="H165" sqref="H165"/>
    </sheetView>
  </sheetViews>
  <sheetFormatPr defaultRowHeight="15" x14ac:dyDescent="0.25"/>
  <cols>
    <col min="1" max="1" width="26.140625" customWidth="1"/>
    <col min="3" max="3" width="10.85546875" customWidth="1"/>
    <col min="4" max="4" width="13.5703125" customWidth="1"/>
  </cols>
  <sheetData>
    <row r="1" spans="1:4" x14ac:dyDescent="0.25">
      <c r="A1" s="1" t="s">
        <v>230</v>
      </c>
      <c r="B1" s="2"/>
      <c r="C1" s="2"/>
      <c r="D1" s="3"/>
    </row>
    <row r="2" spans="1:4" ht="25.5" x14ac:dyDescent="0.25">
      <c r="A2" s="50" t="s">
        <v>1</v>
      </c>
      <c r="B2" s="4" t="s">
        <v>1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B4*C4</f>
        <v>0</v>
      </c>
    </row>
    <row r="5" spans="1:4" ht="18.75" x14ac:dyDescent="0.25">
      <c r="A5" s="8" t="s">
        <v>6</v>
      </c>
      <c r="B5" s="9">
        <v>13</v>
      </c>
      <c r="C5" s="10">
        <v>20000</v>
      </c>
      <c r="D5" s="11">
        <f t="shared" ref="D5:D68" si="0">B5*C5</f>
        <v>260000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18</v>
      </c>
      <c r="C10" s="10">
        <v>32000</v>
      </c>
      <c r="D10" s="11">
        <f t="shared" si="0"/>
        <v>576000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.75" x14ac:dyDescent="0.25">
      <c r="A13" s="8" t="s">
        <v>14</v>
      </c>
      <c r="B13" s="9">
        <v>1</v>
      </c>
      <c r="C13" s="12">
        <v>46000</v>
      </c>
      <c r="D13" s="11">
        <f t="shared" si="0"/>
        <v>46000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" hidden="1" x14ac:dyDescent="0.35">
      <c r="A16" s="8" t="s">
        <v>17</v>
      </c>
      <c r="B16" s="9"/>
      <c r="C16" s="10"/>
      <c r="D16" s="11">
        <f t="shared" si="0"/>
        <v>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" hidden="1" x14ac:dyDescent="0.35">
      <c r="A41" s="8" t="s">
        <v>42</v>
      </c>
      <c r="B41" s="9"/>
      <c r="C41" s="13"/>
      <c r="D41" s="11">
        <f t="shared" si="0"/>
        <v>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.75" x14ac:dyDescent="0.25">
      <c r="A45" s="8" t="s">
        <v>46</v>
      </c>
      <c r="B45" s="9">
        <v>3</v>
      </c>
      <c r="C45" s="12">
        <v>15000</v>
      </c>
      <c r="D45" s="11">
        <f t="shared" si="0"/>
        <v>45000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7</v>
      </c>
      <c r="C47" s="10">
        <v>15000</v>
      </c>
      <c r="D47" s="11">
        <f t="shared" si="0"/>
        <v>105000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.75" x14ac:dyDescent="0.25">
      <c r="A61" s="18" t="s">
        <v>62</v>
      </c>
      <c r="B61" s="9">
        <v>3</v>
      </c>
      <c r="C61" s="19">
        <v>22000</v>
      </c>
      <c r="D61" s="11">
        <f t="shared" si="0"/>
        <v>66000</v>
      </c>
    </row>
    <row r="62" spans="1:4" ht="18" hidden="1" x14ac:dyDescent="0.35">
      <c r="A62" s="18" t="s">
        <v>63</v>
      </c>
      <c r="B62" s="9"/>
      <c r="C62" s="10">
        <v>10000</v>
      </c>
      <c r="D62" s="11">
        <f t="shared" si="0"/>
        <v>0</v>
      </c>
    </row>
    <row r="63" spans="1:4" ht="18.75" x14ac:dyDescent="0.25">
      <c r="A63" s="14" t="s">
        <v>64</v>
      </c>
      <c r="B63" s="9">
        <v>130</v>
      </c>
      <c r="C63" s="10">
        <v>16000</v>
      </c>
      <c r="D63" s="11">
        <f t="shared" si="0"/>
        <v>2080000</v>
      </c>
    </row>
    <row r="64" spans="1:4" ht="18" hidden="1" x14ac:dyDescent="0.35">
      <c r="A64" s="8" t="s">
        <v>65</v>
      </c>
      <c r="B64" s="9"/>
      <c r="C64" s="12"/>
      <c r="D64" s="11">
        <f t="shared" si="0"/>
        <v>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B69*C69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" hidden="1" x14ac:dyDescent="0.35">
      <c r="A77" s="8" t="s">
        <v>78</v>
      </c>
      <c r="B77" s="9"/>
      <c r="C77" s="12"/>
      <c r="D77" s="11">
        <f t="shared" si="1"/>
        <v>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.75" x14ac:dyDescent="0.25">
      <c r="A84" s="8" t="s">
        <v>85</v>
      </c>
      <c r="B84" s="9">
        <v>0.5</v>
      </c>
      <c r="C84" s="10">
        <v>80000</v>
      </c>
      <c r="D84" s="11">
        <f t="shared" si="1"/>
        <v>40000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87</v>
      </c>
      <c r="B86" s="9"/>
      <c r="C86" s="12"/>
      <c r="D86" s="11">
        <f t="shared" si="1"/>
        <v>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1720</v>
      </c>
      <c r="C111" s="10">
        <v>20000</v>
      </c>
      <c r="D111" s="11">
        <f t="shared" si="1"/>
        <v>34400000</v>
      </c>
    </row>
    <row r="112" spans="1:4" ht="18.75" x14ac:dyDescent="0.25">
      <c r="A112" s="14" t="s">
        <v>113</v>
      </c>
      <c r="B112" s="9">
        <f>315+60</f>
        <v>375</v>
      </c>
      <c r="C112" s="10">
        <v>17000</v>
      </c>
      <c r="D112" s="11">
        <f t="shared" si="1"/>
        <v>6375000</v>
      </c>
    </row>
    <row r="113" spans="1:4" ht="18.75" x14ac:dyDescent="0.25">
      <c r="A113" s="8" t="s">
        <v>114</v>
      </c>
      <c r="B113" s="9">
        <v>977</v>
      </c>
      <c r="C113" s="12">
        <v>15000</v>
      </c>
      <c r="D113" s="11">
        <f t="shared" si="1"/>
        <v>14655000</v>
      </c>
    </row>
    <row r="114" spans="1:4" ht="18" x14ac:dyDescent="0.35">
      <c r="A114" s="14" t="s">
        <v>115</v>
      </c>
      <c r="B114" s="9">
        <v>16</v>
      </c>
      <c r="C114" s="10">
        <v>25000</v>
      </c>
      <c r="D114" s="11">
        <f t="shared" si="1"/>
        <v>400000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v>140</v>
      </c>
      <c r="C120" s="13">
        <v>20000</v>
      </c>
      <c r="D120" s="11">
        <f t="shared" si="1"/>
        <v>2800000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v>24</v>
      </c>
      <c r="C140" s="10">
        <v>11000</v>
      </c>
      <c r="D140" s="11">
        <f t="shared" si="2"/>
        <v>264000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.75" x14ac:dyDescent="0.25">
      <c r="A142" s="8" t="s">
        <v>143</v>
      </c>
      <c r="B142" s="9">
        <v>3</v>
      </c>
      <c r="C142" s="13">
        <v>6000</v>
      </c>
      <c r="D142" s="11">
        <f t="shared" si="2"/>
        <v>18000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.75" x14ac:dyDescent="0.25">
      <c r="A145" s="8" t="s">
        <v>146</v>
      </c>
      <c r="B145" s="9">
        <v>4</v>
      </c>
      <c r="C145" s="12">
        <v>13000</v>
      </c>
      <c r="D145" s="11">
        <f t="shared" si="2"/>
        <v>52000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155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156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v>17</v>
      </c>
      <c r="C164" s="10">
        <v>25000</v>
      </c>
      <c r="D164" s="11">
        <f t="shared" si="2"/>
        <v>425000</v>
      </c>
    </row>
    <row r="165" spans="1:4" ht="18.75" x14ac:dyDescent="0.25">
      <c r="A165" s="26" t="s">
        <v>166</v>
      </c>
      <c r="B165" s="9">
        <v>40</v>
      </c>
      <c r="C165" s="10">
        <v>7500</v>
      </c>
      <c r="D165" s="11">
        <f t="shared" si="2"/>
        <v>300000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.75" x14ac:dyDescent="0.25">
      <c r="A167" s="8" t="s">
        <v>168</v>
      </c>
      <c r="B167" s="9">
        <v>47</v>
      </c>
      <c r="C167" s="12">
        <v>16000</v>
      </c>
      <c r="D167" s="11">
        <f t="shared" si="2"/>
        <v>752000</v>
      </c>
    </row>
    <row r="168" spans="1:4" ht="18" hidden="1" x14ac:dyDescent="0.35">
      <c r="A168" s="8" t="s">
        <v>169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.75" x14ac:dyDescent="0.25">
      <c r="A187" s="8" t="s">
        <v>188</v>
      </c>
      <c r="B187" s="9">
        <v>4</v>
      </c>
      <c r="C187" s="10">
        <v>11000</v>
      </c>
      <c r="D187" s="11">
        <f t="shared" si="2"/>
        <v>44000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" hidden="1" x14ac:dyDescent="0.35">
      <c r="A195" s="14" t="s">
        <v>196</v>
      </c>
      <c r="B195" s="9"/>
      <c r="C195" s="12"/>
      <c r="D195" s="11">
        <f t="shared" si="2"/>
        <v>0</v>
      </c>
    </row>
    <row r="196" spans="1:4" ht="18.75" x14ac:dyDescent="0.25">
      <c r="A196" s="14" t="s">
        <v>197</v>
      </c>
      <c r="B196" s="9">
        <v>11</v>
      </c>
      <c r="C196" s="10">
        <v>12000</v>
      </c>
      <c r="D196" s="11">
        <f t="shared" si="2"/>
        <v>132000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.75" x14ac:dyDescent="0.25">
      <c r="A198" s="8" t="s">
        <v>199</v>
      </c>
      <c r="B198" s="9">
        <v>5</v>
      </c>
      <c r="C198" s="12">
        <v>19000</v>
      </c>
      <c r="D198" s="11">
        <f t="shared" si="3"/>
        <v>95000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930+195</f>
        <v>1125</v>
      </c>
      <c r="C203" s="13">
        <v>7000</v>
      </c>
      <c r="D203" s="11">
        <f t="shared" si="3"/>
        <v>7875000</v>
      </c>
    </row>
    <row r="204" spans="1:4" ht="18.75" x14ac:dyDescent="0.25">
      <c r="A204" s="8" t="s">
        <v>205</v>
      </c>
      <c r="B204" s="9">
        <v>170</v>
      </c>
      <c r="C204" s="10">
        <v>11000</v>
      </c>
      <c r="D204" s="11">
        <f t="shared" si="3"/>
        <v>1870000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" si="4">SUM(B4:B213)</f>
        <v>4853.5</v>
      </c>
      <c r="C214" s="29">
        <f t="shared" ref="C214:D214" si="5">SUM(C202:C204)</f>
        <v>18000</v>
      </c>
      <c r="D214" s="29">
        <f t="shared" si="5"/>
        <v>9745000</v>
      </c>
    </row>
  </sheetData>
  <protectedRanges>
    <protectedRange password="CC4C" sqref="C214 C1:C212" name="tho5"/>
    <protectedRange password="CF71" sqref="B1:B212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62" sqref="F62"/>
    </sheetView>
  </sheetViews>
  <sheetFormatPr defaultRowHeight="15" x14ac:dyDescent="0.25"/>
  <cols>
    <col min="1" max="1" width="25.7109375" customWidth="1"/>
    <col min="2" max="2" width="9.7109375" customWidth="1"/>
    <col min="3" max="3" width="14" customWidth="1"/>
    <col min="4" max="4" width="15" customWidth="1"/>
  </cols>
  <sheetData>
    <row r="1" spans="1:4" x14ac:dyDescent="0.25">
      <c r="A1" s="1" t="s">
        <v>232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B4*C4</f>
        <v>0</v>
      </c>
    </row>
    <row r="5" spans="1:4" ht="18.75" x14ac:dyDescent="0.25">
      <c r="A5" s="8" t="s">
        <v>6</v>
      </c>
      <c r="B5" s="9">
        <f>33+45</f>
        <v>78</v>
      </c>
      <c r="C5" s="10">
        <v>20000</v>
      </c>
      <c r="D5" s="11">
        <f t="shared" ref="D5:D68" si="0">B5*C5</f>
        <v>1560000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f>29+3</f>
        <v>32</v>
      </c>
      <c r="C10" s="10">
        <v>32000</v>
      </c>
      <c r="D10" s="11">
        <f t="shared" si="0"/>
        <v>1024000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v>5</v>
      </c>
      <c r="C16" s="10">
        <v>18000</v>
      </c>
      <c r="D16" s="11">
        <f t="shared" si="0"/>
        <v>90000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" hidden="1" x14ac:dyDescent="0.35">
      <c r="A41" s="8" t="s">
        <v>42</v>
      </c>
      <c r="B41" s="9"/>
      <c r="C41" s="13"/>
      <c r="D41" s="11">
        <f t="shared" si="0"/>
        <v>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2"/>
      <c r="D45" s="11">
        <f t="shared" si="0"/>
        <v>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15</v>
      </c>
      <c r="C47" s="10">
        <v>15000</v>
      </c>
      <c r="D47" s="11">
        <f t="shared" si="0"/>
        <v>225000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.75" x14ac:dyDescent="0.25">
      <c r="A61" s="18" t="s">
        <v>62</v>
      </c>
      <c r="B61" s="9">
        <v>20</v>
      </c>
      <c r="C61" s="19">
        <v>28000</v>
      </c>
      <c r="D61" s="11">
        <f t="shared" si="0"/>
        <v>560000</v>
      </c>
    </row>
    <row r="62" spans="1:4" ht="18.75" x14ac:dyDescent="0.25">
      <c r="A62" s="18" t="s">
        <v>63</v>
      </c>
      <c r="B62" s="9">
        <v>6</v>
      </c>
      <c r="C62" s="10">
        <v>22000</v>
      </c>
      <c r="D62" s="11">
        <f t="shared" si="0"/>
        <v>132000</v>
      </c>
    </row>
    <row r="63" spans="1:4" ht="18.75" x14ac:dyDescent="0.25">
      <c r="A63" s="14" t="s">
        <v>64</v>
      </c>
      <c r="B63" s="9">
        <v>42</v>
      </c>
      <c r="C63" s="10">
        <v>17000</v>
      </c>
      <c r="D63" s="11">
        <f t="shared" si="0"/>
        <v>714000</v>
      </c>
    </row>
    <row r="64" spans="1:4" ht="18" hidden="1" x14ac:dyDescent="0.35">
      <c r="A64" s="8" t="s">
        <v>65</v>
      </c>
      <c r="B64" s="9"/>
      <c r="C64" s="12"/>
      <c r="D64" s="11">
        <f t="shared" si="0"/>
        <v>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B69*C69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" hidden="1" x14ac:dyDescent="0.35">
      <c r="A77" s="8" t="s">
        <v>78</v>
      </c>
      <c r="B77" s="9"/>
      <c r="C77" s="12"/>
      <c r="D77" s="11">
        <f t="shared" si="1"/>
        <v>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87</v>
      </c>
      <c r="B86" s="9"/>
      <c r="C86" s="12"/>
      <c r="D86" s="11">
        <f t="shared" si="1"/>
        <v>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1610</v>
      </c>
      <c r="C111" s="10">
        <v>20000</v>
      </c>
      <c r="D111" s="11">
        <f t="shared" si="1"/>
        <v>32200000</v>
      </c>
    </row>
    <row r="112" spans="1:4" ht="18.75" x14ac:dyDescent="0.25">
      <c r="A112" s="14" t="s">
        <v>113</v>
      </c>
      <c r="B112" s="9">
        <v>60</v>
      </c>
      <c r="C112" s="10">
        <v>17000</v>
      </c>
      <c r="D112" s="11">
        <f t="shared" si="1"/>
        <v>1020000</v>
      </c>
    </row>
    <row r="113" spans="1:4" ht="18.75" x14ac:dyDescent="0.25">
      <c r="A113" s="8" t="s">
        <v>114</v>
      </c>
      <c r="B113" s="9">
        <v>897</v>
      </c>
      <c r="C113" s="12">
        <v>15000</v>
      </c>
      <c r="D113" s="11">
        <f t="shared" si="1"/>
        <v>13455000</v>
      </c>
    </row>
    <row r="114" spans="1:4" ht="18" x14ac:dyDescent="0.35">
      <c r="A114" s="14" t="s">
        <v>115</v>
      </c>
      <c r="B114" s="9">
        <v>16</v>
      </c>
      <c r="C114" s="10">
        <v>25000</v>
      </c>
      <c r="D114" s="11">
        <f t="shared" si="1"/>
        <v>400000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v>130</v>
      </c>
      <c r="C120" s="13">
        <v>22000</v>
      </c>
      <c r="D120" s="11">
        <f t="shared" si="1"/>
        <v>2860000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v>8</v>
      </c>
      <c r="C140" s="10">
        <v>11000</v>
      </c>
      <c r="D140" s="11">
        <f t="shared" si="2"/>
        <v>88000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155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156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v>10</v>
      </c>
      <c r="C164" s="10">
        <v>26000</v>
      </c>
      <c r="D164" s="11">
        <f t="shared" si="2"/>
        <v>260000</v>
      </c>
    </row>
    <row r="165" spans="1:4" ht="18.75" x14ac:dyDescent="0.25">
      <c r="A165" s="26" t="s">
        <v>166</v>
      </c>
      <c r="B165" s="9">
        <v>40</v>
      </c>
      <c r="C165" s="10">
        <v>7500</v>
      </c>
      <c r="D165" s="11">
        <f t="shared" si="2"/>
        <v>300000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168</v>
      </c>
      <c r="B167" s="9"/>
      <c r="C167" s="12"/>
      <c r="D167" s="11">
        <f t="shared" si="2"/>
        <v>0</v>
      </c>
    </row>
    <row r="168" spans="1:4" ht="18.75" x14ac:dyDescent="0.25">
      <c r="A168" s="8" t="s">
        <v>169</v>
      </c>
      <c r="B168" s="9">
        <v>24</v>
      </c>
      <c r="C168" s="10">
        <v>16000</v>
      </c>
      <c r="D168" s="11">
        <f t="shared" si="2"/>
        <v>384000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" hidden="1" x14ac:dyDescent="0.35">
      <c r="A195" s="14" t="s">
        <v>196</v>
      </c>
      <c r="B195" s="9"/>
      <c r="C195" s="12"/>
      <c r="D195" s="11">
        <f t="shared" si="2"/>
        <v>0</v>
      </c>
    </row>
    <row r="196" spans="1:4" ht="18.75" x14ac:dyDescent="0.25">
      <c r="A196" s="14" t="s">
        <v>197</v>
      </c>
      <c r="B196" s="9">
        <v>12</v>
      </c>
      <c r="C196" s="10">
        <v>12000</v>
      </c>
      <c r="D196" s="11">
        <f t="shared" si="2"/>
        <v>144000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1500+825+240</f>
        <v>2565</v>
      </c>
      <c r="C203" s="13">
        <v>6000</v>
      </c>
      <c r="D203" s="11">
        <f t="shared" si="3"/>
        <v>15390000</v>
      </c>
    </row>
    <row r="204" spans="1:4" ht="18.75" x14ac:dyDescent="0.25">
      <c r="A204" s="8" t="s">
        <v>205</v>
      </c>
      <c r="B204" s="9">
        <v>7</v>
      </c>
      <c r="C204" s="10">
        <v>10000</v>
      </c>
      <c r="D204" s="11">
        <f t="shared" si="3"/>
        <v>70000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5577</v>
      </c>
      <c r="C214" s="29">
        <f t="shared" si="4"/>
        <v>1279700</v>
      </c>
      <c r="D214" s="29">
        <f t="shared" si="4"/>
        <v>70876000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B47" sqref="B47"/>
    </sheetView>
  </sheetViews>
  <sheetFormatPr defaultRowHeight="15" x14ac:dyDescent="0.25"/>
  <cols>
    <col min="1" max="1" width="21.28515625" customWidth="1"/>
    <col min="3" max="3" width="11" customWidth="1"/>
    <col min="4" max="4" width="14.140625" customWidth="1"/>
  </cols>
  <sheetData>
    <row r="1" spans="1:4" x14ac:dyDescent="0.25">
      <c r="A1" s="1" t="s">
        <v>233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.75" x14ac:dyDescent="0.25">
      <c r="A4" s="8" t="s">
        <v>5</v>
      </c>
      <c r="B4" s="9">
        <v>1</v>
      </c>
      <c r="C4" s="10">
        <v>25000</v>
      </c>
      <c r="D4" s="11">
        <f>B4*C4</f>
        <v>25000</v>
      </c>
    </row>
    <row r="5" spans="1:4" ht="18.75" x14ac:dyDescent="0.25">
      <c r="A5" s="8" t="s">
        <v>6</v>
      </c>
      <c r="B5" s="9">
        <v>77</v>
      </c>
      <c r="C5" s="10">
        <v>20000</v>
      </c>
      <c r="D5" s="11">
        <f t="shared" ref="D5:D68" si="0">B5*C5</f>
        <v>1540000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16</v>
      </c>
      <c r="C10" s="10">
        <v>36000</v>
      </c>
      <c r="D10" s="11">
        <f t="shared" si="0"/>
        <v>576000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" hidden="1" x14ac:dyDescent="0.35">
      <c r="A16" s="8" t="s">
        <v>17</v>
      </c>
      <c r="B16" s="9"/>
      <c r="C16" s="10"/>
      <c r="D16" s="11">
        <f t="shared" si="0"/>
        <v>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" hidden="1" x14ac:dyDescent="0.35">
      <c r="A41" s="8" t="s">
        <v>42</v>
      </c>
      <c r="B41" s="9"/>
      <c r="C41" s="13"/>
      <c r="D41" s="11">
        <f t="shared" si="0"/>
        <v>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.75" x14ac:dyDescent="0.25">
      <c r="A45" s="8" t="s">
        <v>46</v>
      </c>
      <c r="B45" s="9">
        <v>6</v>
      </c>
      <c r="C45" s="12">
        <v>15000</v>
      </c>
      <c r="D45" s="11">
        <f t="shared" si="0"/>
        <v>90000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15</v>
      </c>
      <c r="C47" s="10">
        <v>15000</v>
      </c>
      <c r="D47" s="11">
        <f t="shared" si="0"/>
        <v>225000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x14ac:dyDescent="0.35">
      <c r="A56" s="8" t="s">
        <v>57</v>
      </c>
      <c r="B56" s="9">
        <v>57</v>
      </c>
      <c r="C56" s="10">
        <v>7000</v>
      </c>
      <c r="D56" s="11">
        <f t="shared" si="0"/>
        <v>399000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" hidden="1" x14ac:dyDescent="0.35">
      <c r="A61" s="18" t="s">
        <v>62</v>
      </c>
      <c r="B61" s="9"/>
      <c r="C61" s="19"/>
      <c r="D61" s="11">
        <f t="shared" si="0"/>
        <v>0</v>
      </c>
    </row>
    <row r="62" spans="1:4" ht="18.75" x14ac:dyDescent="0.25">
      <c r="A62" s="18" t="s">
        <v>63</v>
      </c>
      <c r="B62" s="9">
        <v>2</v>
      </c>
      <c r="C62" s="10">
        <v>22000</v>
      </c>
      <c r="D62" s="11">
        <f t="shared" si="0"/>
        <v>44000</v>
      </c>
    </row>
    <row r="63" spans="1:4" ht="18" hidden="1" x14ac:dyDescent="0.35">
      <c r="A63" s="14" t="s">
        <v>64</v>
      </c>
      <c r="B63" s="9"/>
      <c r="C63" s="10"/>
      <c r="D63" s="11">
        <f t="shared" si="0"/>
        <v>0</v>
      </c>
    </row>
    <row r="64" spans="1:4" ht="18" hidden="1" x14ac:dyDescent="0.35">
      <c r="A64" s="8" t="s">
        <v>65</v>
      </c>
      <c r="B64" s="9"/>
      <c r="C64" s="12"/>
      <c r="D64" s="11">
        <f t="shared" si="0"/>
        <v>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B69*C69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" hidden="1" x14ac:dyDescent="0.35">
      <c r="A77" s="8" t="s">
        <v>78</v>
      </c>
      <c r="B77" s="9"/>
      <c r="C77" s="12"/>
      <c r="D77" s="11">
        <f t="shared" si="1"/>
        <v>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87</v>
      </c>
      <c r="B86" s="9"/>
      <c r="C86" s="12"/>
      <c r="D86" s="11">
        <f t="shared" si="1"/>
        <v>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1530</v>
      </c>
      <c r="C111" s="10">
        <v>20000</v>
      </c>
      <c r="D111" s="11">
        <f t="shared" si="1"/>
        <v>30600000</v>
      </c>
    </row>
    <row r="112" spans="1:4" ht="18.75" x14ac:dyDescent="0.25">
      <c r="A112" s="14" t="s">
        <v>113</v>
      </c>
      <c r="B112" s="9">
        <v>200</v>
      </c>
      <c r="C112" s="10">
        <v>17000</v>
      </c>
      <c r="D112" s="11">
        <f t="shared" si="1"/>
        <v>3400000</v>
      </c>
    </row>
    <row r="113" spans="1:4" ht="18.75" x14ac:dyDescent="0.25">
      <c r="A113" s="8" t="s">
        <v>114</v>
      </c>
      <c r="B113" s="9">
        <v>897</v>
      </c>
      <c r="C113" s="12">
        <v>15000</v>
      </c>
      <c r="D113" s="11">
        <f t="shared" si="1"/>
        <v>13455000</v>
      </c>
    </row>
    <row r="114" spans="1:4" ht="18" x14ac:dyDescent="0.35">
      <c r="A114" s="14" t="s">
        <v>115</v>
      </c>
      <c r="B114" s="9">
        <v>16</v>
      </c>
      <c r="C114" s="10">
        <v>25000</v>
      </c>
      <c r="D114" s="11">
        <f t="shared" si="1"/>
        <v>400000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.75" x14ac:dyDescent="0.25">
      <c r="A119" s="8" t="s">
        <v>120</v>
      </c>
      <c r="B119" s="9">
        <v>5</v>
      </c>
      <c r="C119" s="10">
        <v>16000</v>
      </c>
      <c r="D119" s="11">
        <f t="shared" si="1"/>
        <v>80000</v>
      </c>
    </row>
    <row r="120" spans="1:4" ht="18.75" x14ac:dyDescent="0.25">
      <c r="A120" s="8" t="s">
        <v>121</v>
      </c>
      <c r="B120" s="9">
        <v>73</v>
      </c>
      <c r="C120" s="13">
        <v>20000</v>
      </c>
      <c r="D120" s="11">
        <f t="shared" si="1"/>
        <v>1460000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" hidden="1" x14ac:dyDescent="0.35">
      <c r="A140" s="14" t="s">
        <v>141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155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156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v>19</v>
      </c>
      <c r="C164" s="10">
        <v>26000</v>
      </c>
      <c r="D164" s="11">
        <f t="shared" si="2"/>
        <v>494000</v>
      </c>
    </row>
    <row r="165" spans="1:4" ht="18.75" x14ac:dyDescent="0.25">
      <c r="A165" s="26" t="s">
        <v>166</v>
      </c>
      <c r="B165" s="9">
        <v>40</v>
      </c>
      <c r="C165" s="10">
        <v>7500</v>
      </c>
      <c r="D165" s="11">
        <f t="shared" si="2"/>
        <v>300000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168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169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.75" x14ac:dyDescent="0.25">
      <c r="A195" s="14" t="s">
        <v>196</v>
      </c>
      <c r="B195" s="9">
        <v>11</v>
      </c>
      <c r="C195" s="12">
        <v>12000</v>
      </c>
      <c r="D195" s="11">
        <f t="shared" si="2"/>
        <v>132000</v>
      </c>
    </row>
    <row r="196" spans="1:4" ht="18" hidden="1" x14ac:dyDescent="0.35">
      <c r="A196" s="14" t="s">
        <v>197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1950+135</f>
        <v>2085</v>
      </c>
      <c r="C203" s="13">
        <v>6000</v>
      </c>
      <c r="D203" s="11">
        <f t="shared" si="3"/>
        <v>12510000</v>
      </c>
    </row>
    <row r="204" spans="1:4" ht="18.75" x14ac:dyDescent="0.25">
      <c r="A204" s="8" t="s">
        <v>205</v>
      </c>
      <c r="B204" s="9">
        <f>60+61</f>
        <v>121</v>
      </c>
      <c r="C204" s="10">
        <v>11000</v>
      </c>
      <c r="D204" s="11">
        <f t="shared" si="3"/>
        <v>1331000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5171</v>
      </c>
      <c r="C214" s="29">
        <f t="shared" si="4"/>
        <v>1230700</v>
      </c>
      <c r="D214" s="29">
        <f t="shared" si="4"/>
        <v>67061000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H16" sqref="H16"/>
    </sheetView>
  </sheetViews>
  <sheetFormatPr defaultRowHeight="15" x14ac:dyDescent="0.25"/>
  <cols>
    <col min="1" max="1" width="20.5703125" customWidth="1"/>
    <col min="2" max="2" width="8" customWidth="1"/>
    <col min="3" max="3" width="13.140625" customWidth="1"/>
    <col min="4" max="4" width="15.7109375" customWidth="1"/>
  </cols>
  <sheetData>
    <row r="1" spans="1:4" x14ac:dyDescent="0.25">
      <c r="A1" s="1" t="s">
        <v>234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8" t="s">
        <v>5</v>
      </c>
      <c r="B4" s="9"/>
      <c r="C4" s="10">
        <v>10000</v>
      </c>
      <c r="D4" s="11">
        <f>B4*C4</f>
        <v>0</v>
      </c>
    </row>
    <row r="5" spans="1:4" ht="18.75" x14ac:dyDescent="0.25">
      <c r="A5" s="8" t="s">
        <v>6</v>
      </c>
      <c r="B5" s="9">
        <v>53</v>
      </c>
      <c r="C5" s="10">
        <v>20000</v>
      </c>
      <c r="D5" s="11">
        <f t="shared" ref="D5:D68" si="0">B5*C5</f>
        <v>1060000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10</v>
      </c>
      <c r="C10" s="10">
        <v>36000</v>
      </c>
      <c r="D10" s="11">
        <f t="shared" si="0"/>
        <v>360000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f>9+24+20</f>
        <v>53</v>
      </c>
      <c r="C16" s="10">
        <v>16000</v>
      </c>
      <c r="D16" s="11">
        <f t="shared" si="0"/>
        <v>848000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" hidden="1" x14ac:dyDescent="0.35">
      <c r="A41" s="8" t="s">
        <v>42</v>
      </c>
      <c r="B41" s="9"/>
      <c r="C41" s="13"/>
      <c r="D41" s="11">
        <f t="shared" si="0"/>
        <v>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.75" x14ac:dyDescent="0.25">
      <c r="A45" s="8" t="s">
        <v>46</v>
      </c>
      <c r="B45" s="9">
        <v>19</v>
      </c>
      <c r="C45" s="12">
        <v>15000</v>
      </c>
      <c r="D45" s="11">
        <f t="shared" si="0"/>
        <v>285000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18</v>
      </c>
      <c r="C47" s="12">
        <v>15000</v>
      </c>
      <c r="D47" s="11">
        <f t="shared" si="0"/>
        <v>270000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" hidden="1" x14ac:dyDescent="0.35">
      <c r="A61" s="18" t="s">
        <v>62</v>
      </c>
      <c r="B61" s="9"/>
      <c r="C61" s="19"/>
      <c r="D61" s="11">
        <f t="shared" si="0"/>
        <v>0</v>
      </c>
    </row>
    <row r="62" spans="1:4" ht="18" hidden="1" x14ac:dyDescent="0.35">
      <c r="A62" s="18" t="s">
        <v>63</v>
      </c>
      <c r="B62" s="9"/>
      <c r="C62" s="10">
        <v>10000</v>
      </c>
      <c r="D62" s="11">
        <f t="shared" si="0"/>
        <v>0</v>
      </c>
    </row>
    <row r="63" spans="1:4" ht="18.75" x14ac:dyDescent="0.25">
      <c r="A63" s="14" t="s">
        <v>64</v>
      </c>
      <c r="B63" s="9">
        <v>20</v>
      </c>
      <c r="C63" s="10">
        <v>19000</v>
      </c>
      <c r="D63" s="11">
        <f t="shared" si="0"/>
        <v>380000</v>
      </c>
    </row>
    <row r="64" spans="1:4" ht="18.75" x14ac:dyDescent="0.25">
      <c r="A64" s="8" t="s">
        <v>65</v>
      </c>
      <c r="B64" s="9">
        <v>20</v>
      </c>
      <c r="C64" s="12">
        <v>16000</v>
      </c>
      <c r="D64" s="11">
        <f t="shared" si="0"/>
        <v>320000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67</v>
      </c>
      <c r="B66" s="9"/>
      <c r="C66" s="13"/>
      <c r="D66" s="11">
        <f t="shared" si="0"/>
        <v>0</v>
      </c>
    </row>
    <row r="67" spans="1:4" ht="18" hidden="1" x14ac:dyDescent="0.35">
      <c r="A67" s="8" t="s">
        <v>68</v>
      </c>
      <c r="B67" s="9"/>
      <c r="C67" s="10"/>
      <c r="D67" s="11">
        <f t="shared" si="0"/>
        <v>0</v>
      </c>
    </row>
    <row r="68" spans="1:4" ht="18" hidden="1" x14ac:dyDescent="0.35">
      <c r="A68" s="14" t="s">
        <v>69</v>
      </c>
      <c r="B68" s="9"/>
      <c r="C68" s="15">
        <v>38000</v>
      </c>
      <c r="D68" s="11">
        <f t="shared" si="0"/>
        <v>0</v>
      </c>
    </row>
    <row r="69" spans="1:4" ht="18" hidden="1" x14ac:dyDescent="0.35">
      <c r="A69" s="14" t="s">
        <v>70</v>
      </c>
      <c r="B69" s="9"/>
      <c r="C69" s="15"/>
      <c r="D69" s="11">
        <f t="shared" ref="D69:D132" si="1">B69*C69</f>
        <v>0</v>
      </c>
    </row>
    <row r="70" spans="1:4" ht="18" hidden="1" x14ac:dyDescent="0.35">
      <c r="A70" s="14" t="s">
        <v>71</v>
      </c>
      <c r="B70" s="9"/>
      <c r="C70" s="10"/>
      <c r="D70" s="11">
        <f t="shared" si="1"/>
        <v>0</v>
      </c>
    </row>
    <row r="71" spans="1:4" ht="18" hidden="1" x14ac:dyDescent="0.35">
      <c r="A71" s="8" t="s">
        <v>72</v>
      </c>
      <c r="B71" s="9"/>
      <c r="C71" s="12"/>
      <c r="D71" s="11">
        <f t="shared" si="1"/>
        <v>0</v>
      </c>
    </row>
    <row r="72" spans="1:4" ht="18" hidden="1" x14ac:dyDescent="0.35">
      <c r="A72" s="8" t="s">
        <v>73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20" t="s">
        <v>74</v>
      </c>
      <c r="B73" s="9"/>
      <c r="C73" s="13"/>
      <c r="D73" s="11">
        <f t="shared" si="1"/>
        <v>0</v>
      </c>
    </row>
    <row r="74" spans="1:4" ht="18" hidden="1" x14ac:dyDescent="0.35">
      <c r="A74" s="20" t="s">
        <v>75</v>
      </c>
      <c r="B74" s="9"/>
      <c r="C74" s="15"/>
      <c r="D74" s="11">
        <f t="shared" si="1"/>
        <v>0</v>
      </c>
    </row>
    <row r="75" spans="1:4" ht="18" hidden="1" x14ac:dyDescent="0.35">
      <c r="A75" s="20" t="s">
        <v>76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3"/>
      <c r="D76" s="11">
        <f t="shared" si="1"/>
        <v>0</v>
      </c>
    </row>
    <row r="77" spans="1:4" ht="18" hidden="1" x14ac:dyDescent="0.35">
      <c r="A77" s="8" t="s">
        <v>78</v>
      </c>
      <c r="B77" s="9"/>
      <c r="C77" s="12"/>
      <c r="D77" s="11">
        <f t="shared" si="1"/>
        <v>0</v>
      </c>
    </row>
    <row r="78" spans="1:4" ht="18" hidden="1" x14ac:dyDescent="0.35">
      <c r="A78" s="8" t="s">
        <v>79</v>
      </c>
      <c r="B78" s="9"/>
      <c r="C78" s="13"/>
      <c r="D78" s="11">
        <f t="shared" si="1"/>
        <v>0</v>
      </c>
    </row>
    <row r="79" spans="1:4" ht="18" hidden="1" x14ac:dyDescent="0.35">
      <c r="A79" s="8" t="s">
        <v>80</v>
      </c>
      <c r="B79" s="9"/>
      <c r="C79" s="10"/>
      <c r="D79" s="11">
        <f t="shared" si="1"/>
        <v>0</v>
      </c>
    </row>
    <row r="80" spans="1:4" ht="18" hidden="1" x14ac:dyDescent="0.35">
      <c r="A80" s="8" t="s">
        <v>81</v>
      </c>
      <c r="B80" s="9"/>
      <c r="C80" s="13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87</v>
      </c>
      <c r="B86" s="9"/>
      <c r="C86" s="12"/>
      <c r="D86" s="11">
        <f t="shared" si="1"/>
        <v>0</v>
      </c>
    </row>
    <row r="87" spans="1:4" ht="18" hidden="1" x14ac:dyDescent="0.35">
      <c r="A87" s="8" t="s">
        <v>88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89</v>
      </c>
      <c r="B88" s="9"/>
      <c r="C88" s="12"/>
      <c r="D88" s="11">
        <f t="shared" si="1"/>
        <v>0</v>
      </c>
    </row>
    <row r="89" spans="1:4" ht="18" hidden="1" x14ac:dyDescent="0.35">
      <c r="A89" s="8" t="s">
        <v>90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91</v>
      </c>
      <c r="B90" s="9"/>
      <c r="C90" s="10"/>
      <c r="D90" s="11">
        <f t="shared" si="1"/>
        <v>0</v>
      </c>
    </row>
    <row r="91" spans="1:4" ht="18" hidden="1" x14ac:dyDescent="0.35">
      <c r="A91" s="8" t="s">
        <v>92</v>
      </c>
      <c r="B91" s="9"/>
      <c r="C91" s="10"/>
      <c r="D91" s="11">
        <f t="shared" si="1"/>
        <v>0</v>
      </c>
    </row>
    <row r="92" spans="1:4" ht="18" hidden="1" x14ac:dyDescent="0.35">
      <c r="A92" s="8" t="s">
        <v>93</v>
      </c>
      <c r="B92" s="9"/>
      <c r="C92" s="10"/>
      <c r="D92" s="11">
        <f t="shared" si="1"/>
        <v>0</v>
      </c>
    </row>
    <row r="93" spans="1:4" ht="18" hidden="1" x14ac:dyDescent="0.35">
      <c r="A93" s="8" t="s">
        <v>94</v>
      </c>
      <c r="B93" s="9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96</v>
      </c>
      <c r="B95" s="9"/>
      <c r="C95" s="10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99</v>
      </c>
      <c r="B98" s="9"/>
      <c r="C98" s="12"/>
      <c r="D98" s="11">
        <f t="shared" si="1"/>
        <v>0</v>
      </c>
    </row>
    <row r="99" spans="1:4" ht="18" hidden="1" x14ac:dyDescent="0.35">
      <c r="A99" s="14" t="s">
        <v>100</v>
      </c>
      <c r="B99" s="9"/>
      <c r="C99" s="10"/>
      <c r="D99" s="11">
        <f t="shared" si="1"/>
        <v>0</v>
      </c>
    </row>
    <row r="100" spans="1:4" ht="18" hidden="1" x14ac:dyDescent="0.35">
      <c r="A100" s="14" t="s">
        <v>101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102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103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104</v>
      </c>
      <c r="B103" s="9"/>
      <c r="C103" s="12"/>
      <c r="D103" s="11">
        <f t="shared" si="1"/>
        <v>0</v>
      </c>
    </row>
    <row r="104" spans="1:4" ht="18" hidden="1" x14ac:dyDescent="0.35">
      <c r="A104" s="8" t="s">
        <v>105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107</v>
      </c>
      <c r="B106" s="9"/>
      <c r="C106" s="10"/>
      <c r="D106" s="11">
        <f t="shared" si="1"/>
        <v>0</v>
      </c>
    </row>
    <row r="107" spans="1:4" ht="18" hidden="1" x14ac:dyDescent="0.35">
      <c r="A107" s="22" t="s">
        <v>108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109</v>
      </c>
      <c r="B108" s="9"/>
      <c r="C108" s="12">
        <v>10000</v>
      </c>
      <c r="D108" s="11">
        <f t="shared" si="1"/>
        <v>0</v>
      </c>
    </row>
    <row r="109" spans="1:4" ht="18" hidden="1" x14ac:dyDescent="0.35">
      <c r="A109" s="8" t="s">
        <v>110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111</v>
      </c>
      <c r="B110" s="9"/>
      <c r="C110" s="13"/>
      <c r="D110" s="11">
        <f t="shared" si="1"/>
        <v>0</v>
      </c>
    </row>
    <row r="111" spans="1:4" ht="18.75" x14ac:dyDescent="0.25">
      <c r="A111" s="14" t="s">
        <v>112</v>
      </c>
      <c r="B111" s="9">
        <v>1460</v>
      </c>
      <c r="C111" s="10">
        <v>20000</v>
      </c>
      <c r="D111" s="11">
        <f t="shared" si="1"/>
        <v>29200000</v>
      </c>
    </row>
    <row r="112" spans="1:4" ht="18.75" x14ac:dyDescent="0.25">
      <c r="A112" s="14" t="s">
        <v>113</v>
      </c>
      <c r="B112" s="9">
        <v>436</v>
      </c>
      <c r="C112" s="10">
        <v>17000</v>
      </c>
      <c r="D112" s="11">
        <f t="shared" si="1"/>
        <v>7412000</v>
      </c>
    </row>
    <row r="113" spans="1:4" ht="18.75" x14ac:dyDescent="0.25">
      <c r="A113" s="8" t="s">
        <v>114</v>
      </c>
      <c r="B113" s="9">
        <v>827</v>
      </c>
      <c r="C113" s="12">
        <v>15000</v>
      </c>
      <c r="D113" s="11">
        <f t="shared" si="1"/>
        <v>12405000</v>
      </c>
    </row>
    <row r="114" spans="1:4" ht="18" x14ac:dyDescent="0.35">
      <c r="A114" s="14" t="s">
        <v>115</v>
      </c>
      <c r="B114" s="9">
        <v>16</v>
      </c>
      <c r="C114" s="10">
        <v>25000</v>
      </c>
      <c r="D114" s="11">
        <f t="shared" si="1"/>
        <v>400000</v>
      </c>
    </row>
    <row r="115" spans="1:4" ht="18" hidden="1" x14ac:dyDescent="0.35">
      <c r="A115" s="14" t="s">
        <v>116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v>60</v>
      </c>
      <c r="C120" s="13">
        <v>22000</v>
      </c>
      <c r="D120" s="11">
        <f t="shared" si="1"/>
        <v>1320000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v>32</v>
      </c>
      <c r="C140" s="10">
        <v>11000</v>
      </c>
      <c r="D140" s="11">
        <f t="shared" si="2"/>
        <v>352000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.75" x14ac:dyDescent="0.25">
      <c r="A154" s="8" t="s">
        <v>155</v>
      </c>
      <c r="B154" s="9">
        <v>5</v>
      </c>
      <c r="C154" s="10">
        <v>26000</v>
      </c>
      <c r="D154" s="11">
        <f t="shared" si="2"/>
        <v>130000</v>
      </c>
    </row>
    <row r="155" spans="1:4" ht="18" hidden="1" x14ac:dyDescent="0.35">
      <c r="A155" s="8" t="s">
        <v>156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v>35</v>
      </c>
      <c r="C164" s="10">
        <v>26000</v>
      </c>
      <c r="D164" s="11">
        <f t="shared" si="2"/>
        <v>910000</v>
      </c>
    </row>
    <row r="165" spans="1:4" ht="18.75" x14ac:dyDescent="0.25">
      <c r="A165" s="26" t="s">
        <v>166</v>
      </c>
      <c r="B165" s="9">
        <v>16</v>
      </c>
      <c r="C165" s="10">
        <v>7500</v>
      </c>
      <c r="D165" s="11">
        <f t="shared" si="2"/>
        <v>120000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.75" x14ac:dyDescent="0.25">
      <c r="A167" s="8" t="s">
        <v>168</v>
      </c>
      <c r="B167" s="9">
        <v>50</v>
      </c>
      <c r="C167" s="12">
        <v>16000</v>
      </c>
      <c r="D167" s="11">
        <f t="shared" si="2"/>
        <v>800000</v>
      </c>
    </row>
    <row r="168" spans="1:4" ht="18.75" x14ac:dyDescent="0.25">
      <c r="A168" s="8" t="s">
        <v>169</v>
      </c>
      <c r="B168" s="9">
        <v>12</v>
      </c>
      <c r="C168" s="10">
        <v>16000</v>
      </c>
      <c r="D168" s="11">
        <f t="shared" si="2"/>
        <v>192000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" hidden="1" x14ac:dyDescent="0.35">
      <c r="A195" s="14" t="s">
        <v>196</v>
      </c>
      <c r="B195" s="9"/>
      <c r="C195" s="12"/>
      <c r="D195" s="11">
        <f t="shared" si="2"/>
        <v>0</v>
      </c>
    </row>
    <row r="196" spans="1:4" ht="18.75" x14ac:dyDescent="0.25">
      <c r="A196" s="14" t="s">
        <v>197</v>
      </c>
      <c r="B196" s="9">
        <v>16</v>
      </c>
      <c r="C196" s="10">
        <v>12000</v>
      </c>
      <c r="D196" s="11">
        <f t="shared" si="2"/>
        <v>192000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1125+420</f>
        <v>1545</v>
      </c>
      <c r="C203" s="13">
        <v>6000</v>
      </c>
      <c r="D203" s="11">
        <f t="shared" si="3"/>
        <v>9270000</v>
      </c>
    </row>
    <row r="204" spans="1:4" ht="18" hidden="1" x14ac:dyDescent="0.35">
      <c r="A204" s="8" t="s">
        <v>205</v>
      </c>
      <c r="B204" s="9"/>
      <c r="C204" s="10"/>
      <c r="D204" s="11">
        <f t="shared" si="3"/>
        <v>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4703</v>
      </c>
      <c r="C214" s="29"/>
      <c r="D214" s="29">
        <f t="shared" si="4"/>
        <v>66226000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L215" sqref="L215"/>
    </sheetView>
  </sheetViews>
  <sheetFormatPr defaultRowHeight="15" x14ac:dyDescent="0.25"/>
  <cols>
    <col min="1" max="1" width="17.85546875" customWidth="1"/>
    <col min="3" max="3" width="15" customWidth="1"/>
    <col min="4" max="4" width="15.7109375" customWidth="1"/>
  </cols>
  <sheetData>
    <row r="1" spans="1:4" x14ac:dyDescent="0.25">
      <c r="A1" s="1" t="s">
        <v>235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18" t="s">
        <v>62</v>
      </c>
      <c r="B4" s="9"/>
      <c r="C4" s="19"/>
      <c r="D4" s="11">
        <f>B4*C4</f>
        <v>0</v>
      </c>
    </row>
    <row r="5" spans="1:4" ht="18.75" x14ac:dyDescent="0.25">
      <c r="A5" s="18" t="s">
        <v>63</v>
      </c>
      <c r="B5" s="9">
        <v>7</v>
      </c>
      <c r="C5" s="10">
        <v>22000</v>
      </c>
      <c r="D5" s="11">
        <f t="shared" ref="D5:D68" si="0">B5*C5</f>
        <v>154000</v>
      </c>
    </row>
    <row r="6" spans="1:4" ht="18" hidden="1" x14ac:dyDescent="0.35">
      <c r="A6" s="18" t="s">
        <v>125</v>
      </c>
      <c r="B6" s="9"/>
      <c r="C6" s="12"/>
      <c r="D6" s="11">
        <f t="shared" si="0"/>
        <v>0</v>
      </c>
    </row>
    <row r="7" spans="1:4" ht="18" hidden="1" x14ac:dyDescent="0.35">
      <c r="A7" s="8" t="s">
        <v>126</v>
      </c>
      <c r="B7" s="9"/>
      <c r="C7" s="13"/>
      <c r="D7" s="11">
        <f t="shared" si="0"/>
        <v>0</v>
      </c>
    </row>
    <row r="8" spans="1:4" ht="18" hidden="1" x14ac:dyDescent="0.35">
      <c r="A8" s="8" t="s">
        <v>27</v>
      </c>
      <c r="B8" s="9"/>
      <c r="C8" s="10"/>
      <c r="D8" s="11">
        <f t="shared" si="0"/>
        <v>0</v>
      </c>
    </row>
    <row r="9" spans="1:4" ht="18" hidden="1" x14ac:dyDescent="0.35">
      <c r="A9" s="8" t="s">
        <v>74</v>
      </c>
      <c r="B9" s="9"/>
      <c r="C9" s="13"/>
      <c r="D9" s="11">
        <f t="shared" si="0"/>
        <v>0</v>
      </c>
    </row>
    <row r="10" spans="1:4" ht="18.75" x14ac:dyDescent="0.25">
      <c r="A10" s="8" t="s">
        <v>28</v>
      </c>
      <c r="B10" s="9">
        <v>31</v>
      </c>
      <c r="C10" s="10">
        <v>5000</v>
      </c>
      <c r="D10" s="11">
        <f t="shared" si="0"/>
        <v>155000</v>
      </c>
    </row>
    <row r="11" spans="1:4" ht="18" hidden="1" x14ac:dyDescent="0.35">
      <c r="A11" s="14" t="s">
        <v>29</v>
      </c>
      <c r="B11" s="9"/>
      <c r="C11" s="15"/>
      <c r="D11" s="11">
        <f t="shared" si="0"/>
        <v>0</v>
      </c>
    </row>
    <row r="12" spans="1:4" ht="18.75" x14ac:dyDescent="0.25">
      <c r="A12" s="14" t="s">
        <v>141</v>
      </c>
      <c r="B12" s="9">
        <v>20</v>
      </c>
      <c r="C12" s="10">
        <v>11000</v>
      </c>
      <c r="D12" s="11">
        <f t="shared" si="0"/>
        <v>220000</v>
      </c>
    </row>
    <row r="13" spans="1:4" ht="18" hidden="1" x14ac:dyDescent="0.35">
      <c r="A13" s="8" t="s">
        <v>91</v>
      </c>
      <c r="B13" s="9"/>
      <c r="C13" s="10"/>
      <c r="D13" s="11">
        <f t="shared" si="0"/>
        <v>0</v>
      </c>
    </row>
    <row r="14" spans="1:4" ht="18" hidden="1" x14ac:dyDescent="0.35">
      <c r="A14" s="8" t="s">
        <v>142</v>
      </c>
      <c r="B14" s="9"/>
      <c r="C14" s="10"/>
      <c r="D14" s="11">
        <f t="shared" si="0"/>
        <v>0</v>
      </c>
    </row>
    <row r="15" spans="1:4" ht="18.75" x14ac:dyDescent="0.25">
      <c r="A15" s="8" t="s">
        <v>204</v>
      </c>
      <c r="B15" s="9">
        <v>945</v>
      </c>
      <c r="C15" s="13">
        <v>6000</v>
      </c>
      <c r="D15" s="11">
        <f t="shared" si="0"/>
        <v>5670000</v>
      </c>
    </row>
    <row r="16" spans="1:4" ht="18" hidden="1" x14ac:dyDescent="0.35">
      <c r="A16" s="23" t="s">
        <v>139</v>
      </c>
      <c r="B16" s="9"/>
      <c r="C16" s="10"/>
      <c r="D16" s="11">
        <f t="shared" si="0"/>
        <v>0</v>
      </c>
    </row>
    <row r="17" spans="1:4" ht="18" hidden="1" x14ac:dyDescent="0.35">
      <c r="A17" s="8" t="s">
        <v>5</v>
      </c>
      <c r="B17" s="9"/>
      <c r="C17" s="10">
        <v>10000</v>
      </c>
      <c r="D17" s="11">
        <f t="shared" si="0"/>
        <v>0</v>
      </c>
    </row>
    <row r="18" spans="1:4" ht="18" hidden="1" x14ac:dyDescent="0.35">
      <c r="A18" s="8" t="s">
        <v>206</v>
      </c>
      <c r="B18" s="9"/>
      <c r="C18" s="13"/>
      <c r="D18" s="11">
        <f t="shared" si="0"/>
        <v>0</v>
      </c>
    </row>
    <row r="19" spans="1:4" ht="18" hidden="1" x14ac:dyDescent="0.35">
      <c r="A19" s="8" t="s">
        <v>6</v>
      </c>
      <c r="B19" s="9"/>
      <c r="C19" s="10">
        <v>7000</v>
      </c>
      <c r="D19" s="11">
        <f t="shared" si="0"/>
        <v>0</v>
      </c>
    </row>
    <row r="20" spans="1:4" ht="18" hidden="1" x14ac:dyDescent="0.35">
      <c r="A20" s="8" t="s">
        <v>111</v>
      </c>
      <c r="B20" s="9"/>
      <c r="C20" s="13"/>
      <c r="D20" s="11">
        <f t="shared" si="0"/>
        <v>0</v>
      </c>
    </row>
    <row r="21" spans="1:4" ht="18" hidden="1" x14ac:dyDescent="0.35">
      <c r="A21" s="8" t="s">
        <v>7</v>
      </c>
      <c r="B21" s="9"/>
      <c r="C21" s="10"/>
      <c r="D21" s="11">
        <f t="shared" si="0"/>
        <v>0</v>
      </c>
    </row>
    <row r="22" spans="1:4" ht="18" hidden="1" x14ac:dyDescent="0.35">
      <c r="A22" s="8" t="s">
        <v>149</v>
      </c>
      <c r="B22" s="9"/>
      <c r="C22" s="10"/>
      <c r="D22" s="11">
        <f t="shared" si="0"/>
        <v>0</v>
      </c>
    </row>
    <row r="23" spans="1:4" ht="18" hidden="1" x14ac:dyDescent="0.35">
      <c r="A23" s="8" t="s">
        <v>140</v>
      </c>
      <c r="B23" s="9"/>
      <c r="C23" s="10"/>
      <c r="D23" s="11">
        <f t="shared" si="0"/>
        <v>0</v>
      </c>
    </row>
    <row r="24" spans="1:4" ht="18" hidden="1" x14ac:dyDescent="0.35">
      <c r="A24" s="8" t="s">
        <v>36</v>
      </c>
      <c r="B24" s="9"/>
      <c r="C24" s="10"/>
      <c r="D24" s="11">
        <f t="shared" si="0"/>
        <v>0</v>
      </c>
    </row>
    <row r="25" spans="1:4" ht="18" hidden="1" x14ac:dyDescent="0.35">
      <c r="A25" s="14" t="s">
        <v>37</v>
      </c>
      <c r="B25" s="9"/>
      <c r="C25" s="12">
        <v>20000</v>
      </c>
      <c r="D25" s="11">
        <f t="shared" si="0"/>
        <v>0</v>
      </c>
    </row>
    <row r="26" spans="1:4" ht="18" hidden="1" x14ac:dyDescent="0.35">
      <c r="A26" s="14" t="s">
        <v>38</v>
      </c>
      <c r="B26" s="9"/>
      <c r="C26" s="10"/>
      <c r="D26" s="11">
        <f t="shared" si="0"/>
        <v>0</v>
      </c>
    </row>
    <row r="27" spans="1:4" ht="18" hidden="1" x14ac:dyDescent="0.35">
      <c r="A27" s="8" t="s">
        <v>96</v>
      </c>
      <c r="B27" s="9"/>
      <c r="C27" s="10"/>
      <c r="D27" s="11">
        <f t="shared" si="0"/>
        <v>0</v>
      </c>
    </row>
    <row r="28" spans="1:4" ht="18" hidden="1" x14ac:dyDescent="0.35">
      <c r="A28" s="8" t="s">
        <v>97</v>
      </c>
      <c r="B28" s="9"/>
      <c r="C28" s="10"/>
      <c r="D28" s="11">
        <f t="shared" si="0"/>
        <v>0</v>
      </c>
    </row>
    <row r="29" spans="1:4" ht="18" hidden="1" x14ac:dyDescent="0.35">
      <c r="A29" s="8" t="s">
        <v>127</v>
      </c>
      <c r="B29" s="9"/>
      <c r="C29" s="13"/>
      <c r="D29" s="11">
        <f t="shared" si="0"/>
        <v>0</v>
      </c>
    </row>
    <row r="30" spans="1:4" ht="18" hidden="1" x14ac:dyDescent="0.35">
      <c r="A30" s="8" t="s">
        <v>123</v>
      </c>
      <c r="B30" s="9"/>
      <c r="C30" s="12"/>
      <c r="D30" s="11">
        <f t="shared" si="0"/>
        <v>0</v>
      </c>
    </row>
    <row r="31" spans="1:4" ht="18" hidden="1" x14ac:dyDescent="0.35">
      <c r="A31" s="8" t="s">
        <v>124</v>
      </c>
      <c r="B31" s="9"/>
      <c r="C31" s="13"/>
      <c r="D31" s="11">
        <f t="shared" si="0"/>
        <v>0</v>
      </c>
    </row>
    <row r="32" spans="1:4" ht="18" hidden="1" x14ac:dyDescent="0.35">
      <c r="A32" s="8" t="s">
        <v>72</v>
      </c>
      <c r="B32" s="9"/>
      <c r="C32" s="12"/>
      <c r="D32" s="11">
        <f t="shared" si="0"/>
        <v>0</v>
      </c>
    </row>
    <row r="33" spans="1:4" ht="18" hidden="1" x14ac:dyDescent="0.35">
      <c r="A33" s="8" t="s">
        <v>73</v>
      </c>
      <c r="B33" s="9"/>
      <c r="C33" s="12">
        <v>25000</v>
      </c>
      <c r="D33" s="11">
        <f t="shared" si="0"/>
        <v>0</v>
      </c>
    </row>
    <row r="34" spans="1:4" ht="18" hidden="1" x14ac:dyDescent="0.35">
      <c r="A34" s="8" t="s">
        <v>190</v>
      </c>
      <c r="B34" s="9"/>
      <c r="C34" s="12"/>
      <c r="D34" s="11">
        <f t="shared" si="0"/>
        <v>0</v>
      </c>
    </row>
    <row r="35" spans="1:4" ht="18" hidden="1" x14ac:dyDescent="0.35">
      <c r="A35" s="8" t="s">
        <v>191</v>
      </c>
      <c r="B35" s="9"/>
      <c r="C35" s="10"/>
      <c r="D35" s="11">
        <f t="shared" si="0"/>
        <v>0</v>
      </c>
    </row>
    <row r="36" spans="1:4" ht="18" hidden="1" x14ac:dyDescent="0.35">
      <c r="A36" s="8" t="s">
        <v>192</v>
      </c>
      <c r="B36" s="9"/>
      <c r="C36" s="13"/>
      <c r="D36" s="11">
        <f t="shared" si="0"/>
        <v>0</v>
      </c>
    </row>
    <row r="37" spans="1:4" ht="18" hidden="1" x14ac:dyDescent="0.35">
      <c r="A37" s="8" t="s">
        <v>193</v>
      </c>
      <c r="B37" s="9"/>
      <c r="C37" s="10">
        <v>18000</v>
      </c>
      <c r="D37" s="11">
        <f t="shared" si="0"/>
        <v>0</v>
      </c>
    </row>
    <row r="38" spans="1:4" ht="18" hidden="1" x14ac:dyDescent="0.35">
      <c r="A38" s="8" t="s">
        <v>194</v>
      </c>
      <c r="B38" s="9"/>
      <c r="C38" s="10"/>
      <c r="D38" s="11">
        <f t="shared" si="0"/>
        <v>0</v>
      </c>
    </row>
    <row r="39" spans="1:4" ht="18" hidden="1" x14ac:dyDescent="0.35">
      <c r="A39" s="8" t="s">
        <v>195</v>
      </c>
      <c r="B39" s="9"/>
      <c r="C39" s="10"/>
      <c r="D39" s="11">
        <f t="shared" si="0"/>
        <v>0</v>
      </c>
    </row>
    <row r="40" spans="1:4" ht="18" hidden="1" x14ac:dyDescent="0.35">
      <c r="A40" s="14" t="s">
        <v>64</v>
      </c>
      <c r="B40" s="9"/>
      <c r="C40" s="10"/>
      <c r="D40" s="11">
        <f t="shared" si="0"/>
        <v>0</v>
      </c>
    </row>
    <row r="41" spans="1:4" ht="18" hidden="1" x14ac:dyDescent="0.35">
      <c r="A41" s="8" t="s">
        <v>119</v>
      </c>
      <c r="B41" s="9"/>
      <c r="C41" s="10"/>
      <c r="D41" s="11">
        <f t="shared" si="0"/>
        <v>0</v>
      </c>
    </row>
    <row r="42" spans="1:4" ht="18" hidden="1" x14ac:dyDescent="0.35">
      <c r="A42" s="8" t="s">
        <v>46</v>
      </c>
      <c r="B42" s="9"/>
      <c r="C42" s="12"/>
      <c r="D42" s="11">
        <f t="shared" si="0"/>
        <v>0</v>
      </c>
    </row>
    <row r="43" spans="1:4" ht="18" hidden="1" x14ac:dyDescent="0.35">
      <c r="A43" s="8" t="s">
        <v>47</v>
      </c>
      <c r="B43" s="9"/>
      <c r="C43" s="12"/>
      <c r="D43" s="11">
        <f t="shared" si="0"/>
        <v>0</v>
      </c>
    </row>
    <row r="44" spans="1:4" ht="18" hidden="1" x14ac:dyDescent="0.35">
      <c r="A44" s="8" t="s">
        <v>65</v>
      </c>
      <c r="B44" s="9"/>
      <c r="C44" s="12"/>
      <c r="D44" s="11">
        <f t="shared" si="0"/>
        <v>0</v>
      </c>
    </row>
    <row r="45" spans="1:4" ht="18" hidden="1" x14ac:dyDescent="0.35">
      <c r="A45" s="8" t="s">
        <v>107</v>
      </c>
      <c r="B45" s="9"/>
      <c r="C45" s="10"/>
      <c r="D45" s="11">
        <f t="shared" si="0"/>
        <v>0</v>
      </c>
    </row>
    <row r="46" spans="1:4" ht="18.75" x14ac:dyDescent="0.25">
      <c r="A46" s="8" t="s">
        <v>48</v>
      </c>
      <c r="B46" s="9">
        <v>13</v>
      </c>
      <c r="C46" s="10">
        <v>15000</v>
      </c>
      <c r="D46" s="11">
        <f t="shared" si="0"/>
        <v>195000</v>
      </c>
    </row>
    <row r="47" spans="1:4" ht="18" hidden="1" x14ac:dyDescent="0.35">
      <c r="A47" s="14" t="s">
        <v>69</v>
      </c>
      <c r="B47" s="9"/>
      <c r="C47" s="15">
        <v>38000</v>
      </c>
      <c r="D47" s="11">
        <f t="shared" si="0"/>
        <v>0</v>
      </c>
    </row>
    <row r="48" spans="1:4" ht="18" hidden="1" x14ac:dyDescent="0.35">
      <c r="A48" s="14" t="s">
        <v>70</v>
      </c>
      <c r="B48" s="9"/>
      <c r="C48" s="15"/>
      <c r="D48" s="11">
        <f t="shared" si="0"/>
        <v>0</v>
      </c>
    </row>
    <row r="49" spans="1:4" ht="18" hidden="1" x14ac:dyDescent="0.35">
      <c r="A49" s="14" t="s">
        <v>71</v>
      </c>
      <c r="B49" s="9"/>
      <c r="C49" s="10"/>
      <c r="D49" s="11">
        <f t="shared" si="0"/>
        <v>0</v>
      </c>
    </row>
    <row r="50" spans="1:4" ht="18" hidden="1" x14ac:dyDescent="0.35">
      <c r="A50" s="8" t="s">
        <v>75</v>
      </c>
      <c r="B50" s="9"/>
      <c r="C50" s="15"/>
      <c r="D50" s="11">
        <f t="shared" si="0"/>
        <v>0</v>
      </c>
    </row>
    <row r="51" spans="1:4" ht="18" hidden="1" x14ac:dyDescent="0.35">
      <c r="A51" s="14" t="s">
        <v>66</v>
      </c>
      <c r="B51" s="9"/>
      <c r="C51" s="10"/>
      <c r="D51" s="11">
        <f t="shared" si="0"/>
        <v>0</v>
      </c>
    </row>
    <row r="52" spans="1:4" ht="18.75" x14ac:dyDescent="0.25">
      <c r="A52" s="8" t="s">
        <v>121</v>
      </c>
      <c r="B52" s="9">
        <v>120</v>
      </c>
      <c r="C52" s="13">
        <v>22000</v>
      </c>
      <c r="D52" s="11">
        <f t="shared" si="0"/>
        <v>2640000</v>
      </c>
    </row>
    <row r="53" spans="1:4" ht="18" hidden="1" x14ac:dyDescent="0.35">
      <c r="A53" s="8" t="s">
        <v>122</v>
      </c>
      <c r="B53" s="9"/>
      <c r="C53" s="12">
        <v>17000</v>
      </c>
      <c r="D53" s="11">
        <f t="shared" si="0"/>
        <v>0</v>
      </c>
    </row>
    <row r="54" spans="1:4" ht="18" hidden="1" x14ac:dyDescent="0.35">
      <c r="A54" s="8" t="s">
        <v>99</v>
      </c>
      <c r="B54" s="9"/>
      <c r="C54" s="12"/>
      <c r="D54" s="11">
        <f t="shared" si="0"/>
        <v>0</v>
      </c>
    </row>
    <row r="55" spans="1:4" ht="18" hidden="1" x14ac:dyDescent="0.35">
      <c r="A55" s="8" t="s">
        <v>49</v>
      </c>
      <c r="B55" s="9"/>
      <c r="C55" s="10"/>
      <c r="D55" s="11">
        <f t="shared" si="0"/>
        <v>0</v>
      </c>
    </row>
    <row r="56" spans="1:4" ht="18" hidden="1" x14ac:dyDescent="0.35">
      <c r="A56" s="8" t="s">
        <v>50</v>
      </c>
      <c r="B56" s="9"/>
      <c r="C56" s="10"/>
      <c r="D56" s="11">
        <f t="shared" si="0"/>
        <v>0</v>
      </c>
    </row>
    <row r="57" spans="1:4" ht="18" hidden="1" x14ac:dyDescent="0.35">
      <c r="A57" s="8" t="s">
        <v>51</v>
      </c>
      <c r="B57" s="9"/>
      <c r="C57" s="10"/>
      <c r="D57" s="11">
        <f t="shared" si="0"/>
        <v>0</v>
      </c>
    </row>
    <row r="58" spans="1:4" ht="18" hidden="1" x14ac:dyDescent="0.35">
      <c r="A58" s="8" t="s">
        <v>52</v>
      </c>
      <c r="B58" s="9"/>
      <c r="C58" s="12"/>
      <c r="D58" s="11">
        <f t="shared" si="0"/>
        <v>0</v>
      </c>
    </row>
    <row r="59" spans="1:4" ht="18" hidden="1" x14ac:dyDescent="0.35">
      <c r="A59" s="8" t="s">
        <v>53</v>
      </c>
      <c r="B59" s="9"/>
      <c r="C59" s="10"/>
      <c r="D59" s="11">
        <f t="shared" si="0"/>
        <v>0</v>
      </c>
    </row>
    <row r="60" spans="1:4" ht="18" hidden="1" x14ac:dyDescent="0.35">
      <c r="A60" s="8" t="s">
        <v>143</v>
      </c>
      <c r="B60" s="9"/>
      <c r="C60" s="13"/>
      <c r="D60" s="11">
        <f t="shared" si="0"/>
        <v>0</v>
      </c>
    </row>
    <row r="61" spans="1:4" ht="18" hidden="1" x14ac:dyDescent="0.35">
      <c r="A61" s="8" t="s">
        <v>21</v>
      </c>
      <c r="B61" s="9"/>
      <c r="C61" s="10"/>
      <c r="D61" s="11">
        <f t="shared" si="0"/>
        <v>0</v>
      </c>
    </row>
    <row r="62" spans="1:4" ht="18" hidden="1" x14ac:dyDescent="0.35">
      <c r="A62" s="8" t="s">
        <v>207</v>
      </c>
      <c r="B62" s="9"/>
      <c r="C62" s="13"/>
      <c r="D62" s="11">
        <f t="shared" si="0"/>
        <v>0</v>
      </c>
    </row>
    <row r="63" spans="1:4" ht="18" hidden="1" x14ac:dyDescent="0.35">
      <c r="A63" s="8" t="s">
        <v>208</v>
      </c>
      <c r="B63" s="9"/>
      <c r="C63" s="13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8" t="s">
        <v>23</v>
      </c>
      <c r="B65" s="9"/>
      <c r="C65" s="10"/>
      <c r="D65" s="11">
        <f t="shared" si="0"/>
        <v>0</v>
      </c>
    </row>
    <row r="66" spans="1:4" ht="18" hidden="1" x14ac:dyDescent="0.35">
      <c r="A66" s="8" t="s">
        <v>26</v>
      </c>
      <c r="B66" s="9"/>
      <c r="C66" s="10"/>
      <c r="D66" s="11">
        <f t="shared" si="0"/>
        <v>0</v>
      </c>
    </row>
    <row r="67" spans="1:4" ht="18" hidden="1" x14ac:dyDescent="0.35">
      <c r="A67" s="8" t="s">
        <v>78</v>
      </c>
      <c r="B67" s="9"/>
      <c r="C67" s="12"/>
      <c r="D67" s="11">
        <f t="shared" si="0"/>
        <v>0</v>
      </c>
    </row>
    <row r="68" spans="1:4" ht="18" hidden="1" x14ac:dyDescent="0.35">
      <c r="A68" s="8" t="s">
        <v>120</v>
      </c>
      <c r="B68" s="9"/>
      <c r="C68" s="10">
        <v>15000</v>
      </c>
      <c r="D68" s="11">
        <f t="shared" si="0"/>
        <v>0</v>
      </c>
    </row>
    <row r="69" spans="1:4" ht="18" hidden="1" x14ac:dyDescent="0.35">
      <c r="A69" s="8" t="s">
        <v>79</v>
      </c>
      <c r="B69" s="9"/>
      <c r="C69" s="13"/>
      <c r="D69" s="11">
        <f t="shared" ref="D69:D132" si="1">B69*C69</f>
        <v>0</v>
      </c>
    </row>
    <row r="70" spans="1:4" ht="18" hidden="1" x14ac:dyDescent="0.35">
      <c r="A70" s="8" t="s">
        <v>8</v>
      </c>
      <c r="B70" s="9"/>
      <c r="C70" s="12"/>
      <c r="D70" s="11">
        <f t="shared" si="1"/>
        <v>0</v>
      </c>
    </row>
    <row r="71" spans="1:4" ht="18" hidden="1" x14ac:dyDescent="0.35">
      <c r="A71" s="8" t="s">
        <v>9</v>
      </c>
      <c r="B71" s="9"/>
      <c r="C71" s="10"/>
      <c r="D71" s="11">
        <f t="shared" si="1"/>
        <v>0</v>
      </c>
    </row>
    <row r="72" spans="1:4" ht="18" hidden="1" x14ac:dyDescent="0.35">
      <c r="A72" s="8" t="s">
        <v>10</v>
      </c>
      <c r="B72" s="9"/>
      <c r="C72" s="10">
        <v>21000</v>
      </c>
      <c r="D72" s="11">
        <f t="shared" si="1"/>
        <v>0</v>
      </c>
    </row>
    <row r="73" spans="1:4" ht="18" hidden="1" x14ac:dyDescent="0.35">
      <c r="A73" s="20" t="s">
        <v>150</v>
      </c>
      <c r="B73" s="9"/>
      <c r="C73" s="25"/>
      <c r="D73" s="11">
        <f t="shared" si="1"/>
        <v>0</v>
      </c>
    </row>
    <row r="74" spans="1:4" ht="18" hidden="1" x14ac:dyDescent="0.35">
      <c r="A74" s="20" t="s">
        <v>54</v>
      </c>
      <c r="B74" s="9"/>
      <c r="C74" s="10"/>
      <c r="D74" s="11">
        <f t="shared" si="1"/>
        <v>0</v>
      </c>
    </row>
    <row r="75" spans="1:4" ht="18" hidden="1" x14ac:dyDescent="0.35">
      <c r="A75" s="20" t="s">
        <v>68</v>
      </c>
      <c r="B75" s="9"/>
      <c r="C75" s="10"/>
      <c r="D75" s="11">
        <f t="shared" si="1"/>
        <v>0</v>
      </c>
    </row>
    <row r="76" spans="1:4" ht="18" hidden="1" x14ac:dyDescent="0.35">
      <c r="A76" s="8" t="s">
        <v>109</v>
      </c>
      <c r="B76" s="9"/>
      <c r="C76" s="12">
        <v>10000</v>
      </c>
      <c r="D76" s="11">
        <f t="shared" si="1"/>
        <v>0</v>
      </c>
    </row>
    <row r="77" spans="1:4" ht="18" hidden="1" x14ac:dyDescent="0.35">
      <c r="A77" s="14" t="s">
        <v>209</v>
      </c>
      <c r="B77" s="9"/>
      <c r="C77" s="10"/>
      <c r="D77" s="11">
        <f t="shared" si="1"/>
        <v>0</v>
      </c>
    </row>
    <row r="78" spans="1:4" ht="18" hidden="1" x14ac:dyDescent="0.35">
      <c r="A78" s="14" t="s">
        <v>100</v>
      </c>
      <c r="B78" s="9"/>
      <c r="C78" s="10"/>
      <c r="D78" s="11">
        <f t="shared" si="1"/>
        <v>0</v>
      </c>
    </row>
    <row r="79" spans="1:4" ht="18" hidden="1" x14ac:dyDescent="0.35">
      <c r="A79" s="14" t="s">
        <v>101</v>
      </c>
      <c r="B79" s="9"/>
      <c r="C79" s="10"/>
      <c r="D79" s="11">
        <f t="shared" si="1"/>
        <v>0</v>
      </c>
    </row>
    <row r="80" spans="1:4" ht="18" hidden="1" x14ac:dyDescent="0.35">
      <c r="A80" s="14" t="s">
        <v>102</v>
      </c>
      <c r="B80" s="21"/>
      <c r="C80" s="10"/>
      <c r="D80" s="11">
        <f t="shared" si="1"/>
        <v>0</v>
      </c>
    </row>
    <row r="81" spans="1:4" ht="18.75" x14ac:dyDescent="0.25">
      <c r="A81" s="14" t="s">
        <v>196</v>
      </c>
      <c r="B81" s="9">
        <v>11</v>
      </c>
      <c r="C81" s="12">
        <v>12000</v>
      </c>
      <c r="D81" s="11">
        <f t="shared" si="1"/>
        <v>132000</v>
      </c>
    </row>
    <row r="82" spans="1:4" ht="18" hidden="1" x14ac:dyDescent="0.35">
      <c r="A82" s="14" t="s">
        <v>197</v>
      </c>
      <c r="B82" s="9"/>
      <c r="C82" s="10"/>
      <c r="D82" s="11">
        <f t="shared" si="1"/>
        <v>0</v>
      </c>
    </row>
    <row r="83" spans="1:4" ht="18" hidden="1" x14ac:dyDescent="0.35">
      <c r="A83" s="8" t="s">
        <v>198</v>
      </c>
      <c r="B83" s="9"/>
      <c r="C83" s="10"/>
      <c r="D83" s="11">
        <f t="shared" si="1"/>
        <v>0</v>
      </c>
    </row>
    <row r="84" spans="1:4" ht="18" hidden="1" x14ac:dyDescent="0.35">
      <c r="A84" s="8" t="s">
        <v>76</v>
      </c>
      <c r="B84" s="9"/>
      <c r="C84" s="10"/>
      <c r="D84" s="11">
        <f t="shared" si="1"/>
        <v>0</v>
      </c>
    </row>
    <row r="85" spans="1:4" ht="18.75" x14ac:dyDescent="0.25">
      <c r="A85" s="8" t="s">
        <v>20</v>
      </c>
      <c r="B85" s="9">
        <v>13</v>
      </c>
      <c r="C85" s="13">
        <v>12000</v>
      </c>
      <c r="D85" s="11">
        <f t="shared" si="1"/>
        <v>156000</v>
      </c>
    </row>
    <row r="86" spans="1:4" ht="18" hidden="1" x14ac:dyDescent="0.35">
      <c r="A86" s="8" t="s">
        <v>98</v>
      </c>
      <c r="B86" s="9"/>
      <c r="C86" s="10"/>
      <c r="D86" s="11">
        <f t="shared" si="1"/>
        <v>0</v>
      </c>
    </row>
    <row r="87" spans="1:4" ht="18" hidden="1" x14ac:dyDescent="0.35">
      <c r="A87" s="14" t="s">
        <v>151</v>
      </c>
      <c r="B87" s="9"/>
      <c r="C87" s="10"/>
      <c r="D87" s="11">
        <f t="shared" si="1"/>
        <v>0</v>
      </c>
    </row>
    <row r="88" spans="1:4" ht="18" hidden="1" x14ac:dyDescent="0.35">
      <c r="A88" s="14" t="s">
        <v>152</v>
      </c>
      <c r="B88" s="9"/>
      <c r="C88" s="10"/>
      <c r="D88" s="11">
        <f t="shared" si="1"/>
        <v>0</v>
      </c>
    </row>
    <row r="89" spans="1:4" ht="18" hidden="1" x14ac:dyDescent="0.35">
      <c r="A89" s="8" t="s">
        <v>153</v>
      </c>
      <c r="B89" s="9"/>
      <c r="C89" s="10"/>
      <c r="D89" s="11">
        <f t="shared" si="1"/>
        <v>0</v>
      </c>
    </row>
    <row r="90" spans="1:4" ht="18" hidden="1" x14ac:dyDescent="0.35">
      <c r="A90" s="8" t="s">
        <v>154</v>
      </c>
      <c r="B90" s="9"/>
      <c r="C90" s="10"/>
      <c r="D90" s="11">
        <f t="shared" si="1"/>
        <v>0</v>
      </c>
    </row>
    <row r="91" spans="1:4" ht="18" hidden="1" x14ac:dyDescent="0.35">
      <c r="A91" s="8" t="s">
        <v>80</v>
      </c>
      <c r="B91" s="9"/>
      <c r="C91" s="10"/>
      <c r="D91" s="11">
        <f t="shared" si="1"/>
        <v>0</v>
      </c>
    </row>
    <row r="92" spans="1:4" ht="18" hidden="1" x14ac:dyDescent="0.35">
      <c r="A92" s="8" t="s">
        <v>81</v>
      </c>
      <c r="B92" s="9"/>
      <c r="C92" s="13"/>
      <c r="D92" s="11">
        <f t="shared" si="1"/>
        <v>0</v>
      </c>
    </row>
    <row r="93" spans="1:4" ht="18" hidden="1" x14ac:dyDescent="0.35">
      <c r="A93" s="8" t="s">
        <v>82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83</v>
      </c>
      <c r="B94" s="9"/>
      <c r="C94" s="10"/>
      <c r="D94" s="11">
        <f t="shared" si="1"/>
        <v>0</v>
      </c>
    </row>
    <row r="95" spans="1:4" ht="18" hidden="1" x14ac:dyDescent="0.35">
      <c r="A95" s="8" t="s">
        <v>84</v>
      </c>
      <c r="B95" s="9"/>
      <c r="C95" s="10">
        <v>50000</v>
      </c>
      <c r="D95" s="11">
        <f t="shared" si="1"/>
        <v>0</v>
      </c>
    </row>
    <row r="96" spans="1:4" ht="18" hidden="1" x14ac:dyDescent="0.35">
      <c r="A96" s="8" t="s">
        <v>85</v>
      </c>
      <c r="B96" s="9"/>
      <c r="C96" s="10"/>
      <c r="D96" s="11">
        <f t="shared" si="1"/>
        <v>0</v>
      </c>
    </row>
    <row r="97" spans="1:4" ht="18" hidden="1" x14ac:dyDescent="0.35">
      <c r="A97" s="8" t="s">
        <v>86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103</v>
      </c>
      <c r="B98" s="9"/>
      <c r="C98" s="10"/>
      <c r="D98" s="11">
        <f t="shared" si="1"/>
        <v>0</v>
      </c>
    </row>
    <row r="99" spans="1:4" ht="18" hidden="1" x14ac:dyDescent="0.35">
      <c r="A99" s="8" t="s">
        <v>104</v>
      </c>
      <c r="B99" s="9"/>
      <c r="C99" s="12"/>
      <c r="D99" s="11">
        <f t="shared" si="1"/>
        <v>0</v>
      </c>
    </row>
    <row r="100" spans="1:4" ht="18" hidden="1" x14ac:dyDescent="0.35">
      <c r="A100" s="8" t="s">
        <v>87</v>
      </c>
      <c r="B100" s="9"/>
      <c r="C100" s="12"/>
      <c r="D100" s="11">
        <f t="shared" si="1"/>
        <v>0</v>
      </c>
    </row>
    <row r="101" spans="1:4" ht="18" hidden="1" x14ac:dyDescent="0.35">
      <c r="A101" s="8" t="s">
        <v>88</v>
      </c>
      <c r="B101" s="9"/>
      <c r="C101" s="10">
        <v>45000</v>
      </c>
      <c r="D101" s="11">
        <f t="shared" si="1"/>
        <v>0</v>
      </c>
    </row>
    <row r="102" spans="1:4" ht="18" hidden="1" x14ac:dyDescent="0.35">
      <c r="A102" s="8" t="s">
        <v>144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145</v>
      </c>
      <c r="B103" s="9"/>
      <c r="C103" s="12">
        <v>18000</v>
      </c>
      <c r="D103" s="11">
        <f t="shared" si="1"/>
        <v>0</v>
      </c>
    </row>
    <row r="104" spans="1:4" ht="18" hidden="1" x14ac:dyDescent="0.35">
      <c r="A104" s="8" t="s">
        <v>146</v>
      </c>
      <c r="B104" s="9"/>
      <c r="C104" s="12"/>
      <c r="D104" s="11">
        <f t="shared" si="1"/>
        <v>0</v>
      </c>
    </row>
    <row r="105" spans="1:4" ht="18" hidden="1" x14ac:dyDescent="0.35">
      <c r="A105" s="8" t="s">
        <v>147</v>
      </c>
      <c r="B105" s="9"/>
      <c r="C105" s="12"/>
      <c r="D105" s="11">
        <f t="shared" si="1"/>
        <v>0</v>
      </c>
    </row>
    <row r="106" spans="1:4" ht="18" hidden="1" x14ac:dyDescent="0.35">
      <c r="A106" s="8" t="s">
        <v>202</v>
      </c>
      <c r="B106" s="9"/>
      <c r="C106" s="12">
        <v>23000</v>
      </c>
      <c r="D106" s="11">
        <f t="shared" si="1"/>
        <v>0</v>
      </c>
    </row>
    <row r="107" spans="1:4" ht="18" hidden="1" x14ac:dyDescent="0.35">
      <c r="A107" s="8" t="s">
        <v>203</v>
      </c>
      <c r="B107" s="9"/>
      <c r="C107" s="12"/>
      <c r="D107" s="11">
        <f t="shared" si="1"/>
        <v>0</v>
      </c>
    </row>
    <row r="108" spans="1:4" ht="18" hidden="1" x14ac:dyDescent="0.35">
      <c r="A108" s="8" t="s">
        <v>95</v>
      </c>
      <c r="B108" s="9"/>
      <c r="C108" s="12">
        <v>12000</v>
      </c>
      <c r="D108" s="11">
        <f t="shared" si="1"/>
        <v>0</v>
      </c>
    </row>
    <row r="109" spans="1:4" ht="18" hidden="1" x14ac:dyDescent="0.35">
      <c r="A109" s="8" t="s">
        <v>89</v>
      </c>
      <c r="B109" s="9"/>
      <c r="C109" s="12"/>
      <c r="D109" s="11">
        <f t="shared" si="1"/>
        <v>0</v>
      </c>
    </row>
    <row r="110" spans="1:4" ht="18" hidden="1" x14ac:dyDescent="0.35">
      <c r="A110" s="8" t="s">
        <v>90</v>
      </c>
      <c r="B110" s="9"/>
      <c r="C110" s="10">
        <v>50000</v>
      </c>
      <c r="D110" s="11">
        <f t="shared" si="1"/>
        <v>0</v>
      </c>
    </row>
    <row r="111" spans="1:4" ht="18" hidden="1" x14ac:dyDescent="0.35">
      <c r="A111" s="8" t="s">
        <v>105</v>
      </c>
      <c r="B111" s="9"/>
      <c r="C111" s="10"/>
      <c r="D111" s="11">
        <f t="shared" si="1"/>
        <v>0</v>
      </c>
    </row>
    <row r="112" spans="1:4" ht="18" hidden="1" x14ac:dyDescent="0.35">
      <c r="A112" s="8" t="s">
        <v>30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128</v>
      </c>
      <c r="B113" s="9"/>
      <c r="C113" s="10"/>
      <c r="D113" s="11">
        <f t="shared" si="1"/>
        <v>0</v>
      </c>
    </row>
    <row r="114" spans="1:4" ht="18" hidden="1" x14ac:dyDescent="0.35">
      <c r="A114" s="14" t="s">
        <v>129</v>
      </c>
      <c r="B114" s="9"/>
      <c r="C114" s="10"/>
      <c r="D114" s="11">
        <f t="shared" si="1"/>
        <v>0</v>
      </c>
    </row>
    <row r="115" spans="1:4" ht="18" hidden="1" x14ac:dyDescent="0.35">
      <c r="A115" s="8" t="s">
        <v>130</v>
      </c>
      <c r="B115" s="9"/>
      <c r="C115" s="12">
        <v>15000</v>
      </c>
      <c r="D115" s="11">
        <f t="shared" si="1"/>
        <v>0</v>
      </c>
    </row>
    <row r="116" spans="1:4" ht="18" hidden="1" x14ac:dyDescent="0.35">
      <c r="A116" s="8" t="s">
        <v>131</v>
      </c>
      <c r="B116" s="9"/>
      <c r="C116" s="12"/>
      <c r="D116" s="11">
        <f t="shared" si="1"/>
        <v>0</v>
      </c>
    </row>
    <row r="117" spans="1:4" ht="18" hidden="1" x14ac:dyDescent="0.35">
      <c r="A117" s="8" t="s">
        <v>210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132</v>
      </c>
      <c r="B118" s="9"/>
      <c r="C118" s="10"/>
      <c r="D118" s="11">
        <f t="shared" si="1"/>
        <v>0</v>
      </c>
    </row>
    <row r="119" spans="1:4" ht="18" hidden="1" x14ac:dyDescent="0.35">
      <c r="A119" s="8" t="s">
        <v>55</v>
      </c>
      <c r="B119" s="9"/>
      <c r="C119" s="10"/>
      <c r="D119" s="11">
        <f t="shared" si="1"/>
        <v>0</v>
      </c>
    </row>
    <row r="120" spans="1:4" ht="18" hidden="1" x14ac:dyDescent="0.35">
      <c r="A120" s="8" t="s">
        <v>24</v>
      </c>
      <c r="B120" s="9"/>
      <c r="C120" s="10"/>
      <c r="D120" s="11">
        <f t="shared" si="1"/>
        <v>0</v>
      </c>
    </row>
    <row r="121" spans="1:4" ht="18" hidden="1" x14ac:dyDescent="0.35">
      <c r="A121" s="14" t="s">
        <v>56</v>
      </c>
      <c r="B121" s="9"/>
      <c r="C121" s="10"/>
      <c r="D121" s="11">
        <f t="shared" si="1"/>
        <v>0</v>
      </c>
    </row>
    <row r="122" spans="1:4" ht="18.75" x14ac:dyDescent="0.25">
      <c r="A122" s="14" t="s">
        <v>112</v>
      </c>
      <c r="B122" s="9">
        <v>1350</v>
      </c>
      <c r="C122" s="10">
        <v>20000</v>
      </c>
      <c r="D122" s="11">
        <f t="shared" si="1"/>
        <v>27000000</v>
      </c>
    </row>
    <row r="123" spans="1:4" ht="18.75" x14ac:dyDescent="0.25">
      <c r="A123" s="14" t="s">
        <v>113</v>
      </c>
      <c r="B123" s="9">
        <v>185</v>
      </c>
      <c r="C123" s="10">
        <v>17000</v>
      </c>
      <c r="D123" s="11">
        <f t="shared" si="1"/>
        <v>3145000</v>
      </c>
    </row>
    <row r="124" spans="1:4" ht="18.75" x14ac:dyDescent="0.25">
      <c r="A124" s="8" t="s">
        <v>114</v>
      </c>
      <c r="B124" s="9">
        <v>777</v>
      </c>
      <c r="C124" s="12">
        <v>14000</v>
      </c>
      <c r="D124" s="11">
        <f t="shared" si="1"/>
        <v>10878000</v>
      </c>
    </row>
    <row r="125" spans="1:4" ht="18" x14ac:dyDescent="0.35">
      <c r="A125" s="14" t="s">
        <v>115</v>
      </c>
      <c r="B125" s="9">
        <v>12</v>
      </c>
      <c r="C125" s="10">
        <v>25000</v>
      </c>
      <c r="D125" s="11">
        <f t="shared" si="1"/>
        <v>300000</v>
      </c>
    </row>
    <row r="126" spans="1:4" ht="18" hidden="1" x14ac:dyDescent="0.35">
      <c r="A126" s="14" t="s">
        <v>116</v>
      </c>
      <c r="B126" s="9"/>
      <c r="C126" s="12"/>
      <c r="D126" s="11">
        <f t="shared" si="1"/>
        <v>0</v>
      </c>
    </row>
    <row r="127" spans="1:4" ht="18" hidden="1" x14ac:dyDescent="0.35">
      <c r="A127" s="8" t="s">
        <v>67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117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25</v>
      </c>
      <c r="B129" s="9"/>
      <c r="C129" s="13"/>
      <c r="D129" s="11">
        <f t="shared" si="1"/>
        <v>0</v>
      </c>
    </row>
    <row r="130" spans="1:4" ht="18" hidden="1" x14ac:dyDescent="0.35">
      <c r="A130" s="8" t="s">
        <v>31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33</v>
      </c>
      <c r="B132" s="9"/>
      <c r="C132" s="13"/>
      <c r="D132" s="11">
        <f t="shared" si="1"/>
        <v>0</v>
      </c>
    </row>
    <row r="133" spans="1:4" ht="18" hidden="1" x14ac:dyDescent="0.35">
      <c r="A133" s="8" t="s">
        <v>39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14" t="s">
        <v>40</v>
      </c>
      <c r="B134" s="9"/>
      <c r="C134" s="10"/>
      <c r="D134" s="11">
        <f t="shared" si="2"/>
        <v>0</v>
      </c>
    </row>
    <row r="135" spans="1:4" ht="18" hidden="1" x14ac:dyDescent="0.35">
      <c r="A135" s="8" t="s">
        <v>41</v>
      </c>
      <c r="B135" s="9"/>
      <c r="C135" s="10"/>
      <c r="D135" s="11">
        <f t="shared" si="2"/>
        <v>0</v>
      </c>
    </row>
    <row r="136" spans="1:4" ht="18" hidden="1" x14ac:dyDescent="0.35">
      <c r="A136" s="8" t="s">
        <v>42</v>
      </c>
      <c r="B136" s="9"/>
      <c r="C136" s="13"/>
      <c r="D136" s="11">
        <f t="shared" si="2"/>
        <v>0</v>
      </c>
    </row>
    <row r="137" spans="1:4" ht="18.75" x14ac:dyDescent="0.25">
      <c r="A137" s="8" t="s">
        <v>205</v>
      </c>
      <c r="B137" s="9">
        <v>56</v>
      </c>
      <c r="C137" s="10">
        <v>11000</v>
      </c>
      <c r="D137" s="11">
        <f t="shared" si="2"/>
        <v>616000</v>
      </c>
    </row>
    <row r="138" spans="1:4" ht="18" hidden="1" x14ac:dyDescent="0.35">
      <c r="A138" s="16" t="s">
        <v>43</v>
      </c>
      <c r="B138" s="9"/>
      <c r="C138" s="10"/>
      <c r="D138" s="11">
        <f t="shared" si="2"/>
        <v>0</v>
      </c>
    </row>
    <row r="139" spans="1:4" ht="18" hidden="1" x14ac:dyDescent="0.35">
      <c r="A139" s="8" t="s">
        <v>211</v>
      </c>
      <c r="B139" s="9"/>
      <c r="C139" s="13"/>
      <c r="D139" s="11">
        <f t="shared" si="2"/>
        <v>0</v>
      </c>
    </row>
    <row r="140" spans="1:4" ht="18" hidden="1" x14ac:dyDescent="0.35">
      <c r="A140" s="8" t="s">
        <v>155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156</v>
      </c>
      <c r="B141" s="9"/>
      <c r="C141" s="10"/>
      <c r="D141" s="11">
        <f t="shared" si="2"/>
        <v>0</v>
      </c>
    </row>
    <row r="142" spans="1:4" ht="18" hidden="1" x14ac:dyDescent="0.35">
      <c r="A142" s="22" t="s">
        <v>108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133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134</v>
      </c>
      <c r="B144" s="9"/>
      <c r="C144" s="10"/>
      <c r="D144" s="11">
        <f t="shared" si="2"/>
        <v>0</v>
      </c>
    </row>
    <row r="145" spans="1:4" ht="18" hidden="1" x14ac:dyDescent="0.35">
      <c r="A145" s="8" t="s">
        <v>201</v>
      </c>
      <c r="B145" s="9"/>
      <c r="C145" s="19"/>
      <c r="D145" s="11">
        <f t="shared" si="2"/>
        <v>0</v>
      </c>
    </row>
    <row r="146" spans="1:4" ht="18.75" x14ac:dyDescent="0.25">
      <c r="A146" s="8" t="s">
        <v>165</v>
      </c>
      <c r="B146" s="9">
        <v>24</v>
      </c>
      <c r="C146" s="10">
        <v>26000</v>
      </c>
      <c r="D146" s="11">
        <f t="shared" si="2"/>
        <v>624000</v>
      </c>
    </row>
    <row r="147" spans="1:4" ht="18.75" x14ac:dyDescent="0.25">
      <c r="A147" s="26" t="s">
        <v>166</v>
      </c>
      <c r="B147" s="9">
        <v>33</v>
      </c>
      <c r="C147" s="10">
        <v>7500</v>
      </c>
      <c r="D147" s="11">
        <f t="shared" si="2"/>
        <v>247500</v>
      </c>
    </row>
    <row r="148" spans="1:4" ht="18" hidden="1" x14ac:dyDescent="0.35">
      <c r="A148" s="8" t="s">
        <v>167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168</v>
      </c>
      <c r="B149" s="9"/>
      <c r="C149" s="12"/>
      <c r="D149" s="11">
        <f t="shared" si="2"/>
        <v>0</v>
      </c>
    </row>
    <row r="150" spans="1:4" ht="18.75" x14ac:dyDescent="0.25">
      <c r="A150" s="8" t="s">
        <v>169</v>
      </c>
      <c r="B150" s="9">
        <v>7</v>
      </c>
      <c r="C150" s="10">
        <v>26000</v>
      </c>
      <c r="D150" s="11">
        <f t="shared" si="2"/>
        <v>182000</v>
      </c>
    </row>
    <row r="151" spans="1:4" ht="18" hidden="1" x14ac:dyDescent="0.35">
      <c r="A151" s="8" t="s">
        <v>170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135</v>
      </c>
      <c r="B152" s="9"/>
      <c r="C152" s="19"/>
      <c r="D152" s="11">
        <f t="shared" si="2"/>
        <v>0</v>
      </c>
    </row>
    <row r="153" spans="1:4" ht="18" hidden="1" x14ac:dyDescent="0.35">
      <c r="A153" s="24" t="s">
        <v>148</v>
      </c>
      <c r="B153" s="9"/>
      <c r="C153" s="12"/>
      <c r="D153" s="11">
        <f t="shared" si="2"/>
        <v>0</v>
      </c>
    </row>
    <row r="154" spans="1:4" ht="18" hidden="1" x14ac:dyDescent="0.35">
      <c r="A154" s="8" t="s">
        <v>34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35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77</v>
      </c>
      <c r="B156" s="9"/>
      <c r="C156" s="13"/>
      <c r="D156" s="11">
        <f t="shared" si="2"/>
        <v>0</v>
      </c>
    </row>
    <row r="157" spans="1:4" ht="18" hidden="1" x14ac:dyDescent="0.35">
      <c r="A157" s="8" t="s">
        <v>118</v>
      </c>
      <c r="B157" s="9"/>
      <c r="C157" s="12"/>
      <c r="D157" s="11">
        <f t="shared" si="2"/>
        <v>0</v>
      </c>
    </row>
    <row r="158" spans="1:4" ht="18" hidden="1" x14ac:dyDescent="0.35">
      <c r="A158" s="8" t="s">
        <v>106</v>
      </c>
      <c r="B158" s="9"/>
      <c r="C158" s="10"/>
      <c r="D158" s="11">
        <f t="shared" si="2"/>
        <v>0</v>
      </c>
    </row>
    <row r="159" spans="1:4" ht="18.75" x14ac:dyDescent="0.25">
      <c r="A159" s="8" t="s">
        <v>157</v>
      </c>
      <c r="B159" s="9">
        <v>6</v>
      </c>
      <c r="C159" s="10">
        <v>15000</v>
      </c>
      <c r="D159" s="11">
        <f t="shared" si="2"/>
        <v>90000</v>
      </c>
    </row>
    <row r="160" spans="1:4" ht="18.75" x14ac:dyDescent="0.25">
      <c r="A160" s="8" t="s">
        <v>11</v>
      </c>
      <c r="B160" s="9">
        <v>15</v>
      </c>
      <c r="C160" s="10">
        <v>36000</v>
      </c>
      <c r="D160" s="11">
        <f t="shared" si="2"/>
        <v>540000</v>
      </c>
    </row>
    <row r="161" spans="1:4" ht="18" hidden="1" x14ac:dyDescent="0.35">
      <c r="A161" s="8" t="s">
        <v>12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13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212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136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137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14</v>
      </c>
      <c r="B166" s="9"/>
      <c r="C166" s="12"/>
      <c r="D166" s="11">
        <f t="shared" si="2"/>
        <v>0</v>
      </c>
    </row>
    <row r="167" spans="1:4" ht="18" hidden="1" x14ac:dyDescent="0.35">
      <c r="A167" s="8" t="s">
        <v>15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16</v>
      </c>
      <c r="B168" s="9"/>
      <c r="C168" s="12"/>
      <c r="D168" s="11">
        <f t="shared" si="2"/>
        <v>0</v>
      </c>
    </row>
    <row r="169" spans="1:4" ht="18" hidden="1" x14ac:dyDescent="0.35">
      <c r="A169" s="8" t="s">
        <v>213</v>
      </c>
      <c r="B169" s="9"/>
      <c r="C169" s="13"/>
      <c r="D169" s="11">
        <f t="shared" si="2"/>
        <v>0</v>
      </c>
    </row>
    <row r="170" spans="1:4" ht="18.75" x14ac:dyDescent="0.25">
      <c r="A170" s="8" t="s">
        <v>17</v>
      </c>
      <c r="B170" s="9">
        <v>8</v>
      </c>
      <c r="C170" s="10">
        <v>16000</v>
      </c>
      <c r="D170" s="11">
        <f t="shared" si="2"/>
        <v>128000</v>
      </c>
    </row>
    <row r="171" spans="1:4" ht="18" hidden="1" x14ac:dyDescent="0.35">
      <c r="A171" s="8" t="s">
        <v>18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19</v>
      </c>
      <c r="B172" s="9"/>
      <c r="C172" s="10"/>
      <c r="D172" s="11">
        <f t="shared" si="2"/>
        <v>0</v>
      </c>
    </row>
    <row r="173" spans="1:4" ht="18" hidden="1" x14ac:dyDescent="0.35">
      <c r="A173" s="8" t="s">
        <v>214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158</v>
      </c>
      <c r="B174" s="9"/>
      <c r="C174" s="10"/>
      <c r="D174" s="11">
        <f t="shared" si="2"/>
        <v>0</v>
      </c>
    </row>
    <row r="175" spans="1:4" ht="18" hidden="1" x14ac:dyDescent="0.35">
      <c r="A175" s="8" t="s">
        <v>92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159</v>
      </c>
      <c r="B176" s="9"/>
      <c r="C176" s="10"/>
      <c r="D176" s="11">
        <f t="shared" si="2"/>
        <v>0</v>
      </c>
    </row>
    <row r="177" spans="1:4" ht="18" hidden="1" x14ac:dyDescent="0.35">
      <c r="A177" s="8" t="s">
        <v>160</v>
      </c>
      <c r="B177" s="9"/>
      <c r="C177" s="10"/>
      <c r="D177" s="11">
        <f t="shared" si="2"/>
        <v>0</v>
      </c>
    </row>
    <row r="178" spans="1:4" ht="18" hidden="1" x14ac:dyDescent="0.35">
      <c r="A178" s="8" t="s">
        <v>93</v>
      </c>
      <c r="B178" s="9"/>
      <c r="C178" s="10"/>
      <c r="D178" s="11">
        <f t="shared" si="2"/>
        <v>0</v>
      </c>
    </row>
    <row r="179" spans="1:4" ht="18" hidden="1" x14ac:dyDescent="0.35">
      <c r="A179" s="8" t="s">
        <v>199</v>
      </c>
      <c r="B179" s="9"/>
      <c r="C179" s="12">
        <v>40000</v>
      </c>
      <c r="D179" s="11">
        <f t="shared" si="2"/>
        <v>0</v>
      </c>
    </row>
    <row r="180" spans="1:4" ht="18" hidden="1" x14ac:dyDescent="0.35">
      <c r="A180" s="8" t="s">
        <v>200</v>
      </c>
      <c r="B180" s="9"/>
      <c r="C180" s="12"/>
      <c r="D180" s="11">
        <f t="shared" si="2"/>
        <v>0</v>
      </c>
    </row>
    <row r="181" spans="1:4" ht="18" hidden="1" x14ac:dyDescent="0.35">
      <c r="A181" s="8" t="s">
        <v>110</v>
      </c>
      <c r="B181" s="9"/>
      <c r="C181" s="10"/>
      <c r="D181" s="11">
        <f t="shared" si="2"/>
        <v>0</v>
      </c>
    </row>
    <row r="182" spans="1:4" ht="18" hidden="1" x14ac:dyDescent="0.35">
      <c r="A182" s="8" t="s">
        <v>188</v>
      </c>
      <c r="B182" s="9"/>
      <c r="C182" s="10"/>
      <c r="D182" s="11">
        <f t="shared" si="2"/>
        <v>0</v>
      </c>
    </row>
    <row r="183" spans="1:4" ht="18" hidden="1" x14ac:dyDescent="0.35">
      <c r="A183" s="8" t="s">
        <v>189</v>
      </c>
      <c r="B183" s="9"/>
      <c r="C183" s="13"/>
      <c r="D183" s="11">
        <f t="shared" si="2"/>
        <v>0</v>
      </c>
    </row>
    <row r="184" spans="1:4" ht="18" hidden="1" x14ac:dyDescent="0.35">
      <c r="A184" s="8" t="s">
        <v>57</v>
      </c>
      <c r="B184" s="9"/>
      <c r="C184" s="10"/>
      <c r="D184" s="11">
        <f t="shared" si="2"/>
        <v>0</v>
      </c>
    </row>
    <row r="185" spans="1:4" ht="18" hidden="1" x14ac:dyDescent="0.35">
      <c r="A185" s="8" t="s">
        <v>58</v>
      </c>
      <c r="B185" s="9"/>
      <c r="C185" s="13"/>
      <c r="D185" s="11">
        <f t="shared" si="2"/>
        <v>0</v>
      </c>
    </row>
    <row r="186" spans="1:4" ht="18" hidden="1" x14ac:dyDescent="0.35">
      <c r="A186" s="8" t="s">
        <v>44</v>
      </c>
      <c r="B186" s="9"/>
      <c r="C186" s="10">
        <v>15000</v>
      </c>
      <c r="D186" s="11">
        <f t="shared" si="2"/>
        <v>0</v>
      </c>
    </row>
    <row r="187" spans="1:4" ht="18" hidden="1" x14ac:dyDescent="0.35">
      <c r="A187" s="8" t="s">
        <v>45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161</v>
      </c>
      <c r="B188" s="9"/>
      <c r="C188" s="10">
        <v>32000</v>
      </c>
      <c r="D188" s="11">
        <f t="shared" si="2"/>
        <v>0</v>
      </c>
    </row>
    <row r="189" spans="1:4" ht="18" hidden="1" x14ac:dyDescent="0.35">
      <c r="A189" s="8" t="s">
        <v>162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163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164</v>
      </c>
      <c r="B191" s="9"/>
      <c r="C191" s="15"/>
      <c r="D191" s="11">
        <f t="shared" si="2"/>
        <v>0</v>
      </c>
    </row>
    <row r="192" spans="1:4" ht="18" hidden="1" x14ac:dyDescent="0.35">
      <c r="A192" s="8" t="s">
        <v>94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59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138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171</v>
      </c>
      <c r="B195" s="9"/>
      <c r="C195" s="13"/>
      <c r="D195" s="11">
        <f t="shared" si="2"/>
        <v>0</v>
      </c>
    </row>
    <row r="196" spans="1:4" ht="18" hidden="1" x14ac:dyDescent="0.35">
      <c r="A196" s="8" t="s">
        <v>172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173</v>
      </c>
      <c r="B197" s="9"/>
      <c r="C197" s="13">
        <v>25000</v>
      </c>
      <c r="D197" s="11">
        <f t="shared" ref="D197:D213" si="3">B197*C197</f>
        <v>0</v>
      </c>
    </row>
    <row r="198" spans="1:4" ht="18" hidden="1" x14ac:dyDescent="0.35">
      <c r="A198" s="8" t="s">
        <v>174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175</v>
      </c>
      <c r="B199" s="9"/>
      <c r="C199" s="13"/>
      <c r="D199" s="11">
        <f t="shared" si="3"/>
        <v>0</v>
      </c>
    </row>
    <row r="200" spans="1:4" ht="18" hidden="1" x14ac:dyDescent="0.35">
      <c r="A200" s="8" t="s">
        <v>60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176</v>
      </c>
      <c r="B201" s="9"/>
      <c r="C201" s="13"/>
      <c r="D201" s="11">
        <f t="shared" si="3"/>
        <v>0</v>
      </c>
    </row>
    <row r="202" spans="1:4" ht="18" hidden="1" x14ac:dyDescent="0.35">
      <c r="A202" s="8" t="s">
        <v>177</v>
      </c>
      <c r="B202" s="9"/>
      <c r="C202" s="12"/>
      <c r="D202" s="11">
        <f t="shared" si="3"/>
        <v>0</v>
      </c>
    </row>
    <row r="203" spans="1:4" ht="18" hidden="1" x14ac:dyDescent="0.35">
      <c r="A203" s="27" t="s">
        <v>178</v>
      </c>
      <c r="B203" s="9"/>
      <c r="C203" s="12"/>
      <c r="D203" s="11">
        <f t="shared" si="3"/>
        <v>0</v>
      </c>
    </row>
    <row r="204" spans="1:4" ht="18" hidden="1" x14ac:dyDescent="0.35">
      <c r="A204" s="27" t="s">
        <v>179</v>
      </c>
      <c r="B204" s="9"/>
      <c r="C204" s="13">
        <v>25000</v>
      </c>
      <c r="D204" s="11">
        <f t="shared" si="3"/>
        <v>0</v>
      </c>
    </row>
    <row r="205" spans="1:4" ht="18" hidden="1" x14ac:dyDescent="0.35">
      <c r="A205" s="27" t="s">
        <v>180</v>
      </c>
      <c r="B205" s="9"/>
      <c r="C205" s="13"/>
      <c r="D205" s="11">
        <f t="shared" si="3"/>
        <v>0</v>
      </c>
    </row>
    <row r="206" spans="1:4" ht="18" hidden="1" x14ac:dyDescent="0.35">
      <c r="A206" s="27" t="s">
        <v>181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182</v>
      </c>
      <c r="B207" s="9"/>
      <c r="C207" s="12"/>
      <c r="D207" s="11">
        <f t="shared" si="3"/>
        <v>0</v>
      </c>
    </row>
    <row r="208" spans="1:4" ht="18" hidden="1" x14ac:dyDescent="0.35">
      <c r="A208" s="8" t="s">
        <v>61</v>
      </c>
      <c r="B208" s="17"/>
      <c r="C208" s="10"/>
      <c r="D208" s="11">
        <f t="shared" si="3"/>
        <v>0</v>
      </c>
    </row>
    <row r="209" spans="1:4" ht="18" hidden="1" x14ac:dyDescent="0.35">
      <c r="A209" s="8" t="s">
        <v>183</v>
      </c>
      <c r="B209" s="9"/>
      <c r="C209" s="13">
        <v>6100</v>
      </c>
      <c r="D209" s="11">
        <f t="shared" si="3"/>
        <v>0</v>
      </c>
    </row>
    <row r="210" spans="1:4" ht="18" hidden="1" x14ac:dyDescent="0.35">
      <c r="A210" s="8" t="s">
        <v>184</v>
      </c>
      <c r="B210" s="9"/>
      <c r="C210" s="13"/>
      <c r="D210" s="11">
        <f t="shared" si="3"/>
        <v>0</v>
      </c>
    </row>
    <row r="211" spans="1:4" ht="18" hidden="1" x14ac:dyDescent="0.35">
      <c r="A211" s="8" t="s">
        <v>185</v>
      </c>
      <c r="B211" s="9"/>
      <c r="C211" s="13">
        <v>23000</v>
      </c>
      <c r="D211" s="11">
        <f t="shared" si="3"/>
        <v>0</v>
      </c>
    </row>
    <row r="212" spans="1:4" ht="18" hidden="1" x14ac:dyDescent="0.35">
      <c r="A212" s="8" t="s">
        <v>186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187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3633</v>
      </c>
      <c r="C214" s="29">
        <f t="shared" si="4"/>
        <v>1259700</v>
      </c>
      <c r="D214" s="29">
        <f t="shared" si="4"/>
        <v>53072500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40" sqref="G40"/>
    </sheetView>
  </sheetViews>
  <sheetFormatPr defaultRowHeight="15" x14ac:dyDescent="0.25"/>
  <cols>
    <col min="1" max="1" width="28" customWidth="1"/>
    <col min="4" max="4" width="15.7109375" customWidth="1"/>
  </cols>
  <sheetData>
    <row r="1" spans="1:4" x14ac:dyDescent="0.25">
      <c r="A1" s="1" t="s">
        <v>236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18" t="s">
        <v>62</v>
      </c>
      <c r="B4" s="9"/>
      <c r="C4" s="19"/>
      <c r="D4" s="11">
        <f>B4*C4</f>
        <v>0</v>
      </c>
    </row>
    <row r="5" spans="1:4" ht="18" hidden="1" x14ac:dyDescent="0.35">
      <c r="A5" s="18" t="s">
        <v>63</v>
      </c>
      <c r="B5" s="9"/>
      <c r="C5" s="10">
        <v>10000</v>
      </c>
      <c r="D5" s="11">
        <f t="shared" ref="D5:D68" si="0">B5*C5</f>
        <v>0</v>
      </c>
    </row>
    <row r="6" spans="1:4" ht="18" hidden="1" x14ac:dyDescent="0.35">
      <c r="A6" s="18" t="s">
        <v>125</v>
      </c>
      <c r="B6" s="9"/>
      <c r="C6" s="12"/>
      <c r="D6" s="11">
        <f t="shared" si="0"/>
        <v>0</v>
      </c>
    </row>
    <row r="7" spans="1:4" ht="18" hidden="1" x14ac:dyDescent="0.35">
      <c r="A7" s="8" t="s">
        <v>126</v>
      </c>
      <c r="B7" s="9"/>
      <c r="C7" s="13"/>
      <c r="D7" s="11">
        <f t="shared" si="0"/>
        <v>0</v>
      </c>
    </row>
    <row r="8" spans="1:4" ht="18" hidden="1" x14ac:dyDescent="0.35">
      <c r="A8" s="8" t="s">
        <v>27</v>
      </c>
      <c r="B8" s="9"/>
      <c r="C8" s="10"/>
      <c r="D8" s="11">
        <f t="shared" si="0"/>
        <v>0</v>
      </c>
    </row>
    <row r="9" spans="1:4" ht="18" hidden="1" x14ac:dyDescent="0.35">
      <c r="A9" s="8" t="s">
        <v>74</v>
      </c>
      <c r="B9" s="9"/>
      <c r="C9" s="13"/>
      <c r="D9" s="11">
        <f t="shared" si="0"/>
        <v>0</v>
      </c>
    </row>
    <row r="10" spans="1:4" ht="18" hidden="1" x14ac:dyDescent="0.35">
      <c r="A10" s="8" t="s">
        <v>28</v>
      </c>
      <c r="B10" s="9"/>
      <c r="C10" s="10"/>
      <c r="D10" s="11">
        <f t="shared" si="0"/>
        <v>0</v>
      </c>
    </row>
    <row r="11" spans="1:4" ht="18" hidden="1" x14ac:dyDescent="0.35">
      <c r="A11" s="14" t="s">
        <v>29</v>
      </c>
      <c r="B11" s="9"/>
      <c r="C11" s="15"/>
      <c r="D11" s="11">
        <f t="shared" si="0"/>
        <v>0</v>
      </c>
    </row>
    <row r="12" spans="1:4" ht="18.75" x14ac:dyDescent="0.25">
      <c r="A12" s="14" t="s">
        <v>141</v>
      </c>
      <c r="B12" s="9">
        <v>10</v>
      </c>
      <c r="C12" s="10">
        <v>11000</v>
      </c>
      <c r="D12" s="11">
        <f t="shared" si="0"/>
        <v>110000</v>
      </c>
    </row>
    <row r="13" spans="1:4" ht="18" hidden="1" x14ac:dyDescent="0.35">
      <c r="A13" s="8" t="s">
        <v>91</v>
      </c>
      <c r="B13" s="9"/>
      <c r="C13" s="10"/>
      <c r="D13" s="11">
        <f t="shared" si="0"/>
        <v>0</v>
      </c>
    </row>
    <row r="14" spans="1:4" ht="18" hidden="1" x14ac:dyDescent="0.35">
      <c r="A14" s="8" t="s">
        <v>142</v>
      </c>
      <c r="B14" s="9"/>
      <c r="C14" s="10"/>
      <c r="D14" s="11">
        <f t="shared" si="0"/>
        <v>0</v>
      </c>
    </row>
    <row r="15" spans="1:4" ht="18.75" x14ac:dyDescent="0.25">
      <c r="A15" s="8" t="s">
        <v>204</v>
      </c>
      <c r="B15" s="9">
        <v>1950</v>
      </c>
      <c r="C15" s="13">
        <v>6000</v>
      </c>
      <c r="D15" s="11">
        <f t="shared" si="0"/>
        <v>11700000</v>
      </c>
    </row>
    <row r="16" spans="1:4" ht="18" hidden="1" x14ac:dyDescent="0.35">
      <c r="A16" s="23" t="s">
        <v>139</v>
      </c>
      <c r="B16" s="9"/>
      <c r="C16" s="10"/>
      <c r="D16" s="11">
        <f t="shared" si="0"/>
        <v>0</v>
      </c>
    </row>
    <row r="17" spans="1:4" ht="18" hidden="1" x14ac:dyDescent="0.35">
      <c r="A17" s="8" t="s">
        <v>5</v>
      </c>
      <c r="B17" s="9"/>
      <c r="C17" s="10">
        <v>10000</v>
      </c>
      <c r="D17" s="11">
        <f t="shared" si="0"/>
        <v>0</v>
      </c>
    </row>
    <row r="18" spans="1:4" ht="18" hidden="1" x14ac:dyDescent="0.35">
      <c r="A18" s="8" t="s">
        <v>206</v>
      </c>
      <c r="B18" s="9"/>
      <c r="C18" s="13"/>
      <c r="D18" s="11">
        <f t="shared" si="0"/>
        <v>0</v>
      </c>
    </row>
    <row r="19" spans="1:4" ht="18.75" x14ac:dyDescent="0.25">
      <c r="A19" s="8" t="s">
        <v>6</v>
      </c>
      <c r="B19" s="9">
        <v>140</v>
      </c>
      <c r="C19" s="10">
        <v>20000</v>
      </c>
      <c r="D19" s="11">
        <f t="shared" si="0"/>
        <v>2800000</v>
      </c>
    </row>
    <row r="20" spans="1:4" ht="18" hidden="1" x14ac:dyDescent="0.35">
      <c r="A20" s="8" t="s">
        <v>111</v>
      </c>
      <c r="B20" s="9"/>
      <c r="C20" s="13"/>
      <c r="D20" s="11">
        <f t="shared" si="0"/>
        <v>0</v>
      </c>
    </row>
    <row r="21" spans="1:4" ht="18" hidden="1" x14ac:dyDescent="0.35">
      <c r="A21" s="8" t="s">
        <v>7</v>
      </c>
      <c r="B21" s="9"/>
      <c r="C21" s="10"/>
      <c r="D21" s="11">
        <f t="shared" si="0"/>
        <v>0</v>
      </c>
    </row>
    <row r="22" spans="1:4" ht="18" hidden="1" x14ac:dyDescent="0.35">
      <c r="A22" s="8" t="s">
        <v>149</v>
      </c>
      <c r="B22" s="9"/>
      <c r="C22" s="10"/>
      <c r="D22" s="11">
        <f t="shared" si="0"/>
        <v>0</v>
      </c>
    </row>
    <row r="23" spans="1:4" ht="18" hidden="1" x14ac:dyDescent="0.35">
      <c r="A23" s="8" t="s">
        <v>140</v>
      </c>
      <c r="B23" s="9"/>
      <c r="C23" s="10"/>
      <c r="D23" s="11">
        <f t="shared" si="0"/>
        <v>0</v>
      </c>
    </row>
    <row r="24" spans="1:4" ht="18" hidden="1" x14ac:dyDescent="0.35">
      <c r="A24" s="8" t="s">
        <v>36</v>
      </c>
      <c r="B24" s="9"/>
      <c r="C24" s="10"/>
      <c r="D24" s="11">
        <f t="shared" si="0"/>
        <v>0</v>
      </c>
    </row>
    <row r="25" spans="1:4" ht="18" hidden="1" x14ac:dyDescent="0.35">
      <c r="A25" s="14" t="s">
        <v>37</v>
      </c>
      <c r="B25" s="9"/>
      <c r="C25" s="12">
        <v>20000</v>
      </c>
      <c r="D25" s="11">
        <f t="shared" si="0"/>
        <v>0</v>
      </c>
    </row>
    <row r="26" spans="1:4" ht="18" hidden="1" x14ac:dyDescent="0.35">
      <c r="A26" s="14" t="s">
        <v>38</v>
      </c>
      <c r="B26" s="9"/>
      <c r="C26" s="10"/>
      <c r="D26" s="11">
        <f t="shared" si="0"/>
        <v>0</v>
      </c>
    </row>
    <row r="27" spans="1:4" ht="18" hidden="1" x14ac:dyDescent="0.35">
      <c r="A27" s="8" t="s">
        <v>96</v>
      </c>
      <c r="B27" s="9"/>
      <c r="C27" s="10"/>
      <c r="D27" s="11">
        <f t="shared" si="0"/>
        <v>0</v>
      </c>
    </row>
    <row r="28" spans="1:4" ht="18" hidden="1" x14ac:dyDescent="0.35">
      <c r="A28" s="8" t="s">
        <v>97</v>
      </c>
      <c r="B28" s="9"/>
      <c r="C28" s="10"/>
      <c r="D28" s="11">
        <f t="shared" si="0"/>
        <v>0</v>
      </c>
    </row>
    <row r="29" spans="1:4" ht="18" hidden="1" x14ac:dyDescent="0.35">
      <c r="A29" s="8" t="s">
        <v>127</v>
      </c>
      <c r="B29" s="9"/>
      <c r="C29" s="13"/>
      <c r="D29" s="11">
        <f t="shared" si="0"/>
        <v>0</v>
      </c>
    </row>
    <row r="30" spans="1:4" ht="18" hidden="1" x14ac:dyDescent="0.35">
      <c r="A30" s="8" t="s">
        <v>123</v>
      </c>
      <c r="B30" s="9"/>
      <c r="C30" s="12"/>
      <c r="D30" s="11">
        <f t="shared" si="0"/>
        <v>0</v>
      </c>
    </row>
    <row r="31" spans="1:4" ht="18" hidden="1" x14ac:dyDescent="0.35">
      <c r="A31" s="8" t="s">
        <v>124</v>
      </c>
      <c r="B31" s="9"/>
      <c r="C31" s="13"/>
      <c r="D31" s="11">
        <f t="shared" si="0"/>
        <v>0</v>
      </c>
    </row>
    <row r="32" spans="1:4" ht="18" hidden="1" x14ac:dyDescent="0.35">
      <c r="A32" s="8" t="s">
        <v>72</v>
      </c>
      <c r="B32" s="9"/>
      <c r="C32" s="12"/>
      <c r="D32" s="11">
        <f t="shared" si="0"/>
        <v>0</v>
      </c>
    </row>
    <row r="33" spans="1:4" ht="18" hidden="1" x14ac:dyDescent="0.35">
      <c r="A33" s="8" t="s">
        <v>73</v>
      </c>
      <c r="B33" s="9"/>
      <c r="C33" s="12">
        <v>25000</v>
      </c>
      <c r="D33" s="11">
        <f t="shared" si="0"/>
        <v>0</v>
      </c>
    </row>
    <row r="34" spans="1:4" ht="18" hidden="1" x14ac:dyDescent="0.35">
      <c r="A34" s="8" t="s">
        <v>190</v>
      </c>
      <c r="B34" s="9"/>
      <c r="C34" s="12"/>
      <c r="D34" s="11">
        <f t="shared" si="0"/>
        <v>0</v>
      </c>
    </row>
    <row r="35" spans="1:4" ht="18" hidden="1" x14ac:dyDescent="0.35">
      <c r="A35" s="8" t="s">
        <v>191</v>
      </c>
      <c r="B35" s="9"/>
      <c r="C35" s="10"/>
      <c r="D35" s="11">
        <f t="shared" si="0"/>
        <v>0</v>
      </c>
    </row>
    <row r="36" spans="1:4" ht="18" hidden="1" x14ac:dyDescent="0.35">
      <c r="A36" s="8" t="s">
        <v>192</v>
      </c>
      <c r="B36" s="9"/>
      <c r="C36" s="13"/>
      <c r="D36" s="11">
        <f t="shared" si="0"/>
        <v>0</v>
      </c>
    </row>
    <row r="37" spans="1:4" ht="18" hidden="1" x14ac:dyDescent="0.35">
      <c r="A37" s="8" t="s">
        <v>193</v>
      </c>
      <c r="B37" s="9"/>
      <c r="C37" s="10">
        <v>18000</v>
      </c>
      <c r="D37" s="11">
        <f t="shared" si="0"/>
        <v>0</v>
      </c>
    </row>
    <row r="38" spans="1:4" ht="18" hidden="1" x14ac:dyDescent="0.35">
      <c r="A38" s="8" t="s">
        <v>194</v>
      </c>
      <c r="B38" s="9"/>
      <c r="C38" s="10"/>
      <c r="D38" s="11">
        <f t="shared" si="0"/>
        <v>0</v>
      </c>
    </row>
    <row r="39" spans="1:4" ht="18" hidden="1" x14ac:dyDescent="0.35">
      <c r="A39" s="8" t="s">
        <v>195</v>
      </c>
      <c r="B39" s="9"/>
      <c r="C39" s="10"/>
      <c r="D39" s="11">
        <f t="shared" si="0"/>
        <v>0</v>
      </c>
    </row>
    <row r="40" spans="1:4" ht="18.75" x14ac:dyDescent="0.25">
      <c r="A40" s="14" t="s">
        <v>64</v>
      </c>
      <c r="B40" s="9">
        <v>30</v>
      </c>
      <c r="C40" s="10">
        <v>21000</v>
      </c>
      <c r="D40" s="11">
        <f t="shared" si="0"/>
        <v>630000</v>
      </c>
    </row>
    <row r="41" spans="1:4" ht="18" hidden="1" x14ac:dyDescent="0.35">
      <c r="A41" s="8" t="s">
        <v>119</v>
      </c>
      <c r="B41" s="9"/>
      <c r="C41" s="10"/>
      <c r="D41" s="11">
        <f t="shared" si="0"/>
        <v>0</v>
      </c>
    </row>
    <row r="42" spans="1:4" ht="18" hidden="1" x14ac:dyDescent="0.35">
      <c r="A42" s="8" t="s">
        <v>46</v>
      </c>
      <c r="B42" s="9"/>
      <c r="C42" s="12"/>
      <c r="D42" s="11">
        <f t="shared" si="0"/>
        <v>0</v>
      </c>
    </row>
    <row r="43" spans="1:4" ht="18" hidden="1" x14ac:dyDescent="0.35">
      <c r="A43" s="8" t="s">
        <v>47</v>
      </c>
      <c r="B43" s="9"/>
      <c r="C43" s="12"/>
      <c r="D43" s="11">
        <f t="shared" si="0"/>
        <v>0</v>
      </c>
    </row>
    <row r="44" spans="1:4" ht="18.75" x14ac:dyDescent="0.25">
      <c r="A44" s="8" t="s">
        <v>65</v>
      </c>
      <c r="B44" s="9">
        <v>24</v>
      </c>
      <c r="C44" s="12">
        <v>17000</v>
      </c>
      <c r="D44" s="11">
        <f t="shared" si="0"/>
        <v>408000</v>
      </c>
    </row>
    <row r="45" spans="1:4" ht="18" hidden="1" x14ac:dyDescent="0.35">
      <c r="A45" s="8" t="s">
        <v>107</v>
      </c>
      <c r="B45" s="9"/>
      <c r="C45" s="10"/>
      <c r="D45" s="11">
        <f t="shared" si="0"/>
        <v>0</v>
      </c>
    </row>
    <row r="46" spans="1:4" ht="18.75" x14ac:dyDescent="0.25">
      <c r="A46" s="8" t="s">
        <v>48</v>
      </c>
      <c r="B46" s="9">
        <v>27</v>
      </c>
      <c r="C46" s="10">
        <v>15000</v>
      </c>
      <c r="D46" s="11">
        <f t="shared" si="0"/>
        <v>405000</v>
      </c>
    </row>
    <row r="47" spans="1:4" ht="18" hidden="1" x14ac:dyDescent="0.35">
      <c r="A47" s="14" t="s">
        <v>69</v>
      </c>
      <c r="B47" s="9"/>
      <c r="C47" s="15">
        <v>38000</v>
      </c>
      <c r="D47" s="11">
        <f t="shared" si="0"/>
        <v>0</v>
      </c>
    </row>
    <row r="48" spans="1:4" ht="18" hidden="1" x14ac:dyDescent="0.35">
      <c r="A48" s="14" t="s">
        <v>70</v>
      </c>
      <c r="B48" s="9"/>
      <c r="C48" s="15"/>
      <c r="D48" s="11">
        <f t="shared" si="0"/>
        <v>0</v>
      </c>
    </row>
    <row r="49" spans="1:4" ht="18" hidden="1" x14ac:dyDescent="0.35">
      <c r="A49" s="14" t="s">
        <v>71</v>
      </c>
      <c r="B49" s="9"/>
      <c r="C49" s="10"/>
      <c r="D49" s="11">
        <f t="shared" si="0"/>
        <v>0</v>
      </c>
    </row>
    <row r="50" spans="1:4" ht="18" hidden="1" x14ac:dyDescent="0.35">
      <c r="A50" s="8" t="s">
        <v>75</v>
      </c>
      <c r="B50" s="9"/>
      <c r="C50" s="15"/>
      <c r="D50" s="11">
        <f t="shared" si="0"/>
        <v>0</v>
      </c>
    </row>
    <row r="51" spans="1:4" ht="18" hidden="1" x14ac:dyDescent="0.35">
      <c r="A51" s="14" t="s">
        <v>66</v>
      </c>
      <c r="B51" s="9"/>
      <c r="C51" s="10"/>
      <c r="D51" s="11">
        <f t="shared" si="0"/>
        <v>0</v>
      </c>
    </row>
    <row r="52" spans="1:4" ht="18.75" x14ac:dyDescent="0.25">
      <c r="A52" s="8" t="s">
        <v>121</v>
      </c>
      <c r="B52" s="9">
        <v>200</v>
      </c>
      <c r="C52" s="13">
        <v>22000</v>
      </c>
      <c r="D52" s="11">
        <f t="shared" si="0"/>
        <v>4400000</v>
      </c>
    </row>
    <row r="53" spans="1:4" ht="18.75" x14ac:dyDescent="0.25">
      <c r="A53" s="8" t="s">
        <v>122</v>
      </c>
      <c r="B53" s="9">
        <v>230</v>
      </c>
      <c r="C53" s="12">
        <v>22000</v>
      </c>
      <c r="D53" s="11">
        <f t="shared" si="0"/>
        <v>5060000</v>
      </c>
    </row>
    <row r="54" spans="1:4" ht="18" hidden="1" x14ac:dyDescent="0.35">
      <c r="A54" s="8" t="s">
        <v>99</v>
      </c>
      <c r="B54" s="9"/>
      <c r="C54" s="12"/>
      <c r="D54" s="11">
        <f t="shared" si="0"/>
        <v>0</v>
      </c>
    </row>
    <row r="55" spans="1:4" ht="18" hidden="1" x14ac:dyDescent="0.35">
      <c r="A55" s="8" t="s">
        <v>49</v>
      </c>
      <c r="B55" s="9"/>
      <c r="C55" s="10"/>
      <c r="D55" s="11">
        <f t="shared" si="0"/>
        <v>0</v>
      </c>
    </row>
    <row r="56" spans="1:4" ht="18" hidden="1" x14ac:dyDescent="0.35">
      <c r="A56" s="8" t="s">
        <v>50</v>
      </c>
      <c r="B56" s="9"/>
      <c r="C56" s="10"/>
      <c r="D56" s="11">
        <f t="shared" si="0"/>
        <v>0</v>
      </c>
    </row>
    <row r="57" spans="1:4" ht="18" hidden="1" x14ac:dyDescent="0.35">
      <c r="A57" s="8" t="s">
        <v>51</v>
      </c>
      <c r="B57" s="9">
        <v>0</v>
      </c>
      <c r="C57" s="10"/>
      <c r="D57" s="11">
        <f t="shared" si="0"/>
        <v>0</v>
      </c>
    </row>
    <row r="58" spans="1:4" ht="18" hidden="1" x14ac:dyDescent="0.35">
      <c r="A58" s="8" t="s">
        <v>52</v>
      </c>
      <c r="B58" s="9"/>
      <c r="C58" s="12"/>
      <c r="D58" s="11">
        <f t="shared" si="0"/>
        <v>0</v>
      </c>
    </row>
    <row r="59" spans="1:4" ht="18" hidden="1" x14ac:dyDescent="0.35">
      <c r="A59" s="8" t="s">
        <v>53</v>
      </c>
      <c r="B59" s="9"/>
      <c r="C59" s="10"/>
      <c r="D59" s="11">
        <f t="shared" si="0"/>
        <v>0</v>
      </c>
    </row>
    <row r="60" spans="1:4" ht="18" hidden="1" x14ac:dyDescent="0.35">
      <c r="A60" s="8" t="s">
        <v>143</v>
      </c>
      <c r="B60" s="9"/>
      <c r="C60" s="13"/>
      <c r="D60" s="11">
        <f t="shared" si="0"/>
        <v>0</v>
      </c>
    </row>
    <row r="61" spans="1:4" ht="18" hidden="1" x14ac:dyDescent="0.35">
      <c r="A61" s="8" t="s">
        <v>21</v>
      </c>
      <c r="B61" s="9"/>
      <c r="C61" s="10"/>
      <c r="D61" s="11">
        <f t="shared" si="0"/>
        <v>0</v>
      </c>
    </row>
    <row r="62" spans="1:4" ht="18" hidden="1" x14ac:dyDescent="0.35">
      <c r="A62" s="8" t="s">
        <v>207</v>
      </c>
      <c r="B62" s="9"/>
      <c r="C62" s="13"/>
      <c r="D62" s="11">
        <f t="shared" si="0"/>
        <v>0</v>
      </c>
    </row>
    <row r="63" spans="1:4" ht="18" hidden="1" x14ac:dyDescent="0.35">
      <c r="A63" s="8" t="s">
        <v>208</v>
      </c>
      <c r="B63" s="9"/>
      <c r="C63" s="13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8" t="s">
        <v>23</v>
      </c>
      <c r="B65" s="9"/>
      <c r="C65" s="10"/>
      <c r="D65" s="11">
        <f t="shared" si="0"/>
        <v>0</v>
      </c>
    </row>
    <row r="66" spans="1:4" ht="18" hidden="1" x14ac:dyDescent="0.35">
      <c r="A66" s="8" t="s">
        <v>26</v>
      </c>
      <c r="B66" s="9"/>
      <c r="C66" s="10"/>
      <c r="D66" s="11">
        <f t="shared" si="0"/>
        <v>0</v>
      </c>
    </row>
    <row r="67" spans="1:4" ht="18" hidden="1" x14ac:dyDescent="0.35">
      <c r="A67" s="8" t="s">
        <v>78</v>
      </c>
      <c r="B67" s="9"/>
      <c r="C67" s="12"/>
      <c r="D67" s="11">
        <f t="shared" si="0"/>
        <v>0</v>
      </c>
    </row>
    <row r="68" spans="1:4" ht="18" hidden="1" x14ac:dyDescent="0.35">
      <c r="A68" s="8" t="s">
        <v>120</v>
      </c>
      <c r="B68" s="9"/>
      <c r="C68" s="10">
        <v>15000</v>
      </c>
      <c r="D68" s="11">
        <f t="shared" si="0"/>
        <v>0</v>
      </c>
    </row>
    <row r="69" spans="1:4" ht="18" hidden="1" x14ac:dyDescent="0.35">
      <c r="A69" s="8" t="s">
        <v>79</v>
      </c>
      <c r="B69" s="9"/>
      <c r="C69" s="13"/>
      <c r="D69" s="11">
        <f t="shared" ref="D69:D132" si="1">B69*C69</f>
        <v>0</v>
      </c>
    </row>
    <row r="70" spans="1:4" ht="18.75" x14ac:dyDescent="0.25">
      <c r="A70" s="8" t="s">
        <v>8</v>
      </c>
      <c r="B70" s="9">
        <v>68</v>
      </c>
      <c r="C70" s="12">
        <v>40000</v>
      </c>
      <c r="D70" s="11">
        <f t="shared" si="1"/>
        <v>2720000</v>
      </c>
    </row>
    <row r="71" spans="1:4" ht="18" hidden="1" x14ac:dyDescent="0.35">
      <c r="A71" s="8" t="s">
        <v>9</v>
      </c>
      <c r="B71" s="9"/>
      <c r="C71" s="10"/>
      <c r="D71" s="11">
        <f t="shared" si="1"/>
        <v>0</v>
      </c>
    </row>
    <row r="72" spans="1:4" ht="18" hidden="1" x14ac:dyDescent="0.35">
      <c r="A72" s="8" t="s">
        <v>10</v>
      </c>
      <c r="B72" s="9"/>
      <c r="C72" s="10">
        <v>21000</v>
      </c>
      <c r="D72" s="11">
        <f t="shared" si="1"/>
        <v>0</v>
      </c>
    </row>
    <row r="73" spans="1:4" ht="18" hidden="1" x14ac:dyDescent="0.35">
      <c r="A73" s="20" t="s">
        <v>150</v>
      </c>
      <c r="B73" s="9"/>
      <c r="C73" s="25"/>
      <c r="D73" s="11">
        <f t="shared" si="1"/>
        <v>0</v>
      </c>
    </row>
    <row r="74" spans="1:4" ht="18" hidden="1" x14ac:dyDescent="0.35">
      <c r="A74" s="20" t="s">
        <v>54</v>
      </c>
      <c r="B74" s="9"/>
      <c r="C74" s="10"/>
      <c r="D74" s="11">
        <f t="shared" si="1"/>
        <v>0</v>
      </c>
    </row>
    <row r="75" spans="1:4" ht="18" hidden="1" x14ac:dyDescent="0.35">
      <c r="A75" s="20" t="s">
        <v>68</v>
      </c>
      <c r="B75" s="9"/>
      <c r="C75" s="10"/>
      <c r="D75" s="11">
        <f t="shared" si="1"/>
        <v>0</v>
      </c>
    </row>
    <row r="76" spans="1:4" ht="18" hidden="1" x14ac:dyDescent="0.35">
      <c r="A76" s="8" t="s">
        <v>109</v>
      </c>
      <c r="B76" s="9"/>
      <c r="C76" s="12">
        <v>10000</v>
      </c>
      <c r="D76" s="11">
        <f t="shared" si="1"/>
        <v>0</v>
      </c>
    </row>
    <row r="77" spans="1:4" ht="18" hidden="1" x14ac:dyDescent="0.35">
      <c r="A77" s="14" t="s">
        <v>209</v>
      </c>
      <c r="B77" s="9"/>
      <c r="C77" s="10"/>
      <c r="D77" s="11">
        <f t="shared" si="1"/>
        <v>0</v>
      </c>
    </row>
    <row r="78" spans="1:4" ht="18" hidden="1" x14ac:dyDescent="0.35">
      <c r="A78" s="14" t="s">
        <v>100</v>
      </c>
      <c r="B78" s="9"/>
      <c r="C78" s="10"/>
      <c r="D78" s="11">
        <f t="shared" si="1"/>
        <v>0</v>
      </c>
    </row>
    <row r="79" spans="1:4" ht="18" hidden="1" x14ac:dyDescent="0.35">
      <c r="A79" s="14" t="s">
        <v>101</v>
      </c>
      <c r="B79" s="9"/>
      <c r="C79" s="10"/>
      <c r="D79" s="11">
        <f t="shared" si="1"/>
        <v>0</v>
      </c>
    </row>
    <row r="80" spans="1:4" ht="18" hidden="1" x14ac:dyDescent="0.35">
      <c r="A80" s="14" t="s">
        <v>102</v>
      </c>
      <c r="B80" s="21"/>
      <c r="C80" s="10"/>
      <c r="D80" s="11">
        <f t="shared" si="1"/>
        <v>0</v>
      </c>
    </row>
    <row r="81" spans="1:4" ht="18" hidden="1" x14ac:dyDescent="0.35">
      <c r="A81" s="14" t="s">
        <v>196</v>
      </c>
      <c r="B81" s="9"/>
      <c r="C81" s="12"/>
      <c r="D81" s="11">
        <f t="shared" si="1"/>
        <v>0</v>
      </c>
    </row>
    <row r="82" spans="1:4" ht="18.75" x14ac:dyDescent="0.25">
      <c r="A82" s="14" t="s">
        <v>197</v>
      </c>
      <c r="B82" s="9">
        <v>8</v>
      </c>
      <c r="C82" s="10">
        <v>12000</v>
      </c>
      <c r="D82" s="11">
        <f t="shared" si="1"/>
        <v>96000</v>
      </c>
    </row>
    <row r="83" spans="1:4" ht="18" hidden="1" x14ac:dyDescent="0.35">
      <c r="A83" s="8" t="s">
        <v>198</v>
      </c>
      <c r="B83" s="9"/>
      <c r="C83" s="10"/>
      <c r="D83" s="11">
        <f t="shared" si="1"/>
        <v>0</v>
      </c>
    </row>
    <row r="84" spans="1:4" ht="18" hidden="1" x14ac:dyDescent="0.35">
      <c r="A84" s="8" t="s">
        <v>76</v>
      </c>
      <c r="B84" s="9"/>
      <c r="C84" s="10"/>
      <c r="D84" s="11">
        <f t="shared" si="1"/>
        <v>0</v>
      </c>
    </row>
    <row r="85" spans="1:4" ht="18" hidden="1" x14ac:dyDescent="0.35">
      <c r="A85" s="8" t="s">
        <v>20</v>
      </c>
      <c r="B85" s="9"/>
      <c r="C85" s="13"/>
      <c r="D85" s="11">
        <f t="shared" si="1"/>
        <v>0</v>
      </c>
    </row>
    <row r="86" spans="1:4" ht="18" hidden="1" x14ac:dyDescent="0.35">
      <c r="A86" s="8" t="s">
        <v>98</v>
      </c>
      <c r="B86" s="9"/>
      <c r="C86" s="10"/>
      <c r="D86" s="11">
        <f t="shared" si="1"/>
        <v>0</v>
      </c>
    </row>
    <row r="87" spans="1:4" ht="18" hidden="1" x14ac:dyDescent="0.35">
      <c r="A87" s="14" t="s">
        <v>151</v>
      </c>
      <c r="B87" s="9"/>
      <c r="C87" s="10"/>
      <c r="D87" s="11">
        <f t="shared" si="1"/>
        <v>0</v>
      </c>
    </row>
    <row r="88" spans="1:4" ht="18" hidden="1" x14ac:dyDescent="0.35">
      <c r="A88" s="14" t="s">
        <v>152</v>
      </c>
      <c r="B88" s="9"/>
      <c r="C88" s="10"/>
      <c r="D88" s="11">
        <f t="shared" si="1"/>
        <v>0</v>
      </c>
    </row>
    <row r="89" spans="1:4" ht="18" hidden="1" x14ac:dyDescent="0.35">
      <c r="A89" s="8" t="s">
        <v>153</v>
      </c>
      <c r="B89" s="9"/>
      <c r="C89" s="10"/>
      <c r="D89" s="11">
        <f t="shared" si="1"/>
        <v>0</v>
      </c>
    </row>
    <row r="90" spans="1:4" ht="18" hidden="1" x14ac:dyDescent="0.35">
      <c r="A90" s="8" t="s">
        <v>154</v>
      </c>
      <c r="B90" s="9"/>
      <c r="C90" s="10"/>
      <c r="D90" s="11">
        <f t="shared" si="1"/>
        <v>0</v>
      </c>
    </row>
    <row r="91" spans="1:4" ht="18" hidden="1" x14ac:dyDescent="0.35">
      <c r="A91" s="8" t="s">
        <v>80</v>
      </c>
      <c r="B91" s="9"/>
      <c r="C91" s="10"/>
      <c r="D91" s="11">
        <f t="shared" si="1"/>
        <v>0</v>
      </c>
    </row>
    <row r="92" spans="1:4" ht="18" hidden="1" x14ac:dyDescent="0.35">
      <c r="A92" s="8" t="s">
        <v>81</v>
      </c>
      <c r="B92" s="9"/>
      <c r="C92" s="13"/>
      <c r="D92" s="11">
        <f t="shared" si="1"/>
        <v>0</v>
      </c>
    </row>
    <row r="93" spans="1:4" ht="18" hidden="1" x14ac:dyDescent="0.35">
      <c r="A93" s="8" t="s">
        <v>82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83</v>
      </c>
      <c r="B94" s="9"/>
      <c r="C94" s="10"/>
      <c r="D94" s="11">
        <f t="shared" si="1"/>
        <v>0</v>
      </c>
    </row>
    <row r="95" spans="1:4" ht="18" hidden="1" x14ac:dyDescent="0.35">
      <c r="A95" s="8" t="s">
        <v>84</v>
      </c>
      <c r="B95" s="9"/>
      <c r="C95" s="10">
        <v>50000</v>
      </c>
      <c r="D95" s="11">
        <f t="shared" si="1"/>
        <v>0</v>
      </c>
    </row>
    <row r="96" spans="1:4" ht="18" hidden="1" x14ac:dyDescent="0.35">
      <c r="A96" s="8" t="s">
        <v>85</v>
      </c>
      <c r="B96" s="9"/>
      <c r="C96" s="10"/>
      <c r="D96" s="11">
        <f t="shared" si="1"/>
        <v>0</v>
      </c>
    </row>
    <row r="97" spans="1:4" ht="18" hidden="1" x14ac:dyDescent="0.35">
      <c r="A97" s="8" t="s">
        <v>86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103</v>
      </c>
      <c r="B98" s="9"/>
      <c r="C98" s="10"/>
      <c r="D98" s="11">
        <f t="shared" si="1"/>
        <v>0</v>
      </c>
    </row>
    <row r="99" spans="1:4" ht="18" hidden="1" x14ac:dyDescent="0.35">
      <c r="A99" s="8" t="s">
        <v>104</v>
      </c>
      <c r="B99" s="9"/>
      <c r="C99" s="12"/>
      <c r="D99" s="11">
        <f t="shared" si="1"/>
        <v>0</v>
      </c>
    </row>
    <row r="100" spans="1:4" ht="18" hidden="1" x14ac:dyDescent="0.35">
      <c r="A100" s="8" t="s">
        <v>87</v>
      </c>
      <c r="B100" s="9"/>
      <c r="C100" s="12"/>
      <c r="D100" s="11">
        <f t="shared" si="1"/>
        <v>0</v>
      </c>
    </row>
    <row r="101" spans="1:4" ht="18" hidden="1" x14ac:dyDescent="0.35">
      <c r="A101" s="8" t="s">
        <v>88</v>
      </c>
      <c r="B101" s="9"/>
      <c r="C101" s="10">
        <v>45000</v>
      </c>
      <c r="D101" s="11">
        <f t="shared" si="1"/>
        <v>0</v>
      </c>
    </row>
    <row r="102" spans="1:4" ht="18" hidden="1" x14ac:dyDescent="0.35">
      <c r="A102" s="8" t="s">
        <v>144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145</v>
      </c>
      <c r="B103" s="9"/>
      <c r="C103" s="12">
        <v>18000</v>
      </c>
      <c r="D103" s="11">
        <f t="shared" si="1"/>
        <v>0</v>
      </c>
    </row>
    <row r="104" spans="1:4" ht="18" hidden="1" x14ac:dyDescent="0.35">
      <c r="A104" s="8" t="s">
        <v>146</v>
      </c>
      <c r="B104" s="9"/>
      <c r="C104" s="12"/>
      <c r="D104" s="11">
        <f t="shared" si="1"/>
        <v>0</v>
      </c>
    </row>
    <row r="105" spans="1:4" ht="18" hidden="1" x14ac:dyDescent="0.35">
      <c r="A105" s="8" t="s">
        <v>147</v>
      </c>
      <c r="B105" s="9"/>
      <c r="C105" s="12"/>
      <c r="D105" s="11">
        <f t="shared" si="1"/>
        <v>0</v>
      </c>
    </row>
    <row r="106" spans="1:4" ht="18" hidden="1" x14ac:dyDescent="0.35">
      <c r="A106" s="8" t="s">
        <v>202</v>
      </c>
      <c r="B106" s="9"/>
      <c r="C106" s="12">
        <v>23000</v>
      </c>
      <c r="D106" s="11">
        <f t="shared" si="1"/>
        <v>0</v>
      </c>
    </row>
    <row r="107" spans="1:4" ht="18" hidden="1" x14ac:dyDescent="0.35">
      <c r="A107" s="8" t="s">
        <v>203</v>
      </c>
      <c r="B107" s="9"/>
      <c r="C107" s="12"/>
      <c r="D107" s="11">
        <f t="shared" si="1"/>
        <v>0</v>
      </c>
    </row>
    <row r="108" spans="1:4" ht="18" hidden="1" x14ac:dyDescent="0.35">
      <c r="A108" s="8" t="s">
        <v>95</v>
      </c>
      <c r="B108" s="9"/>
      <c r="C108" s="12">
        <v>12000</v>
      </c>
      <c r="D108" s="11">
        <f t="shared" si="1"/>
        <v>0</v>
      </c>
    </row>
    <row r="109" spans="1:4" ht="18" hidden="1" x14ac:dyDescent="0.35">
      <c r="A109" s="8" t="s">
        <v>89</v>
      </c>
      <c r="B109" s="9"/>
      <c r="C109" s="12"/>
      <c r="D109" s="11">
        <f t="shared" si="1"/>
        <v>0</v>
      </c>
    </row>
    <row r="110" spans="1:4" ht="18" hidden="1" x14ac:dyDescent="0.35">
      <c r="A110" s="8" t="s">
        <v>90</v>
      </c>
      <c r="B110" s="9"/>
      <c r="C110" s="10">
        <v>50000</v>
      </c>
      <c r="D110" s="11">
        <f t="shared" si="1"/>
        <v>0</v>
      </c>
    </row>
    <row r="111" spans="1:4" ht="18" hidden="1" x14ac:dyDescent="0.35">
      <c r="A111" s="8" t="s">
        <v>105</v>
      </c>
      <c r="B111" s="9"/>
      <c r="C111" s="10"/>
      <c r="D111" s="11">
        <f t="shared" si="1"/>
        <v>0</v>
      </c>
    </row>
    <row r="112" spans="1:4" ht="18" hidden="1" x14ac:dyDescent="0.35">
      <c r="A112" s="8" t="s">
        <v>30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128</v>
      </c>
      <c r="B113" s="9"/>
      <c r="C113" s="10"/>
      <c r="D113" s="11">
        <f t="shared" si="1"/>
        <v>0</v>
      </c>
    </row>
    <row r="114" spans="1:4" ht="18" hidden="1" x14ac:dyDescent="0.35">
      <c r="A114" s="14" t="s">
        <v>129</v>
      </c>
      <c r="B114" s="9"/>
      <c r="C114" s="10"/>
      <c r="D114" s="11">
        <f t="shared" si="1"/>
        <v>0</v>
      </c>
    </row>
    <row r="115" spans="1:4" ht="18" hidden="1" x14ac:dyDescent="0.35">
      <c r="A115" s="8" t="s">
        <v>130</v>
      </c>
      <c r="B115" s="9"/>
      <c r="C115" s="12">
        <v>15000</v>
      </c>
      <c r="D115" s="11">
        <f t="shared" si="1"/>
        <v>0</v>
      </c>
    </row>
    <row r="116" spans="1:4" ht="18" hidden="1" x14ac:dyDescent="0.35">
      <c r="A116" s="8" t="s">
        <v>131</v>
      </c>
      <c r="B116" s="9"/>
      <c r="C116" s="12"/>
      <c r="D116" s="11">
        <f t="shared" si="1"/>
        <v>0</v>
      </c>
    </row>
    <row r="117" spans="1:4" ht="18" hidden="1" x14ac:dyDescent="0.35">
      <c r="A117" s="8" t="s">
        <v>210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132</v>
      </c>
      <c r="B118" s="9"/>
      <c r="C118" s="10"/>
      <c r="D118" s="11">
        <f t="shared" si="1"/>
        <v>0</v>
      </c>
    </row>
    <row r="119" spans="1:4" ht="18" hidden="1" x14ac:dyDescent="0.35">
      <c r="A119" s="8" t="s">
        <v>55</v>
      </c>
      <c r="B119" s="9"/>
      <c r="C119" s="10"/>
      <c r="D119" s="11">
        <f t="shared" si="1"/>
        <v>0</v>
      </c>
    </row>
    <row r="120" spans="1:4" ht="18" hidden="1" x14ac:dyDescent="0.35">
      <c r="A120" s="8" t="s">
        <v>24</v>
      </c>
      <c r="B120" s="9"/>
      <c r="C120" s="10"/>
      <c r="D120" s="11">
        <f t="shared" si="1"/>
        <v>0</v>
      </c>
    </row>
    <row r="121" spans="1:4" ht="18" hidden="1" x14ac:dyDescent="0.35">
      <c r="A121" s="14" t="s">
        <v>56</v>
      </c>
      <c r="B121" s="9"/>
      <c r="C121" s="10"/>
      <c r="D121" s="11">
        <f t="shared" si="1"/>
        <v>0</v>
      </c>
    </row>
    <row r="122" spans="1:4" ht="18.75" x14ac:dyDescent="0.25">
      <c r="A122" s="14" t="s">
        <v>112</v>
      </c>
      <c r="B122" s="9">
        <v>1330</v>
      </c>
      <c r="C122" s="10">
        <v>20000</v>
      </c>
      <c r="D122" s="11">
        <f t="shared" si="1"/>
        <v>26600000</v>
      </c>
    </row>
    <row r="123" spans="1:4" ht="18.75" x14ac:dyDescent="0.25">
      <c r="A123" s="14" t="s">
        <v>113</v>
      </c>
      <c r="B123" s="9">
        <v>120</v>
      </c>
      <c r="C123" s="10">
        <v>17000</v>
      </c>
      <c r="D123" s="11">
        <f t="shared" si="1"/>
        <v>2040000</v>
      </c>
    </row>
    <row r="124" spans="1:4" ht="18.75" x14ac:dyDescent="0.25">
      <c r="A124" s="8" t="s">
        <v>114</v>
      </c>
      <c r="B124" s="9">
        <v>777</v>
      </c>
      <c r="C124" s="12">
        <v>14000</v>
      </c>
      <c r="D124" s="11">
        <f t="shared" si="1"/>
        <v>10878000</v>
      </c>
    </row>
    <row r="125" spans="1:4" ht="18" x14ac:dyDescent="0.35">
      <c r="A125" s="14" t="s">
        <v>115</v>
      </c>
      <c r="B125" s="9">
        <v>12</v>
      </c>
      <c r="C125" s="10">
        <v>25000</v>
      </c>
      <c r="D125" s="11">
        <f t="shared" si="1"/>
        <v>300000</v>
      </c>
    </row>
    <row r="126" spans="1:4" ht="18" hidden="1" x14ac:dyDescent="0.35">
      <c r="A126" s="14" t="s">
        <v>116</v>
      </c>
      <c r="B126" s="9"/>
      <c r="C126" s="12"/>
      <c r="D126" s="11">
        <f t="shared" si="1"/>
        <v>0</v>
      </c>
    </row>
    <row r="127" spans="1:4" ht="18" hidden="1" x14ac:dyDescent="0.35">
      <c r="A127" s="8" t="s">
        <v>67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117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25</v>
      </c>
      <c r="B129" s="9"/>
      <c r="C129" s="13"/>
      <c r="D129" s="11">
        <f t="shared" si="1"/>
        <v>0</v>
      </c>
    </row>
    <row r="130" spans="1:4" ht="18" hidden="1" x14ac:dyDescent="0.35">
      <c r="A130" s="8" t="s">
        <v>31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33</v>
      </c>
      <c r="B132" s="9"/>
      <c r="C132" s="13"/>
      <c r="D132" s="11">
        <f t="shared" si="1"/>
        <v>0</v>
      </c>
    </row>
    <row r="133" spans="1:4" ht="18" hidden="1" x14ac:dyDescent="0.35">
      <c r="A133" s="8" t="s">
        <v>39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14" t="s">
        <v>40</v>
      </c>
      <c r="B134" s="9"/>
      <c r="C134" s="10"/>
      <c r="D134" s="11">
        <f t="shared" si="2"/>
        <v>0</v>
      </c>
    </row>
    <row r="135" spans="1:4" ht="18" hidden="1" x14ac:dyDescent="0.35">
      <c r="A135" s="8" t="s">
        <v>41</v>
      </c>
      <c r="B135" s="9"/>
      <c r="C135" s="10"/>
      <c r="D135" s="11">
        <f t="shared" si="2"/>
        <v>0</v>
      </c>
    </row>
    <row r="136" spans="1:4" ht="18" hidden="1" x14ac:dyDescent="0.35">
      <c r="A136" s="8" t="s">
        <v>42</v>
      </c>
      <c r="B136" s="9"/>
      <c r="C136" s="13"/>
      <c r="D136" s="11">
        <f t="shared" si="2"/>
        <v>0</v>
      </c>
    </row>
    <row r="137" spans="1:4" ht="18" hidden="1" x14ac:dyDescent="0.35">
      <c r="A137" s="8" t="s">
        <v>205</v>
      </c>
      <c r="B137" s="9"/>
      <c r="C137" s="10"/>
      <c r="D137" s="11">
        <f t="shared" si="2"/>
        <v>0</v>
      </c>
    </row>
    <row r="138" spans="1:4" ht="18" hidden="1" x14ac:dyDescent="0.35">
      <c r="A138" s="16" t="s">
        <v>43</v>
      </c>
      <c r="B138" s="9"/>
      <c r="C138" s="10"/>
      <c r="D138" s="11">
        <f t="shared" si="2"/>
        <v>0</v>
      </c>
    </row>
    <row r="139" spans="1:4" ht="18" hidden="1" x14ac:dyDescent="0.35">
      <c r="A139" s="8" t="s">
        <v>211</v>
      </c>
      <c r="B139" s="9"/>
      <c r="C139" s="13"/>
      <c r="D139" s="11">
        <f t="shared" si="2"/>
        <v>0</v>
      </c>
    </row>
    <row r="140" spans="1:4" ht="18" hidden="1" x14ac:dyDescent="0.35">
      <c r="A140" s="8" t="s">
        <v>155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156</v>
      </c>
      <c r="B141" s="9"/>
      <c r="C141" s="10"/>
      <c r="D141" s="11">
        <f t="shared" si="2"/>
        <v>0</v>
      </c>
    </row>
    <row r="142" spans="1:4" ht="18" hidden="1" x14ac:dyDescent="0.35">
      <c r="A142" s="22" t="s">
        <v>108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133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134</v>
      </c>
      <c r="B144" s="9"/>
      <c r="C144" s="10"/>
      <c r="D144" s="11">
        <f t="shared" si="2"/>
        <v>0</v>
      </c>
    </row>
    <row r="145" spans="1:4" ht="18" hidden="1" x14ac:dyDescent="0.35">
      <c r="A145" s="8" t="s">
        <v>201</v>
      </c>
      <c r="B145" s="9"/>
      <c r="C145" s="19"/>
      <c r="D145" s="11">
        <f t="shared" si="2"/>
        <v>0</v>
      </c>
    </row>
    <row r="146" spans="1:4" ht="18" hidden="1" x14ac:dyDescent="0.35">
      <c r="A146" s="8" t="s">
        <v>165</v>
      </c>
      <c r="B146" s="9"/>
      <c r="C146" s="10"/>
      <c r="D146" s="11">
        <f t="shared" si="2"/>
        <v>0</v>
      </c>
    </row>
    <row r="147" spans="1:4" ht="18.75" x14ac:dyDescent="0.25">
      <c r="A147" s="26" t="s">
        <v>166</v>
      </c>
      <c r="B147" s="9">
        <v>40</v>
      </c>
      <c r="C147" s="10">
        <v>7500</v>
      </c>
      <c r="D147" s="11">
        <f t="shared" si="2"/>
        <v>300000</v>
      </c>
    </row>
    <row r="148" spans="1:4" ht="18" hidden="1" x14ac:dyDescent="0.35">
      <c r="A148" s="8" t="s">
        <v>167</v>
      </c>
      <c r="B148" s="9"/>
      <c r="C148" s="10"/>
      <c r="D148" s="11">
        <f t="shared" si="2"/>
        <v>0</v>
      </c>
    </row>
    <row r="149" spans="1:4" ht="18.75" x14ac:dyDescent="0.25">
      <c r="A149" s="8" t="s">
        <v>168</v>
      </c>
      <c r="B149" s="9">
        <v>39</v>
      </c>
      <c r="C149" s="12">
        <v>16000</v>
      </c>
      <c r="D149" s="11">
        <f t="shared" si="2"/>
        <v>624000</v>
      </c>
    </row>
    <row r="150" spans="1:4" ht="18.75" x14ac:dyDescent="0.25">
      <c r="A150" s="8" t="s">
        <v>169</v>
      </c>
      <c r="B150" s="9">
        <v>7</v>
      </c>
      <c r="C150" s="10">
        <v>16000</v>
      </c>
      <c r="D150" s="11">
        <f t="shared" si="2"/>
        <v>112000</v>
      </c>
    </row>
    <row r="151" spans="1:4" ht="18" hidden="1" x14ac:dyDescent="0.35">
      <c r="A151" s="8" t="s">
        <v>170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135</v>
      </c>
      <c r="B152" s="9"/>
      <c r="C152" s="19"/>
      <c r="D152" s="11">
        <f t="shared" si="2"/>
        <v>0</v>
      </c>
    </row>
    <row r="153" spans="1:4" ht="18" hidden="1" x14ac:dyDescent="0.35">
      <c r="A153" s="24" t="s">
        <v>148</v>
      </c>
      <c r="B153" s="9"/>
      <c r="C153" s="12"/>
      <c r="D153" s="11">
        <f t="shared" si="2"/>
        <v>0</v>
      </c>
    </row>
    <row r="154" spans="1:4" ht="18" hidden="1" x14ac:dyDescent="0.35">
      <c r="A154" s="8" t="s">
        <v>34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35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77</v>
      </c>
      <c r="B156" s="9"/>
      <c r="C156" s="13"/>
      <c r="D156" s="11">
        <f t="shared" si="2"/>
        <v>0</v>
      </c>
    </row>
    <row r="157" spans="1:4" ht="18" hidden="1" x14ac:dyDescent="0.35">
      <c r="A157" s="8" t="s">
        <v>118</v>
      </c>
      <c r="B157" s="9"/>
      <c r="C157" s="12"/>
      <c r="D157" s="11">
        <f t="shared" si="2"/>
        <v>0</v>
      </c>
    </row>
    <row r="158" spans="1:4" ht="18" hidden="1" x14ac:dyDescent="0.35">
      <c r="A158" s="8" t="s">
        <v>106</v>
      </c>
      <c r="B158" s="9"/>
      <c r="C158" s="10"/>
      <c r="D158" s="11">
        <f t="shared" si="2"/>
        <v>0</v>
      </c>
    </row>
    <row r="159" spans="1:4" ht="18.75" x14ac:dyDescent="0.25">
      <c r="A159" s="8" t="s">
        <v>157</v>
      </c>
      <c r="B159" s="9">
        <v>15</v>
      </c>
      <c r="C159" s="10">
        <v>15000</v>
      </c>
      <c r="D159" s="11">
        <f t="shared" si="2"/>
        <v>225000</v>
      </c>
    </row>
    <row r="160" spans="1:4" ht="18.75" x14ac:dyDescent="0.25">
      <c r="A160" s="8" t="s">
        <v>11</v>
      </c>
      <c r="B160" s="9">
        <v>32</v>
      </c>
      <c r="C160" s="10">
        <v>36000</v>
      </c>
      <c r="D160" s="11">
        <f t="shared" si="2"/>
        <v>1152000</v>
      </c>
    </row>
    <row r="161" spans="1:4" ht="18" hidden="1" x14ac:dyDescent="0.35">
      <c r="A161" s="8" t="s">
        <v>12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13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212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136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137</v>
      </c>
      <c r="B165" s="9"/>
      <c r="C165" s="13"/>
      <c r="D165" s="11">
        <f t="shared" si="2"/>
        <v>0</v>
      </c>
    </row>
    <row r="166" spans="1:4" ht="18.75" x14ac:dyDescent="0.25">
      <c r="A166" s="8" t="s">
        <v>14</v>
      </c>
      <c r="B166" s="9">
        <v>39</v>
      </c>
      <c r="C166" s="12">
        <v>46000</v>
      </c>
      <c r="D166" s="11">
        <f t="shared" si="2"/>
        <v>1794000</v>
      </c>
    </row>
    <row r="167" spans="1:4" ht="18" hidden="1" x14ac:dyDescent="0.35">
      <c r="A167" s="8" t="s">
        <v>15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16</v>
      </c>
      <c r="B168" s="9"/>
      <c r="C168" s="12"/>
      <c r="D168" s="11">
        <f t="shared" si="2"/>
        <v>0</v>
      </c>
    </row>
    <row r="169" spans="1:4" ht="18" hidden="1" x14ac:dyDescent="0.35">
      <c r="A169" s="8" t="s">
        <v>213</v>
      </c>
      <c r="B169" s="9"/>
      <c r="C169" s="13"/>
      <c r="D169" s="11">
        <f t="shared" si="2"/>
        <v>0</v>
      </c>
    </row>
    <row r="170" spans="1:4" ht="18.75" x14ac:dyDescent="0.25">
      <c r="A170" s="8" t="s">
        <v>17</v>
      </c>
      <c r="B170" s="9">
        <v>33</v>
      </c>
      <c r="C170" s="10">
        <v>16000</v>
      </c>
      <c r="D170" s="11">
        <f t="shared" si="2"/>
        <v>528000</v>
      </c>
    </row>
    <row r="171" spans="1:4" ht="18" hidden="1" x14ac:dyDescent="0.35">
      <c r="A171" s="8" t="s">
        <v>18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19</v>
      </c>
      <c r="B172" s="9"/>
      <c r="C172" s="10"/>
      <c r="D172" s="11">
        <f t="shared" si="2"/>
        <v>0</v>
      </c>
    </row>
    <row r="173" spans="1:4" ht="18" hidden="1" x14ac:dyDescent="0.35">
      <c r="A173" s="8" t="s">
        <v>214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158</v>
      </c>
      <c r="B174" s="9"/>
      <c r="C174" s="10"/>
      <c r="D174" s="11">
        <f t="shared" si="2"/>
        <v>0</v>
      </c>
    </row>
    <row r="175" spans="1:4" ht="18" hidden="1" x14ac:dyDescent="0.35">
      <c r="A175" s="8" t="s">
        <v>92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159</v>
      </c>
      <c r="B176" s="9"/>
      <c r="C176" s="10"/>
      <c r="D176" s="11">
        <f t="shared" si="2"/>
        <v>0</v>
      </c>
    </row>
    <row r="177" spans="1:4" ht="18" hidden="1" x14ac:dyDescent="0.35">
      <c r="A177" s="8" t="s">
        <v>160</v>
      </c>
      <c r="B177" s="9"/>
      <c r="C177" s="10"/>
      <c r="D177" s="11">
        <f t="shared" si="2"/>
        <v>0</v>
      </c>
    </row>
    <row r="178" spans="1:4" ht="18" hidden="1" x14ac:dyDescent="0.35">
      <c r="A178" s="8" t="s">
        <v>93</v>
      </c>
      <c r="B178" s="9"/>
      <c r="C178" s="10"/>
      <c r="D178" s="11">
        <f t="shared" si="2"/>
        <v>0</v>
      </c>
    </row>
    <row r="179" spans="1:4" ht="18.75" x14ac:dyDescent="0.25">
      <c r="A179" s="8" t="s">
        <v>199</v>
      </c>
      <c r="B179" s="9">
        <v>4</v>
      </c>
      <c r="C179" s="12">
        <v>18000</v>
      </c>
      <c r="D179" s="11">
        <f t="shared" si="2"/>
        <v>72000</v>
      </c>
    </row>
    <row r="180" spans="1:4" ht="18" hidden="1" x14ac:dyDescent="0.35">
      <c r="A180" s="8" t="s">
        <v>200</v>
      </c>
      <c r="B180" s="9"/>
      <c r="C180" s="12"/>
      <c r="D180" s="11">
        <f t="shared" si="2"/>
        <v>0</v>
      </c>
    </row>
    <row r="181" spans="1:4" ht="18" hidden="1" x14ac:dyDescent="0.35">
      <c r="A181" s="8" t="s">
        <v>110</v>
      </c>
      <c r="B181" s="9"/>
      <c r="C181" s="10"/>
      <c r="D181" s="11">
        <f t="shared" si="2"/>
        <v>0</v>
      </c>
    </row>
    <row r="182" spans="1:4" ht="18" hidden="1" x14ac:dyDescent="0.35">
      <c r="A182" s="8" t="s">
        <v>188</v>
      </c>
      <c r="B182" s="9"/>
      <c r="C182" s="10"/>
      <c r="D182" s="11">
        <f t="shared" si="2"/>
        <v>0</v>
      </c>
    </row>
    <row r="183" spans="1:4" ht="18.75" x14ac:dyDescent="0.25">
      <c r="A183" s="8" t="s">
        <v>189</v>
      </c>
      <c r="B183" s="9">
        <v>10</v>
      </c>
      <c r="C183" s="13">
        <v>10000</v>
      </c>
      <c r="D183" s="11">
        <f t="shared" si="2"/>
        <v>100000</v>
      </c>
    </row>
    <row r="184" spans="1:4" ht="18" hidden="1" x14ac:dyDescent="0.35">
      <c r="A184" s="8" t="s">
        <v>57</v>
      </c>
      <c r="B184" s="9"/>
      <c r="C184" s="10"/>
      <c r="D184" s="11">
        <f t="shared" si="2"/>
        <v>0</v>
      </c>
    </row>
    <row r="185" spans="1:4" ht="18" hidden="1" x14ac:dyDescent="0.35">
      <c r="A185" s="8" t="s">
        <v>58</v>
      </c>
      <c r="B185" s="9"/>
      <c r="C185" s="13"/>
      <c r="D185" s="11">
        <f t="shared" si="2"/>
        <v>0</v>
      </c>
    </row>
    <row r="186" spans="1:4" ht="18.75" x14ac:dyDescent="0.25">
      <c r="A186" s="8" t="s">
        <v>44</v>
      </c>
      <c r="B186" s="9">
        <v>20</v>
      </c>
      <c r="C186" s="10">
        <v>16000</v>
      </c>
      <c r="D186" s="11">
        <f t="shared" si="2"/>
        <v>320000</v>
      </c>
    </row>
    <row r="187" spans="1:4" ht="18" hidden="1" x14ac:dyDescent="0.35">
      <c r="A187" s="8" t="s">
        <v>45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161</v>
      </c>
      <c r="B188" s="9"/>
      <c r="C188" s="10">
        <v>32000</v>
      </c>
      <c r="D188" s="11">
        <f t="shared" si="2"/>
        <v>0</v>
      </c>
    </row>
    <row r="189" spans="1:4" ht="18" hidden="1" x14ac:dyDescent="0.35">
      <c r="A189" s="8" t="s">
        <v>162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163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164</v>
      </c>
      <c r="B191" s="9"/>
      <c r="C191" s="15"/>
      <c r="D191" s="11">
        <f t="shared" si="2"/>
        <v>0</v>
      </c>
    </row>
    <row r="192" spans="1:4" ht="18" hidden="1" x14ac:dyDescent="0.35">
      <c r="A192" s="8" t="s">
        <v>94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59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138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171</v>
      </c>
      <c r="B195" s="9"/>
      <c r="C195" s="13"/>
      <c r="D195" s="11">
        <f t="shared" si="2"/>
        <v>0</v>
      </c>
    </row>
    <row r="196" spans="1:4" ht="18" hidden="1" x14ac:dyDescent="0.35">
      <c r="A196" s="8" t="s">
        <v>172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173</v>
      </c>
      <c r="B197" s="9"/>
      <c r="C197" s="13">
        <v>25000</v>
      </c>
      <c r="D197" s="11">
        <f t="shared" ref="D197:D213" si="3">B197*C197</f>
        <v>0</v>
      </c>
    </row>
    <row r="198" spans="1:4" ht="18" hidden="1" x14ac:dyDescent="0.35">
      <c r="A198" s="8" t="s">
        <v>174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175</v>
      </c>
      <c r="B199" s="9"/>
      <c r="C199" s="13"/>
      <c r="D199" s="11">
        <f t="shared" si="3"/>
        <v>0</v>
      </c>
    </row>
    <row r="200" spans="1:4" ht="18" hidden="1" x14ac:dyDescent="0.35">
      <c r="A200" s="8" t="s">
        <v>60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176</v>
      </c>
      <c r="B201" s="9"/>
      <c r="C201" s="13"/>
      <c r="D201" s="11">
        <f t="shared" si="3"/>
        <v>0</v>
      </c>
    </row>
    <row r="202" spans="1:4" ht="18" hidden="1" x14ac:dyDescent="0.35">
      <c r="A202" s="8" t="s">
        <v>177</v>
      </c>
      <c r="B202" s="9"/>
      <c r="C202" s="12"/>
      <c r="D202" s="11">
        <f t="shared" si="3"/>
        <v>0</v>
      </c>
    </row>
    <row r="203" spans="1:4" ht="18" hidden="1" x14ac:dyDescent="0.35">
      <c r="A203" s="27" t="s">
        <v>178</v>
      </c>
      <c r="B203" s="9"/>
      <c r="C203" s="12"/>
      <c r="D203" s="11">
        <f t="shared" si="3"/>
        <v>0</v>
      </c>
    </row>
    <row r="204" spans="1:4" ht="18" hidden="1" x14ac:dyDescent="0.35">
      <c r="A204" s="27" t="s">
        <v>179</v>
      </c>
      <c r="B204" s="9"/>
      <c r="C204" s="13">
        <v>25000</v>
      </c>
      <c r="D204" s="11">
        <f t="shared" si="3"/>
        <v>0</v>
      </c>
    </row>
    <row r="205" spans="1:4" ht="18" hidden="1" x14ac:dyDescent="0.35">
      <c r="A205" s="27" t="s">
        <v>180</v>
      </c>
      <c r="B205" s="9"/>
      <c r="C205" s="13"/>
      <c r="D205" s="11">
        <f t="shared" si="3"/>
        <v>0</v>
      </c>
    </row>
    <row r="206" spans="1:4" ht="18" hidden="1" x14ac:dyDescent="0.35">
      <c r="A206" s="27" t="s">
        <v>181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182</v>
      </c>
      <c r="B207" s="9"/>
      <c r="C207" s="12"/>
      <c r="D207" s="11">
        <f t="shared" si="3"/>
        <v>0</v>
      </c>
    </row>
    <row r="208" spans="1:4" ht="18" hidden="1" x14ac:dyDescent="0.35">
      <c r="A208" s="8" t="s">
        <v>61</v>
      </c>
      <c r="B208" s="17"/>
      <c r="C208" s="10"/>
      <c r="D208" s="11">
        <f t="shared" si="3"/>
        <v>0</v>
      </c>
    </row>
    <row r="209" spans="1:4" ht="18" hidden="1" x14ac:dyDescent="0.35">
      <c r="A209" s="8" t="s">
        <v>183</v>
      </c>
      <c r="B209" s="9"/>
      <c r="C209" s="13">
        <v>6100</v>
      </c>
      <c r="D209" s="11">
        <f t="shared" si="3"/>
        <v>0</v>
      </c>
    </row>
    <row r="210" spans="1:4" ht="18" hidden="1" x14ac:dyDescent="0.35">
      <c r="A210" s="8" t="s">
        <v>184</v>
      </c>
      <c r="B210" s="9"/>
      <c r="C210" s="13"/>
      <c r="D210" s="11">
        <f t="shared" si="3"/>
        <v>0</v>
      </c>
    </row>
    <row r="211" spans="1:4" ht="18" hidden="1" x14ac:dyDescent="0.35">
      <c r="A211" s="8" t="s">
        <v>185</v>
      </c>
      <c r="B211" s="9"/>
      <c r="C211" s="13">
        <v>23000</v>
      </c>
      <c r="D211" s="11">
        <f t="shared" si="3"/>
        <v>0</v>
      </c>
    </row>
    <row r="212" spans="1:4" ht="18" hidden="1" x14ac:dyDescent="0.35">
      <c r="A212" s="8" t="s">
        <v>186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187</v>
      </c>
      <c r="B213" s="9"/>
      <c r="C213" s="13"/>
      <c r="D213" s="11">
        <f t="shared" si="3"/>
        <v>0</v>
      </c>
    </row>
    <row r="214" spans="1:4" x14ac:dyDescent="0.25">
      <c r="D214" s="49">
        <f>SUM(D12:D186)</f>
        <v>73374000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2" workbookViewId="0">
      <selection activeCell="H124" sqref="H124"/>
    </sheetView>
  </sheetViews>
  <sheetFormatPr defaultRowHeight="15" x14ac:dyDescent="0.25"/>
  <cols>
    <col min="1" max="1" width="28.5703125" customWidth="1"/>
    <col min="2" max="2" width="12.140625" customWidth="1"/>
    <col min="3" max="3" width="17.28515625" customWidth="1"/>
    <col min="4" max="4" width="18.5703125" customWidth="1"/>
  </cols>
  <sheetData>
    <row r="1" spans="1:4" x14ac:dyDescent="0.25">
      <c r="A1" s="1" t="s">
        <v>238</v>
      </c>
      <c r="B1" s="2"/>
      <c r="C1" s="2"/>
      <c r="D1" s="3"/>
    </row>
    <row r="2" spans="1:4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" hidden="1" x14ac:dyDescent="0.35">
      <c r="A4" s="18" t="s">
        <v>62</v>
      </c>
      <c r="B4" s="9"/>
      <c r="C4" s="19"/>
      <c r="D4" s="11">
        <f>B4*C4</f>
        <v>0</v>
      </c>
    </row>
    <row r="5" spans="1:4" ht="18" hidden="1" x14ac:dyDescent="0.35">
      <c r="A5" s="18" t="s">
        <v>63</v>
      </c>
      <c r="B5" s="9"/>
      <c r="C5" s="10">
        <v>10000</v>
      </c>
      <c r="D5" s="11">
        <f t="shared" ref="D5:D68" si="0">B5*C5</f>
        <v>0</v>
      </c>
    </row>
    <row r="6" spans="1:4" ht="18" hidden="1" x14ac:dyDescent="0.35">
      <c r="A6" s="18" t="s">
        <v>125</v>
      </c>
      <c r="B6" s="9"/>
      <c r="C6" s="12"/>
      <c r="D6" s="11">
        <f t="shared" si="0"/>
        <v>0</v>
      </c>
    </row>
    <row r="7" spans="1:4" ht="18" hidden="1" x14ac:dyDescent="0.35">
      <c r="A7" s="8" t="s">
        <v>126</v>
      </c>
      <c r="B7" s="9"/>
      <c r="C7" s="13"/>
      <c r="D7" s="11">
        <f t="shared" si="0"/>
        <v>0</v>
      </c>
    </row>
    <row r="8" spans="1:4" ht="18" hidden="1" x14ac:dyDescent="0.35">
      <c r="A8" s="8" t="s">
        <v>27</v>
      </c>
      <c r="B8" s="9"/>
      <c r="C8" s="10"/>
      <c r="D8" s="11">
        <f t="shared" si="0"/>
        <v>0</v>
      </c>
    </row>
    <row r="9" spans="1:4" ht="18" hidden="1" x14ac:dyDescent="0.35">
      <c r="A9" s="8" t="s">
        <v>74</v>
      </c>
      <c r="B9" s="9"/>
      <c r="C9" s="13"/>
      <c r="D9" s="11">
        <f t="shared" si="0"/>
        <v>0</v>
      </c>
    </row>
    <row r="10" spans="1:4" ht="18" hidden="1" x14ac:dyDescent="0.35">
      <c r="A10" s="8" t="s">
        <v>28</v>
      </c>
      <c r="B10" s="9"/>
      <c r="C10" s="10"/>
      <c r="D10" s="11">
        <f t="shared" si="0"/>
        <v>0</v>
      </c>
    </row>
    <row r="11" spans="1:4" ht="18" hidden="1" x14ac:dyDescent="0.35">
      <c r="A11" s="14" t="s">
        <v>29</v>
      </c>
      <c r="B11" s="9"/>
      <c r="C11" s="15"/>
      <c r="D11" s="11">
        <f t="shared" si="0"/>
        <v>0</v>
      </c>
    </row>
    <row r="12" spans="1:4" ht="18.75" x14ac:dyDescent="0.25">
      <c r="A12" s="14" t="s">
        <v>141</v>
      </c>
      <c r="B12" s="9">
        <v>14</v>
      </c>
      <c r="C12" s="10">
        <v>11000</v>
      </c>
      <c r="D12" s="11">
        <f t="shared" si="0"/>
        <v>154000</v>
      </c>
    </row>
    <row r="13" spans="1:4" ht="18" hidden="1" x14ac:dyDescent="0.35">
      <c r="A13" s="8" t="s">
        <v>91</v>
      </c>
      <c r="B13" s="9"/>
      <c r="C13" s="10"/>
      <c r="D13" s="11">
        <f t="shared" si="0"/>
        <v>0</v>
      </c>
    </row>
    <row r="14" spans="1:4" ht="18" hidden="1" x14ac:dyDescent="0.35">
      <c r="A14" s="8" t="s">
        <v>142</v>
      </c>
      <c r="B14" s="9"/>
      <c r="C14" s="10"/>
      <c r="D14" s="11">
        <f t="shared" si="0"/>
        <v>0</v>
      </c>
    </row>
    <row r="15" spans="1:4" ht="18.75" x14ac:dyDescent="0.25">
      <c r="A15" s="8" t="s">
        <v>204</v>
      </c>
      <c r="B15" s="9">
        <f>510+630+75+45</f>
        <v>1260</v>
      </c>
      <c r="C15" s="13">
        <v>6000</v>
      </c>
      <c r="D15" s="11">
        <f t="shared" si="0"/>
        <v>7560000</v>
      </c>
    </row>
    <row r="16" spans="1:4" ht="18" hidden="1" x14ac:dyDescent="0.35">
      <c r="A16" s="23" t="s">
        <v>139</v>
      </c>
      <c r="B16" s="9"/>
      <c r="C16" s="10"/>
      <c r="D16" s="11">
        <f t="shared" si="0"/>
        <v>0</v>
      </c>
    </row>
    <row r="17" spans="1:4" ht="18" hidden="1" x14ac:dyDescent="0.35">
      <c r="A17" s="8" t="s">
        <v>5</v>
      </c>
      <c r="B17" s="9"/>
      <c r="C17" s="10">
        <v>10000</v>
      </c>
      <c r="D17" s="11">
        <f t="shared" si="0"/>
        <v>0</v>
      </c>
    </row>
    <row r="18" spans="1:4" ht="18" hidden="1" x14ac:dyDescent="0.35">
      <c r="A18" s="8" t="s">
        <v>206</v>
      </c>
      <c r="B18" s="9"/>
      <c r="C18" s="13"/>
      <c r="D18" s="11">
        <f t="shared" si="0"/>
        <v>0</v>
      </c>
    </row>
    <row r="19" spans="1:4" ht="18.75" x14ac:dyDescent="0.25">
      <c r="A19" s="8" t="s">
        <v>6</v>
      </c>
      <c r="B19" s="9">
        <f>53+45+46+23</f>
        <v>167</v>
      </c>
      <c r="C19" s="10">
        <v>18000</v>
      </c>
      <c r="D19" s="11">
        <f t="shared" si="0"/>
        <v>3006000</v>
      </c>
    </row>
    <row r="20" spans="1:4" ht="18" hidden="1" x14ac:dyDescent="0.35">
      <c r="A20" s="8" t="s">
        <v>111</v>
      </c>
      <c r="B20" s="9"/>
      <c r="C20" s="13"/>
      <c r="D20" s="11">
        <f t="shared" si="0"/>
        <v>0</v>
      </c>
    </row>
    <row r="21" spans="1:4" ht="18" hidden="1" x14ac:dyDescent="0.35">
      <c r="A21" s="8" t="s">
        <v>7</v>
      </c>
      <c r="B21" s="9"/>
      <c r="C21" s="10"/>
      <c r="D21" s="11">
        <f t="shared" si="0"/>
        <v>0</v>
      </c>
    </row>
    <row r="22" spans="1:4" ht="18" hidden="1" x14ac:dyDescent="0.35">
      <c r="A22" s="8" t="s">
        <v>149</v>
      </c>
      <c r="B22" s="9"/>
      <c r="C22" s="10"/>
      <c r="D22" s="11">
        <f t="shared" si="0"/>
        <v>0</v>
      </c>
    </row>
    <row r="23" spans="1:4" ht="18" hidden="1" x14ac:dyDescent="0.35">
      <c r="A23" s="8" t="s">
        <v>140</v>
      </c>
      <c r="B23" s="9"/>
      <c r="C23" s="10"/>
      <c r="D23" s="11">
        <f t="shared" si="0"/>
        <v>0</v>
      </c>
    </row>
    <row r="24" spans="1:4" ht="18" hidden="1" x14ac:dyDescent="0.35">
      <c r="A24" s="8" t="s">
        <v>36</v>
      </c>
      <c r="B24" s="9"/>
      <c r="C24" s="10"/>
      <c r="D24" s="11">
        <f t="shared" si="0"/>
        <v>0</v>
      </c>
    </row>
    <row r="25" spans="1:4" ht="18" hidden="1" x14ac:dyDescent="0.35">
      <c r="A25" s="14" t="s">
        <v>37</v>
      </c>
      <c r="B25" s="9"/>
      <c r="C25" s="12">
        <v>20000</v>
      </c>
      <c r="D25" s="11">
        <f t="shared" si="0"/>
        <v>0</v>
      </c>
    </row>
    <row r="26" spans="1:4" ht="18" hidden="1" x14ac:dyDescent="0.35">
      <c r="A26" s="14" t="s">
        <v>38</v>
      </c>
      <c r="B26" s="9"/>
      <c r="C26" s="10"/>
      <c r="D26" s="11">
        <f t="shared" si="0"/>
        <v>0</v>
      </c>
    </row>
    <row r="27" spans="1:4" ht="18" hidden="1" x14ac:dyDescent="0.35">
      <c r="A27" s="8" t="s">
        <v>96</v>
      </c>
      <c r="B27" s="9"/>
      <c r="C27" s="10"/>
      <c r="D27" s="11">
        <f t="shared" si="0"/>
        <v>0</v>
      </c>
    </row>
    <row r="28" spans="1:4" ht="18" hidden="1" x14ac:dyDescent="0.35">
      <c r="A28" s="8" t="s">
        <v>97</v>
      </c>
      <c r="B28" s="9"/>
      <c r="C28" s="10"/>
      <c r="D28" s="11">
        <f t="shared" si="0"/>
        <v>0</v>
      </c>
    </row>
    <row r="29" spans="1:4" ht="18" hidden="1" x14ac:dyDescent="0.35">
      <c r="A29" s="8" t="s">
        <v>127</v>
      </c>
      <c r="B29" s="9"/>
      <c r="C29" s="13"/>
      <c r="D29" s="11">
        <f t="shared" si="0"/>
        <v>0</v>
      </c>
    </row>
    <row r="30" spans="1:4" ht="18" hidden="1" x14ac:dyDescent="0.35">
      <c r="A30" s="8" t="s">
        <v>123</v>
      </c>
      <c r="B30" s="9"/>
      <c r="C30" s="12"/>
      <c r="D30" s="11">
        <f t="shared" si="0"/>
        <v>0</v>
      </c>
    </row>
    <row r="31" spans="1:4" ht="18" hidden="1" x14ac:dyDescent="0.35">
      <c r="A31" s="8" t="s">
        <v>124</v>
      </c>
      <c r="B31" s="9"/>
      <c r="C31" s="13"/>
      <c r="D31" s="11">
        <f t="shared" si="0"/>
        <v>0</v>
      </c>
    </row>
    <row r="32" spans="1:4" ht="18" hidden="1" x14ac:dyDescent="0.35">
      <c r="A32" s="8" t="s">
        <v>72</v>
      </c>
      <c r="B32" s="9"/>
      <c r="C32" s="12"/>
      <c r="D32" s="11">
        <f t="shared" si="0"/>
        <v>0</v>
      </c>
    </row>
    <row r="33" spans="1:4" ht="18" hidden="1" x14ac:dyDescent="0.35">
      <c r="A33" s="8" t="s">
        <v>73</v>
      </c>
      <c r="B33" s="9"/>
      <c r="C33" s="12">
        <v>25000</v>
      </c>
      <c r="D33" s="11">
        <f t="shared" si="0"/>
        <v>0</v>
      </c>
    </row>
    <row r="34" spans="1:4" ht="18" hidden="1" x14ac:dyDescent="0.35">
      <c r="A34" s="8" t="s">
        <v>190</v>
      </c>
      <c r="B34" s="9"/>
      <c r="C34" s="12"/>
      <c r="D34" s="11">
        <f t="shared" si="0"/>
        <v>0</v>
      </c>
    </row>
    <row r="35" spans="1:4" ht="18" hidden="1" x14ac:dyDescent="0.35">
      <c r="A35" s="8" t="s">
        <v>191</v>
      </c>
      <c r="B35" s="9"/>
      <c r="C35" s="10"/>
      <c r="D35" s="11">
        <f t="shared" si="0"/>
        <v>0</v>
      </c>
    </row>
    <row r="36" spans="1:4" ht="18" hidden="1" x14ac:dyDescent="0.35">
      <c r="A36" s="8" t="s">
        <v>192</v>
      </c>
      <c r="B36" s="9"/>
      <c r="C36" s="13"/>
      <c r="D36" s="11">
        <f t="shared" si="0"/>
        <v>0</v>
      </c>
    </row>
    <row r="37" spans="1:4" ht="18" hidden="1" x14ac:dyDescent="0.35">
      <c r="A37" s="8" t="s">
        <v>193</v>
      </c>
      <c r="B37" s="9"/>
      <c r="C37" s="10">
        <v>18000</v>
      </c>
      <c r="D37" s="11">
        <f t="shared" si="0"/>
        <v>0</v>
      </c>
    </row>
    <row r="38" spans="1:4" ht="18" hidden="1" x14ac:dyDescent="0.35">
      <c r="A38" s="8" t="s">
        <v>194</v>
      </c>
      <c r="B38" s="9"/>
      <c r="C38" s="10"/>
      <c r="D38" s="11">
        <f t="shared" si="0"/>
        <v>0</v>
      </c>
    </row>
    <row r="39" spans="1:4" ht="18" hidden="1" x14ac:dyDescent="0.35">
      <c r="A39" s="8" t="s">
        <v>195</v>
      </c>
      <c r="B39" s="9"/>
      <c r="C39" s="10"/>
      <c r="D39" s="11">
        <f t="shared" si="0"/>
        <v>0</v>
      </c>
    </row>
    <row r="40" spans="1:4" ht="18.75" x14ac:dyDescent="0.25">
      <c r="A40" s="14" t="s">
        <v>64</v>
      </c>
      <c r="B40" s="9">
        <v>275</v>
      </c>
      <c r="C40" s="10">
        <v>20000</v>
      </c>
      <c r="D40" s="11">
        <f t="shared" si="0"/>
        <v>5500000</v>
      </c>
    </row>
    <row r="41" spans="1:4" ht="18" hidden="1" x14ac:dyDescent="0.35">
      <c r="A41" s="8" t="s">
        <v>119</v>
      </c>
      <c r="B41" s="9"/>
      <c r="C41" s="10"/>
      <c r="D41" s="11">
        <f t="shared" si="0"/>
        <v>0</v>
      </c>
    </row>
    <row r="42" spans="1:4" ht="18.75" x14ac:dyDescent="0.25">
      <c r="A42" s="8" t="s">
        <v>46</v>
      </c>
      <c r="B42" s="9">
        <v>26</v>
      </c>
      <c r="C42" s="12">
        <v>15000</v>
      </c>
      <c r="D42" s="11">
        <f t="shared" si="0"/>
        <v>390000</v>
      </c>
    </row>
    <row r="43" spans="1:4" ht="18" hidden="1" x14ac:dyDescent="0.35">
      <c r="A43" s="8" t="s">
        <v>47</v>
      </c>
      <c r="B43" s="9"/>
      <c r="C43" s="12"/>
      <c r="D43" s="11">
        <f t="shared" si="0"/>
        <v>0</v>
      </c>
    </row>
    <row r="44" spans="1:4" ht="18.75" x14ac:dyDescent="0.25">
      <c r="A44" s="8" t="s">
        <v>65</v>
      </c>
      <c r="B44" s="9">
        <v>24</v>
      </c>
      <c r="C44" s="12">
        <v>17000</v>
      </c>
      <c r="D44" s="11">
        <f t="shared" si="0"/>
        <v>408000</v>
      </c>
    </row>
    <row r="45" spans="1:4" ht="18" hidden="1" x14ac:dyDescent="0.35">
      <c r="A45" s="8" t="s">
        <v>107</v>
      </c>
      <c r="B45" s="9"/>
      <c r="C45" s="10"/>
      <c r="D45" s="11">
        <f t="shared" si="0"/>
        <v>0</v>
      </c>
    </row>
    <row r="46" spans="1:4" ht="18" hidden="1" x14ac:dyDescent="0.35">
      <c r="A46" s="8" t="s">
        <v>48</v>
      </c>
      <c r="B46" s="9"/>
      <c r="C46" s="10"/>
      <c r="D46" s="11">
        <f t="shared" si="0"/>
        <v>0</v>
      </c>
    </row>
    <row r="47" spans="1:4" ht="18" hidden="1" x14ac:dyDescent="0.35">
      <c r="A47" s="14" t="s">
        <v>69</v>
      </c>
      <c r="B47" s="9"/>
      <c r="C47" s="15">
        <v>38000</v>
      </c>
      <c r="D47" s="11">
        <f t="shared" si="0"/>
        <v>0</v>
      </c>
    </row>
    <row r="48" spans="1:4" ht="18" hidden="1" x14ac:dyDescent="0.35">
      <c r="A48" s="14" t="s">
        <v>70</v>
      </c>
      <c r="B48" s="9"/>
      <c r="C48" s="15"/>
      <c r="D48" s="11">
        <f t="shared" si="0"/>
        <v>0</v>
      </c>
    </row>
    <row r="49" spans="1:4" ht="18" hidden="1" x14ac:dyDescent="0.35">
      <c r="A49" s="14" t="s">
        <v>71</v>
      </c>
      <c r="B49" s="9"/>
      <c r="C49" s="10"/>
      <c r="D49" s="11">
        <f t="shared" si="0"/>
        <v>0</v>
      </c>
    </row>
    <row r="50" spans="1:4" ht="18" hidden="1" x14ac:dyDescent="0.35">
      <c r="A50" s="8" t="s">
        <v>75</v>
      </c>
      <c r="B50" s="9"/>
      <c r="C50" s="15"/>
      <c r="D50" s="11">
        <f t="shared" si="0"/>
        <v>0</v>
      </c>
    </row>
    <row r="51" spans="1:4" ht="18" hidden="1" x14ac:dyDescent="0.35">
      <c r="A51" s="14" t="s">
        <v>66</v>
      </c>
      <c r="B51" s="9"/>
      <c r="C51" s="10"/>
      <c r="D51" s="11">
        <f t="shared" si="0"/>
        <v>0</v>
      </c>
    </row>
    <row r="52" spans="1:4" ht="18.75" x14ac:dyDescent="0.25">
      <c r="A52" s="8" t="s">
        <v>121</v>
      </c>
      <c r="B52" s="9">
        <v>320</v>
      </c>
      <c r="C52" s="13">
        <v>22000</v>
      </c>
      <c r="D52" s="11">
        <f t="shared" si="0"/>
        <v>7040000</v>
      </c>
    </row>
    <row r="53" spans="1:4" ht="18" hidden="1" x14ac:dyDescent="0.35">
      <c r="A53" s="8" t="s">
        <v>122</v>
      </c>
      <c r="B53" s="9"/>
      <c r="C53" s="12">
        <v>17000</v>
      </c>
      <c r="D53" s="11">
        <f t="shared" si="0"/>
        <v>0</v>
      </c>
    </row>
    <row r="54" spans="1:4" ht="18" hidden="1" x14ac:dyDescent="0.35">
      <c r="A54" s="8" t="s">
        <v>99</v>
      </c>
      <c r="B54" s="9"/>
      <c r="C54" s="12"/>
      <c r="D54" s="11">
        <f t="shared" si="0"/>
        <v>0</v>
      </c>
    </row>
    <row r="55" spans="1:4" ht="18" hidden="1" x14ac:dyDescent="0.35">
      <c r="A55" s="8" t="s">
        <v>49</v>
      </c>
      <c r="B55" s="9"/>
      <c r="C55" s="10"/>
      <c r="D55" s="11">
        <f t="shared" si="0"/>
        <v>0</v>
      </c>
    </row>
    <row r="56" spans="1:4" ht="18" hidden="1" x14ac:dyDescent="0.35">
      <c r="A56" s="8" t="s">
        <v>50</v>
      </c>
      <c r="B56" s="9"/>
      <c r="C56" s="10"/>
      <c r="D56" s="11">
        <f t="shared" si="0"/>
        <v>0</v>
      </c>
    </row>
    <row r="57" spans="1:4" ht="18" hidden="1" x14ac:dyDescent="0.35">
      <c r="A57" s="8" t="s">
        <v>51</v>
      </c>
      <c r="B57" s="9"/>
      <c r="C57" s="10"/>
      <c r="D57" s="11">
        <f t="shared" si="0"/>
        <v>0</v>
      </c>
    </row>
    <row r="58" spans="1:4" ht="18" hidden="1" x14ac:dyDescent="0.35">
      <c r="A58" s="8" t="s">
        <v>52</v>
      </c>
      <c r="B58" s="9"/>
      <c r="C58" s="12"/>
      <c r="D58" s="11">
        <f t="shared" si="0"/>
        <v>0</v>
      </c>
    </row>
    <row r="59" spans="1:4" ht="18" hidden="1" x14ac:dyDescent="0.35">
      <c r="A59" s="8" t="s">
        <v>53</v>
      </c>
      <c r="B59" s="9"/>
      <c r="C59" s="10"/>
      <c r="D59" s="11">
        <f t="shared" si="0"/>
        <v>0</v>
      </c>
    </row>
    <row r="60" spans="1:4" ht="18" hidden="1" x14ac:dyDescent="0.35">
      <c r="A60" s="8" t="s">
        <v>143</v>
      </c>
      <c r="B60" s="9"/>
      <c r="C60" s="13"/>
      <c r="D60" s="11">
        <f t="shared" si="0"/>
        <v>0</v>
      </c>
    </row>
    <row r="61" spans="1:4" ht="18" hidden="1" x14ac:dyDescent="0.35">
      <c r="A61" s="8" t="s">
        <v>21</v>
      </c>
      <c r="B61" s="9"/>
      <c r="C61" s="10"/>
      <c r="D61" s="11">
        <f t="shared" si="0"/>
        <v>0</v>
      </c>
    </row>
    <row r="62" spans="1:4" ht="18" hidden="1" x14ac:dyDescent="0.35">
      <c r="A62" s="8" t="s">
        <v>207</v>
      </c>
      <c r="B62" s="9"/>
      <c r="C62" s="13"/>
      <c r="D62" s="11">
        <f t="shared" si="0"/>
        <v>0</v>
      </c>
    </row>
    <row r="63" spans="1:4" ht="18" hidden="1" x14ac:dyDescent="0.35">
      <c r="A63" s="8" t="s">
        <v>208</v>
      </c>
      <c r="B63" s="9"/>
      <c r="C63" s="13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8" t="s">
        <v>23</v>
      </c>
      <c r="B65" s="9"/>
      <c r="C65" s="10"/>
      <c r="D65" s="11">
        <f t="shared" si="0"/>
        <v>0</v>
      </c>
    </row>
    <row r="66" spans="1:4" ht="18" hidden="1" x14ac:dyDescent="0.35">
      <c r="A66" s="8" t="s">
        <v>26</v>
      </c>
      <c r="B66" s="9"/>
      <c r="C66" s="10"/>
      <c r="D66" s="11">
        <f t="shared" si="0"/>
        <v>0</v>
      </c>
    </row>
    <row r="67" spans="1:4" ht="18" hidden="1" x14ac:dyDescent="0.35">
      <c r="A67" s="8" t="s">
        <v>78</v>
      </c>
      <c r="B67" s="9"/>
      <c r="C67" s="12"/>
      <c r="D67" s="11">
        <f t="shared" si="0"/>
        <v>0</v>
      </c>
    </row>
    <row r="68" spans="1:4" ht="18" hidden="1" x14ac:dyDescent="0.35">
      <c r="A68" s="8" t="s">
        <v>120</v>
      </c>
      <c r="B68" s="9"/>
      <c r="C68" s="10">
        <v>15000</v>
      </c>
      <c r="D68" s="11">
        <f t="shared" si="0"/>
        <v>0</v>
      </c>
    </row>
    <row r="69" spans="1:4" ht="18" hidden="1" x14ac:dyDescent="0.35">
      <c r="A69" s="8" t="s">
        <v>79</v>
      </c>
      <c r="B69" s="9"/>
      <c r="C69" s="13"/>
      <c r="D69" s="11">
        <f t="shared" ref="D69:D132" si="1">B69*C69</f>
        <v>0</v>
      </c>
    </row>
    <row r="70" spans="1:4" ht="18.75" x14ac:dyDescent="0.25">
      <c r="A70" s="8" t="s">
        <v>8</v>
      </c>
      <c r="B70" s="9">
        <v>100</v>
      </c>
      <c r="C70" s="12">
        <v>40000</v>
      </c>
      <c r="D70" s="11">
        <f t="shared" si="1"/>
        <v>4000000</v>
      </c>
    </row>
    <row r="71" spans="1:4" ht="18" hidden="1" x14ac:dyDescent="0.35">
      <c r="A71" s="8" t="s">
        <v>9</v>
      </c>
      <c r="B71" s="9"/>
      <c r="C71" s="10"/>
      <c r="D71" s="11">
        <f t="shared" si="1"/>
        <v>0</v>
      </c>
    </row>
    <row r="72" spans="1:4" ht="18" hidden="1" x14ac:dyDescent="0.35">
      <c r="A72" s="8" t="s">
        <v>10</v>
      </c>
      <c r="B72" s="9"/>
      <c r="C72" s="10">
        <v>21000</v>
      </c>
      <c r="D72" s="11">
        <f t="shared" si="1"/>
        <v>0</v>
      </c>
    </row>
    <row r="73" spans="1:4" ht="18" hidden="1" x14ac:dyDescent="0.35">
      <c r="A73" s="20" t="s">
        <v>150</v>
      </c>
      <c r="B73" s="9"/>
      <c r="C73" s="25"/>
      <c r="D73" s="11">
        <f t="shared" si="1"/>
        <v>0</v>
      </c>
    </row>
    <row r="74" spans="1:4" ht="18" hidden="1" x14ac:dyDescent="0.35">
      <c r="A74" s="20" t="s">
        <v>54</v>
      </c>
      <c r="B74" s="9"/>
      <c r="C74" s="10"/>
      <c r="D74" s="11">
        <f t="shared" si="1"/>
        <v>0</v>
      </c>
    </row>
    <row r="75" spans="1:4" ht="18" hidden="1" x14ac:dyDescent="0.35">
      <c r="A75" s="20" t="s">
        <v>68</v>
      </c>
      <c r="B75" s="9"/>
      <c r="C75" s="10"/>
      <c r="D75" s="11">
        <f t="shared" si="1"/>
        <v>0</v>
      </c>
    </row>
    <row r="76" spans="1:4" ht="18" hidden="1" x14ac:dyDescent="0.35">
      <c r="A76" s="8" t="s">
        <v>109</v>
      </c>
      <c r="B76" s="9"/>
      <c r="C76" s="12">
        <v>10000</v>
      </c>
      <c r="D76" s="11">
        <f t="shared" si="1"/>
        <v>0</v>
      </c>
    </row>
    <row r="77" spans="1:4" ht="18" hidden="1" x14ac:dyDescent="0.35">
      <c r="A77" s="14" t="s">
        <v>209</v>
      </c>
      <c r="B77" s="9"/>
      <c r="C77" s="10"/>
      <c r="D77" s="11">
        <f t="shared" si="1"/>
        <v>0</v>
      </c>
    </row>
    <row r="78" spans="1:4" ht="18" hidden="1" x14ac:dyDescent="0.35">
      <c r="A78" s="14" t="s">
        <v>100</v>
      </c>
      <c r="B78" s="9"/>
      <c r="C78" s="10"/>
      <c r="D78" s="11">
        <f t="shared" si="1"/>
        <v>0</v>
      </c>
    </row>
    <row r="79" spans="1:4" ht="18" hidden="1" x14ac:dyDescent="0.35">
      <c r="A79" s="14" t="s">
        <v>101</v>
      </c>
      <c r="B79" s="9"/>
      <c r="C79" s="10"/>
      <c r="D79" s="11">
        <f t="shared" si="1"/>
        <v>0</v>
      </c>
    </row>
    <row r="80" spans="1:4" ht="18" hidden="1" x14ac:dyDescent="0.35">
      <c r="A80" s="14" t="s">
        <v>102</v>
      </c>
      <c r="B80" s="21"/>
      <c r="C80" s="10"/>
      <c r="D80" s="11">
        <f t="shared" si="1"/>
        <v>0</v>
      </c>
    </row>
    <row r="81" spans="1:4" ht="18.75" x14ac:dyDescent="0.25">
      <c r="A81" s="14" t="s">
        <v>196</v>
      </c>
      <c r="B81" s="9">
        <v>7</v>
      </c>
      <c r="C81" s="12">
        <v>12000</v>
      </c>
      <c r="D81" s="11">
        <f t="shared" si="1"/>
        <v>84000</v>
      </c>
    </row>
    <row r="82" spans="1:4" ht="18" hidden="1" x14ac:dyDescent="0.35">
      <c r="A82" s="14" t="s">
        <v>197</v>
      </c>
      <c r="B82" s="9"/>
      <c r="C82" s="10"/>
      <c r="D82" s="11">
        <f t="shared" si="1"/>
        <v>0</v>
      </c>
    </row>
    <row r="83" spans="1:4" ht="18" hidden="1" x14ac:dyDescent="0.35">
      <c r="A83" s="8" t="s">
        <v>198</v>
      </c>
      <c r="B83" s="9"/>
      <c r="C83" s="10"/>
      <c r="D83" s="11">
        <f t="shared" si="1"/>
        <v>0</v>
      </c>
    </row>
    <row r="84" spans="1:4" ht="18" hidden="1" x14ac:dyDescent="0.35">
      <c r="A84" s="8" t="s">
        <v>76</v>
      </c>
      <c r="B84" s="9"/>
      <c r="C84" s="10"/>
      <c r="D84" s="11">
        <f t="shared" si="1"/>
        <v>0</v>
      </c>
    </row>
    <row r="85" spans="1:4" ht="18" hidden="1" x14ac:dyDescent="0.35">
      <c r="A85" s="8" t="s">
        <v>20</v>
      </c>
      <c r="B85" s="9"/>
      <c r="C85" s="13"/>
      <c r="D85" s="11">
        <f t="shared" si="1"/>
        <v>0</v>
      </c>
    </row>
    <row r="86" spans="1:4" ht="18" hidden="1" x14ac:dyDescent="0.35">
      <c r="A86" s="8" t="s">
        <v>98</v>
      </c>
      <c r="B86" s="9"/>
      <c r="C86" s="10"/>
      <c r="D86" s="11">
        <f t="shared" si="1"/>
        <v>0</v>
      </c>
    </row>
    <row r="87" spans="1:4" ht="18" hidden="1" x14ac:dyDescent="0.35">
      <c r="A87" s="14" t="s">
        <v>151</v>
      </c>
      <c r="B87" s="9"/>
      <c r="C87" s="10"/>
      <c r="D87" s="11">
        <f t="shared" si="1"/>
        <v>0</v>
      </c>
    </row>
    <row r="88" spans="1:4" ht="18" hidden="1" x14ac:dyDescent="0.35">
      <c r="A88" s="14" t="s">
        <v>152</v>
      </c>
      <c r="B88" s="9"/>
      <c r="C88" s="10"/>
      <c r="D88" s="11">
        <f t="shared" si="1"/>
        <v>0</v>
      </c>
    </row>
    <row r="89" spans="1:4" ht="18" hidden="1" x14ac:dyDescent="0.35">
      <c r="A89" s="8" t="s">
        <v>153</v>
      </c>
      <c r="B89" s="9"/>
      <c r="C89" s="10"/>
      <c r="D89" s="11">
        <f t="shared" si="1"/>
        <v>0</v>
      </c>
    </row>
    <row r="90" spans="1:4" ht="18" hidden="1" x14ac:dyDescent="0.35">
      <c r="A90" s="8" t="s">
        <v>154</v>
      </c>
      <c r="B90" s="9"/>
      <c r="C90" s="10"/>
      <c r="D90" s="11">
        <f t="shared" si="1"/>
        <v>0</v>
      </c>
    </row>
    <row r="91" spans="1:4" ht="18" hidden="1" x14ac:dyDescent="0.35">
      <c r="A91" s="8" t="s">
        <v>80</v>
      </c>
      <c r="B91" s="9"/>
      <c r="C91" s="10"/>
      <c r="D91" s="11">
        <f t="shared" si="1"/>
        <v>0</v>
      </c>
    </row>
    <row r="92" spans="1:4" ht="18" hidden="1" x14ac:dyDescent="0.35">
      <c r="A92" s="8" t="s">
        <v>81</v>
      </c>
      <c r="B92" s="9"/>
      <c r="C92" s="13"/>
      <c r="D92" s="11">
        <f t="shared" si="1"/>
        <v>0</v>
      </c>
    </row>
    <row r="93" spans="1:4" ht="18" hidden="1" x14ac:dyDescent="0.35">
      <c r="A93" s="8" t="s">
        <v>82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83</v>
      </c>
      <c r="B94" s="9"/>
      <c r="C94" s="10"/>
      <c r="D94" s="11">
        <f t="shared" si="1"/>
        <v>0</v>
      </c>
    </row>
    <row r="95" spans="1:4" ht="18" hidden="1" x14ac:dyDescent="0.35">
      <c r="A95" s="8" t="s">
        <v>84</v>
      </c>
      <c r="B95" s="9"/>
      <c r="C95" s="10">
        <v>50000</v>
      </c>
      <c r="D95" s="11">
        <f t="shared" si="1"/>
        <v>0</v>
      </c>
    </row>
    <row r="96" spans="1:4" ht="18" hidden="1" x14ac:dyDescent="0.35">
      <c r="A96" s="8" t="s">
        <v>85</v>
      </c>
      <c r="B96" s="9"/>
      <c r="C96" s="10"/>
      <c r="D96" s="11">
        <f t="shared" si="1"/>
        <v>0</v>
      </c>
    </row>
    <row r="97" spans="1:4" ht="18" hidden="1" x14ac:dyDescent="0.35">
      <c r="A97" s="8" t="s">
        <v>86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103</v>
      </c>
      <c r="B98" s="9"/>
      <c r="C98" s="10"/>
      <c r="D98" s="11">
        <f t="shared" si="1"/>
        <v>0</v>
      </c>
    </row>
    <row r="99" spans="1:4" ht="18" hidden="1" x14ac:dyDescent="0.35">
      <c r="A99" s="8" t="s">
        <v>104</v>
      </c>
      <c r="B99" s="9"/>
      <c r="C99" s="12"/>
      <c r="D99" s="11">
        <f t="shared" si="1"/>
        <v>0</v>
      </c>
    </row>
    <row r="100" spans="1:4" ht="18" hidden="1" x14ac:dyDescent="0.35">
      <c r="A100" s="8" t="s">
        <v>87</v>
      </c>
      <c r="B100" s="9"/>
      <c r="C100" s="12"/>
      <c r="D100" s="11">
        <f t="shared" si="1"/>
        <v>0</v>
      </c>
    </row>
    <row r="101" spans="1:4" ht="18" hidden="1" x14ac:dyDescent="0.35">
      <c r="A101" s="8" t="s">
        <v>88</v>
      </c>
      <c r="B101" s="9"/>
      <c r="C101" s="10">
        <v>45000</v>
      </c>
      <c r="D101" s="11">
        <f t="shared" si="1"/>
        <v>0</v>
      </c>
    </row>
    <row r="102" spans="1:4" ht="18" hidden="1" x14ac:dyDescent="0.35">
      <c r="A102" s="8" t="s">
        <v>144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145</v>
      </c>
      <c r="B103" s="9"/>
      <c r="C103" s="12">
        <v>18000</v>
      </c>
      <c r="D103" s="11">
        <f t="shared" si="1"/>
        <v>0</v>
      </c>
    </row>
    <row r="104" spans="1:4" ht="18" hidden="1" x14ac:dyDescent="0.35">
      <c r="A104" s="8" t="s">
        <v>146</v>
      </c>
      <c r="B104" s="9"/>
      <c r="C104" s="12"/>
      <c r="D104" s="11">
        <f t="shared" si="1"/>
        <v>0</v>
      </c>
    </row>
    <row r="105" spans="1:4" ht="18" hidden="1" x14ac:dyDescent="0.35">
      <c r="A105" s="8" t="s">
        <v>147</v>
      </c>
      <c r="B105" s="9"/>
      <c r="C105" s="12"/>
      <c r="D105" s="11">
        <f t="shared" si="1"/>
        <v>0</v>
      </c>
    </row>
    <row r="106" spans="1:4" ht="18" hidden="1" x14ac:dyDescent="0.35">
      <c r="A106" s="8" t="s">
        <v>202</v>
      </c>
      <c r="B106" s="9"/>
      <c r="C106" s="12">
        <v>23000</v>
      </c>
      <c r="D106" s="11">
        <f t="shared" si="1"/>
        <v>0</v>
      </c>
    </row>
    <row r="107" spans="1:4" ht="18" hidden="1" x14ac:dyDescent="0.35">
      <c r="A107" s="8" t="s">
        <v>203</v>
      </c>
      <c r="B107" s="9"/>
      <c r="C107" s="12"/>
      <c r="D107" s="11">
        <f t="shared" si="1"/>
        <v>0</v>
      </c>
    </row>
    <row r="108" spans="1:4" ht="18" hidden="1" x14ac:dyDescent="0.35">
      <c r="A108" s="8" t="s">
        <v>95</v>
      </c>
      <c r="B108" s="9"/>
      <c r="C108" s="12">
        <v>12000</v>
      </c>
      <c r="D108" s="11">
        <f t="shared" si="1"/>
        <v>0</v>
      </c>
    </row>
    <row r="109" spans="1:4" ht="18" hidden="1" x14ac:dyDescent="0.35">
      <c r="A109" s="8" t="s">
        <v>89</v>
      </c>
      <c r="B109" s="9"/>
      <c r="C109" s="12"/>
      <c r="D109" s="11">
        <f t="shared" si="1"/>
        <v>0</v>
      </c>
    </row>
    <row r="110" spans="1:4" ht="18" hidden="1" x14ac:dyDescent="0.35">
      <c r="A110" s="8" t="s">
        <v>90</v>
      </c>
      <c r="B110" s="9"/>
      <c r="C110" s="10">
        <v>50000</v>
      </c>
      <c r="D110" s="11">
        <f t="shared" si="1"/>
        <v>0</v>
      </c>
    </row>
    <row r="111" spans="1:4" ht="18" hidden="1" x14ac:dyDescent="0.35">
      <c r="A111" s="8" t="s">
        <v>105</v>
      </c>
      <c r="B111" s="9"/>
      <c r="C111" s="10"/>
      <c r="D111" s="11">
        <f t="shared" si="1"/>
        <v>0</v>
      </c>
    </row>
    <row r="112" spans="1:4" ht="18" hidden="1" x14ac:dyDescent="0.35">
      <c r="A112" s="8" t="s">
        <v>30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128</v>
      </c>
      <c r="B113" s="9"/>
      <c r="C113" s="10"/>
      <c r="D113" s="11">
        <f t="shared" si="1"/>
        <v>0</v>
      </c>
    </row>
    <row r="114" spans="1:4" ht="18" hidden="1" x14ac:dyDescent="0.35">
      <c r="A114" s="14" t="s">
        <v>129</v>
      </c>
      <c r="B114" s="9"/>
      <c r="C114" s="10"/>
      <c r="D114" s="11">
        <f t="shared" si="1"/>
        <v>0</v>
      </c>
    </row>
    <row r="115" spans="1:4" ht="18.75" x14ac:dyDescent="0.25">
      <c r="A115" s="8" t="s">
        <v>130</v>
      </c>
      <c r="B115" s="9">
        <v>18</v>
      </c>
      <c r="C115" s="12">
        <v>15000</v>
      </c>
      <c r="D115" s="11">
        <f t="shared" si="1"/>
        <v>270000</v>
      </c>
    </row>
    <row r="116" spans="1:4" ht="18" hidden="1" x14ac:dyDescent="0.35">
      <c r="A116" s="8" t="s">
        <v>131</v>
      </c>
      <c r="B116" s="9"/>
      <c r="C116" s="12"/>
      <c r="D116" s="11">
        <f t="shared" si="1"/>
        <v>0</v>
      </c>
    </row>
    <row r="117" spans="1:4" ht="18" hidden="1" x14ac:dyDescent="0.35">
      <c r="A117" s="8" t="s">
        <v>210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132</v>
      </c>
      <c r="B118" s="9"/>
      <c r="C118" s="10"/>
      <c r="D118" s="11">
        <f t="shared" si="1"/>
        <v>0</v>
      </c>
    </row>
    <row r="119" spans="1:4" ht="18" hidden="1" x14ac:dyDescent="0.35">
      <c r="A119" s="8" t="s">
        <v>55</v>
      </c>
      <c r="B119" s="9"/>
      <c r="C119" s="10"/>
      <c r="D119" s="11">
        <f t="shared" si="1"/>
        <v>0</v>
      </c>
    </row>
    <row r="120" spans="1:4" ht="18" hidden="1" x14ac:dyDescent="0.35">
      <c r="A120" s="8" t="s">
        <v>24</v>
      </c>
      <c r="B120" s="9"/>
      <c r="C120" s="10"/>
      <c r="D120" s="11">
        <f t="shared" si="1"/>
        <v>0</v>
      </c>
    </row>
    <row r="121" spans="1:4" ht="18" hidden="1" x14ac:dyDescent="0.35">
      <c r="A121" s="14" t="s">
        <v>56</v>
      </c>
      <c r="B121" s="9"/>
      <c r="C121" s="10"/>
      <c r="D121" s="11">
        <f t="shared" si="1"/>
        <v>0</v>
      </c>
    </row>
    <row r="122" spans="1:4" ht="18.75" x14ac:dyDescent="0.25">
      <c r="A122" s="14" t="s">
        <v>112</v>
      </c>
      <c r="B122" s="9">
        <v>1330</v>
      </c>
      <c r="C122" s="10">
        <v>20000</v>
      </c>
      <c r="D122" s="11">
        <f t="shared" si="1"/>
        <v>26600000</v>
      </c>
    </row>
    <row r="123" spans="1:4" ht="18.75" x14ac:dyDescent="0.25">
      <c r="A123" s="14" t="s">
        <v>113</v>
      </c>
      <c r="B123" s="9">
        <v>53</v>
      </c>
      <c r="C123" s="10">
        <v>17000</v>
      </c>
      <c r="D123" s="11">
        <f t="shared" si="1"/>
        <v>901000</v>
      </c>
    </row>
    <row r="124" spans="1:4" ht="18.75" x14ac:dyDescent="0.25">
      <c r="A124" s="8" t="s">
        <v>114</v>
      </c>
      <c r="B124" s="9">
        <v>727</v>
      </c>
      <c r="C124" s="12">
        <v>14000</v>
      </c>
      <c r="D124" s="11">
        <f t="shared" si="1"/>
        <v>10178000</v>
      </c>
    </row>
    <row r="125" spans="1:4" ht="18" x14ac:dyDescent="0.35">
      <c r="A125" s="14" t="s">
        <v>115</v>
      </c>
      <c r="B125" s="9">
        <v>11</v>
      </c>
      <c r="C125" s="10">
        <v>25000</v>
      </c>
      <c r="D125" s="11">
        <f t="shared" si="1"/>
        <v>275000</v>
      </c>
    </row>
    <row r="126" spans="1:4" ht="18" hidden="1" x14ac:dyDescent="0.35">
      <c r="A126" s="14" t="s">
        <v>116</v>
      </c>
      <c r="B126" s="9"/>
      <c r="C126" s="12"/>
      <c r="D126" s="11">
        <f t="shared" si="1"/>
        <v>0</v>
      </c>
    </row>
    <row r="127" spans="1:4" ht="18" hidden="1" x14ac:dyDescent="0.35">
      <c r="A127" s="8" t="s">
        <v>237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117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25</v>
      </c>
      <c r="B129" s="9"/>
      <c r="C129" s="13"/>
      <c r="D129" s="11">
        <f t="shared" si="1"/>
        <v>0</v>
      </c>
    </row>
    <row r="130" spans="1:4" ht="18" hidden="1" x14ac:dyDescent="0.35">
      <c r="A130" s="8" t="s">
        <v>31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33</v>
      </c>
      <c r="B132" s="9"/>
      <c r="C132" s="13"/>
      <c r="D132" s="11">
        <f t="shared" si="1"/>
        <v>0</v>
      </c>
    </row>
    <row r="133" spans="1:4" ht="18" hidden="1" x14ac:dyDescent="0.35">
      <c r="A133" s="8" t="s">
        <v>39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14" t="s">
        <v>40</v>
      </c>
      <c r="B134" s="9"/>
      <c r="C134" s="10"/>
      <c r="D134" s="11">
        <f t="shared" si="2"/>
        <v>0</v>
      </c>
    </row>
    <row r="135" spans="1:4" ht="18" hidden="1" x14ac:dyDescent="0.35">
      <c r="A135" s="8" t="s">
        <v>41</v>
      </c>
      <c r="B135" s="9"/>
      <c r="C135" s="10"/>
      <c r="D135" s="11">
        <f t="shared" si="2"/>
        <v>0</v>
      </c>
    </row>
    <row r="136" spans="1:4" ht="18" hidden="1" x14ac:dyDescent="0.35">
      <c r="A136" s="8" t="s">
        <v>42</v>
      </c>
      <c r="B136" s="9"/>
      <c r="C136" s="13"/>
      <c r="D136" s="11">
        <f t="shared" si="2"/>
        <v>0</v>
      </c>
    </row>
    <row r="137" spans="1:4" ht="18.75" x14ac:dyDescent="0.25">
      <c r="A137" s="8" t="s">
        <v>205</v>
      </c>
      <c r="B137" s="9">
        <v>50</v>
      </c>
      <c r="C137" s="10">
        <v>11000</v>
      </c>
      <c r="D137" s="11">
        <f t="shared" si="2"/>
        <v>550000</v>
      </c>
    </row>
    <row r="138" spans="1:4" ht="18" hidden="1" x14ac:dyDescent="0.35">
      <c r="A138" s="16" t="s">
        <v>43</v>
      </c>
      <c r="B138" s="9"/>
      <c r="C138" s="10"/>
      <c r="D138" s="11">
        <f t="shared" si="2"/>
        <v>0</v>
      </c>
    </row>
    <row r="139" spans="1:4" ht="18" hidden="1" x14ac:dyDescent="0.35">
      <c r="A139" s="8" t="s">
        <v>211</v>
      </c>
      <c r="B139" s="9"/>
      <c r="C139" s="13"/>
      <c r="D139" s="11">
        <f t="shared" si="2"/>
        <v>0</v>
      </c>
    </row>
    <row r="140" spans="1:4" ht="18.75" x14ac:dyDescent="0.25">
      <c r="A140" s="8" t="s">
        <v>155</v>
      </c>
      <c r="B140" s="9">
        <v>3</v>
      </c>
      <c r="C140" s="10">
        <v>26000</v>
      </c>
      <c r="D140" s="11">
        <f t="shared" si="2"/>
        <v>78000</v>
      </c>
    </row>
    <row r="141" spans="1:4" ht="18" hidden="1" x14ac:dyDescent="0.35">
      <c r="A141" s="8" t="s">
        <v>156</v>
      </c>
      <c r="B141" s="9"/>
      <c r="C141" s="10"/>
      <c r="D141" s="11">
        <f t="shared" si="2"/>
        <v>0</v>
      </c>
    </row>
    <row r="142" spans="1:4" ht="18" hidden="1" x14ac:dyDescent="0.35">
      <c r="A142" s="22" t="s">
        <v>108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133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134</v>
      </c>
      <c r="B144" s="9"/>
      <c r="C144" s="10"/>
      <c r="D144" s="11">
        <f t="shared" si="2"/>
        <v>0</v>
      </c>
    </row>
    <row r="145" spans="1:4" ht="18" hidden="1" x14ac:dyDescent="0.35">
      <c r="A145" s="8" t="s">
        <v>201</v>
      </c>
      <c r="B145" s="9"/>
      <c r="C145" s="19"/>
      <c r="D145" s="11">
        <f t="shared" si="2"/>
        <v>0</v>
      </c>
    </row>
    <row r="146" spans="1:4" ht="18" hidden="1" x14ac:dyDescent="0.35">
      <c r="A146" s="8" t="s">
        <v>165</v>
      </c>
      <c r="B146" s="9"/>
      <c r="C146" s="10"/>
      <c r="D146" s="11">
        <f t="shared" si="2"/>
        <v>0</v>
      </c>
    </row>
    <row r="147" spans="1:4" ht="18.75" x14ac:dyDescent="0.25">
      <c r="A147" s="26" t="s">
        <v>166</v>
      </c>
      <c r="B147" s="9">
        <f>65*2</f>
        <v>130</v>
      </c>
      <c r="C147" s="10">
        <v>7500</v>
      </c>
      <c r="D147" s="11">
        <f t="shared" si="2"/>
        <v>975000</v>
      </c>
    </row>
    <row r="148" spans="1:4" ht="18" hidden="1" x14ac:dyDescent="0.35">
      <c r="A148" s="8" t="s">
        <v>167</v>
      </c>
      <c r="B148" s="9"/>
      <c r="C148" s="10"/>
      <c r="D148" s="11">
        <f t="shared" si="2"/>
        <v>0</v>
      </c>
    </row>
    <row r="149" spans="1:4" ht="18.75" x14ac:dyDescent="0.25">
      <c r="A149" s="8" t="s">
        <v>168</v>
      </c>
      <c r="B149" s="9">
        <v>65</v>
      </c>
      <c r="C149" s="12">
        <v>16000</v>
      </c>
      <c r="D149" s="11">
        <f t="shared" si="2"/>
        <v>1040000</v>
      </c>
    </row>
    <row r="150" spans="1:4" ht="18.75" x14ac:dyDescent="0.25">
      <c r="A150" s="8" t="s">
        <v>169</v>
      </c>
      <c r="B150" s="9">
        <v>45</v>
      </c>
      <c r="C150" s="10">
        <v>16000</v>
      </c>
      <c r="D150" s="11">
        <f t="shared" si="2"/>
        <v>720000</v>
      </c>
    </row>
    <row r="151" spans="1:4" ht="18" hidden="1" x14ac:dyDescent="0.35">
      <c r="A151" s="8" t="s">
        <v>170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135</v>
      </c>
      <c r="B152" s="9"/>
      <c r="C152" s="19"/>
      <c r="D152" s="11">
        <f t="shared" si="2"/>
        <v>0</v>
      </c>
    </row>
    <row r="153" spans="1:4" ht="18" hidden="1" x14ac:dyDescent="0.35">
      <c r="A153" s="24" t="s">
        <v>148</v>
      </c>
      <c r="B153" s="9"/>
      <c r="C153" s="12"/>
      <c r="D153" s="11">
        <f t="shared" si="2"/>
        <v>0</v>
      </c>
    </row>
    <row r="154" spans="1:4" ht="18" hidden="1" x14ac:dyDescent="0.35">
      <c r="A154" s="8" t="s">
        <v>34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35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77</v>
      </c>
      <c r="B156" s="9"/>
      <c r="C156" s="13"/>
      <c r="D156" s="11">
        <f t="shared" si="2"/>
        <v>0</v>
      </c>
    </row>
    <row r="157" spans="1:4" ht="18" hidden="1" x14ac:dyDescent="0.35">
      <c r="A157" s="8" t="s">
        <v>118</v>
      </c>
      <c r="B157" s="9"/>
      <c r="C157" s="12"/>
      <c r="D157" s="11">
        <f t="shared" si="2"/>
        <v>0</v>
      </c>
    </row>
    <row r="158" spans="1:4" ht="18" hidden="1" x14ac:dyDescent="0.35">
      <c r="A158" s="8" t="s">
        <v>106</v>
      </c>
      <c r="B158" s="9"/>
      <c r="C158" s="10"/>
      <c r="D158" s="11">
        <f t="shared" si="2"/>
        <v>0</v>
      </c>
    </row>
    <row r="159" spans="1:4" ht="18.75" x14ac:dyDescent="0.25">
      <c r="A159" s="8" t="s">
        <v>157</v>
      </c>
      <c r="B159" s="9">
        <v>7</v>
      </c>
      <c r="C159" s="10">
        <v>15000</v>
      </c>
      <c r="D159" s="11">
        <f t="shared" si="2"/>
        <v>105000</v>
      </c>
    </row>
    <row r="160" spans="1:4" ht="18.75" x14ac:dyDescent="0.25">
      <c r="A160" s="8" t="s">
        <v>11</v>
      </c>
      <c r="B160" s="9">
        <v>23</v>
      </c>
      <c r="C160" s="10">
        <v>36000</v>
      </c>
      <c r="D160" s="11">
        <f t="shared" si="2"/>
        <v>828000</v>
      </c>
    </row>
    <row r="161" spans="1:4" ht="18" hidden="1" x14ac:dyDescent="0.35">
      <c r="A161" s="8" t="s">
        <v>12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13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212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136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137</v>
      </c>
      <c r="B165" s="9"/>
      <c r="C165" s="13"/>
      <c r="D165" s="11">
        <f t="shared" si="2"/>
        <v>0</v>
      </c>
    </row>
    <row r="166" spans="1:4" ht="18.75" x14ac:dyDescent="0.25">
      <c r="A166" s="8" t="s">
        <v>14</v>
      </c>
      <c r="B166" s="9">
        <f>7+26+44+32</f>
        <v>109</v>
      </c>
      <c r="C166" s="12">
        <v>47000</v>
      </c>
      <c r="D166" s="11">
        <f t="shared" si="2"/>
        <v>5123000</v>
      </c>
    </row>
    <row r="167" spans="1:4" ht="18" hidden="1" x14ac:dyDescent="0.35">
      <c r="A167" s="8" t="s">
        <v>15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16</v>
      </c>
      <c r="B168" s="9"/>
      <c r="C168" s="12"/>
      <c r="D168" s="11">
        <f t="shared" si="2"/>
        <v>0</v>
      </c>
    </row>
    <row r="169" spans="1:4" ht="18" hidden="1" x14ac:dyDescent="0.35">
      <c r="A169" s="8" t="s">
        <v>213</v>
      </c>
      <c r="B169" s="9"/>
      <c r="C169" s="13"/>
      <c r="D169" s="11">
        <f t="shared" si="2"/>
        <v>0</v>
      </c>
    </row>
    <row r="170" spans="1:4" ht="18.75" x14ac:dyDescent="0.25">
      <c r="A170" s="8" t="s">
        <v>17</v>
      </c>
      <c r="B170" s="9">
        <f>18+24+40+18+26</f>
        <v>126</v>
      </c>
      <c r="C170" s="10">
        <v>12000</v>
      </c>
      <c r="D170" s="11">
        <f t="shared" si="2"/>
        <v>1512000</v>
      </c>
    </row>
    <row r="171" spans="1:4" ht="18" hidden="1" x14ac:dyDescent="0.35">
      <c r="A171" s="8" t="s">
        <v>18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19</v>
      </c>
      <c r="B172" s="9"/>
      <c r="C172" s="10"/>
      <c r="D172" s="11">
        <f t="shared" si="2"/>
        <v>0</v>
      </c>
    </row>
    <row r="173" spans="1:4" ht="18" hidden="1" x14ac:dyDescent="0.35">
      <c r="A173" s="8" t="s">
        <v>214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158</v>
      </c>
      <c r="B174" s="9"/>
      <c r="C174" s="10"/>
      <c r="D174" s="11">
        <f t="shared" si="2"/>
        <v>0</v>
      </c>
    </row>
    <row r="175" spans="1:4" ht="18" hidden="1" x14ac:dyDescent="0.35">
      <c r="A175" s="8" t="s">
        <v>92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159</v>
      </c>
      <c r="B176" s="9"/>
      <c r="C176" s="10"/>
      <c r="D176" s="11">
        <f t="shared" si="2"/>
        <v>0</v>
      </c>
    </row>
    <row r="177" spans="1:4" ht="18" hidden="1" x14ac:dyDescent="0.35">
      <c r="A177" s="8" t="s">
        <v>160</v>
      </c>
      <c r="B177" s="9"/>
      <c r="C177" s="10"/>
      <c r="D177" s="11">
        <f t="shared" si="2"/>
        <v>0</v>
      </c>
    </row>
    <row r="178" spans="1:4" ht="18" hidden="1" x14ac:dyDescent="0.35">
      <c r="A178" s="8" t="s">
        <v>93</v>
      </c>
      <c r="B178" s="9"/>
      <c r="C178" s="10"/>
      <c r="D178" s="11">
        <f t="shared" si="2"/>
        <v>0</v>
      </c>
    </row>
    <row r="179" spans="1:4" ht="18" hidden="1" x14ac:dyDescent="0.35">
      <c r="A179" s="8" t="s">
        <v>199</v>
      </c>
      <c r="B179" s="9"/>
      <c r="C179" s="12">
        <v>40000</v>
      </c>
      <c r="D179" s="11">
        <f t="shared" si="2"/>
        <v>0</v>
      </c>
    </row>
    <row r="180" spans="1:4" ht="18" hidden="1" x14ac:dyDescent="0.35">
      <c r="A180" s="8" t="s">
        <v>200</v>
      </c>
      <c r="B180" s="9"/>
      <c r="C180" s="12"/>
      <c r="D180" s="11">
        <f t="shared" si="2"/>
        <v>0</v>
      </c>
    </row>
    <row r="181" spans="1:4" ht="18" hidden="1" x14ac:dyDescent="0.35">
      <c r="A181" s="8" t="s">
        <v>110</v>
      </c>
      <c r="B181" s="9"/>
      <c r="C181" s="10"/>
      <c r="D181" s="11">
        <f t="shared" si="2"/>
        <v>0</v>
      </c>
    </row>
    <row r="182" spans="1:4" ht="18" hidden="1" x14ac:dyDescent="0.35">
      <c r="A182" s="8" t="s">
        <v>188</v>
      </c>
      <c r="B182" s="9"/>
      <c r="C182" s="10"/>
      <c r="D182" s="11">
        <f t="shared" si="2"/>
        <v>0</v>
      </c>
    </row>
    <row r="183" spans="1:4" ht="18" hidden="1" x14ac:dyDescent="0.35">
      <c r="A183" s="8" t="s">
        <v>189</v>
      </c>
      <c r="B183" s="9"/>
      <c r="C183" s="13"/>
      <c r="D183" s="11">
        <f t="shared" si="2"/>
        <v>0</v>
      </c>
    </row>
    <row r="184" spans="1:4" ht="18" hidden="1" x14ac:dyDescent="0.35">
      <c r="A184" s="8" t="s">
        <v>57</v>
      </c>
      <c r="B184" s="9"/>
      <c r="C184" s="10"/>
      <c r="D184" s="11">
        <f t="shared" si="2"/>
        <v>0</v>
      </c>
    </row>
    <row r="185" spans="1:4" ht="18" hidden="1" x14ac:dyDescent="0.35">
      <c r="A185" s="8" t="s">
        <v>58</v>
      </c>
      <c r="B185" s="9"/>
      <c r="C185" s="13"/>
      <c r="D185" s="11">
        <f t="shared" si="2"/>
        <v>0</v>
      </c>
    </row>
    <row r="186" spans="1:4" ht="18" hidden="1" x14ac:dyDescent="0.35">
      <c r="A186" s="8" t="s">
        <v>44</v>
      </c>
      <c r="B186" s="9"/>
      <c r="C186" s="10">
        <v>15000</v>
      </c>
      <c r="D186" s="11">
        <f t="shared" si="2"/>
        <v>0</v>
      </c>
    </row>
    <row r="187" spans="1:4" ht="18" hidden="1" x14ac:dyDescent="0.35">
      <c r="A187" s="8" t="s">
        <v>45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161</v>
      </c>
      <c r="B188" s="9"/>
      <c r="C188" s="10">
        <v>32000</v>
      </c>
      <c r="D188" s="11">
        <f t="shared" si="2"/>
        <v>0</v>
      </c>
    </row>
    <row r="189" spans="1:4" ht="18" hidden="1" x14ac:dyDescent="0.35">
      <c r="A189" s="8" t="s">
        <v>162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163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164</v>
      </c>
      <c r="B191" s="9"/>
      <c r="C191" s="15"/>
      <c r="D191" s="11">
        <f t="shared" si="2"/>
        <v>0</v>
      </c>
    </row>
    <row r="192" spans="1:4" ht="18" hidden="1" x14ac:dyDescent="0.35">
      <c r="A192" s="8" t="s">
        <v>94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59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138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171</v>
      </c>
      <c r="B195" s="9"/>
      <c r="C195" s="13"/>
      <c r="D195" s="11">
        <f t="shared" si="2"/>
        <v>0</v>
      </c>
    </row>
    <row r="196" spans="1:4" ht="18" hidden="1" x14ac:dyDescent="0.35">
      <c r="A196" s="8" t="s">
        <v>172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173</v>
      </c>
      <c r="B197" s="9"/>
      <c r="C197" s="13">
        <v>25000</v>
      </c>
      <c r="D197" s="11">
        <f t="shared" ref="D197:D213" si="3">B197*C197</f>
        <v>0</v>
      </c>
    </row>
    <row r="198" spans="1:4" ht="18" hidden="1" x14ac:dyDescent="0.35">
      <c r="A198" s="8" t="s">
        <v>174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175</v>
      </c>
      <c r="B199" s="9"/>
      <c r="C199" s="13"/>
      <c r="D199" s="11">
        <f t="shared" si="3"/>
        <v>0</v>
      </c>
    </row>
    <row r="200" spans="1:4" ht="18" hidden="1" x14ac:dyDescent="0.35">
      <c r="A200" s="8" t="s">
        <v>60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176</v>
      </c>
      <c r="B201" s="9"/>
      <c r="C201" s="13"/>
      <c r="D201" s="11">
        <f t="shared" si="3"/>
        <v>0</v>
      </c>
    </row>
    <row r="202" spans="1:4" ht="18" hidden="1" x14ac:dyDescent="0.35">
      <c r="A202" s="8" t="s">
        <v>177</v>
      </c>
      <c r="B202" s="9"/>
      <c r="C202" s="12"/>
      <c r="D202" s="11">
        <f t="shared" si="3"/>
        <v>0</v>
      </c>
    </row>
    <row r="203" spans="1:4" ht="18" hidden="1" x14ac:dyDescent="0.35">
      <c r="A203" s="27" t="s">
        <v>178</v>
      </c>
      <c r="B203" s="9"/>
      <c r="C203" s="12"/>
      <c r="D203" s="11">
        <f t="shared" si="3"/>
        <v>0</v>
      </c>
    </row>
    <row r="204" spans="1:4" ht="18" hidden="1" x14ac:dyDescent="0.35">
      <c r="A204" s="27" t="s">
        <v>179</v>
      </c>
      <c r="B204" s="9"/>
      <c r="C204" s="13">
        <v>25000</v>
      </c>
      <c r="D204" s="11">
        <f t="shared" si="3"/>
        <v>0</v>
      </c>
    </row>
    <row r="205" spans="1:4" ht="18" hidden="1" x14ac:dyDescent="0.35">
      <c r="A205" s="27" t="s">
        <v>180</v>
      </c>
      <c r="B205" s="9"/>
      <c r="C205" s="13"/>
      <c r="D205" s="11">
        <f t="shared" si="3"/>
        <v>0</v>
      </c>
    </row>
    <row r="206" spans="1:4" ht="18" hidden="1" x14ac:dyDescent="0.35">
      <c r="A206" s="27" t="s">
        <v>181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182</v>
      </c>
      <c r="B207" s="9"/>
      <c r="C207" s="12"/>
      <c r="D207" s="11">
        <f t="shared" si="3"/>
        <v>0</v>
      </c>
    </row>
    <row r="208" spans="1:4" ht="18" hidden="1" x14ac:dyDescent="0.35">
      <c r="A208" s="8" t="s">
        <v>61</v>
      </c>
      <c r="B208" s="17"/>
      <c r="C208" s="10"/>
      <c r="D208" s="11">
        <f t="shared" si="3"/>
        <v>0</v>
      </c>
    </row>
    <row r="209" spans="1:4" ht="18" hidden="1" x14ac:dyDescent="0.35">
      <c r="A209" s="8" t="s">
        <v>183</v>
      </c>
      <c r="B209" s="9"/>
      <c r="C209" s="13">
        <v>6100</v>
      </c>
      <c r="D209" s="11">
        <f t="shared" si="3"/>
        <v>0</v>
      </c>
    </row>
    <row r="210" spans="1:4" ht="18" hidden="1" x14ac:dyDescent="0.35">
      <c r="A210" s="8" t="s">
        <v>184</v>
      </c>
      <c r="B210" s="9"/>
      <c r="C210" s="13"/>
      <c r="D210" s="11">
        <f t="shared" si="3"/>
        <v>0</v>
      </c>
    </row>
    <row r="211" spans="1:4" ht="18" hidden="1" x14ac:dyDescent="0.35">
      <c r="A211" s="8" t="s">
        <v>185</v>
      </c>
      <c r="B211" s="9"/>
      <c r="C211" s="13">
        <v>23000</v>
      </c>
      <c r="D211" s="11">
        <f t="shared" si="3"/>
        <v>0</v>
      </c>
    </row>
    <row r="212" spans="1:4" ht="18" hidden="1" x14ac:dyDescent="0.35">
      <c r="A212" s="8" t="s">
        <v>186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187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4890</v>
      </c>
      <c r="C214" s="29">
        <f t="shared" si="4"/>
        <v>1367700</v>
      </c>
      <c r="D214" s="29">
        <f t="shared" si="4"/>
        <v>77297000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3" workbookViewId="0">
      <selection activeCell="D214" sqref="D214"/>
    </sheetView>
  </sheetViews>
  <sheetFormatPr defaultRowHeight="15" x14ac:dyDescent="0.25"/>
  <cols>
    <col min="1" max="1" width="32.28515625" customWidth="1"/>
    <col min="3" max="3" width="13.42578125" customWidth="1"/>
    <col min="4" max="4" width="16.28515625" customWidth="1"/>
  </cols>
  <sheetData>
    <row r="1" spans="1:4" x14ac:dyDescent="0.25">
      <c r="A1" s="1" t="s">
        <v>239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.75" x14ac:dyDescent="0.25">
      <c r="A4" s="8" t="s">
        <v>5</v>
      </c>
      <c r="B4" s="9">
        <v>2</v>
      </c>
      <c r="C4" s="10">
        <v>23000</v>
      </c>
      <c r="D4" s="11">
        <f>B4*C4</f>
        <v>46000</v>
      </c>
    </row>
    <row r="5" spans="1:4" ht="18.75" x14ac:dyDescent="0.25">
      <c r="A5" s="8" t="s">
        <v>6</v>
      </c>
      <c r="B5" s="9">
        <f>143+60</f>
        <v>203</v>
      </c>
      <c r="C5" s="10">
        <v>16000</v>
      </c>
      <c r="D5" s="11">
        <f t="shared" ref="D5:D68" si="0">B5*C5</f>
        <v>3248000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.75" x14ac:dyDescent="0.25">
      <c r="A7" s="8" t="s">
        <v>8</v>
      </c>
      <c r="B7" s="9">
        <v>26</v>
      </c>
      <c r="C7" s="12">
        <v>40000</v>
      </c>
      <c r="D7" s="11">
        <f t="shared" si="0"/>
        <v>1040000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139</v>
      </c>
      <c r="C10" s="10">
        <v>36000</v>
      </c>
      <c r="D10" s="11">
        <f t="shared" si="0"/>
        <v>5004000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.75" x14ac:dyDescent="0.25">
      <c r="A13" s="8" t="s">
        <v>14</v>
      </c>
      <c r="B13" s="9">
        <v>106</v>
      </c>
      <c r="C13" s="12">
        <v>46000</v>
      </c>
      <c r="D13" s="11">
        <f t="shared" si="0"/>
        <v>4876000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v>105</v>
      </c>
      <c r="C16" s="10">
        <v>13000</v>
      </c>
      <c r="D16" s="11">
        <f t="shared" si="0"/>
        <v>1365000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" hidden="1" x14ac:dyDescent="0.35">
      <c r="A41" s="8" t="s">
        <v>42</v>
      </c>
      <c r="B41" s="9"/>
      <c r="C41" s="13"/>
      <c r="D41" s="11">
        <f t="shared" si="0"/>
        <v>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" hidden="1" x14ac:dyDescent="0.35">
      <c r="A43" s="8" t="s">
        <v>44</v>
      </c>
      <c r="B43" s="9"/>
      <c r="C43" s="10">
        <v>15000</v>
      </c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2"/>
      <c r="D45" s="11">
        <f t="shared" si="0"/>
        <v>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.75" x14ac:dyDescent="0.25">
      <c r="A47" s="8" t="s">
        <v>48</v>
      </c>
      <c r="B47" s="9">
        <v>10</v>
      </c>
      <c r="C47" s="10">
        <v>15000</v>
      </c>
      <c r="D47" s="11">
        <f t="shared" si="0"/>
        <v>150000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.75" x14ac:dyDescent="0.25">
      <c r="A61" s="18" t="s">
        <v>62</v>
      </c>
      <c r="B61" s="9">
        <v>12</v>
      </c>
      <c r="C61" s="19">
        <v>28000</v>
      </c>
      <c r="D61" s="11">
        <f t="shared" si="0"/>
        <v>336000</v>
      </c>
    </row>
    <row r="62" spans="1:4" ht="18" hidden="1" x14ac:dyDescent="0.35">
      <c r="A62" s="18" t="s">
        <v>63</v>
      </c>
      <c r="B62" s="9"/>
      <c r="C62" s="10">
        <v>10000</v>
      </c>
      <c r="D62" s="11">
        <f t="shared" si="0"/>
        <v>0</v>
      </c>
    </row>
    <row r="63" spans="1:4" ht="18.75" x14ac:dyDescent="0.25">
      <c r="A63" s="14" t="s">
        <v>64</v>
      </c>
      <c r="B63" s="9">
        <f>20+220+80</f>
        <v>320</v>
      </c>
      <c r="C63" s="10">
        <v>18000</v>
      </c>
      <c r="D63" s="11">
        <f t="shared" si="0"/>
        <v>5760000</v>
      </c>
    </row>
    <row r="64" spans="1:4" ht="18.75" x14ac:dyDescent="0.25">
      <c r="A64" s="8" t="s">
        <v>65</v>
      </c>
      <c r="B64" s="9">
        <v>23</v>
      </c>
      <c r="C64" s="12">
        <v>17000</v>
      </c>
      <c r="D64" s="11">
        <f t="shared" si="0"/>
        <v>391000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68</v>
      </c>
      <c r="B66" s="9"/>
      <c r="C66" s="10"/>
      <c r="D66" s="11">
        <f t="shared" si="0"/>
        <v>0</v>
      </c>
    </row>
    <row r="67" spans="1:4" ht="18" hidden="1" x14ac:dyDescent="0.35">
      <c r="A67" s="14" t="s">
        <v>69</v>
      </c>
      <c r="B67" s="9"/>
      <c r="C67" s="15">
        <v>38000</v>
      </c>
      <c r="D67" s="11">
        <f t="shared" si="0"/>
        <v>0</v>
      </c>
    </row>
    <row r="68" spans="1:4" ht="18" hidden="1" x14ac:dyDescent="0.35">
      <c r="A68" s="14" t="s">
        <v>70</v>
      </c>
      <c r="B68" s="9"/>
      <c r="C68" s="15"/>
      <c r="D68" s="11">
        <f t="shared" si="0"/>
        <v>0</v>
      </c>
    </row>
    <row r="69" spans="1:4" ht="18" hidden="1" x14ac:dyDescent="0.35">
      <c r="A69" s="14" t="s">
        <v>71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72</v>
      </c>
      <c r="B70" s="9"/>
      <c r="C70" s="12"/>
      <c r="D70" s="11">
        <f t="shared" si="1"/>
        <v>0</v>
      </c>
    </row>
    <row r="71" spans="1:4" ht="18" hidden="1" x14ac:dyDescent="0.35">
      <c r="A71" s="8" t="s">
        <v>73</v>
      </c>
      <c r="B71" s="9"/>
      <c r="C71" s="12">
        <v>25000</v>
      </c>
      <c r="D71" s="11">
        <f t="shared" si="1"/>
        <v>0</v>
      </c>
    </row>
    <row r="72" spans="1:4" ht="18" hidden="1" x14ac:dyDescent="0.35">
      <c r="A72" s="8" t="s">
        <v>74</v>
      </c>
      <c r="B72" s="9"/>
      <c r="C72" s="13"/>
      <c r="D72" s="11">
        <f t="shared" si="1"/>
        <v>0</v>
      </c>
    </row>
    <row r="73" spans="1:4" ht="18" hidden="1" x14ac:dyDescent="0.35">
      <c r="A73" s="20" t="s">
        <v>75</v>
      </c>
      <c r="B73" s="9"/>
      <c r="C73" s="15"/>
      <c r="D73" s="11">
        <f t="shared" si="1"/>
        <v>0</v>
      </c>
    </row>
    <row r="74" spans="1:4" ht="18" hidden="1" x14ac:dyDescent="0.35">
      <c r="A74" s="20" t="s">
        <v>76</v>
      </c>
      <c r="B74" s="9"/>
      <c r="C74" s="10"/>
      <c r="D74" s="11">
        <f t="shared" si="1"/>
        <v>0</v>
      </c>
    </row>
    <row r="75" spans="1:4" ht="18" hidden="1" x14ac:dyDescent="0.35">
      <c r="A75" s="20" t="s">
        <v>77</v>
      </c>
      <c r="B75" s="9"/>
      <c r="C75" s="13"/>
      <c r="D75" s="11">
        <f t="shared" si="1"/>
        <v>0</v>
      </c>
    </row>
    <row r="76" spans="1:4" ht="18" hidden="1" x14ac:dyDescent="0.35">
      <c r="A76" s="8" t="s">
        <v>78</v>
      </c>
      <c r="B76" s="9"/>
      <c r="C76" s="12"/>
      <c r="D76" s="11">
        <f t="shared" si="1"/>
        <v>0</v>
      </c>
    </row>
    <row r="77" spans="1:4" ht="18" hidden="1" x14ac:dyDescent="0.35">
      <c r="A77" s="8" t="s">
        <v>79</v>
      </c>
      <c r="B77" s="9"/>
      <c r="C77" s="13"/>
      <c r="D77" s="11">
        <f t="shared" si="1"/>
        <v>0</v>
      </c>
    </row>
    <row r="78" spans="1:4" ht="18" hidden="1" x14ac:dyDescent="0.35">
      <c r="A78" s="8" t="s">
        <v>80</v>
      </c>
      <c r="B78" s="9"/>
      <c r="C78" s="10"/>
      <c r="D78" s="11">
        <f t="shared" si="1"/>
        <v>0</v>
      </c>
    </row>
    <row r="79" spans="1:4" ht="18" hidden="1" x14ac:dyDescent="0.35">
      <c r="A79" s="8" t="s">
        <v>81</v>
      </c>
      <c r="B79" s="9"/>
      <c r="C79" s="13"/>
      <c r="D79" s="11">
        <f t="shared" si="1"/>
        <v>0</v>
      </c>
    </row>
    <row r="80" spans="1:4" ht="18" hidden="1" x14ac:dyDescent="0.35">
      <c r="A80" s="8" t="s">
        <v>82</v>
      </c>
      <c r="B80" s="9"/>
      <c r="C80" s="10">
        <v>150000</v>
      </c>
      <c r="D80" s="11">
        <f t="shared" si="1"/>
        <v>0</v>
      </c>
    </row>
    <row r="81" spans="1:4" ht="18" hidden="1" x14ac:dyDescent="0.35">
      <c r="A81" s="8" t="s">
        <v>83</v>
      </c>
      <c r="B81" s="9"/>
      <c r="C81" s="10"/>
      <c r="D81" s="11">
        <f t="shared" si="1"/>
        <v>0</v>
      </c>
    </row>
    <row r="82" spans="1:4" ht="18" hidden="1" x14ac:dyDescent="0.35">
      <c r="A82" s="8" t="s">
        <v>84</v>
      </c>
      <c r="B82" s="9"/>
      <c r="C82" s="10">
        <v>50000</v>
      </c>
      <c r="D82" s="11">
        <f t="shared" si="1"/>
        <v>0</v>
      </c>
    </row>
    <row r="83" spans="1:4" ht="18" hidden="1" x14ac:dyDescent="0.35">
      <c r="A83" s="8" t="s">
        <v>85</v>
      </c>
      <c r="B83" s="9"/>
      <c r="C83" s="10"/>
      <c r="D83" s="11">
        <f t="shared" si="1"/>
        <v>0</v>
      </c>
    </row>
    <row r="84" spans="1:4" ht="18" hidden="1" x14ac:dyDescent="0.35">
      <c r="A84" s="8" t="s">
        <v>86</v>
      </c>
      <c r="B84" s="9"/>
      <c r="C84" s="10">
        <v>50000</v>
      </c>
      <c r="D84" s="11">
        <f t="shared" si="1"/>
        <v>0</v>
      </c>
    </row>
    <row r="85" spans="1:4" ht="18" hidden="1" x14ac:dyDescent="0.35">
      <c r="A85" s="8" t="s">
        <v>87</v>
      </c>
      <c r="B85" s="9"/>
      <c r="C85" s="12"/>
      <c r="D85" s="11">
        <f t="shared" si="1"/>
        <v>0</v>
      </c>
    </row>
    <row r="86" spans="1:4" ht="18" hidden="1" x14ac:dyDescent="0.35">
      <c r="A86" s="8" t="s">
        <v>88</v>
      </c>
      <c r="B86" s="9"/>
      <c r="C86" s="10">
        <v>45000</v>
      </c>
      <c r="D86" s="11">
        <f t="shared" si="1"/>
        <v>0</v>
      </c>
    </row>
    <row r="87" spans="1:4" ht="18" hidden="1" x14ac:dyDescent="0.35">
      <c r="A87" s="8" t="s">
        <v>89</v>
      </c>
      <c r="B87" s="9"/>
      <c r="C87" s="12"/>
      <c r="D87" s="11">
        <f t="shared" si="1"/>
        <v>0</v>
      </c>
    </row>
    <row r="88" spans="1:4" ht="18" hidden="1" x14ac:dyDescent="0.35">
      <c r="A88" s="8" t="s">
        <v>90</v>
      </c>
      <c r="B88" s="9"/>
      <c r="C88" s="10">
        <v>50000</v>
      </c>
      <c r="D88" s="11">
        <f t="shared" si="1"/>
        <v>0</v>
      </c>
    </row>
    <row r="89" spans="1:4" ht="18" hidden="1" x14ac:dyDescent="0.35">
      <c r="A89" s="8" t="s">
        <v>91</v>
      </c>
      <c r="B89" s="9"/>
      <c r="C89" s="10"/>
      <c r="D89" s="11">
        <f t="shared" si="1"/>
        <v>0</v>
      </c>
    </row>
    <row r="90" spans="1:4" ht="18" hidden="1" x14ac:dyDescent="0.35">
      <c r="A90" s="8" t="s">
        <v>92</v>
      </c>
      <c r="B90" s="9"/>
      <c r="C90" s="10"/>
      <c r="D90" s="11">
        <f t="shared" si="1"/>
        <v>0</v>
      </c>
    </row>
    <row r="91" spans="1:4" ht="18" hidden="1" x14ac:dyDescent="0.35">
      <c r="A91" s="8" t="s">
        <v>93</v>
      </c>
      <c r="B91" s="9"/>
      <c r="C91" s="10"/>
      <c r="D91" s="11">
        <f t="shared" si="1"/>
        <v>0</v>
      </c>
    </row>
    <row r="92" spans="1:4" ht="18" hidden="1" x14ac:dyDescent="0.35">
      <c r="A92" s="8" t="s">
        <v>94</v>
      </c>
      <c r="B92" s="9"/>
      <c r="C92" s="10"/>
      <c r="D92" s="11">
        <f t="shared" si="1"/>
        <v>0</v>
      </c>
    </row>
    <row r="93" spans="1:4" ht="18" hidden="1" x14ac:dyDescent="0.35">
      <c r="A93" s="8" t="s">
        <v>95</v>
      </c>
      <c r="B93" s="9"/>
      <c r="C93" s="12">
        <v>12000</v>
      </c>
      <c r="D93" s="11">
        <f t="shared" si="1"/>
        <v>0</v>
      </c>
    </row>
    <row r="94" spans="1:4" ht="18" hidden="1" x14ac:dyDescent="0.35">
      <c r="A94" s="8" t="s">
        <v>96</v>
      </c>
      <c r="B94" s="9"/>
      <c r="C94" s="10"/>
      <c r="D94" s="11">
        <f t="shared" si="1"/>
        <v>0</v>
      </c>
    </row>
    <row r="95" spans="1:4" ht="18" hidden="1" x14ac:dyDescent="0.35">
      <c r="A95" s="8" t="s">
        <v>97</v>
      </c>
      <c r="B95" s="9"/>
      <c r="C95" s="10"/>
      <c r="D95" s="11">
        <f t="shared" si="1"/>
        <v>0</v>
      </c>
    </row>
    <row r="96" spans="1:4" ht="18" hidden="1" x14ac:dyDescent="0.35">
      <c r="A96" s="8" t="s">
        <v>98</v>
      </c>
      <c r="B96" s="9"/>
      <c r="C96" s="10"/>
      <c r="D96" s="11">
        <f t="shared" si="1"/>
        <v>0</v>
      </c>
    </row>
    <row r="97" spans="1:4" ht="18" hidden="1" x14ac:dyDescent="0.35">
      <c r="A97" s="8" t="s">
        <v>99</v>
      </c>
      <c r="B97" s="9"/>
      <c r="C97" s="12"/>
      <c r="D97" s="11">
        <f t="shared" si="1"/>
        <v>0</v>
      </c>
    </row>
    <row r="98" spans="1:4" ht="18" hidden="1" x14ac:dyDescent="0.35">
      <c r="A98" s="14" t="s">
        <v>100</v>
      </c>
      <c r="B98" s="9"/>
      <c r="C98" s="10"/>
      <c r="D98" s="11">
        <f t="shared" si="1"/>
        <v>0</v>
      </c>
    </row>
    <row r="99" spans="1:4" ht="18" hidden="1" x14ac:dyDescent="0.35">
      <c r="A99" s="14" t="s">
        <v>101</v>
      </c>
      <c r="B99" s="9"/>
      <c r="C99" s="10"/>
      <c r="D99" s="11">
        <f t="shared" si="1"/>
        <v>0</v>
      </c>
    </row>
    <row r="100" spans="1:4" ht="18" hidden="1" x14ac:dyDescent="0.35">
      <c r="A100" s="14" t="s">
        <v>102</v>
      </c>
      <c r="B100" s="21"/>
      <c r="C100" s="10"/>
      <c r="D100" s="11">
        <f t="shared" si="1"/>
        <v>0</v>
      </c>
    </row>
    <row r="101" spans="1:4" ht="18" hidden="1" x14ac:dyDescent="0.35">
      <c r="A101" s="8" t="s">
        <v>103</v>
      </c>
      <c r="B101" s="9"/>
      <c r="C101" s="10"/>
      <c r="D101" s="11">
        <f t="shared" si="1"/>
        <v>0</v>
      </c>
    </row>
    <row r="102" spans="1:4" ht="18" hidden="1" x14ac:dyDescent="0.35">
      <c r="A102" s="8" t="s">
        <v>104</v>
      </c>
      <c r="B102" s="9"/>
      <c r="C102" s="12"/>
      <c r="D102" s="11">
        <f t="shared" si="1"/>
        <v>0</v>
      </c>
    </row>
    <row r="103" spans="1:4" ht="18" hidden="1" x14ac:dyDescent="0.35">
      <c r="A103" s="8" t="s">
        <v>105</v>
      </c>
      <c r="B103" s="9"/>
      <c r="C103" s="10"/>
      <c r="D103" s="11">
        <f t="shared" si="1"/>
        <v>0</v>
      </c>
    </row>
    <row r="104" spans="1:4" ht="18" hidden="1" x14ac:dyDescent="0.35">
      <c r="A104" s="8" t="s">
        <v>106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107</v>
      </c>
      <c r="B105" s="9"/>
      <c r="C105" s="10"/>
      <c r="D105" s="11">
        <f t="shared" si="1"/>
        <v>0</v>
      </c>
    </row>
    <row r="106" spans="1:4" ht="18" hidden="1" x14ac:dyDescent="0.35">
      <c r="A106" s="22" t="s">
        <v>108</v>
      </c>
      <c r="B106" s="9"/>
      <c r="C106" s="10"/>
      <c r="D106" s="11">
        <f t="shared" si="1"/>
        <v>0</v>
      </c>
    </row>
    <row r="107" spans="1:4" ht="18" hidden="1" x14ac:dyDescent="0.35">
      <c r="A107" s="8" t="s">
        <v>109</v>
      </c>
      <c r="B107" s="9"/>
      <c r="C107" s="12">
        <v>10000</v>
      </c>
      <c r="D107" s="11">
        <f t="shared" si="1"/>
        <v>0</v>
      </c>
    </row>
    <row r="108" spans="1:4" ht="18" hidden="1" x14ac:dyDescent="0.35">
      <c r="A108" s="8" t="s">
        <v>110</v>
      </c>
      <c r="B108" s="9"/>
      <c r="C108" s="10"/>
      <c r="D108" s="11">
        <f t="shared" si="1"/>
        <v>0</v>
      </c>
    </row>
    <row r="109" spans="1:4" ht="18" hidden="1" x14ac:dyDescent="0.35">
      <c r="A109" s="8" t="s">
        <v>111</v>
      </c>
      <c r="B109" s="9"/>
      <c r="C109" s="13"/>
      <c r="D109" s="11">
        <f t="shared" si="1"/>
        <v>0</v>
      </c>
    </row>
    <row r="110" spans="1:4" ht="18.75" x14ac:dyDescent="0.25">
      <c r="A110" s="14" t="s">
        <v>112</v>
      </c>
      <c r="B110" s="9">
        <f>1160-99</f>
        <v>1061</v>
      </c>
      <c r="C110" s="10">
        <v>20000</v>
      </c>
      <c r="D110" s="11">
        <f t="shared" si="1"/>
        <v>21220000</v>
      </c>
    </row>
    <row r="111" spans="1:4" ht="18.75" x14ac:dyDescent="0.25">
      <c r="A111" s="14" t="s">
        <v>113</v>
      </c>
      <c r="B111" s="9">
        <v>220</v>
      </c>
      <c r="C111" s="10">
        <v>17000</v>
      </c>
      <c r="D111" s="11">
        <f t="shared" si="1"/>
        <v>3740000</v>
      </c>
    </row>
    <row r="112" spans="1:4" ht="18.75" x14ac:dyDescent="0.25">
      <c r="A112" s="8" t="s">
        <v>114</v>
      </c>
      <c r="B112" s="9">
        <v>667</v>
      </c>
      <c r="C112" s="12">
        <v>14000</v>
      </c>
      <c r="D112" s="11">
        <f t="shared" si="1"/>
        <v>9338000</v>
      </c>
    </row>
    <row r="113" spans="1:4" ht="18" x14ac:dyDescent="0.35">
      <c r="A113" s="14" t="s">
        <v>115</v>
      </c>
      <c r="B113" s="9">
        <v>11</v>
      </c>
      <c r="C113" s="10">
        <v>25000</v>
      </c>
      <c r="D113" s="11">
        <f t="shared" si="1"/>
        <v>275000</v>
      </c>
    </row>
    <row r="114" spans="1:4" ht="18" hidden="1" x14ac:dyDescent="0.35">
      <c r="A114" s="14" t="s">
        <v>116</v>
      </c>
      <c r="B114" s="9"/>
      <c r="C114" s="12"/>
      <c r="D114" s="11">
        <f t="shared" si="1"/>
        <v>0</v>
      </c>
    </row>
    <row r="115" spans="1:4" ht="18.75" x14ac:dyDescent="0.25">
      <c r="A115" s="8" t="s">
        <v>237</v>
      </c>
      <c r="B115" s="9">
        <v>99</v>
      </c>
      <c r="C115" s="13">
        <v>7000</v>
      </c>
      <c r="D115" s="11">
        <f t="shared" si="1"/>
        <v>693000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.75" x14ac:dyDescent="0.25">
      <c r="A119" s="8" t="s">
        <v>120</v>
      </c>
      <c r="B119" s="9">
        <v>4</v>
      </c>
      <c r="C119" s="10">
        <v>15000</v>
      </c>
      <c r="D119" s="11">
        <f t="shared" si="1"/>
        <v>60000</v>
      </c>
    </row>
    <row r="120" spans="1:4" ht="18.75" x14ac:dyDescent="0.25">
      <c r="A120" s="8" t="s">
        <v>121</v>
      </c>
      <c r="B120" s="9">
        <v>180</v>
      </c>
      <c r="C120" s="13">
        <v>22000</v>
      </c>
      <c r="D120" s="11">
        <f t="shared" si="1"/>
        <v>3960000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f>19+3</f>
        <v>22</v>
      </c>
      <c r="C140" s="10">
        <v>11000</v>
      </c>
      <c r="D140" s="11">
        <f t="shared" si="2"/>
        <v>242000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155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156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f>38+200+10</f>
        <v>248</v>
      </c>
      <c r="C164" s="10">
        <v>26000</v>
      </c>
      <c r="D164" s="11">
        <f t="shared" si="2"/>
        <v>6448000</v>
      </c>
    </row>
    <row r="165" spans="1:4" ht="18.75" x14ac:dyDescent="0.25">
      <c r="A165" s="26" t="s">
        <v>166</v>
      </c>
      <c r="B165" s="9">
        <f>26*2</f>
        <v>52</v>
      </c>
      <c r="C165" s="10">
        <v>7500</v>
      </c>
      <c r="D165" s="11">
        <f t="shared" si="2"/>
        <v>390000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.75" x14ac:dyDescent="0.25">
      <c r="A167" s="8" t="s">
        <v>168</v>
      </c>
      <c r="B167" s="9">
        <v>160</v>
      </c>
      <c r="C167" s="12">
        <v>16000</v>
      </c>
      <c r="D167" s="11">
        <f t="shared" si="2"/>
        <v>2560000</v>
      </c>
    </row>
    <row r="168" spans="1:4" ht="18.75" x14ac:dyDescent="0.25">
      <c r="A168" s="8" t="s">
        <v>169</v>
      </c>
      <c r="B168" s="9">
        <v>105</v>
      </c>
      <c r="C168" s="10">
        <v>16000</v>
      </c>
      <c r="D168" s="11">
        <f t="shared" si="2"/>
        <v>1680000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.75" x14ac:dyDescent="0.25">
      <c r="A195" s="14" t="s">
        <v>196</v>
      </c>
      <c r="B195" s="9">
        <f>15*4</f>
        <v>60</v>
      </c>
      <c r="C195" s="12">
        <v>3000</v>
      </c>
      <c r="D195" s="11">
        <f t="shared" si="2"/>
        <v>180000</v>
      </c>
    </row>
    <row r="196" spans="1:4" ht="18" hidden="1" x14ac:dyDescent="0.35">
      <c r="A196" s="14" t="s">
        <v>197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.75" x14ac:dyDescent="0.25">
      <c r="A198" s="8" t="s">
        <v>199</v>
      </c>
      <c r="B198" s="9">
        <v>2</v>
      </c>
      <c r="C198" s="12">
        <v>18000</v>
      </c>
      <c r="D198" s="11">
        <f t="shared" si="3"/>
        <v>36000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810+45</f>
        <v>855</v>
      </c>
      <c r="C203" s="13">
        <v>6000</v>
      </c>
      <c r="D203" s="11">
        <f t="shared" si="3"/>
        <v>5130000</v>
      </c>
    </row>
    <row r="204" spans="1:4" ht="18.75" x14ac:dyDescent="0.25">
      <c r="A204" s="8" t="s">
        <v>205</v>
      </c>
      <c r="B204" s="9">
        <v>86</v>
      </c>
      <c r="C204" s="10">
        <v>12000</v>
      </c>
      <c r="D204" s="11">
        <f t="shared" si="3"/>
        <v>1032000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4778</v>
      </c>
      <c r="C214" s="29">
        <f t="shared" si="4"/>
        <v>1372700</v>
      </c>
      <c r="D214" s="29">
        <f t="shared" si="4"/>
        <v>79200000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64" workbookViewId="0">
      <selection activeCell="D214" sqref="D214"/>
    </sheetView>
  </sheetViews>
  <sheetFormatPr defaultRowHeight="15" x14ac:dyDescent="0.25"/>
  <cols>
    <col min="1" max="1" width="28.140625" customWidth="1"/>
    <col min="3" max="3" width="15.42578125" customWidth="1"/>
    <col min="4" max="4" width="18.5703125" customWidth="1"/>
  </cols>
  <sheetData>
    <row r="1" spans="1:4" x14ac:dyDescent="0.25">
      <c r="A1" s="1" t="s">
        <v>240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t="14.45" hidden="1" x14ac:dyDescent="0.35">
      <c r="A3" s="51"/>
      <c r="B3" s="4"/>
      <c r="C3" s="6"/>
      <c r="D3" s="7"/>
    </row>
    <row r="4" spans="1:4" ht="18.75" x14ac:dyDescent="0.25">
      <c r="A4" s="8" t="s">
        <v>5</v>
      </c>
      <c r="B4" s="9">
        <v>7</v>
      </c>
      <c r="C4" s="10">
        <v>23000</v>
      </c>
      <c r="D4" s="11">
        <f>B4*C4</f>
        <v>161000</v>
      </c>
    </row>
    <row r="5" spans="1:4" ht="18.75" x14ac:dyDescent="0.25">
      <c r="A5" s="8" t="s">
        <v>6</v>
      </c>
      <c r="B5" s="9">
        <v>93</v>
      </c>
      <c r="C5" s="10">
        <v>16000</v>
      </c>
      <c r="D5" s="11">
        <f t="shared" ref="D5:D68" si="0">B5*C5</f>
        <v>1488000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2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f>3+5+40+44+18+26</f>
        <v>136</v>
      </c>
      <c r="C10" s="10">
        <v>36000</v>
      </c>
      <c r="D10" s="11">
        <f t="shared" si="0"/>
        <v>4896000</v>
      </c>
    </row>
    <row r="11" spans="1:4" ht="18" hidden="1" x14ac:dyDescent="0.35">
      <c r="A11" s="8" t="s">
        <v>12</v>
      </c>
      <c r="B11" s="9"/>
      <c r="C11" s="10"/>
      <c r="D11" s="11">
        <f t="shared" si="0"/>
        <v>0</v>
      </c>
    </row>
    <row r="12" spans="1:4" ht="18" hidden="1" x14ac:dyDescent="0.35">
      <c r="A12" s="8" t="s">
        <v>13</v>
      </c>
      <c r="B12" s="9"/>
      <c r="C12" s="10"/>
      <c r="D12" s="11">
        <f t="shared" si="0"/>
        <v>0</v>
      </c>
    </row>
    <row r="13" spans="1:4" ht="18.75" x14ac:dyDescent="0.25">
      <c r="A13" s="8" t="s">
        <v>14</v>
      </c>
      <c r="B13" s="9">
        <v>92</v>
      </c>
      <c r="C13" s="12">
        <v>46000</v>
      </c>
      <c r="D13" s="11">
        <f t="shared" si="0"/>
        <v>4232000</v>
      </c>
    </row>
    <row r="14" spans="1:4" ht="18" hidden="1" x14ac:dyDescent="0.35">
      <c r="A14" s="8" t="s">
        <v>15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f>4+10+9+24</f>
        <v>47</v>
      </c>
      <c r="C16" s="10">
        <v>13000</v>
      </c>
      <c r="D16" s="11">
        <f t="shared" si="0"/>
        <v>611000</v>
      </c>
    </row>
    <row r="17" spans="1:4" ht="18" hidden="1" x14ac:dyDescent="0.35">
      <c r="A17" s="8" t="s">
        <v>18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3"/>
      <c r="D19" s="11">
        <f t="shared" si="0"/>
        <v>0</v>
      </c>
    </row>
    <row r="20" spans="1:4" ht="18" hidden="1" x14ac:dyDescent="0.35">
      <c r="A20" s="8" t="s">
        <v>21</v>
      </c>
      <c r="B20" s="9"/>
      <c r="C20" s="10"/>
      <c r="D20" s="11">
        <f t="shared" si="0"/>
        <v>0</v>
      </c>
    </row>
    <row r="21" spans="1:4" ht="18" hidden="1" x14ac:dyDescent="0.35">
      <c r="A21" s="8" t="s">
        <v>22</v>
      </c>
      <c r="B21" s="9"/>
      <c r="C21" s="10"/>
      <c r="D21" s="11">
        <f t="shared" si="0"/>
        <v>0</v>
      </c>
    </row>
    <row r="22" spans="1:4" ht="18" hidden="1" x14ac:dyDescent="0.35">
      <c r="A22" s="8" t="s">
        <v>23</v>
      </c>
      <c r="B22" s="9"/>
      <c r="C22" s="10"/>
      <c r="D22" s="11">
        <f t="shared" si="0"/>
        <v>0</v>
      </c>
    </row>
    <row r="23" spans="1:4" ht="18" hidden="1" x14ac:dyDescent="0.35">
      <c r="A23" s="8" t="s">
        <v>24</v>
      </c>
      <c r="B23" s="9"/>
      <c r="C23" s="10"/>
      <c r="D23" s="11">
        <f t="shared" si="0"/>
        <v>0</v>
      </c>
    </row>
    <row r="24" spans="1:4" ht="18" hidden="1" x14ac:dyDescent="0.35">
      <c r="A24" s="14" t="s">
        <v>25</v>
      </c>
      <c r="B24" s="9"/>
      <c r="C24" s="13"/>
      <c r="D24" s="11">
        <f t="shared" si="0"/>
        <v>0</v>
      </c>
    </row>
    <row r="25" spans="1:4" ht="18" hidden="1" x14ac:dyDescent="0.35">
      <c r="A25" s="8" t="s">
        <v>26</v>
      </c>
      <c r="B25" s="9"/>
      <c r="C25" s="10"/>
      <c r="D25" s="11">
        <f t="shared" si="0"/>
        <v>0</v>
      </c>
    </row>
    <row r="26" spans="1:4" ht="18" hidden="1" x14ac:dyDescent="0.35">
      <c r="A26" s="8" t="s">
        <v>27</v>
      </c>
      <c r="B26" s="9"/>
      <c r="C26" s="10"/>
      <c r="D26" s="11">
        <f t="shared" si="0"/>
        <v>0</v>
      </c>
    </row>
    <row r="27" spans="1:4" ht="18" hidden="1" x14ac:dyDescent="0.35">
      <c r="A27" s="8" t="s">
        <v>28</v>
      </c>
      <c r="B27" s="9"/>
      <c r="C27" s="10"/>
      <c r="D27" s="11">
        <f t="shared" si="0"/>
        <v>0</v>
      </c>
    </row>
    <row r="28" spans="1:4" ht="18" hidden="1" x14ac:dyDescent="0.35">
      <c r="A28" s="14" t="s">
        <v>29</v>
      </c>
      <c r="B28" s="9"/>
      <c r="C28" s="15"/>
      <c r="D28" s="11">
        <f t="shared" si="0"/>
        <v>0</v>
      </c>
    </row>
    <row r="29" spans="1:4" ht="18" hidden="1" x14ac:dyDescent="0.35">
      <c r="A29" s="8" t="s">
        <v>30</v>
      </c>
      <c r="B29" s="9"/>
      <c r="C29" s="10"/>
      <c r="D29" s="11">
        <f t="shared" si="0"/>
        <v>0</v>
      </c>
    </row>
    <row r="30" spans="1:4" ht="18" hidden="1" x14ac:dyDescent="0.35">
      <c r="A30" s="8" t="s">
        <v>31</v>
      </c>
      <c r="B30" s="9"/>
      <c r="C30" s="10"/>
      <c r="D30" s="11">
        <f t="shared" si="0"/>
        <v>0</v>
      </c>
    </row>
    <row r="31" spans="1:4" ht="18" hidden="1" x14ac:dyDescent="0.35">
      <c r="A31" s="14" t="s">
        <v>32</v>
      </c>
      <c r="B31" s="9"/>
      <c r="C31" s="10"/>
      <c r="D31" s="11">
        <f t="shared" si="0"/>
        <v>0</v>
      </c>
    </row>
    <row r="32" spans="1:4" ht="18" hidden="1" x14ac:dyDescent="0.35">
      <c r="A32" s="8" t="s">
        <v>33</v>
      </c>
      <c r="B32" s="9"/>
      <c r="C32" s="13"/>
      <c r="D32" s="11">
        <f t="shared" si="0"/>
        <v>0</v>
      </c>
    </row>
    <row r="33" spans="1:4" ht="18" hidden="1" x14ac:dyDescent="0.35">
      <c r="A33" s="8" t="s">
        <v>34</v>
      </c>
      <c r="B33" s="9"/>
      <c r="C33" s="10"/>
      <c r="D33" s="11">
        <f t="shared" si="0"/>
        <v>0</v>
      </c>
    </row>
    <row r="34" spans="1:4" ht="18" hidden="1" x14ac:dyDescent="0.35">
      <c r="A34" s="8" t="s">
        <v>35</v>
      </c>
      <c r="B34" s="9"/>
      <c r="C34" s="15">
        <v>110000</v>
      </c>
      <c r="D34" s="11">
        <f t="shared" si="0"/>
        <v>0</v>
      </c>
    </row>
    <row r="35" spans="1:4" ht="18" hidden="1" x14ac:dyDescent="0.35">
      <c r="A35" s="8" t="s">
        <v>36</v>
      </c>
      <c r="B35" s="9"/>
      <c r="C35" s="10"/>
      <c r="D35" s="11">
        <f t="shared" si="0"/>
        <v>0</v>
      </c>
    </row>
    <row r="36" spans="1:4" ht="18" hidden="1" x14ac:dyDescent="0.35">
      <c r="A36" s="14" t="s">
        <v>37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14" t="s">
        <v>38</v>
      </c>
      <c r="B37" s="9"/>
      <c r="C37" s="10"/>
      <c r="D37" s="11">
        <f t="shared" si="0"/>
        <v>0</v>
      </c>
    </row>
    <row r="38" spans="1:4" ht="18" hidden="1" x14ac:dyDescent="0.35">
      <c r="A38" s="8" t="s">
        <v>39</v>
      </c>
      <c r="B38" s="9"/>
      <c r="C38" s="10"/>
      <c r="D38" s="11">
        <f t="shared" si="0"/>
        <v>0</v>
      </c>
    </row>
    <row r="39" spans="1:4" ht="18" hidden="1" x14ac:dyDescent="0.35">
      <c r="A39" s="14" t="s">
        <v>40</v>
      </c>
      <c r="B39" s="9"/>
      <c r="C39" s="10"/>
      <c r="D39" s="11">
        <f t="shared" si="0"/>
        <v>0</v>
      </c>
    </row>
    <row r="40" spans="1:4" ht="18" hidden="1" x14ac:dyDescent="0.35">
      <c r="A40" s="8" t="s">
        <v>41</v>
      </c>
      <c r="B40" s="9"/>
      <c r="C40" s="10"/>
      <c r="D40" s="11">
        <f t="shared" si="0"/>
        <v>0</v>
      </c>
    </row>
    <row r="41" spans="1:4" ht="18" hidden="1" x14ac:dyDescent="0.35">
      <c r="A41" s="8" t="s">
        <v>42</v>
      </c>
      <c r="B41" s="9"/>
      <c r="C41" s="13"/>
      <c r="D41" s="11">
        <f t="shared" si="0"/>
        <v>0</v>
      </c>
    </row>
    <row r="42" spans="1:4" ht="18" hidden="1" x14ac:dyDescent="0.35">
      <c r="A42" s="16" t="s">
        <v>43</v>
      </c>
      <c r="B42" s="9"/>
      <c r="C42" s="10"/>
      <c r="D42" s="11">
        <f t="shared" si="0"/>
        <v>0</v>
      </c>
    </row>
    <row r="43" spans="1:4" ht="18.75" x14ac:dyDescent="0.25">
      <c r="A43" s="8" t="s">
        <v>44</v>
      </c>
      <c r="B43" s="9">
        <v>20</v>
      </c>
      <c r="C43" s="10">
        <v>16000</v>
      </c>
      <c r="D43" s="11">
        <f t="shared" si="0"/>
        <v>320000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.75" x14ac:dyDescent="0.25">
      <c r="A45" s="8" t="s">
        <v>46</v>
      </c>
      <c r="B45" s="9">
        <v>20</v>
      </c>
      <c r="C45" s="12">
        <v>15000</v>
      </c>
      <c r="D45" s="11">
        <f t="shared" si="0"/>
        <v>300000</v>
      </c>
    </row>
    <row r="46" spans="1:4" ht="18" hidden="1" x14ac:dyDescent="0.35">
      <c r="A46" s="8" t="s">
        <v>47</v>
      </c>
      <c r="B46" s="9"/>
      <c r="C46" s="12"/>
      <c r="D46" s="11">
        <f t="shared" si="0"/>
        <v>0</v>
      </c>
    </row>
    <row r="47" spans="1:4" ht="18" hidden="1" x14ac:dyDescent="0.35">
      <c r="A47" s="8" t="s">
        <v>48</v>
      </c>
      <c r="B47" s="9"/>
      <c r="C47" s="10"/>
      <c r="D47" s="11">
        <f t="shared" si="0"/>
        <v>0</v>
      </c>
    </row>
    <row r="48" spans="1:4" ht="18" hidden="1" x14ac:dyDescent="0.35">
      <c r="A48" s="8" t="s">
        <v>49</v>
      </c>
      <c r="B48" s="9"/>
      <c r="C48" s="10"/>
      <c r="D48" s="11">
        <f t="shared" si="0"/>
        <v>0</v>
      </c>
    </row>
    <row r="49" spans="1:4" ht="18" hidden="1" x14ac:dyDescent="0.35">
      <c r="A49" s="8" t="s">
        <v>50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2"/>
      <c r="D51" s="11">
        <f t="shared" si="0"/>
        <v>0</v>
      </c>
    </row>
    <row r="52" spans="1:4" ht="18" hidden="1" x14ac:dyDescent="0.35">
      <c r="A52" s="8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0"/>
      <c r="D53" s="11">
        <f t="shared" si="0"/>
        <v>0</v>
      </c>
    </row>
    <row r="54" spans="1:4" ht="18" hidden="1" x14ac:dyDescent="0.35">
      <c r="A54" s="8" t="s">
        <v>55</v>
      </c>
      <c r="B54" s="9"/>
      <c r="C54" s="10"/>
      <c r="D54" s="11">
        <f t="shared" si="0"/>
        <v>0</v>
      </c>
    </row>
    <row r="55" spans="1:4" ht="18" hidden="1" x14ac:dyDescent="0.35">
      <c r="A55" s="14" t="s">
        <v>56</v>
      </c>
      <c r="B55" s="9"/>
      <c r="C55" s="10"/>
      <c r="D55" s="11">
        <f t="shared" si="0"/>
        <v>0</v>
      </c>
    </row>
    <row r="56" spans="1:4" ht="18" hidden="1" x14ac:dyDescent="0.35">
      <c r="A56" s="8" t="s">
        <v>57</v>
      </c>
      <c r="B56" s="9"/>
      <c r="C56" s="10"/>
      <c r="D56" s="11">
        <f t="shared" si="0"/>
        <v>0</v>
      </c>
    </row>
    <row r="57" spans="1:4" ht="18" hidden="1" x14ac:dyDescent="0.35">
      <c r="A57" s="8" t="s">
        <v>58</v>
      </c>
      <c r="B57" s="9"/>
      <c r="C57" s="13"/>
      <c r="D57" s="11">
        <f t="shared" si="0"/>
        <v>0</v>
      </c>
    </row>
    <row r="58" spans="1:4" ht="18" hidden="1" x14ac:dyDescent="0.35">
      <c r="A58" s="14" t="s">
        <v>59</v>
      </c>
      <c r="B58" s="9"/>
      <c r="C58" s="10"/>
      <c r="D58" s="11">
        <f t="shared" si="0"/>
        <v>0</v>
      </c>
    </row>
    <row r="59" spans="1:4" ht="18" hidden="1" x14ac:dyDescent="0.35">
      <c r="A59" s="8" t="s">
        <v>60</v>
      </c>
      <c r="B59" s="9"/>
      <c r="C59" s="12">
        <v>15000</v>
      </c>
      <c r="D59" s="11">
        <f t="shared" si="0"/>
        <v>0</v>
      </c>
    </row>
    <row r="60" spans="1:4" ht="18" hidden="1" x14ac:dyDescent="0.35">
      <c r="A60" s="8" t="s">
        <v>61</v>
      </c>
      <c r="B60" s="17"/>
      <c r="C60" s="10"/>
      <c r="D60" s="11">
        <f t="shared" si="0"/>
        <v>0</v>
      </c>
    </row>
    <row r="61" spans="1:4" ht="18.75" x14ac:dyDescent="0.25">
      <c r="A61" s="18" t="s">
        <v>62</v>
      </c>
      <c r="B61" s="9">
        <v>17</v>
      </c>
      <c r="C61" s="19">
        <v>28000</v>
      </c>
      <c r="D61" s="11">
        <f t="shared" si="0"/>
        <v>476000</v>
      </c>
    </row>
    <row r="62" spans="1:4" ht="18" hidden="1" x14ac:dyDescent="0.35">
      <c r="A62" s="18" t="s">
        <v>63</v>
      </c>
      <c r="B62" s="9"/>
      <c r="C62" s="10">
        <v>10000</v>
      </c>
      <c r="D62" s="11">
        <f t="shared" si="0"/>
        <v>0</v>
      </c>
    </row>
    <row r="63" spans="1:4" ht="18.75" x14ac:dyDescent="0.25">
      <c r="A63" s="14" t="s">
        <v>64</v>
      </c>
      <c r="B63" s="9">
        <v>120</v>
      </c>
      <c r="C63" s="10">
        <v>18000</v>
      </c>
      <c r="D63" s="11">
        <f t="shared" si="0"/>
        <v>2160000</v>
      </c>
    </row>
    <row r="64" spans="1:4" ht="18.75" x14ac:dyDescent="0.25">
      <c r="A64" s="8" t="s">
        <v>65</v>
      </c>
      <c r="B64" s="9">
        <v>40</v>
      </c>
      <c r="C64" s="12">
        <v>17000</v>
      </c>
      <c r="D64" s="11">
        <f t="shared" si="0"/>
        <v>680000</v>
      </c>
    </row>
    <row r="65" spans="1:4" ht="18" hidden="1" x14ac:dyDescent="0.35">
      <c r="A65" s="14" t="s">
        <v>66</v>
      </c>
      <c r="B65" s="9"/>
      <c r="C65" s="10"/>
      <c r="D65" s="11">
        <f t="shared" si="0"/>
        <v>0</v>
      </c>
    </row>
    <row r="66" spans="1:4" ht="18" hidden="1" x14ac:dyDescent="0.35">
      <c r="A66" s="8" t="s">
        <v>68</v>
      </c>
      <c r="B66" s="9"/>
      <c r="C66" s="10"/>
      <c r="D66" s="11">
        <f t="shared" si="0"/>
        <v>0</v>
      </c>
    </row>
    <row r="67" spans="1:4" ht="18" hidden="1" x14ac:dyDescent="0.35">
      <c r="A67" s="14" t="s">
        <v>69</v>
      </c>
      <c r="B67" s="9"/>
      <c r="C67" s="15">
        <v>38000</v>
      </c>
      <c r="D67" s="11">
        <f t="shared" si="0"/>
        <v>0</v>
      </c>
    </row>
    <row r="68" spans="1:4" ht="18" hidden="1" x14ac:dyDescent="0.35">
      <c r="A68" s="14" t="s">
        <v>70</v>
      </c>
      <c r="B68" s="9"/>
      <c r="C68" s="15"/>
      <c r="D68" s="11">
        <f t="shared" si="0"/>
        <v>0</v>
      </c>
    </row>
    <row r="69" spans="1:4" ht="18" hidden="1" x14ac:dyDescent="0.35">
      <c r="A69" s="14" t="s">
        <v>71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72</v>
      </c>
      <c r="B70" s="9"/>
      <c r="C70" s="12"/>
      <c r="D70" s="11">
        <f t="shared" si="1"/>
        <v>0</v>
      </c>
    </row>
    <row r="71" spans="1:4" ht="18" hidden="1" x14ac:dyDescent="0.35">
      <c r="A71" s="8" t="s">
        <v>73</v>
      </c>
      <c r="B71" s="9"/>
      <c r="C71" s="12">
        <v>25000</v>
      </c>
      <c r="D71" s="11">
        <f t="shared" si="1"/>
        <v>0</v>
      </c>
    </row>
    <row r="72" spans="1:4" ht="18" hidden="1" x14ac:dyDescent="0.35">
      <c r="A72" s="8" t="s">
        <v>74</v>
      </c>
      <c r="B72" s="9"/>
      <c r="C72" s="13"/>
      <c r="D72" s="11">
        <f t="shared" si="1"/>
        <v>0</v>
      </c>
    </row>
    <row r="73" spans="1:4" ht="18" hidden="1" x14ac:dyDescent="0.35">
      <c r="A73" s="20" t="s">
        <v>75</v>
      </c>
      <c r="B73" s="9"/>
      <c r="C73" s="15"/>
      <c r="D73" s="11">
        <f t="shared" si="1"/>
        <v>0</v>
      </c>
    </row>
    <row r="74" spans="1:4" ht="18" hidden="1" x14ac:dyDescent="0.35">
      <c r="A74" s="20" t="s">
        <v>76</v>
      </c>
      <c r="B74" s="9"/>
      <c r="C74" s="10"/>
      <c r="D74" s="11">
        <f t="shared" si="1"/>
        <v>0</v>
      </c>
    </row>
    <row r="75" spans="1:4" ht="18" hidden="1" x14ac:dyDescent="0.35">
      <c r="A75" s="20" t="s">
        <v>77</v>
      </c>
      <c r="B75" s="9"/>
      <c r="C75" s="13"/>
      <c r="D75" s="11">
        <f t="shared" si="1"/>
        <v>0</v>
      </c>
    </row>
    <row r="76" spans="1:4" ht="18" hidden="1" x14ac:dyDescent="0.35">
      <c r="A76" s="8" t="s">
        <v>78</v>
      </c>
      <c r="B76" s="9"/>
      <c r="C76" s="12"/>
      <c r="D76" s="11">
        <f t="shared" si="1"/>
        <v>0</v>
      </c>
    </row>
    <row r="77" spans="1:4" ht="18" hidden="1" x14ac:dyDescent="0.35">
      <c r="A77" s="8" t="s">
        <v>79</v>
      </c>
      <c r="B77" s="9"/>
      <c r="C77" s="13"/>
      <c r="D77" s="11">
        <f t="shared" si="1"/>
        <v>0</v>
      </c>
    </row>
    <row r="78" spans="1:4" ht="18" hidden="1" x14ac:dyDescent="0.35">
      <c r="A78" s="8" t="s">
        <v>80</v>
      </c>
      <c r="B78" s="9"/>
      <c r="C78" s="10"/>
      <c r="D78" s="11">
        <f t="shared" si="1"/>
        <v>0</v>
      </c>
    </row>
    <row r="79" spans="1:4" ht="18" hidden="1" x14ac:dyDescent="0.35">
      <c r="A79" s="8" t="s">
        <v>81</v>
      </c>
      <c r="B79" s="9"/>
      <c r="C79" s="13"/>
      <c r="D79" s="11">
        <f t="shared" si="1"/>
        <v>0</v>
      </c>
    </row>
    <row r="80" spans="1:4" ht="18" hidden="1" x14ac:dyDescent="0.35">
      <c r="A80" s="8" t="s">
        <v>82</v>
      </c>
      <c r="B80" s="9"/>
      <c r="C80" s="10">
        <v>150000</v>
      </c>
      <c r="D80" s="11">
        <f t="shared" si="1"/>
        <v>0</v>
      </c>
    </row>
    <row r="81" spans="1:4" ht="18" hidden="1" x14ac:dyDescent="0.35">
      <c r="A81" s="8" t="s">
        <v>83</v>
      </c>
      <c r="B81" s="9"/>
      <c r="C81" s="10"/>
      <c r="D81" s="11">
        <f t="shared" si="1"/>
        <v>0</v>
      </c>
    </row>
    <row r="82" spans="1:4" ht="18" hidden="1" x14ac:dyDescent="0.35">
      <c r="A82" s="8" t="s">
        <v>84</v>
      </c>
      <c r="B82" s="9"/>
      <c r="C82" s="10">
        <v>50000</v>
      </c>
      <c r="D82" s="11">
        <f t="shared" si="1"/>
        <v>0</v>
      </c>
    </row>
    <row r="83" spans="1:4" ht="18" hidden="1" x14ac:dyDescent="0.35">
      <c r="A83" s="8" t="s">
        <v>85</v>
      </c>
      <c r="B83" s="9"/>
      <c r="C83" s="10"/>
      <c r="D83" s="11">
        <f t="shared" si="1"/>
        <v>0</v>
      </c>
    </row>
    <row r="84" spans="1:4" ht="18" hidden="1" x14ac:dyDescent="0.35">
      <c r="A84" s="8" t="s">
        <v>86</v>
      </c>
      <c r="B84" s="9"/>
      <c r="C84" s="10">
        <v>50000</v>
      </c>
      <c r="D84" s="11">
        <f t="shared" si="1"/>
        <v>0</v>
      </c>
    </row>
    <row r="85" spans="1:4" ht="18" hidden="1" x14ac:dyDescent="0.35">
      <c r="A85" s="8" t="s">
        <v>87</v>
      </c>
      <c r="B85" s="9"/>
      <c r="C85" s="12"/>
      <c r="D85" s="11">
        <f t="shared" si="1"/>
        <v>0</v>
      </c>
    </row>
    <row r="86" spans="1:4" ht="18" hidden="1" x14ac:dyDescent="0.35">
      <c r="A86" s="8" t="s">
        <v>88</v>
      </c>
      <c r="B86" s="9"/>
      <c r="C86" s="10">
        <v>45000</v>
      </c>
      <c r="D86" s="11">
        <f t="shared" si="1"/>
        <v>0</v>
      </c>
    </row>
    <row r="87" spans="1:4" ht="18" hidden="1" x14ac:dyDescent="0.35">
      <c r="A87" s="8" t="s">
        <v>89</v>
      </c>
      <c r="B87" s="9"/>
      <c r="C87" s="12"/>
      <c r="D87" s="11">
        <f t="shared" si="1"/>
        <v>0</v>
      </c>
    </row>
    <row r="88" spans="1:4" ht="18" hidden="1" x14ac:dyDescent="0.35">
      <c r="A88" s="8" t="s">
        <v>90</v>
      </c>
      <c r="B88" s="9"/>
      <c r="C88" s="10">
        <v>50000</v>
      </c>
      <c r="D88" s="11">
        <f t="shared" si="1"/>
        <v>0</v>
      </c>
    </row>
    <row r="89" spans="1:4" ht="18" hidden="1" x14ac:dyDescent="0.35">
      <c r="A89" s="8" t="s">
        <v>91</v>
      </c>
      <c r="B89" s="9"/>
      <c r="C89" s="10"/>
      <c r="D89" s="11">
        <f t="shared" si="1"/>
        <v>0</v>
      </c>
    </row>
    <row r="90" spans="1:4" ht="18" hidden="1" x14ac:dyDescent="0.35">
      <c r="A90" s="8" t="s">
        <v>92</v>
      </c>
      <c r="B90" s="9"/>
      <c r="C90" s="10"/>
      <c r="D90" s="11">
        <f t="shared" si="1"/>
        <v>0</v>
      </c>
    </row>
    <row r="91" spans="1:4" ht="18" hidden="1" x14ac:dyDescent="0.35">
      <c r="A91" s="8" t="s">
        <v>93</v>
      </c>
      <c r="B91" s="9"/>
      <c r="C91" s="10"/>
      <c r="D91" s="11">
        <f t="shared" si="1"/>
        <v>0</v>
      </c>
    </row>
    <row r="92" spans="1:4" ht="18" hidden="1" x14ac:dyDescent="0.35">
      <c r="A92" s="8" t="s">
        <v>94</v>
      </c>
      <c r="B92" s="9"/>
      <c r="C92" s="10"/>
      <c r="D92" s="11">
        <f t="shared" si="1"/>
        <v>0</v>
      </c>
    </row>
    <row r="93" spans="1:4" ht="18" hidden="1" x14ac:dyDescent="0.35">
      <c r="A93" s="8" t="s">
        <v>95</v>
      </c>
      <c r="B93" s="9"/>
      <c r="C93" s="12">
        <v>12000</v>
      </c>
      <c r="D93" s="11">
        <f t="shared" si="1"/>
        <v>0</v>
      </c>
    </row>
    <row r="94" spans="1:4" ht="18" hidden="1" x14ac:dyDescent="0.35">
      <c r="A94" s="8" t="s">
        <v>96</v>
      </c>
      <c r="B94" s="9"/>
      <c r="C94" s="10"/>
      <c r="D94" s="11">
        <f t="shared" si="1"/>
        <v>0</v>
      </c>
    </row>
    <row r="95" spans="1:4" ht="18" hidden="1" x14ac:dyDescent="0.35">
      <c r="A95" s="8" t="s">
        <v>97</v>
      </c>
      <c r="B95" s="9"/>
      <c r="C95" s="10"/>
      <c r="D95" s="11">
        <f t="shared" si="1"/>
        <v>0</v>
      </c>
    </row>
    <row r="96" spans="1:4" ht="18" hidden="1" x14ac:dyDescent="0.35">
      <c r="A96" s="8" t="s">
        <v>98</v>
      </c>
      <c r="B96" s="9"/>
      <c r="C96" s="10"/>
      <c r="D96" s="11">
        <f t="shared" si="1"/>
        <v>0</v>
      </c>
    </row>
    <row r="97" spans="1:4" ht="18" hidden="1" x14ac:dyDescent="0.35">
      <c r="A97" s="8" t="s">
        <v>99</v>
      </c>
      <c r="B97" s="9"/>
      <c r="C97" s="12"/>
      <c r="D97" s="11">
        <f t="shared" si="1"/>
        <v>0</v>
      </c>
    </row>
    <row r="98" spans="1:4" ht="18" hidden="1" x14ac:dyDescent="0.35">
      <c r="A98" s="14" t="s">
        <v>100</v>
      </c>
      <c r="B98" s="9"/>
      <c r="C98" s="10"/>
      <c r="D98" s="11">
        <f t="shared" si="1"/>
        <v>0</v>
      </c>
    </row>
    <row r="99" spans="1:4" ht="18" hidden="1" x14ac:dyDescent="0.35">
      <c r="A99" s="14" t="s">
        <v>101</v>
      </c>
      <c r="B99" s="9"/>
      <c r="C99" s="10"/>
      <c r="D99" s="11">
        <f t="shared" si="1"/>
        <v>0</v>
      </c>
    </row>
    <row r="100" spans="1:4" ht="18" hidden="1" x14ac:dyDescent="0.35">
      <c r="A100" s="14" t="s">
        <v>102</v>
      </c>
      <c r="B100" s="21"/>
      <c r="C100" s="10"/>
      <c r="D100" s="11">
        <f t="shared" si="1"/>
        <v>0</v>
      </c>
    </row>
    <row r="101" spans="1:4" ht="18" hidden="1" x14ac:dyDescent="0.35">
      <c r="A101" s="8" t="s">
        <v>103</v>
      </c>
      <c r="B101" s="9"/>
      <c r="C101" s="10"/>
      <c r="D101" s="11">
        <f t="shared" si="1"/>
        <v>0</v>
      </c>
    </row>
    <row r="102" spans="1:4" ht="18" hidden="1" x14ac:dyDescent="0.35">
      <c r="A102" s="8" t="s">
        <v>104</v>
      </c>
      <c r="B102" s="9"/>
      <c r="C102" s="12"/>
      <c r="D102" s="11">
        <f t="shared" si="1"/>
        <v>0</v>
      </c>
    </row>
    <row r="103" spans="1:4" ht="18" hidden="1" x14ac:dyDescent="0.35">
      <c r="A103" s="8" t="s">
        <v>105</v>
      </c>
      <c r="B103" s="9"/>
      <c r="C103" s="10"/>
      <c r="D103" s="11">
        <f t="shared" si="1"/>
        <v>0</v>
      </c>
    </row>
    <row r="104" spans="1:4" ht="18" hidden="1" x14ac:dyDescent="0.35">
      <c r="A104" s="8" t="s">
        <v>106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107</v>
      </c>
      <c r="B105" s="9"/>
      <c r="C105" s="10"/>
      <c r="D105" s="11">
        <f t="shared" si="1"/>
        <v>0</v>
      </c>
    </row>
    <row r="106" spans="1:4" ht="18" hidden="1" x14ac:dyDescent="0.35">
      <c r="A106" s="22" t="s">
        <v>108</v>
      </c>
      <c r="B106" s="9"/>
      <c r="C106" s="10"/>
      <c r="D106" s="11">
        <f t="shared" si="1"/>
        <v>0</v>
      </c>
    </row>
    <row r="107" spans="1:4" ht="18" hidden="1" x14ac:dyDescent="0.35">
      <c r="A107" s="8" t="s">
        <v>109</v>
      </c>
      <c r="B107" s="9"/>
      <c r="C107" s="12">
        <v>10000</v>
      </c>
      <c r="D107" s="11">
        <f t="shared" si="1"/>
        <v>0</v>
      </c>
    </row>
    <row r="108" spans="1:4" ht="18.75" x14ac:dyDescent="0.25">
      <c r="A108" s="8" t="s">
        <v>110</v>
      </c>
      <c r="B108" s="9">
        <v>4</v>
      </c>
      <c r="C108" s="10">
        <v>7500</v>
      </c>
      <c r="D108" s="11">
        <f t="shared" si="1"/>
        <v>30000</v>
      </c>
    </row>
    <row r="109" spans="1:4" ht="18" hidden="1" x14ac:dyDescent="0.35">
      <c r="A109" s="8" t="s">
        <v>111</v>
      </c>
      <c r="B109" s="9"/>
      <c r="C109" s="13"/>
      <c r="D109" s="11">
        <f t="shared" si="1"/>
        <v>0</v>
      </c>
    </row>
    <row r="110" spans="1:4" ht="18" hidden="1" x14ac:dyDescent="0.35">
      <c r="A110" s="14" t="s">
        <v>112</v>
      </c>
      <c r="B110" s="9"/>
      <c r="C110" s="10"/>
      <c r="D110" s="11">
        <f t="shared" si="1"/>
        <v>0</v>
      </c>
    </row>
    <row r="111" spans="1:4" ht="18.75" x14ac:dyDescent="0.25">
      <c r="A111" s="14" t="s">
        <v>113</v>
      </c>
      <c r="B111" s="9">
        <f>60+95</f>
        <v>155</v>
      </c>
      <c r="C111" s="10">
        <v>17000</v>
      </c>
      <c r="D111" s="11">
        <f t="shared" si="1"/>
        <v>2635000</v>
      </c>
    </row>
    <row r="112" spans="1:4" ht="18.75" x14ac:dyDescent="0.25">
      <c r="A112" s="8" t="s">
        <v>114</v>
      </c>
      <c r="B112" s="9">
        <v>607</v>
      </c>
      <c r="C112" s="12">
        <v>14000</v>
      </c>
      <c r="D112" s="11">
        <f t="shared" si="1"/>
        <v>8498000</v>
      </c>
    </row>
    <row r="113" spans="1:4" ht="18" x14ac:dyDescent="0.35">
      <c r="A113" s="14" t="s">
        <v>115</v>
      </c>
      <c r="B113" s="9">
        <v>11</v>
      </c>
      <c r="C113" s="10">
        <v>25000</v>
      </c>
      <c r="D113" s="11">
        <f t="shared" si="1"/>
        <v>275000</v>
      </c>
    </row>
    <row r="114" spans="1:4" ht="18" hidden="1" x14ac:dyDescent="0.35">
      <c r="A114" s="14" t="s">
        <v>116</v>
      </c>
      <c r="B114" s="9"/>
      <c r="C114" s="12"/>
      <c r="D114" s="11">
        <f t="shared" si="1"/>
        <v>0</v>
      </c>
    </row>
    <row r="115" spans="1:4" ht="18.75" x14ac:dyDescent="0.25">
      <c r="A115" s="8" t="s">
        <v>237</v>
      </c>
      <c r="B115" s="9">
        <v>1000</v>
      </c>
      <c r="C115" s="13">
        <v>20000</v>
      </c>
      <c r="D115" s="11">
        <f t="shared" si="1"/>
        <v>20000000</v>
      </c>
    </row>
    <row r="116" spans="1:4" ht="18" hidden="1" x14ac:dyDescent="0.35">
      <c r="A116" s="8" t="s">
        <v>117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118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119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120</v>
      </c>
      <c r="B119" s="9"/>
      <c r="C119" s="10">
        <v>15000</v>
      </c>
      <c r="D119" s="11">
        <f t="shared" si="1"/>
        <v>0</v>
      </c>
    </row>
    <row r="120" spans="1:4" ht="18.75" x14ac:dyDescent="0.25">
      <c r="A120" s="8" t="s">
        <v>121</v>
      </c>
      <c r="B120" s="9">
        <v>240</v>
      </c>
      <c r="C120" s="13">
        <v>22000</v>
      </c>
      <c r="D120" s="11">
        <f t="shared" si="1"/>
        <v>5280000</v>
      </c>
    </row>
    <row r="121" spans="1:4" ht="18" hidden="1" x14ac:dyDescent="0.35">
      <c r="A121" s="8" t="s">
        <v>122</v>
      </c>
      <c r="B121" s="9"/>
      <c r="C121" s="12">
        <v>17000</v>
      </c>
      <c r="D121" s="11">
        <f t="shared" si="1"/>
        <v>0</v>
      </c>
    </row>
    <row r="122" spans="1:4" ht="18" hidden="1" x14ac:dyDescent="0.35">
      <c r="A122" s="8" t="s">
        <v>123</v>
      </c>
      <c r="B122" s="9"/>
      <c r="C122" s="12"/>
      <c r="D122" s="11">
        <f t="shared" si="1"/>
        <v>0</v>
      </c>
    </row>
    <row r="123" spans="1:4" ht="18" hidden="1" x14ac:dyDescent="0.35">
      <c r="A123" s="8" t="s">
        <v>124</v>
      </c>
      <c r="B123" s="9"/>
      <c r="C123" s="13"/>
      <c r="D123" s="11">
        <f t="shared" si="1"/>
        <v>0</v>
      </c>
    </row>
    <row r="124" spans="1:4" ht="18" hidden="1" x14ac:dyDescent="0.35">
      <c r="A124" s="18" t="s">
        <v>125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126</v>
      </c>
      <c r="B125" s="9"/>
      <c r="C125" s="13"/>
      <c r="D125" s="11">
        <f t="shared" si="1"/>
        <v>0</v>
      </c>
    </row>
    <row r="126" spans="1:4" ht="18" hidden="1" x14ac:dyDescent="0.35">
      <c r="A126" s="8" t="s">
        <v>127</v>
      </c>
      <c r="B126" s="9"/>
      <c r="C126" s="13"/>
      <c r="D126" s="11">
        <f t="shared" si="1"/>
        <v>0</v>
      </c>
    </row>
    <row r="127" spans="1:4" ht="18" hidden="1" x14ac:dyDescent="0.35">
      <c r="A127" s="8" t="s">
        <v>128</v>
      </c>
      <c r="B127" s="9"/>
      <c r="C127" s="10"/>
      <c r="D127" s="11">
        <f t="shared" si="1"/>
        <v>0</v>
      </c>
    </row>
    <row r="128" spans="1:4" ht="18" hidden="1" x14ac:dyDescent="0.35">
      <c r="A128" s="14" t="s">
        <v>129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130</v>
      </c>
      <c r="B129" s="9"/>
      <c r="C129" s="12">
        <v>15000</v>
      </c>
      <c r="D129" s="11">
        <f t="shared" si="1"/>
        <v>0</v>
      </c>
    </row>
    <row r="130" spans="1:4" ht="18" hidden="1" x14ac:dyDescent="0.35">
      <c r="A130" s="8" t="s">
        <v>131</v>
      </c>
      <c r="B130" s="9"/>
      <c r="C130" s="12"/>
      <c r="D130" s="11">
        <f t="shared" si="1"/>
        <v>0</v>
      </c>
    </row>
    <row r="131" spans="1:4" ht="18" hidden="1" x14ac:dyDescent="0.35">
      <c r="A131" s="8" t="s">
        <v>132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133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134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135</v>
      </c>
      <c r="B134" s="9"/>
      <c r="C134" s="19"/>
      <c r="D134" s="11">
        <f t="shared" si="2"/>
        <v>0</v>
      </c>
    </row>
    <row r="135" spans="1:4" ht="18" hidden="1" x14ac:dyDescent="0.35">
      <c r="A135" s="8" t="s">
        <v>136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137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138</v>
      </c>
      <c r="B137" s="9"/>
      <c r="C137" s="13">
        <v>25000</v>
      </c>
      <c r="D137" s="11">
        <f t="shared" si="2"/>
        <v>0</v>
      </c>
    </row>
    <row r="138" spans="1:4" ht="18" hidden="1" x14ac:dyDescent="0.35">
      <c r="A138" s="23" t="s">
        <v>139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140</v>
      </c>
      <c r="B139" s="9"/>
      <c r="C139" s="10"/>
      <c r="D139" s="11">
        <f t="shared" si="2"/>
        <v>0</v>
      </c>
    </row>
    <row r="140" spans="1:4" ht="18.75" x14ac:dyDescent="0.25">
      <c r="A140" s="14" t="s">
        <v>141</v>
      </c>
      <c r="B140" s="9">
        <v>11</v>
      </c>
      <c r="C140" s="10">
        <v>11000</v>
      </c>
      <c r="D140" s="11">
        <f t="shared" si="2"/>
        <v>121000</v>
      </c>
    </row>
    <row r="141" spans="1:4" ht="18" hidden="1" x14ac:dyDescent="0.35">
      <c r="A141" s="8" t="s">
        <v>142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143</v>
      </c>
      <c r="B142" s="9"/>
      <c r="C142" s="13"/>
      <c r="D142" s="11">
        <f t="shared" si="2"/>
        <v>0</v>
      </c>
    </row>
    <row r="143" spans="1:4" ht="18" hidden="1" x14ac:dyDescent="0.35">
      <c r="A143" s="8" t="s">
        <v>144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145</v>
      </c>
      <c r="B144" s="9"/>
      <c r="C144" s="12">
        <v>18000</v>
      </c>
      <c r="D144" s="11">
        <f t="shared" si="2"/>
        <v>0</v>
      </c>
    </row>
    <row r="145" spans="1:4" ht="18" hidden="1" x14ac:dyDescent="0.35">
      <c r="A145" s="8" t="s">
        <v>146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147</v>
      </c>
      <c r="B146" s="9"/>
      <c r="C146" s="12"/>
      <c r="D146" s="11">
        <f t="shared" si="2"/>
        <v>0</v>
      </c>
    </row>
    <row r="147" spans="1:4" ht="18" hidden="1" x14ac:dyDescent="0.35">
      <c r="A147" s="24" t="s">
        <v>148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149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150</v>
      </c>
      <c r="B149" s="9"/>
      <c r="C149" s="25"/>
      <c r="D149" s="11">
        <f t="shared" si="2"/>
        <v>0</v>
      </c>
    </row>
    <row r="150" spans="1:4" ht="18" hidden="1" x14ac:dyDescent="0.35">
      <c r="A150" s="14" t="s">
        <v>151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152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153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154</v>
      </c>
      <c r="B153" s="9"/>
      <c r="C153" s="10"/>
      <c r="D153" s="11">
        <f t="shared" si="2"/>
        <v>0</v>
      </c>
    </row>
    <row r="154" spans="1:4" ht="18.75" x14ac:dyDescent="0.25">
      <c r="A154" s="8" t="s">
        <v>155</v>
      </c>
      <c r="B154" s="9">
        <v>18</v>
      </c>
      <c r="C154" s="10">
        <v>26000</v>
      </c>
      <c r="D154" s="11">
        <f t="shared" si="2"/>
        <v>468000</v>
      </c>
    </row>
    <row r="155" spans="1:4" ht="18" hidden="1" x14ac:dyDescent="0.35">
      <c r="A155" s="8" t="s">
        <v>156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157</v>
      </c>
      <c r="B156" s="9"/>
      <c r="C156" s="10">
        <v>6000</v>
      </c>
      <c r="D156" s="11">
        <f t="shared" si="2"/>
        <v>0</v>
      </c>
    </row>
    <row r="157" spans="1:4" ht="18" hidden="1" x14ac:dyDescent="0.35">
      <c r="A157" s="8" t="s">
        <v>158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159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160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" hidden="1" x14ac:dyDescent="0.35">
      <c r="A161" s="8" t="s">
        <v>162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163</v>
      </c>
      <c r="B162" s="9"/>
      <c r="C162" s="15"/>
      <c r="D162" s="11">
        <f t="shared" si="2"/>
        <v>0</v>
      </c>
    </row>
    <row r="163" spans="1:4" ht="18" hidden="1" x14ac:dyDescent="0.3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165</v>
      </c>
      <c r="B164" s="9">
        <v>180</v>
      </c>
      <c r="C164" s="10">
        <v>26000</v>
      </c>
      <c r="D164" s="11">
        <f t="shared" si="2"/>
        <v>4680000</v>
      </c>
    </row>
    <row r="165" spans="1:4" ht="18" hidden="1" x14ac:dyDescent="0.35">
      <c r="A165" s="26" t="s">
        <v>166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167</v>
      </c>
      <c r="B166" s="9"/>
      <c r="C166" s="10"/>
      <c r="D166" s="11">
        <f t="shared" si="2"/>
        <v>0</v>
      </c>
    </row>
    <row r="167" spans="1:4" ht="18.75" x14ac:dyDescent="0.25">
      <c r="A167" s="8" t="s">
        <v>168</v>
      </c>
      <c r="B167" s="9">
        <v>160</v>
      </c>
      <c r="C167" s="12">
        <v>16000</v>
      </c>
      <c r="D167" s="11">
        <f t="shared" si="2"/>
        <v>2560000</v>
      </c>
    </row>
    <row r="168" spans="1:4" ht="18.75" x14ac:dyDescent="0.25">
      <c r="A168" s="8" t="s">
        <v>169</v>
      </c>
      <c r="B168" s="9">
        <v>60</v>
      </c>
      <c r="C168" s="10">
        <v>16000</v>
      </c>
      <c r="D168" s="11">
        <f t="shared" si="2"/>
        <v>960000</v>
      </c>
    </row>
    <row r="169" spans="1:4" ht="18" hidden="1" x14ac:dyDescent="0.35">
      <c r="A169" s="8" t="s">
        <v>170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171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172</v>
      </c>
      <c r="B171" s="9"/>
      <c r="C171" s="13"/>
      <c r="D171" s="11">
        <f t="shared" si="2"/>
        <v>0</v>
      </c>
    </row>
    <row r="172" spans="1:4" ht="18" hidden="1" x14ac:dyDescent="0.35">
      <c r="A172" s="8" t="s">
        <v>173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8" t="s">
        <v>174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175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176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177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178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179</v>
      </c>
      <c r="B178" s="9"/>
      <c r="C178" s="13">
        <v>25000</v>
      </c>
      <c r="D178" s="11">
        <f t="shared" si="2"/>
        <v>0</v>
      </c>
    </row>
    <row r="179" spans="1:4" ht="18" hidden="1" x14ac:dyDescent="0.35">
      <c r="A179" s="27" t="s">
        <v>180</v>
      </c>
      <c r="B179" s="9"/>
      <c r="C179" s="13"/>
      <c r="D179" s="11">
        <f t="shared" si="2"/>
        <v>0</v>
      </c>
    </row>
    <row r="180" spans="1:4" ht="18" hidden="1" x14ac:dyDescent="0.35">
      <c r="A180" s="27" t="s">
        <v>181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182</v>
      </c>
      <c r="B181" s="9"/>
      <c r="C181" s="12"/>
      <c r="D181" s="11">
        <f t="shared" si="2"/>
        <v>0</v>
      </c>
    </row>
    <row r="182" spans="1:4" ht="18" hidden="1" x14ac:dyDescent="0.35">
      <c r="A182" s="8" t="s">
        <v>183</v>
      </c>
      <c r="B182" s="9"/>
      <c r="C182" s="13">
        <v>6100</v>
      </c>
      <c r="D182" s="11">
        <f t="shared" si="2"/>
        <v>0</v>
      </c>
    </row>
    <row r="183" spans="1:4" ht="18" hidden="1" x14ac:dyDescent="0.35">
      <c r="A183" s="8" t="s">
        <v>184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185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186</v>
      </c>
      <c r="B185" s="9"/>
      <c r="C185" s="13">
        <v>25000</v>
      </c>
      <c r="D185" s="11">
        <f t="shared" si="2"/>
        <v>0</v>
      </c>
    </row>
    <row r="186" spans="1:4" ht="18" hidden="1" x14ac:dyDescent="0.35">
      <c r="A186" s="8" t="s">
        <v>187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189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190</v>
      </c>
      <c r="B189" s="9"/>
      <c r="C189" s="12"/>
      <c r="D189" s="11">
        <f t="shared" si="2"/>
        <v>0</v>
      </c>
    </row>
    <row r="190" spans="1:4" ht="18" hidden="1" x14ac:dyDescent="0.35">
      <c r="A190" s="8" t="s">
        <v>191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192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193</v>
      </c>
      <c r="B192" s="9"/>
      <c r="C192" s="10">
        <v>18000</v>
      </c>
      <c r="D192" s="11">
        <f t="shared" si="2"/>
        <v>0</v>
      </c>
    </row>
    <row r="193" spans="1:4" ht="18" hidden="1" x14ac:dyDescent="0.35">
      <c r="A193" s="8" t="s">
        <v>194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195</v>
      </c>
      <c r="B194" s="9"/>
      <c r="C194" s="10"/>
      <c r="D194" s="11">
        <f t="shared" si="2"/>
        <v>0</v>
      </c>
    </row>
    <row r="195" spans="1:4" ht="18.75" x14ac:dyDescent="0.25">
      <c r="A195" s="14" t="s">
        <v>196</v>
      </c>
      <c r="B195" s="9">
        <v>24</v>
      </c>
      <c r="C195" s="12">
        <v>3000</v>
      </c>
      <c r="D195" s="11">
        <f t="shared" si="2"/>
        <v>72000</v>
      </c>
    </row>
    <row r="196" spans="1:4" ht="18" hidden="1" x14ac:dyDescent="0.35">
      <c r="A196" s="14" t="s">
        <v>197</v>
      </c>
      <c r="B196" s="9"/>
      <c r="C196" s="10"/>
      <c r="D196" s="11">
        <f t="shared" si="2"/>
        <v>0</v>
      </c>
    </row>
    <row r="197" spans="1:4" ht="18" hidden="1" x14ac:dyDescent="0.35">
      <c r="A197" s="8" t="s">
        <v>198</v>
      </c>
      <c r="B197" s="9"/>
      <c r="C197" s="10"/>
      <c r="D197" s="11">
        <f t="shared" ref="D197:D213" si="3">B197*C197</f>
        <v>0</v>
      </c>
    </row>
    <row r="198" spans="1:4" ht="18" hidden="1" x14ac:dyDescent="0.35">
      <c r="A198" s="8" t="s">
        <v>199</v>
      </c>
      <c r="B198" s="9"/>
      <c r="C198" s="12">
        <v>40000</v>
      </c>
      <c r="D198" s="11">
        <f t="shared" si="3"/>
        <v>0</v>
      </c>
    </row>
    <row r="199" spans="1:4" ht="18" hidden="1" x14ac:dyDescent="0.35">
      <c r="A199" s="8" t="s">
        <v>200</v>
      </c>
      <c r="B199" s="9"/>
      <c r="C199" s="12"/>
      <c r="D199" s="11">
        <f t="shared" si="3"/>
        <v>0</v>
      </c>
    </row>
    <row r="200" spans="1:4" ht="18" hidden="1" x14ac:dyDescent="0.35">
      <c r="A200" s="8" t="s">
        <v>201</v>
      </c>
      <c r="B200" s="9"/>
      <c r="C200" s="19"/>
      <c r="D200" s="11">
        <f t="shared" si="3"/>
        <v>0</v>
      </c>
    </row>
    <row r="201" spans="1:4" ht="18" hidden="1" x14ac:dyDescent="0.35">
      <c r="A201" s="8" t="s">
        <v>202</v>
      </c>
      <c r="B201" s="9"/>
      <c r="C201" s="12">
        <v>23000</v>
      </c>
      <c r="D201" s="11">
        <f t="shared" si="3"/>
        <v>0</v>
      </c>
    </row>
    <row r="202" spans="1:4" ht="18" hidden="1" x14ac:dyDescent="0.35">
      <c r="A202" s="8" t="s">
        <v>203</v>
      </c>
      <c r="B202" s="9"/>
      <c r="C202" s="12"/>
      <c r="D202" s="11">
        <f t="shared" si="3"/>
        <v>0</v>
      </c>
    </row>
    <row r="203" spans="1:4" ht="18.75" x14ac:dyDescent="0.25">
      <c r="A203" s="8" t="s">
        <v>204</v>
      </c>
      <c r="B203" s="9">
        <f>270+60</f>
        <v>330</v>
      </c>
      <c r="C203" s="13">
        <v>6000</v>
      </c>
      <c r="D203" s="11">
        <f t="shared" si="3"/>
        <v>1980000</v>
      </c>
    </row>
    <row r="204" spans="1:4" ht="18.75" x14ac:dyDescent="0.25">
      <c r="A204" s="8" t="s">
        <v>205</v>
      </c>
      <c r="B204" s="9">
        <v>60</v>
      </c>
      <c r="C204" s="10">
        <v>12000</v>
      </c>
      <c r="D204" s="11">
        <f t="shared" si="3"/>
        <v>720000</v>
      </c>
    </row>
    <row r="205" spans="1:4" ht="18" hidden="1" x14ac:dyDescent="0.35">
      <c r="A205" s="8" t="s">
        <v>206</v>
      </c>
      <c r="B205" s="9"/>
      <c r="C205" s="13"/>
      <c r="D205" s="11">
        <f t="shared" si="3"/>
        <v>0</v>
      </c>
    </row>
    <row r="206" spans="1:4" ht="18" hidden="1" x14ac:dyDescent="0.35">
      <c r="A206" s="8" t="s">
        <v>207</v>
      </c>
      <c r="B206" s="9"/>
      <c r="C206" s="13"/>
      <c r="D206" s="11">
        <f t="shared" si="3"/>
        <v>0</v>
      </c>
    </row>
    <row r="207" spans="1:4" ht="18" hidden="1" x14ac:dyDescent="0.35">
      <c r="A207" s="8" t="s">
        <v>208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209</v>
      </c>
      <c r="B208" s="9"/>
      <c r="C208" s="10"/>
      <c r="D208" s="11">
        <f t="shared" si="3"/>
        <v>0</v>
      </c>
    </row>
    <row r="209" spans="1:4" ht="18" hidden="1" x14ac:dyDescent="0.35">
      <c r="A209" s="8" t="s">
        <v>210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211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212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213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214</v>
      </c>
      <c r="B213" s="9"/>
      <c r="C213" s="13"/>
      <c r="D213" s="11">
        <f t="shared" si="3"/>
        <v>0</v>
      </c>
    </row>
    <row r="214" spans="1:4" ht="17.45" x14ac:dyDescent="0.35">
      <c r="A214" s="28"/>
      <c r="B214" s="29">
        <f t="shared" ref="B214:D214" si="4">SUM(B4:B213)</f>
        <v>3452</v>
      </c>
      <c r="C214" s="29">
        <f t="shared" si="4"/>
        <v>1374700</v>
      </c>
      <c r="D214" s="29">
        <f t="shared" si="4"/>
        <v>63603000</v>
      </c>
    </row>
  </sheetData>
  <protectedRanges>
    <protectedRange password="CC4C" sqref="C1:C213" name="tho5"/>
    <protectedRange password="CF71" sqref="B1:B213" name="tho"/>
  </protectedRanges>
  <autoFilter ref="A2:K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6"/>
  <sheetViews>
    <sheetView workbookViewId="0">
      <selection activeCell="F129" sqref="F129"/>
    </sheetView>
  </sheetViews>
  <sheetFormatPr defaultRowHeight="15.75" x14ac:dyDescent="0.25"/>
  <cols>
    <col min="1" max="1" width="43.28515625" style="47" customWidth="1"/>
    <col min="2" max="2" width="10.7109375" style="47" customWidth="1"/>
    <col min="3" max="3" width="12.140625" style="47" customWidth="1"/>
    <col min="4" max="4" width="12.140625" style="48" customWidth="1"/>
  </cols>
  <sheetData>
    <row r="1" spans="1:4" ht="15" x14ac:dyDescent="0.25">
      <c r="A1" s="1" t="s">
        <v>241</v>
      </c>
      <c r="B1" s="2"/>
      <c r="C1" s="2"/>
      <c r="D1" s="3"/>
    </row>
    <row r="2" spans="1:4" ht="25.5" x14ac:dyDescent="0.25">
      <c r="A2" s="50" t="s">
        <v>1</v>
      </c>
      <c r="B2" s="4" t="s">
        <v>226</v>
      </c>
      <c r="C2" s="5" t="s">
        <v>3</v>
      </c>
      <c r="D2" s="4" t="s">
        <v>4</v>
      </c>
    </row>
    <row r="3" spans="1:4" ht="15" x14ac:dyDescent="0.25">
      <c r="A3" s="51"/>
      <c r="B3" s="4"/>
      <c r="C3" s="6"/>
      <c r="D3" s="7"/>
    </row>
    <row r="4" spans="1:4" ht="18" hidden="1" x14ac:dyDescent="0.35">
      <c r="A4" s="8" t="s">
        <v>5</v>
      </c>
      <c r="B4" s="34">
        <v>0</v>
      </c>
      <c r="C4" s="10">
        <v>23000</v>
      </c>
      <c r="D4" s="11">
        <f>+C4*B4</f>
        <v>0</v>
      </c>
    </row>
    <row r="5" spans="1:4" ht="18.75" x14ac:dyDescent="0.25">
      <c r="A5" s="8" t="s">
        <v>6</v>
      </c>
      <c r="B5" s="34">
        <v>188</v>
      </c>
      <c r="C5" s="10">
        <v>16000</v>
      </c>
      <c r="D5" s="11">
        <f t="shared" ref="D5:D68" si="0">+C5*B5</f>
        <v>3008000</v>
      </c>
    </row>
    <row r="6" spans="1:4" ht="18" hidden="1" x14ac:dyDescent="0.35">
      <c r="A6" s="8"/>
      <c r="B6" s="34">
        <v>0</v>
      </c>
      <c r="C6" s="10">
        <v>16000</v>
      </c>
      <c r="D6" s="11">
        <f t="shared" si="0"/>
        <v>0</v>
      </c>
    </row>
    <row r="7" spans="1:4" ht="18" hidden="1" x14ac:dyDescent="0.35">
      <c r="A7" s="8"/>
      <c r="B7" s="34">
        <v>0</v>
      </c>
      <c r="C7" s="10">
        <v>16000</v>
      </c>
      <c r="D7" s="11">
        <f t="shared" si="0"/>
        <v>0</v>
      </c>
    </row>
    <row r="8" spans="1:4" ht="18" hidden="1" x14ac:dyDescent="0.35">
      <c r="A8" s="8" t="s">
        <v>7</v>
      </c>
      <c r="B8" s="34">
        <v>0</v>
      </c>
      <c r="C8" s="10"/>
      <c r="D8" s="11">
        <f t="shared" si="0"/>
        <v>0</v>
      </c>
    </row>
    <row r="9" spans="1:4" ht="18.75" x14ac:dyDescent="0.25">
      <c r="A9" s="8" t="s">
        <v>8</v>
      </c>
      <c r="B9" s="34">
        <v>5</v>
      </c>
      <c r="C9" s="12">
        <v>40000</v>
      </c>
      <c r="D9" s="11">
        <f t="shared" si="0"/>
        <v>200000</v>
      </c>
    </row>
    <row r="10" spans="1:4" ht="18" hidden="1" x14ac:dyDescent="0.35">
      <c r="A10" s="8"/>
      <c r="B10" s="34">
        <v>0</v>
      </c>
      <c r="C10" s="12">
        <v>39000</v>
      </c>
      <c r="D10" s="11">
        <f t="shared" si="0"/>
        <v>0</v>
      </c>
    </row>
    <row r="11" spans="1:4" ht="18" hidden="1" x14ac:dyDescent="0.35">
      <c r="A11" s="8" t="s">
        <v>9</v>
      </c>
      <c r="B11" s="34">
        <v>0</v>
      </c>
      <c r="C11" s="10"/>
      <c r="D11" s="11">
        <f t="shared" si="0"/>
        <v>0</v>
      </c>
    </row>
    <row r="12" spans="1:4" ht="18" hidden="1" x14ac:dyDescent="0.35">
      <c r="A12" s="8" t="s">
        <v>10</v>
      </c>
      <c r="B12" s="34">
        <v>0</v>
      </c>
      <c r="C12" s="10">
        <v>21000</v>
      </c>
      <c r="D12" s="11">
        <f t="shared" si="0"/>
        <v>0</v>
      </c>
    </row>
    <row r="13" spans="1:4" ht="18.75" x14ac:dyDescent="0.25">
      <c r="A13" s="8" t="s">
        <v>11</v>
      </c>
      <c r="B13" s="34">
        <v>34</v>
      </c>
      <c r="C13" s="10">
        <v>36000</v>
      </c>
      <c r="D13" s="11">
        <f t="shared" si="0"/>
        <v>1224000</v>
      </c>
    </row>
    <row r="14" spans="1:4" ht="18" hidden="1" x14ac:dyDescent="0.35">
      <c r="A14" s="8" t="s">
        <v>12</v>
      </c>
      <c r="B14" s="34">
        <v>0</v>
      </c>
      <c r="C14" s="10"/>
      <c r="D14" s="11">
        <f t="shared" si="0"/>
        <v>0</v>
      </c>
    </row>
    <row r="15" spans="1:4" ht="18" hidden="1" x14ac:dyDescent="0.35">
      <c r="A15" s="8" t="s">
        <v>13</v>
      </c>
      <c r="B15" s="34">
        <v>0</v>
      </c>
      <c r="C15" s="10"/>
      <c r="D15" s="11">
        <f t="shared" si="0"/>
        <v>0</v>
      </c>
    </row>
    <row r="16" spans="1:4" ht="18.75" x14ac:dyDescent="0.25">
      <c r="A16" s="8" t="s">
        <v>14</v>
      </c>
      <c r="B16" s="34">
        <v>28</v>
      </c>
      <c r="C16" s="12">
        <v>46000</v>
      </c>
      <c r="D16" s="11">
        <f t="shared" si="0"/>
        <v>1288000</v>
      </c>
    </row>
    <row r="17" spans="1:4" ht="18" hidden="1" x14ac:dyDescent="0.35">
      <c r="A17" s="8" t="s">
        <v>15</v>
      </c>
      <c r="B17" s="34">
        <v>0</v>
      </c>
      <c r="C17" s="12"/>
      <c r="D17" s="11">
        <f t="shared" si="0"/>
        <v>0</v>
      </c>
    </row>
    <row r="18" spans="1:4" ht="18" hidden="1" x14ac:dyDescent="0.35">
      <c r="A18" s="8" t="s">
        <v>16</v>
      </c>
      <c r="B18" s="34">
        <v>0</v>
      </c>
      <c r="C18" s="12"/>
      <c r="D18" s="11">
        <f t="shared" si="0"/>
        <v>0</v>
      </c>
    </row>
    <row r="19" spans="1:4" ht="18.75" x14ac:dyDescent="0.25">
      <c r="A19" s="8" t="s">
        <v>17</v>
      </c>
      <c r="B19" s="34">
        <v>26</v>
      </c>
      <c r="C19" s="10">
        <v>14000</v>
      </c>
      <c r="D19" s="11">
        <f t="shared" si="0"/>
        <v>364000</v>
      </c>
    </row>
    <row r="20" spans="1:4" ht="18" hidden="1" x14ac:dyDescent="0.35">
      <c r="A20" s="8" t="s">
        <v>18</v>
      </c>
      <c r="B20" s="34">
        <v>0</v>
      </c>
      <c r="C20" s="10"/>
      <c r="D20" s="11">
        <f t="shared" si="0"/>
        <v>0</v>
      </c>
    </row>
    <row r="21" spans="1:4" ht="18" hidden="1" x14ac:dyDescent="0.35">
      <c r="A21" s="8" t="s">
        <v>19</v>
      </c>
      <c r="B21" s="34">
        <v>0</v>
      </c>
      <c r="C21" s="10"/>
      <c r="D21" s="11">
        <f t="shared" si="0"/>
        <v>0</v>
      </c>
    </row>
    <row r="22" spans="1:4" ht="18" hidden="1" x14ac:dyDescent="0.35">
      <c r="A22" s="8" t="s">
        <v>20</v>
      </c>
      <c r="B22" s="34">
        <v>0</v>
      </c>
      <c r="C22" s="13">
        <v>12000</v>
      </c>
      <c r="D22" s="11">
        <f t="shared" si="0"/>
        <v>0</v>
      </c>
    </row>
    <row r="23" spans="1:4" ht="18" hidden="1" x14ac:dyDescent="0.35">
      <c r="A23" s="8" t="s">
        <v>21</v>
      </c>
      <c r="B23" s="34">
        <v>0</v>
      </c>
      <c r="C23" s="10"/>
      <c r="D23" s="11">
        <f t="shared" si="0"/>
        <v>0</v>
      </c>
    </row>
    <row r="24" spans="1:4" ht="18" hidden="1" x14ac:dyDescent="0.35">
      <c r="A24" s="8" t="s">
        <v>22</v>
      </c>
      <c r="B24" s="34">
        <v>0</v>
      </c>
      <c r="C24" s="10"/>
      <c r="D24" s="11">
        <f t="shared" si="0"/>
        <v>0</v>
      </c>
    </row>
    <row r="25" spans="1:4" ht="18" hidden="1" x14ac:dyDescent="0.35">
      <c r="A25" s="8" t="s">
        <v>23</v>
      </c>
      <c r="B25" s="34">
        <v>0</v>
      </c>
      <c r="C25" s="10"/>
      <c r="D25" s="11">
        <f t="shared" si="0"/>
        <v>0</v>
      </c>
    </row>
    <row r="26" spans="1:4" ht="18" hidden="1" x14ac:dyDescent="0.35">
      <c r="A26" s="8" t="s">
        <v>24</v>
      </c>
      <c r="B26" s="34">
        <v>0</v>
      </c>
      <c r="C26" s="10"/>
      <c r="D26" s="11">
        <f t="shared" si="0"/>
        <v>0</v>
      </c>
    </row>
    <row r="27" spans="1:4" ht="18" hidden="1" x14ac:dyDescent="0.35">
      <c r="A27" s="14" t="s">
        <v>25</v>
      </c>
      <c r="B27" s="34">
        <v>0</v>
      </c>
      <c r="C27" s="13"/>
      <c r="D27" s="11">
        <f t="shared" si="0"/>
        <v>0</v>
      </c>
    </row>
    <row r="28" spans="1:4" ht="18" hidden="1" x14ac:dyDescent="0.35">
      <c r="A28" s="8" t="s">
        <v>26</v>
      </c>
      <c r="B28" s="34">
        <v>0</v>
      </c>
      <c r="C28" s="10"/>
      <c r="D28" s="11">
        <f t="shared" si="0"/>
        <v>0</v>
      </c>
    </row>
    <row r="29" spans="1:4" ht="18" hidden="1" x14ac:dyDescent="0.35">
      <c r="A29" s="8" t="s">
        <v>27</v>
      </c>
      <c r="B29" s="34">
        <v>0</v>
      </c>
      <c r="C29" s="10"/>
      <c r="D29" s="11">
        <f t="shared" si="0"/>
        <v>0</v>
      </c>
    </row>
    <row r="30" spans="1:4" ht="18" hidden="1" x14ac:dyDescent="0.35">
      <c r="A30" s="8" t="s">
        <v>28</v>
      </c>
      <c r="B30" s="34">
        <v>0</v>
      </c>
      <c r="C30" s="10">
        <v>7000</v>
      </c>
      <c r="D30" s="11">
        <f t="shared" si="0"/>
        <v>0</v>
      </c>
    </row>
    <row r="31" spans="1:4" ht="18" hidden="1" x14ac:dyDescent="0.35">
      <c r="A31" s="8"/>
      <c r="B31" s="34">
        <v>0</v>
      </c>
      <c r="C31" s="10">
        <v>8000</v>
      </c>
      <c r="D31" s="11">
        <f t="shared" si="0"/>
        <v>0</v>
      </c>
    </row>
    <row r="32" spans="1:4" ht="18" hidden="1" x14ac:dyDescent="0.35">
      <c r="A32" s="14" t="s">
        <v>29</v>
      </c>
      <c r="B32" s="34">
        <v>0</v>
      </c>
      <c r="C32" s="15"/>
      <c r="D32" s="11">
        <f t="shared" si="0"/>
        <v>0</v>
      </c>
    </row>
    <row r="33" spans="1:4" ht="18" hidden="1" x14ac:dyDescent="0.35">
      <c r="A33" s="8" t="s">
        <v>30</v>
      </c>
      <c r="B33" s="34">
        <v>0</v>
      </c>
      <c r="C33" s="10">
        <v>7000</v>
      </c>
      <c r="D33" s="11">
        <f t="shared" si="0"/>
        <v>0</v>
      </c>
    </row>
    <row r="34" spans="1:4" ht="18" hidden="1" x14ac:dyDescent="0.35">
      <c r="A34" s="8"/>
      <c r="B34" s="34">
        <v>0</v>
      </c>
      <c r="C34" s="10">
        <v>10000</v>
      </c>
      <c r="D34" s="11">
        <f t="shared" si="0"/>
        <v>0</v>
      </c>
    </row>
    <row r="35" spans="1:4" ht="18" hidden="1" x14ac:dyDescent="0.35">
      <c r="A35" s="8" t="s">
        <v>31</v>
      </c>
      <c r="B35" s="34">
        <v>0</v>
      </c>
      <c r="C35" s="10">
        <v>18000</v>
      </c>
      <c r="D35" s="11">
        <f t="shared" si="0"/>
        <v>0</v>
      </c>
    </row>
    <row r="36" spans="1:4" ht="18" hidden="1" x14ac:dyDescent="0.35">
      <c r="A36" s="14" t="s">
        <v>32</v>
      </c>
      <c r="B36" s="34">
        <v>0</v>
      </c>
      <c r="C36" s="10"/>
      <c r="D36" s="11">
        <f t="shared" si="0"/>
        <v>0</v>
      </c>
    </row>
    <row r="37" spans="1:4" ht="18" hidden="1" x14ac:dyDescent="0.35">
      <c r="A37" s="8" t="s">
        <v>33</v>
      </c>
      <c r="B37" s="34">
        <v>0</v>
      </c>
      <c r="C37" s="13"/>
      <c r="D37" s="11">
        <f t="shared" si="0"/>
        <v>0</v>
      </c>
    </row>
    <row r="38" spans="1:4" ht="18" hidden="1" x14ac:dyDescent="0.35">
      <c r="A38" s="8" t="s">
        <v>34</v>
      </c>
      <c r="B38" s="34">
        <v>0</v>
      </c>
      <c r="C38" s="10">
        <v>8000</v>
      </c>
      <c r="D38" s="11">
        <f t="shared" si="0"/>
        <v>0</v>
      </c>
    </row>
    <row r="39" spans="1:4" ht="18" hidden="1" x14ac:dyDescent="0.35">
      <c r="A39" s="8" t="s">
        <v>35</v>
      </c>
      <c r="B39" s="34">
        <v>0</v>
      </c>
      <c r="C39" s="15">
        <v>110000</v>
      </c>
      <c r="D39" s="11">
        <f t="shared" si="0"/>
        <v>0</v>
      </c>
    </row>
    <row r="40" spans="1:4" ht="18" hidden="1" x14ac:dyDescent="0.35">
      <c r="A40" s="8" t="s">
        <v>36</v>
      </c>
      <c r="B40" s="34">
        <v>0</v>
      </c>
      <c r="C40" s="10"/>
      <c r="D40" s="11">
        <f t="shared" si="0"/>
        <v>0</v>
      </c>
    </row>
    <row r="41" spans="1:4" ht="18" hidden="1" x14ac:dyDescent="0.35">
      <c r="A41" s="14" t="s">
        <v>37</v>
      </c>
      <c r="B41" s="34">
        <v>0</v>
      </c>
      <c r="C41" s="12">
        <v>10000</v>
      </c>
      <c r="D41" s="11">
        <f t="shared" si="0"/>
        <v>0</v>
      </c>
    </row>
    <row r="42" spans="1:4" ht="18" hidden="1" x14ac:dyDescent="0.35">
      <c r="A42" s="14" t="s">
        <v>38</v>
      </c>
      <c r="B42" s="34">
        <v>0</v>
      </c>
      <c r="C42" s="10"/>
      <c r="D42" s="11">
        <f t="shared" si="0"/>
        <v>0</v>
      </c>
    </row>
    <row r="43" spans="1:4" ht="18" hidden="1" x14ac:dyDescent="0.35">
      <c r="A43" s="8" t="s">
        <v>39</v>
      </c>
      <c r="B43" s="34">
        <v>0</v>
      </c>
      <c r="C43" s="10">
        <v>11000</v>
      </c>
      <c r="D43" s="11">
        <f t="shared" si="0"/>
        <v>0</v>
      </c>
    </row>
    <row r="44" spans="1:4" ht="18" hidden="1" x14ac:dyDescent="0.35">
      <c r="A44" s="14" t="s">
        <v>40</v>
      </c>
      <c r="B44" s="34">
        <v>0</v>
      </c>
      <c r="C44" s="10"/>
      <c r="D44" s="11">
        <f t="shared" si="0"/>
        <v>0</v>
      </c>
    </row>
    <row r="45" spans="1:4" ht="18" hidden="1" x14ac:dyDescent="0.35">
      <c r="A45" s="8" t="s">
        <v>41</v>
      </c>
      <c r="B45" s="34">
        <v>0</v>
      </c>
      <c r="C45" s="10"/>
      <c r="D45" s="11">
        <f t="shared" si="0"/>
        <v>0</v>
      </c>
    </row>
    <row r="46" spans="1:4" ht="18" hidden="1" x14ac:dyDescent="0.35">
      <c r="A46" s="8" t="s">
        <v>42</v>
      </c>
      <c r="B46" s="34">
        <v>0</v>
      </c>
      <c r="C46" s="13">
        <v>22000</v>
      </c>
      <c r="D46" s="11">
        <f t="shared" si="0"/>
        <v>0</v>
      </c>
    </row>
    <row r="47" spans="1:4" ht="15.6" hidden="1" x14ac:dyDescent="0.35">
      <c r="A47" s="16" t="s">
        <v>43</v>
      </c>
      <c r="B47" s="34">
        <v>0</v>
      </c>
      <c r="C47" s="10"/>
      <c r="D47" s="11">
        <f t="shared" si="0"/>
        <v>0</v>
      </c>
    </row>
    <row r="48" spans="1:4" ht="18.75" x14ac:dyDescent="0.25">
      <c r="A48" s="8" t="s">
        <v>44</v>
      </c>
      <c r="B48" s="34">
        <v>35</v>
      </c>
      <c r="C48" s="10">
        <v>14000</v>
      </c>
      <c r="D48" s="11">
        <f t="shared" si="0"/>
        <v>490000</v>
      </c>
    </row>
    <row r="49" spans="1:4" ht="18" hidden="1" x14ac:dyDescent="0.35">
      <c r="A49" s="8"/>
      <c r="B49" s="34">
        <v>0</v>
      </c>
      <c r="C49" s="10">
        <v>16000</v>
      </c>
      <c r="D49" s="11">
        <f t="shared" si="0"/>
        <v>0</v>
      </c>
    </row>
    <row r="50" spans="1:4" ht="18" hidden="1" x14ac:dyDescent="0.35">
      <c r="A50" s="8"/>
      <c r="B50" s="34">
        <v>0</v>
      </c>
      <c r="C50" s="10">
        <v>15000</v>
      </c>
      <c r="D50" s="11">
        <f t="shared" si="0"/>
        <v>0</v>
      </c>
    </row>
    <row r="51" spans="1:4" ht="18" hidden="1" x14ac:dyDescent="0.35">
      <c r="A51" s="8" t="s">
        <v>45</v>
      </c>
      <c r="B51" s="34">
        <v>0</v>
      </c>
      <c r="C51" s="10"/>
      <c r="D51" s="11">
        <f t="shared" si="0"/>
        <v>0</v>
      </c>
    </row>
    <row r="52" spans="1:4" ht="18" hidden="1" x14ac:dyDescent="0.35">
      <c r="A52" s="8" t="s">
        <v>46</v>
      </c>
      <c r="B52" s="34">
        <v>0</v>
      </c>
      <c r="C52" s="12">
        <v>15000</v>
      </c>
      <c r="D52" s="11">
        <f t="shared" si="0"/>
        <v>0</v>
      </c>
    </row>
    <row r="53" spans="1:4" ht="18" hidden="1" x14ac:dyDescent="0.35">
      <c r="A53" s="8" t="s">
        <v>47</v>
      </c>
      <c r="B53" s="34">
        <v>0</v>
      </c>
      <c r="C53" s="12"/>
      <c r="D53" s="11">
        <f t="shared" si="0"/>
        <v>0</v>
      </c>
    </row>
    <row r="54" spans="1:4" ht="18.75" x14ac:dyDescent="0.25">
      <c r="A54" s="8" t="s">
        <v>48</v>
      </c>
      <c r="B54" s="34">
        <v>11</v>
      </c>
      <c r="C54" s="10">
        <v>15000</v>
      </c>
      <c r="D54" s="11">
        <f t="shared" si="0"/>
        <v>165000</v>
      </c>
    </row>
    <row r="55" spans="1:4" ht="18" hidden="1" x14ac:dyDescent="0.35">
      <c r="A55" s="8" t="s">
        <v>49</v>
      </c>
      <c r="B55" s="34">
        <v>0</v>
      </c>
      <c r="C55" s="10"/>
      <c r="D55" s="11">
        <f t="shared" si="0"/>
        <v>0</v>
      </c>
    </row>
    <row r="56" spans="1:4" ht="18" hidden="1" x14ac:dyDescent="0.35">
      <c r="A56" s="8" t="s">
        <v>50</v>
      </c>
      <c r="B56" s="34">
        <v>0</v>
      </c>
      <c r="C56" s="10">
        <v>20000</v>
      </c>
      <c r="D56" s="11">
        <f t="shared" si="0"/>
        <v>0</v>
      </c>
    </row>
    <row r="57" spans="1:4" ht="18" hidden="1" x14ac:dyDescent="0.35">
      <c r="A57" s="8"/>
      <c r="B57" s="34">
        <v>0</v>
      </c>
      <c r="C57" s="10">
        <v>18000</v>
      </c>
      <c r="D57" s="11">
        <f t="shared" si="0"/>
        <v>0</v>
      </c>
    </row>
    <row r="58" spans="1:4" ht="18" hidden="1" x14ac:dyDescent="0.35">
      <c r="A58" s="8"/>
      <c r="B58" s="34">
        <v>0</v>
      </c>
      <c r="C58" s="10">
        <v>17000</v>
      </c>
      <c r="D58" s="11">
        <f t="shared" si="0"/>
        <v>0</v>
      </c>
    </row>
    <row r="59" spans="1:4" ht="18" hidden="1" x14ac:dyDescent="0.35">
      <c r="A59" s="8"/>
      <c r="B59" s="34">
        <v>0</v>
      </c>
      <c r="C59" s="10">
        <v>18000</v>
      </c>
      <c r="D59" s="11">
        <f t="shared" si="0"/>
        <v>0</v>
      </c>
    </row>
    <row r="60" spans="1:4" ht="18" hidden="1" x14ac:dyDescent="0.35">
      <c r="A60" s="8"/>
      <c r="B60" s="34">
        <v>0</v>
      </c>
      <c r="C60" s="10">
        <v>18000</v>
      </c>
      <c r="D60" s="11">
        <f t="shared" si="0"/>
        <v>0</v>
      </c>
    </row>
    <row r="61" spans="1:4" ht="18" hidden="1" x14ac:dyDescent="0.35">
      <c r="A61" s="8" t="s">
        <v>51</v>
      </c>
      <c r="B61" s="34">
        <v>0</v>
      </c>
      <c r="C61" s="10"/>
      <c r="D61" s="11">
        <f t="shared" si="0"/>
        <v>0</v>
      </c>
    </row>
    <row r="62" spans="1:4" ht="18" hidden="1" x14ac:dyDescent="0.35">
      <c r="A62" s="8" t="s">
        <v>52</v>
      </c>
      <c r="B62" s="34">
        <v>0</v>
      </c>
      <c r="C62" s="12"/>
      <c r="D62" s="11">
        <f t="shared" si="0"/>
        <v>0</v>
      </c>
    </row>
    <row r="63" spans="1:4" ht="18" hidden="1" x14ac:dyDescent="0.35">
      <c r="A63" s="8" t="s">
        <v>53</v>
      </c>
      <c r="B63" s="34">
        <v>0</v>
      </c>
      <c r="C63" s="10"/>
      <c r="D63" s="11">
        <f t="shared" si="0"/>
        <v>0</v>
      </c>
    </row>
    <row r="64" spans="1:4" ht="18" hidden="1" x14ac:dyDescent="0.35">
      <c r="A64" s="8" t="s">
        <v>54</v>
      </c>
      <c r="B64" s="34">
        <v>0</v>
      </c>
      <c r="C64" s="10">
        <v>22000</v>
      </c>
      <c r="D64" s="11">
        <f t="shared" si="0"/>
        <v>0</v>
      </c>
    </row>
    <row r="65" spans="1:4" ht="18" hidden="1" x14ac:dyDescent="0.35">
      <c r="A65" s="8" t="s">
        <v>55</v>
      </c>
      <c r="B65" s="34">
        <v>0</v>
      </c>
      <c r="C65" s="10">
        <v>12000</v>
      </c>
      <c r="D65" s="11">
        <f t="shared" si="0"/>
        <v>0</v>
      </c>
    </row>
    <row r="66" spans="1:4" ht="18" hidden="1" x14ac:dyDescent="0.35">
      <c r="A66" s="14" t="s">
        <v>56</v>
      </c>
      <c r="B66" s="34">
        <v>0</v>
      </c>
      <c r="C66" s="10">
        <v>26000</v>
      </c>
      <c r="D66" s="11">
        <f t="shared" si="0"/>
        <v>0</v>
      </c>
    </row>
    <row r="67" spans="1:4" ht="18" hidden="1" x14ac:dyDescent="0.35">
      <c r="A67" s="8" t="s">
        <v>57</v>
      </c>
      <c r="B67" s="34">
        <v>0</v>
      </c>
      <c r="C67" s="10"/>
      <c r="D67" s="11">
        <f t="shared" si="0"/>
        <v>0</v>
      </c>
    </row>
    <row r="68" spans="1:4" ht="18" hidden="1" x14ac:dyDescent="0.35">
      <c r="A68" s="8"/>
      <c r="B68" s="34">
        <v>0</v>
      </c>
      <c r="C68" s="10">
        <v>5000</v>
      </c>
      <c r="D68" s="11">
        <f t="shared" si="0"/>
        <v>0</v>
      </c>
    </row>
    <row r="69" spans="1:4" ht="18" hidden="1" x14ac:dyDescent="0.35">
      <c r="A69" s="8"/>
      <c r="B69" s="34">
        <v>0</v>
      </c>
      <c r="C69" s="10">
        <v>5000</v>
      </c>
      <c r="D69" s="11">
        <f t="shared" ref="D69:D132" si="1">+C69*B69</f>
        <v>0</v>
      </c>
    </row>
    <row r="70" spans="1:4" ht="18" hidden="1" x14ac:dyDescent="0.35">
      <c r="A70" s="8" t="s">
        <v>58</v>
      </c>
      <c r="B70" s="34">
        <v>0</v>
      </c>
      <c r="C70" s="13"/>
      <c r="D70" s="11">
        <f t="shared" si="1"/>
        <v>0</v>
      </c>
    </row>
    <row r="71" spans="1:4" ht="18" hidden="1" x14ac:dyDescent="0.35">
      <c r="A71" s="14" t="s">
        <v>59</v>
      </c>
      <c r="B71" s="34">
        <v>0</v>
      </c>
      <c r="C71" s="10">
        <v>15000</v>
      </c>
      <c r="D71" s="11">
        <f t="shared" si="1"/>
        <v>0</v>
      </c>
    </row>
    <row r="72" spans="1:4" ht="18" hidden="1" x14ac:dyDescent="0.35">
      <c r="A72" s="8" t="s">
        <v>60</v>
      </c>
      <c r="B72" s="34">
        <v>0</v>
      </c>
      <c r="C72" s="12">
        <v>15000</v>
      </c>
      <c r="D72" s="11">
        <f t="shared" si="1"/>
        <v>0</v>
      </c>
    </row>
    <row r="73" spans="1:4" ht="18" hidden="1" x14ac:dyDescent="0.35">
      <c r="A73" s="8" t="s">
        <v>61</v>
      </c>
      <c r="B73" s="34">
        <v>0</v>
      </c>
      <c r="C73" s="10"/>
      <c r="D73" s="11">
        <f t="shared" si="1"/>
        <v>0</v>
      </c>
    </row>
    <row r="74" spans="1:4" ht="18" hidden="1" x14ac:dyDescent="0.35">
      <c r="A74" s="18" t="s">
        <v>62</v>
      </c>
      <c r="B74" s="34">
        <v>0</v>
      </c>
      <c r="C74" s="19">
        <v>28000</v>
      </c>
      <c r="D74" s="11">
        <f t="shared" si="1"/>
        <v>0</v>
      </c>
    </row>
    <row r="75" spans="1:4" ht="18.75" x14ac:dyDescent="0.25">
      <c r="A75" s="18" t="s">
        <v>63</v>
      </c>
      <c r="B75" s="34">
        <v>30</v>
      </c>
      <c r="C75" s="10">
        <v>26000</v>
      </c>
      <c r="D75" s="11">
        <f t="shared" si="1"/>
        <v>780000</v>
      </c>
    </row>
    <row r="76" spans="1:4" ht="18.75" x14ac:dyDescent="0.25">
      <c r="A76" s="14" t="s">
        <v>64</v>
      </c>
      <c r="B76" s="34">
        <v>110</v>
      </c>
      <c r="C76" s="10">
        <v>19000</v>
      </c>
      <c r="D76" s="11">
        <f t="shared" si="1"/>
        <v>2090000</v>
      </c>
    </row>
    <row r="77" spans="1:4" ht="18" hidden="1" x14ac:dyDescent="0.35">
      <c r="A77" s="14"/>
      <c r="B77" s="34">
        <v>0</v>
      </c>
      <c r="C77" s="10">
        <v>16000</v>
      </c>
      <c r="D77" s="11">
        <f t="shared" si="1"/>
        <v>0</v>
      </c>
    </row>
    <row r="78" spans="1:4" ht="18" hidden="1" x14ac:dyDescent="0.35">
      <c r="A78" s="14"/>
      <c r="B78" s="34">
        <v>0</v>
      </c>
      <c r="C78" s="10">
        <v>19000</v>
      </c>
      <c r="D78" s="11">
        <f t="shared" si="1"/>
        <v>0</v>
      </c>
    </row>
    <row r="79" spans="1:4" ht="18.75" x14ac:dyDescent="0.25">
      <c r="A79" s="8" t="s">
        <v>65</v>
      </c>
      <c r="B79" s="34">
        <v>48</v>
      </c>
      <c r="C79" s="12">
        <v>14736</v>
      </c>
      <c r="D79" s="11">
        <f t="shared" si="1"/>
        <v>707328</v>
      </c>
    </row>
    <row r="80" spans="1:4" ht="18" hidden="1" x14ac:dyDescent="0.35">
      <c r="A80" s="14" t="s">
        <v>66</v>
      </c>
      <c r="B80" s="34">
        <v>0</v>
      </c>
      <c r="C80" s="10"/>
      <c r="D80" s="11">
        <f t="shared" si="1"/>
        <v>0</v>
      </c>
    </row>
    <row r="81" spans="1:4" ht="18" hidden="1" x14ac:dyDescent="0.35">
      <c r="A81" s="8" t="s">
        <v>68</v>
      </c>
      <c r="B81" s="34">
        <v>0</v>
      </c>
      <c r="C81" s="10">
        <v>8000</v>
      </c>
      <c r="D81" s="11">
        <f t="shared" si="1"/>
        <v>0</v>
      </c>
    </row>
    <row r="82" spans="1:4" ht="18" hidden="1" x14ac:dyDescent="0.35">
      <c r="A82" s="14" t="s">
        <v>69</v>
      </c>
      <c r="B82" s="34">
        <v>0</v>
      </c>
      <c r="C82" s="15">
        <v>11500</v>
      </c>
      <c r="D82" s="11">
        <f t="shared" si="1"/>
        <v>0</v>
      </c>
    </row>
    <row r="83" spans="1:4" ht="18" hidden="1" x14ac:dyDescent="0.35">
      <c r="A83" s="14"/>
      <c r="B83" s="34">
        <v>0</v>
      </c>
      <c r="C83" s="15">
        <v>11000</v>
      </c>
      <c r="D83" s="11">
        <f t="shared" si="1"/>
        <v>0</v>
      </c>
    </row>
    <row r="84" spans="1:4" ht="18" hidden="1" x14ac:dyDescent="0.35">
      <c r="A84" s="14" t="s">
        <v>70</v>
      </c>
      <c r="B84" s="34">
        <v>0</v>
      </c>
      <c r="C84" s="15"/>
      <c r="D84" s="11">
        <f t="shared" si="1"/>
        <v>0</v>
      </c>
    </row>
    <row r="85" spans="1:4" ht="18" hidden="1" x14ac:dyDescent="0.35">
      <c r="A85" s="14" t="s">
        <v>71</v>
      </c>
      <c r="B85" s="34">
        <v>0</v>
      </c>
      <c r="C85" s="10"/>
      <c r="D85" s="11">
        <f t="shared" si="1"/>
        <v>0</v>
      </c>
    </row>
    <row r="86" spans="1:4" ht="18" hidden="1" x14ac:dyDescent="0.35">
      <c r="A86" s="8" t="s">
        <v>72</v>
      </c>
      <c r="B86" s="34">
        <v>0</v>
      </c>
      <c r="C86" s="12"/>
      <c r="D86" s="11">
        <f t="shared" si="1"/>
        <v>0</v>
      </c>
    </row>
    <row r="87" spans="1:4" ht="18" hidden="1" x14ac:dyDescent="0.35">
      <c r="A87" s="8" t="s">
        <v>73</v>
      </c>
      <c r="B87" s="34">
        <v>0</v>
      </c>
      <c r="C87" s="12">
        <v>25000</v>
      </c>
      <c r="D87" s="11">
        <f t="shared" si="1"/>
        <v>0</v>
      </c>
    </row>
    <row r="88" spans="1:4" ht="18" hidden="1" x14ac:dyDescent="0.35">
      <c r="A88" s="8" t="s">
        <v>74</v>
      </c>
      <c r="B88" s="34">
        <v>0</v>
      </c>
      <c r="C88" s="13"/>
      <c r="D88" s="11">
        <f t="shared" si="1"/>
        <v>0</v>
      </c>
    </row>
    <row r="89" spans="1:4" ht="18" hidden="1" x14ac:dyDescent="0.35">
      <c r="A89" s="20" t="s">
        <v>75</v>
      </c>
      <c r="B89" s="34">
        <v>0</v>
      </c>
      <c r="C89" s="15"/>
      <c r="D89" s="11">
        <f t="shared" si="1"/>
        <v>0</v>
      </c>
    </row>
    <row r="90" spans="1:4" ht="18" hidden="1" x14ac:dyDescent="0.35">
      <c r="A90" s="20" t="s">
        <v>76</v>
      </c>
      <c r="B90" s="34">
        <v>0</v>
      </c>
      <c r="C90" s="10"/>
      <c r="D90" s="11">
        <f t="shared" si="1"/>
        <v>0</v>
      </c>
    </row>
    <row r="91" spans="1:4" ht="18" hidden="1" x14ac:dyDescent="0.35">
      <c r="A91" s="20" t="s">
        <v>77</v>
      </c>
      <c r="B91" s="34">
        <v>0</v>
      </c>
      <c r="C91" s="13"/>
      <c r="D91" s="11">
        <f t="shared" si="1"/>
        <v>0</v>
      </c>
    </row>
    <row r="92" spans="1:4" ht="18" hidden="1" x14ac:dyDescent="0.35">
      <c r="A92" s="8" t="s">
        <v>78</v>
      </c>
      <c r="B92" s="34">
        <v>0</v>
      </c>
      <c r="C92" s="12">
        <v>11000</v>
      </c>
      <c r="D92" s="11">
        <f t="shared" si="1"/>
        <v>0</v>
      </c>
    </row>
    <row r="93" spans="1:4" ht="18" hidden="1" x14ac:dyDescent="0.35">
      <c r="A93" s="8"/>
      <c r="B93" s="34">
        <v>0</v>
      </c>
      <c r="C93" s="12">
        <v>10000</v>
      </c>
      <c r="D93" s="11">
        <f t="shared" si="1"/>
        <v>0</v>
      </c>
    </row>
    <row r="94" spans="1:4" ht="18.75" x14ac:dyDescent="0.25">
      <c r="A94" s="8" t="s">
        <v>79</v>
      </c>
      <c r="B94" s="34">
        <v>9</v>
      </c>
      <c r="C94" s="13">
        <v>11000</v>
      </c>
      <c r="D94" s="11">
        <f t="shared" si="1"/>
        <v>99000</v>
      </c>
    </row>
    <row r="95" spans="1:4" ht="18" hidden="1" x14ac:dyDescent="0.35">
      <c r="A95" s="8" t="s">
        <v>80</v>
      </c>
      <c r="B95" s="34">
        <v>0</v>
      </c>
      <c r="C95" s="10"/>
      <c r="D95" s="11">
        <f t="shared" si="1"/>
        <v>0</v>
      </c>
    </row>
    <row r="96" spans="1:4" ht="18" hidden="1" x14ac:dyDescent="0.35">
      <c r="A96" s="8" t="s">
        <v>81</v>
      </c>
      <c r="B96" s="34">
        <v>0</v>
      </c>
      <c r="C96" s="13"/>
      <c r="D96" s="11">
        <f t="shared" si="1"/>
        <v>0</v>
      </c>
    </row>
    <row r="97" spans="1:4" ht="18" hidden="1" x14ac:dyDescent="0.35">
      <c r="A97" s="8" t="s">
        <v>82</v>
      </c>
      <c r="B97" s="34">
        <v>0</v>
      </c>
      <c r="C97" s="10">
        <v>150000</v>
      </c>
      <c r="D97" s="11">
        <f t="shared" si="1"/>
        <v>0</v>
      </c>
    </row>
    <row r="98" spans="1:4" ht="18" hidden="1" x14ac:dyDescent="0.35">
      <c r="A98" s="8" t="s">
        <v>83</v>
      </c>
      <c r="B98" s="34">
        <v>0</v>
      </c>
      <c r="C98" s="10"/>
      <c r="D98" s="11">
        <f t="shared" si="1"/>
        <v>0</v>
      </c>
    </row>
    <row r="99" spans="1:4" ht="18" hidden="1" x14ac:dyDescent="0.35">
      <c r="A99" s="8" t="s">
        <v>84</v>
      </c>
      <c r="B99" s="34">
        <v>0</v>
      </c>
      <c r="C99" s="10">
        <v>50000</v>
      </c>
      <c r="D99" s="11">
        <f t="shared" si="1"/>
        <v>0</v>
      </c>
    </row>
    <row r="100" spans="1:4" ht="18" hidden="1" x14ac:dyDescent="0.35">
      <c r="A100" s="8" t="s">
        <v>85</v>
      </c>
      <c r="B100" s="34">
        <v>0</v>
      </c>
      <c r="C100" s="10">
        <v>20000</v>
      </c>
      <c r="D100" s="11">
        <f t="shared" si="1"/>
        <v>0</v>
      </c>
    </row>
    <row r="101" spans="1:4" ht="18" hidden="1" x14ac:dyDescent="0.35">
      <c r="A101" s="8" t="s">
        <v>86</v>
      </c>
      <c r="B101" s="34">
        <v>0</v>
      </c>
      <c r="C101" s="10">
        <v>50000</v>
      </c>
      <c r="D101" s="11">
        <f t="shared" si="1"/>
        <v>0</v>
      </c>
    </row>
    <row r="102" spans="1:4" ht="18" hidden="1" x14ac:dyDescent="0.35">
      <c r="A102" s="8" t="s">
        <v>87</v>
      </c>
      <c r="B102" s="34">
        <v>0</v>
      </c>
      <c r="C102" s="12">
        <v>17500</v>
      </c>
      <c r="D102" s="11">
        <f t="shared" si="1"/>
        <v>0</v>
      </c>
    </row>
    <row r="103" spans="1:4" ht="18" hidden="1" x14ac:dyDescent="0.35">
      <c r="A103" s="8" t="s">
        <v>88</v>
      </c>
      <c r="B103" s="34">
        <v>0</v>
      </c>
      <c r="C103" s="10">
        <v>45000</v>
      </c>
      <c r="D103" s="11">
        <f t="shared" si="1"/>
        <v>0</v>
      </c>
    </row>
    <row r="104" spans="1:4" ht="18" hidden="1" x14ac:dyDescent="0.35">
      <c r="A104" s="8" t="s">
        <v>89</v>
      </c>
      <c r="B104" s="34">
        <v>0</v>
      </c>
      <c r="C104" s="12">
        <v>17500</v>
      </c>
      <c r="D104" s="11">
        <f t="shared" si="1"/>
        <v>0</v>
      </c>
    </row>
    <row r="105" spans="1:4" ht="18" hidden="1" x14ac:dyDescent="0.35">
      <c r="A105" s="8" t="s">
        <v>90</v>
      </c>
      <c r="B105" s="34">
        <v>0</v>
      </c>
      <c r="C105" s="10">
        <v>50000</v>
      </c>
      <c r="D105" s="11">
        <f t="shared" si="1"/>
        <v>0</v>
      </c>
    </row>
    <row r="106" spans="1:4" ht="18" hidden="1" x14ac:dyDescent="0.35">
      <c r="A106" s="8" t="s">
        <v>91</v>
      </c>
      <c r="B106" s="34">
        <v>0</v>
      </c>
      <c r="C106" s="10"/>
      <c r="D106" s="11">
        <f t="shared" si="1"/>
        <v>0</v>
      </c>
    </row>
    <row r="107" spans="1:4" ht="18" hidden="1" x14ac:dyDescent="0.35">
      <c r="A107" s="8" t="s">
        <v>92</v>
      </c>
      <c r="B107" s="34">
        <v>0</v>
      </c>
      <c r="C107" s="10"/>
      <c r="D107" s="11">
        <f t="shared" si="1"/>
        <v>0</v>
      </c>
    </row>
    <row r="108" spans="1:4" ht="18" hidden="1" x14ac:dyDescent="0.35">
      <c r="A108" s="8" t="s">
        <v>93</v>
      </c>
      <c r="B108" s="34">
        <v>0</v>
      </c>
      <c r="C108" s="10"/>
      <c r="D108" s="11">
        <f t="shared" si="1"/>
        <v>0</v>
      </c>
    </row>
    <row r="109" spans="1:4" ht="18" hidden="1" x14ac:dyDescent="0.35">
      <c r="A109" s="8" t="s">
        <v>94</v>
      </c>
      <c r="B109" s="34">
        <v>0</v>
      </c>
      <c r="C109" s="10"/>
      <c r="D109" s="11">
        <f t="shared" si="1"/>
        <v>0</v>
      </c>
    </row>
    <row r="110" spans="1:4" ht="18" hidden="1" x14ac:dyDescent="0.35">
      <c r="A110" s="8" t="s">
        <v>95</v>
      </c>
      <c r="B110" s="34">
        <v>0</v>
      </c>
      <c r="C110" s="12">
        <v>12000</v>
      </c>
      <c r="D110" s="11">
        <f t="shared" si="1"/>
        <v>0</v>
      </c>
    </row>
    <row r="111" spans="1:4" ht="18" hidden="1" x14ac:dyDescent="0.35">
      <c r="A111" s="8" t="s">
        <v>96</v>
      </c>
      <c r="B111" s="34">
        <v>0</v>
      </c>
      <c r="C111" s="10"/>
      <c r="D111" s="11">
        <f t="shared" si="1"/>
        <v>0</v>
      </c>
    </row>
    <row r="112" spans="1:4" ht="18" hidden="1" x14ac:dyDescent="0.35">
      <c r="A112" s="8" t="s">
        <v>97</v>
      </c>
      <c r="B112" s="34">
        <v>0</v>
      </c>
      <c r="C112" s="10"/>
      <c r="D112" s="11">
        <f t="shared" si="1"/>
        <v>0</v>
      </c>
    </row>
    <row r="113" spans="1:4" ht="18" hidden="1" x14ac:dyDescent="0.35">
      <c r="A113" s="8" t="s">
        <v>98</v>
      </c>
      <c r="B113" s="34">
        <v>0</v>
      </c>
      <c r="C113" s="10"/>
      <c r="D113" s="11">
        <f t="shared" si="1"/>
        <v>0</v>
      </c>
    </row>
    <row r="114" spans="1:4" ht="18" hidden="1" x14ac:dyDescent="0.35">
      <c r="A114" s="8" t="s">
        <v>99</v>
      </c>
      <c r="B114" s="34">
        <v>0</v>
      </c>
      <c r="C114" s="12"/>
      <c r="D114" s="11">
        <f t="shared" si="1"/>
        <v>0</v>
      </c>
    </row>
    <row r="115" spans="1:4" ht="18" hidden="1" x14ac:dyDescent="0.35">
      <c r="A115" s="14" t="s">
        <v>100</v>
      </c>
      <c r="B115" s="34">
        <v>0</v>
      </c>
      <c r="C115" s="10"/>
      <c r="D115" s="11">
        <f t="shared" si="1"/>
        <v>0</v>
      </c>
    </row>
    <row r="116" spans="1:4" ht="18" hidden="1" x14ac:dyDescent="0.35">
      <c r="A116" s="14" t="s">
        <v>101</v>
      </c>
      <c r="B116" s="34">
        <v>0</v>
      </c>
      <c r="C116" s="10"/>
      <c r="D116" s="11">
        <f t="shared" si="1"/>
        <v>0</v>
      </c>
    </row>
    <row r="117" spans="1:4" ht="18" hidden="1" x14ac:dyDescent="0.35">
      <c r="A117" s="14" t="s">
        <v>102</v>
      </c>
      <c r="B117" s="34">
        <v>0</v>
      </c>
      <c r="C117" s="10"/>
      <c r="D117" s="11">
        <f t="shared" si="1"/>
        <v>0</v>
      </c>
    </row>
    <row r="118" spans="1:4" ht="18" hidden="1" x14ac:dyDescent="0.35">
      <c r="A118" s="8" t="s">
        <v>103</v>
      </c>
      <c r="B118" s="34">
        <v>0</v>
      </c>
      <c r="C118" s="10"/>
      <c r="D118" s="11">
        <f t="shared" si="1"/>
        <v>0</v>
      </c>
    </row>
    <row r="119" spans="1:4" ht="18" hidden="1" x14ac:dyDescent="0.35">
      <c r="A119" s="8" t="s">
        <v>104</v>
      </c>
      <c r="B119" s="34">
        <v>0</v>
      </c>
      <c r="C119" s="12"/>
      <c r="D119" s="11">
        <f t="shared" si="1"/>
        <v>0</v>
      </c>
    </row>
    <row r="120" spans="1:4" ht="18" hidden="1" x14ac:dyDescent="0.35">
      <c r="A120" s="8" t="s">
        <v>105</v>
      </c>
      <c r="B120" s="34">
        <v>0</v>
      </c>
      <c r="C120" s="10"/>
      <c r="D120" s="11">
        <f t="shared" si="1"/>
        <v>0</v>
      </c>
    </row>
    <row r="121" spans="1:4" ht="18" hidden="1" x14ac:dyDescent="0.35">
      <c r="A121" s="8" t="s">
        <v>106</v>
      </c>
      <c r="B121" s="34">
        <v>0</v>
      </c>
      <c r="C121" s="10"/>
      <c r="D121" s="11">
        <f t="shared" si="1"/>
        <v>0</v>
      </c>
    </row>
    <row r="122" spans="1:4" ht="18" hidden="1" x14ac:dyDescent="0.35">
      <c r="A122" s="8" t="s">
        <v>107</v>
      </c>
      <c r="B122" s="34">
        <v>0</v>
      </c>
      <c r="C122" s="10"/>
      <c r="D122" s="11">
        <f t="shared" si="1"/>
        <v>0</v>
      </c>
    </row>
    <row r="123" spans="1:4" ht="18" hidden="1" x14ac:dyDescent="0.35">
      <c r="A123" s="22" t="s">
        <v>108</v>
      </c>
      <c r="B123" s="34">
        <v>0</v>
      </c>
      <c r="C123" s="10"/>
      <c r="D123" s="11">
        <f t="shared" si="1"/>
        <v>0</v>
      </c>
    </row>
    <row r="124" spans="1:4" ht="18" hidden="1" x14ac:dyDescent="0.35">
      <c r="A124" s="8" t="s">
        <v>109</v>
      </c>
      <c r="B124" s="34">
        <v>0</v>
      </c>
      <c r="C124" s="12">
        <v>10000</v>
      </c>
      <c r="D124" s="11">
        <f t="shared" si="1"/>
        <v>0</v>
      </c>
    </row>
    <row r="125" spans="1:4" ht="18" hidden="1" x14ac:dyDescent="0.35">
      <c r="A125" s="8" t="s">
        <v>110</v>
      </c>
      <c r="B125" s="34">
        <v>0</v>
      </c>
      <c r="C125" s="10">
        <v>7500</v>
      </c>
      <c r="D125" s="11">
        <f t="shared" si="1"/>
        <v>0</v>
      </c>
    </row>
    <row r="126" spans="1:4" ht="18" hidden="1" x14ac:dyDescent="0.35">
      <c r="A126" s="8" t="s">
        <v>111</v>
      </c>
      <c r="B126" s="34">
        <v>0</v>
      </c>
      <c r="C126" s="13"/>
      <c r="D126" s="11">
        <f t="shared" si="1"/>
        <v>0</v>
      </c>
    </row>
    <row r="127" spans="1:4" ht="18.75" x14ac:dyDescent="0.25">
      <c r="A127" s="14" t="s">
        <v>112</v>
      </c>
      <c r="B127" s="34">
        <v>794</v>
      </c>
      <c r="C127" s="10">
        <v>17000</v>
      </c>
      <c r="D127" s="11">
        <f t="shared" si="1"/>
        <v>13498000</v>
      </c>
    </row>
    <row r="128" spans="1:4" ht="18.75" x14ac:dyDescent="0.25">
      <c r="A128" s="14" t="s">
        <v>113</v>
      </c>
      <c r="B128" s="34">
        <v>340</v>
      </c>
      <c r="C128" s="10">
        <v>17000</v>
      </c>
      <c r="D128" s="11">
        <f t="shared" si="1"/>
        <v>5780000</v>
      </c>
    </row>
    <row r="129" spans="1:4" ht="18.75" x14ac:dyDescent="0.25">
      <c r="A129" s="8" t="s">
        <v>114</v>
      </c>
      <c r="B129" s="34">
        <v>600</v>
      </c>
      <c r="C129" s="12">
        <v>15000</v>
      </c>
      <c r="D129" s="11">
        <f t="shared" si="1"/>
        <v>9000000</v>
      </c>
    </row>
    <row r="130" spans="1:4" ht="18" x14ac:dyDescent="0.35">
      <c r="A130" s="14" t="s">
        <v>115</v>
      </c>
      <c r="B130" s="34">
        <v>11</v>
      </c>
      <c r="C130" s="10">
        <v>25000</v>
      </c>
      <c r="D130" s="11">
        <f t="shared" si="1"/>
        <v>275000</v>
      </c>
    </row>
    <row r="131" spans="1:4" ht="18" hidden="1" x14ac:dyDescent="0.35">
      <c r="A131" s="14" t="s">
        <v>116</v>
      </c>
      <c r="B131" s="34">
        <v>0</v>
      </c>
      <c r="C131" s="12"/>
      <c r="D131" s="11">
        <f t="shared" si="1"/>
        <v>0</v>
      </c>
    </row>
    <row r="132" spans="1:4" ht="18.75" x14ac:dyDescent="0.25">
      <c r="A132" s="8" t="s">
        <v>237</v>
      </c>
      <c r="B132" s="34">
        <v>26</v>
      </c>
      <c r="C132" s="13">
        <v>20000</v>
      </c>
      <c r="D132" s="11">
        <f t="shared" si="1"/>
        <v>520000</v>
      </c>
    </row>
    <row r="133" spans="1:4" ht="18" hidden="1" x14ac:dyDescent="0.35">
      <c r="A133" s="8" t="s">
        <v>117</v>
      </c>
      <c r="B133" s="34">
        <v>0</v>
      </c>
      <c r="C133" s="10"/>
      <c r="D133" s="11">
        <f t="shared" ref="D133:D196" si="2">+C133*B133</f>
        <v>0</v>
      </c>
    </row>
    <row r="134" spans="1:4" ht="18" hidden="1" x14ac:dyDescent="0.35">
      <c r="A134" s="8" t="s">
        <v>118</v>
      </c>
      <c r="B134" s="34">
        <v>0</v>
      </c>
      <c r="C134" s="12"/>
      <c r="D134" s="11">
        <f t="shared" si="2"/>
        <v>0</v>
      </c>
    </row>
    <row r="135" spans="1:4" ht="18" hidden="1" x14ac:dyDescent="0.35">
      <c r="A135" s="8" t="s">
        <v>119</v>
      </c>
      <c r="B135" s="34">
        <v>0</v>
      </c>
      <c r="C135" s="10"/>
      <c r="D135" s="11">
        <f t="shared" si="2"/>
        <v>0</v>
      </c>
    </row>
    <row r="136" spans="1:4" ht="18" hidden="1" x14ac:dyDescent="0.35">
      <c r="A136" s="8" t="s">
        <v>120</v>
      </c>
      <c r="B136" s="34">
        <v>0</v>
      </c>
      <c r="C136" s="10">
        <v>16000</v>
      </c>
      <c r="D136" s="11">
        <f t="shared" si="2"/>
        <v>0</v>
      </c>
    </row>
    <row r="137" spans="1:4" ht="18.75" x14ac:dyDescent="0.25">
      <c r="A137" s="8" t="s">
        <v>121</v>
      </c>
      <c r="B137" s="34">
        <v>230</v>
      </c>
      <c r="C137" s="13">
        <v>22000</v>
      </c>
      <c r="D137" s="11">
        <f t="shared" si="2"/>
        <v>5060000</v>
      </c>
    </row>
    <row r="138" spans="1:4" ht="18" hidden="1" x14ac:dyDescent="0.35">
      <c r="A138" s="8"/>
      <c r="B138" s="34">
        <v>0</v>
      </c>
      <c r="C138" s="13">
        <v>22000</v>
      </c>
      <c r="D138" s="11">
        <f t="shared" si="2"/>
        <v>0</v>
      </c>
    </row>
    <row r="139" spans="1:4" ht="18.75" x14ac:dyDescent="0.25">
      <c r="A139" s="8" t="s">
        <v>122</v>
      </c>
      <c r="B139" s="34">
        <v>1</v>
      </c>
      <c r="C139" s="12">
        <v>22000</v>
      </c>
      <c r="D139" s="11">
        <f t="shared" si="2"/>
        <v>22000</v>
      </c>
    </row>
    <row r="140" spans="1:4" ht="18" hidden="1" x14ac:dyDescent="0.35">
      <c r="A140" s="8" t="s">
        <v>123</v>
      </c>
      <c r="B140" s="34">
        <v>0</v>
      </c>
      <c r="C140" s="12"/>
      <c r="D140" s="11">
        <f t="shared" si="2"/>
        <v>0</v>
      </c>
    </row>
    <row r="141" spans="1:4" ht="18" hidden="1" x14ac:dyDescent="0.35">
      <c r="A141" s="8" t="s">
        <v>124</v>
      </c>
      <c r="B141" s="34">
        <v>0</v>
      </c>
      <c r="C141" s="13"/>
      <c r="D141" s="11">
        <f t="shared" si="2"/>
        <v>0</v>
      </c>
    </row>
    <row r="142" spans="1:4" ht="18" hidden="1" x14ac:dyDescent="0.35">
      <c r="A142" s="18" t="s">
        <v>125</v>
      </c>
      <c r="B142" s="34">
        <v>0</v>
      </c>
      <c r="C142" s="12">
        <v>5500</v>
      </c>
      <c r="D142" s="11">
        <f t="shared" si="2"/>
        <v>0</v>
      </c>
    </row>
    <row r="143" spans="1:4" ht="18" hidden="1" x14ac:dyDescent="0.35">
      <c r="A143" s="18"/>
      <c r="B143" s="34">
        <v>0</v>
      </c>
      <c r="C143" s="12">
        <v>5500</v>
      </c>
      <c r="D143" s="11">
        <f t="shared" si="2"/>
        <v>0</v>
      </c>
    </row>
    <row r="144" spans="1:4" ht="18" hidden="1" x14ac:dyDescent="0.35">
      <c r="A144" s="18"/>
      <c r="B144" s="34">
        <v>0</v>
      </c>
      <c r="C144" s="12">
        <v>3424</v>
      </c>
      <c r="D144" s="11">
        <f t="shared" si="2"/>
        <v>0</v>
      </c>
    </row>
    <row r="145" spans="1:4" ht="18" hidden="1" x14ac:dyDescent="0.35">
      <c r="A145" s="18"/>
      <c r="B145" s="34">
        <v>0</v>
      </c>
      <c r="C145" s="12">
        <v>5000</v>
      </c>
      <c r="D145" s="11">
        <f t="shared" si="2"/>
        <v>0</v>
      </c>
    </row>
    <row r="146" spans="1:4" ht="18" hidden="1" x14ac:dyDescent="0.35">
      <c r="A146" s="8" t="s">
        <v>126</v>
      </c>
      <c r="B146" s="34">
        <v>0</v>
      </c>
      <c r="C146" s="13"/>
      <c r="D146" s="11">
        <f t="shared" si="2"/>
        <v>0</v>
      </c>
    </row>
    <row r="147" spans="1:4" ht="18" hidden="1" x14ac:dyDescent="0.35">
      <c r="A147" s="8" t="s">
        <v>127</v>
      </c>
      <c r="B147" s="34">
        <v>0</v>
      </c>
      <c r="C147" s="13"/>
      <c r="D147" s="11">
        <f t="shared" si="2"/>
        <v>0</v>
      </c>
    </row>
    <row r="148" spans="1:4" ht="18" hidden="1" x14ac:dyDescent="0.35">
      <c r="A148" s="8" t="s">
        <v>128</v>
      </c>
      <c r="B148" s="34">
        <v>0</v>
      </c>
      <c r="C148" s="10"/>
      <c r="D148" s="11">
        <f t="shared" si="2"/>
        <v>0</v>
      </c>
    </row>
    <row r="149" spans="1:4" ht="18" hidden="1" x14ac:dyDescent="0.35">
      <c r="A149" s="8"/>
      <c r="B149" s="34">
        <v>0</v>
      </c>
      <c r="C149" s="10">
        <v>8000</v>
      </c>
      <c r="D149" s="11">
        <f t="shared" si="2"/>
        <v>0</v>
      </c>
    </row>
    <row r="150" spans="1:4" ht="18" hidden="1" x14ac:dyDescent="0.35">
      <c r="A150" s="8"/>
      <c r="B150" s="34">
        <v>0</v>
      </c>
      <c r="C150" s="10">
        <v>10000</v>
      </c>
      <c r="D150" s="11">
        <f t="shared" si="2"/>
        <v>0</v>
      </c>
    </row>
    <row r="151" spans="1:4" ht="18" hidden="1" x14ac:dyDescent="0.35">
      <c r="A151" s="8"/>
      <c r="B151" s="34">
        <v>0</v>
      </c>
      <c r="C151" s="10">
        <v>10000</v>
      </c>
      <c r="D151" s="11">
        <f t="shared" si="2"/>
        <v>0</v>
      </c>
    </row>
    <row r="152" spans="1:4" ht="18" hidden="1" x14ac:dyDescent="0.35">
      <c r="A152" s="14" t="s">
        <v>129</v>
      </c>
      <c r="B152" s="34">
        <v>0</v>
      </c>
      <c r="C152" s="10"/>
      <c r="D152" s="11">
        <f t="shared" si="2"/>
        <v>0</v>
      </c>
    </row>
    <row r="153" spans="1:4" ht="18" hidden="1" x14ac:dyDescent="0.35">
      <c r="A153" s="8" t="s">
        <v>130</v>
      </c>
      <c r="B153" s="34">
        <v>0</v>
      </c>
      <c r="C153" s="12">
        <v>10500</v>
      </c>
      <c r="D153" s="11">
        <f t="shared" si="2"/>
        <v>0</v>
      </c>
    </row>
    <row r="154" spans="1:4" ht="18" hidden="1" x14ac:dyDescent="0.35">
      <c r="A154" s="8"/>
      <c r="B154" s="34">
        <v>0</v>
      </c>
      <c r="C154" s="12">
        <v>9000</v>
      </c>
      <c r="D154" s="11">
        <f t="shared" si="2"/>
        <v>0</v>
      </c>
    </row>
    <row r="155" spans="1:4" ht="18" hidden="1" x14ac:dyDescent="0.35">
      <c r="A155" s="8" t="s">
        <v>131</v>
      </c>
      <c r="B155" s="34">
        <v>0</v>
      </c>
      <c r="C155" s="12"/>
      <c r="D155" s="11">
        <f t="shared" si="2"/>
        <v>0</v>
      </c>
    </row>
    <row r="156" spans="1:4" ht="18" hidden="1" x14ac:dyDescent="0.35">
      <c r="A156" s="8" t="s">
        <v>132</v>
      </c>
      <c r="B156" s="34">
        <v>0</v>
      </c>
      <c r="C156" s="10"/>
      <c r="D156" s="11">
        <f t="shared" si="2"/>
        <v>0</v>
      </c>
    </row>
    <row r="157" spans="1:4" ht="18" hidden="1" x14ac:dyDescent="0.35">
      <c r="A157" s="8" t="s">
        <v>133</v>
      </c>
      <c r="B157" s="34">
        <v>0</v>
      </c>
      <c r="C157" s="10"/>
      <c r="D157" s="11">
        <f t="shared" si="2"/>
        <v>0</v>
      </c>
    </row>
    <row r="158" spans="1:4" ht="18" hidden="1" x14ac:dyDescent="0.35">
      <c r="A158" s="8" t="s">
        <v>134</v>
      </c>
      <c r="B158" s="34">
        <v>0</v>
      </c>
      <c r="C158" s="10"/>
      <c r="D158" s="11">
        <f t="shared" si="2"/>
        <v>0</v>
      </c>
    </row>
    <row r="159" spans="1:4" ht="18" hidden="1" x14ac:dyDescent="0.35">
      <c r="A159" s="8" t="s">
        <v>135</v>
      </c>
      <c r="B159" s="34">
        <v>0</v>
      </c>
      <c r="C159" s="19"/>
      <c r="D159" s="11">
        <f t="shared" si="2"/>
        <v>0</v>
      </c>
    </row>
    <row r="160" spans="1:4" ht="18" hidden="1" x14ac:dyDescent="0.35">
      <c r="A160" s="8" t="s">
        <v>136</v>
      </c>
      <c r="B160" s="34">
        <v>0</v>
      </c>
      <c r="C160" s="10"/>
      <c r="D160" s="11">
        <f t="shared" si="2"/>
        <v>0</v>
      </c>
    </row>
    <row r="161" spans="1:4" ht="18" hidden="1" x14ac:dyDescent="0.35">
      <c r="A161" s="8" t="s">
        <v>137</v>
      </c>
      <c r="B161" s="34">
        <v>0</v>
      </c>
      <c r="C161" s="13"/>
      <c r="D161" s="11">
        <f t="shared" si="2"/>
        <v>0</v>
      </c>
    </row>
    <row r="162" spans="1:4" ht="18" hidden="1" x14ac:dyDescent="0.35">
      <c r="A162" s="8" t="s">
        <v>138</v>
      </c>
      <c r="B162" s="34">
        <v>0</v>
      </c>
      <c r="C162" s="13">
        <v>25000</v>
      </c>
      <c r="D162" s="11">
        <f t="shared" si="2"/>
        <v>0</v>
      </c>
    </row>
    <row r="163" spans="1:4" ht="15.6" hidden="1" x14ac:dyDescent="0.35">
      <c r="A163" s="23" t="s">
        <v>139</v>
      </c>
      <c r="B163" s="34">
        <v>0</v>
      </c>
      <c r="C163" s="10"/>
      <c r="D163" s="11">
        <f t="shared" si="2"/>
        <v>0</v>
      </c>
    </row>
    <row r="164" spans="1:4" ht="18" hidden="1" x14ac:dyDescent="0.35">
      <c r="A164" s="8" t="s">
        <v>140</v>
      </c>
      <c r="B164" s="34">
        <v>0</v>
      </c>
      <c r="C164" s="10"/>
      <c r="D164" s="11">
        <f t="shared" si="2"/>
        <v>0</v>
      </c>
    </row>
    <row r="165" spans="1:4" ht="18.75" x14ac:dyDescent="0.25">
      <c r="A165" s="14" t="s">
        <v>141</v>
      </c>
      <c r="B165" s="34">
        <v>1</v>
      </c>
      <c r="C165" s="10">
        <v>11000</v>
      </c>
      <c r="D165" s="11">
        <f t="shared" si="2"/>
        <v>11000</v>
      </c>
    </row>
    <row r="166" spans="1:4" ht="18" hidden="1" x14ac:dyDescent="0.35">
      <c r="A166" s="8" t="s">
        <v>142</v>
      </c>
      <c r="B166" s="34">
        <v>0</v>
      </c>
      <c r="C166" s="10"/>
      <c r="D166" s="11">
        <f t="shared" si="2"/>
        <v>0</v>
      </c>
    </row>
    <row r="167" spans="1:4" ht="18" hidden="1" x14ac:dyDescent="0.35">
      <c r="A167" s="8" t="s">
        <v>143</v>
      </c>
      <c r="B167" s="34">
        <v>0</v>
      </c>
      <c r="C167" s="13">
        <v>7000</v>
      </c>
      <c r="D167" s="11">
        <f t="shared" si="2"/>
        <v>0</v>
      </c>
    </row>
    <row r="168" spans="1:4" ht="18" hidden="1" x14ac:dyDescent="0.35">
      <c r="A168" s="8"/>
      <c r="B168" s="34">
        <v>0</v>
      </c>
      <c r="C168" s="13">
        <v>7000</v>
      </c>
      <c r="D168" s="11">
        <f t="shared" si="2"/>
        <v>0</v>
      </c>
    </row>
    <row r="169" spans="1:4" ht="18" hidden="1" x14ac:dyDescent="0.35">
      <c r="A169" s="8" t="s">
        <v>144</v>
      </c>
      <c r="B169" s="34">
        <v>0</v>
      </c>
      <c r="C169" s="10"/>
      <c r="D169" s="11">
        <f t="shared" si="2"/>
        <v>0</v>
      </c>
    </row>
    <row r="170" spans="1:4" ht="18" hidden="1" x14ac:dyDescent="0.35">
      <c r="A170" s="8" t="s">
        <v>145</v>
      </c>
      <c r="B170" s="34">
        <v>0</v>
      </c>
      <c r="C170" s="12">
        <v>12000</v>
      </c>
      <c r="D170" s="11">
        <f t="shared" si="2"/>
        <v>0</v>
      </c>
    </row>
    <row r="171" spans="1:4" ht="18" hidden="1" x14ac:dyDescent="0.35">
      <c r="A171" s="8" t="s">
        <v>146</v>
      </c>
      <c r="B171" s="34">
        <v>0</v>
      </c>
      <c r="C171" s="12"/>
      <c r="D171" s="11">
        <f t="shared" si="2"/>
        <v>0</v>
      </c>
    </row>
    <row r="172" spans="1:4" ht="18" hidden="1" x14ac:dyDescent="0.35">
      <c r="A172" s="8" t="s">
        <v>147</v>
      </c>
      <c r="B172" s="34">
        <v>0</v>
      </c>
      <c r="C172" s="12"/>
      <c r="D172" s="11">
        <f t="shared" si="2"/>
        <v>0</v>
      </c>
    </row>
    <row r="173" spans="1:4" ht="15.6" hidden="1" x14ac:dyDescent="0.35">
      <c r="A173" s="24" t="s">
        <v>148</v>
      </c>
      <c r="B173" s="34">
        <v>0</v>
      </c>
      <c r="C173" s="12"/>
      <c r="D173" s="11">
        <f t="shared" si="2"/>
        <v>0</v>
      </c>
    </row>
    <row r="174" spans="1:4" ht="18" hidden="1" x14ac:dyDescent="0.35">
      <c r="A174" s="8" t="s">
        <v>149</v>
      </c>
      <c r="B174" s="34">
        <v>0</v>
      </c>
      <c r="C174" s="10"/>
      <c r="D174" s="11">
        <f t="shared" si="2"/>
        <v>0</v>
      </c>
    </row>
    <row r="175" spans="1:4" ht="18" hidden="1" x14ac:dyDescent="0.35">
      <c r="A175" s="8" t="s">
        <v>150</v>
      </c>
      <c r="B175" s="34">
        <v>0</v>
      </c>
      <c r="C175" s="25"/>
      <c r="D175" s="11">
        <f t="shared" si="2"/>
        <v>0</v>
      </c>
    </row>
    <row r="176" spans="1:4" ht="18" hidden="1" x14ac:dyDescent="0.35">
      <c r="A176" s="14" t="s">
        <v>151</v>
      </c>
      <c r="B176" s="34">
        <v>0</v>
      </c>
      <c r="C176" s="10">
        <v>45000</v>
      </c>
      <c r="D176" s="11">
        <f t="shared" si="2"/>
        <v>0</v>
      </c>
    </row>
    <row r="177" spans="1:4" ht="18" hidden="1" x14ac:dyDescent="0.35">
      <c r="A177" s="14" t="s">
        <v>152</v>
      </c>
      <c r="B177" s="34">
        <v>0</v>
      </c>
      <c r="C177" s="10"/>
      <c r="D177" s="11">
        <f t="shared" si="2"/>
        <v>0</v>
      </c>
    </row>
    <row r="178" spans="1:4" ht="18" hidden="1" x14ac:dyDescent="0.35">
      <c r="A178" s="8" t="s">
        <v>153</v>
      </c>
      <c r="B178" s="34">
        <v>0</v>
      </c>
      <c r="C178" s="10"/>
      <c r="D178" s="11">
        <f t="shared" si="2"/>
        <v>0</v>
      </c>
    </row>
    <row r="179" spans="1:4" ht="18" hidden="1" x14ac:dyDescent="0.35">
      <c r="A179" s="8" t="s">
        <v>154</v>
      </c>
      <c r="B179" s="34">
        <v>0</v>
      </c>
      <c r="C179" s="10"/>
      <c r="D179" s="11">
        <f t="shared" si="2"/>
        <v>0</v>
      </c>
    </row>
    <row r="180" spans="1:4" ht="18.75" x14ac:dyDescent="0.25">
      <c r="A180" s="8" t="s">
        <v>155</v>
      </c>
      <c r="B180" s="34">
        <v>7</v>
      </c>
      <c r="C180" s="10">
        <v>26000</v>
      </c>
      <c r="D180" s="11">
        <f t="shared" si="2"/>
        <v>182000</v>
      </c>
    </row>
    <row r="181" spans="1:4" ht="18" hidden="1" x14ac:dyDescent="0.35">
      <c r="A181" s="8" t="s">
        <v>156</v>
      </c>
      <c r="B181" s="34">
        <v>0</v>
      </c>
      <c r="C181" s="10"/>
      <c r="D181" s="11">
        <f t="shared" si="2"/>
        <v>0</v>
      </c>
    </row>
    <row r="182" spans="1:4" ht="18" hidden="1" x14ac:dyDescent="0.35">
      <c r="A182" s="8" t="s">
        <v>157</v>
      </c>
      <c r="B182" s="34">
        <v>0</v>
      </c>
      <c r="C182" s="10">
        <v>6000</v>
      </c>
      <c r="D182" s="11">
        <f t="shared" si="2"/>
        <v>0</v>
      </c>
    </row>
    <row r="183" spans="1:4" ht="18" hidden="1" x14ac:dyDescent="0.35">
      <c r="A183" s="8" t="s">
        <v>158</v>
      </c>
      <c r="B183" s="34">
        <v>0</v>
      </c>
      <c r="C183" s="10">
        <v>70000</v>
      </c>
      <c r="D183" s="11">
        <f t="shared" si="2"/>
        <v>0</v>
      </c>
    </row>
    <row r="184" spans="1:4" ht="18" hidden="1" x14ac:dyDescent="0.35">
      <c r="A184" s="8" t="s">
        <v>159</v>
      </c>
      <c r="B184" s="34">
        <v>0</v>
      </c>
      <c r="C184" s="10"/>
      <c r="D184" s="11">
        <f t="shared" si="2"/>
        <v>0</v>
      </c>
    </row>
    <row r="185" spans="1:4" ht="18" hidden="1" x14ac:dyDescent="0.35">
      <c r="A185" s="8" t="s">
        <v>160</v>
      </c>
      <c r="B185" s="34">
        <v>0</v>
      </c>
      <c r="C185" s="10">
        <v>35000</v>
      </c>
      <c r="D185" s="11">
        <f t="shared" si="2"/>
        <v>0</v>
      </c>
    </row>
    <row r="186" spans="1:4" ht="18" hidden="1" x14ac:dyDescent="0.35">
      <c r="A186" s="8" t="s">
        <v>161</v>
      </c>
      <c r="B186" s="34">
        <v>0</v>
      </c>
      <c r="C186" s="10">
        <v>30000</v>
      </c>
      <c r="D186" s="11">
        <f t="shared" si="2"/>
        <v>0</v>
      </c>
    </row>
    <row r="187" spans="1:4" ht="18" hidden="1" x14ac:dyDescent="0.35">
      <c r="A187" s="8" t="s">
        <v>162</v>
      </c>
      <c r="B187" s="34">
        <v>0</v>
      </c>
      <c r="C187" s="10"/>
      <c r="D187" s="11">
        <f t="shared" si="2"/>
        <v>0</v>
      </c>
    </row>
    <row r="188" spans="1:4" ht="18" hidden="1" x14ac:dyDescent="0.35">
      <c r="A188" s="14" t="s">
        <v>163</v>
      </c>
      <c r="B188" s="34">
        <v>0</v>
      </c>
      <c r="C188" s="15"/>
      <c r="D188" s="11">
        <f t="shared" si="2"/>
        <v>0</v>
      </c>
    </row>
    <row r="189" spans="1:4" ht="18" hidden="1" x14ac:dyDescent="0.35">
      <c r="A189" s="14" t="s">
        <v>164</v>
      </c>
      <c r="B189" s="34">
        <v>0</v>
      </c>
      <c r="C189" s="15"/>
      <c r="D189" s="11">
        <f t="shared" si="2"/>
        <v>0</v>
      </c>
    </row>
    <row r="190" spans="1:4" ht="18.75" x14ac:dyDescent="0.25">
      <c r="A190" s="8" t="s">
        <v>165</v>
      </c>
      <c r="B190" s="34">
        <v>165</v>
      </c>
      <c r="C190" s="10">
        <v>26000</v>
      </c>
      <c r="D190" s="11">
        <f t="shared" si="2"/>
        <v>4290000</v>
      </c>
    </row>
    <row r="191" spans="1:4" ht="18.75" x14ac:dyDescent="0.25">
      <c r="A191" s="26" t="s">
        <v>166</v>
      </c>
      <c r="B191" s="34">
        <v>40</v>
      </c>
      <c r="C191" s="10">
        <v>7500</v>
      </c>
      <c r="D191" s="11">
        <f t="shared" si="2"/>
        <v>300000</v>
      </c>
    </row>
    <row r="192" spans="1:4" ht="18" hidden="1" x14ac:dyDescent="0.35">
      <c r="A192" s="8" t="s">
        <v>167</v>
      </c>
      <c r="B192" s="34">
        <v>0</v>
      </c>
      <c r="C192" s="10"/>
      <c r="D192" s="11">
        <f t="shared" si="2"/>
        <v>0</v>
      </c>
    </row>
    <row r="193" spans="1:4" ht="18.75" x14ac:dyDescent="0.25">
      <c r="A193" s="8" t="s">
        <v>168</v>
      </c>
      <c r="B193" s="34">
        <v>75</v>
      </c>
      <c r="C193" s="12">
        <v>16000</v>
      </c>
      <c r="D193" s="11">
        <f t="shared" si="2"/>
        <v>1200000</v>
      </c>
    </row>
    <row r="194" spans="1:4" ht="18.75" x14ac:dyDescent="0.25">
      <c r="A194" s="8" t="s">
        <v>169</v>
      </c>
      <c r="B194" s="34">
        <v>40</v>
      </c>
      <c r="C194" s="10">
        <v>16000</v>
      </c>
      <c r="D194" s="11">
        <f t="shared" si="2"/>
        <v>640000</v>
      </c>
    </row>
    <row r="195" spans="1:4" ht="18" hidden="1" x14ac:dyDescent="0.35">
      <c r="A195" s="8" t="s">
        <v>170</v>
      </c>
      <c r="B195" s="34">
        <v>0</v>
      </c>
      <c r="C195" s="10"/>
      <c r="D195" s="11">
        <f t="shared" si="2"/>
        <v>0</v>
      </c>
    </row>
    <row r="196" spans="1:4" ht="18" hidden="1" x14ac:dyDescent="0.35">
      <c r="A196" s="8" t="s">
        <v>171</v>
      </c>
      <c r="B196" s="34">
        <v>0</v>
      </c>
      <c r="C196" s="13">
        <v>6100</v>
      </c>
      <c r="D196" s="11">
        <f t="shared" si="2"/>
        <v>0</v>
      </c>
    </row>
    <row r="197" spans="1:4" ht="18" hidden="1" x14ac:dyDescent="0.35">
      <c r="A197" s="8" t="s">
        <v>172</v>
      </c>
      <c r="B197" s="34">
        <v>0</v>
      </c>
      <c r="C197" s="13">
        <v>6100</v>
      </c>
      <c r="D197" s="11">
        <f t="shared" ref="D197:D243" si="3">+C197*B197</f>
        <v>0</v>
      </c>
    </row>
    <row r="198" spans="1:4" ht="18" hidden="1" x14ac:dyDescent="0.35">
      <c r="A198" s="8" t="s">
        <v>173</v>
      </c>
      <c r="B198" s="34">
        <v>0</v>
      </c>
      <c r="C198" s="13">
        <v>25000</v>
      </c>
      <c r="D198" s="11">
        <f t="shared" si="3"/>
        <v>0</v>
      </c>
    </row>
    <row r="199" spans="1:4" ht="18" hidden="1" x14ac:dyDescent="0.35">
      <c r="A199" s="8" t="s">
        <v>174</v>
      </c>
      <c r="B199" s="34">
        <v>0</v>
      </c>
      <c r="C199" s="13">
        <v>6100</v>
      </c>
      <c r="D199" s="11">
        <f t="shared" si="3"/>
        <v>0</v>
      </c>
    </row>
    <row r="200" spans="1:4" ht="18" hidden="1" x14ac:dyDescent="0.35">
      <c r="A200" s="8" t="s">
        <v>175</v>
      </c>
      <c r="B200" s="34">
        <v>0</v>
      </c>
      <c r="C200" s="13"/>
      <c r="D200" s="11">
        <f t="shared" si="3"/>
        <v>0</v>
      </c>
    </row>
    <row r="201" spans="1:4" ht="18" hidden="1" x14ac:dyDescent="0.35">
      <c r="A201" s="8" t="s">
        <v>176</v>
      </c>
      <c r="B201" s="34">
        <v>0</v>
      </c>
      <c r="C201" s="13"/>
      <c r="D201" s="11">
        <f t="shared" si="3"/>
        <v>0</v>
      </c>
    </row>
    <row r="202" spans="1:4" ht="18" hidden="1" x14ac:dyDescent="0.35">
      <c r="A202" s="8" t="s">
        <v>177</v>
      </c>
      <c r="B202" s="34">
        <v>0</v>
      </c>
      <c r="C202" s="12"/>
      <c r="D202" s="11">
        <f t="shared" si="3"/>
        <v>0</v>
      </c>
    </row>
    <row r="203" spans="1:4" ht="18" hidden="1" x14ac:dyDescent="0.35">
      <c r="A203" s="27" t="s">
        <v>178</v>
      </c>
      <c r="B203" s="34">
        <v>0</v>
      </c>
      <c r="C203" s="12">
        <v>27000</v>
      </c>
      <c r="D203" s="11">
        <f t="shared" si="3"/>
        <v>0</v>
      </c>
    </row>
    <row r="204" spans="1:4" ht="18" hidden="1" x14ac:dyDescent="0.35">
      <c r="A204" s="27" t="s">
        <v>179</v>
      </c>
      <c r="B204" s="34">
        <v>0</v>
      </c>
      <c r="C204" s="13">
        <v>6100</v>
      </c>
      <c r="D204" s="11">
        <f t="shared" si="3"/>
        <v>0</v>
      </c>
    </row>
    <row r="205" spans="1:4" ht="18" hidden="1" x14ac:dyDescent="0.35">
      <c r="A205" s="27" t="s">
        <v>180</v>
      </c>
      <c r="B205" s="34">
        <v>0</v>
      </c>
      <c r="C205" s="13">
        <v>6100</v>
      </c>
      <c r="D205" s="11">
        <f t="shared" si="3"/>
        <v>0</v>
      </c>
    </row>
    <row r="206" spans="1:4" ht="18" hidden="1" x14ac:dyDescent="0.35">
      <c r="A206" s="27" t="s">
        <v>181</v>
      </c>
      <c r="B206" s="34">
        <v>0</v>
      </c>
      <c r="C206" s="12"/>
      <c r="D206" s="11">
        <f t="shared" si="3"/>
        <v>0</v>
      </c>
    </row>
    <row r="207" spans="1:4" ht="18" hidden="1" x14ac:dyDescent="0.35">
      <c r="A207" s="27" t="s">
        <v>182</v>
      </c>
      <c r="B207" s="34">
        <v>0</v>
      </c>
      <c r="C207" s="12"/>
      <c r="D207" s="11">
        <f t="shared" si="3"/>
        <v>0</v>
      </c>
    </row>
    <row r="208" spans="1:4" ht="18" hidden="1" x14ac:dyDescent="0.35">
      <c r="A208" s="8" t="s">
        <v>183</v>
      </c>
      <c r="B208" s="34">
        <v>0</v>
      </c>
      <c r="C208" s="13">
        <v>5500</v>
      </c>
      <c r="D208" s="11">
        <f t="shared" si="3"/>
        <v>0</v>
      </c>
    </row>
    <row r="209" spans="1:4" ht="18" hidden="1" x14ac:dyDescent="0.35">
      <c r="A209" s="8" t="s">
        <v>184</v>
      </c>
      <c r="B209" s="34">
        <v>0</v>
      </c>
      <c r="C209" s="13">
        <v>6100</v>
      </c>
      <c r="D209" s="11">
        <f t="shared" si="3"/>
        <v>0</v>
      </c>
    </row>
    <row r="210" spans="1:4" ht="18.75" x14ac:dyDescent="0.25">
      <c r="A210" s="8" t="s">
        <v>185</v>
      </c>
      <c r="B210" s="34">
        <v>2</v>
      </c>
      <c r="C210" s="13">
        <v>25000</v>
      </c>
      <c r="D210" s="11">
        <f t="shared" si="3"/>
        <v>50000</v>
      </c>
    </row>
    <row r="211" spans="1:4" ht="18" hidden="1" x14ac:dyDescent="0.35">
      <c r="A211" s="8" t="s">
        <v>186</v>
      </c>
      <c r="B211" s="34">
        <v>0</v>
      </c>
      <c r="C211" s="13">
        <v>25000</v>
      </c>
      <c r="D211" s="11">
        <f t="shared" si="3"/>
        <v>0</v>
      </c>
    </row>
    <row r="212" spans="1:4" ht="18" hidden="1" x14ac:dyDescent="0.35">
      <c r="A212" s="8" t="s">
        <v>187</v>
      </c>
      <c r="B212" s="34">
        <v>0</v>
      </c>
      <c r="C212" s="13"/>
      <c r="D212" s="11">
        <f t="shared" si="3"/>
        <v>0</v>
      </c>
    </row>
    <row r="213" spans="1:4" ht="18" hidden="1" x14ac:dyDescent="0.35">
      <c r="A213" s="8" t="s">
        <v>188</v>
      </c>
      <c r="B213" s="34">
        <v>0</v>
      </c>
      <c r="C213" s="10">
        <v>10000</v>
      </c>
      <c r="D213" s="11">
        <f t="shared" si="3"/>
        <v>0</v>
      </c>
    </row>
    <row r="214" spans="1:4" ht="18" hidden="1" x14ac:dyDescent="0.35">
      <c r="A214" s="8" t="s">
        <v>189</v>
      </c>
      <c r="B214" s="34">
        <v>0</v>
      </c>
      <c r="C214" s="13"/>
      <c r="D214" s="11">
        <f t="shared" si="3"/>
        <v>0</v>
      </c>
    </row>
    <row r="215" spans="1:4" ht="18" hidden="1" x14ac:dyDescent="0.35">
      <c r="A215" s="8" t="s">
        <v>190</v>
      </c>
      <c r="B215" s="34">
        <v>0</v>
      </c>
      <c r="C215" s="12"/>
      <c r="D215" s="11">
        <f t="shared" si="3"/>
        <v>0</v>
      </c>
    </row>
    <row r="216" spans="1:4" ht="18" hidden="1" x14ac:dyDescent="0.35">
      <c r="A216" s="8" t="s">
        <v>191</v>
      </c>
      <c r="B216" s="34">
        <v>0</v>
      </c>
      <c r="C216" s="10"/>
      <c r="D216" s="11">
        <f t="shared" si="3"/>
        <v>0</v>
      </c>
    </row>
    <row r="217" spans="1:4" ht="18" hidden="1" x14ac:dyDescent="0.35">
      <c r="A217" s="8" t="s">
        <v>192</v>
      </c>
      <c r="B217" s="34">
        <v>0</v>
      </c>
      <c r="C217" s="13">
        <v>34000</v>
      </c>
      <c r="D217" s="11">
        <f t="shared" si="3"/>
        <v>0</v>
      </c>
    </row>
    <row r="218" spans="1:4" ht="18" hidden="1" x14ac:dyDescent="0.35">
      <c r="A218" s="8"/>
      <c r="B218" s="34">
        <v>0</v>
      </c>
      <c r="C218" s="13">
        <v>34000</v>
      </c>
      <c r="D218" s="11">
        <f t="shared" si="3"/>
        <v>0</v>
      </c>
    </row>
    <row r="219" spans="1:4" ht="18" hidden="1" x14ac:dyDescent="0.35">
      <c r="A219" s="8" t="s">
        <v>193</v>
      </c>
      <c r="B219" s="34">
        <v>0</v>
      </c>
      <c r="C219" s="10">
        <v>18000</v>
      </c>
      <c r="D219" s="11">
        <f t="shared" si="3"/>
        <v>0</v>
      </c>
    </row>
    <row r="220" spans="1:4" ht="18" hidden="1" x14ac:dyDescent="0.35">
      <c r="A220" s="8" t="s">
        <v>194</v>
      </c>
      <c r="B220" s="34">
        <v>0</v>
      </c>
      <c r="C220" s="10">
        <v>28000</v>
      </c>
      <c r="D220" s="11">
        <f t="shared" si="3"/>
        <v>0</v>
      </c>
    </row>
    <row r="221" spans="1:4" ht="18" hidden="1" x14ac:dyDescent="0.35">
      <c r="A221" s="8"/>
      <c r="B221" s="34">
        <v>0</v>
      </c>
      <c r="C221" s="10">
        <v>28000</v>
      </c>
      <c r="D221" s="11">
        <f t="shared" si="3"/>
        <v>0</v>
      </c>
    </row>
    <row r="222" spans="1:4" ht="18" hidden="1" x14ac:dyDescent="0.35">
      <c r="A222" s="8" t="s">
        <v>195</v>
      </c>
      <c r="B222" s="34">
        <v>0</v>
      </c>
      <c r="C222" s="10"/>
      <c r="D222" s="11">
        <f t="shared" si="3"/>
        <v>0</v>
      </c>
    </row>
    <row r="223" spans="1:4" ht="18" hidden="1" x14ac:dyDescent="0.35">
      <c r="A223" s="8"/>
      <c r="B223" s="34">
        <v>0</v>
      </c>
      <c r="C223" s="10">
        <v>27000</v>
      </c>
      <c r="D223" s="11">
        <f t="shared" si="3"/>
        <v>0</v>
      </c>
    </row>
    <row r="224" spans="1:4" ht="18.75" x14ac:dyDescent="0.25">
      <c r="A224" s="14" t="s">
        <v>196</v>
      </c>
      <c r="B224" s="34">
        <v>16</v>
      </c>
      <c r="C224" s="12">
        <v>3000</v>
      </c>
      <c r="D224" s="11">
        <f t="shared" si="3"/>
        <v>48000</v>
      </c>
    </row>
    <row r="225" spans="1:4" ht="18" hidden="1" x14ac:dyDescent="0.35">
      <c r="A225" s="14" t="s">
        <v>197</v>
      </c>
      <c r="B225" s="34">
        <v>0</v>
      </c>
      <c r="C225" s="10"/>
      <c r="D225" s="11">
        <f t="shared" si="3"/>
        <v>0</v>
      </c>
    </row>
    <row r="226" spans="1:4" ht="18" hidden="1" x14ac:dyDescent="0.35">
      <c r="A226" s="8" t="s">
        <v>198</v>
      </c>
      <c r="B226" s="34">
        <v>0</v>
      </c>
      <c r="C226" s="10">
        <v>7000</v>
      </c>
      <c r="D226" s="11">
        <f t="shared" si="3"/>
        <v>0</v>
      </c>
    </row>
    <row r="227" spans="1:4" ht="18.75" x14ac:dyDescent="0.25">
      <c r="A227" s="8" t="s">
        <v>199</v>
      </c>
      <c r="B227" s="34">
        <v>3</v>
      </c>
      <c r="C227" s="12">
        <v>18000</v>
      </c>
      <c r="D227" s="11">
        <f t="shared" si="3"/>
        <v>54000</v>
      </c>
    </row>
    <row r="228" spans="1:4" ht="18" hidden="1" x14ac:dyDescent="0.35">
      <c r="A228" s="8" t="s">
        <v>200</v>
      </c>
      <c r="B228" s="34">
        <v>0</v>
      </c>
      <c r="C228" s="12"/>
      <c r="D228" s="11">
        <f t="shared" si="3"/>
        <v>0</v>
      </c>
    </row>
    <row r="229" spans="1:4" ht="18" hidden="1" x14ac:dyDescent="0.35">
      <c r="A229" s="8" t="s">
        <v>201</v>
      </c>
      <c r="B229" s="34">
        <v>0</v>
      </c>
      <c r="C229" s="19"/>
      <c r="D229" s="11">
        <f t="shared" si="3"/>
        <v>0</v>
      </c>
    </row>
    <row r="230" spans="1:4" ht="18" hidden="1" x14ac:dyDescent="0.35">
      <c r="A230" s="8" t="s">
        <v>202</v>
      </c>
      <c r="B230" s="34">
        <v>0</v>
      </c>
      <c r="C230" s="12">
        <v>12000</v>
      </c>
      <c r="D230" s="11">
        <f t="shared" si="3"/>
        <v>0</v>
      </c>
    </row>
    <row r="231" spans="1:4" ht="18" hidden="1" x14ac:dyDescent="0.35">
      <c r="A231" s="8" t="s">
        <v>203</v>
      </c>
      <c r="B231" s="34">
        <v>0</v>
      </c>
      <c r="C231" s="12"/>
      <c r="D231" s="11">
        <f t="shared" si="3"/>
        <v>0</v>
      </c>
    </row>
    <row r="232" spans="1:4" ht="18.75" x14ac:dyDescent="0.25">
      <c r="A232" s="8" t="s">
        <v>204</v>
      </c>
      <c r="B232" s="34">
        <v>270</v>
      </c>
      <c r="C232" s="13">
        <v>8000</v>
      </c>
      <c r="D232" s="11">
        <f t="shared" si="3"/>
        <v>2160000</v>
      </c>
    </row>
    <row r="233" spans="1:4" ht="18" hidden="1" x14ac:dyDescent="0.35">
      <c r="A233" s="8" t="s">
        <v>205</v>
      </c>
      <c r="B233" s="34">
        <v>0</v>
      </c>
      <c r="C233" s="10">
        <v>11000</v>
      </c>
      <c r="D233" s="11">
        <f t="shared" si="3"/>
        <v>0</v>
      </c>
    </row>
    <row r="234" spans="1:4" ht="18" hidden="1" x14ac:dyDescent="0.35">
      <c r="A234" s="8"/>
      <c r="B234" s="34">
        <v>0</v>
      </c>
      <c r="C234" s="10">
        <v>13000</v>
      </c>
      <c r="D234" s="11">
        <f t="shared" si="3"/>
        <v>0</v>
      </c>
    </row>
    <row r="235" spans="1:4" ht="18" hidden="1" x14ac:dyDescent="0.35">
      <c r="A235" s="8" t="s">
        <v>206</v>
      </c>
      <c r="B235" s="34">
        <v>0</v>
      </c>
      <c r="C235" s="13"/>
      <c r="D235" s="11">
        <f t="shared" si="3"/>
        <v>0</v>
      </c>
    </row>
    <row r="236" spans="1:4" ht="18" hidden="1" x14ac:dyDescent="0.35">
      <c r="A236" s="8" t="s">
        <v>207</v>
      </c>
      <c r="B236" s="34">
        <v>0</v>
      </c>
      <c r="C236" s="13"/>
      <c r="D236" s="11">
        <f t="shared" si="3"/>
        <v>0</v>
      </c>
    </row>
    <row r="237" spans="1:4" ht="18" hidden="1" x14ac:dyDescent="0.35">
      <c r="A237" s="8" t="s">
        <v>208</v>
      </c>
      <c r="B237" s="34">
        <v>0</v>
      </c>
      <c r="C237" s="13"/>
      <c r="D237" s="11">
        <f t="shared" si="3"/>
        <v>0</v>
      </c>
    </row>
    <row r="238" spans="1:4" ht="18" hidden="1" x14ac:dyDescent="0.35">
      <c r="A238" s="14" t="s">
        <v>209</v>
      </c>
      <c r="B238" s="34">
        <v>0</v>
      </c>
      <c r="C238" s="10"/>
      <c r="D238" s="11">
        <f t="shared" si="3"/>
        <v>0</v>
      </c>
    </row>
    <row r="239" spans="1:4" ht="18" hidden="1" x14ac:dyDescent="0.35">
      <c r="A239" s="8" t="s">
        <v>210</v>
      </c>
      <c r="B239" s="34">
        <v>0</v>
      </c>
      <c r="C239" s="12"/>
      <c r="D239" s="11">
        <f t="shared" si="3"/>
        <v>0</v>
      </c>
    </row>
    <row r="240" spans="1:4" ht="18" hidden="1" x14ac:dyDescent="0.35">
      <c r="A240" s="8" t="s">
        <v>211</v>
      </c>
      <c r="B240" s="34">
        <v>0</v>
      </c>
      <c r="C240" s="13"/>
      <c r="D240" s="11">
        <f t="shared" si="3"/>
        <v>0</v>
      </c>
    </row>
    <row r="241" spans="1:4" ht="18" hidden="1" x14ac:dyDescent="0.35">
      <c r="A241" s="8" t="s">
        <v>212</v>
      </c>
      <c r="B241" s="34">
        <v>0</v>
      </c>
      <c r="C241" s="13"/>
      <c r="D241" s="11">
        <f t="shared" si="3"/>
        <v>0</v>
      </c>
    </row>
    <row r="242" spans="1:4" ht="18" hidden="1" x14ac:dyDescent="0.35">
      <c r="A242" s="8" t="s">
        <v>213</v>
      </c>
      <c r="B242" s="34">
        <v>0</v>
      </c>
      <c r="C242" s="13"/>
      <c r="D242" s="11">
        <f t="shared" si="3"/>
        <v>0</v>
      </c>
    </row>
    <row r="243" spans="1:4" ht="18" hidden="1" x14ac:dyDescent="0.35">
      <c r="A243" s="8" t="s">
        <v>214</v>
      </c>
      <c r="B243" s="34">
        <v>0</v>
      </c>
      <c r="C243" s="13"/>
      <c r="D243" s="11">
        <f t="shared" si="3"/>
        <v>0</v>
      </c>
    </row>
    <row r="244" spans="1:4" ht="18.75" x14ac:dyDescent="0.25">
      <c r="A244" s="28"/>
      <c r="B244" s="29">
        <f t="shared" ref="B244:C244" si="4">SUM(B4:B243)</f>
        <v>3145</v>
      </c>
      <c r="C244" s="29">
        <f t="shared" si="4"/>
        <v>2373260</v>
      </c>
      <c r="D244" s="29">
        <f>SUM(D4:D243)</f>
        <v>53505328</v>
      </c>
    </row>
    <row r="245" spans="1:4" ht="15" x14ac:dyDescent="0.25">
      <c r="A245" s="31"/>
      <c r="B245" s="31"/>
      <c r="C245" s="31"/>
      <c r="D245" s="32"/>
    </row>
    <row r="246" spans="1:4" ht="15" x14ac:dyDescent="0.25">
      <c r="A246" s="31"/>
      <c r="B246" s="31"/>
      <c r="C246" s="31"/>
      <c r="D246" s="32"/>
    </row>
  </sheetData>
  <protectedRanges>
    <protectedRange password="CCD0" sqref="B245:B65536 B1:B243" name="tho3"/>
    <protectedRange password="CC4C" sqref="C245:C65536 C1:C243" name="tho5"/>
  </protectedRanges>
  <autoFilter ref="A2:D244">
    <filterColumn colId="1">
      <filters blank="1">
        <filter val="1.0"/>
        <filter val="11.0"/>
        <filter val="110.0"/>
        <filter val="16.0"/>
        <filter val="165.0"/>
        <filter val="188.0"/>
        <filter val="2.0"/>
        <filter val="230.0"/>
        <filter val="26.0"/>
        <filter val="270.0"/>
        <filter val="28.0"/>
        <filter val="3,145"/>
        <filter val="3.0"/>
        <filter val="30.0"/>
        <filter val="34.0"/>
        <filter val="340.0"/>
        <filter val="35.0"/>
        <filter val="40.0"/>
        <filter val="48.0"/>
        <filter val="5.0"/>
        <filter val="600.0"/>
        <filter val="7.0"/>
        <filter val="75.0"/>
        <filter val="794.0"/>
        <filter val="9.0"/>
      </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8"/>
  <sheetViews>
    <sheetView workbookViewId="0">
      <selection activeCell="H128" sqref="H128"/>
    </sheetView>
  </sheetViews>
  <sheetFormatPr defaultRowHeight="15" x14ac:dyDescent="0.25"/>
  <cols>
    <col min="1" max="1" width="29.5703125" customWidth="1"/>
    <col min="3" max="3" width="13.28515625" customWidth="1"/>
    <col min="4" max="4" width="17" customWidth="1"/>
  </cols>
  <sheetData>
    <row r="1" spans="1:4" x14ac:dyDescent="0.25">
      <c r="A1" s="1" t="s">
        <v>244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idden="1" x14ac:dyDescent="0.25">
      <c r="A3" s="51"/>
      <c r="B3" s="4"/>
      <c r="C3" s="6"/>
      <c r="D3" s="7"/>
    </row>
    <row r="4" spans="1:4" ht="18.75" hidden="1" x14ac:dyDescent="0.25">
      <c r="A4" s="8" t="s">
        <v>5</v>
      </c>
      <c r="B4" s="9"/>
      <c r="C4" s="10">
        <v>20000</v>
      </c>
      <c r="D4" s="11">
        <f>B4*C4</f>
        <v>0</v>
      </c>
    </row>
    <row r="5" spans="1:4" ht="18.75" x14ac:dyDescent="0.25">
      <c r="A5" s="8" t="s">
        <v>6</v>
      </c>
      <c r="B5" s="9">
        <v>165</v>
      </c>
      <c r="C5" s="10">
        <v>16000</v>
      </c>
      <c r="D5" s="11">
        <f t="shared" ref="D5:D68" si="0">B5*C5</f>
        <v>2640000</v>
      </c>
    </row>
    <row r="6" spans="1:4" ht="18.75" hidden="1" x14ac:dyDescent="0.25">
      <c r="A6" s="8"/>
      <c r="B6" s="9"/>
      <c r="C6" s="10">
        <v>16000</v>
      </c>
      <c r="D6" s="11">
        <f t="shared" si="0"/>
        <v>0</v>
      </c>
    </row>
    <row r="7" spans="1:4" ht="18.75" hidden="1" x14ac:dyDescent="0.25">
      <c r="A7" s="8" t="s">
        <v>7</v>
      </c>
      <c r="B7" s="9"/>
      <c r="C7" s="10"/>
      <c r="D7" s="11">
        <f t="shared" si="0"/>
        <v>0</v>
      </c>
    </row>
    <row r="8" spans="1:4" ht="18.75" hidden="1" x14ac:dyDescent="0.25">
      <c r="A8" s="8" t="s">
        <v>8</v>
      </c>
      <c r="B8" s="9"/>
      <c r="C8" s="12">
        <v>40000</v>
      </c>
      <c r="D8" s="11">
        <f t="shared" si="0"/>
        <v>0</v>
      </c>
    </row>
    <row r="9" spans="1:4" ht="18.75" hidden="1" x14ac:dyDescent="0.25">
      <c r="A9" s="8" t="s">
        <v>9</v>
      </c>
      <c r="B9" s="9"/>
      <c r="C9" s="10"/>
      <c r="D9" s="11">
        <f t="shared" si="0"/>
        <v>0</v>
      </c>
    </row>
    <row r="10" spans="1:4" ht="18.75" hidden="1" x14ac:dyDescent="0.25">
      <c r="A10" s="8" t="s">
        <v>10</v>
      </c>
      <c r="B10" s="9"/>
      <c r="C10" s="10">
        <v>21000</v>
      </c>
      <c r="D10" s="11">
        <f t="shared" si="0"/>
        <v>0</v>
      </c>
    </row>
    <row r="11" spans="1:4" ht="18.75" hidden="1" x14ac:dyDescent="0.25">
      <c r="A11" s="8" t="s">
        <v>11</v>
      </c>
      <c r="B11" s="9"/>
      <c r="C11" s="10">
        <v>36000</v>
      </c>
      <c r="D11" s="11">
        <f t="shared" si="0"/>
        <v>0</v>
      </c>
    </row>
    <row r="12" spans="1:4" ht="18.75" hidden="1" x14ac:dyDescent="0.25">
      <c r="A12" s="8"/>
      <c r="B12" s="9"/>
      <c r="C12" s="10">
        <v>36000</v>
      </c>
      <c r="D12" s="11">
        <f t="shared" si="0"/>
        <v>0</v>
      </c>
    </row>
    <row r="13" spans="1:4" ht="18.75" hidden="1" x14ac:dyDescent="0.25">
      <c r="A13" s="8" t="s">
        <v>12</v>
      </c>
      <c r="B13" s="9"/>
      <c r="C13" s="10"/>
      <c r="D13" s="11">
        <f t="shared" si="0"/>
        <v>0</v>
      </c>
    </row>
    <row r="14" spans="1:4" ht="18.75" hidden="1" x14ac:dyDescent="0.25">
      <c r="A14" s="8" t="s">
        <v>13</v>
      </c>
      <c r="B14" s="9"/>
      <c r="C14" s="10"/>
      <c r="D14" s="11">
        <f t="shared" si="0"/>
        <v>0</v>
      </c>
    </row>
    <row r="15" spans="1:4" ht="18.75" x14ac:dyDescent="0.25">
      <c r="A15" s="8" t="s">
        <v>14</v>
      </c>
      <c r="B15" s="9">
        <v>30</v>
      </c>
      <c r="C15" s="12">
        <v>23000</v>
      </c>
      <c r="D15" s="11">
        <f t="shared" si="0"/>
        <v>690000</v>
      </c>
    </row>
    <row r="16" spans="1:4" ht="18.75" hidden="1" x14ac:dyDescent="0.25">
      <c r="A16" s="8" t="s">
        <v>15</v>
      </c>
      <c r="B16" s="9"/>
      <c r="C16" s="12"/>
      <c r="D16" s="11">
        <f t="shared" si="0"/>
        <v>0</v>
      </c>
    </row>
    <row r="17" spans="1:4" ht="18.75" hidden="1" x14ac:dyDescent="0.25">
      <c r="A17" s="8" t="s">
        <v>16</v>
      </c>
      <c r="B17" s="9"/>
      <c r="C17" s="12"/>
      <c r="D17" s="11">
        <f t="shared" si="0"/>
        <v>0</v>
      </c>
    </row>
    <row r="18" spans="1:4" ht="18.75" x14ac:dyDescent="0.25">
      <c r="A18" s="8" t="s">
        <v>17</v>
      </c>
      <c r="B18" s="9">
        <v>13</v>
      </c>
      <c r="C18" s="10">
        <v>16000</v>
      </c>
      <c r="D18" s="11">
        <f t="shared" si="0"/>
        <v>208000</v>
      </c>
    </row>
    <row r="19" spans="1:4" ht="18.75" hidden="1" x14ac:dyDescent="0.25">
      <c r="A19" s="8" t="s">
        <v>18</v>
      </c>
      <c r="B19" s="9"/>
      <c r="C19" s="10"/>
      <c r="D19" s="11">
        <f t="shared" si="0"/>
        <v>0</v>
      </c>
    </row>
    <row r="20" spans="1:4" ht="18.75" hidden="1" x14ac:dyDescent="0.25">
      <c r="A20" s="8" t="s">
        <v>19</v>
      </c>
      <c r="B20" s="9"/>
      <c r="C20" s="10"/>
      <c r="D20" s="11">
        <f t="shared" si="0"/>
        <v>0</v>
      </c>
    </row>
    <row r="21" spans="1:4" ht="18.75" hidden="1" x14ac:dyDescent="0.25">
      <c r="A21" s="8" t="s">
        <v>20</v>
      </c>
      <c r="B21" s="9"/>
      <c r="C21" s="13"/>
      <c r="D21" s="11">
        <f t="shared" si="0"/>
        <v>0</v>
      </c>
    </row>
    <row r="22" spans="1:4" ht="18.75" hidden="1" x14ac:dyDescent="0.25">
      <c r="A22" s="8" t="s">
        <v>21</v>
      </c>
      <c r="B22" s="9"/>
      <c r="C22" s="10"/>
      <c r="D22" s="11">
        <f t="shared" si="0"/>
        <v>0</v>
      </c>
    </row>
    <row r="23" spans="1:4" ht="18.75" hidden="1" x14ac:dyDescent="0.25">
      <c r="A23" s="8" t="s">
        <v>22</v>
      </c>
      <c r="B23" s="9"/>
      <c r="C23" s="10"/>
      <c r="D23" s="11">
        <f t="shared" si="0"/>
        <v>0</v>
      </c>
    </row>
    <row r="24" spans="1:4" ht="18.75" hidden="1" x14ac:dyDescent="0.25">
      <c r="A24" s="8" t="s">
        <v>23</v>
      </c>
      <c r="B24" s="9"/>
      <c r="C24" s="10"/>
      <c r="D24" s="11">
        <f t="shared" si="0"/>
        <v>0</v>
      </c>
    </row>
    <row r="25" spans="1:4" ht="18.75" hidden="1" x14ac:dyDescent="0.25">
      <c r="A25" s="8" t="s">
        <v>24</v>
      </c>
      <c r="B25" s="9"/>
      <c r="C25" s="10"/>
      <c r="D25" s="11">
        <f t="shared" si="0"/>
        <v>0</v>
      </c>
    </row>
    <row r="26" spans="1:4" ht="18.75" hidden="1" x14ac:dyDescent="0.25">
      <c r="A26" s="14" t="s">
        <v>25</v>
      </c>
      <c r="B26" s="9"/>
      <c r="C26" s="13"/>
      <c r="D26" s="11">
        <f t="shared" si="0"/>
        <v>0</v>
      </c>
    </row>
    <row r="27" spans="1:4" ht="18.75" hidden="1" x14ac:dyDescent="0.25">
      <c r="A27" s="8" t="s">
        <v>26</v>
      </c>
      <c r="B27" s="9"/>
      <c r="C27" s="10"/>
      <c r="D27" s="11">
        <f t="shared" si="0"/>
        <v>0</v>
      </c>
    </row>
    <row r="28" spans="1:4" ht="18.75" hidden="1" x14ac:dyDescent="0.25">
      <c r="A28" s="8" t="s">
        <v>27</v>
      </c>
      <c r="B28" s="9"/>
      <c r="C28" s="10">
        <v>12000</v>
      </c>
      <c r="D28" s="11">
        <f t="shared" si="0"/>
        <v>0</v>
      </c>
    </row>
    <row r="29" spans="1:4" ht="18.75" hidden="1" x14ac:dyDescent="0.25">
      <c r="A29" s="8" t="s">
        <v>28</v>
      </c>
      <c r="B29" s="9"/>
      <c r="C29" s="10">
        <v>12000</v>
      </c>
      <c r="D29" s="11">
        <f t="shared" si="0"/>
        <v>0</v>
      </c>
    </row>
    <row r="30" spans="1:4" ht="18.75" hidden="1" x14ac:dyDescent="0.25">
      <c r="A30" s="14" t="s">
        <v>29</v>
      </c>
      <c r="B30" s="9"/>
      <c r="C30" s="15"/>
      <c r="D30" s="11">
        <f t="shared" si="0"/>
        <v>0</v>
      </c>
    </row>
    <row r="31" spans="1:4" ht="18.75" hidden="1" x14ac:dyDescent="0.25">
      <c r="A31" s="8" t="s">
        <v>30</v>
      </c>
      <c r="B31" s="9"/>
      <c r="C31" s="10">
        <v>11000</v>
      </c>
      <c r="D31" s="11">
        <f t="shared" si="0"/>
        <v>0</v>
      </c>
    </row>
    <row r="32" spans="1:4" ht="18.75" hidden="1" x14ac:dyDescent="0.25">
      <c r="A32" s="8"/>
      <c r="B32" s="9"/>
      <c r="C32" s="10">
        <v>12000</v>
      </c>
      <c r="D32" s="11">
        <f t="shared" si="0"/>
        <v>0</v>
      </c>
    </row>
    <row r="33" spans="1:4" ht="18.75" hidden="1" x14ac:dyDescent="0.25">
      <c r="A33" s="8" t="s">
        <v>31</v>
      </c>
      <c r="B33" s="9"/>
      <c r="C33" s="10"/>
      <c r="D33" s="11">
        <f t="shared" si="0"/>
        <v>0</v>
      </c>
    </row>
    <row r="34" spans="1:4" ht="18.75" hidden="1" x14ac:dyDescent="0.25">
      <c r="A34" s="14" t="s">
        <v>32</v>
      </c>
      <c r="B34" s="9"/>
      <c r="C34" s="10"/>
      <c r="D34" s="11">
        <f t="shared" si="0"/>
        <v>0</v>
      </c>
    </row>
    <row r="35" spans="1:4" ht="18.75" hidden="1" x14ac:dyDescent="0.25">
      <c r="A35" s="8" t="s">
        <v>33</v>
      </c>
      <c r="B35" s="9"/>
      <c r="C35" s="13"/>
      <c r="D35" s="11">
        <f t="shared" si="0"/>
        <v>0</v>
      </c>
    </row>
    <row r="36" spans="1:4" ht="18.75" hidden="1" x14ac:dyDescent="0.25">
      <c r="A36" s="8" t="s">
        <v>34</v>
      </c>
      <c r="B36" s="9"/>
      <c r="C36" s="10">
        <v>8000</v>
      </c>
      <c r="D36" s="11">
        <f t="shared" si="0"/>
        <v>0</v>
      </c>
    </row>
    <row r="37" spans="1:4" ht="18.75" hidden="1" x14ac:dyDescent="0.25">
      <c r="A37" s="8" t="s">
        <v>35</v>
      </c>
      <c r="B37" s="9"/>
      <c r="C37" s="15">
        <v>110000</v>
      </c>
      <c r="D37" s="11">
        <f t="shared" si="0"/>
        <v>0</v>
      </c>
    </row>
    <row r="38" spans="1:4" ht="18.75" hidden="1" x14ac:dyDescent="0.25">
      <c r="A38" s="8" t="s">
        <v>36</v>
      </c>
      <c r="B38" s="9"/>
      <c r="C38" s="10">
        <v>25000</v>
      </c>
      <c r="D38" s="11">
        <f t="shared" si="0"/>
        <v>0</v>
      </c>
    </row>
    <row r="39" spans="1:4" ht="18.75" x14ac:dyDescent="0.25">
      <c r="A39" s="14" t="s">
        <v>37</v>
      </c>
      <c r="B39" s="9">
        <v>30</v>
      </c>
      <c r="C39" s="12">
        <v>10000</v>
      </c>
      <c r="D39" s="11">
        <f t="shared" si="0"/>
        <v>300000</v>
      </c>
    </row>
    <row r="40" spans="1:4" ht="18.75" hidden="1" x14ac:dyDescent="0.25">
      <c r="A40" s="14" t="s">
        <v>38</v>
      </c>
      <c r="B40" s="9"/>
      <c r="C40" s="10"/>
      <c r="D40" s="11">
        <f t="shared" si="0"/>
        <v>0</v>
      </c>
    </row>
    <row r="41" spans="1:4" ht="18.75" hidden="1" x14ac:dyDescent="0.25">
      <c r="A41" s="8" t="s">
        <v>39</v>
      </c>
      <c r="B41" s="9"/>
      <c r="C41" s="10"/>
      <c r="D41" s="11">
        <f t="shared" si="0"/>
        <v>0</v>
      </c>
    </row>
    <row r="42" spans="1:4" ht="18.75" hidden="1" x14ac:dyDescent="0.25">
      <c r="A42" s="14" t="s">
        <v>40</v>
      </c>
      <c r="B42" s="9"/>
      <c r="C42" s="10"/>
      <c r="D42" s="11">
        <f t="shared" si="0"/>
        <v>0</v>
      </c>
    </row>
    <row r="43" spans="1:4" ht="18.75" hidden="1" x14ac:dyDescent="0.25">
      <c r="A43" s="8" t="s">
        <v>41</v>
      </c>
      <c r="B43" s="9"/>
      <c r="C43" s="10"/>
      <c r="D43" s="11">
        <f t="shared" si="0"/>
        <v>0</v>
      </c>
    </row>
    <row r="44" spans="1:4" ht="18.75" hidden="1" x14ac:dyDescent="0.25">
      <c r="A44" s="8" t="s">
        <v>42</v>
      </c>
      <c r="B44" s="9"/>
      <c r="C44" s="13">
        <v>11000</v>
      </c>
      <c r="D44" s="11">
        <f t="shared" si="0"/>
        <v>0</v>
      </c>
    </row>
    <row r="45" spans="1:4" ht="18.75" hidden="1" x14ac:dyDescent="0.25">
      <c r="A45" s="16" t="s">
        <v>43</v>
      </c>
      <c r="B45" s="9"/>
      <c r="C45" s="10"/>
      <c r="D45" s="11">
        <f t="shared" si="0"/>
        <v>0</v>
      </c>
    </row>
    <row r="46" spans="1:4" ht="18.75" hidden="1" x14ac:dyDescent="0.25">
      <c r="A46" s="8" t="s">
        <v>44</v>
      </c>
      <c r="B46" s="9"/>
      <c r="C46" s="10">
        <v>16000</v>
      </c>
      <c r="D46" s="11">
        <f t="shared" si="0"/>
        <v>0</v>
      </c>
    </row>
    <row r="47" spans="1:4" ht="18.75" hidden="1" x14ac:dyDescent="0.25">
      <c r="A47" s="8"/>
      <c r="B47" s="9"/>
      <c r="C47" s="10">
        <v>14000</v>
      </c>
      <c r="D47" s="11">
        <f t="shared" si="0"/>
        <v>0</v>
      </c>
    </row>
    <row r="48" spans="1:4" ht="18.75" hidden="1" x14ac:dyDescent="0.25">
      <c r="A48" s="8" t="s">
        <v>45</v>
      </c>
      <c r="B48" s="9"/>
      <c r="C48" s="10"/>
      <c r="D48" s="11">
        <f t="shared" si="0"/>
        <v>0</v>
      </c>
    </row>
    <row r="49" spans="1:4" ht="18.75" hidden="1" x14ac:dyDescent="0.25">
      <c r="A49" s="8" t="s">
        <v>46</v>
      </c>
      <c r="B49" s="9"/>
      <c r="C49" s="12"/>
      <c r="D49" s="11">
        <f t="shared" si="0"/>
        <v>0</v>
      </c>
    </row>
    <row r="50" spans="1:4" ht="18.75" hidden="1" x14ac:dyDescent="0.25">
      <c r="A50" s="8" t="s">
        <v>47</v>
      </c>
      <c r="B50" s="9"/>
      <c r="C50" s="12"/>
      <c r="D50" s="11">
        <f t="shared" si="0"/>
        <v>0</v>
      </c>
    </row>
    <row r="51" spans="1:4" ht="18.75" x14ac:dyDescent="0.25">
      <c r="A51" s="8" t="s">
        <v>48</v>
      </c>
      <c r="B51" s="9">
        <v>6</v>
      </c>
      <c r="C51" s="10">
        <v>15000</v>
      </c>
      <c r="D51" s="11">
        <f t="shared" si="0"/>
        <v>90000</v>
      </c>
    </row>
    <row r="52" spans="1:4" ht="18.75" hidden="1" x14ac:dyDescent="0.25">
      <c r="A52" s="8" t="s">
        <v>49</v>
      </c>
      <c r="B52" s="9"/>
      <c r="C52" s="10"/>
      <c r="D52" s="11">
        <f t="shared" si="0"/>
        <v>0</v>
      </c>
    </row>
    <row r="53" spans="1:4" ht="18.75" hidden="1" x14ac:dyDescent="0.25">
      <c r="A53" s="8" t="s">
        <v>50</v>
      </c>
      <c r="B53" s="9"/>
      <c r="C53" s="10">
        <v>20000</v>
      </c>
      <c r="D53" s="11">
        <f t="shared" si="0"/>
        <v>0</v>
      </c>
    </row>
    <row r="54" spans="1:4" ht="18.75" hidden="1" x14ac:dyDescent="0.25">
      <c r="A54" s="8"/>
      <c r="B54" s="9"/>
      <c r="C54" s="10">
        <v>17000</v>
      </c>
      <c r="D54" s="11">
        <f t="shared" si="0"/>
        <v>0</v>
      </c>
    </row>
    <row r="55" spans="1:4" ht="18.75" hidden="1" x14ac:dyDescent="0.25">
      <c r="A55" s="8"/>
      <c r="B55" s="9"/>
      <c r="C55" s="10">
        <v>17500</v>
      </c>
      <c r="D55" s="11">
        <f t="shared" si="0"/>
        <v>0</v>
      </c>
    </row>
    <row r="56" spans="1:4" ht="18.75" hidden="1" x14ac:dyDescent="0.25">
      <c r="A56" s="8"/>
      <c r="B56" s="9"/>
      <c r="C56" s="10">
        <v>18000</v>
      </c>
      <c r="D56" s="11">
        <f t="shared" si="0"/>
        <v>0</v>
      </c>
    </row>
    <row r="57" spans="1:4" ht="18.75" hidden="1" x14ac:dyDescent="0.25">
      <c r="A57" s="8" t="s">
        <v>51</v>
      </c>
      <c r="B57" s="9"/>
      <c r="C57" s="10"/>
      <c r="D57" s="11">
        <f t="shared" si="0"/>
        <v>0</v>
      </c>
    </row>
    <row r="58" spans="1:4" ht="18.75" hidden="1" x14ac:dyDescent="0.25">
      <c r="A58" s="8" t="s">
        <v>52</v>
      </c>
      <c r="B58" s="9"/>
      <c r="C58" s="12"/>
      <c r="D58" s="11">
        <f t="shared" si="0"/>
        <v>0</v>
      </c>
    </row>
    <row r="59" spans="1:4" ht="18.75" hidden="1" x14ac:dyDescent="0.25">
      <c r="A59" s="8" t="s">
        <v>53</v>
      </c>
      <c r="B59" s="9"/>
      <c r="C59" s="10"/>
      <c r="D59" s="11">
        <f t="shared" si="0"/>
        <v>0</v>
      </c>
    </row>
    <row r="60" spans="1:4" ht="18.75" hidden="1" x14ac:dyDescent="0.25">
      <c r="A60" s="8" t="s">
        <v>54</v>
      </c>
      <c r="B60" s="9"/>
      <c r="C60" s="10"/>
      <c r="D60" s="11">
        <f t="shared" si="0"/>
        <v>0</v>
      </c>
    </row>
    <row r="61" spans="1:4" ht="18.75" hidden="1" x14ac:dyDescent="0.25">
      <c r="A61" s="8" t="s">
        <v>55</v>
      </c>
      <c r="B61" s="9"/>
      <c r="C61" s="10">
        <v>12000</v>
      </c>
      <c r="D61" s="11">
        <f t="shared" si="0"/>
        <v>0</v>
      </c>
    </row>
    <row r="62" spans="1:4" ht="18.75" hidden="1" x14ac:dyDescent="0.25">
      <c r="A62" s="14" t="s">
        <v>56</v>
      </c>
      <c r="B62" s="9"/>
      <c r="C62" s="10">
        <v>35000</v>
      </c>
      <c r="D62" s="11">
        <f t="shared" si="0"/>
        <v>0</v>
      </c>
    </row>
    <row r="63" spans="1:4" ht="18.75" hidden="1" x14ac:dyDescent="0.25">
      <c r="A63" s="8" t="s">
        <v>57</v>
      </c>
      <c r="B63" s="9"/>
      <c r="C63" s="10"/>
      <c r="D63" s="11">
        <f t="shared" si="0"/>
        <v>0</v>
      </c>
    </row>
    <row r="64" spans="1:4" ht="18.75" hidden="1" x14ac:dyDescent="0.25">
      <c r="A64" s="8"/>
      <c r="B64" s="9"/>
      <c r="C64" s="10">
        <v>6000</v>
      </c>
      <c r="D64" s="11">
        <f t="shared" si="0"/>
        <v>0</v>
      </c>
    </row>
    <row r="65" spans="1:4" ht="18.75" hidden="1" x14ac:dyDescent="0.25">
      <c r="A65" s="8"/>
      <c r="B65" s="9"/>
      <c r="C65" s="10">
        <v>6000</v>
      </c>
      <c r="D65" s="11">
        <f t="shared" si="0"/>
        <v>0</v>
      </c>
    </row>
    <row r="66" spans="1:4" ht="18.75" hidden="1" x14ac:dyDescent="0.25">
      <c r="A66" s="8"/>
      <c r="B66" s="9"/>
      <c r="C66" s="10">
        <v>7000</v>
      </c>
      <c r="D66" s="11">
        <f t="shared" si="0"/>
        <v>0</v>
      </c>
    </row>
    <row r="67" spans="1:4" ht="18.75" hidden="1" x14ac:dyDescent="0.25">
      <c r="A67" s="8" t="s">
        <v>58</v>
      </c>
      <c r="B67" s="9"/>
      <c r="C67" s="13"/>
      <c r="D67" s="11">
        <f t="shared" si="0"/>
        <v>0</v>
      </c>
    </row>
    <row r="68" spans="1:4" ht="18.75" hidden="1" x14ac:dyDescent="0.25">
      <c r="A68" s="14" t="s">
        <v>59</v>
      </c>
      <c r="B68" s="9"/>
      <c r="C68" s="10"/>
      <c r="D68" s="11">
        <f t="shared" si="0"/>
        <v>0</v>
      </c>
    </row>
    <row r="69" spans="1:4" ht="18.75" hidden="1" x14ac:dyDescent="0.25">
      <c r="A69" s="8" t="s">
        <v>60</v>
      </c>
      <c r="B69" s="9"/>
      <c r="C69" s="12">
        <v>15000</v>
      </c>
      <c r="D69" s="11">
        <f t="shared" ref="D69:D132" si="1">B69*C69</f>
        <v>0</v>
      </c>
    </row>
    <row r="70" spans="1:4" ht="18.75" hidden="1" x14ac:dyDescent="0.25">
      <c r="A70" s="8" t="s">
        <v>61</v>
      </c>
      <c r="B70" s="17"/>
      <c r="C70" s="10"/>
      <c r="D70" s="11">
        <f t="shared" si="1"/>
        <v>0</v>
      </c>
    </row>
    <row r="71" spans="1:4" ht="18.75" hidden="1" x14ac:dyDescent="0.25">
      <c r="A71" s="18" t="s">
        <v>62</v>
      </c>
      <c r="B71" s="9"/>
      <c r="C71" s="19"/>
      <c r="D71" s="11">
        <f t="shared" si="1"/>
        <v>0</v>
      </c>
    </row>
    <row r="72" spans="1:4" ht="18.75" hidden="1" x14ac:dyDescent="0.25">
      <c r="A72" s="18" t="s">
        <v>63</v>
      </c>
      <c r="B72" s="9"/>
      <c r="C72" s="10">
        <v>28000</v>
      </c>
      <c r="D72" s="11">
        <f t="shared" si="1"/>
        <v>0</v>
      </c>
    </row>
    <row r="73" spans="1:4" ht="18.75" x14ac:dyDescent="0.25">
      <c r="A73" s="14" t="s">
        <v>64</v>
      </c>
      <c r="B73" s="9">
        <v>170</v>
      </c>
      <c r="C73" s="10">
        <v>18000</v>
      </c>
      <c r="D73" s="11">
        <f t="shared" si="1"/>
        <v>3060000</v>
      </c>
    </row>
    <row r="74" spans="1:4" ht="18.75" hidden="1" x14ac:dyDescent="0.25">
      <c r="A74" s="14"/>
      <c r="B74" s="9"/>
      <c r="C74" s="10">
        <v>21000</v>
      </c>
      <c r="D74" s="11">
        <f t="shared" si="1"/>
        <v>0</v>
      </c>
    </row>
    <row r="75" spans="1:4" ht="18.75" hidden="1" x14ac:dyDescent="0.25">
      <c r="A75" s="14"/>
      <c r="B75" s="9"/>
      <c r="C75" s="10">
        <v>19000</v>
      </c>
      <c r="D75" s="11">
        <f t="shared" si="1"/>
        <v>0</v>
      </c>
    </row>
    <row r="76" spans="1:4" ht="18.75" hidden="1" x14ac:dyDescent="0.25">
      <c r="A76" s="14"/>
      <c r="B76" s="9"/>
      <c r="C76" s="10">
        <v>21000</v>
      </c>
      <c r="D76" s="11">
        <f t="shared" si="1"/>
        <v>0</v>
      </c>
    </row>
    <row r="77" spans="1:4" ht="18.75" hidden="1" x14ac:dyDescent="0.25">
      <c r="A77" s="8" t="s">
        <v>65</v>
      </c>
      <c r="B77" s="9"/>
      <c r="C77" s="12"/>
      <c r="D77" s="11">
        <f t="shared" si="1"/>
        <v>0</v>
      </c>
    </row>
    <row r="78" spans="1:4" ht="18.75" hidden="1" x14ac:dyDescent="0.25">
      <c r="A78" s="14" t="s">
        <v>66</v>
      </c>
      <c r="B78" s="9"/>
      <c r="C78" s="10"/>
      <c r="D78" s="11">
        <f t="shared" si="1"/>
        <v>0</v>
      </c>
    </row>
    <row r="79" spans="1:4" ht="18.75" hidden="1" x14ac:dyDescent="0.25">
      <c r="A79" s="8" t="s">
        <v>68</v>
      </c>
      <c r="B79" s="9"/>
      <c r="C79" s="10">
        <v>8000</v>
      </c>
      <c r="D79" s="11">
        <f t="shared" si="1"/>
        <v>0</v>
      </c>
    </row>
    <row r="80" spans="1:4" ht="18.75" hidden="1" x14ac:dyDescent="0.25">
      <c r="A80" s="14" t="s">
        <v>69</v>
      </c>
      <c r="B80" s="9"/>
      <c r="C80" s="15">
        <v>38000</v>
      </c>
      <c r="D80" s="11">
        <f t="shared" si="1"/>
        <v>0</v>
      </c>
    </row>
    <row r="81" spans="1:4" ht="18.75" hidden="1" x14ac:dyDescent="0.25">
      <c r="A81" s="14"/>
      <c r="B81" s="9"/>
      <c r="C81" s="15">
        <v>11500</v>
      </c>
      <c r="D81" s="11">
        <f t="shared" si="1"/>
        <v>0</v>
      </c>
    </row>
    <row r="82" spans="1:4" ht="18.75" hidden="1" x14ac:dyDescent="0.25">
      <c r="A82" s="14"/>
      <c r="B82" s="9"/>
      <c r="C82" s="15">
        <v>11000</v>
      </c>
      <c r="D82" s="11">
        <f t="shared" si="1"/>
        <v>0</v>
      </c>
    </row>
    <row r="83" spans="1:4" ht="18.75" hidden="1" x14ac:dyDescent="0.25">
      <c r="A83" s="14" t="s">
        <v>70</v>
      </c>
      <c r="B83" s="9"/>
      <c r="C83" s="15"/>
      <c r="D83" s="11">
        <f t="shared" si="1"/>
        <v>0</v>
      </c>
    </row>
    <row r="84" spans="1:4" ht="18.75" hidden="1" x14ac:dyDescent="0.25">
      <c r="A84" s="14" t="s">
        <v>71</v>
      </c>
      <c r="B84" s="9"/>
      <c r="C84" s="10"/>
      <c r="D84" s="11">
        <f t="shared" si="1"/>
        <v>0</v>
      </c>
    </row>
    <row r="85" spans="1:4" ht="18.75" hidden="1" x14ac:dyDescent="0.25">
      <c r="A85" s="8" t="s">
        <v>72</v>
      </c>
      <c r="B85" s="9"/>
      <c r="C85" s="12"/>
      <c r="D85" s="11">
        <f t="shared" si="1"/>
        <v>0</v>
      </c>
    </row>
    <row r="86" spans="1:4" ht="18.75" hidden="1" x14ac:dyDescent="0.25">
      <c r="A86" s="8" t="s">
        <v>73</v>
      </c>
      <c r="B86" s="9"/>
      <c r="C86" s="12">
        <v>25000</v>
      </c>
      <c r="D86" s="11">
        <f t="shared" si="1"/>
        <v>0</v>
      </c>
    </row>
    <row r="87" spans="1:4" ht="18.75" hidden="1" x14ac:dyDescent="0.25">
      <c r="A87" s="8" t="s">
        <v>74</v>
      </c>
      <c r="B87" s="9"/>
      <c r="C87" s="13"/>
      <c r="D87" s="11">
        <f t="shared" si="1"/>
        <v>0</v>
      </c>
    </row>
    <row r="88" spans="1:4" ht="18.75" hidden="1" x14ac:dyDescent="0.25">
      <c r="A88" s="20" t="s">
        <v>75</v>
      </c>
      <c r="B88" s="9"/>
      <c r="C88" s="15"/>
      <c r="D88" s="11">
        <f t="shared" si="1"/>
        <v>0</v>
      </c>
    </row>
    <row r="89" spans="1:4" ht="18.75" hidden="1" x14ac:dyDescent="0.25">
      <c r="A89" s="20" t="s">
        <v>76</v>
      </c>
      <c r="B89" s="9"/>
      <c r="C89" s="10"/>
      <c r="D89" s="11">
        <f t="shared" si="1"/>
        <v>0</v>
      </c>
    </row>
    <row r="90" spans="1:4" ht="18.75" hidden="1" x14ac:dyDescent="0.25">
      <c r="A90" s="20" t="s">
        <v>77</v>
      </c>
      <c r="B90" s="9"/>
      <c r="C90" s="13"/>
      <c r="D90" s="11">
        <f t="shared" si="1"/>
        <v>0</v>
      </c>
    </row>
    <row r="91" spans="1:4" ht="18.75" hidden="1" x14ac:dyDescent="0.25">
      <c r="A91" s="8" t="s">
        <v>78</v>
      </c>
      <c r="B91" s="9"/>
      <c r="C91" s="12">
        <v>11000</v>
      </c>
      <c r="D91" s="11">
        <f t="shared" si="1"/>
        <v>0</v>
      </c>
    </row>
    <row r="92" spans="1:4" ht="18.75" hidden="1" x14ac:dyDescent="0.25">
      <c r="A92" s="8"/>
      <c r="B92" s="9"/>
      <c r="C92" s="12">
        <v>10000</v>
      </c>
      <c r="D92" s="11">
        <f t="shared" si="1"/>
        <v>0</v>
      </c>
    </row>
    <row r="93" spans="1:4" ht="18.75" hidden="1" x14ac:dyDescent="0.25">
      <c r="A93" s="8"/>
      <c r="B93" s="9"/>
      <c r="C93" s="12">
        <v>8000</v>
      </c>
      <c r="D93" s="11">
        <f t="shared" si="1"/>
        <v>0</v>
      </c>
    </row>
    <row r="94" spans="1:4" ht="18.75" hidden="1" x14ac:dyDescent="0.25">
      <c r="A94" s="8"/>
      <c r="B94" s="9"/>
      <c r="C94" s="12">
        <v>9000</v>
      </c>
      <c r="D94" s="11">
        <f t="shared" si="1"/>
        <v>0</v>
      </c>
    </row>
    <row r="95" spans="1:4" ht="18.75" hidden="1" x14ac:dyDescent="0.25">
      <c r="A95" s="8" t="s">
        <v>79</v>
      </c>
      <c r="B95" s="9"/>
      <c r="C95" s="13"/>
      <c r="D95" s="11">
        <f t="shared" si="1"/>
        <v>0</v>
      </c>
    </row>
    <row r="96" spans="1:4" ht="18.75" hidden="1" x14ac:dyDescent="0.25">
      <c r="A96" s="8" t="s">
        <v>80</v>
      </c>
      <c r="B96" s="9"/>
      <c r="C96" s="10"/>
      <c r="D96" s="11">
        <f t="shared" si="1"/>
        <v>0</v>
      </c>
    </row>
    <row r="97" spans="1:4" ht="18.75" hidden="1" x14ac:dyDescent="0.25">
      <c r="A97" s="8" t="s">
        <v>81</v>
      </c>
      <c r="B97" s="9"/>
      <c r="C97" s="13"/>
      <c r="D97" s="11">
        <f t="shared" si="1"/>
        <v>0</v>
      </c>
    </row>
    <row r="98" spans="1:4" ht="18.75" hidden="1" x14ac:dyDescent="0.25">
      <c r="A98" s="8" t="s">
        <v>82</v>
      </c>
      <c r="B98" s="9"/>
      <c r="C98" s="10">
        <v>150000</v>
      </c>
      <c r="D98" s="11">
        <f t="shared" si="1"/>
        <v>0</v>
      </c>
    </row>
    <row r="99" spans="1:4" ht="18.75" hidden="1" x14ac:dyDescent="0.25">
      <c r="A99" s="8" t="s">
        <v>83</v>
      </c>
      <c r="B99" s="9"/>
      <c r="C99" s="10"/>
      <c r="D99" s="11">
        <f t="shared" si="1"/>
        <v>0</v>
      </c>
    </row>
    <row r="100" spans="1:4" ht="18.75" hidden="1" x14ac:dyDescent="0.25">
      <c r="A100" s="8" t="s">
        <v>84</v>
      </c>
      <c r="B100" s="9"/>
      <c r="C100" s="10">
        <v>50000</v>
      </c>
      <c r="D100" s="11">
        <f t="shared" si="1"/>
        <v>0</v>
      </c>
    </row>
    <row r="101" spans="1:4" ht="18.75" hidden="1" x14ac:dyDescent="0.25">
      <c r="A101" s="8" t="s">
        <v>85</v>
      </c>
      <c r="B101" s="9"/>
      <c r="C101" s="10">
        <v>80000</v>
      </c>
      <c r="D101" s="11">
        <f t="shared" si="1"/>
        <v>0</v>
      </c>
    </row>
    <row r="102" spans="1:4" ht="18.75" hidden="1" x14ac:dyDescent="0.25">
      <c r="A102" s="8" t="s">
        <v>86</v>
      </c>
      <c r="B102" s="9"/>
      <c r="C102" s="10">
        <v>50000</v>
      </c>
      <c r="D102" s="11">
        <f t="shared" si="1"/>
        <v>0</v>
      </c>
    </row>
    <row r="103" spans="1:4" ht="18.75" x14ac:dyDescent="0.25">
      <c r="A103" s="8" t="s">
        <v>87</v>
      </c>
      <c r="B103" s="9">
        <v>0.5</v>
      </c>
      <c r="C103" s="12">
        <v>17500</v>
      </c>
      <c r="D103" s="11">
        <f t="shared" si="1"/>
        <v>8750</v>
      </c>
    </row>
    <row r="104" spans="1:4" ht="18.75" hidden="1" x14ac:dyDescent="0.25">
      <c r="A104" s="8" t="s">
        <v>88</v>
      </c>
      <c r="B104" s="9"/>
      <c r="C104" s="10">
        <v>45000</v>
      </c>
      <c r="D104" s="11">
        <f t="shared" si="1"/>
        <v>0</v>
      </c>
    </row>
    <row r="105" spans="1:4" ht="18.75" hidden="1" x14ac:dyDescent="0.25">
      <c r="A105" s="8" t="s">
        <v>89</v>
      </c>
      <c r="B105" s="9"/>
      <c r="C105" s="12">
        <v>70000</v>
      </c>
      <c r="D105" s="11">
        <f t="shared" si="1"/>
        <v>0</v>
      </c>
    </row>
    <row r="106" spans="1:4" ht="18.75" hidden="1" x14ac:dyDescent="0.25">
      <c r="A106" s="8" t="s">
        <v>90</v>
      </c>
      <c r="B106" s="9"/>
      <c r="C106" s="10">
        <v>50000</v>
      </c>
      <c r="D106" s="11">
        <f t="shared" si="1"/>
        <v>0</v>
      </c>
    </row>
    <row r="107" spans="1:4" ht="18.75" hidden="1" x14ac:dyDescent="0.25">
      <c r="A107" s="8" t="s">
        <v>91</v>
      </c>
      <c r="B107" s="9"/>
      <c r="C107" s="10"/>
      <c r="D107" s="11">
        <f t="shared" si="1"/>
        <v>0</v>
      </c>
    </row>
    <row r="108" spans="1:4" ht="18.75" hidden="1" x14ac:dyDescent="0.25">
      <c r="A108" s="8" t="s">
        <v>92</v>
      </c>
      <c r="B108" s="9"/>
      <c r="C108" s="10"/>
      <c r="D108" s="11">
        <f t="shared" si="1"/>
        <v>0</v>
      </c>
    </row>
    <row r="109" spans="1:4" ht="18.75" hidden="1" x14ac:dyDescent="0.25">
      <c r="A109" s="8" t="s">
        <v>93</v>
      </c>
      <c r="B109" s="9"/>
      <c r="C109" s="10"/>
      <c r="D109" s="11">
        <f t="shared" si="1"/>
        <v>0</v>
      </c>
    </row>
    <row r="110" spans="1:4" ht="18.75" hidden="1" x14ac:dyDescent="0.25">
      <c r="A110" s="8" t="s">
        <v>94</v>
      </c>
      <c r="B110" s="9"/>
      <c r="C110" s="10"/>
      <c r="D110" s="11">
        <f t="shared" si="1"/>
        <v>0</v>
      </c>
    </row>
    <row r="111" spans="1:4" ht="18.75" hidden="1" x14ac:dyDescent="0.25">
      <c r="A111" s="8" t="s">
        <v>95</v>
      </c>
      <c r="B111" s="9"/>
      <c r="C111" s="12">
        <v>12000</v>
      </c>
      <c r="D111" s="11">
        <f t="shared" si="1"/>
        <v>0</v>
      </c>
    </row>
    <row r="112" spans="1:4" ht="18.75" hidden="1" x14ac:dyDescent="0.25">
      <c r="A112" s="8" t="s">
        <v>96</v>
      </c>
      <c r="B112" s="9"/>
      <c r="C112" s="10"/>
      <c r="D112" s="11">
        <f t="shared" si="1"/>
        <v>0</v>
      </c>
    </row>
    <row r="113" spans="1:4" ht="18.75" hidden="1" x14ac:dyDescent="0.25">
      <c r="A113" s="8" t="s">
        <v>97</v>
      </c>
      <c r="B113" s="9"/>
      <c r="C113" s="10">
        <v>12000</v>
      </c>
      <c r="D113" s="11">
        <f t="shared" si="1"/>
        <v>0</v>
      </c>
    </row>
    <row r="114" spans="1:4" ht="18.75" hidden="1" x14ac:dyDescent="0.25">
      <c r="A114" s="8" t="s">
        <v>98</v>
      </c>
      <c r="B114" s="9"/>
      <c r="C114" s="10"/>
      <c r="D114" s="11">
        <f t="shared" si="1"/>
        <v>0</v>
      </c>
    </row>
    <row r="115" spans="1:4" ht="18.75" hidden="1" x14ac:dyDescent="0.25">
      <c r="A115" s="8" t="s">
        <v>99</v>
      </c>
      <c r="B115" s="9"/>
      <c r="C115" s="12"/>
      <c r="D115" s="11">
        <f t="shared" si="1"/>
        <v>0</v>
      </c>
    </row>
    <row r="116" spans="1:4" ht="18.75" hidden="1" x14ac:dyDescent="0.25">
      <c r="A116" s="14" t="s">
        <v>100</v>
      </c>
      <c r="B116" s="9"/>
      <c r="C116" s="10"/>
      <c r="D116" s="11">
        <f t="shared" si="1"/>
        <v>0</v>
      </c>
    </row>
    <row r="117" spans="1:4" ht="18.75" hidden="1" x14ac:dyDescent="0.25">
      <c r="A117" s="14" t="s">
        <v>101</v>
      </c>
      <c r="B117" s="9"/>
      <c r="C117" s="10"/>
      <c r="D117" s="11">
        <f t="shared" si="1"/>
        <v>0</v>
      </c>
    </row>
    <row r="118" spans="1:4" ht="18.75" hidden="1" x14ac:dyDescent="0.25">
      <c r="A118" s="14" t="s">
        <v>102</v>
      </c>
      <c r="B118" s="21"/>
      <c r="C118" s="10"/>
      <c r="D118" s="11">
        <f t="shared" si="1"/>
        <v>0</v>
      </c>
    </row>
    <row r="119" spans="1:4" ht="18.75" hidden="1" x14ac:dyDescent="0.25">
      <c r="A119" s="8" t="s">
        <v>103</v>
      </c>
      <c r="B119" s="9"/>
      <c r="C119" s="10"/>
      <c r="D119" s="11">
        <f t="shared" si="1"/>
        <v>0</v>
      </c>
    </row>
    <row r="120" spans="1:4" ht="18.75" hidden="1" x14ac:dyDescent="0.25">
      <c r="A120" s="8" t="s">
        <v>104</v>
      </c>
      <c r="B120" s="9"/>
      <c r="C120" s="12"/>
      <c r="D120" s="11">
        <f t="shared" si="1"/>
        <v>0</v>
      </c>
    </row>
    <row r="121" spans="1:4" ht="18.75" hidden="1" x14ac:dyDescent="0.25">
      <c r="A121" s="8" t="s">
        <v>105</v>
      </c>
      <c r="B121" s="9"/>
      <c r="C121" s="10"/>
      <c r="D121" s="11">
        <f t="shared" si="1"/>
        <v>0</v>
      </c>
    </row>
    <row r="122" spans="1:4" ht="18.75" hidden="1" x14ac:dyDescent="0.25">
      <c r="A122" s="8" t="s">
        <v>106</v>
      </c>
      <c r="B122" s="9"/>
      <c r="C122" s="10"/>
      <c r="D122" s="11">
        <f t="shared" si="1"/>
        <v>0</v>
      </c>
    </row>
    <row r="123" spans="1:4" ht="18.75" hidden="1" x14ac:dyDescent="0.25">
      <c r="A123" s="8" t="s">
        <v>107</v>
      </c>
      <c r="B123" s="9"/>
      <c r="C123" s="10"/>
      <c r="D123" s="11">
        <f t="shared" si="1"/>
        <v>0</v>
      </c>
    </row>
    <row r="124" spans="1:4" ht="18.75" hidden="1" x14ac:dyDescent="0.25">
      <c r="A124" s="22" t="s">
        <v>108</v>
      </c>
      <c r="B124" s="9"/>
      <c r="C124" s="10"/>
      <c r="D124" s="11">
        <f t="shared" si="1"/>
        <v>0</v>
      </c>
    </row>
    <row r="125" spans="1:4" ht="18.75" hidden="1" x14ac:dyDescent="0.25">
      <c r="A125" s="8" t="s">
        <v>109</v>
      </c>
      <c r="B125" s="9"/>
      <c r="C125" s="12">
        <v>10000</v>
      </c>
      <c r="D125" s="11">
        <f t="shared" si="1"/>
        <v>0</v>
      </c>
    </row>
    <row r="126" spans="1:4" ht="18.75" hidden="1" x14ac:dyDescent="0.25">
      <c r="A126" s="8" t="s">
        <v>110</v>
      </c>
      <c r="B126" s="9"/>
      <c r="C126" s="10">
        <v>7500</v>
      </c>
      <c r="D126" s="11">
        <f t="shared" si="1"/>
        <v>0</v>
      </c>
    </row>
    <row r="127" spans="1:4" ht="18.75" hidden="1" x14ac:dyDescent="0.25">
      <c r="A127" s="8" t="s">
        <v>111</v>
      </c>
      <c r="B127" s="9"/>
      <c r="C127" s="13"/>
      <c r="D127" s="11">
        <f t="shared" si="1"/>
        <v>0</v>
      </c>
    </row>
    <row r="128" spans="1:4" ht="18.75" x14ac:dyDescent="0.25">
      <c r="A128" s="14" t="s">
        <v>112</v>
      </c>
      <c r="B128" s="9">
        <v>660</v>
      </c>
      <c r="C128" s="10">
        <v>20000</v>
      </c>
      <c r="D128" s="11">
        <f t="shared" si="1"/>
        <v>13200000</v>
      </c>
    </row>
    <row r="129" spans="1:4" ht="18.75" x14ac:dyDescent="0.25">
      <c r="A129" s="14" t="s">
        <v>113</v>
      </c>
      <c r="B129" s="9">
        <v>260</v>
      </c>
      <c r="C129" s="10">
        <v>17000</v>
      </c>
      <c r="D129" s="11">
        <f t="shared" si="1"/>
        <v>4420000</v>
      </c>
    </row>
    <row r="130" spans="1:4" ht="18.75" x14ac:dyDescent="0.25">
      <c r="A130" s="8" t="s">
        <v>114</v>
      </c>
      <c r="B130" s="9">
        <v>560</v>
      </c>
      <c r="C130" s="12">
        <v>14000</v>
      </c>
      <c r="D130" s="11">
        <f t="shared" si="1"/>
        <v>7840000</v>
      </c>
    </row>
    <row r="131" spans="1:4" ht="18.75" x14ac:dyDescent="0.25">
      <c r="A131" s="14" t="s">
        <v>115</v>
      </c>
      <c r="B131" s="9">
        <v>11</v>
      </c>
      <c r="C131" s="10">
        <v>25000</v>
      </c>
      <c r="D131" s="11">
        <f t="shared" si="1"/>
        <v>275000</v>
      </c>
    </row>
    <row r="132" spans="1:4" ht="18.75" hidden="1" x14ac:dyDescent="0.25">
      <c r="A132" s="14" t="s">
        <v>116</v>
      </c>
      <c r="B132" s="9"/>
      <c r="C132" s="12"/>
      <c r="D132" s="11">
        <f t="shared" si="1"/>
        <v>0</v>
      </c>
    </row>
    <row r="133" spans="1:4" ht="18.75" hidden="1" x14ac:dyDescent="0.25">
      <c r="A133" s="8" t="s">
        <v>237</v>
      </c>
      <c r="B133" s="9"/>
      <c r="C133" s="13"/>
      <c r="D133" s="11">
        <f t="shared" ref="D133:D196" si="2">B133*C133</f>
        <v>0</v>
      </c>
    </row>
    <row r="134" spans="1:4" ht="18.75" hidden="1" x14ac:dyDescent="0.25">
      <c r="A134" s="8" t="s">
        <v>117</v>
      </c>
      <c r="B134" s="9"/>
      <c r="C134" s="10"/>
      <c r="D134" s="11">
        <f t="shared" si="2"/>
        <v>0</v>
      </c>
    </row>
    <row r="135" spans="1:4" ht="18.75" hidden="1" x14ac:dyDescent="0.25">
      <c r="A135" s="8" t="s">
        <v>118</v>
      </c>
      <c r="B135" s="9"/>
      <c r="C135" s="12"/>
      <c r="D135" s="11">
        <f t="shared" si="2"/>
        <v>0</v>
      </c>
    </row>
    <row r="136" spans="1:4" ht="18.75" hidden="1" x14ac:dyDescent="0.25">
      <c r="A136" s="8" t="s">
        <v>119</v>
      </c>
      <c r="B136" s="9"/>
      <c r="C136" s="10"/>
      <c r="D136" s="11">
        <f t="shared" si="2"/>
        <v>0</v>
      </c>
    </row>
    <row r="137" spans="1:4" ht="18.75" hidden="1" x14ac:dyDescent="0.25">
      <c r="A137" s="8" t="s">
        <v>120</v>
      </c>
      <c r="B137" s="9"/>
      <c r="C137" s="10">
        <v>16000</v>
      </c>
      <c r="D137" s="11">
        <f t="shared" si="2"/>
        <v>0</v>
      </c>
    </row>
    <row r="138" spans="1:4" ht="18.75" x14ac:dyDescent="0.25">
      <c r="A138" s="8" t="s">
        <v>121</v>
      </c>
      <c r="B138" s="9">
        <v>120</v>
      </c>
      <c r="C138" s="13">
        <v>22000</v>
      </c>
      <c r="D138" s="11">
        <f t="shared" si="2"/>
        <v>2640000</v>
      </c>
    </row>
    <row r="139" spans="1:4" ht="18.75" hidden="1" x14ac:dyDescent="0.25">
      <c r="A139" s="8"/>
      <c r="B139" s="9"/>
      <c r="C139" s="13">
        <v>21000</v>
      </c>
      <c r="D139" s="11">
        <f t="shared" si="2"/>
        <v>0</v>
      </c>
    </row>
    <row r="140" spans="1:4" ht="18.75" hidden="1" x14ac:dyDescent="0.25">
      <c r="A140" s="8"/>
      <c r="B140" s="9"/>
      <c r="C140" s="13">
        <v>22000</v>
      </c>
      <c r="D140" s="11">
        <f t="shared" si="2"/>
        <v>0</v>
      </c>
    </row>
    <row r="141" spans="1:4" ht="18.75" hidden="1" x14ac:dyDescent="0.25">
      <c r="A141" s="8" t="s">
        <v>122</v>
      </c>
      <c r="B141" s="9"/>
      <c r="C141" s="12">
        <v>22000</v>
      </c>
      <c r="D141" s="11">
        <f t="shared" si="2"/>
        <v>0</v>
      </c>
    </row>
    <row r="142" spans="1:4" ht="18.75" hidden="1" x14ac:dyDescent="0.25">
      <c r="A142" s="8" t="s">
        <v>123</v>
      </c>
      <c r="B142" s="9"/>
      <c r="C142" s="12"/>
      <c r="D142" s="11">
        <f t="shared" si="2"/>
        <v>0</v>
      </c>
    </row>
    <row r="143" spans="1:4" ht="18.75" hidden="1" x14ac:dyDescent="0.25">
      <c r="A143" s="8" t="s">
        <v>124</v>
      </c>
      <c r="B143" s="9"/>
      <c r="C143" s="13"/>
      <c r="D143" s="11">
        <f t="shared" si="2"/>
        <v>0</v>
      </c>
    </row>
    <row r="144" spans="1:4" ht="18.75" hidden="1" x14ac:dyDescent="0.25">
      <c r="A144" s="18" t="s">
        <v>125</v>
      </c>
      <c r="B144" s="9"/>
      <c r="C144" s="12">
        <v>5500</v>
      </c>
      <c r="D144" s="11">
        <f t="shared" si="2"/>
        <v>0</v>
      </c>
    </row>
    <row r="145" spans="1:4" ht="18.75" hidden="1" x14ac:dyDescent="0.25">
      <c r="A145" s="18"/>
      <c r="B145" s="9"/>
      <c r="C145" s="12">
        <v>5500</v>
      </c>
      <c r="D145" s="11">
        <f t="shared" si="2"/>
        <v>0</v>
      </c>
    </row>
    <row r="146" spans="1:4" ht="18.75" hidden="1" x14ac:dyDescent="0.25">
      <c r="A146" s="18"/>
      <c r="B146" s="9"/>
      <c r="C146" s="12">
        <v>5500</v>
      </c>
      <c r="D146" s="11">
        <f t="shared" si="2"/>
        <v>0</v>
      </c>
    </row>
    <row r="147" spans="1:4" ht="18.75" hidden="1" x14ac:dyDescent="0.25">
      <c r="A147" s="8" t="s">
        <v>126</v>
      </c>
      <c r="B147" s="9"/>
      <c r="C147" s="13"/>
      <c r="D147" s="11">
        <f t="shared" si="2"/>
        <v>0</v>
      </c>
    </row>
    <row r="148" spans="1:4" ht="18.75" hidden="1" x14ac:dyDescent="0.25">
      <c r="A148" s="8" t="s">
        <v>127</v>
      </c>
      <c r="B148" s="9"/>
      <c r="C148" s="13"/>
      <c r="D148" s="11">
        <f t="shared" si="2"/>
        <v>0</v>
      </c>
    </row>
    <row r="149" spans="1:4" ht="18.75" hidden="1" x14ac:dyDescent="0.25">
      <c r="A149" s="8" t="s">
        <v>128</v>
      </c>
      <c r="B149" s="9"/>
      <c r="C149" s="10">
        <v>11000</v>
      </c>
      <c r="D149" s="11">
        <f t="shared" si="2"/>
        <v>0</v>
      </c>
    </row>
    <row r="150" spans="1:4" ht="18.75" hidden="1" x14ac:dyDescent="0.25">
      <c r="A150" s="8"/>
      <c r="B150" s="9"/>
      <c r="C150" s="10">
        <v>10000</v>
      </c>
      <c r="D150" s="11">
        <f t="shared" si="2"/>
        <v>0</v>
      </c>
    </row>
    <row r="151" spans="1:4" ht="18.75" hidden="1" x14ac:dyDescent="0.25">
      <c r="A151" s="8"/>
      <c r="B151" s="9"/>
      <c r="C151" s="10">
        <v>8240</v>
      </c>
      <c r="D151" s="11">
        <f t="shared" si="2"/>
        <v>0</v>
      </c>
    </row>
    <row r="152" spans="1:4" ht="18.75" hidden="1" x14ac:dyDescent="0.25">
      <c r="A152" s="8"/>
      <c r="B152" s="9"/>
      <c r="C152" s="10">
        <v>10000</v>
      </c>
      <c r="D152" s="11">
        <f t="shared" si="2"/>
        <v>0</v>
      </c>
    </row>
    <row r="153" spans="1:4" ht="18.75" hidden="1" x14ac:dyDescent="0.25">
      <c r="A153" s="14" t="s">
        <v>129</v>
      </c>
      <c r="B153" s="9"/>
      <c r="C153" s="10"/>
      <c r="D153" s="11">
        <f t="shared" si="2"/>
        <v>0</v>
      </c>
    </row>
    <row r="154" spans="1:4" ht="18.75" hidden="1" x14ac:dyDescent="0.25">
      <c r="A154" s="8" t="s">
        <v>130</v>
      </c>
      <c r="B154" s="9"/>
      <c r="C154" s="12">
        <v>15000</v>
      </c>
      <c r="D154" s="11">
        <f t="shared" si="2"/>
        <v>0</v>
      </c>
    </row>
    <row r="155" spans="1:4" ht="18.75" hidden="1" x14ac:dyDescent="0.25">
      <c r="A155" s="8"/>
      <c r="B155" s="9"/>
      <c r="C155" s="12">
        <v>10500</v>
      </c>
      <c r="D155" s="11">
        <f t="shared" si="2"/>
        <v>0</v>
      </c>
    </row>
    <row r="156" spans="1:4" ht="18.75" hidden="1" x14ac:dyDescent="0.25">
      <c r="A156" s="8"/>
      <c r="B156" s="9"/>
      <c r="C156" s="12">
        <v>9000</v>
      </c>
      <c r="D156" s="11">
        <f t="shared" si="2"/>
        <v>0</v>
      </c>
    </row>
    <row r="157" spans="1:4" ht="18.75" hidden="1" x14ac:dyDescent="0.25">
      <c r="A157" s="8" t="s">
        <v>131</v>
      </c>
      <c r="B157" s="9"/>
      <c r="C157" s="12"/>
      <c r="D157" s="11">
        <f t="shared" si="2"/>
        <v>0</v>
      </c>
    </row>
    <row r="158" spans="1:4" ht="18.75" hidden="1" x14ac:dyDescent="0.25">
      <c r="A158" s="8" t="s">
        <v>132</v>
      </c>
      <c r="B158" s="9"/>
      <c r="C158" s="10"/>
      <c r="D158" s="11">
        <f t="shared" si="2"/>
        <v>0</v>
      </c>
    </row>
    <row r="159" spans="1:4" ht="18.75" hidden="1" x14ac:dyDescent="0.25">
      <c r="A159" s="8" t="s">
        <v>133</v>
      </c>
      <c r="B159" s="9"/>
      <c r="C159" s="10"/>
      <c r="D159" s="11">
        <f t="shared" si="2"/>
        <v>0</v>
      </c>
    </row>
    <row r="160" spans="1:4" ht="18.75" hidden="1" x14ac:dyDescent="0.25">
      <c r="A160" s="8" t="s">
        <v>134</v>
      </c>
      <c r="B160" s="9"/>
      <c r="C160" s="10">
        <v>7000</v>
      </c>
      <c r="D160" s="11">
        <f t="shared" si="2"/>
        <v>0</v>
      </c>
    </row>
    <row r="161" spans="1:4" ht="18.75" hidden="1" x14ac:dyDescent="0.25">
      <c r="A161" s="8" t="s">
        <v>135</v>
      </c>
      <c r="B161" s="9"/>
      <c r="C161" s="19"/>
      <c r="D161" s="11">
        <f t="shared" si="2"/>
        <v>0</v>
      </c>
    </row>
    <row r="162" spans="1:4" ht="18.75" hidden="1" x14ac:dyDescent="0.25">
      <c r="A162" s="8" t="s">
        <v>136</v>
      </c>
      <c r="B162" s="9"/>
      <c r="C162" s="10">
        <v>15000</v>
      </c>
      <c r="D162" s="11">
        <f t="shared" si="2"/>
        <v>0</v>
      </c>
    </row>
    <row r="163" spans="1:4" ht="18.75" hidden="1" x14ac:dyDescent="0.25">
      <c r="A163" s="8" t="s">
        <v>137</v>
      </c>
      <c r="B163" s="9"/>
      <c r="C163" s="13"/>
      <c r="D163" s="11">
        <f t="shared" si="2"/>
        <v>0</v>
      </c>
    </row>
    <row r="164" spans="1:4" ht="18.75" hidden="1" x14ac:dyDescent="0.25">
      <c r="A164" s="8" t="s">
        <v>138</v>
      </c>
      <c r="B164" s="9"/>
      <c r="C164" s="13">
        <v>25000</v>
      </c>
      <c r="D164" s="11">
        <f t="shared" si="2"/>
        <v>0</v>
      </c>
    </row>
    <row r="165" spans="1:4" ht="18.75" hidden="1" x14ac:dyDescent="0.25">
      <c r="A165" s="23" t="s">
        <v>139</v>
      </c>
      <c r="B165" s="9"/>
      <c r="C165" s="10"/>
      <c r="D165" s="11">
        <f t="shared" si="2"/>
        <v>0</v>
      </c>
    </row>
    <row r="166" spans="1:4" ht="18.75" hidden="1" x14ac:dyDescent="0.25">
      <c r="A166" s="8" t="s">
        <v>140</v>
      </c>
      <c r="B166" s="9"/>
      <c r="C166" s="10"/>
      <c r="D166" s="11">
        <f t="shared" si="2"/>
        <v>0</v>
      </c>
    </row>
    <row r="167" spans="1:4" ht="18.75" hidden="1" x14ac:dyDescent="0.25">
      <c r="A167" s="14" t="s">
        <v>141</v>
      </c>
      <c r="B167" s="9"/>
      <c r="C167" s="10">
        <v>10000</v>
      </c>
      <c r="D167" s="11">
        <f t="shared" si="2"/>
        <v>0</v>
      </c>
    </row>
    <row r="168" spans="1:4" ht="18.75" hidden="1" x14ac:dyDescent="0.25">
      <c r="A168" s="8" t="s">
        <v>142</v>
      </c>
      <c r="B168" s="9"/>
      <c r="C168" s="10"/>
      <c r="D168" s="11">
        <f t="shared" si="2"/>
        <v>0</v>
      </c>
    </row>
    <row r="169" spans="1:4" ht="18.75" hidden="1" x14ac:dyDescent="0.25">
      <c r="A169" s="8" t="s">
        <v>143</v>
      </c>
      <c r="B169" s="9"/>
      <c r="C169" s="13">
        <v>7000</v>
      </c>
      <c r="D169" s="11">
        <f t="shared" si="2"/>
        <v>0</v>
      </c>
    </row>
    <row r="170" spans="1:4" ht="18.75" hidden="1" x14ac:dyDescent="0.25">
      <c r="A170" s="8"/>
      <c r="B170" s="9"/>
      <c r="C170" s="13">
        <v>7500</v>
      </c>
      <c r="D170" s="11">
        <f t="shared" si="2"/>
        <v>0</v>
      </c>
    </row>
    <row r="171" spans="1:4" ht="18.75" hidden="1" x14ac:dyDescent="0.25">
      <c r="A171" s="8" t="s">
        <v>144</v>
      </c>
      <c r="B171" s="9"/>
      <c r="C171" s="10"/>
      <c r="D171" s="11">
        <f t="shared" si="2"/>
        <v>0</v>
      </c>
    </row>
    <row r="172" spans="1:4" ht="18.75" hidden="1" x14ac:dyDescent="0.25">
      <c r="A172" s="8" t="s">
        <v>145</v>
      </c>
      <c r="B172" s="9"/>
      <c r="C172" s="12">
        <v>13000</v>
      </c>
      <c r="D172" s="11">
        <f t="shared" si="2"/>
        <v>0</v>
      </c>
    </row>
    <row r="173" spans="1:4" ht="18.75" hidden="1" x14ac:dyDescent="0.25">
      <c r="A173" s="8" t="s">
        <v>146</v>
      </c>
      <c r="B173" s="9"/>
      <c r="C173" s="12"/>
      <c r="D173" s="11">
        <f t="shared" si="2"/>
        <v>0</v>
      </c>
    </row>
    <row r="174" spans="1:4" ht="18.75" hidden="1" x14ac:dyDescent="0.25">
      <c r="A174" s="8" t="s">
        <v>147</v>
      </c>
      <c r="B174" s="9"/>
      <c r="C174" s="12"/>
      <c r="D174" s="11">
        <f t="shared" si="2"/>
        <v>0</v>
      </c>
    </row>
    <row r="175" spans="1:4" ht="18.75" hidden="1" x14ac:dyDescent="0.25">
      <c r="A175" s="24" t="s">
        <v>148</v>
      </c>
      <c r="B175" s="9"/>
      <c r="C175" s="12"/>
      <c r="D175" s="11">
        <f t="shared" si="2"/>
        <v>0</v>
      </c>
    </row>
    <row r="176" spans="1:4" ht="18.75" hidden="1" x14ac:dyDescent="0.25">
      <c r="A176" s="8" t="s">
        <v>149</v>
      </c>
      <c r="B176" s="9"/>
      <c r="C176" s="10"/>
      <c r="D176" s="11">
        <f t="shared" si="2"/>
        <v>0</v>
      </c>
    </row>
    <row r="177" spans="1:4" ht="18.75" hidden="1" x14ac:dyDescent="0.25">
      <c r="A177" s="8" t="s">
        <v>150</v>
      </c>
      <c r="B177" s="9"/>
      <c r="C177" s="25"/>
      <c r="D177" s="11">
        <f t="shared" si="2"/>
        <v>0</v>
      </c>
    </row>
    <row r="178" spans="1:4" ht="18.75" hidden="1" x14ac:dyDescent="0.25">
      <c r="A178" s="14" t="s">
        <v>151</v>
      </c>
      <c r="B178" s="9"/>
      <c r="C178" s="10"/>
      <c r="D178" s="11">
        <f t="shared" si="2"/>
        <v>0</v>
      </c>
    </row>
    <row r="179" spans="1:4" ht="18.75" hidden="1" x14ac:dyDescent="0.25">
      <c r="A179" s="14" t="s">
        <v>152</v>
      </c>
      <c r="B179" s="9"/>
      <c r="C179" s="10"/>
      <c r="D179" s="11">
        <f t="shared" si="2"/>
        <v>0</v>
      </c>
    </row>
    <row r="180" spans="1:4" ht="18.75" hidden="1" x14ac:dyDescent="0.25">
      <c r="A180" s="8" t="s">
        <v>153</v>
      </c>
      <c r="B180" s="9"/>
      <c r="C180" s="10"/>
      <c r="D180" s="11">
        <f t="shared" si="2"/>
        <v>0</v>
      </c>
    </row>
    <row r="181" spans="1:4" ht="18.75" hidden="1" x14ac:dyDescent="0.25">
      <c r="A181" s="8" t="s">
        <v>154</v>
      </c>
      <c r="B181" s="9"/>
      <c r="C181" s="10"/>
      <c r="D181" s="11">
        <f t="shared" si="2"/>
        <v>0</v>
      </c>
    </row>
    <row r="182" spans="1:4" ht="18.75" x14ac:dyDescent="0.25">
      <c r="A182" s="8" t="s">
        <v>155</v>
      </c>
      <c r="B182" s="9">
        <v>2</v>
      </c>
      <c r="C182" s="10">
        <v>26000</v>
      </c>
      <c r="D182" s="11">
        <f t="shared" si="2"/>
        <v>52000</v>
      </c>
    </row>
    <row r="183" spans="1:4" ht="18.75" hidden="1" x14ac:dyDescent="0.25">
      <c r="A183" s="8" t="s">
        <v>156</v>
      </c>
      <c r="B183" s="9"/>
      <c r="C183" s="10"/>
      <c r="D183" s="11">
        <f t="shared" si="2"/>
        <v>0</v>
      </c>
    </row>
    <row r="184" spans="1:4" ht="18.75" hidden="1" x14ac:dyDescent="0.25">
      <c r="A184" s="8" t="s">
        <v>157</v>
      </c>
      <c r="B184" s="9"/>
      <c r="C184" s="10">
        <v>15000</v>
      </c>
      <c r="D184" s="11">
        <f t="shared" si="2"/>
        <v>0</v>
      </c>
    </row>
    <row r="185" spans="1:4" ht="18.75" hidden="1" x14ac:dyDescent="0.25">
      <c r="A185" s="8" t="s">
        <v>158</v>
      </c>
      <c r="B185" s="9"/>
      <c r="C185" s="10"/>
      <c r="D185" s="11">
        <f t="shared" si="2"/>
        <v>0</v>
      </c>
    </row>
    <row r="186" spans="1:4" ht="18.75" hidden="1" x14ac:dyDescent="0.25">
      <c r="A186" s="8" t="s">
        <v>159</v>
      </c>
      <c r="B186" s="9"/>
      <c r="C186" s="10"/>
      <c r="D186" s="11">
        <f t="shared" si="2"/>
        <v>0</v>
      </c>
    </row>
    <row r="187" spans="1:4" ht="18.75" hidden="1" x14ac:dyDescent="0.25">
      <c r="A187" s="8" t="s">
        <v>160</v>
      </c>
      <c r="B187" s="9"/>
      <c r="C187" s="10"/>
      <c r="D187" s="11">
        <f t="shared" si="2"/>
        <v>0</v>
      </c>
    </row>
    <row r="188" spans="1:4" ht="18.75" hidden="1" x14ac:dyDescent="0.25">
      <c r="A188" s="8" t="s">
        <v>161</v>
      </c>
      <c r="B188" s="9"/>
      <c r="C188" s="10">
        <v>32000</v>
      </c>
      <c r="D188" s="11">
        <f t="shared" si="2"/>
        <v>0</v>
      </c>
    </row>
    <row r="189" spans="1:4" ht="18.75" hidden="1" x14ac:dyDescent="0.25">
      <c r="A189" s="8" t="s">
        <v>162</v>
      </c>
      <c r="B189" s="9"/>
      <c r="C189" s="10"/>
      <c r="D189" s="11">
        <f t="shared" si="2"/>
        <v>0</v>
      </c>
    </row>
    <row r="190" spans="1:4" ht="18.75" hidden="1" x14ac:dyDescent="0.25">
      <c r="A190" s="14" t="s">
        <v>163</v>
      </c>
      <c r="B190" s="9"/>
      <c r="C190" s="15"/>
      <c r="D190" s="11">
        <f t="shared" si="2"/>
        <v>0</v>
      </c>
    </row>
    <row r="191" spans="1:4" ht="18.75" hidden="1" x14ac:dyDescent="0.25">
      <c r="A191" s="14" t="s">
        <v>164</v>
      </c>
      <c r="B191" s="9"/>
      <c r="C191" s="15"/>
      <c r="D191" s="11">
        <f t="shared" si="2"/>
        <v>0</v>
      </c>
    </row>
    <row r="192" spans="1:4" ht="18.75" x14ac:dyDescent="0.25">
      <c r="A192" s="8" t="s">
        <v>165</v>
      </c>
      <c r="B192" s="9">
        <v>62</v>
      </c>
      <c r="C192" s="10">
        <v>26000</v>
      </c>
      <c r="D192" s="11">
        <f t="shared" si="2"/>
        <v>1612000</v>
      </c>
    </row>
    <row r="193" spans="1:4" ht="18.75" x14ac:dyDescent="0.25">
      <c r="A193" s="26" t="s">
        <v>166</v>
      </c>
      <c r="B193" s="9">
        <v>80</v>
      </c>
      <c r="C193" s="10">
        <v>7500</v>
      </c>
      <c r="D193" s="11">
        <f t="shared" si="2"/>
        <v>600000</v>
      </c>
    </row>
    <row r="194" spans="1:4" ht="18.75" hidden="1" x14ac:dyDescent="0.25">
      <c r="A194" s="8" t="s">
        <v>167</v>
      </c>
      <c r="B194" s="9"/>
      <c r="C194" s="10"/>
      <c r="D194" s="11">
        <f t="shared" si="2"/>
        <v>0</v>
      </c>
    </row>
    <row r="195" spans="1:4" ht="18.75" x14ac:dyDescent="0.25">
      <c r="A195" s="8" t="s">
        <v>168</v>
      </c>
      <c r="B195" s="9">
        <v>100</v>
      </c>
      <c r="C195" s="12">
        <v>16000</v>
      </c>
      <c r="D195" s="11">
        <f t="shared" si="2"/>
        <v>1600000</v>
      </c>
    </row>
    <row r="196" spans="1:4" ht="18.75" x14ac:dyDescent="0.25">
      <c r="A196" s="8" t="s">
        <v>169</v>
      </c>
      <c r="B196" s="9">
        <v>23</v>
      </c>
      <c r="C196" s="10">
        <v>16000</v>
      </c>
      <c r="D196" s="11">
        <f t="shared" si="2"/>
        <v>368000</v>
      </c>
    </row>
    <row r="197" spans="1:4" ht="18.75" hidden="1" x14ac:dyDescent="0.25">
      <c r="A197" s="8" t="s">
        <v>170</v>
      </c>
      <c r="B197" s="9"/>
      <c r="C197" s="10"/>
      <c r="D197" s="11">
        <f t="shared" ref="D197:D247" si="3">B197*C197</f>
        <v>0</v>
      </c>
    </row>
    <row r="198" spans="1:4" ht="18.75" hidden="1" x14ac:dyDescent="0.25">
      <c r="A198" s="8" t="s">
        <v>171</v>
      </c>
      <c r="B198" s="9"/>
      <c r="C198" s="13">
        <v>6100</v>
      </c>
      <c r="D198" s="11">
        <f t="shared" si="3"/>
        <v>0</v>
      </c>
    </row>
    <row r="199" spans="1:4" ht="18.75" hidden="1" x14ac:dyDescent="0.25">
      <c r="A199" s="8" t="s">
        <v>172</v>
      </c>
      <c r="B199" s="9"/>
      <c r="C199" s="13"/>
      <c r="D199" s="11">
        <f t="shared" si="3"/>
        <v>0</v>
      </c>
    </row>
    <row r="200" spans="1:4" ht="18.75" hidden="1" x14ac:dyDescent="0.25">
      <c r="A200" s="8" t="s">
        <v>173</v>
      </c>
      <c r="B200" s="9"/>
      <c r="C200" s="13">
        <v>25000</v>
      </c>
      <c r="D200" s="11">
        <f t="shared" si="3"/>
        <v>0</v>
      </c>
    </row>
    <row r="201" spans="1:4" ht="18.75" hidden="1" x14ac:dyDescent="0.25">
      <c r="A201" s="8" t="s">
        <v>174</v>
      </c>
      <c r="B201" s="9"/>
      <c r="C201" s="13">
        <v>6100</v>
      </c>
      <c r="D201" s="11">
        <f t="shared" si="3"/>
        <v>0</v>
      </c>
    </row>
    <row r="202" spans="1:4" ht="18.75" hidden="1" x14ac:dyDescent="0.25">
      <c r="A202" s="8" t="s">
        <v>175</v>
      </c>
      <c r="B202" s="9"/>
      <c r="C202" s="13"/>
      <c r="D202" s="11">
        <f t="shared" si="3"/>
        <v>0</v>
      </c>
    </row>
    <row r="203" spans="1:4" ht="18.75" hidden="1" x14ac:dyDescent="0.25">
      <c r="A203" s="8" t="s">
        <v>176</v>
      </c>
      <c r="B203" s="9"/>
      <c r="C203" s="13"/>
      <c r="D203" s="11">
        <f t="shared" si="3"/>
        <v>0</v>
      </c>
    </row>
    <row r="204" spans="1:4" ht="18.75" hidden="1" x14ac:dyDescent="0.25">
      <c r="A204" s="8" t="s">
        <v>177</v>
      </c>
      <c r="B204" s="9"/>
      <c r="C204" s="12"/>
      <c r="D204" s="11">
        <f t="shared" si="3"/>
        <v>0</v>
      </c>
    </row>
    <row r="205" spans="1:4" ht="18.75" hidden="1" x14ac:dyDescent="0.25">
      <c r="A205" s="27" t="s">
        <v>178</v>
      </c>
      <c r="B205" s="9"/>
      <c r="C205" s="12">
        <v>27000</v>
      </c>
      <c r="D205" s="11">
        <f t="shared" si="3"/>
        <v>0</v>
      </c>
    </row>
    <row r="206" spans="1:4" ht="18.75" hidden="1" x14ac:dyDescent="0.25">
      <c r="A206" s="27" t="s">
        <v>179</v>
      </c>
      <c r="B206" s="9"/>
      <c r="C206" s="13">
        <v>6100</v>
      </c>
      <c r="D206" s="11">
        <f t="shared" si="3"/>
        <v>0</v>
      </c>
    </row>
    <row r="207" spans="1:4" ht="18.75" hidden="1" x14ac:dyDescent="0.25">
      <c r="A207" s="27" t="s">
        <v>180</v>
      </c>
      <c r="B207" s="9"/>
      <c r="C207" s="13">
        <v>6100</v>
      </c>
      <c r="D207" s="11">
        <f t="shared" si="3"/>
        <v>0</v>
      </c>
    </row>
    <row r="208" spans="1:4" ht="18.75" hidden="1" x14ac:dyDescent="0.25">
      <c r="A208" s="27" t="s">
        <v>181</v>
      </c>
      <c r="B208" s="9"/>
      <c r="C208" s="12"/>
      <c r="D208" s="11">
        <f t="shared" si="3"/>
        <v>0</v>
      </c>
    </row>
    <row r="209" spans="1:4" ht="18.75" hidden="1" x14ac:dyDescent="0.25">
      <c r="A209" s="27" t="s">
        <v>182</v>
      </c>
      <c r="B209" s="9"/>
      <c r="C209" s="12"/>
      <c r="D209" s="11">
        <f t="shared" si="3"/>
        <v>0</v>
      </c>
    </row>
    <row r="210" spans="1:4" ht="18.75" hidden="1" x14ac:dyDescent="0.25">
      <c r="A210" s="8" t="s">
        <v>183</v>
      </c>
      <c r="B210" s="9"/>
      <c r="C210" s="13">
        <v>5500</v>
      </c>
      <c r="D210" s="11">
        <f t="shared" si="3"/>
        <v>0</v>
      </c>
    </row>
    <row r="211" spans="1:4" ht="18.75" hidden="1" x14ac:dyDescent="0.25">
      <c r="A211" s="8" t="s">
        <v>184</v>
      </c>
      <c r="B211" s="9"/>
      <c r="C211" s="13">
        <v>6100</v>
      </c>
      <c r="D211" s="11">
        <f t="shared" si="3"/>
        <v>0</v>
      </c>
    </row>
    <row r="212" spans="1:4" ht="18.75" hidden="1" x14ac:dyDescent="0.25">
      <c r="A212" s="8" t="s">
        <v>185</v>
      </c>
      <c r="B212" s="9"/>
      <c r="C212" s="13">
        <v>25000</v>
      </c>
      <c r="D212" s="11">
        <f t="shared" si="3"/>
        <v>0</v>
      </c>
    </row>
    <row r="213" spans="1:4" ht="18.75" hidden="1" x14ac:dyDescent="0.25">
      <c r="A213" s="8" t="s">
        <v>186</v>
      </c>
      <c r="B213" s="9"/>
      <c r="C213" s="13">
        <v>25000</v>
      </c>
      <c r="D213" s="11">
        <f t="shared" si="3"/>
        <v>0</v>
      </c>
    </row>
    <row r="214" spans="1:4" ht="18.75" hidden="1" x14ac:dyDescent="0.25">
      <c r="A214" s="8" t="s">
        <v>187</v>
      </c>
      <c r="B214" s="9"/>
      <c r="C214" s="13"/>
      <c r="D214" s="11">
        <f t="shared" si="3"/>
        <v>0</v>
      </c>
    </row>
    <row r="215" spans="1:4" ht="18.75" hidden="1" x14ac:dyDescent="0.25">
      <c r="A215" s="8" t="s">
        <v>188</v>
      </c>
      <c r="B215" s="9"/>
      <c r="C215" s="10">
        <v>10000</v>
      </c>
      <c r="D215" s="11">
        <f t="shared" si="3"/>
        <v>0</v>
      </c>
    </row>
    <row r="216" spans="1:4" ht="18.75" hidden="1" x14ac:dyDescent="0.25">
      <c r="A216" s="8"/>
      <c r="B216" s="9"/>
      <c r="C216" s="10">
        <v>9000</v>
      </c>
      <c r="D216" s="11">
        <f t="shared" si="3"/>
        <v>0</v>
      </c>
    </row>
    <row r="217" spans="1:4" ht="18.75" hidden="1" x14ac:dyDescent="0.25">
      <c r="A217" s="8" t="s">
        <v>189</v>
      </c>
      <c r="B217" s="9"/>
      <c r="C217" s="13"/>
      <c r="D217" s="11">
        <f t="shared" si="3"/>
        <v>0</v>
      </c>
    </row>
    <row r="218" spans="1:4" ht="18.75" hidden="1" x14ac:dyDescent="0.25">
      <c r="A218" s="8" t="s">
        <v>190</v>
      </c>
      <c r="B218" s="9"/>
      <c r="C218" s="12"/>
      <c r="D218" s="11">
        <f t="shared" si="3"/>
        <v>0</v>
      </c>
    </row>
    <row r="219" spans="1:4" ht="18.75" hidden="1" x14ac:dyDescent="0.25">
      <c r="A219" s="8" t="s">
        <v>191</v>
      </c>
      <c r="B219" s="9"/>
      <c r="C219" s="10"/>
      <c r="D219" s="11">
        <f t="shared" si="3"/>
        <v>0</v>
      </c>
    </row>
    <row r="220" spans="1:4" ht="18.75" hidden="1" x14ac:dyDescent="0.25">
      <c r="A220" s="8" t="s">
        <v>192</v>
      </c>
      <c r="B220" s="9"/>
      <c r="C220" s="13"/>
      <c r="D220" s="11">
        <f t="shared" si="3"/>
        <v>0</v>
      </c>
    </row>
    <row r="221" spans="1:4" ht="18.75" hidden="1" x14ac:dyDescent="0.25">
      <c r="A221" s="8"/>
      <c r="B221" s="9"/>
      <c r="C221" s="13">
        <v>34000</v>
      </c>
      <c r="D221" s="11">
        <f t="shared" si="3"/>
        <v>0</v>
      </c>
    </row>
    <row r="222" spans="1:4" ht="18.75" hidden="1" x14ac:dyDescent="0.25">
      <c r="A222" s="8"/>
      <c r="B222" s="9"/>
      <c r="C222" s="13">
        <v>34000</v>
      </c>
      <c r="D222" s="11">
        <f t="shared" si="3"/>
        <v>0</v>
      </c>
    </row>
    <row r="223" spans="1:4" ht="18.75" hidden="1" x14ac:dyDescent="0.25">
      <c r="A223" s="8" t="s">
        <v>193</v>
      </c>
      <c r="B223" s="9"/>
      <c r="C223" s="10">
        <v>18000</v>
      </c>
      <c r="D223" s="11">
        <f t="shared" si="3"/>
        <v>0</v>
      </c>
    </row>
    <row r="224" spans="1:4" ht="18.75" hidden="1" x14ac:dyDescent="0.25">
      <c r="A224" s="8" t="s">
        <v>194</v>
      </c>
      <c r="B224" s="9"/>
      <c r="C224" s="10">
        <v>10000</v>
      </c>
      <c r="D224" s="11">
        <f t="shared" si="3"/>
        <v>0</v>
      </c>
    </row>
    <row r="225" spans="1:4" ht="18.75" hidden="1" x14ac:dyDescent="0.25">
      <c r="A225" s="8" t="s">
        <v>195</v>
      </c>
      <c r="B225" s="9"/>
      <c r="C225" s="10">
        <v>24000</v>
      </c>
      <c r="D225" s="11">
        <f t="shared" si="3"/>
        <v>0</v>
      </c>
    </row>
    <row r="226" spans="1:4" ht="18.75" hidden="1" x14ac:dyDescent="0.25">
      <c r="A226" s="8"/>
      <c r="B226" s="9"/>
      <c r="C226" s="10">
        <v>26000</v>
      </c>
      <c r="D226" s="11">
        <f t="shared" si="3"/>
        <v>0</v>
      </c>
    </row>
    <row r="227" spans="1:4" ht="18.75" hidden="1" x14ac:dyDescent="0.25">
      <c r="A227" s="8"/>
      <c r="B227" s="9"/>
      <c r="C227" s="10">
        <v>26000</v>
      </c>
      <c r="D227" s="11">
        <f t="shared" si="3"/>
        <v>0</v>
      </c>
    </row>
    <row r="228" spans="1:4" ht="18.75" x14ac:dyDescent="0.25">
      <c r="A228" s="14" t="s">
        <v>196</v>
      </c>
      <c r="B228" s="9">
        <v>40</v>
      </c>
      <c r="C228" s="12">
        <v>3000</v>
      </c>
      <c r="D228" s="11">
        <f t="shared" si="3"/>
        <v>120000</v>
      </c>
    </row>
    <row r="229" spans="1:4" ht="18.75" hidden="1" x14ac:dyDescent="0.25">
      <c r="A229" s="14" t="s">
        <v>197</v>
      </c>
      <c r="B229" s="9"/>
      <c r="C229" s="10"/>
      <c r="D229" s="11">
        <f t="shared" si="3"/>
        <v>0</v>
      </c>
    </row>
    <row r="230" spans="1:4" ht="18.75" hidden="1" x14ac:dyDescent="0.25">
      <c r="A230" s="8" t="s">
        <v>198</v>
      </c>
      <c r="B230" s="9"/>
      <c r="C230" s="10">
        <v>7000</v>
      </c>
      <c r="D230" s="11">
        <f t="shared" si="3"/>
        <v>0</v>
      </c>
    </row>
    <row r="231" spans="1:4" ht="18.75" x14ac:dyDescent="0.25">
      <c r="A231" s="8" t="s">
        <v>199</v>
      </c>
      <c r="B231" s="9">
        <v>8</v>
      </c>
      <c r="C231" s="12">
        <v>18000</v>
      </c>
      <c r="D231" s="11">
        <f t="shared" si="3"/>
        <v>144000</v>
      </c>
    </row>
    <row r="232" spans="1:4" ht="18.75" hidden="1" x14ac:dyDescent="0.25">
      <c r="A232" s="8" t="s">
        <v>200</v>
      </c>
      <c r="B232" s="9"/>
      <c r="C232" s="12"/>
      <c r="D232" s="11">
        <f t="shared" si="3"/>
        <v>0</v>
      </c>
    </row>
    <row r="233" spans="1:4" ht="18.75" hidden="1" x14ac:dyDescent="0.25">
      <c r="A233" s="8" t="s">
        <v>201</v>
      </c>
      <c r="B233" s="9"/>
      <c r="C233" s="19"/>
      <c r="D233" s="11">
        <f t="shared" si="3"/>
        <v>0</v>
      </c>
    </row>
    <row r="234" spans="1:4" ht="18.75" hidden="1" x14ac:dyDescent="0.25">
      <c r="A234" s="8" t="s">
        <v>202</v>
      </c>
      <c r="B234" s="9"/>
      <c r="C234" s="12">
        <v>12000</v>
      </c>
      <c r="D234" s="11">
        <f t="shared" si="3"/>
        <v>0</v>
      </c>
    </row>
    <row r="235" spans="1:4" ht="18.75" hidden="1" x14ac:dyDescent="0.25">
      <c r="A235" s="8" t="s">
        <v>203</v>
      </c>
      <c r="B235" s="9"/>
      <c r="C235" s="12"/>
      <c r="D235" s="11">
        <f t="shared" si="3"/>
        <v>0</v>
      </c>
    </row>
    <row r="236" spans="1:4" ht="18.75" hidden="1" x14ac:dyDescent="0.25">
      <c r="A236" s="8" t="s">
        <v>204</v>
      </c>
      <c r="B236" s="9"/>
      <c r="C236" s="13">
        <v>7000</v>
      </c>
      <c r="D236" s="11">
        <f t="shared" si="3"/>
        <v>0</v>
      </c>
    </row>
    <row r="237" spans="1:4" ht="18.75" x14ac:dyDescent="0.25">
      <c r="A237" s="8" t="s">
        <v>205</v>
      </c>
      <c r="B237" s="9">
        <v>15</v>
      </c>
      <c r="C237" s="10">
        <v>11000</v>
      </c>
      <c r="D237" s="11">
        <f t="shared" si="3"/>
        <v>165000</v>
      </c>
    </row>
    <row r="238" spans="1:4" ht="18.75" hidden="1" x14ac:dyDescent="0.25">
      <c r="A238" s="8"/>
      <c r="B238" s="9"/>
      <c r="C238" s="10">
        <v>13000</v>
      </c>
      <c r="D238" s="11">
        <f t="shared" si="3"/>
        <v>0</v>
      </c>
    </row>
    <row r="239" spans="1:4" ht="18.75" hidden="1" x14ac:dyDescent="0.25">
      <c r="A239" s="8" t="s">
        <v>206</v>
      </c>
      <c r="B239" s="9"/>
      <c r="C239" s="13"/>
      <c r="D239" s="11">
        <f t="shared" si="3"/>
        <v>0</v>
      </c>
    </row>
    <row r="240" spans="1:4" ht="18.75" hidden="1" x14ac:dyDescent="0.25">
      <c r="A240" s="8" t="s">
        <v>207</v>
      </c>
      <c r="B240" s="9"/>
      <c r="C240" s="13"/>
      <c r="D240" s="11">
        <f t="shared" si="3"/>
        <v>0</v>
      </c>
    </row>
    <row r="241" spans="1:4" ht="18.75" hidden="1" x14ac:dyDescent="0.25">
      <c r="A241" s="8" t="s">
        <v>208</v>
      </c>
      <c r="B241" s="9"/>
      <c r="C241" s="13"/>
      <c r="D241" s="11">
        <f t="shared" si="3"/>
        <v>0</v>
      </c>
    </row>
    <row r="242" spans="1:4" ht="18.75" hidden="1" x14ac:dyDescent="0.25">
      <c r="A242" s="14" t="s">
        <v>209</v>
      </c>
      <c r="B242" s="9"/>
      <c r="C242" s="10"/>
      <c r="D242" s="11">
        <f t="shared" si="3"/>
        <v>0</v>
      </c>
    </row>
    <row r="243" spans="1:4" ht="18.75" hidden="1" x14ac:dyDescent="0.25">
      <c r="A243" s="8" t="s">
        <v>210</v>
      </c>
      <c r="B243" s="9"/>
      <c r="C243" s="12"/>
      <c r="D243" s="11">
        <f t="shared" si="3"/>
        <v>0</v>
      </c>
    </row>
    <row r="244" spans="1:4" ht="18.75" hidden="1" x14ac:dyDescent="0.25">
      <c r="A244" s="8" t="s">
        <v>211</v>
      </c>
      <c r="B244" s="9"/>
      <c r="C244" s="13"/>
      <c r="D244" s="11">
        <f t="shared" si="3"/>
        <v>0</v>
      </c>
    </row>
    <row r="245" spans="1:4" ht="18.75" hidden="1" x14ac:dyDescent="0.25">
      <c r="A245" s="8" t="s">
        <v>212</v>
      </c>
      <c r="B245" s="9"/>
      <c r="C245" s="13"/>
      <c r="D245" s="11">
        <f t="shared" si="3"/>
        <v>0</v>
      </c>
    </row>
    <row r="246" spans="1:4" ht="18.75" hidden="1" x14ac:dyDescent="0.25">
      <c r="A246" s="8" t="s">
        <v>213</v>
      </c>
      <c r="B246" s="9"/>
      <c r="C246" s="13"/>
      <c r="D246" s="11">
        <f t="shared" si="3"/>
        <v>0</v>
      </c>
    </row>
    <row r="247" spans="1:4" ht="18.75" hidden="1" x14ac:dyDescent="0.25">
      <c r="A247" s="8" t="s">
        <v>214</v>
      </c>
      <c r="B247" s="9"/>
      <c r="C247" s="13"/>
      <c r="D247" s="11">
        <f t="shared" si="3"/>
        <v>0</v>
      </c>
    </row>
    <row r="248" spans="1:4" ht="18.75" x14ac:dyDescent="0.25">
      <c r="A248" s="28"/>
      <c r="B248" s="29">
        <f t="shared" ref="B248:D248" si="4">SUM(B4:B247)</f>
        <v>2355.5</v>
      </c>
      <c r="C248" s="29">
        <f t="shared" si="4"/>
        <v>2318240</v>
      </c>
      <c r="D248" s="29">
        <f t="shared" si="4"/>
        <v>40032750</v>
      </c>
    </row>
  </sheetData>
  <protectedRanges>
    <protectedRange password="CC4C" sqref="C1:C247" name="tho5"/>
    <protectedRange password="CF71" sqref="B1:B247" name="tho"/>
  </protectedRanges>
  <autoFilter ref="A2:D24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58" sqref="F58"/>
    </sheetView>
  </sheetViews>
  <sheetFormatPr defaultRowHeight="15" x14ac:dyDescent="0.25"/>
  <cols>
    <col min="1" max="1" width="33.85546875" customWidth="1"/>
    <col min="3" max="3" width="13.85546875" customWidth="1"/>
    <col min="4" max="4" width="14.28515625" customWidth="1"/>
  </cols>
  <sheetData>
    <row r="1" spans="1:4" x14ac:dyDescent="0.25">
      <c r="A1" s="1" t="s">
        <v>245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idden="1" x14ac:dyDescent="0.25">
      <c r="A3" s="51"/>
      <c r="B3" s="4"/>
      <c r="C3" s="6"/>
      <c r="D3" s="7"/>
    </row>
    <row r="4" spans="1:4" ht="18.75" hidden="1" x14ac:dyDescent="0.25">
      <c r="A4" s="8" t="s">
        <v>9</v>
      </c>
      <c r="B4" s="9"/>
      <c r="C4" s="10"/>
      <c r="D4" s="11">
        <f>B4*C4</f>
        <v>0</v>
      </c>
    </row>
    <row r="5" spans="1:4" ht="18.75" hidden="1" x14ac:dyDescent="0.25">
      <c r="A5" s="8" t="s">
        <v>10</v>
      </c>
      <c r="B5" s="9"/>
      <c r="C5" s="10">
        <v>21000</v>
      </c>
      <c r="D5" s="11">
        <f t="shared" ref="D5:D68" si="0">B5*C5</f>
        <v>0</v>
      </c>
    </row>
    <row r="6" spans="1:4" ht="18.75" x14ac:dyDescent="0.25">
      <c r="A6" s="8" t="s">
        <v>8</v>
      </c>
      <c r="B6" s="9">
        <v>18</v>
      </c>
      <c r="C6" s="12">
        <v>40000</v>
      </c>
      <c r="D6" s="11">
        <f t="shared" si="0"/>
        <v>720000</v>
      </c>
    </row>
    <row r="7" spans="1:4" ht="18.75" hidden="1" x14ac:dyDescent="0.25">
      <c r="A7" s="8" t="s">
        <v>12</v>
      </c>
      <c r="B7" s="9"/>
      <c r="C7" s="10"/>
      <c r="D7" s="11">
        <f t="shared" si="0"/>
        <v>0</v>
      </c>
    </row>
    <row r="8" spans="1:4" ht="18.75" hidden="1" x14ac:dyDescent="0.25">
      <c r="A8" s="8" t="s">
        <v>13</v>
      </c>
      <c r="B8" s="9"/>
      <c r="C8" s="10"/>
      <c r="D8" s="11">
        <f t="shared" si="0"/>
        <v>0</v>
      </c>
    </row>
    <row r="9" spans="1:4" ht="18.75" hidden="1" x14ac:dyDescent="0.25">
      <c r="A9" s="8" t="s">
        <v>15</v>
      </c>
      <c r="B9" s="9"/>
      <c r="C9" s="12"/>
      <c r="D9" s="11">
        <f t="shared" si="0"/>
        <v>0</v>
      </c>
    </row>
    <row r="10" spans="1:4" ht="18.75" hidden="1" x14ac:dyDescent="0.25">
      <c r="A10" s="8" t="s">
        <v>16</v>
      </c>
      <c r="B10" s="9"/>
      <c r="C10" s="12"/>
      <c r="D10" s="11">
        <f t="shared" si="0"/>
        <v>0</v>
      </c>
    </row>
    <row r="11" spans="1:4" ht="18.75" hidden="1" x14ac:dyDescent="0.25">
      <c r="A11" s="8" t="s">
        <v>18</v>
      </c>
      <c r="B11" s="9"/>
      <c r="C11" s="10"/>
      <c r="D11" s="11">
        <f t="shared" si="0"/>
        <v>0</v>
      </c>
    </row>
    <row r="12" spans="1:4" ht="18.75" hidden="1" x14ac:dyDescent="0.25">
      <c r="A12" s="8" t="s">
        <v>19</v>
      </c>
      <c r="B12" s="9"/>
      <c r="C12" s="10"/>
      <c r="D12" s="11">
        <f t="shared" si="0"/>
        <v>0</v>
      </c>
    </row>
    <row r="13" spans="1:4" ht="18.75" x14ac:dyDescent="0.25">
      <c r="A13" s="8" t="s">
        <v>11</v>
      </c>
      <c r="B13" s="9">
        <v>20</v>
      </c>
      <c r="C13" s="10">
        <v>36000</v>
      </c>
      <c r="D13" s="11">
        <f t="shared" si="0"/>
        <v>720000</v>
      </c>
    </row>
    <row r="14" spans="1:4" ht="18.75" x14ac:dyDescent="0.25">
      <c r="A14" s="8" t="s">
        <v>14</v>
      </c>
      <c r="B14" s="9">
        <f>22+31</f>
        <v>53</v>
      </c>
      <c r="C14" s="12">
        <v>46000</v>
      </c>
      <c r="D14" s="11">
        <f t="shared" si="0"/>
        <v>2438000</v>
      </c>
    </row>
    <row r="15" spans="1:4" ht="18.75" x14ac:dyDescent="0.25">
      <c r="A15" s="8" t="s">
        <v>17</v>
      </c>
      <c r="B15" s="9">
        <v>13</v>
      </c>
      <c r="C15" s="10">
        <v>16000</v>
      </c>
      <c r="D15" s="11">
        <f t="shared" si="0"/>
        <v>208000</v>
      </c>
    </row>
    <row r="16" spans="1:4" ht="18.75" hidden="1" x14ac:dyDescent="0.25">
      <c r="A16" s="8" t="s">
        <v>20</v>
      </c>
      <c r="B16" s="9"/>
      <c r="C16" s="13"/>
      <c r="D16" s="11">
        <f t="shared" si="0"/>
        <v>0</v>
      </c>
    </row>
    <row r="17" spans="1:4" ht="18.75" hidden="1" x14ac:dyDescent="0.25">
      <c r="A17" s="8" t="s">
        <v>21</v>
      </c>
      <c r="B17" s="9"/>
      <c r="C17" s="10"/>
      <c r="D17" s="11">
        <f t="shared" si="0"/>
        <v>0</v>
      </c>
    </row>
    <row r="18" spans="1:4" ht="18.75" hidden="1" x14ac:dyDescent="0.25">
      <c r="A18" s="8" t="s">
        <v>24</v>
      </c>
      <c r="B18" s="9"/>
      <c r="C18" s="10"/>
      <c r="D18" s="11">
        <f t="shared" si="0"/>
        <v>0</v>
      </c>
    </row>
    <row r="19" spans="1:4" ht="18.75" hidden="1" x14ac:dyDescent="0.25">
      <c r="A19" s="14" t="s">
        <v>25</v>
      </c>
      <c r="B19" s="9"/>
      <c r="C19" s="13"/>
      <c r="D19" s="11">
        <f t="shared" si="0"/>
        <v>0</v>
      </c>
    </row>
    <row r="20" spans="1:4" ht="18.75" x14ac:dyDescent="0.25">
      <c r="A20" s="18" t="s">
        <v>62</v>
      </c>
      <c r="B20" s="9">
        <v>5</v>
      </c>
      <c r="C20" s="19">
        <v>28000</v>
      </c>
      <c r="D20" s="11">
        <f t="shared" si="0"/>
        <v>140000</v>
      </c>
    </row>
    <row r="21" spans="1:4" ht="18.75" hidden="1" x14ac:dyDescent="0.25">
      <c r="A21" s="18" t="s">
        <v>63</v>
      </c>
      <c r="B21" s="9"/>
      <c r="C21" s="10">
        <v>10000</v>
      </c>
      <c r="D21" s="11">
        <f t="shared" si="0"/>
        <v>0</v>
      </c>
    </row>
    <row r="22" spans="1:4" ht="18.75" x14ac:dyDescent="0.25">
      <c r="A22" s="8" t="s">
        <v>165</v>
      </c>
      <c r="B22" s="9">
        <v>55</v>
      </c>
      <c r="C22" s="10">
        <v>26000</v>
      </c>
      <c r="D22" s="11">
        <f t="shared" si="0"/>
        <v>1430000</v>
      </c>
    </row>
    <row r="23" spans="1:4" ht="18.75" x14ac:dyDescent="0.25">
      <c r="A23" s="26" t="s">
        <v>166</v>
      </c>
      <c r="B23" s="9">
        <v>80</v>
      </c>
      <c r="C23" s="10">
        <v>7500</v>
      </c>
      <c r="D23" s="11">
        <f t="shared" si="0"/>
        <v>600000</v>
      </c>
    </row>
    <row r="24" spans="1:4" ht="18.75" hidden="1" x14ac:dyDescent="0.25">
      <c r="A24" s="8" t="s">
        <v>26</v>
      </c>
      <c r="B24" s="9"/>
      <c r="C24" s="10"/>
      <c r="D24" s="11">
        <f t="shared" si="0"/>
        <v>0</v>
      </c>
    </row>
    <row r="25" spans="1:4" ht="18.75" hidden="1" x14ac:dyDescent="0.25">
      <c r="A25" s="8" t="s">
        <v>27</v>
      </c>
      <c r="B25" s="9"/>
      <c r="C25" s="10"/>
      <c r="D25" s="11">
        <f t="shared" si="0"/>
        <v>0</v>
      </c>
    </row>
    <row r="26" spans="1:4" ht="18.75" hidden="1" x14ac:dyDescent="0.25">
      <c r="A26" s="8" t="s">
        <v>28</v>
      </c>
      <c r="B26" s="9"/>
      <c r="C26" s="10"/>
      <c r="D26" s="11">
        <f t="shared" si="0"/>
        <v>0</v>
      </c>
    </row>
    <row r="27" spans="1:4" ht="18.75" hidden="1" x14ac:dyDescent="0.25">
      <c r="A27" s="14" t="s">
        <v>29</v>
      </c>
      <c r="B27" s="9"/>
      <c r="C27" s="15"/>
      <c r="D27" s="11">
        <f t="shared" si="0"/>
        <v>0</v>
      </c>
    </row>
    <row r="28" spans="1:4" ht="18.75" hidden="1" x14ac:dyDescent="0.25">
      <c r="A28" s="8" t="s">
        <v>30</v>
      </c>
      <c r="B28" s="9"/>
      <c r="C28" s="10"/>
      <c r="D28" s="11">
        <f t="shared" si="0"/>
        <v>0</v>
      </c>
    </row>
    <row r="29" spans="1:4" ht="18.75" hidden="1" x14ac:dyDescent="0.25">
      <c r="A29" s="8" t="s">
        <v>31</v>
      </c>
      <c r="B29" s="9"/>
      <c r="C29" s="10"/>
      <c r="D29" s="11">
        <f t="shared" si="0"/>
        <v>0</v>
      </c>
    </row>
    <row r="30" spans="1:4" ht="18.75" hidden="1" x14ac:dyDescent="0.25">
      <c r="A30" s="14" t="s">
        <v>32</v>
      </c>
      <c r="B30" s="9"/>
      <c r="C30" s="10"/>
      <c r="D30" s="11">
        <f t="shared" si="0"/>
        <v>0</v>
      </c>
    </row>
    <row r="31" spans="1:4" ht="18.75" hidden="1" x14ac:dyDescent="0.25">
      <c r="A31" s="8" t="s">
        <v>33</v>
      </c>
      <c r="B31" s="9"/>
      <c r="C31" s="13"/>
      <c r="D31" s="11">
        <f t="shared" si="0"/>
        <v>0</v>
      </c>
    </row>
    <row r="32" spans="1:4" ht="18.75" hidden="1" x14ac:dyDescent="0.25">
      <c r="A32" s="8" t="s">
        <v>34</v>
      </c>
      <c r="B32" s="9"/>
      <c r="C32" s="10"/>
      <c r="D32" s="11">
        <f t="shared" si="0"/>
        <v>0</v>
      </c>
    </row>
    <row r="33" spans="1:4" ht="18.75" hidden="1" x14ac:dyDescent="0.25">
      <c r="A33" s="8" t="s">
        <v>35</v>
      </c>
      <c r="B33" s="9"/>
      <c r="C33" s="15">
        <v>110000</v>
      </c>
      <c r="D33" s="11">
        <f t="shared" si="0"/>
        <v>0</v>
      </c>
    </row>
    <row r="34" spans="1:4" ht="18.75" hidden="1" x14ac:dyDescent="0.25">
      <c r="A34" s="8" t="s">
        <v>36</v>
      </c>
      <c r="B34" s="9"/>
      <c r="C34" s="10"/>
      <c r="D34" s="11">
        <f t="shared" si="0"/>
        <v>0</v>
      </c>
    </row>
    <row r="35" spans="1:4" ht="18.75" hidden="1" x14ac:dyDescent="0.25">
      <c r="A35" s="14" t="s">
        <v>37</v>
      </c>
      <c r="B35" s="9"/>
      <c r="C35" s="12">
        <v>20000</v>
      </c>
      <c r="D35" s="11">
        <f t="shared" si="0"/>
        <v>0</v>
      </c>
    </row>
    <row r="36" spans="1:4" ht="18.75" hidden="1" x14ac:dyDescent="0.25">
      <c r="A36" s="14" t="s">
        <v>38</v>
      </c>
      <c r="B36" s="9"/>
      <c r="C36" s="10"/>
      <c r="D36" s="11">
        <f t="shared" si="0"/>
        <v>0</v>
      </c>
    </row>
    <row r="37" spans="1:4" ht="18.75" hidden="1" x14ac:dyDescent="0.25">
      <c r="A37" s="8" t="s">
        <v>39</v>
      </c>
      <c r="B37" s="9"/>
      <c r="C37" s="10"/>
      <c r="D37" s="11">
        <f t="shared" si="0"/>
        <v>0</v>
      </c>
    </row>
    <row r="38" spans="1:4" ht="18.75" hidden="1" x14ac:dyDescent="0.25">
      <c r="A38" s="14" t="s">
        <v>40</v>
      </c>
      <c r="B38" s="9"/>
      <c r="C38" s="10"/>
      <c r="D38" s="11">
        <f t="shared" si="0"/>
        <v>0</v>
      </c>
    </row>
    <row r="39" spans="1:4" ht="18.75" hidden="1" x14ac:dyDescent="0.25">
      <c r="A39" s="8" t="s">
        <v>41</v>
      </c>
      <c r="B39" s="9"/>
      <c r="C39" s="10"/>
      <c r="D39" s="11">
        <f t="shared" si="0"/>
        <v>0</v>
      </c>
    </row>
    <row r="40" spans="1:4" ht="18.75" hidden="1" x14ac:dyDescent="0.25">
      <c r="A40" s="8" t="s">
        <v>42</v>
      </c>
      <c r="B40" s="9"/>
      <c r="C40" s="13"/>
      <c r="D40" s="11">
        <f t="shared" si="0"/>
        <v>0</v>
      </c>
    </row>
    <row r="41" spans="1:4" ht="18.75" hidden="1" x14ac:dyDescent="0.25">
      <c r="A41" s="16" t="s">
        <v>43</v>
      </c>
      <c r="B41" s="9"/>
      <c r="C41" s="10"/>
      <c r="D41" s="11">
        <f t="shared" si="0"/>
        <v>0</v>
      </c>
    </row>
    <row r="42" spans="1:4" ht="18.75" hidden="1" x14ac:dyDescent="0.25">
      <c r="A42" s="8" t="s">
        <v>44</v>
      </c>
      <c r="B42" s="9"/>
      <c r="C42" s="10">
        <v>15000</v>
      </c>
      <c r="D42" s="11">
        <f t="shared" si="0"/>
        <v>0</v>
      </c>
    </row>
    <row r="43" spans="1:4" ht="18.75" hidden="1" x14ac:dyDescent="0.25">
      <c r="A43" s="8" t="s">
        <v>45</v>
      </c>
      <c r="B43" s="9"/>
      <c r="C43" s="10"/>
      <c r="D43" s="11">
        <f t="shared" si="0"/>
        <v>0</v>
      </c>
    </row>
    <row r="44" spans="1:4" ht="18.75" x14ac:dyDescent="0.25">
      <c r="A44" s="8" t="s">
        <v>51</v>
      </c>
      <c r="B44" s="9">
        <v>64</v>
      </c>
      <c r="C44" s="10">
        <v>9500</v>
      </c>
      <c r="D44" s="11">
        <f t="shared" si="0"/>
        <v>608000</v>
      </c>
    </row>
    <row r="45" spans="1:4" ht="18.75" hidden="1" x14ac:dyDescent="0.25">
      <c r="A45" s="8" t="s">
        <v>47</v>
      </c>
      <c r="B45" s="9"/>
      <c r="C45" s="12"/>
      <c r="D45" s="11">
        <f t="shared" si="0"/>
        <v>0</v>
      </c>
    </row>
    <row r="46" spans="1:4" ht="18.75" hidden="1" x14ac:dyDescent="0.25">
      <c r="A46" s="8" t="s">
        <v>49</v>
      </c>
      <c r="B46" s="9"/>
      <c r="C46" s="10"/>
      <c r="D46" s="11">
        <f t="shared" si="0"/>
        <v>0</v>
      </c>
    </row>
    <row r="47" spans="1:4" ht="18.75" hidden="1" x14ac:dyDescent="0.25">
      <c r="A47" s="8" t="s">
        <v>50</v>
      </c>
      <c r="B47" s="9"/>
      <c r="C47" s="10"/>
      <c r="D47" s="11">
        <f t="shared" si="0"/>
        <v>0</v>
      </c>
    </row>
    <row r="48" spans="1:4" ht="18.75" hidden="1" x14ac:dyDescent="0.25">
      <c r="A48" s="8" t="s">
        <v>52</v>
      </c>
      <c r="B48" s="9"/>
      <c r="C48" s="12"/>
      <c r="D48" s="11">
        <f t="shared" si="0"/>
        <v>0</v>
      </c>
    </row>
    <row r="49" spans="1:4" ht="18.75" hidden="1" x14ac:dyDescent="0.25">
      <c r="A49" s="8" t="s">
        <v>53</v>
      </c>
      <c r="B49" s="9"/>
      <c r="C49" s="10"/>
      <c r="D49" s="11">
        <f t="shared" si="0"/>
        <v>0</v>
      </c>
    </row>
    <row r="50" spans="1:4" ht="18.75" hidden="1" x14ac:dyDescent="0.25">
      <c r="A50" s="8" t="s">
        <v>54</v>
      </c>
      <c r="B50" s="9"/>
      <c r="C50" s="10"/>
      <c r="D50" s="11">
        <f t="shared" si="0"/>
        <v>0</v>
      </c>
    </row>
    <row r="51" spans="1:4" ht="18.75" hidden="1" x14ac:dyDescent="0.25">
      <c r="A51" s="8" t="s">
        <v>55</v>
      </c>
      <c r="B51" s="9"/>
      <c r="C51" s="10"/>
      <c r="D51" s="11">
        <f t="shared" si="0"/>
        <v>0</v>
      </c>
    </row>
    <row r="52" spans="1:4" ht="18.75" hidden="1" x14ac:dyDescent="0.25">
      <c r="A52" s="14" t="s">
        <v>56</v>
      </c>
      <c r="B52" s="9"/>
      <c r="C52" s="10"/>
      <c r="D52" s="11">
        <f t="shared" si="0"/>
        <v>0</v>
      </c>
    </row>
    <row r="53" spans="1:4" ht="18.75" hidden="1" x14ac:dyDescent="0.25">
      <c r="A53" s="8" t="s">
        <v>57</v>
      </c>
      <c r="B53" s="9"/>
      <c r="C53" s="10"/>
      <c r="D53" s="11">
        <f t="shared" si="0"/>
        <v>0</v>
      </c>
    </row>
    <row r="54" spans="1:4" ht="18.75" hidden="1" x14ac:dyDescent="0.25">
      <c r="A54" s="8" t="s">
        <v>58</v>
      </c>
      <c r="B54" s="9"/>
      <c r="C54" s="13"/>
      <c r="D54" s="11">
        <f t="shared" si="0"/>
        <v>0</v>
      </c>
    </row>
    <row r="55" spans="1:4" ht="18.75" hidden="1" x14ac:dyDescent="0.25">
      <c r="A55" s="14" t="s">
        <v>59</v>
      </c>
      <c r="B55" s="9"/>
      <c r="C55" s="10"/>
      <c r="D55" s="11">
        <f t="shared" si="0"/>
        <v>0</v>
      </c>
    </row>
    <row r="56" spans="1:4" ht="18.75" hidden="1" x14ac:dyDescent="0.25">
      <c r="A56" s="8" t="s">
        <v>60</v>
      </c>
      <c r="B56" s="9"/>
      <c r="C56" s="12">
        <v>15000</v>
      </c>
      <c r="D56" s="11">
        <f t="shared" si="0"/>
        <v>0</v>
      </c>
    </row>
    <row r="57" spans="1:4" ht="18.75" hidden="1" x14ac:dyDescent="0.25">
      <c r="A57" s="8" t="s">
        <v>61</v>
      </c>
      <c r="B57" s="17"/>
      <c r="C57" s="10"/>
      <c r="D57" s="11">
        <f t="shared" si="0"/>
        <v>0</v>
      </c>
    </row>
    <row r="58" spans="1:4" ht="18.75" x14ac:dyDescent="0.25">
      <c r="A58" s="8" t="s">
        <v>65</v>
      </c>
      <c r="B58" s="9">
        <v>41</v>
      </c>
      <c r="C58" s="12">
        <v>17000</v>
      </c>
      <c r="D58" s="11">
        <f t="shared" si="0"/>
        <v>697000</v>
      </c>
    </row>
    <row r="59" spans="1:4" ht="18.75" hidden="1" x14ac:dyDescent="0.25">
      <c r="A59" s="14" t="s">
        <v>64</v>
      </c>
      <c r="B59" s="9"/>
      <c r="C59" s="10"/>
      <c r="D59" s="11">
        <f t="shared" si="0"/>
        <v>0</v>
      </c>
    </row>
    <row r="60" spans="1:4" ht="18.75" hidden="1" x14ac:dyDescent="0.25">
      <c r="A60" s="14" t="s">
        <v>66</v>
      </c>
      <c r="B60" s="9"/>
      <c r="C60" s="10"/>
      <c r="D60" s="11">
        <f t="shared" si="0"/>
        <v>0</v>
      </c>
    </row>
    <row r="61" spans="1:4" ht="18.75" hidden="1" x14ac:dyDescent="0.25">
      <c r="A61" s="8" t="s">
        <v>7</v>
      </c>
      <c r="B61" s="9"/>
      <c r="C61" s="10"/>
      <c r="D61" s="11">
        <f t="shared" si="0"/>
        <v>0</v>
      </c>
    </row>
    <row r="62" spans="1:4" ht="18.75" x14ac:dyDescent="0.25">
      <c r="A62" s="8" t="s">
        <v>5</v>
      </c>
      <c r="B62" s="9">
        <v>3</v>
      </c>
      <c r="C62" s="10">
        <v>23000</v>
      </c>
      <c r="D62" s="11">
        <f t="shared" si="0"/>
        <v>69000</v>
      </c>
    </row>
    <row r="63" spans="1:4" ht="18.75" x14ac:dyDescent="0.25">
      <c r="A63" s="8" t="s">
        <v>6</v>
      </c>
      <c r="B63" s="9">
        <f>42+75+30</f>
        <v>147</v>
      </c>
      <c r="C63" s="10">
        <v>16000</v>
      </c>
      <c r="D63" s="11">
        <f t="shared" si="0"/>
        <v>2352000</v>
      </c>
    </row>
    <row r="64" spans="1:4" ht="18.75" hidden="1" x14ac:dyDescent="0.25">
      <c r="A64" s="8" t="s">
        <v>68</v>
      </c>
      <c r="B64" s="9"/>
      <c r="C64" s="10"/>
      <c r="D64" s="11">
        <f t="shared" si="0"/>
        <v>0</v>
      </c>
    </row>
    <row r="65" spans="1:4" ht="18.75" hidden="1" x14ac:dyDescent="0.25">
      <c r="A65" s="14" t="s">
        <v>69</v>
      </c>
      <c r="B65" s="9"/>
      <c r="C65" s="15">
        <v>38000</v>
      </c>
      <c r="D65" s="11">
        <f t="shared" si="0"/>
        <v>0</v>
      </c>
    </row>
    <row r="66" spans="1:4" ht="18.75" hidden="1" x14ac:dyDescent="0.25">
      <c r="A66" s="14" t="s">
        <v>70</v>
      </c>
      <c r="B66" s="9"/>
      <c r="C66" s="15"/>
      <c r="D66" s="11">
        <f t="shared" si="0"/>
        <v>0</v>
      </c>
    </row>
    <row r="67" spans="1:4" ht="18.75" hidden="1" x14ac:dyDescent="0.25">
      <c r="A67" s="14" t="s">
        <v>71</v>
      </c>
      <c r="B67" s="9"/>
      <c r="C67" s="10"/>
      <c r="D67" s="11">
        <f t="shared" si="0"/>
        <v>0</v>
      </c>
    </row>
    <row r="68" spans="1:4" ht="18.75" hidden="1" x14ac:dyDescent="0.25">
      <c r="A68" s="8" t="s">
        <v>72</v>
      </c>
      <c r="B68" s="9"/>
      <c r="C68" s="12"/>
      <c r="D68" s="11">
        <f t="shared" si="0"/>
        <v>0</v>
      </c>
    </row>
    <row r="69" spans="1:4" ht="18.75" hidden="1" x14ac:dyDescent="0.25">
      <c r="A69" s="8" t="s">
        <v>73</v>
      </c>
      <c r="B69" s="9"/>
      <c r="C69" s="12">
        <v>25000</v>
      </c>
      <c r="D69" s="11">
        <f t="shared" ref="D69:D132" si="1">B69*C69</f>
        <v>0</v>
      </c>
    </row>
    <row r="70" spans="1:4" ht="18.75" hidden="1" x14ac:dyDescent="0.25">
      <c r="A70" s="8" t="s">
        <v>74</v>
      </c>
      <c r="B70" s="9"/>
      <c r="C70" s="13"/>
      <c r="D70" s="11">
        <f t="shared" si="1"/>
        <v>0</v>
      </c>
    </row>
    <row r="71" spans="1:4" ht="18.75" hidden="1" x14ac:dyDescent="0.25">
      <c r="A71" s="8" t="s">
        <v>75</v>
      </c>
      <c r="B71" s="9"/>
      <c r="C71" s="15"/>
      <c r="D71" s="11">
        <f t="shared" si="1"/>
        <v>0</v>
      </c>
    </row>
    <row r="72" spans="1:4" ht="18.75" hidden="1" x14ac:dyDescent="0.25">
      <c r="A72" s="8" t="s">
        <v>76</v>
      </c>
      <c r="B72" s="9"/>
      <c r="C72" s="10"/>
      <c r="D72" s="11">
        <f t="shared" si="1"/>
        <v>0</v>
      </c>
    </row>
    <row r="73" spans="1:4" ht="18.75" hidden="1" x14ac:dyDescent="0.25">
      <c r="A73" s="20" t="s">
        <v>77</v>
      </c>
      <c r="B73" s="9"/>
      <c r="C73" s="13"/>
      <c r="D73" s="11">
        <f t="shared" si="1"/>
        <v>0</v>
      </c>
    </row>
    <row r="74" spans="1:4" ht="18.75" hidden="1" x14ac:dyDescent="0.25">
      <c r="A74" s="20" t="s">
        <v>78</v>
      </c>
      <c r="B74" s="9"/>
      <c r="C74" s="12"/>
      <c r="D74" s="11">
        <f t="shared" si="1"/>
        <v>0</v>
      </c>
    </row>
    <row r="75" spans="1:4" ht="18.75" hidden="1" x14ac:dyDescent="0.25">
      <c r="A75" s="20" t="s">
        <v>79</v>
      </c>
      <c r="B75" s="9"/>
      <c r="C75" s="13"/>
      <c r="D75" s="11">
        <f t="shared" si="1"/>
        <v>0</v>
      </c>
    </row>
    <row r="76" spans="1:4" ht="18.75" hidden="1" x14ac:dyDescent="0.25">
      <c r="A76" s="8" t="s">
        <v>80</v>
      </c>
      <c r="B76" s="9"/>
      <c r="C76" s="10"/>
      <c r="D76" s="11">
        <f t="shared" si="1"/>
        <v>0</v>
      </c>
    </row>
    <row r="77" spans="1:4" ht="18.75" hidden="1" x14ac:dyDescent="0.25">
      <c r="A77" s="8" t="s">
        <v>81</v>
      </c>
      <c r="B77" s="9"/>
      <c r="C77" s="13"/>
      <c r="D77" s="11">
        <f t="shared" si="1"/>
        <v>0</v>
      </c>
    </row>
    <row r="78" spans="1:4" ht="18.75" hidden="1" x14ac:dyDescent="0.25">
      <c r="A78" s="8" t="s">
        <v>82</v>
      </c>
      <c r="B78" s="9"/>
      <c r="C78" s="10">
        <v>150000</v>
      </c>
      <c r="D78" s="11">
        <f t="shared" si="1"/>
        <v>0</v>
      </c>
    </row>
    <row r="79" spans="1:4" ht="18.75" hidden="1" x14ac:dyDescent="0.25">
      <c r="A79" s="8" t="s">
        <v>83</v>
      </c>
      <c r="B79" s="9"/>
      <c r="C79" s="10"/>
      <c r="D79" s="11">
        <f t="shared" si="1"/>
        <v>0</v>
      </c>
    </row>
    <row r="80" spans="1:4" ht="18.75" hidden="1" x14ac:dyDescent="0.25">
      <c r="A80" s="8" t="s">
        <v>84</v>
      </c>
      <c r="B80" s="9"/>
      <c r="C80" s="10">
        <v>50000</v>
      </c>
      <c r="D80" s="11">
        <f t="shared" si="1"/>
        <v>0</v>
      </c>
    </row>
    <row r="81" spans="1:4" ht="18.75" hidden="1" x14ac:dyDescent="0.25">
      <c r="A81" s="8" t="s">
        <v>85</v>
      </c>
      <c r="B81" s="9"/>
      <c r="C81" s="10"/>
      <c r="D81" s="11">
        <f t="shared" si="1"/>
        <v>0</v>
      </c>
    </row>
    <row r="82" spans="1:4" ht="18.75" hidden="1" x14ac:dyDescent="0.25">
      <c r="A82" s="8" t="s">
        <v>86</v>
      </c>
      <c r="B82" s="9"/>
      <c r="C82" s="10">
        <v>50000</v>
      </c>
      <c r="D82" s="11">
        <f t="shared" si="1"/>
        <v>0</v>
      </c>
    </row>
    <row r="83" spans="1:4" ht="18.75" hidden="1" x14ac:dyDescent="0.25">
      <c r="A83" s="8" t="s">
        <v>87</v>
      </c>
      <c r="B83" s="9"/>
      <c r="C83" s="12"/>
      <c r="D83" s="11">
        <f t="shared" si="1"/>
        <v>0</v>
      </c>
    </row>
    <row r="84" spans="1:4" ht="18.75" hidden="1" x14ac:dyDescent="0.25">
      <c r="A84" s="8" t="s">
        <v>88</v>
      </c>
      <c r="B84" s="9"/>
      <c r="C84" s="10">
        <v>45000</v>
      </c>
      <c r="D84" s="11">
        <f t="shared" si="1"/>
        <v>0</v>
      </c>
    </row>
    <row r="85" spans="1:4" ht="18.75" hidden="1" x14ac:dyDescent="0.25">
      <c r="A85" s="8" t="s">
        <v>89</v>
      </c>
      <c r="B85" s="9"/>
      <c r="C85" s="12"/>
      <c r="D85" s="11">
        <f t="shared" si="1"/>
        <v>0</v>
      </c>
    </row>
    <row r="86" spans="1:4" ht="18.75" hidden="1" x14ac:dyDescent="0.25">
      <c r="A86" s="8" t="s">
        <v>90</v>
      </c>
      <c r="B86" s="9"/>
      <c r="C86" s="10">
        <v>50000</v>
      </c>
      <c r="D86" s="11">
        <f t="shared" si="1"/>
        <v>0</v>
      </c>
    </row>
    <row r="87" spans="1:4" ht="18.75" hidden="1" x14ac:dyDescent="0.25">
      <c r="A87" s="8" t="s">
        <v>91</v>
      </c>
      <c r="B87" s="9"/>
      <c r="C87" s="10"/>
      <c r="D87" s="11">
        <f t="shared" si="1"/>
        <v>0</v>
      </c>
    </row>
    <row r="88" spans="1:4" ht="18.75" hidden="1" x14ac:dyDescent="0.25">
      <c r="A88" s="8" t="s">
        <v>92</v>
      </c>
      <c r="B88" s="9"/>
      <c r="C88" s="10"/>
      <c r="D88" s="11">
        <f t="shared" si="1"/>
        <v>0</v>
      </c>
    </row>
    <row r="89" spans="1:4" ht="18.75" hidden="1" x14ac:dyDescent="0.25">
      <c r="A89" s="8" t="s">
        <v>93</v>
      </c>
      <c r="B89" s="9"/>
      <c r="C89" s="10"/>
      <c r="D89" s="11">
        <f t="shared" si="1"/>
        <v>0</v>
      </c>
    </row>
    <row r="90" spans="1:4" ht="18.75" hidden="1" x14ac:dyDescent="0.25">
      <c r="A90" s="8" t="s">
        <v>94</v>
      </c>
      <c r="B90" s="9"/>
      <c r="C90" s="10"/>
      <c r="D90" s="11">
        <f t="shared" si="1"/>
        <v>0</v>
      </c>
    </row>
    <row r="91" spans="1:4" ht="18.75" hidden="1" x14ac:dyDescent="0.25">
      <c r="A91" s="8" t="s">
        <v>95</v>
      </c>
      <c r="B91" s="9"/>
      <c r="C91" s="12">
        <v>12000</v>
      </c>
      <c r="D91" s="11">
        <f t="shared" si="1"/>
        <v>0</v>
      </c>
    </row>
    <row r="92" spans="1:4" ht="18.75" hidden="1" x14ac:dyDescent="0.25">
      <c r="A92" s="8" t="s">
        <v>96</v>
      </c>
      <c r="B92" s="9"/>
      <c r="C92" s="10"/>
      <c r="D92" s="11">
        <f t="shared" si="1"/>
        <v>0</v>
      </c>
    </row>
    <row r="93" spans="1:4" ht="18.75" hidden="1" x14ac:dyDescent="0.25">
      <c r="A93" s="8" t="s">
        <v>97</v>
      </c>
      <c r="B93" s="9"/>
      <c r="C93" s="10"/>
      <c r="D93" s="11">
        <f t="shared" si="1"/>
        <v>0</v>
      </c>
    </row>
    <row r="94" spans="1:4" ht="18.75" hidden="1" x14ac:dyDescent="0.25">
      <c r="A94" s="8" t="s">
        <v>98</v>
      </c>
      <c r="B94" s="9"/>
      <c r="C94" s="10"/>
      <c r="D94" s="11">
        <f t="shared" si="1"/>
        <v>0</v>
      </c>
    </row>
    <row r="95" spans="1:4" ht="18.75" hidden="1" x14ac:dyDescent="0.25">
      <c r="A95" s="8" t="s">
        <v>99</v>
      </c>
      <c r="B95" s="9"/>
      <c r="C95" s="12"/>
      <c r="D95" s="11">
        <f t="shared" si="1"/>
        <v>0</v>
      </c>
    </row>
    <row r="96" spans="1:4" ht="18.75" hidden="1" x14ac:dyDescent="0.25">
      <c r="A96" s="14" t="s">
        <v>100</v>
      </c>
      <c r="B96" s="9"/>
      <c r="C96" s="10"/>
      <c r="D96" s="11">
        <f t="shared" si="1"/>
        <v>0</v>
      </c>
    </row>
    <row r="97" spans="1:4" ht="18.75" hidden="1" x14ac:dyDescent="0.25">
      <c r="A97" s="14" t="s">
        <v>101</v>
      </c>
      <c r="B97" s="9"/>
      <c r="C97" s="10"/>
      <c r="D97" s="11">
        <f t="shared" si="1"/>
        <v>0</v>
      </c>
    </row>
    <row r="98" spans="1:4" ht="18.75" hidden="1" x14ac:dyDescent="0.25">
      <c r="A98" s="14" t="s">
        <v>102</v>
      </c>
      <c r="B98" s="21"/>
      <c r="C98" s="10"/>
      <c r="D98" s="11">
        <f t="shared" si="1"/>
        <v>0</v>
      </c>
    </row>
    <row r="99" spans="1:4" ht="18.75" hidden="1" x14ac:dyDescent="0.25">
      <c r="A99" s="8" t="s">
        <v>103</v>
      </c>
      <c r="B99" s="9"/>
      <c r="C99" s="10"/>
      <c r="D99" s="11">
        <f t="shared" si="1"/>
        <v>0</v>
      </c>
    </row>
    <row r="100" spans="1:4" ht="18.75" hidden="1" x14ac:dyDescent="0.25">
      <c r="A100" s="8" t="s">
        <v>104</v>
      </c>
      <c r="B100" s="9"/>
      <c r="C100" s="12"/>
      <c r="D100" s="11">
        <f t="shared" si="1"/>
        <v>0</v>
      </c>
    </row>
    <row r="101" spans="1:4" ht="18.75" hidden="1" x14ac:dyDescent="0.25">
      <c r="A101" s="8" t="s">
        <v>105</v>
      </c>
      <c r="B101" s="9"/>
      <c r="C101" s="10"/>
      <c r="D101" s="11">
        <f t="shared" si="1"/>
        <v>0</v>
      </c>
    </row>
    <row r="102" spans="1:4" ht="18.75" hidden="1" x14ac:dyDescent="0.25">
      <c r="A102" s="8" t="s">
        <v>106</v>
      </c>
      <c r="B102" s="9"/>
      <c r="C102" s="10"/>
      <c r="D102" s="11">
        <f t="shared" si="1"/>
        <v>0</v>
      </c>
    </row>
    <row r="103" spans="1:4" ht="18.75" hidden="1" x14ac:dyDescent="0.25">
      <c r="A103" s="8" t="s">
        <v>107</v>
      </c>
      <c r="B103" s="9"/>
      <c r="C103" s="10"/>
      <c r="D103" s="11">
        <f t="shared" si="1"/>
        <v>0</v>
      </c>
    </row>
    <row r="104" spans="1:4" ht="18.75" hidden="1" x14ac:dyDescent="0.25">
      <c r="A104" s="22" t="s">
        <v>108</v>
      </c>
      <c r="B104" s="9"/>
      <c r="C104" s="10"/>
      <c r="D104" s="11">
        <f t="shared" si="1"/>
        <v>0</v>
      </c>
    </row>
    <row r="105" spans="1:4" ht="18.75" hidden="1" x14ac:dyDescent="0.25">
      <c r="A105" s="8" t="s">
        <v>200</v>
      </c>
      <c r="B105" s="9"/>
      <c r="C105" s="12"/>
      <c r="D105" s="11">
        <f t="shared" si="1"/>
        <v>0</v>
      </c>
    </row>
    <row r="106" spans="1:4" ht="18.75" x14ac:dyDescent="0.25">
      <c r="A106" s="8" t="s">
        <v>199</v>
      </c>
      <c r="B106" s="9">
        <v>13</v>
      </c>
      <c r="C106" s="12">
        <v>18000</v>
      </c>
      <c r="D106" s="11">
        <f t="shared" si="1"/>
        <v>234000</v>
      </c>
    </row>
    <row r="107" spans="1:4" ht="18.75" hidden="1" x14ac:dyDescent="0.25">
      <c r="A107" s="8" t="s">
        <v>109</v>
      </c>
      <c r="B107" s="9"/>
      <c r="C107" s="12">
        <v>10000</v>
      </c>
      <c r="D107" s="11">
        <f t="shared" si="1"/>
        <v>0</v>
      </c>
    </row>
    <row r="108" spans="1:4" ht="18.75" x14ac:dyDescent="0.25">
      <c r="A108" s="14" t="s">
        <v>113</v>
      </c>
      <c r="B108" s="9">
        <v>160</v>
      </c>
      <c r="C108" s="10">
        <v>17000</v>
      </c>
      <c r="D108" s="11">
        <f t="shared" si="1"/>
        <v>2720000</v>
      </c>
    </row>
    <row r="109" spans="1:4" ht="18.75" hidden="1" x14ac:dyDescent="0.25">
      <c r="A109" s="8" t="s">
        <v>111</v>
      </c>
      <c r="B109" s="9"/>
      <c r="C109" s="13"/>
      <c r="D109" s="11">
        <f t="shared" si="1"/>
        <v>0</v>
      </c>
    </row>
    <row r="110" spans="1:4" ht="18.75" hidden="1" x14ac:dyDescent="0.25">
      <c r="A110" s="14" t="s">
        <v>112</v>
      </c>
      <c r="B110" s="9"/>
      <c r="C110" s="10"/>
      <c r="D110" s="11">
        <f t="shared" si="1"/>
        <v>0</v>
      </c>
    </row>
    <row r="111" spans="1:4" ht="18.75" x14ac:dyDescent="0.25">
      <c r="A111" s="14" t="s">
        <v>115</v>
      </c>
      <c r="B111" s="9">
        <v>11</v>
      </c>
      <c r="C111" s="10">
        <v>25000</v>
      </c>
      <c r="D111" s="11">
        <f t="shared" si="1"/>
        <v>275000</v>
      </c>
    </row>
    <row r="112" spans="1:4" ht="18.75" hidden="1" x14ac:dyDescent="0.25">
      <c r="A112" s="8" t="s">
        <v>114</v>
      </c>
      <c r="B112" s="9"/>
      <c r="C112" s="12"/>
      <c r="D112" s="11">
        <f t="shared" si="1"/>
        <v>0</v>
      </c>
    </row>
    <row r="113" spans="1:4" ht="18.75" x14ac:dyDescent="0.25">
      <c r="A113" s="8" t="s">
        <v>237</v>
      </c>
      <c r="B113" s="9">
        <v>605</v>
      </c>
      <c r="C113" s="13">
        <v>14000</v>
      </c>
      <c r="D113" s="11">
        <f t="shared" si="1"/>
        <v>8470000</v>
      </c>
    </row>
    <row r="114" spans="1:4" ht="18.75" hidden="1" x14ac:dyDescent="0.25">
      <c r="A114" s="14" t="s">
        <v>116</v>
      </c>
      <c r="B114" s="9"/>
      <c r="C114" s="12"/>
      <c r="D114" s="11">
        <f t="shared" si="1"/>
        <v>0</v>
      </c>
    </row>
    <row r="115" spans="1:4" ht="18.75" hidden="1" x14ac:dyDescent="0.25">
      <c r="A115" s="8" t="s">
        <v>117</v>
      </c>
      <c r="B115" s="9"/>
      <c r="C115" s="10"/>
      <c r="D115" s="11">
        <f t="shared" si="1"/>
        <v>0</v>
      </c>
    </row>
    <row r="116" spans="1:4" ht="18.75" hidden="1" x14ac:dyDescent="0.25">
      <c r="A116" s="8" t="s">
        <v>118</v>
      </c>
      <c r="B116" s="9"/>
      <c r="C116" s="12"/>
      <c r="D116" s="11">
        <f t="shared" si="1"/>
        <v>0</v>
      </c>
    </row>
    <row r="117" spans="1:4" ht="18.75" hidden="1" x14ac:dyDescent="0.25">
      <c r="A117" s="8" t="s">
        <v>119</v>
      </c>
      <c r="B117" s="9"/>
      <c r="C117" s="10"/>
      <c r="D117" s="11">
        <f t="shared" si="1"/>
        <v>0</v>
      </c>
    </row>
    <row r="118" spans="1:4" ht="18.75" hidden="1" x14ac:dyDescent="0.25">
      <c r="A118" s="8" t="s">
        <v>120</v>
      </c>
      <c r="B118" s="9"/>
      <c r="C118" s="10">
        <v>15000</v>
      </c>
      <c r="D118" s="11">
        <f t="shared" si="1"/>
        <v>0</v>
      </c>
    </row>
    <row r="119" spans="1:4" ht="18.75" x14ac:dyDescent="0.25">
      <c r="A119" s="8" t="s">
        <v>121</v>
      </c>
      <c r="B119" s="9">
        <v>258</v>
      </c>
      <c r="C119" s="13">
        <v>22000</v>
      </c>
      <c r="D119" s="11">
        <f t="shared" si="1"/>
        <v>5676000</v>
      </c>
    </row>
    <row r="120" spans="1:4" ht="18.75" x14ac:dyDescent="0.25">
      <c r="A120" s="8" t="s">
        <v>122</v>
      </c>
      <c r="B120" s="9">
        <v>14</v>
      </c>
      <c r="C120" s="12">
        <v>22000</v>
      </c>
      <c r="D120" s="11">
        <f t="shared" si="1"/>
        <v>308000</v>
      </c>
    </row>
    <row r="121" spans="1:4" ht="18.75" hidden="1" x14ac:dyDescent="0.25">
      <c r="A121" s="8" t="s">
        <v>123</v>
      </c>
      <c r="B121" s="9"/>
      <c r="C121" s="12"/>
      <c r="D121" s="11">
        <f t="shared" si="1"/>
        <v>0</v>
      </c>
    </row>
    <row r="122" spans="1:4" ht="18.75" hidden="1" x14ac:dyDescent="0.25">
      <c r="A122" s="8" t="s">
        <v>124</v>
      </c>
      <c r="B122" s="9"/>
      <c r="C122" s="13"/>
      <c r="D122" s="11">
        <f t="shared" si="1"/>
        <v>0</v>
      </c>
    </row>
    <row r="123" spans="1:4" ht="18.75" hidden="1" x14ac:dyDescent="0.25">
      <c r="A123" s="18" t="s">
        <v>125</v>
      </c>
      <c r="B123" s="9"/>
      <c r="C123" s="12"/>
      <c r="D123" s="11">
        <f t="shared" si="1"/>
        <v>0</v>
      </c>
    </row>
    <row r="124" spans="1:4" ht="18.75" hidden="1" x14ac:dyDescent="0.25">
      <c r="A124" s="8" t="s">
        <v>126</v>
      </c>
      <c r="B124" s="9"/>
      <c r="C124" s="13"/>
      <c r="D124" s="11">
        <f t="shared" si="1"/>
        <v>0</v>
      </c>
    </row>
    <row r="125" spans="1:4" ht="18.75" hidden="1" x14ac:dyDescent="0.25">
      <c r="A125" s="8" t="s">
        <v>127</v>
      </c>
      <c r="B125" s="9"/>
      <c r="C125" s="13"/>
      <c r="D125" s="11">
        <f t="shared" si="1"/>
        <v>0</v>
      </c>
    </row>
    <row r="126" spans="1:4" ht="18.75" hidden="1" x14ac:dyDescent="0.25">
      <c r="A126" s="8" t="s">
        <v>128</v>
      </c>
      <c r="B126" s="9"/>
      <c r="C126" s="10"/>
      <c r="D126" s="11">
        <f t="shared" si="1"/>
        <v>0</v>
      </c>
    </row>
    <row r="127" spans="1:4" ht="18.75" hidden="1" x14ac:dyDescent="0.25">
      <c r="A127" s="14" t="s">
        <v>129</v>
      </c>
      <c r="B127" s="9"/>
      <c r="C127" s="10"/>
      <c r="D127" s="11">
        <f t="shared" si="1"/>
        <v>0</v>
      </c>
    </row>
    <row r="128" spans="1:4" ht="18.75" hidden="1" x14ac:dyDescent="0.25">
      <c r="A128" s="8" t="s">
        <v>130</v>
      </c>
      <c r="B128" s="9"/>
      <c r="C128" s="12">
        <v>15000</v>
      </c>
      <c r="D128" s="11">
        <f t="shared" si="1"/>
        <v>0</v>
      </c>
    </row>
    <row r="129" spans="1:4" ht="18.75" hidden="1" x14ac:dyDescent="0.25">
      <c r="A129" s="8" t="s">
        <v>131</v>
      </c>
      <c r="B129" s="9"/>
      <c r="C129" s="12"/>
      <c r="D129" s="11">
        <f t="shared" si="1"/>
        <v>0</v>
      </c>
    </row>
    <row r="130" spans="1:4" ht="18.75" hidden="1" x14ac:dyDescent="0.25">
      <c r="A130" s="8" t="s">
        <v>132</v>
      </c>
      <c r="B130" s="9"/>
      <c r="C130" s="10"/>
      <c r="D130" s="11">
        <f t="shared" si="1"/>
        <v>0</v>
      </c>
    </row>
    <row r="131" spans="1:4" ht="18.75" hidden="1" x14ac:dyDescent="0.25">
      <c r="A131" s="8" t="s">
        <v>133</v>
      </c>
      <c r="B131" s="9"/>
      <c r="C131" s="10"/>
      <c r="D131" s="11">
        <f t="shared" si="1"/>
        <v>0</v>
      </c>
    </row>
    <row r="132" spans="1:4" ht="18.75" hidden="1" x14ac:dyDescent="0.25">
      <c r="A132" s="8" t="s">
        <v>134</v>
      </c>
      <c r="B132" s="9"/>
      <c r="C132" s="10"/>
      <c r="D132" s="11">
        <f t="shared" si="1"/>
        <v>0</v>
      </c>
    </row>
    <row r="133" spans="1:4" ht="18.75" hidden="1" x14ac:dyDescent="0.25">
      <c r="A133" s="8" t="s">
        <v>135</v>
      </c>
      <c r="B133" s="9"/>
      <c r="C133" s="19"/>
      <c r="D133" s="11">
        <f t="shared" ref="D133:D196" si="2">B133*C133</f>
        <v>0</v>
      </c>
    </row>
    <row r="134" spans="1:4" ht="18.75" hidden="1" x14ac:dyDescent="0.25">
      <c r="A134" s="8" t="s">
        <v>136</v>
      </c>
      <c r="B134" s="9"/>
      <c r="C134" s="10"/>
      <c r="D134" s="11">
        <f t="shared" si="2"/>
        <v>0</v>
      </c>
    </row>
    <row r="135" spans="1:4" ht="18.75" hidden="1" x14ac:dyDescent="0.25">
      <c r="A135" s="8" t="s">
        <v>137</v>
      </c>
      <c r="B135" s="9"/>
      <c r="C135" s="13"/>
      <c r="D135" s="11">
        <f t="shared" si="2"/>
        <v>0</v>
      </c>
    </row>
    <row r="136" spans="1:4" ht="18.75" hidden="1" x14ac:dyDescent="0.25">
      <c r="A136" s="8" t="s">
        <v>138</v>
      </c>
      <c r="B136" s="9"/>
      <c r="C136" s="13">
        <v>25000</v>
      </c>
      <c r="D136" s="11">
        <f t="shared" si="2"/>
        <v>0</v>
      </c>
    </row>
    <row r="137" spans="1:4" ht="18.75" hidden="1" x14ac:dyDescent="0.25">
      <c r="A137" s="23" t="s">
        <v>139</v>
      </c>
      <c r="B137" s="9"/>
      <c r="C137" s="10"/>
      <c r="D137" s="11">
        <f t="shared" si="2"/>
        <v>0</v>
      </c>
    </row>
    <row r="138" spans="1:4" ht="18.75" hidden="1" x14ac:dyDescent="0.25">
      <c r="A138" s="8" t="s">
        <v>140</v>
      </c>
      <c r="B138" s="9"/>
      <c r="C138" s="10"/>
      <c r="D138" s="11">
        <f t="shared" si="2"/>
        <v>0</v>
      </c>
    </row>
    <row r="139" spans="1:4" ht="18.75" hidden="1" x14ac:dyDescent="0.25">
      <c r="A139" s="14" t="s">
        <v>141</v>
      </c>
      <c r="B139" s="9"/>
      <c r="C139" s="10"/>
      <c r="D139" s="11">
        <f t="shared" si="2"/>
        <v>0</v>
      </c>
    </row>
    <row r="140" spans="1:4" ht="18.75" hidden="1" x14ac:dyDescent="0.25">
      <c r="A140" s="8" t="s">
        <v>142</v>
      </c>
      <c r="B140" s="9"/>
      <c r="C140" s="10"/>
      <c r="D140" s="11">
        <f t="shared" si="2"/>
        <v>0</v>
      </c>
    </row>
    <row r="141" spans="1:4" ht="18.75" hidden="1" x14ac:dyDescent="0.25">
      <c r="A141" s="8" t="s">
        <v>143</v>
      </c>
      <c r="B141" s="9"/>
      <c r="C141" s="13"/>
      <c r="D141" s="11">
        <f t="shared" si="2"/>
        <v>0</v>
      </c>
    </row>
    <row r="142" spans="1:4" ht="18.75" hidden="1" x14ac:dyDescent="0.25">
      <c r="A142" s="8" t="s">
        <v>144</v>
      </c>
      <c r="B142" s="9"/>
      <c r="C142" s="10"/>
      <c r="D142" s="11">
        <f t="shared" si="2"/>
        <v>0</v>
      </c>
    </row>
    <row r="143" spans="1:4" ht="18.75" hidden="1" x14ac:dyDescent="0.25">
      <c r="A143" s="8" t="s">
        <v>145</v>
      </c>
      <c r="B143" s="9"/>
      <c r="C143" s="12">
        <v>18000</v>
      </c>
      <c r="D143" s="11">
        <f t="shared" si="2"/>
        <v>0</v>
      </c>
    </row>
    <row r="144" spans="1:4" ht="18.75" hidden="1" x14ac:dyDescent="0.25">
      <c r="A144" s="8" t="s">
        <v>146</v>
      </c>
      <c r="B144" s="9"/>
      <c r="C144" s="12"/>
      <c r="D144" s="11">
        <f t="shared" si="2"/>
        <v>0</v>
      </c>
    </row>
    <row r="145" spans="1:4" ht="18.75" hidden="1" x14ac:dyDescent="0.25">
      <c r="A145" s="8" t="s">
        <v>147</v>
      </c>
      <c r="B145" s="9"/>
      <c r="C145" s="12"/>
      <c r="D145" s="11">
        <f t="shared" si="2"/>
        <v>0</v>
      </c>
    </row>
    <row r="146" spans="1:4" ht="18.75" hidden="1" x14ac:dyDescent="0.25">
      <c r="A146" s="24" t="s">
        <v>148</v>
      </c>
      <c r="B146" s="9"/>
      <c r="C146" s="12"/>
      <c r="D146" s="11">
        <f t="shared" si="2"/>
        <v>0</v>
      </c>
    </row>
    <row r="147" spans="1:4" ht="18.75" x14ac:dyDescent="0.25">
      <c r="A147" s="8" t="s">
        <v>204</v>
      </c>
      <c r="B147" s="9">
        <v>570</v>
      </c>
      <c r="C147" s="13">
        <v>7000</v>
      </c>
      <c r="D147" s="11">
        <f t="shared" si="2"/>
        <v>3990000</v>
      </c>
    </row>
    <row r="148" spans="1:4" ht="18.75" hidden="1" x14ac:dyDescent="0.25">
      <c r="A148" s="8" t="s">
        <v>149</v>
      </c>
      <c r="B148" s="9"/>
      <c r="C148" s="10"/>
      <c r="D148" s="11">
        <f t="shared" si="2"/>
        <v>0</v>
      </c>
    </row>
    <row r="149" spans="1:4" ht="18.75" hidden="1" x14ac:dyDescent="0.25">
      <c r="A149" s="8" t="s">
        <v>150</v>
      </c>
      <c r="B149" s="9"/>
      <c r="C149" s="25"/>
      <c r="D149" s="11">
        <f t="shared" si="2"/>
        <v>0</v>
      </c>
    </row>
    <row r="150" spans="1:4" ht="18.75" hidden="1" x14ac:dyDescent="0.25">
      <c r="A150" s="14" t="s">
        <v>151</v>
      </c>
      <c r="B150" s="9"/>
      <c r="C150" s="10"/>
      <c r="D150" s="11">
        <f t="shared" si="2"/>
        <v>0</v>
      </c>
    </row>
    <row r="151" spans="1:4" ht="18.75" hidden="1" x14ac:dyDescent="0.25">
      <c r="A151" s="14" t="s">
        <v>152</v>
      </c>
      <c r="B151" s="9"/>
      <c r="C151" s="10"/>
      <c r="D151" s="11">
        <f t="shared" si="2"/>
        <v>0</v>
      </c>
    </row>
    <row r="152" spans="1:4" ht="18.75" hidden="1" x14ac:dyDescent="0.25">
      <c r="A152" s="8" t="s">
        <v>153</v>
      </c>
      <c r="B152" s="9"/>
      <c r="C152" s="10"/>
      <c r="D152" s="11">
        <f t="shared" si="2"/>
        <v>0</v>
      </c>
    </row>
    <row r="153" spans="1:4" ht="18.75" hidden="1" x14ac:dyDescent="0.25">
      <c r="A153" s="8" t="s">
        <v>154</v>
      </c>
      <c r="B153" s="9"/>
      <c r="C153" s="10"/>
      <c r="D153" s="11">
        <f t="shared" si="2"/>
        <v>0</v>
      </c>
    </row>
    <row r="154" spans="1:4" ht="18.75" hidden="1" x14ac:dyDescent="0.25">
      <c r="A154" s="8" t="s">
        <v>155</v>
      </c>
      <c r="B154" s="9"/>
      <c r="C154" s="10"/>
      <c r="D154" s="11">
        <f t="shared" si="2"/>
        <v>0</v>
      </c>
    </row>
    <row r="155" spans="1:4" ht="18.75" hidden="1" x14ac:dyDescent="0.25">
      <c r="A155" s="8" t="s">
        <v>156</v>
      </c>
      <c r="B155" s="9"/>
      <c r="C155" s="10"/>
      <c r="D155" s="11">
        <f t="shared" si="2"/>
        <v>0</v>
      </c>
    </row>
    <row r="156" spans="1:4" ht="18.75" hidden="1" x14ac:dyDescent="0.25">
      <c r="A156" s="8" t="s">
        <v>157</v>
      </c>
      <c r="B156" s="9"/>
      <c r="C156" s="10">
        <v>6000</v>
      </c>
      <c r="D156" s="11">
        <f t="shared" si="2"/>
        <v>0</v>
      </c>
    </row>
    <row r="157" spans="1:4" ht="18.75" hidden="1" x14ac:dyDescent="0.25">
      <c r="A157" s="8" t="s">
        <v>158</v>
      </c>
      <c r="B157" s="9"/>
      <c r="C157" s="10"/>
      <c r="D157" s="11">
        <f t="shared" si="2"/>
        <v>0</v>
      </c>
    </row>
    <row r="158" spans="1:4" ht="18.75" hidden="1" x14ac:dyDescent="0.25">
      <c r="A158" s="8" t="s">
        <v>159</v>
      </c>
      <c r="B158" s="9"/>
      <c r="C158" s="10"/>
      <c r="D158" s="11">
        <f t="shared" si="2"/>
        <v>0</v>
      </c>
    </row>
    <row r="159" spans="1:4" ht="18.75" hidden="1" x14ac:dyDescent="0.25">
      <c r="A159" s="8" t="s">
        <v>160</v>
      </c>
      <c r="B159" s="9"/>
      <c r="C159" s="10"/>
      <c r="D159" s="11">
        <f t="shared" si="2"/>
        <v>0</v>
      </c>
    </row>
    <row r="160" spans="1:4" ht="18.75" hidden="1" x14ac:dyDescent="0.25">
      <c r="A160" s="8" t="s">
        <v>161</v>
      </c>
      <c r="B160" s="9"/>
      <c r="C160" s="10">
        <v>32000</v>
      </c>
      <c r="D160" s="11">
        <f t="shared" si="2"/>
        <v>0</v>
      </c>
    </row>
    <row r="161" spans="1:4" ht="18.75" hidden="1" x14ac:dyDescent="0.25">
      <c r="A161" s="8" t="s">
        <v>162</v>
      </c>
      <c r="B161" s="9"/>
      <c r="C161" s="10"/>
      <c r="D161" s="11">
        <f t="shared" si="2"/>
        <v>0</v>
      </c>
    </row>
    <row r="162" spans="1:4" ht="18.75" hidden="1" x14ac:dyDescent="0.25">
      <c r="A162" s="14" t="s">
        <v>163</v>
      </c>
      <c r="B162" s="9"/>
      <c r="C162" s="15"/>
      <c r="D162" s="11">
        <f t="shared" si="2"/>
        <v>0</v>
      </c>
    </row>
    <row r="163" spans="1:4" ht="18.75" hidden="1" x14ac:dyDescent="0.25">
      <c r="A163" s="14" t="s">
        <v>164</v>
      </c>
      <c r="B163" s="9"/>
      <c r="C163" s="15"/>
      <c r="D163" s="11">
        <f t="shared" si="2"/>
        <v>0</v>
      </c>
    </row>
    <row r="164" spans="1:4" ht="18.75" x14ac:dyDescent="0.25">
      <c r="A164" s="8" t="s">
        <v>168</v>
      </c>
      <c r="B164" s="9">
        <v>105</v>
      </c>
      <c r="C164" s="12">
        <v>16000</v>
      </c>
      <c r="D164" s="11">
        <f t="shared" si="2"/>
        <v>1680000</v>
      </c>
    </row>
    <row r="165" spans="1:4" ht="18.75" hidden="1" x14ac:dyDescent="0.25">
      <c r="A165" s="8" t="s">
        <v>167</v>
      </c>
      <c r="B165" s="9"/>
      <c r="C165" s="10"/>
      <c r="D165" s="11">
        <f t="shared" si="2"/>
        <v>0</v>
      </c>
    </row>
    <row r="166" spans="1:4" ht="18.75" x14ac:dyDescent="0.25">
      <c r="A166" s="8" t="s">
        <v>169</v>
      </c>
      <c r="B166" s="9">
        <v>20</v>
      </c>
      <c r="C166" s="10">
        <v>16000</v>
      </c>
      <c r="D166" s="11">
        <f t="shared" si="2"/>
        <v>320000</v>
      </c>
    </row>
    <row r="167" spans="1:4" ht="18.75" hidden="1" x14ac:dyDescent="0.25">
      <c r="A167" s="8" t="s">
        <v>170</v>
      </c>
      <c r="B167" s="9"/>
      <c r="C167" s="10"/>
      <c r="D167" s="11">
        <f t="shared" si="2"/>
        <v>0</v>
      </c>
    </row>
    <row r="168" spans="1:4" ht="18.75" hidden="1" x14ac:dyDescent="0.25">
      <c r="A168" s="8" t="s">
        <v>171</v>
      </c>
      <c r="B168" s="9"/>
      <c r="C168" s="13"/>
      <c r="D168" s="11">
        <f t="shared" si="2"/>
        <v>0</v>
      </c>
    </row>
    <row r="169" spans="1:4" ht="18.75" hidden="1" x14ac:dyDescent="0.25">
      <c r="A169" s="8" t="s">
        <v>172</v>
      </c>
      <c r="B169" s="9"/>
      <c r="C169" s="13"/>
      <c r="D169" s="11">
        <f t="shared" si="2"/>
        <v>0</v>
      </c>
    </row>
    <row r="170" spans="1:4" ht="18.75" hidden="1" x14ac:dyDescent="0.25">
      <c r="A170" s="8" t="s">
        <v>173</v>
      </c>
      <c r="B170" s="9"/>
      <c r="C170" s="13">
        <v>25000</v>
      </c>
      <c r="D170" s="11">
        <f t="shared" si="2"/>
        <v>0</v>
      </c>
    </row>
    <row r="171" spans="1:4" ht="18.75" hidden="1" x14ac:dyDescent="0.25">
      <c r="A171" s="8" t="s">
        <v>174</v>
      </c>
      <c r="B171" s="9"/>
      <c r="C171" s="13">
        <v>6100</v>
      </c>
      <c r="D171" s="11">
        <f t="shared" si="2"/>
        <v>0</v>
      </c>
    </row>
    <row r="172" spans="1:4" ht="18.75" hidden="1" x14ac:dyDescent="0.25">
      <c r="A172" s="8" t="s">
        <v>175</v>
      </c>
      <c r="B172" s="9"/>
      <c r="C172" s="13"/>
      <c r="D172" s="11">
        <f t="shared" si="2"/>
        <v>0</v>
      </c>
    </row>
    <row r="173" spans="1:4" ht="18.75" hidden="1" x14ac:dyDescent="0.25">
      <c r="A173" s="8" t="s">
        <v>176</v>
      </c>
      <c r="B173" s="9"/>
      <c r="C173" s="13"/>
      <c r="D173" s="11">
        <f t="shared" si="2"/>
        <v>0</v>
      </c>
    </row>
    <row r="174" spans="1:4" ht="18.75" hidden="1" x14ac:dyDescent="0.25">
      <c r="A174" s="8" t="s">
        <v>177</v>
      </c>
      <c r="B174" s="9"/>
      <c r="C174" s="12"/>
      <c r="D174" s="11">
        <f t="shared" si="2"/>
        <v>0</v>
      </c>
    </row>
    <row r="175" spans="1:4" ht="18.75" hidden="1" x14ac:dyDescent="0.25">
      <c r="A175" s="27" t="s">
        <v>178</v>
      </c>
      <c r="B175" s="9"/>
      <c r="C175" s="12"/>
      <c r="D175" s="11">
        <f t="shared" si="2"/>
        <v>0</v>
      </c>
    </row>
    <row r="176" spans="1:4" ht="18.75" hidden="1" x14ac:dyDescent="0.25">
      <c r="A176" s="27" t="s">
        <v>179</v>
      </c>
      <c r="B176" s="9"/>
      <c r="C176" s="13">
        <v>25000</v>
      </c>
      <c r="D176" s="11">
        <f t="shared" si="2"/>
        <v>0</v>
      </c>
    </row>
    <row r="177" spans="1:4" ht="18.75" hidden="1" x14ac:dyDescent="0.25">
      <c r="A177" s="27" t="s">
        <v>180</v>
      </c>
      <c r="B177" s="9"/>
      <c r="C177" s="13"/>
      <c r="D177" s="11">
        <f t="shared" si="2"/>
        <v>0</v>
      </c>
    </row>
    <row r="178" spans="1:4" ht="18.75" hidden="1" x14ac:dyDescent="0.25">
      <c r="A178" s="27" t="s">
        <v>181</v>
      </c>
      <c r="B178" s="9"/>
      <c r="C178" s="12"/>
      <c r="D178" s="11">
        <f t="shared" si="2"/>
        <v>0</v>
      </c>
    </row>
    <row r="179" spans="1:4" ht="18.75" hidden="1" x14ac:dyDescent="0.25">
      <c r="A179" s="27" t="s">
        <v>182</v>
      </c>
      <c r="B179" s="9"/>
      <c r="C179" s="12"/>
      <c r="D179" s="11">
        <f t="shared" si="2"/>
        <v>0</v>
      </c>
    </row>
    <row r="180" spans="1:4" ht="18.75" hidden="1" x14ac:dyDescent="0.25">
      <c r="A180" s="8" t="s">
        <v>183</v>
      </c>
      <c r="B180" s="9"/>
      <c r="C180" s="13">
        <v>6100</v>
      </c>
      <c r="D180" s="11">
        <f t="shared" si="2"/>
        <v>0</v>
      </c>
    </row>
    <row r="181" spans="1:4" ht="18.75" hidden="1" x14ac:dyDescent="0.25">
      <c r="A181" s="8" t="s">
        <v>184</v>
      </c>
      <c r="B181" s="9"/>
      <c r="C181" s="13"/>
      <c r="D181" s="11">
        <f t="shared" si="2"/>
        <v>0</v>
      </c>
    </row>
    <row r="182" spans="1:4" ht="18.75" hidden="1" x14ac:dyDescent="0.25">
      <c r="A182" s="8" t="s">
        <v>185</v>
      </c>
      <c r="B182" s="9"/>
      <c r="C182" s="13">
        <v>23000</v>
      </c>
      <c r="D182" s="11">
        <f t="shared" si="2"/>
        <v>0</v>
      </c>
    </row>
    <row r="183" spans="1:4" ht="18.75" hidden="1" x14ac:dyDescent="0.25">
      <c r="A183" s="8" t="s">
        <v>186</v>
      </c>
      <c r="B183" s="9"/>
      <c r="C183" s="13">
        <v>25000</v>
      </c>
      <c r="D183" s="11">
        <f t="shared" si="2"/>
        <v>0</v>
      </c>
    </row>
    <row r="184" spans="1:4" ht="18.75" hidden="1" x14ac:dyDescent="0.25">
      <c r="A184" s="8" t="s">
        <v>187</v>
      </c>
      <c r="B184" s="9"/>
      <c r="C184" s="13"/>
      <c r="D184" s="11">
        <f t="shared" si="2"/>
        <v>0</v>
      </c>
    </row>
    <row r="185" spans="1:4" ht="18.75" hidden="1" x14ac:dyDescent="0.25">
      <c r="A185" s="8" t="s">
        <v>188</v>
      </c>
      <c r="B185" s="9"/>
      <c r="C185" s="10"/>
      <c r="D185" s="11">
        <f t="shared" si="2"/>
        <v>0</v>
      </c>
    </row>
    <row r="186" spans="1:4" ht="18.75" hidden="1" x14ac:dyDescent="0.25">
      <c r="A186" s="8" t="s">
        <v>189</v>
      </c>
      <c r="B186" s="9"/>
      <c r="C186" s="13"/>
      <c r="D186" s="11">
        <f t="shared" si="2"/>
        <v>0</v>
      </c>
    </row>
    <row r="187" spans="1:4" ht="18.75" hidden="1" x14ac:dyDescent="0.25">
      <c r="A187" s="8" t="s">
        <v>190</v>
      </c>
      <c r="B187" s="9"/>
      <c r="C187" s="12"/>
      <c r="D187" s="11">
        <f t="shared" si="2"/>
        <v>0</v>
      </c>
    </row>
    <row r="188" spans="1:4" ht="18.75" hidden="1" x14ac:dyDescent="0.25">
      <c r="A188" s="8" t="s">
        <v>191</v>
      </c>
      <c r="B188" s="9"/>
      <c r="C188" s="10"/>
      <c r="D188" s="11">
        <f t="shared" si="2"/>
        <v>0</v>
      </c>
    </row>
    <row r="189" spans="1:4" ht="18.75" hidden="1" x14ac:dyDescent="0.25">
      <c r="A189" s="8" t="s">
        <v>192</v>
      </c>
      <c r="B189" s="9"/>
      <c r="C189" s="13"/>
      <c r="D189" s="11">
        <f t="shared" si="2"/>
        <v>0</v>
      </c>
    </row>
    <row r="190" spans="1:4" ht="18.75" hidden="1" x14ac:dyDescent="0.25">
      <c r="A190" s="8" t="s">
        <v>193</v>
      </c>
      <c r="B190" s="9"/>
      <c r="C190" s="10">
        <v>18000</v>
      </c>
      <c r="D190" s="11">
        <f t="shared" si="2"/>
        <v>0</v>
      </c>
    </row>
    <row r="191" spans="1:4" ht="18.75" hidden="1" x14ac:dyDescent="0.25">
      <c r="A191" s="8" t="s">
        <v>194</v>
      </c>
      <c r="B191" s="9"/>
      <c r="C191" s="10"/>
      <c r="D191" s="11">
        <f t="shared" si="2"/>
        <v>0</v>
      </c>
    </row>
    <row r="192" spans="1:4" ht="18.75" hidden="1" x14ac:dyDescent="0.25">
      <c r="A192" s="8" t="s">
        <v>195</v>
      </c>
      <c r="B192" s="9"/>
      <c r="C192" s="10"/>
      <c r="D192" s="11">
        <f t="shared" si="2"/>
        <v>0</v>
      </c>
    </row>
    <row r="193" spans="1:4" ht="18.75" x14ac:dyDescent="0.25">
      <c r="A193" s="14" t="s">
        <v>196</v>
      </c>
      <c r="B193" s="9">
        <v>36</v>
      </c>
      <c r="C193" s="12">
        <v>3000</v>
      </c>
      <c r="D193" s="11">
        <f t="shared" si="2"/>
        <v>108000</v>
      </c>
    </row>
    <row r="194" spans="1:4" ht="18.75" hidden="1" x14ac:dyDescent="0.25">
      <c r="A194" s="14" t="s">
        <v>197</v>
      </c>
      <c r="B194" s="9"/>
      <c r="C194" s="10"/>
      <c r="D194" s="11">
        <f t="shared" si="2"/>
        <v>0</v>
      </c>
    </row>
    <row r="195" spans="1:4" ht="18.75" hidden="1" x14ac:dyDescent="0.25">
      <c r="A195" s="8" t="s">
        <v>198</v>
      </c>
      <c r="B195" s="9"/>
      <c r="C195" s="10"/>
      <c r="D195" s="11">
        <f t="shared" si="2"/>
        <v>0</v>
      </c>
    </row>
    <row r="196" spans="1:4" ht="18.75" hidden="1" x14ac:dyDescent="0.25">
      <c r="A196" s="8" t="s">
        <v>201</v>
      </c>
      <c r="B196" s="9"/>
      <c r="C196" s="19"/>
      <c r="D196" s="11">
        <f t="shared" si="2"/>
        <v>0</v>
      </c>
    </row>
    <row r="197" spans="1:4" ht="18.75" hidden="1" x14ac:dyDescent="0.25">
      <c r="A197" s="8" t="s">
        <v>202</v>
      </c>
      <c r="B197" s="9"/>
      <c r="C197" s="12">
        <v>23000</v>
      </c>
      <c r="D197" s="11">
        <f t="shared" ref="D197:D213" si="3">B197*C197</f>
        <v>0</v>
      </c>
    </row>
    <row r="198" spans="1:4" ht="18.75" hidden="1" x14ac:dyDescent="0.25">
      <c r="A198" s="8" t="s">
        <v>203</v>
      </c>
      <c r="B198" s="9"/>
      <c r="C198" s="12"/>
      <c r="D198" s="11">
        <f t="shared" si="3"/>
        <v>0</v>
      </c>
    </row>
    <row r="199" spans="1:4" ht="18.75" x14ac:dyDescent="0.25">
      <c r="A199" s="8" t="s">
        <v>48</v>
      </c>
      <c r="B199" s="9">
        <v>18</v>
      </c>
      <c r="C199" s="10">
        <v>15000</v>
      </c>
      <c r="D199" s="11">
        <f t="shared" si="3"/>
        <v>270000</v>
      </c>
    </row>
    <row r="200" spans="1:4" ht="18.75" hidden="1" x14ac:dyDescent="0.25">
      <c r="A200" s="8" t="s">
        <v>46</v>
      </c>
      <c r="B200" s="9"/>
      <c r="C200" s="12"/>
      <c r="D200" s="11">
        <f t="shared" si="3"/>
        <v>0</v>
      </c>
    </row>
    <row r="201" spans="1:4" ht="18.75" hidden="1" x14ac:dyDescent="0.25">
      <c r="A201" s="8" t="s">
        <v>110</v>
      </c>
      <c r="B201" s="9"/>
      <c r="C201" s="10"/>
      <c r="D201" s="11">
        <f t="shared" si="3"/>
        <v>0</v>
      </c>
    </row>
    <row r="202" spans="1:4" ht="18.75" x14ac:dyDescent="0.25">
      <c r="A202" s="8" t="s">
        <v>205</v>
      </c>
      <c r="B202" s="9">
        <v>59</v>
      </c>
      <c r="C202" s="10">
        <v>11000</v>
      </c>
      <c r="D202" s="11">
        <f t="shared" si="3"/>
        <v>649000</v>
      </c>
    </row>
    <row r="203" spans="1:4" ht="18.75" hidden="1" x14ac:dyDescent="0.25">
      <c r="A203" s="8" t="s">
        <v>242</v>
      </c>
      <c r="B203" s="9"/>
      <c r="C203" s="10"/>
      <c r="D203" s="11">
        <f t="shared" si="3"/>
        <v>0</v>
      </c>
    </row>
    <row r="204" spans="1:4" ht="18.75" hidden="1" x14ac:dyDescent="0.25">
      <c r="A204" s="8" t="s">
        <v>243</v>
      </c>
      <c r="B204" s="9"/>
      <c r="C204" s="10"/>
      <c r="D204" s="11">
        <f t="shared" si="3"/>
        <v>0</v>
      </c>
    </row>
    <row r="205" spans="1:4" ht="18.75" hidden="1" x14ac:dyDescent="0.25">
      <c r="A205" s="8" t="s">
        <v>206</v>
      </c>
      <c r="B205" s="9"/>
      <c r="C205" s="13"/>
      <c r="D205" s="11">
        <f t="shared" si="3"/>
        <v>0</v>
      </c>
    </row>
    <row r="206" spans="1:4" ht="18.75" hidden="1" x14ac:dyDescent="0.25">
      <c r="A206" s="8" t="s">
        <v>207</v>
      </c>
      <c r="B206" s="9"/>
      <c r="C206" s="13"/>
      <c r="D206" s="11">
        <f t="shared" si="3"/>
        <v>0</v>
      </c>
    </row>
    <row r="207" spans="1:4" ht="18.75" hidden="1" x14ac:dyDescent="0.25">
      <c r="A207" s="8" t="s">
        <v>208</v>
      </c>
      <c r="B207" s="9"/>
      <c r="C207" s="13"/>
      <c r="D207" s="11">
        <f t="shared" si="3"/>
        <v>0</v>
      </c>
    </row>
    <row r="208" spans="1:4" ht="18.75" hidden="1" x14ac:dyDescent="0.25">
      <c r="A208" s="14" t="s">
        <v>209</v>
      </c>
      <c r="B208" s="9"/>
      <c r="C208" s="10"/>
      <c r="D208" s="11">
        <f t="shared" si="3"/>
        <v>0</v>
      </c>
    </row>
    <row r="209" spans="1:4" ht="18.75" hidden="1" x14ac:dyDescent="0.25">
      <c r="A209" s="8" t="s">
        <v>210</v>
      </c>
      <c r="B209" s="9"/>
      <c r="C209" s="12"/>
      <c r="D209" s="11">
        <f t="shared" si="3"/>
        <v>0</v>
      </c>
    </row>
    <row r="210" spans="1:4" ht="18.75" hidden="1" x14ac:dyDescent="0.25">
      <c r="A210" s="8" t="s">
        <v>211</v>
      </c>
      <c r="B210" s="9"/>
      <c r="C210" s="13"/>
      <c r="D210" s="11">
        <f t="shared" si="3"/>
        <v>0</v>
      </c>
    </row>
    <row r="211" spans="1:4" ht="18.75" hidden="1" x14ac:dyDescent="0.25">
      <c r="A211" s="8" t="s">
        <v>212</v>
      </c>
      <c r="B211" s="9"/>
      <c r="C211" s="13"/>
      <c r="D211" s="11">
        <f t="shared" si="3"/>
        <v>0</v>
      </c>
    </row>
    <row r="212" spans="1:4" ht="18.75" hidden="1" x14ac:dyDescent="0.25">
      <c r="A212" s="8" t="s">
        <v>213</v>
      </c>
      <c r="B212" s="9"/>
      <c r="C212" s="13"/>
      <c r="D212" s="11">
        <f t="shared" si="3"/>
        <v>0</v>
      </c>
    </row>
    <row r="213" spans="1:4" ht="18.75" hidden="1" x14ac:dyDescent="0.2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2368</v>
      </c>
      <c r="C214" s="29"/>
      <c r="D214" s="29">
        <f t="shared" si="4"/>
        <v>34682000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45" sqref="G45"/>
    </sheetView>
  </sheetViews>
  <sheetFormatPr defaultRowHeight="15" x14ac:dyDescent="0.25"/>
  <cols>
    <col min="1" max="1" width="30" customWidth="1"/>
    <col min="2" max="2" width="10.85546875" customWidth="1"/>
    <col min="3" max="3" width="12.28515625" customWidth="1"/>
    <col min="4" max="4" width="18.85546875" customWidth="1"/>
  </cols>
  <sheetData>
    <row r="1" spans="1:4" x14ac:dyDescent="0.25">
      <c r="A1" s="1" t="s">
        <v>246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idden="1" x14ac:dyDescent="0.25">
      <c r="A3" s="51"/>
      <c r="B3" s="4"/>
      <c r="C3" s="6"/>
      <c r="D3" s="7"/>
    </row>
    <row r="4" spans="1:4" ht="18.75" hidden="1" x14ac:dyDescent="0.25">
      <c r="A4" s="8" t="s">
        <v>5</v>
      </c>
      <c r="B4" s="9"/>
      <c r="C4" s="10">
        <v>10000</v>
      </c>
      <c r="D4" s="11">
        <f>B4*C4</f>
        <v>0</v>
      </c>
    </row>
    <row r="5" spans="1:4" ht="18.75" x14ac:dyDescent="0.25">
      <c r="A5" s="8" t="s">
        <v>6</v>
      </c>
      <c r="B5" s="9">
        <v>138</v>
      </c>
      <c r="C5" s="10">
        <v>16000</v>
      </c>
      <c r="D5" s="11">
        <f t="shared" ref="D5:D68" si="0">B5*C5</f>
        <v>2208000</v>
      </c>
    </row>
    <row r="6" spans="1:4" ht="18.75" hidden="1" x14ac:dyDescent="0.25">
      <c r="A6" s="8" t="s">
        <v>7</v>
      </c>
      <c r="B6" s="9"/>
      <c r="C6" s="10"/>
      <c r="D6" s="11">
        <f t="shared" si="0"/>
        <v>0</v>
      </c>
    </row>
    <row r="7" spans="1:4" ht="18.75" hidden="1" x14ac:dyDescent="0.25">
      <c r="A7" s="8" t="s">
        <v>8</v>
      </c>
      <c r="B7" s="9"/>
      <c r="C7" s="12"/>
      <c r="D7" s="11">
        <f t="shared" si="0"/>
        <v>0</v>
      </c>
    </row>
    <row r="8" spans="1:4" ht="18.75" hidden="1" x14ac:dyDescent="0.25">
      <c r="A8" s="8" t="s">
        <v>9</v>
      </c>
      <c r="B8" s="9"/>
      <c r="C8" s="10"/>
      <c r="D8" s="11">
        <f t="shared" si="0"/>
        <v>0</v>
      </c>
    </row>
    <row r="9" spans="1:4" ht="18.75" hidden="1" x14ac:dyDescent="0.25">
      <c r="A9" s="8" t="s">
        <v>10</v>
      </c>
      <c r="B9" s="9"/>
      <c r="C9" s="10">
        <v>21000</v>
      </c>
      <c r="D9" s="11">
        <f t="shared" si="0"/>
        <v>0</v>
      </c>
    </row>
    <row r="10" spans="1:4" ht="18.75" x14ac:dyDescent="0.25">
      <c r="A10" s="8" t="s">
        <v>11</v>
      </c>
      <c r="B10" s="9">
        <v>22</v>
      </c>
      <c r="C10" s="10">
        <v>35000</v>
      </c>
      <c r="D10" s="11">
        <f t="shared" si="0"/>
        <v>770000</v>
      </c>
    </row>
    <row r="11" spans="1:4" ht="18.75" hidden="1" x14ac:dyDescent="0.25">
      <c r="A11" s="8" t="s">
        <v>12</v>
      </c>
      <c r="B11" s="9"/>
      <c r="C11" s="10"/>
      <c r="D11" s="11">
        <f t="shared" si="0"/>
        <v>0</v>
      </c>
    </row>
    <row r="12" spans="1:4" ht="18.75" hidden="1" x14ac:dyDescent="0.25">
      <c r="A12" s="8" t="s">
        <v>13</v>
      </c>
      <c r="B12" s="9"/>
      <c r="C12" s="10"/>
      <c r="D12" s="11">
        <f t="shared" si="0"/>
        <v>0</v>
      </c>
    </row>
    <row r="13" spans="1:4" ht="18.75" x14ac:dyDescent="0.25">
      <c r="A13" s="8" t="s">
        <v>14</v>
      </c>
      <c r="B13" s="9">
        <f>6+8+30</f>
        <v>44</v>
      </c>
      <c r="C13" s="12">
        <v>45000</v>
      </c>
      <c r="D13" s="11">
        <f t="shared" si="0"/>
        <v>1980000</v>
      </c>
    </row>
    <row r="14" spans="1:4" ht="18.75" hidden="1" x14ac:dyDescent="0.25">
      <c r="A14" s="8" t="s">
        <v>15</v>
      </c>
      <c r="B14" s="9"/>
      <c r="C14" s="12"/>
      <c r="D14" s="11">
        <f t="shared" si="0"/>
        <v>0</v>
      </c>
    </row>
    <row r="15" spans="1:4" ht="18.75" hidden="1" x14ac:dyDescent="0.25">
      <c r="A15" s="8" t="s">
        <v>16</v>
      </c>
      <c r="B15" s="9"/>
      <c r="C15" s="12"/>
      <c r="D15" s="11">
        <f t="shared" si="0"/>
        <v>0</v>
      </c>
    </row>
    <row r="16" spans="1:4" ht="18.75" x14ac:dyDescent="0.25">
      <c r="A16" s="8" t="s">
        <v>17</v>
      </c>
      <c r="B16" s="9">
        <v>8</v>
      </c>
      <c r="C16" s="10">
        <v>17000</v>
      </c>
      <c r="D16" s="11">
        <f t="shared" si="0"/>
        <v>136000</v>
      </c>
    </row>
    <row r="17" spans="1:4" ht="18.75" hidden="1" x14ac:dyDescent="0.25">
      <c r="A17" s="8" t="s">
        <v>18</v>
      </c>
      <c r="B17" s="9"/>
      <c r="C17" s="10"/>
      <c r="D17" s="11">
        <f t="shared" si="0"/>
        <v>0</v>
      </c>
    </row>
    <row r="18" spans="1:4" ht="18.75" hidden="1" x14ac:dyDescent="0.25">
      <c r="A18" s="8" t="s">
        <v>19</v>
      </c>
      <c r="B18" s="9"/>
      <c r="C18" s="10"/>
      <c r="D18" s="11">
        <f t="shared" si="0"/>
        <v>0</v>
      </c>
    </row>
    <row r="19" spans="1:4" ht="18.75" hidden="1" x14ac:dyDescent="0.25">
      <c r="A19" s="8" t="s">
        <v>20</v>
      </c>
      <c r="B19" s="9"/>
      <c r="C19" s="13"/>
      <c r="D19" s="11">
        <f t="shared" si="0"/>
        <v>0</v>
      </c>
    </row>
    <row r="20" spans="1:4" ht="18.75" hidden="1" x14ac:dyDescent="0.25">
      <c r="A20" s="8" t="s">
        <v>21</v>
      </c>
      <c r="B20" s="9"/>
      <c r="C20" s="10"/>
      <c r="D20" s="11">
        <f t="shared" si="0"/>
        <v>0</v>
      </c>
    </row>
    <row r="21" spans="1:4" ht="18.75" hidden="1" x14ac:dyDescent="0.25">
      <c r="A21" s="8" t="s">
        <v>24</v>
      </c>
      <c r="B21" s="9"/>
      <c r="C21" s="10"/>
      <c r="D21" s="11">
        <f t="shared" si="0"/>
        <v>0</v>
      </c>
    </row>
    <row r="22" spans="1:4" ht="18.75" hidden="1" x14ac:dyDescent="0.25">
      <c r="A22" s="14" t="s">
        <v>25</v>
      </c>
      <c r="B22" s="9"/>
      <c r="C22" s="13"/>
      <c r="D22" s="11">
        <f t="shared" si="0"/>
        <v>0</v>
      </c>
    </row>
    <row r="23" spans="1:4" ht="18.75" hidden="1" x14ac:dyDescent="0.25">
      <c r="A23" s="8" t="s">
        <v>26</v>
      </c>
      <c r="B23" s="9"/>
      <c r="C23" s="10"/>
      <c r="D23" s="11">
        <f t="shared" si="0"/>
        <v>0</v>
      </c>
    </row>
    <row r="24" spans="1:4" ht="18.75" hidden="1" x14ac:dyDescent="0.25">
      <c r="A24" s="8" t="s">
        <v>27</v>
      </c>
      <c r="B24" s="9"/>
      <c r="C24" s="10"/>
      <c r="D24" s="11">
        <f t="shared" si="0"/>
        <v>0</v>
      </c>
    </row>
    <row r="25" spans="1:4" ht="18.75" hidden="1" x14ac:dyDescent="0.25">
      <c r="A25" s="8" t="s">
        <v>28</v>
      </c>
      <c r="B25" s="9"/>
      <c r="C25" s="10"/>
      <c r="D25" s="11">
        <f t="shared" si="0"/>
        <v>0</v>
      </c>
    </row>
    <row r="26" spans="1:4" ht="18.75" hidden="1" x14ac:dyDescent="0.25">
      <c r="A26" s="14" t="s">
        <v>29</v>
      </c>
      <c r="B26" s="9"/>
      <c r="C26" s="15"/>
      <c r="D26" s="11">
        <f t="shared" si="0"/>
        <v>0</v>
      </c>
    </row>
    <row r="27" spans="1:4" ht="18.75" hidden="1" x14ac:dyDescent="0.25">
      <c r="A27" s="8" t="s">
        <v>30</v>
      </c>
      <c r="B27" s="9"/>
      <c r="C27" s="10"/>
      <c r="D27" s="11">
        <f t="shared" si="0"/>
        <v>0</v>
      </c>
    </row>
    <row r="28" spans="1:4" ht="18.75" hidden="1" x14ac:dyDescent="0.25">
      <c r="A28" s="8" t="s">
        <v>31</v>
      </c>
      <c r="B28" s="9"/>
      <c r="C28" s="10"/>
      <c r="D28" s="11">
        <f t="shared" si="0"/>
        <v>0</v>
      </c>
    </row>
    <row r="29" spans="1:4" ht="18.75" hidden="1" x14ac:dyDescent="0.25">
      <c r="A29" s="14" t="s">
        <v>32</v>
      </c>
      <c r="B29" s="9"/>
      <c r="C29" s="10"/>
      <c r="D29" s="11">
        <f t="shared" si="0"/>
        <v>0</v>
      </c>
    </row>
    <row r="30" spans="1:4" ht="18.75" hidden="1" x14ac:dyDescent="0.25">
      <c r="A30" s="8" t="s">
        <v>33</v>
      </c>
      <c r="B30" s="9"/>
      <c r="C30" s="13"/>
      <c r="D30" s="11">
        <f t="shared" si="0"/>
        <v>0</v>
      </c>
    </row>
    <row r="31" spans="1:4" ht="18.75" hidden="1" x14ac:dyDescent="0.25">
      <c r="A31" s="8" t="s">
        <v>34</v>
      </c>
      <c r="B31" s="9"/>
      <c r="C31" s="10"/>
      <c r="D31" s="11">
        <f t="shared" si="0"/>
        <v>0</v>
      </c>
    </row>
    <row r="32" spans="1:4" ht="18.75" hidden="1" x14ac:dyDescent="0.25">
      <c r="A32" s="8" t="s">
        <v>35</v>
      </c>
      <c r="B32" s="9"/>
      <c r="C32" s="15">
        <v>110000</v>
      </c>
      <c r="D32" s="11">
        <f t="shared" si="0"/>
        <v>0</v>
      </c>
    </row>
    <row r="33" spans="1:4" ht="18.75" hidden="1" x14ac:dyDescent="0.25">
      <c r="A33" s="8" t="s">
        <v>36</v>
      </c>
      <c r="B33" s="9"/>
      <c r="C33" s="10"/>
      <c r="D33" s="11">
        <f t="shared" si="0"/>
        <v>0</v>
      </c>
    </row>
    <row r="34" spans="1:4" ht="18.75" hidden="1" x14ac:dyDescent="0.25">
      <c r="A34" s="14" t="s">
        <v>37</v>
      </c>
      <c r="B34" s="9"/>
      <c r="C34" s="12">
        <v>20000</v>
      </c>
      <c r="D34" s="11">
        <f t="shared" si="0"/>
        <v>0</v>
      </c>
    </row>
    <row r="35" spans="1:4" ht="18.75" hidden="1" x14ac:dyDescent="0.25">
      <c r="A35" s="14" t="s">
        <v>38</v>
      </c>
      <c r="B35" s="9"/>
      <c r="C35" s="10"/>
      <c r="D35" s="11">
        <f t="shared" si="0"/>
        <v>0</v>
      </c>
    </row>
    <row r="36" spans="1:4" ht="18.75" hidden="1" x14ac:dyDescent="0.25">
      <c r="A36" s="8" t="s">
        <v>39</v>
      </c>
      <c r="B36" s="9"/>
      <c r="C36" s="10"/>
      <c r="D36" s="11">
        <f t="shared" si="0"/>
        <v>0</v>
      </c>
    </row>
    <row r="37" spans="1:4" ht="18.75" hidden="1" x14ac:dyDescent="0.25">
      <c r="A37" s="14" t="s">
        <v>40</v>
      </c>
      <c r="B37" s="9"/>
      <c r="C37" s="10"/>
      <c r="D37" s="11">
        <f t="shared" si="0"/>
        <v>0</v>
      </c>
    </row>
    <row r="38" spans="1:4" ht="18.75" hidden="1" x14ac:dyDescent="0.25">
      <c r="A38" s="8" t="s">
        <v>41</v>
      </c>
      <c r="B38" s="9"/>
      <c r="C38" s="10"/>
      <c r="D38" s="11">
        <f t="shared" si="0"/>
        <v>0</v>
      </c>
    </row>
    <row r="39" spans="1:4" ht="18.75" hidden="1" x14ac:dyDescent="0.25">
      <c r="A39" s="8" t="s">
        <v>42</v>
      </c>
      <c r="B39" s="9"/>
      <c r="C39" s="13"/>
      <c r="D39" s="11">
        <f t="shared" si="0"/>
        <v>0</v>
      </c>
    </row>
    <row r="40" spans="1:4" ht="18.75" hidden="1" x14ac:dyDescent="0.25">
      <c r="A40" s="16" t="s">
        <v>43</v>
      </c>
      <c r="B40" s="9"/>
      <c r="C40" s="10"/>
      <c r="D40" s="11">
        <f t="shared" si="0"/>
        <v>0</v>
      </c>
    </row>
    <row r="41" spans="1:4" ht="18.75" x14ac:dyDescent="0.25">
      <c r="A41" s="8" t="s">
        <v>44</v>
      </c>
      <c r="B41" s="9">
        <v>14</v>
      </c>
      <c r="C41" s="10">
        <v>15000</v>
      </c>
      <c r="D41" s="11">
        <f t="shared" si="0"/>
        <v>210000</v>
      </c>
    </row>
    <row r="42" spans="1:4" ht="18.75" hidden="1" x14ac:dyDescent="0.25">
      <c r="A42" s="8" t="s">
        <v>45</v>
      </c>
      <c r="B42" s="9"/>
      <c r="C42" s="10"/>
      <c r="D42" s="11">
        <f t="shared" si="0"/>
        <v>0</v>
      </c>
    </row>
    <row r="43" spans="1:4" ht="18.75" hidden="1" x14ac:dyDescent="0.25">
      <c r="A43" s="8" t="s">
        <v>46</v>
      </c>
      <c r="B43" s="9"/>
      <c r="C43" s="12"/>
      <c r="D43" s="11">
        <f t="shared" si="0"/>
        <v>0</v>
      </c>
    </row>
    <row r="44" spans="1:4" ht="18.75" x14ac:dyDescent="0.25">
      <c r="A44" s="8" t="s">
        <v>47</v>
      </c>
      <c r="B44" s="9">
        <v>11</v>
      </c>
      <c r="C44" s="12">
        <v>15000</v>
      </c>
      <c r="D44" s="11">
        <f t="shared" si="0"/>
        <v>165000</v>
      </c>
    </row>
    <row r="45" spans="1:4" ht="18.75" x14ac:dyDescent="0.25">
      <c r="A45" s="8" t="s">
        <v>48</v>
      </c>
      <c r="B45" s="9">
        <v>30</v>
      </c>
      <c r="C45" s="10">
        <v>15000</v>
      </c>
      <c r="D45" s="11">
        <f t="shared" si="0"/>
        <v>450000</v>
      </c>
    </row>
    <row r="46" spans="1:4" ht="18.75" hidden="1" x14ac:dyDescent="0.25">
      <c r="A46" s="8" t="s">
        <v>49</v>
      </c>
      <c r="B46" s="9"/>
      <c r="C46" s="10"/>
      <c r="D46" s="11">
        <f t="shared" si="0"/>
        <v>0</v>
      </c>
    </row>
    <row r="47" spans="1:4" ht="18.75" hidden="1" x14ac:dyDescent="0.25">
      <c r="A47" s="8" t="s">
        <v>50</v>
      </c>
      <c r="B47" s="9"/>
      <c r="C47" s="10"/>
      <c r="D47" s="11">
        <f t="shared" si="0"/>
        <v>0</v>
      </c>
    </row>
    <row r="48" spans="1:4" ht="18.75" hidden="1" x14ac:dyDescent="0.25">
      <c r="A48" s="8" t="s">
        <v>51</v>
      </c>
      <c r="B48" s="9"/>
      <c r="C48" s="10"/>
      <c r="D48" s="11">
        <f t="shared" si="0"/>
        <v>0</v>
      </c>
    </row>
    <row r="49" spans="1:4" ht="18.75" hidden="1" x14ac:dyDescent="0.25">
      <c r="A49" s="8" t="s">
        <v>52</v>
      </c>
      <c r="B49" s="9"/>
      <c r="C49" s="12"/>
      <c r="D49" s="11">
        <f t="shared" si="0"/>
        <v>0</v>
      </c>
    </row>
    <row r="50" spans="1:4" ht="18.75" hidden="1" x14ac:dyDescent="0.25">
      <c r="A50" s="8" t="s">
        <v>53</v>
      </c>
      <c r="B50" s="9"/>
      <c r="C50" s="10"/>
      <c r="D50" s="11">
        <f t="shared" si="0"/>
        <v>0</v>
      </c>
    </row>
    <row r="51" spans="1:4" ht="18.75" hidden="1" x14ac:dyDescent="0.25">
      <c r="A51" s="8" t="s">
        <v>54</v>
      </c>
      <c r="B51" s="9"/>
      <c r="C51" s="10"/>
      <c r="D51" s="11">
        <f t="shared" si="0"/>
        <v>0</v>
      </c>
    </row>
    <row r="52" spans="1:4" ht="18.75" hidden="1" x14ac:dyDescent="0.25">
      <c r="A52" s="8" t="s">
        <v>55</v>
      </c>
      <c r="B52" s="9"/>
      <c r="C52" s="10"/>
      <c r="D52" s="11">
        <f t="shared" si="0"/>
        <v>0</v>
      </c>
    </row>
    <row r="53" spans="1:4" ht="18.75" hidden="1" x14ac:dyDescent="0.25">
      <c r="A53" s="14" t="s">
        <v>56</v>
      </c>
      <c r="B53" s="9"/>
      <c r="C53" s="10"/>
      <c r="D53" s="11">
        <f t="shared" si="0"/>
        <v>0</v>
      </c>
    </row>
    <row r="54" spans="1:4" ht="18.75" x14ac:dyDescent="0.25">
      <c r="A54" s="8" t="s">
        <v>57</v>
      </c>
      <c r="B54" s="9">
        <v>60</v>
      </c>
      <c r="C54" s="10">
        <v>7000</v>
      </c>
      <c r="D54" s="11">
        <f t="shared" si="0"/>
        <v>420000</v>
      </c>
    </row>
    <row r="55" spans="1:4" ht="18.75" hidden="1" x14ac:dyDescent="0.25">
      <c r="A55" s="8" t="s">
        <v>58</v>
      </c>
      <c r="B55" s="9"/>
      <c r="C55" s="13"/>
      <c r="D55" s="11">
        <f t="shared" si="0"/>
        <v>0</v>
      </c>
    </row>
    <row r="56" spans="1:4" ht="18.75" hidden="1" x14ac:dyDescent="0.25">
      <c r="A56" s="14" t="s">
        <v>59</v>
      </c>
      <c r="B56" s="9"/>
      <c r="C56" s="10"/>
      <c r="D56" s="11">
        <f t="shared" si="0"/>
        <v>0</v>
      </c>
    </row>
    <row r="57" spans="1:4" ht="18.75" hidden="1" x14ac:dyDescent="0.25">
      <c r="A57" s="8" t="s">
        <v>60</v>
      </c>
      <c r="B57" s="9"/>
      <c r="C57" s="12">
        <v>15000</v>
      </c>
      <c r="D57" s="11">
        <f t="shared" si="0"/>
        <v>0</v>
      </c>
    </row>
    <row r="58" spans="1:4" ht="18.75" hidden="1" x14ac:dyDescent="0.25">
      <c r="A58" s="8" t="s">
        <v>61</v>
      </c>
      <c r="B58" s="17"/>
      <c r="C58" s="10"/>
      <c r="D58" s="11">
        <f t="shared" si="0"/>
        <v>0</v>
      </c>
    </row>
    <row r="59" spans="1:4" ht="18.75" hidden="1" x14ac:dyDescent="0.25">
      <c r="A59" s="18" t="s">
        <v>62</v>
      </c>
      <c r="B59" s="9"/>
      <c r="C59" s="19"/>
      <c r="D59" s="11">
        <f t="shared" si="0"/>
        <v>0</v>
      </c>
    </row>
    <row r="60" spans="1:4" ht="18.75" hidden="1" x14ac:dyDescent="0.25">
      <c r="A60" s="18" t="s">
        <v>63</v>
      </c>
      <c r="B60" s="9"/>
      <c r="C60" s="10">
        <v>10000</v>
      </c>
      <c r="D60" s="11">
        <f t="shared" si="0"/>
        <v>0</v>
      </c>
    </row>
    <row r="61" spans="1:4" ht="18.75" hidden="1" x14ac:dyDescent="0.25">
      <c r="A61" s="14" t="s">
        <v>64</v>
      </c>
      <c r="B61" s="9"/>
      <c r="C61" s="10"/>
      <c r="D61" s="11">
        <f t="shared" si="0"/>
        <v>0</v>
      </c>
    </row>
    <row r="62" spans="1:4" ht="18.75" hidden="1" x14ac:dyDescent="0.25">
      <c r="A62" s="8" t="s">
        <v>65</v>
      </c>
      <c r="B62" s="9"/>
      <c r="C62" s="12"/>
      <c r="D62" s="11">
        <f t="shared" si="0"/>
        <v>0</v>
      </c>
    </row>
    <row r="63" spans="1:4" ht="18.75" hidden="1" x14ac:dyDescent="0.25">
      <c r="A63" s="14" t="s">
        <v>66</v>
      </c>
      <c r="B63" s="9"/>
      <c r="C63" s="10"/>
      <c r="D63" s="11">
        <f t="shared" si="0"/>
        <v>0</v>
      </c>
    </row>
    <row r="64" spans="1:4" ht="18.75" hidden="1" x14ac:dyDescent="0.25">
      <c r="A64" s="8" t="s">
        <v>68</v>
      </c>
      <c r="B64" s="9"/>
      <c r="C64" s="10"/>
      <c r="D64" s="11">
        <f t="shared" si="0"/>
        <v>0</v>
      </c>
    </row>
    <row r="65" spans="1:4" ht="18.75" hidden="1" x14ac:dyDescent="0.25">
      <c r="A65" s="14" t="s">
        <v>69</v>
      </c>
      <c r="B65" s="9"/>
      <c r="C65" s="15">
        <v>38000</v>
      </c>
      <c r="D65" s="11">
        <f t="shared" si="0"/>
        <v>0</v>
      </c>
    </row>
    <row r="66" spans="1:4" ht="18.75" hidden="1" x14ac:dyDescent="0.25">
      <c r="A66" s="14" t="s">
        <v>70</v>
      </c>
      <c r="B66" s="9"/>
      <c r="C66" s="15"/>
      <c r="D66" s="11">
        <f t="shared" si="0"/>
        <v>0</v>
      </c>
    </row>
    <row r="67" spans="1:4" ht="18.75" hidden="1" x14ac:dyDescent="0.25">
      <c r="A67" s="14" t="s">
        <v>71</v>
      </c>
      <c r="B67" s="9"/>
      <c r="C67" s="10"/>
      <c r="D67" s="11">
        <f t="shared" si="0"/>
        <v>0</v>
      </c>
    </row>
    <row r="68" spans="1:4" ht="18.75" hidden="1" x14ac:dyDescent="0.25">
      <c r="A68" s="8" t="s">
        <v>72</v>
      </c>
      <c r="B68" s="9"/>
      <c r="C68" s="12"/>
      <c r="D68" s="11">
        <f t="shared" si="0"/>
        <v>0</v>
      </c>
    </row>
    <row r="69" spans="1:4" ht="18.75" hidden="1" x14ac:dyDescent="0.25">
      <c r="A69" s="8" t="s">
        <v>73</v>
      </c>
      <c r="B69" s="9"/>
      <c r="C69" s="12">
        <v>25000</v>
      </c>
      <c r="D69" s="11">
        <f t="shared" ref="D69:D132" si="1">B69*C69</f>
        <v>0</v>
      </c>
    </row>
    <row r="70" spans="1:4" ht="18.75" hidden="1" x14ac:dyDescent="0.25">
      <c r="A70" s="8" t="s">
        <v>74</v>
      </c>
      <c r="B70" s="9"/>
      <c r="C70" s="13"/>
      <c r="D70" s="11">
        <f t="shared" si="1"/>
        <v>0</v>
      </c>
    </row>
    <row r="71" spans="1:4" ht="18.75" hidden="1" x14ac:dyDescent="0.25">
      <c r="A71" s="8" t="s">
        <v>75</v>
      </c>
      <c r="B71" s="9"/>
      <c r="C71" s="15"/>
      <c r="D71" s="11">
        <f t="shared" si="1"/>
        <v>0</v>
      </c>
    </row>
    <row r="72" spans="1:4" ht="18.75" hidden="1" x14ac:dyDescent="0.25">
      <c r="A72" s="8" t="s">
        <v>76</v>
      </c>
      <c r="B72" s="9"/>
      <c r="C72" s="10"/>
      <c r="D72" s="11">
        <f t="shared" si="1"/>
        <v>0</v>
      </c>
    </row>
    <row r="73" spans="1:4" ht="18.75" hidden="1" x14ac:dyDescent="0.25">
      <c r="A73" s="20" t="s">
        <v>77</v>
      </c>
      <c r="B73" s="9"/>
      <c r="C73" s="13"/>
      <c r="D73" s="11">
        <f t="shared" si="1"/>
        <v>0</v>
      </c>
    </row>
    <row r="74" spans="1:4" ht="18.75" hidden="1" x14ac:dyDescent="0.25">
      <c r="A74" s="20" t="s">
        <v>78</v>
      </c>
      <c r="B74" s="9"/>
      <c r="C74" s="12"/>
      <c r="D74" s="11">
        <f t="shared" si="1"/>
        <v>0</v>
      </c>
    </row>
    <row r="75" spans="1:4" ht="18.75" hidden="1" x14ac:dyDescent="0.25">
      <c r="A75" s="20" t="s">
        <v>79</v>
      </c>
      <c r="B75" s="9"/>
      <c r="C75" s="13"/>
      <c r="D75" s="11">
        <f t="shared" si="1"/>
        <v>0</v>
      </c>
    </row>
    <row r="76" spans="1:4" ht="18.75" hidden="1" x14ac:dyDescent="0.25">
      <c r="A76" s="8" t="s">
        <v>80</v>
      </c>
      <c r="B76" s="9"/>
      <c r="C76" s="10"/>
      <c r="D76" s="11">
        <f t="shared" si="1"/>
        <v>0</v>
      </c>
    </row>
    <row r="77" spans="1:4" ht="18.75" hidden="1" x14ac:dyDescent="0.25">
      <c r="A77" s="8" t="s">
        <v>81</v>
      </c>
      <c r="B77" s="9"/>
      <c r="C77" s="13"/>
      <c r="D77" s="11">
        <f t="shared" si="1"/>
        <v>0</v>
      </c>
    </row>
    <row r="78" spans="1:4" ht="18.75" hidden="1" x14ac:dyDescent="0.25">
      <c r="A78" s="8" t="s">
        <v>82</v>
      </c>
      <c r="B78" s="9"/>
      <c r="C78" s="10">
        <v>150000</v>
      </c>
      <c r="D78" s="11">
        <f t="shared" si="1"/>
        <v>0</v>
      </c>
    </row>
    <row r="79" spans="1:4" ht="18.75" hidden="1" x14ac:dyDescent="0.25">
      <c r="A79" s="8" t="s">
        <v>83</v>
      </c>
      <c r="B79" s="9"/>
      <c r="C79" s="10"/>
      <c r="D79" s="11">
        <f t="shared" si="1"/>
        <v>0</v>
      </c>
    </row>
    <row r="80" spans="1:4" ht="18.75" hidden="1" x14ac:dyDescent="0.25">
      <c r="A80" s="8" t="s">
        <v>84</v>
      </c>
      <c r="B80" s="9"/>
      <c r="C80" s="10">
        <v>50000</v>
      </c>
      <c r="D80" s="11">
        <f t="shared" si="1"/>
        <v>0</v>
      </c>
    </row>
    <row r="81" spans="1:4" ht="18.75" hidden="1" x14ac:dyDescent="0.25">
      <c r="A81" s="8" t="s">
        <v>85</v>
      </c>
      <c r="B81" s="9"/>
      <c r="C81" s="10"/>
      <c r="D81" s="11">
        <f t="shared" si="1"/>
        <v>0</v>
      </c>
    </row>
    <row r="82" spans="1:4" ht="18.75" hidden="1" x14ac:dyDescent="0.25">
      <c r="A82" s="8" t="s">
        <v>86</v>
      </c>
      <c r="B82" s="9"/>
      <c r="C82" s="10">
        <v>50000</v>
      </c>
      <c r="D82" s="11">
        <f t="shared" si="1"/>
        <v>0</v>
      </c>
    </row>
    <row r="83" spans="1:4" ht="18.75" hidden="1" x14ac:dyDescent="0.25">
      <c r="A83" s="8" t="s">
        <v>87</v>
      </c>
      <c r="B83" s="9"/>
      <c r="C83" s="12"/>
      <c r="D83" s="11">
        <f t="shared" si="1"/>
        <v>0</v>
      </c>
    </row>
    <row r="84" spans="1:4" ht="18.75" hidden="1" x14ac:dyDescent="0.25">
      <c r="A84" s="8" t="s">
        <v>88</v>
      </c>
      <c r="B84" s="9"/>
      <c r="C84" s="10">
        <v>45000</v>
      </c>
      <c r="D84" s="11">
        <f t="shared" si="1"/>
        <v>0</v>
      </c>
    </row>
    <row r="85" spans="1:4" ht="18.75" hidden="1" x14ac:dyDescent="0.25">
      <c r="A85" s="8" t="s">
        <v>89</v>
      </c>
      <c r="B85" s="9"/>
      <c r="C85" s="12"/>
      <c r="D85" s="11">
        <f t="shared" si="1"/>
        <v>0</v>
      </c>
    </row>
    <row r="86" spans="1:4" ht="18.75" hidden="1" x14ac:dyDescent="0.25">
      <c r="A86" s="8" t="s">
        <v>90</v>
      </c>
      <c r="B86" s="9"/>
      <c r="C86" s="10">
        <v>50000</v>
      </c>
      <c r="D86" s="11">
        <f t="shared" si="1"/>
        <v>0</v>
      </c>
    </row>
    <row r="87" spans="1:4" ht="18.75" hidden="1" x14ac:dyDescent="0.25">
      <c r="A87" s="8" t="s">
        <v>91</v>
      </c>
      <c r="B87" s="9"/>
      <c r="C87" s="10"/>
      <c r="D87" s="11">
        <f t="shared" si="1"/>
        <v>0</v>
      </c>
    </row>
    <row r="88" spans="1:4" ht="18.75" hidden="1" x14ac:dyDescent="0.25">
      <c r="A88" s="8" t="s">
        <v>92</v>
      </c>
      <c r="B88" s="9"/>
      <c r="C88" s="10"/>
      <c r="D88" s="11">
        <f t="shared" si="1"/>
        <v>0</v>
      </c>
    </row>
    <row r="89" spans="1:4" ht="18.75" hidden="1" x14ac:dyDescent="0.25">
      <c r="A89" s="8" t="s">
        <v>93</v>
      </c>
      <c r="B89" s="9"/>
      <c r="C89" s="10"/>
      <c r="D89" s="11">
        <f t="shared" si="1"/>
        <v>0</v>
      </c>
    </row>
    <row r="90" spans="1:4" ht="18.75" hidden="1" x14ac:dyDescent="0.25">
      <c r="A90" s="8" t="s">
        <v>94</v>
      </c>
      <c r="B90" s="9"/>
      <c r="C90" s="10"/>
      <c r="D90" s="11">
        <f t="shared" si="1"/>
        <v>0</v>
      </c>
    </row>
    <row r="91" spans="1:4" ht="18.75" hidden="1" x14ac:dyDescent="0.25">
      <c r="A91" s="8" t="s">
        <v>95</v>
      </c>
      <c r="B91" s="9"/>
      <c r="C91" s="12">
        <v>12000</v>
      </c>
      <c r="D91" s="11">
        <f t="shared" si="1"/>
        <v>0</v>
      </c>
    </row>
    <row r="92" spans="1:4" ht="18.75" hidden="1" x14ac:dyDescent="0.25">
      <c r="A92" s="8" t="s">
        <v>96</v>
      </c>
      <c r="B92" s="9"/>
      <c r="C92" s="10"/>
      <c r="D92" s="11">
        <f t="shared" si="1"/>
        <v>0</v>
      </c>
    </row>
    <row r="93" spans="1:4" ht="18.75" hidden="1" x14ac:dyDescent="0.25">
      <c r="A93" s="8" t="s">
        <v>97</v>
      </c>
      <c r="B93" s="9"/>
      <c r="C93" s="10"/>
      <c r="D93" s="11">
        <f t="shared" si="1"/>
        <v>0</v>
      </c>
    </row>
    <row r="94" spans="1:4" ht="18.75" hidden="1" x14ac:dyDescent="0.25">
      <c r="A94" s="8" t="s">
        <v>98</v>
      </c>
      <c r="B94" s="9"/>
      <c r="C94" s="10"/>
      <c r="D94" s="11">
        <f t="shared" si="1"/>
        <v>0</v>
      </c>
    </row>
    <row r="95" spans="1:4" ht="18.75" hidden="1" x14ac:dyDescent="0.25">
      <c r="A95" s="8" t="s">
        <v>99</v>
      </c>
      <c r="B95" s="9"/>
      <c r="C95" s="12"/>
      <c r="D95" s="11">
        <f t="shared" si="1"/>
        <v>0</v>
      </c>
    </row>
    <row r="96" spans="1:4" ht="18.75" hidden="1" x14ac:dyDescent="0.25">
      <c r="A96" s="14" t="s">
        <v>100</v>
      </c>
      <c r="B96" s="9"/>
      <c r="C96" s="10"/>
      <c r="D96" s="11">
        <f t="shared" si="1"/>
        <v>0</v>
      </c>
    </row>
    <row r="97" spans="1:4" ht="18.75" hidden="1" x14ac:dyDescent="0.25">
      <c r="A97" s="14" t="s">
        <v>101</v>
      </c>
      <c r="B97" s="9"/>
      <c r="C97" s="10"/>
      <c r="D97" s="11">
        <f t="shared" si="1"/>
        <v>0</v>
      </c>
    </row>
    <row r="98" spans="1:4" ht="18.75" hidden="1" x14ac:dyDescent="0.25">
      <c r="A98" s="14" t="s">
        <v>102</v>
      </c>
      <c r="B98" s="21"/>
      <c r="C98" s="10"/>
      <c r="D98" s="11">
        <f t="shared" si="1"/>
        <v>0</v>
      </c>
    </row>
    <row r="99" spans="1:4" ht="18.75" hidden="1" x14ac:dyDescent="0.25">
      <c r="A99" s="8" t="s">
        <v>103</v>
      </c>
      <c r="B99" s="9"/>
      <c r="C99" s="10"/>
      <c r="D99" s="11">
        <f t="shared" si="1"/>
        <v>0</v>
      </c>
    </row>
    <row r="100" spans="1:4" ht="18.75" hidden="1" x14ac:dyDescent="0.25">
      <c r="A100" s="8" t="s">
        <v>104</v>
      </c>
      <c r="B100" s="9"/>
      <c r="C100" s="12"/>
      <c r="D100" s="11">
        <f t="shared" si="1"/>
        <v>0</v>
      </c>
    </row>
    <row r="101" spans="1:4" ht="18.75" hidden="1" x14ac:dyDescent="0.25">
      <c r="A101" s="8" t="s">
        <v>105</v>
      </c>
      <c r="B101" s="9"/>
      <c r="C101" s="10"/>
      <c r="D101" s="11">
        <f t="shared" si="1"/>
        <v>0</v>
      </c>
    </row>
    <row r="102" spans="1:4" ht="18.75" hidden="1" x14ac:dyDescent="0.25">
      <c r="A102" s="8" t="s">
        <v>106</v>
      </c>
      <c r="B102" s="9"/>
      <c r="C102" s="10"/>
      <c r="D102" s="11">
        <f t="shared" si="1"/>
        <v>0</v>
      </c>
    </row>
    <row r="103" spans="1:4" ht="18.75" hidden="1" x14ac:dyDescent="0.25">
      <c r="A103" s="8" t="s">
        <v>107</v>
      </c>
      <c r="B103" s="9"/>
      <c r="C103" s="10"/>
      <c r="D103" s="11">
        <f t="shared" si="1"/>
        <v>0</v>
      </c>
    </row>
    <row r="104" spans="1:4" ht="18.75" hidden="1" x14ac:dyDescent="0.25">
      <c r="A104" s="22" t="s">
        <v>108</v>
      </c>
      <c r="B104" s="9"/>
      <c r="C104" s="10"/>
      <c r="D104" s="11">
        <f t="shared" si="1"/>
        <v>0</v>
      </c>
    </row>
    <row r="105" spans="1:4" ht="18.75" hidden="1" x14ac:dyDescent="0.25">
      <c r="A105" s="8" t="s">
        <v>109</v>
      </c>
      <c r="B105" s="9"/>
      <c r="C105" s="12">
        <v>10000</v>
      </c>
      <c r="D105" s="11">
        <f t="shared" si="1"/>
        <v>0</v>
      </c>
    </row>
    <row r="106" spans="1:4" ht="18.75" x14ac:dyDescent="0.25">
      <c r="A106" s="8" t="s">
        <v>110</v>
      </c>
      <c r="B106" s="9">
        <v>53</v>
      </c>
      <c r="C106" s="10">
        <v>7286</v>
      </c>
      <c r="D106" s="11">
        <f t="shared" si="1"/>
        <v>386158</v>
      </c>
    </row>
    <row r="107" spans="1:4" ht="18.75" hidden="1" x14ac:dyDescent="0.25">
      <c r="A107" s="8" t="s">
        <v>111</v>
      </c>
      <c r="B107" s="9"/>
      <c r="C107" s="13"/>
      <c r="D107" s="11">
        <f t="shared" si="1"/>
        <v>0</v>
      </c>
    </row>
    <row r="108" spans="1:4" ht="18.75" hidden="1" x14ac:dyDescent="0.25">
      <c r="A108" s="14" t="s">
        <v>112</v>
      </c>
      <c r="B108" s="9"/>
      <c r="C108" s="10"/>
      <c r="D108" s="11">
        <f t="shared" si="1"/>
        <v>0</v>
      </c>
    </row>
    <row r="109" spans="1:4" ht="18.75" x14ac:dyDescent="0.25">
      <c r="A109" s="14" t="s">
        <v>113</v>
      </c>
      <c r="B109" s="9">
        <v>80</v>
      </c>
      <c r="C109" s="10">
        <v>17000</v>
      </c>
      <c r="D109" s="11">
        <f t="shared" si="1"/>
        <v>1360000</v>
      </c>
    </row>
    <row r="110" spans="1:4" ht="18.75" x14ac:dyDescent="0.25">
      <c r="A110" s="8" t="s">
        <v>114</v>
      </c>
      <c r="B110" s="9">
        <f>365+170</f>
        <v>535</v>
      </c>
      <c r="C110" s="12">
        <v>14000</v>
      </c>
      <c r="D110" s="11">
        <f t="shared" si="1"/>
        <v>7490000</v>
      </c>
    </row>
    <row r="111" spans="1:4" ht="18.75" x14ac:dyDescent="0.25">
      <c r="A111" s="14" t="s">
        <v>115</v>
      </c>
      <c r="B111" s="9">
        <v>11</v>
      </c>
      <c r="C111" s="10">
        <v>25000</v>
      </c>
      <c r="D111" s="11">
        <f t="shared" si="1"/>
        <v>275000</v>
      </c>
    </row>
    <row r="112" spans="1:4" ht="18.75" hidden="1" x14ac:dyDescent="0.25">
      <c r="A112" s="14" t="s">
        <v>116</v>
      </c>
      <c r="B112" s="9"/>
      <c r="C112" s="12"/>
      <c r="D112" s="11">
        <f t="shared" si="1"/>
        <v>0</v>
      </c>
    </row>
    <row r="113" spans="1:4" ht="18.75" hidden="1" x14ac:dyDescent="0.25">
      <c r="A113" s="8" t="s">
        <v>237</v>
      </c>
      <c r="B113" s="9"/>
      <c r="C113" s="13"/>
      <c r="D113" s="11">
        <f t="shared" si="1"/>
        <v>0</v>
      </c>
    </row>
    <row r="114" spans="1:4" ht="18.75" hidden="1" x14ac:dyDescent="0.25">
      <c r="A114" s="8" t="s">
        <v>117</v>
      </c>
      <c r="B114" s="9"/>
      <c r="C114" s="10"/>
      <c r="D114" s="11">
        <f t="shared" si="1"/>
        <v>0</v>
      </c>
    </row>
    <row r="115" spans="1:4" ht="18.75" hidden="1" x14ac:dyDescent="0.25">
      <c r="A115" s="8" t="s">
        <v>118</v>
      </c>
      <c r="B115" s="9"/>
      <c r="C115" s="12"/>
      <c r="D115" s="11">
        <f t="shared" si="1"/>
        <v>0</v>
      </c>
    </row>
    <row r="116" spans="1:4" ht="18.75" hidden="1" x14ac:dyDescent="0.25">
      <c r="A116" s="8" t="s">
        <v>119</v>
      </c>
      <c r="B116" s="9"/>
      <c r="C116" s="10"/>
      <c r="D116" s="11">
        <f t="shared" si="1"/>
        <v>0</v>
      </c>
    </row>
    <row r="117" spans="1:4" ht="18.75" hidden="1" x14ac:dyDescent="0.25">
      <c r="A117" s="8" t="s">
        <v>120</v>
      </c>
      <c r="B117" s="9"/>
      <c r="C117" s="10">
        <v>15000</v>
      </c>
      <c r="D117" s="11">
        <f t="shared" si="1"/>
        <v>0</v>
      </c>
    </row>
    <row r="118" spans="1:4" ht="18.75" x14ac:dyDescent="0.25">
      <c r="A118" s="8" t="s">
        <v>121</v>
      </c>
      <c r="B118" s="9">
        <v>130</v>
      </c>
      <c r="C118" s="13">
        <v>22000</v>
      </c>
      <c r="D118" s="11">
        <f t="shared" si="1"/>
        <v>2860000</v>
      </c>
    </row>
    <row r="119" spans="1:4" ht="18.75" x14ac:dyDescent="0.25">
      <c r="A119" s="8" t="s">
        <v>122</v>
      </c>
      <c r="B119" s="9">
        <v>50</v>
      </c>
      <c r="C119" s="12">
        <v>22000</v>
      </c>
      <c r="D119" s="11">
        <f t="shared" si="1"/>
        <v>1100000</v>
      </c>
    </row>
    <row r="120" spans="1:4" ht="18.75" hidden="1" x14ac:dyDescent="0.25">
      <c r="A120" s="8" t="s">
        <v>123</v>
      </c>
      <c r="B120" s="9"/>
      <c r="C120" s="12"/>
      <c r="D120" s="11">
        <f t="shared" si="1"/>
        <v>0</v>
      </c>
    </row>
    <row r="121" spans="1:4" ht="18.75" hidden="1" x14ac:dyDescent="0.25">
      <c r="A121" s="8" t="s">
        <v>124</v>
      </c>
      <c r="B121" s="9"/>
      <c r="C121" s="13"/>
      <c r="D121" s="11">
        <f t="shared" si="1"/>
        <v>0</v>
      </c>
    </row>
    <row r="122" spans="1:4" ht="18.75" hidden="1" x14ac:dyDescent="0.25">
      <c r="A122" s="18" t="s">
        <v>125</v>
      </c>
      <c r="B122" s="9"/>
      <c r="C122" s="12"/>
      <c r="D122" s="11">
        <f t="shared" si="1"/>
        <v>0</v>
      </c>
    </row>
    <row r="123" spans="1:4" ht="18.75" hidden="1" x14ac:dyDescent="0.25">
      <c r="A123" s="8" t="s">
        <v>126</v>
      </c>
      <c r="B123" s="9"/>
      <c r="C123" s="13"/>
      <c r="D123" s="11">
        <f t="shared" si="1"/>
        <v>0</v>
      </c>
    </row>
    <row r="124" spans="1:4" ht="18.75" hidden="1" x14ac:dyDescent="0.25">
      <c r="A124" s="8" t="s">
        <v>127</v>
      </c>
      <c r="B124" s="9"/>
      <c r="C124" s="13"/>
      <c r="D124" s="11">
        <f t="shared" si="1"/>
        <v>0</v>
      </c>
    </row>
    <row r="125" spans="1:4" ht="18.75" hidden="1" x14ac:dyDescent="0.25">
      <c r="A125" s="8" t="s">
        <v>128</v>
      </c>
      <c r="B125" s="9"/>
      <c r="C125" s="10"/>
      <c r="D125" s="11">
        <f t="shared" si="1"/>
        <v>0</v>
      </c>
    </row>
    <row r="126" spans="1:4" ht="18.75" hidden="1" x14ac:dyDescent="0.25">
      <c r="A126" s="14" t="s">
        <v>129</v>
      </c>
      <c r="B126" s="9"/>
      <c r="C126" s="10"/>
      <c r="D126" s="11">
        <f t="shared" si="1"/>
        <v>0</v>
      </c>
    </row>
    <row r="127" spans="1:4" ht="18.75" hidden="1" x14ac:dyDescent="0.25">
      <c r="A127" s="8" t="s">
        <v>130</v>
      </c>
      <c r="B127" s="9"/>
      <c r="C127" s="12">
        <v>15000</v>
      </c>
      <c r="D127" s="11">
        <f t="shared" si="1"/>
        <v>0</v>
      </c>
    </row>
    <row r="128" spans="1:4" ht="18.75" hidden="1" x14ac:dyDescent="0.25">
      <c r="A128" s="8" t="s">
        <v>131</v>
      </c>
      <c r="B128" s="9"/>
      <c r="C128" s="12"/>
      <c r="D128" s="11">
        <f t="shared" si="1"/>
        <v>0</v>
      </c>
    </row>
    <row r="129" spans="1:4" ht="18.75" hidden="1" x14ac:dyDescent="0.25">
      <c r="A129" s="8" t="s">
        <v>132</v>
      </c>
      <c r="B129" s="9"/>
      <c r="C129" s="10"/>
      <c r="D129" s="11">
        <f t="shared" si="1"/>
        <v>0</v>
      </c>
    </row>
    <row r="130" spans="1:4" ht="18.75" hidden="1" x14ac:dyDescent="0.25">
      <c r="A130" s="8" t="s">
        <v>133</v>
      </c>
      <c r="B130" s="9"/>
      <c r="C130" s="10"/>
      <c r="D130" s="11">
        <f t="shared" si="1"/>
        <v>0</v>
      </c>
    </row>
    <row r="131" spans="1:4" ht="18.75" hidden="1" x14ac:dyDescent="0.25">
      <c r="A131" s="8" t="s">
        <v>134</v>
      </c>
      <c r="B131" s="9"/>
      <c r="C131" s="10"/>
      <c r="D131" s="11">
        <f t="shared" si="1"/>
        <v>0</v>
      </c>
    </row>
    <row r="132" spans="1:4" ht="18.75" hidden="1" x14ac:dyDescent="0.25">
      <c r="A132" s="8" t="s">
        <v>135</v>
      </c>
      <c r="B132" s="9"/>
      <c r="C132" s="19"/>
      <c r="D132" s="11">
        <f t="shared" si="1"/>
        <v>0</v>
      </c>
    </row>
    <row r="133" spans="1:4" ht="18.75" hidden="1" x14ac:dyDescent="0.25">
      <c r="A133" s="8" t="s">
        <v>136</v>
      </c>
      <c r="B133" s="9"/>
      <c r="C133" s="10"/>
      <c r="D133" s="11">
        <f t="shared" ref="D133:D196" si="2">B133*C133</f>
        <v>0</v>
      </c>
    </row>
    <row r="134" spans="1:4" ht="18.75" hidden="1" x14ac:dyDescent="0.25">
      <c r="A134" s="8" t="s">
        <v>137</v>
      </c>
      <c r="B134" s="9"/>
      <c r="C134" s="13"/>
      <c r="D134" s="11">
        <f t="shared" si="2"/>
        <v>0</v>
      </c>
    </row>
    <row r="135" spans="1:4" ht="18.75" hidden="1" x14ac:dyDescent="0.25">
      <c r="A135" s="8" t="s">
        <v>138</v>
      </c>
      <c r="B135" s="9"/>
      <c r="C135" s="13">
        <v>25000</v>
      </c>
      <c r="D135" s="11">
        <f t="shared" si="2"/>
        <v>0</v>
      </c>
    </row>
    <row r="136" spans="1:4" ht="18.75" hidden="1" x14ac:dyDescent="0.25">
      <c r="A136" s="23" t="s">
        <v>139</v>
      </c>
      <c r="B136" s="9"/>
      <c r="C136" s="10"/>
      <c r="D136" s="11">
        <f t="shared" si="2"/>
        <v>0</v>
      </c>
    </row>
    <row r="137" spans="1:4" ht="18.75" hidden="1" x14ac:dyDescent="0.25">
      <c r="A137" s="8" t="s">
        <v>140</v>
      </c>
      <c r="B137" s="9"/>
      <c r="C137" s="10"/>
      <c r="D137" s="11">
        <f t="shared" si="2"/>
        <v>0</v>
      </c>
    </row>
    <row r="138" spans="1:4" ht="18.75" hidden="1" x14ac:dyDescent="0.25">
      <c r="A138" s="14" t="s">
        <v>141</v>
      </c>
      <c r="B138" s="9"/>
      <c r="C138" s="10"/>
      <c r="D138" s="11">
        <f t="shared" si="2"/>
        <v>0</v>
      </c>
    </row>
    <row r="139" spans="1:4" ht="18.75" hidden="1" x14ac:dyDescent="0.25">
      <c r="A139" s="8" t="s">
        <v>142</v>
      </c>
      <c r="B139" s="9"/>
      <c r="C139" s="10"/>
      <c r="D139" s="11">
        <f t="shared" si="2"/>
        <v>0</v>
      </c>
    </row>
    <row r="140" spans="1:4" ht="18.75" hidden="1" x14ac:dyDescent="0.25">
      <c r="A140" s="8" t="s">
        <v>143</v>
      </c>
      <c r="B140" s="9"/>
      <c r="C140" s="13"/>
      <c r="D140" s="11">
        <f t="shared" si="2"/>
        <v>0</v>
      </c>
    </row>
    <row r="141" spans="1:4" ht="18.75" hidden="1" x14ac:dyDescent="0.25">
      <c r="A141" s="8" t="s">
        <v>144</v>
      </c>
      <c r="B141" s="9"/>
      <c r="C141" s="10"/>
      <c r="D141" s="11">
        <f t="shared" si="2"/>
        <v>0</v>
      </c>
    </row>
    <row r="142" spans="1:4" ht="18.75" x14ac:dyDescent="0.25">
      <c r="A142" s="8" t="s">
        <v>145</v>
      </c>
      <c r="B142" s="9">
        <v>20</v>
      </c>
      <c r="C142" s="12">
        <v>13000</v>
      </c>
      <c r="D142" s="11">
        <f t="shared" si="2"/>
        <v>260000</v>
      </c>
    </row>
    <row r="143" spans="1:4" ht="18.75" hidden="1" x14ac:dyDescent="0.25">
      <c r="A143" s="8" t="s">
        <v>146</v>
      </c>
      <c r="B143" s="9"/>
      <c r="C143" s="12"/>
      <c r="D143" s="11">
        <f t="shared" si="2"/>
        <v>0</v>
      </c>
    </row>
    <row r="144" spans="1:4" ht="18.75" hidden="1" x14ac:dyDescent="0.25">
      <c r="A144" s="8" t="s">
        <v>147</v>
      </c>
      <c r="B144" s="9"/>
      <c r="C144" s="12"/>
      <c r="D144" s="11">
        <f t="shared" si="2"/>
        <v>0</v>
      </c>
    </row>
    <row r="145" spans="1:4" ht="18.75" hidden="1" x14ac:dyDescent="0.25">
      <c r="A145" s="24" t="s">
        <v>148</v>
      </c>
      <c r="B145" s="9"/>
      <c r="C145" s="12"/>
      <c r="D145" s="11">
        <f t="shared" si="2"/>
        <v>0</v>
      </c>
    </row>
    <row r="146" spans="1:4" ht="18.75" hidden="1" x14ac:dyDescent="0.25">
      <c r="A146" s="8" t="s">
        <v>149</v>
      </c>
      <c r="B146" s="9"/>
      <c r="C146" s="10"/>
      <c r="D146" s="11">
        <f t="shared" si="2"/>
        <v>0</v>
      </c>
    </row>
    <row r="147" spans="1:4" ht="18.75" hidden="1" x14ac:dyDescent="0.25">
      <c r="A147" s="8" t="s">
        <v>150</v>
      </c>
      <c r="B147" s="9"/>
      <c r="C147" s="25"/>
      <c r="D147" s="11">
        <f t="shared" si="2"/>
        <v>0</v>
      </c>
    </row>
    <row r="148" spans="1:4" ht="18.75" hidden="1" x14ac:dyDescent="0.25">
      <c r="A148" s="14" t="s">
        <v>151</v>
      </c>
      <c r="B148" s="9"/>
      <c r="C148" s="10"/>
      <c r="D148" s="11">
        <f t="shared" si="2"/>
        <v>0</v>
      </c>
    </row>
    <row r="149" spans="1:4" ht="18.75" hidden="1" x14ac:dyDescent="0.25">
      <c r="A149" s="14" t="s">
        <v>152</v>
      </c>
      <c r="B149" s="9"/>
      <c r="C149" s="10"/>
      <c r="D149" s="11">
        <f t="shared" si="2"/>
        <v>0</v>
      </c>
    </row>
    <row r="150" spans="1:4" ht="18.75" hidden="1" x14ac:dyDescent="0.25">
      <c r="A150" s="8" t="s">
        <v>153</v>
      </c>
      <c r="B150" s="9"/>
      <c r="C150" s="10"/>
      <c r="D150" s="11">
        <f t="shared" si="2"/>
        <v>0</v>
      </c>
    </row>
    <row r="151" spans="1:4" ht="18.75" hidden="1" x14ac:dyDescent="0.25">
      <c r="A151" s="8" t="s">
        <v>154</v>
      </c>
      <c r="B151" s="9"/>
      <c r="C151" s="10"/>
      <c r="D151" s="11">
        <f t="shared" si="2"/>
        <v>0</v>
      </c>
    </row>
    <row r="152" spans="1:4" ht="18.75" hidden="1" x14ac:dyDescent="0.25">
      <c r="A152" s="8" t="s">
        <v>155</v>
      </c>
      <c r="B152" s="9"/>
      <c r="C152" s="10"/>
      <c r="D152" s="11">
        <f t="shared" si="2"/>
        <v>0</v>
      </c>
    </row>
    <row r="153" spans="1:4" ht="18.75" hidden="1" x14ac:dyDescent="0.25">
      <c r="A153" s="8" t="s">
        <v>156</v>
      </c>
      <c r="B153" s="9"/>
      <c r="C153" s="10"/>
      <c r="D153" s="11">
        <f t="shared" si="2"/>
        <v>0</v>
      </c>
    </row>
    <row r="154" spans="1:4" ht="18.75" x14ac:dyDescent="0.25">
      <c r="A154" s="8" t="s">
        <v>157</v>
      </c>
      <c r="B154" s="9">
        <v>5</v>
      </c>
      <c r="C154" s="10">
        <v>15000</v>
      </c>
      <c r="D154" s="11">
        <f t="shared" si="2"/>
        <v>75000</v>
      </c>
    </row>
    <row r="155" spans="1:4" ht="18.75" hidden="1" x14ac:dyDescent="0.25">
      <c r="A155" s="8" t="s">
        <v>158</v>
      </c>
      <c r="B155" s="9"/>
      <c r="C155" s="10"/>
      <c r="D155" s="11">
        <f t="shared" si="2"/>
        <v>0</v>
      </c>
    </row>
    <row r="156" spans="1:4" ht="18.75" hidden="1" x14ac:dyDescent="0.25">
      <c r="A156" s="8" t="s">
        <v>159</v>
      </c>
      <c r="B156" s="9"/>
      <c r="C156" s="10"/>
      <c r="D156" s="11">
        <f t="shared" si="2"/>
        <v>0</v>
      </c>
    </row>
    <row r="157" spans="1:4" ht="18.75" hidden="1" x14ac:dyDescent="0.25">
      <c r="A157" s="8" t="s">
        <v>160</v>
      </c>
      <c r="B157" s="9"/>
      <c r="C157" s="10"/>
      <c r="D157" s="11">
        <f t="shared" si="2"/>
        <v>0</v>
      </c>
    </row>
    <row r="158" spans="1:4" ht="18.75" hidden="1" x14ac:dyDescent="0.25">
      <c r="A158" s="8" t="s">
        <v>161</v>
      </c>
      <c r="B158" s="9"/>
      <c r="C158" s="10">
        <v>32000</v>
      </c>
      <c r="D158" s="11">
        <f t="shared" si="2"/>
        <v>0</v>
      </c>
    </row>
    <row r="159" spans="1:4" ht="18.75" hidden="1" x14ac:dyDescent="0.25">
      <c r="A159" s="8" t="s">
        <v>162</v>
      </c>
      <c r="B159" s="9"/>
      <c r="C159" s="10"/>
      <c r="D159" s="11">
        <f t="shared" si="2"/>
        <v>0</v>
      </c>
    </row>
    <row r="160" spans="1:4" ht="18.75" hidden="1" x14ac:dyDescent="0.25">
      <c r="A160" s="14" t="s">
        <v>163</v>
      </c>
      <c r="B160" s="9"/>
      <c r="C160" s="15"/>
      <c r="D160" s="11">
        <f t="shared" si="2"/>
        <v>0</v>
      </c>
    </row>
    <row r="161" spans="1:4" ht="18.75" hidden="1" x14ac:dyDescent="0.25">
      <c r="A161" s="14" t="s">
        <v>164</v>
      </c>
      <c r="B161" s="9"/>
      <c r="C161" s="15"/>
      <c r="D161" s="11">
        <f t="shared" si="2"/>
        <v>0</v>
      </c>
    </row>
    <row r="162" spans="1:4" ht="18.75" x14ac:dyDescent="0.25">
      <c r="A162" s="8" t="s">
        <v>165</v>
      </c>
      <c r="B162" s="9">
        <f>8+24+47</f>
        <v>79</v>
      </c>
      <c r="C162" s="10">
        <v>26000</v>
      </c>
      <c r="D162" s="11">
        <f t="shared" si="2"/>
        <v>2054000</v>
      </c>
    </row>
    <row r="163" spans="1:4" ht="18.75" x14ac:dyDescent="0.25">
      <c r="A163" s="26" t="s">
        <v>166</v>
      </c>
      <c r="B163" s="9">
        <f>29*2</f>
        <v>58</v>
      </c>
      <c r="C163" s="10">
        <v>7500</v>
      </c>
      <c r="D163" s="11">
        <f t="shared" si="2"/>
        <v>435000</v>
      </c>
    </row>
    <row r="164" spans="1:4" ht="18.75" hidden="1" x14ac:dyDescent="0.25">
      <c r="A164" s="8" t="s">
        <v>167</v>
      </c>
      <c r="B164" s="9"/>
      <c r="C164" s="10"/>
      <c r="D164" s="11">
        <f t="shared" si="2"/>
        <v>0</v>
      </c>
    </row>
    <row r="165" spans="1:4" ht="18.75" x14ac:dyDescent="0.25">
      <c r="A165" s="8" t="s">
        <v>168</v>
      </c>
      <c r="B165" s="9">
        <v>32</v>
      </c>
      <c r="C165" s="12">
        <v>15000</v>
      </c>
      <c r="D165" s="11">
        <f t="shared" si="2"/>
        <v>480000</v>
      </c>
    </row>
    <row r="166" spans="1:4" ht="18.75" x14ac:dyDescent="0.25">
      <c r="A166" s="8" t="s">
        <v>169</v>
      </c>
      <c r="B166" s="9">
        <v>13</v>
      </c>
      <c r="C166" s="10">
        <v>15000</v>
      </c>
      <c r="D166" s="11">
        <f t="shared" si="2"/>
        <v>195000</v>
      </c>
    </row>
    <row r="167" spans="1:4" ht="18.75" hidden="1" x14ac:dyDescent="0.25">
      <c r="A167" s="8" t="s">
        <v>170</v>
      </c>
      <c r="B167" s="9"/>
      <c r="C167" s="10"/>
      <c r="D167" s="11">
        <f t="shared" si="2"/>
        <v>0</v>
      </c>
    </row>
    <row r="168" spans="1:4" ht="18.75" hidden="1" x14ac:dyDescent="0.25">
      <c r="A168" s="8" t="s">
        <v>171</v>
      </c>
      <c r="B168" s="9"/>
      <c r="C168" s="13"/>
      <c r="D168" s="11">
        <f t="shared" si="2"/>
        <v>0</v>
      </c>
    </row>
    <row r="169" spans="1:4" ht="18.75" hidden="1" x14ac:dyDescent="0.25">
      <c r="A169" s="8" t="s">
        <v>172</v>
      </c>
      <c r="B169" s="9"/>
      <c r="C169" s="13"/>
      <c r="D169" s="11">
        <f t="shared" si="2"/>
        <v>0</v>
      </c>
    </row>
    <row r="170" spans="1:4" ht="18.75" hidden="1" x14ac:dyDescent="0.25">
      <c r="A170" s="8" t="s">
        <v>173</v>
      </c>
      <c r="B170" s="9"/>
      <c r="C170" s="13">
        <v>25000</v>
      </c>
      <c r="D170" s="11">
        <f t="shared" si="2"/>
        <v>0</v>
      </c>
    </row>
    <row r="171" spans="1:4" ht="18.75" hidden="1" x14ac:dyDescent="0.25">
      <c r="A171" s="8" t="s">
        <v>174</v>
      </c>
      <c r="B171" s="9"/>
      <c r="C171" s="13">
        <v>6100</v>
      </c>
      <c r="D171" s="11">
        <f t="shared" si="2"/>
        <v>0</v>
      </c>
    </row>
    <row r="172" spans="1:4" ht="18.75" hidden="1" x14ac:dyDescent="0.25">
      <c r="A172" s="8" t="s">
        <v>175</v>
      </c>
      <c r="B172" s="9"/>
      <c r="C172" s="13"/>
      <c r="D172" s="11">
        <f t="shared" si="2"/>
        <v>0</v>
      </c>
    </row>
    <row r="173" spans="1:4" ht="18.75" hidden="1" x14ac:dyDescent="0.25">
      <c r="A173" s="8" t="s">
        <v>176</v>
      </c>
      <c r="B173" s="9"/>
      <c r="C173" s="13"/>
      <c r="D173" s="11">
        <f t="shared" si="2"/>
        <v>0</v>
      </c>
    </row>
    <row r="174" spans="1:4" ht="18.75" hidden="1" x14ac:dyDescent="0.25">
      <c r="A174" s="8" t="s">
        <v>177</v>
      </c>
      <c r="B174" s="9"/>
      <c r="C174" s="12"/>
      <c r="D174" s="11">
        <f t="shared" si="2"/>
        <v>0</v>
      </c>
    </row>
    <row r="175" spans="1:4" ht="18.75" hidden="1" x14ac:dyDescent="0.25">
      <c r="A175" s="27" t="s">
        <v>178</v>
      </c>
      <c r="B175" s="9"/>
      <c r="C175" s="12"/>
      <c r="D175" s="11">
        <f t="shared" si="2"/>
        <v>0</v>
      </c>
    </row>
    <row r="176" spans="1:4" ht="18.75" hidden="1" x14ac:dyDescent="0.25">
      <c r="A176" s="27" t="s">
        <v>179</v>
      </c>
      <c r="B176" s="9"/>
      <c r="C176" s="13">
        <v>25000</v>
      </c>
      <c r="D176" s="11">
        <f t="shared" si="2"/>
        <v>0</v>
      </c>
    </row>
    <row r="177" spans="1:4" ht="18.75" hidden="1" x14ac:dyDescent="0.25">
      <c r="A177" s="27" t="s">
        <v>180</v>
      </c>
      <c r="B177" s="9"/>
      <c r="C177" s="13"/>
      <c r="D177" s="11">
        <f t="shared" si="2"/>
        <v>0</v>
      </c>
    </row>
    <row r="178" spans="1:4" ht="18.75" hidden="1" x14ac:dyDescent="0.25">
      <c r="A178" s="27" t="s">
        <v>181</v>
      </c>
      <c r="B178" s="9"/>
      <c r="C178" s="12"/>
      <c r="D178" s="11">
        <f t="shared" si="2"/>
        <v>0</v>
      </c>
    </row>
    <row r="179" spans="1:4" ht="18.75" hidden="1" x14ac:dyDescent="0.25">
      <c r="A179" s="27" t="s">
        <v>182</v>
      </c>
      <c r="B179" s="9"/>
      <c r="C179" s="12"/>
      <c r="D179" s="11">
        <f t="shared" si="2"/>
        <v>0</v>
      </c>
    </row>
    <row r="180" spans="1:4" ht="18.75" hidden="1" x14ac:dyDescent="0.25">
      <c r="A180" s="8" t="s">
        <v>183</v>
      </c>
      <c r="B180" s="9"/>
      <c r="C180" s="13">
        <v>6100</v>
      </c>
      <c r="D180" s="11">
        <f t="shared" si="2"/>
        <v>0</v>
      </c>
    </row>
    <row r="181" spans="1:4" ht="18.75" hidden="1" x14ac:dyDescent="0.25">
      <c r="A181" s="8" t="s">
        <v>184</v>
      </c>
      <c r="B181" s="9"/>
      <c r="C181" s="13"/>
      <c r="D181" s="11">
        <f t="shared" si="2"/>
        <v>0</v>
      </c>
    </row>
    <row r="182" spans="1:4" ht="18.75" hidden="1" x14ac:dyDescent="0.25">
      <c r="A182" s="8" t="s">
        <v>185</v>
      </c>
      <c r="B182" s="9"/>
      <c r="C182" s="13">
        <v>23000</v>
      </c>
      <c r="D182" s="11">
        <f t="shared" si="2"/>
        <v>0</v>
      </c>
    </row>
    <row r="183" spans="1:4" ht="18.75" hidden="1" x14ac:dyDescent="0.25">
      <c r="A183" s="8" t="s">
        <v>186</v>
      </c>
      <c r="B183" s="9"/>
      <c r="C183" s="13">
        <v>25000</v>
      </c>
      <c r="D183" s="11">
        <f t="shared" si="2"/>
        <v>0</v>
      </c>
    </row>
    <row r="184" spans="1:4" ht="18.75" hidden="1" x14ac:dyDescent="0.25">
      <c r="A184" s="8" t="s">
        <v>187</v>
      </c>
      <c r="B184" s="9"/>
      <c r="C184" s="13"/>
      <c r="D184" s="11">
        <f t="shared" si="2"/>
        <v>0</v>
      </c>
    </row>
    <row r="185" spans="1:4" ht="18.75" hidden="1" x14ac:dyDescent="0.25">
      <c r="A185" s="8" t="s">
        <v>188</v>
      </c>
      <c r="B185" s="9"/>
      <c r="C185" s="10"/>
      <c r="D185" s="11">
        <f t="shared" si="2"/>
        <v>0</v>
      </c>
    </row>
    <row r="186" spans="1:4" ht="18.75" hidden="1" x14ac:dyDescent="0.25">
      <c r="A186" s="8" t="s">
        <v>189</v>
      </c>
      <c r="B186" s="9"/>
      <c r="C186" s="13"/>
      <c r="D186" s="11">
        <f t="shared" si="2"/>
        <v>0</v>
      </c>
    </row>
    <row r="187" spans="1:4" ht="18.75" hidden="1" x14ac:dyDescent="0.25">
      <c r="A187" s="8" t="s">
        <v>190</v>
      </c>
      <c r="B187" s="9"/>
      <c r="C187" s="12"/>
      <c r="D187" s="11">
        <f t="shared" si="2"/>
        <v>0</v>
      </c>
    </row>
    <row r="188" spans="1:4" ht="18.75" hidden="1" x14ac:dyDescent="0.25">
      <c r="A188" s="8" t="s">
        <v>191</v>
      </c>
      <c r="B188" s="9"/>
      <c r="C188" s="10"/>
      <c r="D188" s="11">
        <f t="shared" si="2"/>
        <v>0</v>
      </c>
    </row>
    <row r="189" spans="1:4" ht="18.75" hidden="1" x14ac:dyDescent="0.25">
      <c r="A189" s="8" t="s">
        <v>192</v>
      </c>
      <c r="B189" s="9"/>
      <c r="C189" s="13"/>
      <c r="D189" s="11">
        <f t="shared" si="2"/>
        <v>0</v>
      </c>
    </row>
    <row r="190" spans="1:4" ht="18.75" hidden="1" x14ac:dyDescent="0.25">
      <c r="A190" s="8" t="s">
        <v>193</v>
      </c>
      <c r="B190" s="9"/>
      <c r="C190" s="10">
        <v>18000</v>
      </c>
      <c r="D190" s="11">
        <f t="shared" si="2"/>
        <v>0</v>
      </c>
    </row>
    <row r="191" spans="1:4" ht="18.75" hidden="1" x14ac:dyDescent="0.25">
      <c r="A191" s="8" t="s">
        <v>194</v>
      </c>
      <c r="B191" s="9"/>
      <c r="C191" s="10"/>
      <c r="D191" s="11">
        <f t="shared" si="2"/>
        <v>0</v>
      </c>
    </row>
    <row r="192" spans="1:4" ht="18.75" hidden="1" x14ac:dyDescent="0.25">
      <c r="A192" s="8" t="s">
        <v>195</v>
      </c>
      <c r="B192" s="9"/>
      <c r="C192" s="10"/>
      <c r="D192" s="11">
        <f t="shared" si="2"/>
        <v>0</v>
      </c>
    </row>
    <row r="193" spans="1:4" ht="18.75" hidden="1" x14ac:dyDescent="0.25">
      <c r="A193" s="14" t="s">
        <v>196</v>
      </c>
      <c r="B193" s="9"/>
      <c r="C193" s="12"/>
      <c r="D193" s="11">
        <f t="shared" si="2"/>
        <v>0</v>
      </c>
    </row>
    <row r="194" spans="1:4" ht="18.75" x14ac:dyDescent="0.25">
      <c r="A194" s="14" t="s">
        <v>197</v>
      </c>
      <c r="B194" s="9">
        <v>7</v>
      </c>
      <c r="C194" s="10">
        <v>12000</v>
      </c>
      <c r="D194" s="11">
        <f t="shared" si="2"/>
        <v>84000</v>
      </c>
    </row>
    <row r="195" spans="1:4" ht="18.75" hidden="1" x14ac:dyDescent="0.25">
      <c r="A195" s="8" t="s">
        <v>198</v>
      </c>
      <c r="B195" s="9"/>
      <c r="C195" s="10"/>
      <c r="D195" s="11">
        <f t="shared" si="2"/>
        <v>0</v>
      </c>
    </row>
    <row r="196" spans="1:4" ht="18.75" x14ac:dyDescent="0.25">
      <c r="A196" s="8" t="s">
        <v>199</v>
      </c>
      <c r="B196" s="9">
        <v>16</v>
      </c>
      <c r="C196" s="12">
        <v>18000</v>
      </c>
      <c r="D196" s="11">
        <f t="shared" si="2"/>
        <v>288000</v>
      </c>
    </row>
    <row r="197" spans="1:4" ht="18.75" hidden="1" x14ac:dyDescent="0.25">
      <c r="A197" s="8" t="s">
        <v>200</v>
      </c>
      <c r="B197" s="9"/>
      <c r="C197" s="12"/>
      <c r="D197" s="11">
        <f t="shared" ref="D197:D213" si="3">B197*C197</f>
        <v>0</v>
      </c>
    </row>
    <row r="198" spans="1:4" ht="18.75" hidden="1" x14ac:dyDescent="0.25">
      <c r="A198" s="8" t="s">
        <v>201</v>
      </c>
      <c r="B198" s="9"/>
      <c r="C198" s="19"/>
      <c r="D198" s="11">
        <f t="shared" si="3"/>
        <v>0</v>
      </c>
    </row>
    <row r="199" spans="1:4" ht="18.75" x14ac:dyDescent="0.25">
      <c r="A199" s="8" t="s">
        <v>202</v>
      </c>
      <c r="B199" s="9">
        <v>47</v>
      </c>
      <c r="C199" s="12">
        <v>12000</v>
      </c>
      <c r="D199" s="11">
        <f t="shared" si="3"/>
        <v>564000</v>
      </c>
    </row>
    <row r="200" spans="1:4" ht="18.75" hidden="1" x14ac:dyDescent="0.25">
      <c r="A200" s="8" t="s">
        <v>203</v>
      </c>
      <c r="B200" s="9"/>
      <c r="C200" s="12"/>
      <c r="D200" s="11">
        <f t="shared" si="3"/>
        <v>0</v>
      </c>
    </row>
    <row r="201" spans="1:4" ht="18.75" x14ac:dyDescent="0.25">
      <c r="A201" s="8" t="s">
        <v>204</v>
      </c>
      <c r="B201" s="9">
        <f>1740+450</f>
        <v>2190</v>
      </c>
      <c r="C201" s="13">
        <v>6500</v>
      </c>
      <c r="D201" s="11">
        <f t="shared" si="3"/>
        <v>14235000</v>
      </c>
    </row>
    <row r="202" spans="1:4" ht="18.75" x14ac:dyDescent="0.25">
      <c r="A202" s="8" t="s">
        <v>205</v>
      </c>
      <c r="B202" s="9">
        <v>80</v>
      </c>
      <c r="C202" s="10"/>
      <c r="D202" s="11">
        <f t="shared" si="3"/>
        <v>0</v>
      </c>
    </row>
    <row r="203" spans="1:4" ht="18.75" hidden="1" x14ac:dyDescent="0.25">
      <c r="A203" s="8" t="s">
        <v>242</v>
      </c>
      <c r="B203" s="9"/>
      <c r="C203" s="10"/>
      <c r="D203" s="11">
        <f t="shared" si="3"/>
        <v>0</v>
      </c>
    </row>
    <row r="204" spans="1:4" ht="18.75" hidden="1" x14ac:dyDescent="0.25">
      <c r="A204" s="8" t="s">
        <v>243</v>
      </c>
      <c r="B204" s="9"/>
      <c r="C204" s="10"/>
      <c r="D204" s="11">
        <f t="shared" si="3"/>
        <v>0</v>
      </c>
    </row>
    <row r="205" spans="1:4" ht="18.75" hidden="1" x14ac:dyDescent="0.25">
      <c r="A205" s="8" t="s">
        <v>206</v>
      </c>
      <c r="B205" s="9"/>
      <c r="C205" s="13"/>
      <c r="D205" s="11">
        <f t="shared" si="3"/>
        <v>0</v>
      </c>
    </row>
    <row r="206" spans="1:4" ht="18.75" hidden="1" x14ac:dyDescent="0.25">
      <c r="A206" s="8" t="s">
        <v>207</v>
      </c>
      <c r="B206" s="9"/>
      <c r="C206" s="13"/>
      <c r="D206" s="11">
        <f t="shared" si="3"/>
        <v>0</v>
      </c>
    </row>
    <row r="207" spans="1:4" ht="18.75" hidden="1" x14ac:dyDescent="0.25">
      <c r="A207" s="8" t="s">
        <v>208</v>
      </c>
      <c r="B207" s="9"/>
      <c r="C207" s="13"/>
      <c r="D207" s="11">
        <f t="shared" si="3"/>
        <v>0</v>
      </c>
    </row>
    <row r="208" spans="1:4" ht="18.75" hidden="1" x14ac:dyDescent="0.25">
      <c r="A208" s="14" t="s">
        <v>209</v>
      </c>
      <c r="B208" s="9"/>
      <c r="C208" s="10"/>
      <c r="D208" s="11">
        <f t="shared" si="3"/>
        <v>0</v>
      </c>
    </row>
    <row r="209" spans="1:4" ht="18.75" hidden="1" x14ac:dyDescent="0.25">
      <c r="A209" s="8" t="s">
        <v>210</v>
      </c>
      <c r="B209" s="9"/>
      <c r="C209" s="12"/>
      <c r="D209" s="11">
        <f t="shared" si="3"/>
        <v>0</v>
      </c>
    </row>
    <row r="210" spans="1:4" ht="18.75" hidden="1" x14ac:dyDescent="0.25">
      <c r="A210" s="8" t="s">
        <v>211</v>
      </c>
      <c r="B210" s="9"/>
      <c r="C210" s="13"/>
      <c r="D210" s="11">
        <f t="shared" si="3"/>
        <v>0</v>
      </c>
    </row>
    <row r="211" spans="1:4" ht="18.75" hidden="1" x14ac:dyDescent="0.25">
      <c r="A211" s="8" t="s">
        <v>212</v>
      </c>
      <c r="B211" s="9"/>
      <c r="C211" s="13"/>
      <c r="D211" s="11">
        <f t="shared" si="3"/>
        <v>0</v>
      </c>
    </row>
    <row r="212" spans="1:4" ht="18.75" hidden="1" x14ac:dyDescent="0.25">
      <c r="A212" s="8" t="s">
        <v>213</v>
      </c>
      <c r="B212" s="9"/>
      <c r="C212" s="13"/>
      <c r="D212" s="11">
        <f t="shared" si="3"/>
        <v>0</v>
      </c>
    </row>
    <row r="213" spans="1:4" ht="18.75" hidden="1" x14ac:dyDescent="0.2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3733</v>
      </c>
      <c r="C214" s="29">
        <f t="shared" si="4"/>
        <v>1243486</v>
      </c>
      <c r="D214" s="29">
        <f t="shared" si="4"/>
        <v>38480158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2"/>
  <sheetViews>
    <sheetView workbookViewId="0">
      <selection activeCell="G133" sqref="G133"/>
    </sheetView>
  </sheetViews>
  <sheetFormatPr defaultRowHeight="15" x14ac:dyDescent="0.25"/>
  <cols>
    <col min="1" max="1" width="27.42578125" customWidth="1"/>
    <col min="3" max="3" width="11.85546875" customWidth="1"/>
    <col min="4" max="4" width="16.42578125" customWidth="1"/>
  </cols>
  <sheetData>
    <row r="1" spans="1:4" x14ac:dyDescent="0.25">
      <c r="A1" s="1" t="s">
        <v>247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idden="1" x14ac:dyDescent="0.25">
      <c r="A3" s="51"/>
      <c r="B3" s="4"/>
      <c r="C3" s="6"/>
      <c r="D3" s="7"/>
    </row>
    <row r="4" spans="1:4" ht="18.75" hidden="1" x14ac:dyDescent="0.25">
      <c r="A4" s="8" t="s">
        <v>5</v>
      </c>
      <c r="B4" s="9"/>
      <c r="C4" s="10">
        <v>20000</v>
      </c>
      <c r="D4" s="11">
        <f>B4*C4</f>
        <v>0</v>
      </c>
    </row>
    <row r="5" spans="1:4" ht="18.75" x14ac:dyDescent="0.25">
      <c r="A5" s="8" t="s">
        <v>6</v>
      </c>
      <c r="B5" s="9">
        <v>183</v>
      </c>
      <c r="C5" s="10">
        <v>14000</v>
      </c>
      <c r="D5" s="11">
        <f t="shared" ref="D5:D68" si="0">B5*C5</f>
        <v>2562000</v>
      </c>
    </row>
    <row r="6" spans="1:4" ht="18.75" hidden="1" x14ac:dyDescent="0.25">
      <c r="A6" s="8"/>
      <c r="B6" s="9"/>
      <c r="C6" s="10">
        <v>14000</v>
      </c>
      <c r="D6" s="11">
        <f t="shared" si="0"/>
        <v>0</v>
      </c>
    </row>
    <row r="7" spans="1:4" ht="18.75" hidden="1" x14ac:dyDescent="0.25">
      <c r="A7" s="8"/>
      <c r="B7" s="9"/>
      <c r="C7" s="10">
        <v>14000</v>
      </c>
      <c r="D7" s="11">
        <f t="shared" si="0"/>
        <v>0</v>
      </c>
    </row>
    <row r="8" spans="1:4" ht="18.75" hidden="1" x14ac:dyDescent="0.25">
      <c r="A8" s="8" t="s">
        <v>7</v>
      </c>
      <c r="B8" s="9"/>
      <c r="C8" s="10"/>
      <c r="D8" s="11">
        <f t="shared" si="0"/>
        <v>0</v>
      </c>
    </row>
    <row r="9" spans="1:4" ht="18.75" hidden="1" x14ac:dyDescent="0.25">
      <c r="A9" s="8" t="s">
        <v>8</v>
      </c>
      <c r="B9" s="9"/>
      <c r="C9" s="12">
        <v>40000</v>
      </c>
      <c r="D9" s="11">
        <f t="shared" si="0"/>
        <v>0</v>
      </c>
    </row>
    <row r="10" spans="1:4" ht="18.75" hidden="1" x14ac:dyDescent="0.25">
      <c r="A10" s="8" t="s">
        <v>9</v>
      </c>
      <c r="B10" s="9"/>
      <c r="C10" s="10"/>
      <c r="D10" s="11">
        <f t="shared" si="0"/>
        <v>0</v>
      </c>
    </row>
    <row r="11" spans="1:4" ht="18.75" hidden="1" x14ac:dyDescent="0.25">
      <c r="A11" s="8" t="s">
        <v>10</v>
      </c>
      <c r="B11" s="9"/>
      <c r="C11" s="10">
        <v>21000</v>
      </c>
      <c r="D11" s="11">
        <f t="shared" si="0"/>
        <v>0</v>
      </c>
    </row>
    <row r="12" spans="1:4" ht="18.75" x14ac:dyDescent="0.25">
      <c r="A12" s="8" t="s">
        <v>11</v>
      </c>
      <c r="B12" s="9">
        <v>30</v>
      </c>
      <c r="C12" s="10">
        <v>35000</v>
      </c>
      <c r="D12" s="11">
        <f t="shared" si="0"/>
        <v>1050000</v>
      </c>
    </row>
    <row r="13" spans="1:4" ht="18.75" hidden="1" x14ac:dyDescent="0.25">
      <c r="A13" s="8"/>
      <c r="B13" s="9"/>
      <c r="C13" s="10">
        <v>35000</v>
      </c>
      <c r="D13" s="11">
        <f t="shared" si="0"/>
        <v>0</v>
      </c>
    </row>
    <row r="14" spans="1:4" ht="18.75" hidden="1" x14ac:dyDescent="0.25">
      <c r="A14" s="8" t="s">
        <v>12</v>
      </c>
      <c r="B14" s="9"/>
      <c r="C14" s="10"/>
      <c r="D14" s="11">
        <f t="shared" si="0"/>
        <v>0</v>
      </c>
    </row>
    <row r="15" spans="1:4" ht="18.75" hidden="1" x14ac:dyDescent="0.25">
      <c r="A15" s="8" t="s">
        <v>13</v>
      </c>
      <c r="B15" s="9"/>
      <c r="C15" s="10"/>
      <c r="D15" s="11">
        <f t="shared" si="0"/>
        <v>0</v>
      </c>
    </row>
    <row r="16" spans="1:4" ht="18.75" x14ac:dyDescent="0.25">
      <c r="A16" s="8" t="s">
        <v>14</v>
      </c>
      <c r="B16" s="9">
        <v>35</v>
      </c>
      <c r="C16" s="12">
        <v>46000</v>
      </c>
      <c r="D16" s="11">
        <f t="shared" si="0"/>
        <v>1610000</v>
      </c>
    </row>
    <row r="17" spans="1:4" ht="18.75" hidden="1" x14ac:dyDescent="0.25">
      <c r="A17" s="8"/>
      <c r="B17" s="9"/>
      <c r="C17" s="12">
        <v>35000</v>
      </c>
      <c r="D17" s="11">
        <f t="shared" si="0"/>
        <v>0</v>
      </c>
    </row>
    <row r="18" spans="1:4" ht="18.75" hidden="1" x14ac:dyDescent="0.25">
      <c r="A18" s="8" t="s">
        <v>15</v>
      </c>
      <c r="B18" s="9"/>
      <c r="C18" s="12"/>
      <c r="D18" s="11">
        <f t="shared" si="0"/>
        <v>0</v>
      </c>
    </row>
    <row r="19" spans="1:4" ht="18.75" hidden="1" x14ac:dyDescent="0.25">
      <c r="A19" s="8" t="s">
        <v>16</v>
      </c>
      <c r="B19" s="9"/>
      <c r="C19" s="12"/>
      <c r="D19" s="11">
        <f t="shared" si="0"/>
        <v>0</v>
      </c>
    </row>
    <row r="20" spans="1:4" ht="18.75" x14ac:dyDescent="0.25">
      <c r="A20" s="8" t="s">
        <v>17</v>
      </c>
      <c r="B20" s="9">
        <v>115</v>
      </c>
      <c r="C20" s="10">
        <v>18000</v>
      </c>
      <c r="D20" s="11">
        <f t="shared" si="0"/>
        <v>2070000</v>
      </c>
    </row>
    <row r="21" spans="1:4" ht="18.75" hidden="1" x14ac:dyDescent="0.25">
      <c r="A21" s="8"/>
      <c r="B21" s="9"/>
      <c r="C21" s="10">
        <v>18000</v>
      </c>
      <c r="D21" s="11">
        <f t="shared" si="0"/>
        <v>0</v>
      </c>
    </row>
    <row r="22" spans="1:4" ht="18.75" hidden="1" x14ac:dyDescent="0.25">
      <c r="A22" s="8"/>
      <c r="B22" s="9"/>
      <c r="C22" s="10">
        <v>14000</v>
      </c>
      <c r="D22" s="11">
        <f t="shared" si="0"/>
        <v>0</v>
      </c>
    </row>
    <row r="23" spans="1:4" ht="18.75" hidden="1" x14ac:dyDescent="0.25">
      <c r="A23" s="8" t="s">
        <v>18</v>
      </c>
      <c r="B23" s="9"/>
      <c r="C23" s="10"/>
      <c r="D23" s="11">
        <f t="shared" si="0"/>
        <v>0</v>
      </c>
    </row>
    <row r="24" spans="1:4" ht="18.75" hidden="1" x14ac:dyDescent="0.25">
      <c r="A24" s="8" t="s">
        <v>19</v>
      </c>
      <c r="B24" s="9"/>
      <c r="C24" s="10"/>
      <c r="D24" s="11">
        <f t="shared" si="0"/>
        <v>0</v>
      </c>
    </row>
    <row r="25" spans="1:4" ht="18.75" x14ac:dyDescent="0.25">
      <c r="A25" s="8" t="s">
        <v>20</v>
      </c>
      <c r="B25" s="9">
        <v>15</v>
      </c>
      <c r="C25" s="13">
        <v>11000</v>
      </c>
      <c r="D25" s="11">
        <f t="shared" si="0"/>
        <v>165000</v>
      </c>
    </row>
    <row r="26" spans="1:4" ht="18.75" hidden="1" x14ac:dyDescent="0.25">
      <c r="A26" s="8"/>
      <c r="B26" s="9"/>
      <c r="C26" s="13">
        <v>10000</v>
      </c>
      <c r="D26" s="11">
        <f t="shared" si="0"/>
        <v>0</v>
      </c>
    </row>
    <row r="27" spans="1:4" ht="18.75" hidden="1" x14ac:dyDescent="0.25">
      <c r="A27" s="8" t="s">
        <v>21</v>
      </c>
      <c r="B27" s="9"/>
      <c r="C27" s="10"/>
      <c r="D27" s="11">
        <f t="shared" si="0"/>
        <v>0</v>
      </c>
    </row>
    <row r="28" spans="1:4" ht="18.75" hidden="1" x14ac:dyDescent="0.25">
      <c r="A28" s="8" t="s">
        <v>24</v>
      </c>
      <c r="B28" s="9"/>
      <c r="C28" s="10"/>
      <c r="D28" s="11">
        <f t="shared" si="0"/>
        <v>0</v>
      </c>
    </row>
    <row r="29" spans="1:4" ht="18.75" hidden="1" x14ac:dyDescent="0.25">
      <c r="A29" s="14" t="s">
        <v>25</v>
      </c>
      <c r="B29" s="9"/>
      <c r="C29" s="13"/>
      <c r="D29" s="11">
        <f t="shared" si="0"/>
        <v>0</v>
      </c>
    </row>
    <row r="30" spans="1:4" ht="18.75" hidden="1" x14ac:dyDescent="0.25">
      <c r="A30" s="8" t="s">
        <v>26</v>
      </c>
      <c r="B30" s="9"/>
      <c r="C30" s="10"/>
      <c r="D30" s="11">
        <f t="shared" si="0"/>
        <v>0</v>
      </c>
    </row>
    <row r="31" spans="1:4" ht="18.75" hidden="1" x14ac:dyDescent="0.25">
      <c r="A31" s="8" t="s">
        <v>27</v>
      </c>
      <c r="B31" s="9"/>
      <c r="C31" s="10">
        <v>16000</v>
      </c>
      <c r="D31" s="11">
        <f t="shared" si="0"/>
        <v>0</v>
      </c>
    </row>
    <row r="32" spans="1:4" ht="18.75" hidden="1" x14ac:dyDescent="0.25">
      <c r="A32" s="8" t="s">
        <v>28</v>
      </c>
      <c r="B32" s="9"/>
      <c r="C32" s="10">
        <v>9000</v>
      </c>
      <c r="D32" s="11">
        <f t="shared" si="0"/>
        <v>0</v>
      </c>
    </row>
    <row r="33" spans="1:4" ht="18.75" hidden="1" x14ac:dyDescent="0.25">
      <c r="A33" s="8"/>
      <c r="B33" s="9"/>
      <c r="C33" s="10">
        <v>9000</v>
      </c>
      <c r="D33" s="11">
        <f t="shared" si="0"/>
        <v>0</v>
      </c>
    </row>
    <row r="34" spans="1:4" ht="18.75" hidden="1" x14ac:dyDescent="0.25">
      <c r="A34" s="14" t="s">
        <v>29</v>
      </c>
      <c r="B34" s="9"/>
      <c r="C34" s="15"/>
      <c r="D34" s="11">
        <f t="shared" si="0"/>
        <v>0</v>
      </c>
    </row>
    <row r="35" spans="1:4" ht="18.75" hidden="1" x14ac:dyDescent="0.25">
      <c r="A35" s="8" t="s">
        <v>30</v>
      </c>
      <c r="B35" s="9"/>
      <c r="C35" s="10">
        <v>8000</v>
      </c>
      <c r="D35" s="11">
        <f t="shared" si="0"/>
        <v>0</v>
      </c>
    </row>
    <row r="36" spans="1:4" ht="18.75" hidden="1" x14ac:dyDescent="0.25">
      <c r="A36" s="8"/>
      <c r="B36" s="9"/>
      <c r="C36" s="10">
        <v>8000</v>
      </c>
      <c r="D36" s="11">
        <f t="shared" si="0"/>
        <v>0</v>
      </c>
    </row>
    <row r="37" spans="1:4" ht="18.75" hidden="1" x14ac:dyDescent="0.25">
      <c r="A37" s="8"/>
      <c r="B37" s="9"/>
      <c r="C37" s="10">
        <v>8000</v>
      </c>
      <c r="D37" s="11">
        <f t="shared" si="0"/>
        <v>0</v>
      </c>
    </row>
    <row r="38" spans="1:4" ht="18.75" hidden="1" x14ac:dyDescent="0.25">
      <c r="A38" s="8" t="s">
        <v>31</v>
      </c>
      <c r="B38" s="9"/>
      <c r="C38" s="10"/>
      <c r="D38" s="11">
        <f t="shared" si="0"/>
        <v>0</v>
      </c>
    </row>
    <row r="39" spans="1:4" ht="18.75" hidden="1" x14ac:dyDescent="0.25">
      <c r="A39" s="14" t="s">
        <v>32</v>
      </c>
      <c r="B39" s="9"/>
      <c r="C39" s="10"/>
      <c r="D39" s="11">
        <f t="shared" si="0"/>
        <v>0</v>
      </c>
    </row>
    <row r="40" spans="1:4" ht="18.75" hidden="1" x14ac:dyDescent="0.25">
      <c r="A40" s="8" t="s">
        <v>33</v>
      </c>
      <c r="B40" s="9"/>
      <c r="C40" s="13"/>
      <c r="D40" s="11">
        <f t="shared" si="0"/>
        <v>0</v>
      </c>
    </row>
    <row r="41" spans="1:4" ht="18.75" hidden="1" x14ac:dyDescent="0.25">
      <c r="A41" s="8" t="s">
        <v>34</v>
      </c>
      <c r="B41" s="9"/>
      <c r="C41" s="10"/>
      <c r="D41" s="11">
        <f t="shared" si="0"/>
        <v>0</v>
      </c>
    </row>
    <row r="42" spans="1:4" ht="18.75" hidden="1" x14ac:dyDescent="0.25">
      <c r="A42" s="8" t="s">
        <v>35</v>
      </c>
      <c r="B42" s="9"/>
      <c r="C42" s="15">
        <v>110000</v>
      </c>
      <c r="D42" s="11">
        <f t="shared" si="0"/>
        <v>0</v>
      </c>
    </row>
    <row r="43" spans="1:4" ht="18.75" hidden="1" x14ac:dyDescent="0.25">
      <c r="A43" s="8" t="s">
        <v>36</v>
      </c>
      <c r="B43" s="9"/>
      <c r="C43" s="10"/>
      <c r="D43" s="11">
        <f t="shared" si="0"/>
        <v>0</v>
      </c>
    </row>
    <row r="44" spans="1:4" ht="18.75" hidden="1" x14ac:dyDescent="0.25">
      <c r="A44" s="14" t="s">
        <v>37</v>
      </c>
      <c r="B44" s="9"/>
      <c r="C44" s="12">
        <v>10000</v>
      </c>
      <c r="D44" s="11">
        <f t="shared" si="0"/>
        <v>0</v>
      </c>
    </row>
    <row r="45" spans="1:4" ht="18.75" hidden="1" x14ac:dyDescent="0.25">
      <c r="A45" s="14" t="s">
        <v>38</v>
      </c>
      <c r="B45" s="9"/>
      <c r="C45" s="10"/>
      <c r="D45" s="11">
        <f t="shared" si="0"/>
        <v>0</v>
      </c>
    </row>
    <row r="46" spans="1:4" ht="18.75" hidden="1" x14ac:dyDescent="0.25">
      <c r="A46" s="8" t="s">
        <v>39</v>
      </c>
      <c r="B46" s="9"/>
      <c r="C46" s="10"/>
      <c r="D46" s="11">
        <f t="shared" si="0"/>
        <v>0</v>
      </c>
    </row>
    <row r="47" spans="1:4" ht="18.75" hidden="1" x14ac:dyDescent="0.25">
      <c r="A47" s="14" t="s">
        <v>40</v>
      </c>
      <c r="B47" s="9"/>
      <c r="C47" s="10"/>
      <c r="D47" s="11">
        <f t="shared" si="0"/>
        <v>0</v>
      </c>
    </row>
    <row r="48" spans="1:4" ht="18.75" hidden="1" x14ac:dyDescent="0.25">
      <c r="A48" s="8" t="s">
        <v>41</v>
      </c>
      <c r="B48" s="9"/>
      <c r="C48" s="10"/>
      <c r="D48" s="11">
        <f t="shared" si="0"/>
        <v>0</v>
      </c>
    </row>
    <row r="49" spans="1:4" ht="18.75" hidden="1" x14ac:dyDescent="0.25">
      <c r="A49" s="8" t="s">
        <v>42</v>
      </c>
      <c r="B49" s="9"/>
      <c r="C49" s="13">
        <v>11000</v>
      </c>
      <c r="D49" s="11">
        <f t="shared" si="0"/>
        <v>0</v>
      </c>
    </row>
    <row r="50" spans="1:4" ht="18.75" hidden="1" x14ac:dyDescent="0.25">
      <c r="A50" s="16" t="s">
        <v>43</v>
      </c>
      <c r="B50" s="9"/>
      <c r="C50" s="10"/>
      <c r="D50" s="11">
        <f t="shared" si="0"/>
        <v>0</v>
      </c>
    </row>
    <row r="51" spans="1:4" ht="18.75" x14ac:dyDescent="0.25">
      <c r="A51" s="8" t="s">
        <v>44</v>
      </c>
      <c r="B51" s="9">
        <v>23</v>
      </c>
      <c r="C51" s="10">
        <v>14000</v>
      </c>
      <c r="D51" s="11">
        <f t="shared" si="0"/>
        <v>322000</v>
      </c>
    </row>
    <row r="52" spans="1:4" ht="18.75" hidden="1" x14ac:dyDescent="0.25">
      <c r="A52" s="8"/>
      <c r="B52" s="9"/>
      <c r="C52" s="10">
        <v>25000</v>
      </c>
      <c r="D52" s="11">
        <f t="shared" si="0"/>
        <v>0</v>
      </c>
    </row>
    <row r="53" spans="1:4" ht="18.75" hidden="1" x14ac:dyDescent="0.25">
      <c r="A53" s="8"/>
      <c r="B53" s="9"/>
      <c r="C53" s="10">
        <v>16000</v>
      </c>
      <c r="D53" s="11">
        <f t="shared" si="0"/>
        <v>0</v>
      </c>
    </row>
    <row r="54" spans="1:4" ht="18.75" hidden="1" x14ac:dyDescent="0.25">
      <c r="A54" s="8"/>
      <c r="B54" s="9"/>
      <c r="C54" s="10">
        <v>14000</v>
      </c>
      <c r="D54" s="11">
        <f t="shared" si="0"/>
        <v>0</v>
      </c>
    </row>
    <row r="55" spans="1:4" ht="18.75" hidden="1" x14ac:dyDescent="0.25">
      <c r="A55" s="8" t="s">
        <v>45</v>
      </c>
      <c r="B55" s="9"/>
      <c r="C55" s="10"/>
      <c r="D55" s="11">
        <f t="shared" si="0"/>
        <v>0</v>
      </c>
    </row>
    <row r="56" spans="1:4" ht="18.75" x14ac:dyDescent="0.25">
      <c r="A56" s="8" t="s">
        <v>46</v>
      </c>
      <c r="B56" s="9">
        <v>9</v>
      </c>
      <c r="C56" s="12">
        <v>15000</v>
      </c>
      <c r="D56" s="11">
        <f t="shared" si="0"/>
        <v>135000</v>
      </c>
    </row>
    <row r="57" spans="1:4" ht="18.75" hidden="1" x14ac:dyDescent="0.25">
      <c r="A57" s="8" t="s">
        <v>47</v>
      </c>
      <c r="B57" s="9"/>
      <c r="C57" s="12"/>
      <c r="D57" s="11">
        <f t="shared" si="0"/>
        <v>0</v>
      </c>
    </row>
    <row r="58" spans="1:4" ht="18.75" hidden="1" x14ac:dyDescent="0.25">
      <c r="A58" s="8" t="s">
        <v>48</v>
      </c>
      <c r="B58" s="9"/>
      <c r="C58" s="10">
        <v>15000</v>
      </c>
      <c r="D58" s="11">
        <f t="shared" si="0"/>
        <v>0</v>
      </c>
    </row>
    <row r="59" spans="1:4" ht="18.75" hidden="1" x14ac:dyDescent="0.25">
      <c r="A59" s="8" t="s">
        <v>49</v>
      </c>
      <c r="B59" s="9"/>
      <c r="C59" s="10"/>
      <c r="D59" s="11">
        <f t="shared" si="0"/>
        <v>0</v>
      </c>
    </row>
    <row r="60" spans="1:4" ht="18.75" hidden="1" x14ac:dyDescent="0.25">
      <c r="A60" s="8" t="s">
        <v>50</v>
      </c>
      <c r="B60" s="9"/>
      <c r="C60" s="10">
        <v>18000</v>
      </c>
      <c r="D60" s="11">
        <f t="shared" si="0"/>
        <v>0</v>
      </c>
    </row>
    <row r="61" spans="1:4" ht="18.75" hidden="1" x14ac:dyDescent="0.25">
      <c r="A61" s="8"/>
      <c r="B61" s="9"/>
      <c r="C61" s="10">
        <v>17000</v>
      </c>
      <c r="D61" s="11">
        <f t="shared" si="0"/>
        <v>0</v>
      </c>
    </row>
    <row r="62" spans="1:4" ht="18.75" hidden="1" x14ac:dyDescent="0.25">
      <c r="A62" s="8"/>
      <c r="B62" s="9"/>
      <c r="C62" s="10">
        <v>17500</v>
      </c>
      <c r="D62" s="11">
        <f t="shared" si="0"/>
        <v>0</v>
      </c>
    </row>
    <row r="63" spans="1:4" ht="18.75" hidden="1" x14ac:dyDescent="0.25">
      <c r="A63" s="8"/>
      <c r="B63" s="9"/>
      <c r="C63" s="10">
        <v>17000</v>
      </c>
      <c r="D63" s="11">
        <f t="shared" si="0"/>
        <v>0</v>
      </c>
    </row>
    <row r="64" spans="1:4" ht="18.75" hidden="1" x14ac:dyDescent="0.25">
      <c r="A64" s="8"/>
      <c r="B64" s="9"/>
      <c r="C64" s="10">
        <v>18000</v>
      </c>
      <c r="D64" s="11">
        <f t="shared" si="0"/>
        <v>0</v>
      </c>
    </row>
    <row r="65" spans="1:4" ht="18.75" x14ac:dyDescent="0.25">
      <c r="A65" s="8" t="s">
        <v>51</v>
      </c>
      <c r="B65" s="9">
        <v>60</v>
      </c>
      <c r="C65" s="10">
        <v>9000</v>
      </c>
      <c r="D65" s="11">
        <f t="shared" si="0"/>
        <v>540000</v>
      </c>
    </row>
    <row r="66" spans="1:4" ht="18.75" hidden="1" x14ac:dyDescent="0.25">
      <c r="A66" s="8" t="s">
        <v>52</v>
      </c>
      <c r="B66" s="9"/>
      <c r="C66" s="12"/>
      <c r="D66" s="11">
        <f t="shared" si="0"/>
        <v>0</v>
      </c>
    </row>
    <row r="67" spans="1:4" ht="18.75" hidden="1" x14ac:dyDescent="0.25">
      <c r="A67" s="8" t="s">
        <v>53</v>
      </c>
      <c r="B67" s="9"/>
      <c r="C67" s="10"/>
      <c r="D67" s="11">
        <f t="shared" si="0"/>
        <v>0</v>
      </c>
    </row>
    <row r="68" spans="1:4" ht="18.75" hidden="1" x14ac:dyDescent="0.25">
      <c r="A68" s="8" t="s">
        <v>54</v>
      </c>
      <c r="B68" s="9"/>
      <c r="C68" s="10"/>
      <c r="D68" s="11">
        <f t="shared" si="0"/>
        <v>0</v>
      </c>
    </row>
    <row r="69" spans="1:4" ht="18.75" hidden="1" x14ac:dyDescent="0.25">
      <c r="A69" s="8" t="s">
        <v>55</v>
      </c>
      <c r="B69" s="9"/>
      <c r="C69" s="10">
        <v>12000</v>
      </c>
      <c r="D69" s="11">
        <f t="shared" ref="D69:D132" si="1">B69*C69</f>
        <v>0</v>
      </c>
    </row>
    <row r="70" spans="1:4" ht="18.75" hidden="1" x14ac:dyDescent="0.25">
      <c r="A70" s="14" t="s">
        <v>56</v>
      </c>
      <c r="B70" s="9"/>
      <c r="C70" s="10">
        <v>18000</v>
      </c>
      <c r="D70" s="11">
        <f t="shared" si="1"/>
        <v>0</v>
      </c>
    </row>
    <row r="71" spans="1:4" ht="18.75" hidden="1" x14ac:dyDescent="0.25">
      <c r="A71" s="8" t="s">
        <v>57</v>
      </c>
      <c r="B71" s="9"/>
      <c r="C71" s="10">
        <v>8000</v>
      </c>
      <c r="D71" s="11">
        <f t="shared" si="1"/>
        <v>0</v>
      </c>
    </row>
    <row r="72" spans="1:4" ht="18.75" hidden="1" x14ac:dyDescent="0.25">
      <c r="A72" s="8"/>
      <c r="B72" s="9"/>
      <c r="C72" s="10">
        <v>8000</v>
      </c>
      <c r="D72" s="11">
        <f t="shared" si="1"/>
        <v>0</v>
      </c>
    </row>
    <row r="73" spans="1:4" ht="18.75" hidden="1" x14ac:dyDescent="0.25">
      <c r="A73" s="8"/>
      <c r="B73" s="9"/>
      <c r="C73" s="10">
        <v>7000</v>
      </c>
      <c r="D73" s="11">
        <f t="shared" si="1"/>
        <v>0</v>
      </c>
    </row>
    <row r="74" spans="1:4" ht="18.75" hidden="1" x14ac:dyDescent="0.25">
      <c r="A74" s="8"/>
      <c r="B74" s="9"/>
      <c r="C74" s="10">
        <v>7000</v>
      </c>
      <c r="D74" s="11">
        <f t="shared" si="1"/>
        <v>0</v>
      </c>
    </row>
    <row r="75" spans="1:4" ht="18.75" hidden="1" x14ac:dyDescent="0.25">
      <c r="A75" s="8" t="s">
        <v>58</v>
      </c>
      <c r="B75" s="9"/>
      <c r="C75" s="13"/>
      <c r="D75" s="11">
        <f t="shared" si="1"/>
        <v>0</v>
      </c>
    </row>
    <row r="76" spans="1:4" ht="18.75" hidden="1" x14ac:dyDescent="0.25">
      <c r="A76" s="14" t="s">
        <v>59</v>
      </c>
      <c r="B76" s="9"/>
      <c r="C76" s="10"/>
      <c r="D76" s="11">
        <f t="shared" si="1"/>
        <v>0</v>
      </c>
    </row>
    <row r="77" spans="1:4" ht="18.75" hidden="1" x14ac:dyDescent="0.25">
      <c r="A77" s="8" t="s">
        <v>60</v>
      </c>
      <c r="B77" s="9"/>
      <c r="C77" s="12">
        <v>15000</v>
      </c>
      <c r="D77" s="11">
        <f t="shared" si="1"/>
        <v>0</v>
      </c>
    </row>
    <row r="78" spans="1:4" ht="18.75" hidden="1" x14ac:dyDescent="0.25">
      <c r="A78" s="8" t="s">
        <v>61</v>
      </c>
      <c r="B78" s="17"/>
      <c r="C78" s="10"/>
      <c r="D78" s="11">
        <f t="shared" si="1"/>
        <v>0</v>
      </c>
    </row>
    <row r="79" spans="1:4" ht="18.75" hidden="1" x14ac:dyDescent="0.25">
      <c r="A79" s="18" t="s">
        <v>62</v>
      </c>
      <c r="B79" s="9"/>
      <c r="C79" s="19"/>
      <c r="D79" s="11">
        <f t="shared" si="1"/>
        <v>0</v>
      </c>
    </row>
    <row r="80" spans="1:4" ht="18.75" hidden="1" x14ac:dyDescent="0.25">
      <c r="A80" s="18" t="s">
        <v>63</v>
      </c>
      <c r="B80" s="9"/>
      <c r="C80" s="10">
        <v>24000</v>
      </c>
      <c r="D80" s="11">
        <f t="shared" si="1"/>
        <v>0</v>
      </c>
    </row>
    <row r="81" spans="1:4" ht="18.75" x14ac:dyDescent="0.25">
      <c r="A81" s="14" t="s">
        <v>64</v>
      </c>
      <c r="B81" s="9">
        <f>160+55</f>
        <v>215</v>
      </c>
      <c r="C81" s="10">
        <v>21000</v>
      </c>
      <c r="D81" s="11">
        <f t="shared" si="1"/>
        <v>4515000</v>
      </c>
    </row>
    <row r="82" spans="1:4" ht="18.75" hidden="1" x14ac:dyDescent="0.25">
      <c r="A82" s="14"/>
      <c r="B82" s="9"/>
      <c r="C82" s="10">
        <v>20000</v>
      </c>
      <c r="D82" s="11">
        <f t="shared" si="1"/>
        <v>0</v>
      </c>
    </row>
    <row r="83" spans="1:4" ht="18.75" hidden="1" x14ac:dyDescent="0.25">
      <c r="A83" s="14"/>
      <c r="B83" s="9"/>
      <c r="C83" s="10">
        <v>21000</v>
      </c>
      <c r="D83" s="11">
        <f t="shared" si="1"/>
        <v>0</v>
      </c>
    </row>
    <row r="84" spans="1:4" ht="18.75" hidden="1" x14ac:dyDescent="0.25">
      <c r="A84" s="8" t="s">
        <v>65</v>
      </c>
      <c r="B84" s="9"/>
      <c r="C84" s="12">
        <v>18500</v>
      </c>
      <c r="D84" s="11">
        <f t="shared" si="1"/>
        <v>0</v>
      </c>
    </row>
    <row r="85" spans="1:4" ht="18.75" hidden="1" x14ac:dyDescent="0.25">
      <c r="A85" s="14" t="s">
        <v>66</v>
      </c>
      <c r="B85" s="9"/>
      <c r="C85" s="10"/>
      <c r="D85" s="11">
        <f t="shared" si="1"/>
        <v>0</v>
      </c>
    </row>
    <row r="86" spans="1:4" ht="18.75" hidden="1" x14ac:dyDescent="0.25">
      <c r="A86" s="8" t="s">
        <v>68</v>
      </c>
      <c r="B86" s="9"/>
      <c r="C86" s="10">
        <v>8000</v>
      </c>
      <c r="D86" s="11">
        <f t="shared" si="1"/>
        <v>0</v>
      </c>
    </row>
    <row r="87" spans="1:4" ht="18.75" hidden="1" x14ac:dyDescent="0.25">
      <c r="A87" s="14" t="s">
        <v>69</v>
      </c>
      <c r="B87" s="9"/>
      <c r="C87" s="15">
        <v>11500</v>
      </c>
      <c r="D87" s="11">
        <f t="shared" si="1"/>
        <v>0</v>
      </c>
    </row>
    <row r="88" spans="1:4" ht="18.75" hidden="1" x14ac:dyDescent="0.25">
      <c r="A88" s="14" t="s">
        <v>70</v>
      </c>
      <c r="B88" s="9"/>
      <c r="C88" s="15"/>
      <c r="D88" s="11">
        <f t="shared" si="1"/>
        <v>0</v>
      </c>
    </row>
    <row r="89" spans="1:4" ht="18.75" hidden="1" x14ac:dyDescent="0.25">
      <c r="A89" s="14" t="s">
        <v>71</v>
      </c>
      <c r="B89" s="9"/>
      <c r="C89" s="10"/>
      <c r="D89" s="11">
        <f t="shared" si="1"/>
        <v>0</v>
      </c>
    </row>
    <row r="90" spans="1:4" ht="18.75" hidden="1" x14ac:dyDescent="0.25">
      <c r="A90" s="8" t="s">
        <v>72</v>
      </c>
      <c r="B90" s="9"/>
      <c r="C90" s="12"/>
      <c r="D90" s="11">
        <f t="shared" si="1"/>
        <v>0</v>
      </c>
    </row>
    <row r="91" spans="1:4" ht="18.75" hidden="1" x14ac:dyDescent="0.25">
      <c r="A91" s="8" t="s">
        <v>73</v>
      </c>
      <c r="B91" s="9"/>
      <c r="C91" s="12">
        <v>25000</v>
      </c>
      <c r="D91" s="11">
        <f t="shared" si="1"/>
        <v>0</v>
      </c>
    </row>
    <row r="92" spans="1:4" ht="18.75" hidden="1" x14ac:dyDescent="0.25">
      <c r="A92" s="8" t="s">
        <v>74</v>
      </c>
      <c r="B92" s="9"/>
      <c r="C92" s="13"/>
      <c r="D92" s="11">
        <f t="shared" si="1"/>
        <v>0</v>
      </c>
    </row>
    <row r="93" spans="1:4" ht="18.75" hidden="1" x14ac:dyDescent="0.25">
      <c r="A93" s="8" t="s">
        <v>75</v>
      </c>
      <c r="B93" s="9"/>
      <c r="C93" s="15"/>
      <c r="D93" s="11">
        <f t="shared" si="1"/>
        <v>0</v>
      </c>
    </row>
    <row r="94" spans="1:4" ht="18.75" hidden="1" x14ac:dyDescent="0.25">
      <c r="A94" s="8" t="s">
        <v>76</v>
      </c>
      <c r="B94" s="9"/>
      <c r="C94" s="10"/>
      <c r="D94" s="11">
        <f t="shared" si="1"/>
        <v>0</v>
      </c>
    </row>
    <row r="95" spans="1:4" ht="18.75" hidden="1" x14ac:dyDescent="0.25">
      <c r="A95" s="20" t="s">
        <v>77</v>
      </c>
      <c r="B95" s="9"/>
      <c r="C95" s="13"/>
      <c r="D95" s="11">
        <f t="shared" si="1"/>
        <v>0</v>
      </c>
    </row>
    <row r="96" spans="1:4" ht="18.75" hidden="1" x14ac:dyDescent="0.25">
      <c r="A96" s="20" t="s">
        <v>78</v>
      </c>
      <c r="B96" s="9"/>
      <c r="C96" s="12">
        <v>11000</v>
      </c>
      <c r="D96" s="11">
        <f t="shared" si="1"/>
        <v>0</v>
      </c>
    </row>
    <row r="97" spans="1:4" ht="18.75" hidden="1" x14ac:dyDescent="0.25">
      <c r="A97" s="20"/>
      <c r="B97" s="9"/>
      <c r="C97" s="12">
        <v>9000</v>
      </c>
      <c r="D97" s="11">
        <f t="shared" si="1"/>
        <v>0</v>
      </c>
    </row>
    <row r="98" spans="1:4" ht="18.75" hidden="1" x14ac:dyDescent="0.25">
      <c r="A98" s="20"/>
      <c r="B98" s="9"/>
      <c r="C98" s="12">
        <v>8000</v>
      </c>
      <c r="D98" s="11">
        <f t="shared" si="1"/>
        <v>0</v>
      </c>
    </row>
    <row r="99" spans="1:4" ht="18.75" hidden="1" x14ac:dyDescent="0.25">
      <c r="A99" s="20" t="s">
        <v>79</v>
      </c>
      <c r="B99" s="9"/>
      <c r="C99" s="13"/>
      <c r="D99" s="11">
        <f t="shared" si="1"/>
        <v>0</v>
      </c>
    </row>
    <row r="100" spans="1:4" ht="18.75" hidden="1" x14ac:dyDescent="0.25">
      <c r="A100" s="8" t="s">
        <v>80</v>
      </c>
      <c r="B100" s="9"/>
      <c r="C100" s="10"/>
      <c r="D100" s="11">
        <f t="shared" si="1"/>
        <v>0</v>
      </c>
    </row>
    <row r="101" spans="1:4" ht="18.75" hidden="1" x14ac:dyDescent="0.25">
      <c r="A101" s="8" t="s">
        <v>81</v>
      </c>
      <c r="B101" s="9"/>
      <c r="C101" s="13"/>
      <c r="D101" s="11">
        <f t="shared" si="1"/>
        <v>0</v>
      </c>
    </row>
    <row r="102" spans="1:4" ht="18.75" hidden="1" x14ac:dyDescent="0.25">
      <c r="A102" s="8" t="s">
        <v>82</v>
      </c>
      <c r="B102" s="9"/>
      <c r="C102" s="10">
        <v>150000</v>
      </c>
      <c r="D102" s="11">
        <f t="shared" si="1"/>
        <v>0</v>
      </c>
    </row>
    <row r="103" spans="1:4" ht="18.75" hidden="1" x14ac:dyDescent="0.25">
      <c r="A103" s="8" t="s">
        <v>83</v>
      </c>
      <c r="B103" s="9"/>
      <c r="C103" s="10"/>
      <c r="D103" s="11">
        <f t="shared" si="1"/>
        <v>0</v>
      </c>
    </row>
    <row r="104" spans="1:4" ht="18.75" hidden="1" x14ac:dyDescent="0.25">
      <c r="A104" s="8" t="s">
        <v>84</v>
      </c>
      <c r="B104" s="9"/>
      <c r="C104" s="10">
        <v>50000</v>
      </c>
      <c r="D104" s="11">
        <f t="shared" si="1"/>
        <v>0</v>
      </c>
    </row>
    <row r="105" spans="1:4" ht="18.75" hidden="1" x14ac:dyDescent="0.25">
      <c r="A105" s="8" t="s">
        <v>85</v>
      </c>
      <c r="B105" s="9"/>
      <c r="C105" s="10">
        <v>70000</v>
      </c>
      <c r="D105" s="11">
        <f t="shared" si="1"/>
        <v>0</v>
      </c>
    </row>
    <row r="106" spans="1:4" ht="18.75" hidden="1" x14ac:dyDescent="0.25">
      <c r="A106" s="8" t="s">
        <v>86</v>
      </c>
      <c r="B106" s="9"/>
      <c r="C106" s="10">
        <v>50000</v>
      </c>
      <c r="D106" s="11">
        <f t="shared" si="1"/>
        <v>0</v>
      </c>
    </row>
    <row r="107" spans="1:4" ht="18.75" hidden="1" x14ac:dyDescent="0.25">
      <c r="A107" s="8" t="s">
        <v>87</v>
      </c>
      <c r="B107" s="9"/>
      <c r="C107" s="12">
        <v>80000</v>
      </c>
      <c r="D107" s="11">
        <f t="shared" si="1"/>
        <v>0</v>
      </c>
    </row>
    <row r="108" spans="1:4" ht="18.75" hidden="1" x14ac:dyDescent="0.25">
      <c r="A108" s="8" t="s">
        <v>88</v>
      </c>
      <c r="B108" s="9"/>
      <c r="C108" s="10">
        <v>45000</v>
      </c>
      <c r="D108" s="11">
        <f t="shared" si="1"/>
        <v>0</v>
      </c>
    </row>
    <row r="109" spans="1:4" ht="18.75" hidden="1" x14ac:dyDescent="0.25">
      <c r="A109" s="8" t="s">
        <v>89</v>
      </c>
      <c r="B109" s="9"/>
      <c r="C109" s="12">
        <v>70000</v>
      </c>
      <c r="D109" s="11">
        <f t="shared" si="1"/>
        <v>0</v>
      </c>
    </row>
    <row r="110" spans="1:4" ht="18.75" hidden="1" x14ac:dyDescent="0.25">
      <c r="A110" s="8" t="s">
        <v>90</v>
      </c>
      <c r="B110" s="9"/>
      <c r="C110" s="10">
        <v>50000</v>
      </c>
      <c r="D110" s="11">
        <f t="shared" si="1"/>
        <v>0</v>
      </c>
    </row>
    <row r="111" spans="1:4" ht="18.75" hidden="1" x14ac:dyDescent="0.25">
      <c r="A111" s="8" t="s">
        <v>91</v>
      </c>
      <c r="B111" s="9"/>
      <c r="C111" s="10"/>
      <c r="D111" s="11">
        <f t="shared" si="1"/>
        <v>0</v>
      </c>
    </row>
    <row r="112" spans="1:4" ht="18.75" hidden="1" x14ac:dyDescent="0.25">
      <c r="A112" s="8" t="s">
        <v>92</v>
      </c>
      <c r="B112" s="9"/>
      <c r="C112" s="10"/>
      <c r="D112" s="11">
        <f t="shared" si="1"/>
        <v>0</v>
      </c>
    </row>
    <row r="113" spans="1:4" ht="18.75" hidden="1" x14ac:dyDescent="0.25">
      <c r="A113" s="8" t="s">
        <v>93</v>
      </c>
      <c r="B113" s="9"/>
      <c r="C113" s="10"/>
      <c r="D113" s="11">
        <f t="shared" si="1"/>
        <v>0</v>
      </c>
    </row>
    <row r="114" spans="1:4" ht="18.75" hidden="1" x14ac:dyDescent="0.25">
      <c r="A114" s="8" t="s">
        <v>94</v>
      </c>
      <c r="B114" s="9"/>
      <c r="C114" s="10"/>
      <c r="D114" s="11">
        <f t="shared" si="1"/>
        <v>0</v>
      </c>
    </row>
    <row r="115" spans="1:4" ht="18.75" hidden="1" x14ac:dyDescent="0.25">
      <c r="A115" s="8" t="s">
        <v>95</v>
      </c>
      <c r="B115" s="9"/>
      <c r="C115" s="12">
        <v>12000</v>
      </c>
      <c r="D115" s="11">
        <f t="shared" si="1"/>
        <v>0</v>
      </c>
    </row>
    <row r="116" spans="1:4" ht="18.75" hidden="1" x14ac:dyDescent="0.25">
      <c r="A116" s="8" t="s">
        <v>96</v>
      </c>
      <c r="B116" s="9"/>
      <c r="C116" s="10"/>
      <c r="D116" s="11">
        <f t="shared" si="1"/>
        <v>0</v>
      </c>
    </row>
    <row r="117" spans="1:4" ht="18.75" hidden="1" x14ac:dyDescent="0.25">
      <c r="A117" s="8" t="s">
        <v>97</v>
      </c>
      <c r="B117" s="9"/>
      <c r="C117" s="10">
        <v>15000</v>
      </c>
      <c r="D117" s="11">
        <f t="shared" si="1"/>
        <v>0</v>
      </c>
    </row>
    <row r="118" spans="1:4" ht="18.75" hidden="1" x14ac:dyDescent="0.25">
      <c r="A118" s="8" t="s">
        <v>98</v>
      </c>
      <c r="B118" s="9"/>
      <c r="C118" s="10"/>
      <c r="D118" s="11">
        <f t="shared" si="1"/>
        <v>0</v>
      </c>
    </row>
    <row r="119" spans="1:4" ht="18.75" hidden="1" x14ac:dyDescent="0.25">
      <c r="A119" s="8" t="s">
        <v>99</v>
      </c>
      <c r="B119" s="9"/>
      <c r="C119" s="12"/>
      <c r="D119" s="11">
        <f t="shared" si="1"/>
        <v>0</v>
      </c>
    </row>
    <row r="120" spans="1:4" ht="18.75" hidden="1" x14ac:dyDescent="0.25">
      <c r="A120" s="14" t="s">
        <v>100</v>
      </c>
      <c r="B120" s="9"/>
      <c r="C120" s="10"/>
      <c r="D120" s="11">
        <f t="shared" si="1"/>
        <v>0</v>
      </c>
    </row>
    <row r="121" spans="1:4" ht="18.75" hidden="1" x14ac:dyDescent="0.25">
      <c r="A121" s="14" t="s">
        <v>101</v>
      </c>
      <c r="B121" s="9"/>
      <c r="C121" s="10"/>
      <c r="D121" s="11">
        <f t="shared" si="1"/>
        <v>0</v>
      </c>
    </row>
    <row r="122" spans="1:4" ht="18.75" hidden="1" x14ac:dyDescent="0.25">
      <c r="A122" s="14" t="s">
        <v>102</v>
      </c>
      <c r="B122" s="21"/>
      <c r="C122" s="10"/>
      <c r="D122" s="11">
        <f t="shared" si="1"/>
        <v>0</v>
      </c>
    </row>
    <row r="123" spans="1:4" ht="18.75" hidden="1" x14ac:dyDescent="0.25">
      <c r="A123" s="8" t="s">
        <v>103</v>
      </c>
      <c r="B123" s="9"/>
      <c r="C123" s="10"/>
      <c r="D123" s="11">
        <f t="shared" si="1"/>
        <v>0</v>
      </c>
    </row>
    <row r="124" spans="1:4" ht="18.75" hidden="1" x14ac:dyDescent="0.25">
      <c r="A124" s="8" t="s">
        <v>104</v>
      </c>
      <c r="B124" s="9"/>
      <c r="C124" s="12"/>
      <c r="D124" s="11">
        <f t="shared" si="1"/>
        <v>0</v>
      </c>
    </row>
    <row r="125" spans="1:4" ht="18.75" hidden="1" x14ac:dyDescent="0.25">
      <c r="A125" s="8" t="s">
        <v>105</v>
      </c>
      <c r="B125" s="9"/>
      <c r="C125" s="10"/>
      <c r="D125" s="11">
        <f t="shared" si="1"/>
        <v>0</v>
      </c>
    </row>
    <row r="126" spans="1:4" ht="18.75" hidden="1" x14ac:dyDescent="0.25">
      <c r="A126" s="8" t="s">
        <v>106</v>
      </c>
      <c r="B126" s="9"/>
      <c r="C126" s="10"/>
      <c r="D126" s="11">
        <f t="shared" si="1"/>
        <v>0</v>
      </c>
    </row>
    <row r="127" spans="1:4" ht="18.75" hidden="1" x14ac:dyDescent="0.25">
      <c r="A127" s="8" t="s">
        <v>107</v>
      </c>
      <c r="B127" s="9"/>
      <c r="C127" s="10"/>
      <c r="D127" s="11">
        <f t="shared" si="1"/>
        <v>0</v>
      </c>
    </row>
    <row r="128" spans="1:4" ht="18.75" hidden="1" x14ac:dyDescent="0.25">
      <c r="A128" s="22" t="s">
        <v>108</v>
      </c>
      <c r="B128" s="9"/>
      <c r="C128" s="10"/>
      <c r="D128" s="11">
        <f t="shared" si="1"/>
        <v>0</v>
      </c>
    </row>
    <row r="129" spans="1:4" ht="18.75" hidden="1" x14ac:dyDescent="0.25">
      <c r="A129" s="8" t="s">
        <v>109</v>
      </c>
      <c r="B129" s="9"/>
      <c r="C129" s="12">
        <v>10000</v>
      </c>
      <c r="D129" s="11">
        <f t="shared" si="1"/>
        <v>0</v>
      </c>
    </row>
    <row r="130" spans="1:4" ht="18.75" hidden="1" x14ac:dyDescent="0.25">
      <c r="A130" s="8" t="s">
        <v>110</v>
      </c>
      <c r="B130" s="9"/>
      <c r="C130" s="10">
        <v>7620</v>
      </c>
      <c r="D130" s="11">
        <f t="shared" si="1"/>
        <v>0</v>
      </c>
    </row>
    <row r="131" spans="1:4" ht="18.75" hidden="1" x14ac:dyDescent="0.25">
      <c r="A131" s="8" t="s">
        <v>111</v>
      </c>
      <c r="B131" s="9"/>
      <c r="C131" s="13"/>
      <c r="D131" s="11">
        <f t="shared" si="1"/>
        <v>0</v>
      </c>
    </row>
    <row r="132" spans="1:4" ht="18.75" x14ac:dyDescent="0.25">
      <c r="A132" s="14" t="s">
        <v>112</v>
      </c>
      <c r="B132" s="9">
        <f>15+160</f>
        <v>175</v>
      </c>
      <c r="C132" s="10">
        <v>20000</v>
      </c>
      <c r="D132" s="11">
        <f t="shared" si="1"/>
        <v>3500000</v>
      </c>
    </row>
    <row r="133" spans="1:4" ht="18.75" x14ac:dyDescent="0.25">
      <c r="A133" s="14" t="s">
        <v>113</v>
      </c>
      <c r="B133" s="9">
        <v>200</v>
      </c>
      <c r="C133" s="10">
        <v>17000</v>
      </c>
      <c r="D133" s="11">
        <f t="shared" ref="D133:D196" si="2">B133*C133</f>
        <v>3400000</v>
      </c>
    </row>
    <row r="134" spans="1:4" ht="18.75" x14ac:dyDescent="0.25">
      <c r="A134" s="8" t="s">
        <v>114</v>
      </c>
      <c r="B134" s="9">
        <v>210</v>
      </c>
      <c r="C134" s="12">
        <v>14000</v>
      </c>
      <c r="D134" s="11">
        <f t="shared" si="2"/>
        <v>2940000</v>
      </c>
    </row>
    <row r="135" spans="1:4" ht="18.75" x14ac:dyDescent="0.25">
      <c r="A135" s="14" t="s">
        <v>115</v>
      </c>
      <c r="B135" s="9">
        <v>11</v>
      </c>
      <c r="C135" s="10">
        <v>25000</v>
      </c>
      <c r="D135" s="11">
        <f t="shared" si="2"/>
        <v>275000</v>
      </c>
    </row>
    <row r="136" spans="1:4" ht="18.75" hidden="1" x14ac:dyDescent="0.25">
      <c r="A136" s="14" t="s">
        <v>116</v>
      </c>
      <c r="B136" s="9"/>
      <c r="C136" s="12"/>
      <c r="D136" s="11">
        <f t="shared" si="2"/>
        <v>0</v>
      </c>
    </row>
    <row r="137" spans="1:4" ht="18.75" x14ac:dyDescent="0.25">
      <c r="A137" s="8" t="s">
        <v>237</v>
      </c>
      <c r="B137" s="9">
        <f>34+17+46</f>
        <v>97</v>
      </c>
      <c r="C137" s="13">
        <v>20000</v>
      </c>
      <c r="D137" s="11">
        <f t="shared" si="2"/>
        <v>1940000</v>
      </c>
    </row>
    <row r="138" spans="1:4" ht="18.75" hidden="1" x14ac:dyDescent="0.25">
      <c r="A138" s="8" t="s">
        <v>117</v>
      </c>
      <c r="B138" s="9"/>
      <c r="C138" s="10"/>
      <c r="D138" s="11">
        <f t="shared" si="2"/>
        <v>0</v>
      </c>
    </row>
    <row r="139" spans="1:4" ht="18.75" hidden="1" x14ac:dyDescent="0.25">
      <c r="A139" s="8" t="s">
        <v>118</v>
      </c>
      <c r="B139" s="9"/>
      <c r="C139" s="12"/>
      <c r="D139" s="11">
        <f t="shared" si="2"/>
        <v>0</v>
      </c>
    </row>
    <row r="140" spans="1:4" ht="18.75" hidden="1" x14ac:dyDescent="0.25">
      <c r="A140" s="8" t="s">
        <v>119</v>
      </c>
      <c r="B140" s="9"/>
      <c r="C140" s="10"/>
      <c r="D140" s="11">
        <f t="shared" si="2"/>
        <v>0</v>
      </c>
    </row>
    <row r="141" spans="1:4" ht="18.75" hidden="1" x14ac:dyDescent="0.25">
      <c r="A141" s="8" t="s">
        <v>120</v>
      </c>
      <c r="B141" s="9"/>
      <c r="C141" s="10">
        <v>15000</v>
      </c>
      <c r="D141" s="11">
        <f t="shared" si="2"/>
        <v>0</v>
      </c>
    </row>
    <row r="142" spans="1:4" ht="18.75" x14ac:dyDescent="0.25">
      <c r="A142" s="8" t="s">
        <v>121</v>
      </c>
      <c r="B142" s="9">
        <v>27</v>
      </c>
      <c r="C142" s="13">
        <v>22000</v>
      </c>
      <c r="D142" s="11">
        <f t="shared" si="2"/>
        <v>594000</v>
      </c>
    </row>
    <row r="143" spans="1:4" ht="18.75" hidden="1" x14ac:dyDescent="0.25">
      <c r="A143" s="8"/>
      <c r="B143" s="9"/>
      <c r="C143" s="13">
        <v>22000</v>
      </c>
      <c r="D143" s="11">
        <f t="shared" si="2"/>
        <v>0</v>
      </c>
    </row>
    <row r="144" spans="1:4" ht="18.75" hidden="1" x14ac:dyDescent="0.25">
      <c r="A144" s="8"/>
      <c r="B144" s="9"/>
      <c r="C144" s="13">
        <v>21000</v>
      </c>
      <c r="D144" s="11">
        <f t="shared" si="2"/>
        <v>0</v>
      </c>
    </row>
    <row r="145" spans="1:4" ht="18.75" hidden="1" x14ac:dyDescent="0.25">
      <c r="A145" s="8"/>
      <c r="B145" s="9"/>
      <c r="C145" s="13">
        <v>23000</v>
      </c>
      <c r="D145" s="11">
        <f t="shared" si="2"/>
        <v>0</v>
      </c>
    </row>
    <row r="146" spans="1:4" ht="18.75" x14ac:dyDescent="0.25">
      <c r="A146" s="8" t="s">
        <v>122</v>
      </c>
      <c r="B146" s="9">
        <v>33</v>
      </c>
      <c r="C146" s="12">
        <v>22000</v>
      </c>
      <c r="D146" s="11">
        <f t="shared" si="2"/>
        <v>726000</v>
      </c>
    </row>
    <row r="147" spans="1:4" ht="18.75" hidden="1" x14ac:dyDescent="0.25">
      <c r="A147" s="8" t="s">
        <v>123</v>
      </c>
      <c r="B147" s="9"/>
      <c r="C147" s="12"/>
      <c r="D147" s="11">
        <f t="shared" si="2"/>
        <v>0</v>
      </c>
    </row>
    <row r="148" spans="1:4" ht="18.75" hidden="1" x14ac:dyDescent="0.25">
      <c r="A148" s="8" t="s">
        <v>124</v>
      </c>
      <c r="B148" s="9"/>
      <c r="C148" s="13"/>
      <c r="D148" s="11">
        <f t="shared" si="2"/>
        <v>0</v>
      </c>
    </row>
    <row r="149" spans="1:4" ht="18.75" hidden="1" x14ac:dyDescent="0.25">
      <c r="A149" s="18" t="s">
        <v>125</v>
      </c>
      <c r="B149" s="9"/>
      <c r="C149" s="12">
        <v>5500</v>
      </c>
      <c r="D149" s="11">
        <f t="shared" si="2"/>
        <v>0</v>
      </c>
    </row>
    <row r="150" spans="1:4" ht="18.75" hidden="1" x14ac:dyDescent="0.25">
      <c r="A150" s="18"/>
      <c r="B150" s="9"/>
      <c r="C150" s="12">
        <v>5000</v>
      </c>
      <c r="D150" s="11">
        <f t="shared" si="2"/>
        <v>0</v>
      </c>
    </row>
    <row r="151" spans="1:4" ht="18.75" hidden="1" x14ac:dyDescent="0.25">
      <c r="A151" s="18"/>
      <c r="B151" s="9"/>
      <c r="C151" s="12">
        <v>5500</v>
      </c>
      <c r="D151" s="11">
        <f t="shared" si="2"/>
        <v>0</v>
      </c>
    </row>
    <row r="152" spans="1:4" ht="18.75" hidden="1" x14ac:dyDescent="0.25">
      <c r="A152" s="8" t="s">
        <v>126</v>
      </c>
      <c r="B152" s="9"/>
      <c r="C152" s="13"/>
      <c r="D152" s="11">
        <f t="shared" si="2"/>
        <v>0</v>
      </c>
    </row>
    <row r="153" spans="1:4" ht="18.75" hidden="1" x14ac:dyDescent="0.25">
      <c r="A153" s="8" t="s">
        <v>127</v>
      </c>
      <c r="B153" s="9"/>
      <c r="C153" s="13"/>
      <c r="D153" s="11">
        <f t="shared" si="2"/>
        <v>0</v>
      </c>
    </row>
    <row r="154" spans="1:4" ht="18.75" hidden="1" x14ac:dyDescent="0.25">
      <c r="A154" s="8" t="s">
        <v>128</v>
      </c>
      <c r="B154" s="9"/>
      <c r="C154" s="10">
        <v>11000</v>
      </c>
      <c r="D154" s="11">
        <f t="shared" si="2"/>
        <v>0</v>
      </c>
    </row>
    <row r="155" spans="1:4" ht="18.75" hidden="1" x14ac:dyDescent="0.25">
      <c r="A155" s="8"/>
      <c r="B155" s="9"/>
      <c r="C155" s="10">
        <v>9000</v>
      </c>
      <c r="D155" s="11">
        <f t="shared" si="2"/>
        <v>0</v>
      </c>
    </row>
    <row r="156" spans="1:4" ht="18.75" hidden="1" x14ac:dyDescent="0.25">
      <c r="A156" s="8"/>
      <c r="B156" s="9"/>
      <c r="C156" s="10">
        <v>11000</v>
      </c>
      <c r="D156" s="11">
        <f t="shared" si="2"/>
        <v>0</v>
      </c>
    </row>
    <row r="157" spans="1:4" ht="18.75" hidden="1" x14ac:dyDescent="0.25">
      <c r="A157" s="8"/>
      <c r="B157" s="9"/>
      <c r="C157" s="10">
        <v>11000</v>
      </c>
      <c r="D157" s="11">
        <f t="shared" si="2"/>
        <v>0</v>
      </c>
    </row>
    <row r="158" spans="1:4" ht="18.75" hidden="1" x14ac:dyDescent="0.25">
      <c r="A158" s="8"/>
      <c r="B158" s="9"/>
      <c r="C158" s="10">
        <v>10000</v>
      </c>
      <c r="D158" s="11">
        <f t="shared" si="2"/>
        <v>0</v>
      </c>
    </row>
    <row r="159" spans="1:4" ht="18.75" hidden="1" x14ac:dyDescent="0.25">
      <c r="A159" s="8"/>
      <c r="B159" s="9"/>
      <c r="C159" s="10">
        <v>10000</v>
      </c>
      <c r="D159" s="11">
        <f t="shared" si="2"/>
        <v>0</v>
      </c>
    </row>
    <row r="160" spans="1:4" ht="18.75" hidden="1" x14ac:dyDescent="0.25">
      <c r="A160" s="8"/>
      <c r="B160" s="9"/>
      <c r="C160" s="10">
        <v>8602</v>
      </c>
      <c r="D160" s="11">
        <f t="shared" si="2"/>
        <v>0</v>
      </c>
    </row>
    <row r="161" spans="1:4" ht="18.75" hidden="1" x14ac:dyDescent="0.25">
      <c r="A161" s="14" t="s">
        <v>129</v>
      </c>
      <c r="B161" s="9"/>
      <c r="C161" s="10"/>
      <c r="D161" s="11">
        <f t="shared" si="2"/>
        <v>0</v>
      </c>
    </row>
    <row r="162" spans="1:4" ht="18.75" hidden="1" x14ac:dyDescent="0.25">
      <c r="A162" s="8" t="s">
        <v>130</v>
      </c>
      <c r="B162" s="9"/>
      <c r="C162" s="12">
        <v>15000</v>
      </c>
      <c r="D162" s="11">
        <f t="shared" si="2"/>
        <v>0</v>
      </c>
    </row>
    <row r="163" spans="1:4" ht="18.75" hidden="1" x14ac:dyDescent="0.25">
      <c r="A163" s="8" t="s">
        <v>131</v>
      </c>
      <c r="B163" s="9"/>
      <c r="C163" s="12"/>
      <c r="D163" s="11">
        <f t="shared" si="2"/>
        <v>0</v>
      </c>
    </row>
    <row r="164" spans="1:4" ht="18.75" hidden="1" x14ac:dyDescent="0.25">
      <c r="A164" s="8" t="s">
        <v>132</v>
      </c>
      <c r="B164" s="9"/>
      <c r="C164" s="10"/>
      <c r="D164" s="11">
        <f t="shared" si="2"/>
        <v>0</v>
      </c>
    </row>
    <row r="165" spans="1:4" ht="18.75" hidden="1" x14ac:dyDescent="0.25">
      <c r="A165" s="8" t="s">
        <v>133</v>
      </c>
      <c r="B165" s="9"/>
      <c r="C165" s="10">
        <v>7000</v>
      </c>
      <c r="D165" s="11">
        <f t="shared" si="2"/>
        <v>0</v>
      </c>
    </row>
    <row r="166" spans="1:4" ht="18.75" hidden="1" x14ac:dyDescent="0.25">
      <c r="A166" s="8" t="s">
        <v>134</v>
      </c>
      <c r="B166" s="9"/>
      <c r="C166" s="10"/>
      <c r="D166" s="11">
        <f t="shared" si="2"/>
        <v>0</v>
      </c>
    </row>
    <row r="167" spans="1:4" ht="18.75" hidden="1" x14ac:dyDescent="0.25">
      <c r="A167" s="8" t="s">
        <v>135</v>
      </c>
      <c r="B167" s="9"/>
      <c r="C167" s="19"/>
      <c r="D167" s="11">
        <f t="shared" si="2"/>
        <v>0</v>
      </c>
    </row>
    <row r="168" spans="1:4" ht="18.75" hidden="1" x14ac:dyDescent="0.25">
      <c r="A168" s="8" t="s">
        <v>136</v>
      </c>
      <c r="B168" s="9"/>
      <c r="C168" s="10">
        <v>15000</v>
      </c>
      <c r="D168" s="11">
        <f t="shared" si="2"/>
        <v>0</v>
      </c>
    </row>
    <row r="169" spans="1:4" ht="18.75" hidden="1" x14ac:dyDescent="0.25">
      <c r="A169" s="8" t="s">
        <v>137</v>
      </c>
      <c r="B169" s="9"/>
      <c r="C169" s="13"/>
      <c r="D169" s="11">
        <f t="shared" si="2"/>
        <v>0</v>
      </c>
    </row>
    <row r="170" spans="1:4" ht="18.75" hidden="1" x14ac:dyDescent="0.25">
      <c r="A170" s="8" t="s">
        <v>138</v>
      </c>
      <c r="B170" s="9"/>
      <c r="C170" s="13">
        <v>25000</v>
      </c>
      <c r="D170" s="11">
        <f t="shared" si="2"/>
        <v>0</v>
      </c>
    </row>
    <row r="171" spans="1:4" ht="18.75" hidden="1" x14ac:dyDescent="0.25">
      <c r="A171" s="23" t="s">
        <v>139</v>
      </c>
      <c r="B171" s="9"/>
      <c r="C171" s="10"/>
      <c r="D171" s="11">
        <f t="shared" si="2"/>
        <v>0</v>
      </c>
    </row>
    <row r="172" spans="1:4" ht="18.75" hidden="1" x14ac:dyDescent="0.25">
      <c r="A172" s="8" t="s">
        <v>140</v>
      </c>
      <c r="B172" s="9"/>
      <c r="C172" s="10"/>
      <c r="D172" s="11">
        <f t="shared" si="2"/>
        <v>0</v>
      </c>
    </row>
    <row r="173" spans="1:4" ht="18.75" hidden="1" x14ac:dyDescent="0.25">
      <c r="A173" s="14" t="s">
        <v>141</v>
      </c>
      <c r="B173" s="9"/>
      <c r="C173" s="10">
        <v>10000</v>
      </c>
      <c r="D173" s="11">
        <f t="shared" si="2"/>
        <v>0</v>
      </c>
    </row>
    <row r="174" spans="1:4" ht="18.75" hidden="1" x14ac:dyDescent="0.25">
      <c r="A174" s="8" t="s">
        <v>142</v>
      </c>
      <c r="B174" s="9"/>
      <c r="C174" s="10"/>
      <c r="D174" s="11">
        <f t="shared" si="2"/>
        <v>0</v>
      </c>
    </row>
    <row r="175" spans="1:4" ht="18.75" hidden="1" x14ac:dyDescent="0.25">
      <c r="A175" s="8" t="s">
        <v>143</v>
      </c>
      <c r="B175" s="9"/>
      <c r="C175" s="13">
        <v>7000</v>
      </c>
      <c r="D175" s="11">
        <f t="shared" si="2"/>
        <v>0</v>
      </c>
    </row>
    <row r="176" spans="1:4" ht="18.75" hidden="1" x14ac:dyDescent="0.25">
      <c r="A176" s="8"/>
      <c r="B176" s="9"/>
      <c r="C176" s="13">
        <v>7000</v>
      </c>
      <c r="D176" s="11">
        <f t="shared" si="2"/>
        <v>0</v>
      </c>
    </row>
    <row r="177" spans="1:4" ht="18.75" hidden="1" x14ac:dyDescent="0.25">
      <c r="A177" s="8"/>
      <c r="B177" s="9"/>
      <c r="C177" s="13">
        <v>7000</v>
      </c>
      <c r="D177" s="11">
        <f t="shared" si="2"/>
        <v>0</v>
      </c>
    </row>
    <row r="178" spans="1:4" ht="18.75" hidden="1" x14ac:dyDescent="0.25">
      <c r="A178" s="8" t="s">
        <v>144</v>
      </c>
      <c r="B178" s="9"/>
      <c r="C178" s="10">
        <v>13000</v>
      </c>
      <c r="D178" s="11">
        <f t="shared" si="2"/>
        <v>0</v>
      </c>
    </row>
    <row r="179" spans="1:4" ht="18.75" x14ac:dyDescent="0.25">
      <c r="A179" s="8" t="s">
        <v>145</v>
      </c>
      <c r="B179" s="9">
        <v>14</v>
      </c>
      <c r="C179" s="12">
        <v>13000</v>
      </c>
      <c r="D179" s="11">
        <f t="shared" si="2"/>
        <v>182000</v>
      </c>
    </row>
    <row r="180" spans="1:4" ht="18.75" hidden="1" x14ac:dyDescent="0.25">
      <c r="A180" s="8"/>
      <c r="B180" s="9"/>
      <c r="C180" s="12">
        <v>10000</v>
      </c>
      <c r="D180" s="11">
        <f t="shared" si="2"/>
        <v>0</v>
      </c>
    </row>
    <row r="181" spans="1:4" ht="18.75" hidden="1" x14ac:dyDescent="0.25">
      <c r="A181" s="8" t="s">
        <v>146</v>
      </c>
      <c r="B181" s="9"/>
      <c r="C181" s="12"/>
      <c r="D181" s="11">
        <f t="shared" si="2"/>
        <v>0</v>
      </c>
    </row>
    <row r="182" spans="1:4" ht="18.75" hidden="1" x14ac:dyDescent="0.25">
      <c r="A182" s="8" t="s">
        <v>147</v>
      </c>
      <c r="B182" s="9"/>
      <c r="C182" s="12"/>
      <c r="D182" s="11">
        <f t="shared" si="2"/>
        <v>0</v>
      </c>
    </row>
    <row r="183" spans="1:4" ht="18.75" hidden="1" x14ac:dyDescent="0.25">
      <c r="A183" s="24" t="s">
        <v>148</v>
      </c>
      <c r="B183" s="9"/>
      <c r="C183" s="12"/>
      <c r="D183" s="11">
        <f t="shared" si="2"/>
        <v>0</v>
      </c>
    </row>
    <row r="184" spans="1:4" ht="18.75" hidden="1" x14ac:dyDescent="0.25">
      <c r="A184" s="8" t="s">
        <v>149</v>
      </c>
      <c r="B184" s="9"/>
      <c r="C184" s="10"/>
      <c r="D184" s="11">
        <f t="shared" si="2"/>
        <v>0</v>
      </c>
    </row>
    <row r="185" spans="1:4" ht="18.75" hidden="1" x14ac:dyDescent="0.25">
      <c r="A185" s="8" t="s">
        <v>150</v>
      </c>
      <c r="B185" s="9"/>
      <c r="C185" s="25"/>
      <c r="D185" s="11">
        <f t="shared" si="2"/>
        <v>0</v>
      </c>
    </row>
    <row r="186" spans="1:4" ht="18.75" hidden="1" x14ac:dyDescent="0.25">
      <c r="A186" s="14" t="s">
        <v>151</v>
      </c>
      <c r="B186" s="9"/>
      <c r="C186" s="10"/>
      <c r="D186" s="11">
        <f t="shared" si="2"/>
        <v>0</v>
      </c>
    </row>
    <row r="187" spans="1:4" ht="18.75" hidden="1" x14ac:dyDescent="0.25">
      <c r="A187" s="14" t="s">
        <v>152</v>
      </c>
      <c r="B187" s="9"/>
      <c r="C187" s="10"/>
      <c r="D187" s="11">
        <f t="shared" si="2"/>
        <v>0</v>
      </c>
    </row>
    <row r="188" spans="1:4" ht="18.75" hidden="1" x14ac:dyDescent="0.25">
      <c r="A188" s="8" t="s">
        <v>153</v>
      </c>
      <c r="B188" s="9"/>
      <c r="C188" s="10"/>
      <c r="D188" s="11">
        <f t="shared" si="2"/>
        <v>0</v>
      </c>
    </row>
    <row r="189" spans="1:4" ht="18.75" hidden="1" x14ac:dyDescent="0.25">
      <c r="A189" s="8" t="s">
        <v>154</v>
      </c>
      <c r="B189" s="9"/>
      <c r="C189" s="10"/>
      <c r="D189" s="11">
        <f t="shared" si="2"/>
        <v>0</v>
      </c>
    </row>
    <row r="190" spans="1:4" ht="18.75" hidden="1" x14ac:dyDescent="0.25">
      <c r="A190" s="8" t="s">
        <v>155</v>
      </c>
      <c r="B190" s="9"/>
      <c r="C190" s="10">
        <v>26000</v>
      </c>
      <c r="D190" s="11">
        <f t="shared" si="2"/>
        <v>0</v>
      </c>
    </row>
    <row r="191" spans="1:4" ht="18.75" hidden="1" x14ac:dyDescent="0.25">
      <c r="A191" s="8" t="s">
        <v>156</v>
      </c>
      <c r="B191" s="9"/>
      <c r="C191" s="10"/>
      <c r="D191" s="11">
        <f t="shared" si="2"/>
        <v>0</v>
      </c>
    </row>
    <row r="192" spans="1:4" ht="18.75" hidden="1" x14ac:dyDescent="0.25">
      <c r="A192" s="8" t="s">
        <v>157</v>
      </c>
      <c r="B192" s="9"/>
      <c r="C192" s="10">
        <v>6000</v>
      </c>
      <c r="D192" s="11">
        <f t="shared" si="2"/>
        <v>0</v>
      </c>
    </row>
    <row r="193" spans="1:4" ht="18.75" hidden="1" x14ac:dyDescent="0.25">
      <c r="A193" s="8" t="s">
        <v>158</v>
      </c>
      <c r="B193" s="9"/>
      <c r="C193" s="10">
        <v>40000</v>
      </c>
      <c r="D193" s="11">
        <f t="shared" si="2"/>
        <v>0</v>
      </c>
    </row>
    <row r="194" spans="1:4" ht="18.75" hidden="1" x14ac:dyDescent="0.25">
      <c r="A194" s="8" t="s">
        <v>159</v>
      </c>
      <c r="B194" s="9"/>
      <c r="C194" s="10"/>
      <c r="D194" s="11">
        <f t="shared" si="2"/>
        <v>0</v>
      </c>
    </row>
    <row r="195" spans="1:4" ht="18.75" hidden="1" x14ac:dyDescent="0.25">
      <c r="A195" s="8" t="s">
        <v>160</v>
      </c>
      <c r="B195" s="9"/>
      <c r="C195" s="10">
        <v>40000</v>
      </c>
      <c r="D195" s="11">
        <f t="shared" si="2"/>
        <v>0</v>
      </c>
    </row>
    <row r="196" spans="1:4" ht="18.75" hidden="1" x14ac:dyDescent="0.25">
      <c r="A196" s="8" t="s">
        <v>161</v>
      </c>
      <c r="B196" s="9"/>
      <c r="C196" s="10">
        <v>30000</v>
      </c>
      <c r="D196" s="11">
        <f t="shared" si="2"/>
        <v>0</v>
      </c>
    </row>
    <row r="197" spans="1:4" ht="18.75" hidden="1" x14ac:dyDescent="0.25">
      <c r="A197" s="8" t="s">
        <v>162</v>
      </c>
      <c r="B197" s="9"/>
      <c r="C197" s="10"/>
      <c r="D197" s="11">
        <f t="shared" ref="D197:D260" si="3">B197*C197</f>
        <v>0</v>
      </c>
    </row>
    <row r="198" spans="1:4" ht="18.75" hidden="1" x14ac:dyDescent="0.25">
      <c r="A198" s="14" t="s">
        <v>163</v>
      </c>
      <c r="B198" s="9"/>
      <c r="C198" s="15"/>
      <c r="D198" s="11">
        <f t="shared" si="3"/>
        <v>0</v>
      </c>
    </row>
    <row r="199" spans="1:4" ht="18.75" hidden="1" x14ac:dyDescent="0.25">
      <c r="A199" s="14" t="s">
        <v>164</v>
      </c>
      <c r="B199" s="9"/>
      <c r="C199" s="15"/>
      <c r="D199" s="11">
        <f t="shared" si="3"/>
        <v>0</v>
      </c>
    </row>
    <row r="200" spans="1:4" ht="18.75" x14ac:dyDescent="0.25">
      <c r="A200" s="8" t="s">
        <v>165</v>
      </c>
      <c r="B200" s="9">
        <v>125</v>
      </c>
      <c r="C200" s="10">
        <v>26000</v>
      </c>
      <c r="D200" s="11">
        <f t="shared" si="3"/>
        <v>3250000</v>
      </c>
    </row>
    <row r="201" spans="1:4" ht="18.75" hidden="1" x14ac:dyDescent="0.25">
      <c r="A201" s="8"/>
      <c r="B201" s="9"/>
      <c r="C201" s="10">
        <v>21000</v>
      </c>
      <c r="D201" s="11">
        <f t="shared" si="3"/>
        <v>0</v>
      </c>
    </row>
    <row r="202" spans="1:4" ht="18.75" x14ac:dyDescent="0.25">
      <c r="A202" s="26" t="s">
        <v>166</v>
      </c>
      <c r="B202" s="9">
        <f>69*2</f>
        <v>138</v>
      </c>
      <c r="C202" s="10">
        <v>7500</v>
      </c>
      <c r="D202" s="11">
        <f t="shared" si="3"/>
        <v>1035000</v>
      </c>
    </row>
    <row r="203" spans="1:4" ht="18.75" hidden="1" x14ac:dyDescent="0.25">
      <c r="A203" s="8" t="s">
        <v>167</v>
      </c>
      <c r="B203" s="9"/>
      <c r="C203" s="10"/>
      <c r="D203" s="11">
        <f t="shared" si="3"/>
        <v>0</v>
      </c>
    </row>
    <row r="204" spans="1:4" ht="18.75" x14ac:dyDescent="0.25">
      <c r="A204" s="8" t="s">
        <v>168</v>
      </c>
      <c r="B204" s="9">
        <v>70</v>
      </c>
      <c r="C204" s="12">
        <v>15000</v>
      </c>
      <c r="D204" s="11">
        <f t="shared" si="3"/>
        <v>1050000</v>
      </c>
    </row>
    <row r="205" spans="1:4" ht="18.75" hidden="1" x14ac:dyDescent="0.25">
      <c r="A205" s="8" t="s">
        <v>169</v>
      </c>
      <c r="B205" s="9"/>
      <c r="C205" s="10"/>
      <c r="D205" s="11">
        <f t="shared" si="3"/>
        <v>0</v>
      </c>
    </row>
    <row r="206" spans="1:4" ht="18.75" hidden="1" x14ac:dyDescent="0.25">
      <c r="A206" s="8" t="s">
        <v>170</v>
      </c>
      <c r="B206" s="9"/>
      <c r="C206" s="10"/>
      <c r="D206" s="11">
        <f t="shared" si="3"/>
        <v>0</v>
      </c>
    </row>
    <row r="207" spans="1:4" ht="18.75" hidden="1" x14ac:dyDescent="0.25">
      <c r="A207" s="8" t="s">
        <v>171</v>
      </c>
      <c r="B207" s="9"/>
      <c r="C207" s="13">
        <v>6100</v>
      </c>
      <c r="D207" s="11">
        <f t="shared" si="3"/>
        <v>0</v>
      </c>
    </row>
    <row r="208" spans="1:4" ht="18.75" hidden="1" x14ac:dyDescent="0.25">
      <c r="A208" s="8" t="s">
        <v>172</v>
      </c>
      <c r="B208" s="9"/>
      <c r="C208" s="13"/>
      <c r="D208" s="11">
        <f t="shared" si="3"/>
        <v>0</v>
      </c>
    </row>
    <row r="209" spans="1:4" ht="18.75" hidden="1" x14ac:dyDescent="0.25">
      <c r="A209" s="8" t="s">
        <v>173</v>
      </c>
      <c r="B209" s="9"/>
      <c r="C209" s="13">
        <v>25000</v>
      </c>
      <c r="D209" s="11">
        <f t="shared" si="3"/>
        <v>0</v>
      </c>
    </row>
    <row r="210" spans="1:4" ht="18.75" hidden="1" x14ac:dyDescent="0.25">
      <c r="A210" s="8" t="s">
        <v>174</v>
      </c>
      <c r="B210" s="9"/>
      <c r="C210" s="13">
        <v>6100</v>
      </c>
      <c r="D210" s="11">
        <f t="shared" si="3"/>
        <v>0</v>
      </c>
    </row>
    <row r="211" spans="1:4" ht="18.75" hidden="1" x14ac:dyDescent="0.25">
      <c r="A211" s="8" t="s">
        <v>175</v>
      </c>
      <c r="B211" s="9"/>
      <c r="C211" s="13"/>
      <c r="D211" s="11">
        <f t="shared" si="3"/>
        <v>0</v>
      </c>
    </row>
    <row r="212" spans="1:4" ht="18.75" hidden="1" x14ac:dyDescent="0.25">
      <c r="A212" s="8" t="s">
        <v>176</v>
      </c>
      <c r="B212" s="9"/>
      <c r="C212" s="13"/>
      <c r="D212" s="11">
        <f t="shared" si="3"/>
        <v>0</v>
      </c>
    </row>
    <row r="213" spans="1:4" ht="18.75" hidden="1" x14ac:dyDescent="0.25">
      <c r="A213" s="8" t="s">
        <v>177</v>
      </c>
      <c r="B213" s="9"/>
      <c r="C213" s="12"/>
      <c r="D213" s="11">
        <f t="shared" si="3"/>
        <v>0</v>
      </c>
    </row>
    <row r="214" spans="1:4" ht="18.75" hidden="1" x14ac:dyDescent="0.25">
      <c r="A214" s="27" t="s">
        <v>178</v>
      </c>
      <c r="B214" s="9"/>
      <c r="C214" s="12">
        <v>27000</v>
      </c>
      <c r="D214" s="11">
        <f t="shared" si="3"/>
        <v>0</v>
      </c>
    </row>
    <row r="215" spans="1:4" ht="18.75" hidden="1" x14ac:dyDescent="0.25">
      <c r="A215" s="27" t="s">
        <v>179</v>
      </c>
      <c r="B215" s="9"/>
      <c r="C215" s="13">
        <v>6100</v>
      </c>
      <c r="D215" s="11">
        <f t="shared" si="3"/>
        <v>0</v>
      </c>
    </row>
    <row r="216" spans="1:4" ht="18.75" hidden="1" x14ac:dyDescent="0.25">
      <c r="A216" s="27" t="s">
        <v>180</v>
      </c>
      <c r="B216" s="9"/>
      <c r="C216" s="13"/>
      <c r="D216" s="11">
        <f t="shared" si="3"/>
        <v>0</v>
      </c>
    </row>
    <row r="217" spans="1:4" ht="18.75" hidden="1" x14ac:dyDescent="0.25">
      <c r="A217" s="27" t="s">
        <v>181</v>
      </c>
      <c r="B217" s="9"/>
      <c r="C217" s="12"/>
      <c r="D217" s="11">
        <f t="shared" si="3"/>
        <v>0</v>
      </c>
    </row>
    <row r="218" spans="1:4" ht="18.75" hidden="1" x14ac:dyDescent="0.25">
      <c r="A218" s="27" t="s">
        <v>182</v>
      </c>
      <c r="B218" s="9"/>
      <c r="C218" s="12"/>
      <c r="D218" s="11">
        <f t="shared" si="3"/>
        <v>0</v>
      </c>
    </row>
    <row r="219" spans="1:4" ht="18.75" hidden="1" x14ac:dyDescent="0.25">
      <c r="A219" s="8" t="s">
        <v>183</v>
      </c>
      <c r="B219" s="9"/>
      <c r="C219" s="13">
        <v>5500</v>
      </c>
      <c r="D219" s="11">
        <f t="shared" si="3"/>
        <v>0</v>
      </c>
    </row>
    <row r="220" spans="1:4" ht="18.75" hidden="1" x14ac:dyDescent="0.25">
      <c r="A220" s="8" t="s">
        <v>184</v>
      </c>
      <c r="B220" s="9"/>
      <c r="C220" s="13">
        <v>6100</v>
      </c>
      <c r="D220" s="11">
        <f t="shared" si="3"/>
        <v>0</v>
      </c>
    </row>
    <row r="221" spans="1:4" ht="18.75" hidden="1" x14ac:dyDescent="0.25">
      <c r="A221" s="8" t="s">
        <v>185</v>
      </c>
      <c r="B221" s="9"/>
      <c r="C221" s="13">
        <v>25000</v>
      </c>
      <c r="D221" s="11">
        <f t="shared" si="3"/>
        <v>0</v>
      </c>
    </row>
    <row r="222" spans="1:4" ht="18.75" hidden="1" x14ac:dyDescent="0.25">
      <c r="A222" s="8" t="s">
        <v>186</v>
      </c>
      <c r="B222" s="9"/>
      <c r="C222" s="13">
        <v>25000</v>
      </c>
      <c r="D222" s="11">
        <f t="shared" si="3"/>
        <v>0</v>
      </c>
    </row>
    <row r="223" spans="1:4" ht="18.75" hidden="1" x14ac:dyDescent="0.25">
      <c r="A223" s="8" t="s">
        <v>187</v>
      </c>
      <c r="B223" s="9"/>
      <c r="C223" s="13"/>
      <c r="D223" s="11">
        <f t="shared" si="3"/>
        <v>0</v>
      </c>
    </row>
    <row r="224" spans="1:4" ht="18.75" x14ac:dyDescent="0.25">
      <c r="A224" s="8" t="s">
        <v>188</v>
      </c>
      <c r="B224" s="9">
        <f>55+51</f>
        <v>106</v>
      </c>
      <c r="C224" s="10">
        <v>9000</v>
      </c>
      <c r="D224" s="11">
        <f t="shared" si="3"/>
        <v>954000</v>
      </c>
    </row>
    <row r="225" spans="1:4" ht="18.75" hidden="1" x14ac:dyDescent="0.25">
      <c r="A225" s="8" t="s">
        <v>189</v>
      </c>
      <c r="B225" s="9"/>
      <c r="C225" s="13"/>
      <c r="D225" s="11">
        <f t="shared" si="3"/>
        <v>0</v>
      </c>
    </row>
    <row r="226" spans="1:4" ht="18.75" hidden="1" x14ac:dyDescent="0.25">
      <c r="A226" s="8" t="s">
        <v>190</v>
      </c>
      <c r="B226" s="9"/>
      <c r="C226" s="12"/>
      <c r="D226" s="11">
        <f t="shared" si="3"/>
        <v>0</v>
      </c>
    </row>
    <row r="227" spans="1:4" ht="18.75" hidden="1" x14ac:dyDescent="0.25">
      <c r="A227" s="8" t="s">
        <v>191</v>
      </c>
      <c r="B227" s="9"/>
      <c r="C227" s="10"/>
      <c r="D227" s="11">
        <f t="shared" si="3"/>
        <v>0</v>
      </c>
    </row>
    <row r="228" spans="1:4" ht="18.75" hidden="1" x14ac:dyDescent="0.25">
      <c r="A228" s="8" t="s">
        <v>192</v>
      </c>
      <c r="B228" s="9"/>
      <c r="C228" s="13"/>
      <c r="D228" s="11">
        <f t="shared" si="3"/>
        <v>0</v>
      </c>
    </row>
    <row r="229" spans="1:4" ht="18.75" hidden="1" x14ac:dyDescent="0.25">
      <c r="A229" s="8"/>
      <c r="B229" s="9"/>
      <c r="C229" s="13">
        <v>34000</v>
      </c>
      <c r="D229" s="11">
        <f t="shared" si="3"/>
        <v>0</v>
      </c>
    </row>
    <row r="230" spans="1:4" ht="18.75" hidden="1" x14ac:dyDescent="0.25">
      <c r="A230" s="8"/>
      <c r="B230" s="9"/>
      <c r="C230" s="13">
        <v>34000</v>
      </c>
      <c r="D230" s="11">
        <f t="shared" si="3"/>
        <v>0</v>
      </c>
    </row>
    <row r="231" spans="1:4" ht="18.75" hidden="1" x14ac:dyDescent="0.25">
      <c r="A231" s="8"/>
      <c r="B231" s="9"/>
      <c r="C231" s="13">
        <v>34000</v>
      </c>
      <c r="D231" s="11">
        <f t="shared" si="3"/>
        <v>0</v>
      </c>
    </row>
    <row r="232" spans="1:4" ht="18.75" hidden="1" x14ac:dyDescent="0.25">
      <c r="A232" s="8" t="s">
        <v>193</v>
      </c>
      <c r="B232" s="9"/>
      <c r="C232" s="10">
        <v>18000</v>
      </c>
      <c r="D232" s="11">
        <f t="shared" si="3"/>
        <v>0</v>
      </c>
    </row>
    <row r="233" spans="1:4" ht="18.75" hidden="1" x14ac:dyDescent="0.25">
      <c r="A233" s="8" t="s">
        <v>194</v>
      </c>
      <c r="B233" s="9"/>
      <c r="C233" s="10"/>
      <c r="D233" s="11">
        <f t="shared" si="3"/>
        <v>0</v>
      </c>
    </row>
    <row r="234" spans="1:4" ht="18.75" hidden="1" x14ac:dyDescent="0.25">
      <c r="A234" s="8"/>
      <c r="B234" s="9"/>
      <c r="C234" s="10">
        <v>26000</v>
      </c>
      <c r="D234" s="11">
        <f t="shared" si="3"/>
        <v>0</v>
      </c>
    </row>
    <row r="235" spans="1:4" ht="18.75" hidden="1" x14ac:dyDescent="0.25">
      <c r="A235" s="8"/>
      <c r="B235" s="9"/>
      <c r="C235" s="10">
        <v>26000</v>
      </c>
      <c r="D235" s="11">
        <f t="shared" si="3"/>
        <v>0</v>
      </c>
    </row>
    <row r="236" spans="1:4" ht="18.75" hidden="1" x14ac:dyDescent="0.25">
      <c r="A236" s="8"/>
      <c r="B236" s="9"/>
      <c r="C236" s="10">
        <v>27000</v>
      </c>
      <c r="D236" s="11">
        <f t="shared" si="3"/>
        <v>0</v>
      </c>
    </row>
    <row r="237" spans="1:4" ht="18.75" hidden="1" x14ac:dyDescent="0.25">
      <c r="A237" s="8"/>
      <c r="B237" s="9"/>
      <c r="C237" s="10">
        <v>26000</v>
      </c>
      <c r="D237" s="11">
        <f t="shared" si="3"/>
        <v>0</v>
      </c>
    </row>
    <row r="238" spans="1:4" ht="18.75" hidden="1" x14ac:dyDescent="0.25">
      <c r="A238" s="8" t="s">
        <v>195</v>
      </c>
      <c r="B238" s="9"/>
      <c r="C238" s="10"/>
      <c r="D238" s="11">
        <f t="shared" si="3"/>
        <v>0</v>
      </c>
    </row>
    <row r="239" spans="1:4" ht="18.75" x14ac:dyDescent="0.25">
      <c r="A239" s="14" t="s">
        <v>196</v>
      </c>
      <c r="B239" s="9">
        <v>10</v>
      </c>
      <c r="C239" s="12">
        <v>3000</v>
      </c>
      <c r="D239" s="11">
        <f t="shared" si="3"/>
        <v>30000</v>
      </c>
    </row>
    <row r="240" spans="1:4" ht="18.75" hidden="1" x14ac:dyDescent="0.25">
      <c r="A240" s="14" t="s">
        <v>197</v>
      </c>
      <c r="B240" s="9"/>
      <c r="C240" s="10">
        <v>12000</v>
      </c>
      <c r="D240" s="11">
        <f t="shared" si="3"/>
        <v>0</v>
      </c>
    </row>
    <row r="241" spans="1:4" ht="18.75" hidden="1" x14ac:dyDescent="0.25">
      <c r="A241" s="8" t="s">
        <v>198</v>
      </c>
      <c r="B241" s="9"/>
      <c r="C241" s="10">
        <v>7000</v>
      </c>
      <c r="D241" s="11">
        <f t="shared" si="3"/>
        <v>0</v>
      </c>
    </row>
    <row r="242" spans="1:4" ht="18.75" hidden="1" x14ac:dyDescent="0.25">
      <c r="A242" s="8" t="s">
        <v>199</v>
      </c>
      <c r="B242" s="9"/>
      <c r="C242" s="12">
        <v>18000</v>
      </c>
      <c r="D242" s="11">
        <f t="shared" si="3"/>
        <v>0</v>
      </c>
    </row>
    <row r="243" spans="1:4" ht="18.75" hidden="1" x14ac:dyDescent="0.25">
      <c r="A243" s="8" t="s">
        <v>200</v>
      </c>
      <c r="B243" s="9"/>
      <c r="C243" s="12"/>
      <c r="D243" s="11">
        <f t="shared" si="3"/>
        <v>0</v>
      </c>
    </row>
    <row r="244" spans="1:4" ht="18.75" hidden="1" x14ac:dyDescent="0.25">
      <c r="A244" s="8" t="s">
        <v>201</v>
      </c>
      <c r="B244" s="9"/>
      <c r="C244" s="19"/>
      <c r="D244" s="11">
        <f t="shared" si="3"/>
        <v>0</v>
      </c>
    </row>
    <row r="245" spans="1:4" ht="18.75" x14ac:dyDescent="0.25">
      <c r="A245" s="8" t="s">
        <v>202</v>
      </c>
      <c r="B245" s="9">
        <v>3</v>
      </c>
      <c r="C245" s="12">
        <v>7500</v>
      </c>
      <c r="D245" s="11">
        <f t="shared" si="3"/>
        <v>22500</v>
      </c>
    </row>
    <row r="246" spans="1:4" ht="18.75" hidden="1" x14ac:dyDescent="0.25">
      <c r="A246" s="8" t="s">
        <v>203</v>
      </c>
      <c r="B246" s="9"/>
      <c r="C246" s="12">
        <v>7500</v>
      </c>
      <c r="D246" s="11">
        <f t="shared" si="3"/>
        <v>0</v>
      </c>
    </row>
    <row r="247" spans="1:4" ht="18.75" x14ac:dyDescent="0.25">
      <c r="A247" s="8" t="s">
        <v>204</v>
      </c>
      <c r="B247" s="9">
        <v>1635</v>
      </c>
      <c r="C247" s="13">
        <v>6500</v>
      </c>
      <c r="D247" s="11">
        <f t="shared" si="3"/>
        <v>10627500</v>
      </c>
    </row>
    <row r="248" spans="1:4" ht="18.75" x14ac:dyDescent="0.25">
      <c r="A248" s="8" t="s">
        <v>205</v>
      </c>
      <c r="B248" s="9">
        <v>176</v>
      </c>
      <c r="C248" s="10">
        <v>13000</v>
      </c>
      <c r="D248" s="11">
        <f t="shared" si="3"/>
        <v>2288000</v>
      </c>
    </row>
    <row r="249" spans="1:4" ht="18.75" hidden="1" x14ac:dyDescent="0.25">
      <c r="A249" s="8"/>
      <c r="B249" s="9"/>
      <c r="C249" s="10">
        <v>11000</v>
      </c>
      <c r="D249" s="11">
        <f t="shared" si="3"/>
        <v>0</v>
      </c>
    </row>
    <row r="250" spans="1:4" ht="18.75" hidden="1" x14ac:dyDescent="0.25">
      <c r="A250" s="8"/>
      <c r="B250" s="9"/>
      <c r="C250" s="10">
        <v>13000</v>
      </c>
      <c r="D250" s="11">
        <f t="shared" si="3"/>
        <v>0</v>
      </c>
    </row>
    <row r="251" spans="1:4" ht="18.75" hidden="1" x14ac:dyDescent="0.25">
      <c r="A251" s="8" t="s">
        <v>242</v>
      </c>
      <c r="B251" s="9"/>
      <c r="C251" s="10">
        <v>18000</v>
      </c>
      <c r="D251" s="11">
        <f t="shared" si="3"/>
        <v>0</v>
      </c>
    </row>
    <row r="252" spans="1:4" ht="18.75" hidden="1" x14ac:dyDescent="0.25">
      <c r="A252" s="8" t="s">
        <v>243</v>
      </c>
      <c r="B252" s="9"/>
      <c r="C252" s="10">
        <v>18000</v>
      </c>
      <c r="D252" s="11">
        <f t="shared" si="3"/>
        <v>0</v>
      </c>
    </row>
    <row r="253" spans="1:4" ht="18.75" hidden="1" x14ac:dyDescent="0.25">
      <c r="A253" s="8" t="s">
        <v>206</v>
      </c>
      <c r="B253" s="9"/>
      <c r="C253" s="13"/>
      <c r="D253" s="11">
        <f t="shared" si="3"/>
        <v>0</v>
      </c>
    </row>
    <row r="254" spans="1:4" ht="18.75" hidden="1" x14ac:dyDescent="0.25">
      <c r="A254" s="8" t="s">
        <v>207</v>
      </c>
      <c r="B254" s="9"/>
      <c r="C254" s="13"/>
      <c r="D254" s="11">
        <f t="shared" si="3"/>
        <v>0</v>
      </c>
    </row>
    <row r="255" spans="1:4" ht="18.75" hidden="1" x14ac:dyDescent="0.25">
      <c r="A255" s="8" t="s">
        <v>208</v>
      </c>
      <c r="B255" s="9"/>
      <c r="C255" s="13"/>
      <c r="D255" s="11">
        <f t="shared" si="3"/>
        <v>0</v>
      </c>
    </row>
    <row r="256" spans="1:4" ht="18.75" hidden="1" x14ac:dyDescent="0.25">
      <c r="A256" s="14" t="s">
        <v>209</v>
      </c>
      <c r="B256" s="9"/>
      <c r="C256" s="10"/>
      <c r="D256" s="11">
        <f t="shared" si="3"/>
        <v>0</v>
      </c>
    </row>
    <row r="257" spans="1:4" ht="18.75" hidden="1" x14ac:dyDescent="0.25">
      <c r="A257" s="8" t="s">
        <v>210</v>
      </c>
      <c r="B257" s="9"/>
      <c r="C257" s="12"/>
      <c r="D257" s="11">
        <f t="shared" si="3"/>
        <v>0</v>
      </c>
    </row>
    <row r="258" spans="1:4" ht="18.75" hidden="1" x14ac:dyDescent="0.25">
      <c r="A258" s="8" t="s">
        <v>211</v>
      </c>
      <c r="B258" s="9"/>
      <c r="C258" s="13"/>
      <c r="D258" s="11">
        <f t="shared" si="3"/>
        <v>0</v>
      </c>
    </row>
    <row r="259" spans="1:4" ht="18.75" hidden="1" x14ac:dyDescent="0.25">
      <c r="A259" s="8" t="s">
        <v>212</v>
      </c>
      <c r="B259" s="9"/>
      <c r="C259" s="13"/>
      <c r="D259" s="11">
        <f t="shared" si="3"/>
        <v>0</v>
      </c>
    </row>
    <row r="260" spans="1:4" ht="18.75" hidden="1" x14ac:dyDescent="0.25">
      <c r="A260" s="8" t="s">
        <v>213</v>
      </c>
      <c r="B260" s="9"/>
      <c r="C260" s="13"/>
      <c r="D260" s="11">
        <f t="shared" si="3"/>
        <v>0</v>
      </c>
    </row>
    <row r="261" spans="1:4" ht="18.75" hidden="1" x14ac:dyDescent="0.25">
      <c r="A261" s="8" t="s">
        <v>214</v>
      </c>
      <c r="B261" s="9"/>
      <c r="C261" s="13"/>
      <c r="D261" s="11">
        <f t="shared" ref="D261" si="4">B261*C261</f>
        <v>0</v>
      </c>
    </row>
    <row r="262" spans="1:4" ht="18.75" x14ac:dyDescent="0.25">
      <c r="A262" s="28"/>
      <c r="B262" s="29">
        <f t="shared" ref="B262:D262" si="5">SUM(B4:B261)</f>
        <v>3715</v>
      </c>
      <c r="C262" s="29">
        <f t="shared" si="5"/>
        <v>2739622</v>
      </c>
      <c r="D262" s="29">
        <f t="shared" si="5"/>
        <v>45783000</v>
      </c>
    </row>
  </sheetData>
  <protectedRanges>
    <protectedRange password="CC4C" sqref="C1:C261" name="tho5"/>
    <protectedRange password="CF71" sqref="B1:B261" name="tho"/>
  </protectedRanges>
  <autoFilter ref="A2:D262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3" workbookViewId="0">
      <selection activeCell="G164" sqref="G164"/>
    </sheetView>
  </sheetViews>
  <sheetFormatPr defaultRowHeight="15" x14ac:dyDescent="0.25"/>
  <cols>
    <col min="1" max="1" width="25.7109375" customWidth="1"/>
    <col min="3" max="3" width="15.85546875" customWidth="1"/>
    <col min="4" max="4" width="16.140625" customWidth="1"/>
  </cols>
  <sheetData>
    <row r="1" spans="1:4" x14ac:dyDescent="0.25">
      <c r="A1" s="1" t="s">
        <v>248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idden="1" x14ac:dyDescent="0.25">
      <c r="A3" s="51"/>
      <c r="B3" s="4"/>
      <c r="C3" s="6"/>
      <c r="D3" s="7"/>
    </row>
    <row r="4" spans="1:4" ht="18.75" x14ac:dyDescent="0.25">
      <c r="A4" s="8" t="s">
        <v>5</v>
      </c>
      <c r="B4" s="9">
        <v>5</v>
      </c>
      <c r="C4" s="10">
        <v>20000</v>
      </c>
      <c r="D4" s="11">
        <f>B4*C4</f>
        <v>100000</v>
      </c>
    </row>
    <row r="5" spans="1:4" ht="18.75" x14ac:dyDescent="0.25">
      <c r="A5" s="8" t="s">
        <v>6</v>
      </c>
      <c r="B5" s="9">
        <f>85+17+150</f>
        <v>252</v>
      </c>
      <c r="C5" s="10">
        <v>14000</v>
      </c>
      <c r="D5" s="11">
        <f t="shared" ref="D5:D68" si="0">B5*C5</f>
        <v>3528000</v>
      </c>
    </row>
    <row r="6" spans="1:4" ht="18.75" hidden="1" x14ac:dyDescent="0.25">
      <c r="A6" s="8" t="s">
        <v>7</v>
      </c>
      <c r="B6" s="9"/>
      <c r="C6" s="10"/>
      <c r="D6" s="11">
        <f t="shared" si="0"/>
        <v>0</v>
      </c>
    </row>
    <row r="7" spans="1:4" ht="18.75" x14ac:dyDescent="0.25">
      <c r="A7" s="8" t="s">
        <v>11</v>
      </c>
      <c r="B7" s="9">
        <f>7+8+20+3</f>
        <v>38</v>
      </c>
      <c r="C7" s="10">
        <v>35000</v>
      </c>
      <c r="D7" s="11">
        <f t="shared" si="0"/>
        <v>1330000</v>
      </c>
    </row>
    <row r="8" spans="1:4" ht="18.75" hidden="1" x14ac:dyDescent="0.25">
      <c r="A8" s="8" t="s">
        <v>12</v>
      </c>
      <c r="B8" s="9"/>
      <c r="C8" s="10"/>
      <c r="D8" s="11">
        <f t="shared" si="0"/>
        <v>0</v>
      </c>
    </row>
    <row r="9" spans="1:4" ht="18.75" hidden="1" x14ac:dyDescent="0.25">
      <c r="A9" s="8" t="s">
        <v>13</v>
      </c>
      <c r="B9" s="9"/>
      <c r="C9" s="10"/>
      <c r="D9" s="11">
        <f t="shared" si="0"/>
        <v>0</v>
      </c>
    </row>
    <row r="10" spans="1:4" ht="18.75" x14ac:dyDescent="0.25">
      <c r="A10" s="8" t="s">
        <v>14</v>
      </c>
      <c r="B10" s="9">
        <f>5+6+5+20</f>
        <v>36</v>
      </c>
      <c r="C10" s="12">
        <v>46000</v>
      </c>
      <c r="D10" s="11">
        <f t="shared" si="0"/>
        <v>1656000</v>
      </c>
    </row>
    <row r="11" spans="1:4" ht="18.75" hidden="1" x14ac:dyDescent="0.25">
      <c r="A11" s="8" t="s">
        <v>15</v>
      </c>
      <c r="B11" s="9"/>
      <c r="C11" s="12"/>
      <c r="D11" s="11">
        <f t="shared" si="0"/>
        <v>0</v>
      </c>
    </row>
    <row r="12" spans="1:4" ht="18.75" hidden="1" x14ac:dyDescent="0.25">
      <c r="A12" s="8" t="s">
        <v>16</v>
      </c>
      <c r="B12" s="9"/>
      <c r="C12" s="12"/>
      <c r="D12" s="11">
        <f t="shared" si="0"/>
        <v>0</v>
      </c>
    </row>
    <row r="13" spans="1:4" ht="18.75" x14ac:dyDescent="0.25">
      <c r="A13" s="8" t="s">
        <v>17</v>
      </c>
      <c r="B13" s="9">
        <f>22+18+10+53+16</f>
        <v>119</v>
      </c>
      <c r="C13" s="10">
        <v>18000</v>
      </c>
      <c r="D13" s="11">
        <f t="shared" si="0"/>
        <v>2142000</v>
      </c>
    </row>
    <row r="14" spans="1:4" ht="18.75" hidden="1" x14ac:dyDescent="0.25">
      <c r="A14" s="8" t="s">
        <v>18</v>
      </c>
      <c r="B14" s="9"/>
      <c r="C14" s="10"/>
      <c r="D14" s="11">
        <f t="shared" si="0"/>
        <v>0</v>
      </c>
    </row>
    <row r="15" spans="1:4" ht="18.75" hidden="1" x14ac:dyDescent="0.25">
      <c r="A15" s="8" t="s">
        <v>19</v>
      </c>
      <c r="B15" s="9"/>
      <c r="C15" s="10"/>
      <c r="D15" s="11">
        <f t="shared" si="0"/>
        <v>0</v>
      </c>
    </row>
    <row r="16" spans="1:4" ht="18.75" hidden="1" x14ac:dyDescent="0.25">
      <c r="A16" s="8" t="s">
        <v>20</v>
      </c>
      <c r="B16" s="9"/>
      <c r="C16" s="13"/>
      <c r="D16" s="11">
        <f t="shared" si="0"/>
        <v>0</v>
      </c>
    </row>
    <row r="17" spans="1:4" ht="18.75" hidden="1" x14ac:dyDescent="0.25">
      <c r="A17" s="8" t="s">
        <v>21</v>
      </c>
      <c r="B17" s="9"/>
      <c r="C17" s="10"/>
      <c r="D17" s="11">
        <f t="shared" si="0"/>
        <v>0</v>
      </c>
    </row>
    <row r="18" spans="1:4" ht="18.75" hidden="1" x14ac:dyDescent="0.25">
      <c r="A18" s="8" t="s">
        <v>24</v>
      </c>
      <c r="B18" s="9"/>
      <c r="C18" s="10"/>
      <c r="D18" s="11">
        <f t="shared" si="0"/>
        <v>0</v>
      </c>
    </row>
    <row r="19" spans="1:4" ht="18.75" hidden="1" x14ac:dyDescent="0.25">
      <c r="A19" s="14" t="s">
        <v>25</v>
      </c>
      <c r="B19" s="9"/>
      <c r="C19" s="13"/>
      <c r="D19" s="11">
        <f t="shared" si="0"/>
        <v>0</v>
      </c>
    </row>
    <row r="20" spans="1:4" ht="18.75" hidden="1" x14ac:dyDescent="0.25">
      <c r="A20" s="8" t="s">
        <v>26</v>
      </c>
      <c r="B20" s="9"/>
      <c r="C20" s="10"/>
      <c r="D20" s="11">
        <f t="shared" si="0"/>
        <v>0</v>
      </c>
    </row>
    <row r="21" spans="1:4" ht="18.75" hidden="1" x14ac:dyDescent="0.25">
      <c r="A21" s="8" t="s">
        <v>27</v>
      </c>
      <c r="B21" s="9"/>
      <c r="C21" s="10"/>
      <c r="D21" s="11">
        <f t="shared" si="0"/>
        <v>0</v>
      </c>
    </row>
    <row r="22" spans="1:4" ht="18.75" hidden="1" x14ac:dyDescent="0.25">
      <c r="A22" s="8" t="s">
        <v>28</v>
      </c>
      <c r="B22" s="9"/>
      <c r="C22" s="10"/>
      <c r="D22" s="11">
        <f t="shared" si="0"/>
        <v>0</v>
      </c>
    </row>
    <row r="23" spans="1:4" ht="18.75" hidden="1" x14ac:dyDescent="0.25">
      <c r="A23" s="14" t="s">
        <v>29</v>
      </c>
      <c r="B23" s="9"/>
      <c r="C23" s="15"/>
      <c r="D23" s="11">
        <f t="shared" si="0"/>
        <v>0</v>
      </c>
    </row>
    <row r="24" spans="1:4" ht="18.75" hidden="1" x14ac:dyDescent="0.25">
      <c r="A24" s="8" t="s">
        <v>30</v>
      </c>
      <c r="B24" s="9"/>
      <c r="C24" s="10"/>
      <c r="D24" s="11">
        <f t="shared" si="0"/>
        <v>0</v>
      </c>
    </row>
    <row r="25" spans="1:4" ht="18.75" hidden="1" x14ac:dyDescent="0.25">
      <c r="A25" s="8" t="s">
        <v>31</v>
      </c>
      <c r="B25" s="9"/>
      <c r="C25" s="10"/>
      <c r="D25" s="11">
        <f t="shared" si="0"/>
        <v>0</v>
      </c>
    </row>
    <row r="26" spans="1:4" ht="18.75" hidden="1" x14ac:dyDescent="0.25">
      <c r="A26" s="14" t="s">
        <v>32</v>
      </c>
      <c r="B26" s="9"/>
      <c r="C26" s="10"/>
      <c r="D26" s="11">
        <f t="shared" si="0"/>
        <v>0</v>
      </c>
    </row>
    <row r="27" spans="1:4" ht="18.75" hidden="1" x14ac:dyDescent="0.25">
      <c r="A27" s="8" t="s">
        <v>33</v>
      </c>
      <c r="B27" s="9"/>
      <c r="C27" s="13"/>
      <c r="D27" s="11">
        <f t="shared" si="0"/>
        <v>0</v>
      </c>
    </row>
    <row r="28" spans="1:4" ht="18.75" hidden="1" x14ac:dyDescent="0.25">
      <c r="A28" s="8" t="s">
        <v>34</v>
      </c>
      <c r="B28" s="9"/>
      <c r="C28" s="10"/>
      <c r="D28" s="11">
        <f t="shared" si="0"/>
        <v>0</v>
      </c>
    </row>
    <row r="29" spans="1:4" ht="18.75" hidden="1" x14ac:dyDescent="0.25">
      <c r="A29" s="8" t="s">
        <v>35</v>
      </c>
      <c r="B29" s="9"/>
      <c r="C29" s="15">
        <v>110000</v>
      </c>
      <c r="D29" s="11">
        <f t="shared" si="0"/>
        <v>0</v>
      </c>
    </row>
    <row r="30" spans="1:4" ht="18.75" hidden="1" x14ac:dyDescent="0.25">
      <c r="A30" s="8" t="s">
        <v>36</v>
      </c>
      <c r="B30" s="9"/>
      <c r="C30" s="10"/>
      <c r="D30" s="11">
        <f t="shared" si="0"/>
        <v>0</v>
      </c>
    </row>
    <row r="31" spans="1:4" ht="18.75" hidden="1" x14ac:dyDescent="0.25">
      <c r="A31" s="14" t="s">
        <v>37</v>
      </c>
      <c r="B31" s="9"/>
      <c r="C31" s="12">
        <v>20000</v>
      </c>
      <c r="D31" s="11">
        <f t="shared" si="0"/>
        <v>0</v>
      </c>
    </row>
    <row r="32" spans="1:4" ht="18.75" hidden="1" x14ac:dyDescent="0.25">
      <c r="A32" s="14" t="s">
        <v>38</v>
      </c>
      <c r="B32" s="9"/>
      <c r="C32" s="10"/>
      <c r="D32" s="11">
        <f t="shared" si="0"/>
        <v>0</v>
      </c>
    </row>
    <row r="33" spans="1:4" ht="18.75" hidden="1" x14ac:dyDescent="0.25">
      <c r="A33" s="8" t="s">
        <v>39</v>
      </c>
      <c r="B33" s="9"/>
      <c r="C33" s="10"/>
      <c r="D33" s="11">
        <f t="shared" si="0"/>
        <v>0</v>
      </c>
    </row>
    <row r="34" spans="1:4" ht="18.75" hidden="1" x14ac:dyDescent="0.25">
      <c r="A34" s="14" t="s">
        <v>40</v>
      </c>
      <c r="B34" s="9"/>
      <c r="C34" s="10"/>
      <c r="D34" s="11">
        <f t="shared" si="0"/>
        <v>0</v>
      </c>
    </row>
    <row r="35" spans="1:4" ht="18.75" hidden="1" x14ac:dyDescent="0.25">
      <c r="A35" s="8" t="s">
        <v>41</v>
      </c>
      <c r="B35" s="9"/>
      <c r="C35" s="10"/>
      <c r="D35" s="11">
        <f t="shared" si="0"/>
        <v>0</v>
      </c>
    </row>
    <row r="36" spans="1:4" ht="18.75" hidden="1" x14ac:dyDescent="0.25">
      <c r="A36" s="8" t="s">
        <v>42</v>
      </c>
      <c r="B36" s="9"/>
      <c r="C36" s="13"/>
      <c r="D36" s="11">
        <f t="shared" si="0"/>
        <v>0</v>
      </c>
    </row>
    <row r="37" spans="1:4" ht="18.75" hidden="1" x14ac:dyDescent="0.25">
      <c r="A37" s="16" t="s">
        <v>43</v>
      </c>
      <c r="B37" s="9"/>
      <c r="C37" s="10"/>
      <c r="D37" s="11">
        <f t="shared" si="0"/>
        <v>0</v>
      </c>
    </row>
    <row r="38" spans="1:4" ht="18.75" hidden="1" x14ac:dyDescent="0.25">
      <c r="A38" s="8" t="s">
        <v>44</v>
      </c>
      <c r="B38" s="9"/>
      <c r="C38" s="10">
        <v>15000</v>
      </c>
      <c r="D38" s="11">
        <f t="shared" si="0"/>
        <v>0</v>
      </c>
    </row>
    <row r="39" spans="1:4" ht="18.75" hidden="1" x14ac:dyDescent="0.25">
      <c r="A39" s="8" t="s">
        <v>45</v>
      </c>
      <c r="B39" s="9"/>
      <c r="C39" s="10"/>
      <c r="D39" s="11">
        <f t="shared" si="0"/>
        <v>0</v>
      </c>
    </row>
    <row r="40" spans="1:4" ht="18.75" x14ac:dyDescent="0.25">
      <c r="A40" s="8" t="s">
        <v>46</v>
      </c>
      <c r="B40" s="9">
        <v>10</v>
      </c>
      <c r="C40" s="12">
        <v>15000</v>
      </c>
      <c r="D40" s="11">
        <f t="shared" si="0"/>
        <v>150000</v>
      </c>
    </row>
    <row r="41" spans="1:4" ht="18.75" hidden="1" x14ac:dyDescent="0.25">
      <c r="A41" s="8" t="s">
        <v>47</v>
      </c>
      <c r="B41" s="9"/>
      <c r="C41" s="12"/>
      <c r="D41" s="11">
        <f t="shared" si="0"/>
        <v>0</v>
      </c>
    </row>
    <row r="42" spans="1:4" ht="18.75" hidden="1" x14ac:dyDescent="0.25">
      <c r="A42" s="8" t="s">
        <v>48</v>
      </c>
      <c r="B42" s="9"/>
      <c r="C42" s="10"/>
      <c r="D42" s="11">
        <f t="shared" si="0"/>
        <v>0</v>
      </c>
    </row>
    <row r="43" spans="1:4" ht="18.75" hidden="1" x14ac:dyDescent="0.25">
      <c r="A43" s="8" t="s">
        <v>49</v>
      </c>
      <c r="B43" s="9"/>
      <c r="C43" s="10"/>
      <c r="D43" s="11">
        <f t="shared" si="0"/>
        <v>0</v>
      </c>
    </row>
    <row r="44" spans="1:4" ht="18.75" x14ac:dyDescent="0.25">
      <c r="A44" s="8" t="s">
        <v>50</v>
      </c>
      <c r="B44" s="9">
        <v>87</v>
      </c>
      <c r="C44" s="10">
        <v>18000</v>
      </c>
      <c r="D44" s="11">
        <f t="shared" si="0"/>
        <v>1566000</v>
      </c>
    </row>
    <row r="45" spans="1:4" ht="18.75" hidden="1" x14ac:dyDescent="0.25">
      <c r="A45" s="8" t="s">
        <v>51</v>
      </c>
      <c r="B45" s="9"/>
      <c r="C45" s="10"/>
      <c r="D45" s="11">
        <f t="shared" si="0"/>
        <v>0</v>
      </c>
    </row>
    <row r="46" spans="1:4" ht="18.75" hidden="1" x14ac:dyDescent="0.25">
      <c r="A46" s="8" t="s">
        <v>52</v>
      </c>
      <c r="B46" s="9"/>
      <c r="C46" s="12"/>
      <c r="D46" s="11">
        <f t="shared" si="0"/>
        <v>0</v>
      </c>
    </row>
    <row r="47" spans="1:4" ht="18.75" hidden="1" x14ac:dyDescent="0.25">
      <c r="A47" s="8" t="s">
        <v>53</v>
      </c>
      <c r="B47" s="9"/>
      <c r="C47" s="10"/>
      <c r="D47" s="11">
        <f t="shared" si="0"/>
        <v>0</v>
      </c>
    </row>
    <row r="48" spans="1:4" ht="18.75" hidden="1" x14ac:dyDescent="0.25">
      <c r="A48" s="8" t="s">
        <v>54</v>
      </c>
      <c r="B48" s="9"/>
      <c r="C48" s="10"/>
      <c r="D48" s="11">
        <f t="shared" si="0"/>
        <v>0</v>
      </c>
    </row>
    <row r="49" spans="1:4" ht="18.75" hidden="1" x14ac:dyDescent="0.25">
      <c r="A49" s="8" t="s">
        <v>55</v>
      </c>
      <c r="B49" s="9"/>
      <c r="C49" s="10"/>
      <c r="D49" s="11">
        <f t="shared" si="0"/>
        <v>0</v>
      </c>
    </row>
    <row r="50" spans="1:4" ht="18.75" hidden="1" x14ac:dyDescent="0.25">
      <c r="A50" s="8" t="s">
        <v>57</v>
      </c>
      <c r="B50" s="9"/>
      <c r="C50" s="10"/>
      <c r="D50" s="11">
        <f t="shared" si="0"/>
        <v>0</v>
      </c>
    </row>
    <row r="51" spans="1:4" ht="18.75" hidden="1" x14ac:dyDescent="0.25">
      <c r="A51" s="8" t="s">
        <v>58</v>
      </c>
      <c r="B51" s="9"/>
      <c r="C51" s="13"/>
      <c r="D51" s="11">
        <f t="shared" si="0"/>
        <v>0</v>
      </c>
    </row>
    <row r="52" spans="1:4" ht="18.75" hidden="1" x14ac:dyDescent="0.25">
      <c r="A52" s="14" t="s">
        <v>59</v>
      </c>
      <c r="B52" s="9"/>
      <c r="C52" s="10"/>
      <c r="D52" s="11">
        <f t="shared" si="0"/>
        <v>0</v>
      </c>
    </row>
    <row r="53" spans="1:4" ht="18.75" hidden="1" x14ac:dyDescent="0.25">
      <c r="A53" s="8" t="s">
        <v>60</v>
      </c>
      <c r="B53" s="9"/>
      <c r="C53" s="12">
        <v>15000</v>
      </c>
      <c r="D53" s="11">
        <f t="shared" si="0"/>
        <v>0</v>
      </c>
    </row>
    <row r="54" spans="1:4" ht="18.75" hidden="1" x14ac:dyDescent="0.25">
      <c r="A54" s="8" t="s">
        <v>61</v>
      </c>
      <c r="B54" s="17"/>
      <c r="C54" s="10"/>
      <c r="D54" s="11">
        <f t="shared" si="0"/>
        <v>0</v>
      </c>
    </row>
    <row r="55" spans="1:4" ht="18.75" hidden="1" x14ac:dyDescent="0.25">
      <c r="A55" s="18" t="s">
        <v>62</v>
      </c>
      <c r="B55" s="9"/>
      <c r="C55" s="19"/>
      <c r="D55" s="11">
        <f t="shared" si="0"/>
        <v>0</v>
      </c>
    </row>
    <row r="56" spans="1:4" ht="18.75" hidden="1" x14ac:dyDescent="0.25">
      <c r="A56" s="18" t="s">
        <v>63</v>
      </c>
      <c r="B56" s="9"/>
      <c r="C56" s="10">
        <v>10000</v>
      </c>
      <c r="D56" s="11">
        <f t="shared" si="0"/>
        <v>0</v>
      </c>
    </row>
    <row r="57" spans="1:4" ht="18.75" hidden="1" x14ac:dyDescent="0.25">
      <c r="A57" s="14" t="s">
        <v>64</v>
      </c>
      <c r="B57" s="9"/>
      <c r="C57" s="10"/>
      <c r="D57" s="11">
        <f t="shared" si="0"/>
        <v>0</v>
      </c>
    </row>
    <row r="58" spans="1:4" ht="18.75" x14ac:dyDescent="0.25">
      <c r="A58" s="8" t="s">
        <v>65</v>
      </c>
      <c r="B58" s="9">
        <v>20</v>
      </c>
      <c r="C58" s="12">
        <v>18500</v>
      </c>
      <c r="D58" s="11">
        <f t="shared" si="0"/>
        <v>370000</v>
      </c>
    </row>
    <row r="59" spans="1:4" ht="18.75" hidden="1" x14ac:dyDescent="0.25">
      <c r="A59" s="14" t="s">
        <v>66</v>
      </c>
      <c r="B59" s="9"/>
      <c r="C59" s="10"/>
      <c r="D59" s="11">
        <f t="shared" si="0"/>
        <v>0</v>
      </c>
    </row>
    <row r="60" spans="1:4" ht="18.75" hidden="1" x14ac:dyDescent="0.25">
      <c r="A60" s="8" t="s">
        <v>68</v>
      </c>
      <c r="B60" s="9"/>
      <c r="C60" s="10"/>
      <c r="D60" s="11">
        <f t="shared" si="0"/>
        <v>0</v>
      </c>
    </row>
    <row r="61" spans="1:4" ht="18.75" hidden="1" x14ac:dyDescent="0.25">
      <c r="A61" s="14" t="s">
        <v>69</v>
      </c>
      <c r="B61" s="9"/>
      <c r="C61" s="15">
        <v>38000</v>
      </c>
      <c r="D61" s="11">
        <f t="shared" si="0"/>
        <v>0</v>
      </c>
    </row>
    <row r="62" spans="1:4" ht="18.75" hidden="1" x14ac:dyDescent="0.25">
      <c r="A62" s="14" t="s">
        <v>70</v>
      </c>
      <c r="B62" s="9"/>
      <c r="C62" s="15"/>
      <c r="D62" s="11">
        <f t="shared" si="0"/>
        <v>0</v>
      </c>
    </row>
    <row r="63" spans="1:4" ht="18.75" hidden="1" x14ac:dyDescent="0.25">
      <c r="A63" s="14" t="s">
        <v>71</v>
      </c>
      <c r="B63" s="9"/>
      <c r="C63" s="10"/>
      <c r="D63" s="11">
        <f t="shared" si="0"/>
        <v>0</v>
      </c>
    </row>
    <row r="64" spans="1:4" ht="18.75" hidden="1" x14ac:dyDescent="0.25">
      <c r="A64" s="8" t="s">
        <v>72</v>
      </c>
      <c r="B64" s="9"/>
      <c r="C64" s="12"/>
      <c r="D64" s="11">
        <f t="shared" si="0"/>
        <v>0</v>
      </c>
    </row>
    <row r="65" spans="1:4" ht="18.75" hidden="1" x14ac:dyDescent="0.25">
      <c r="A65" s="8" t="s">
        <v>73</v>
      </c>
      <c r="B65" s="9"/>
      <c r="C65" s="12">
        <v>25000</v>
      </c>
      <c r="D65" s="11">
        <f t="shared" si="0"/>
        <v>0</v>
      </c>
    </row>
    <row r="66" spans="1:4" ht="18.75" hidden="1" x14ac:dyDescent="0.25">
      <c r="A66" s="8" t="s">
        <v>74</v>
      </c>
      <c r="B66" s="9"/>
      <c r="C66" s="13"/>
      <c r="D66" s="11">
        <f t="shared" si="0"/>
        <v>0</v>
      </c>
    </row>
    <row r="67" spans="1:4" ht="18.75" hidden="1" x14ac:dyDescent="0.25">
      <c r="A67" s="8" t="s">
        <v>75</v>
      </c>
      <c r="B67" s="9"/>
      <c r="C67" s="15"/>
      <c r="D67" s="11">
        <f t="shared" si="0"/>
        <v>0</v>
      </c>
    </row>
    <row r="68" spans="1:4" ht="18.75" hidden="1" x14ac:dyDescent="0.25">
      <c r="A68" s="8" t="s">
        <v>76</v>
      </c>
      <c r="B68" s="9"/>
      <c r="C68" s="10"/>
      <c r="D68" s="11">
        <f t="shared" si="0"/>
        <v>0</v>
      </c>
    </row>
    <row r="69" spans="1:4" ht="18.75" hidden="1" x14ac:dyDescent="0.25">
      <c r="A69" s="8" t="s">
        <v>77</v>
      </c>
      <c r="B69" s="9"/>
      <c r="C69" s="13"/>
      <c r="D69" s="11">
        <f t="shared" ref="D69:D132" si="1">B69*C69</f>
        <v>0</v>
      </c>
    </row>
    <row r="70" spans="1:4" ht="18.75" hidden="1" x14ac:dyDescent="0.25">
      <c r="A70" s="8" t="s">
        <v>78</v>
      </c>
      <c r="B70" s="9"/>
      <c r="C70" s="12"/>
      <c r="D70" s="11">
        <f t="shared" si="1"/>
        <v>0</v>
      </c>
    </row>
    <row r="71" spans="1:4" ht="18.75" hidden="1" x14ac:dyDescent="0.25">
      <c r="A71" s="8" t="s">
        <v>79</v>
      </c>
      <c r="B71" s="9"/>
      <c r="C71" s="13"/>
      <c r="D71" s="11">
        <f t="shared" si="1"/>
        <v>0</v>
      </c>
    </row>
    <row r="72" spans="1:4" ht="18.75" hidden="1" x14ac:dyDescent="0.25">
      <c r="A72" s="8" t="s">
        <v>80</v>
      </c>
      <c r="B72" s="9"/>
      <c r="C72" s="10"/>
      <c r="D72" s="11">
        <f t="shared" si="1"/>
        <v>0</v>
      </c>
    </row>
    <row r="73" spans="1:4" ht="18.75" hidden="1" x14ac:dyDescent="0.25">
      <c r="A73" s="20" t="s">
        <v>81</v>
      </c>
      <c r="B73" s="9"/>
      <c r="C73" s="13"/>
      <c r="D73" s="11">
        <f t="shared" si="1"/>
        <v>0</v>
      </c>
    </row>
    <row r="74" spans="1:4" ht="18.75" hidden="1" x14ac:dyDescent="0.25">
      <c r="A74" s="20" t="s">
        <v>82</v>
      </c>
      <c r="B74" s="9"/>
      <c r="C74" s="10">
        <v>150000</v>
      </c>
      <c r="D74" s="11">
        <f t="shared" si="1"/>
        <v>0</v>
      </c>
    </row>
    <row r="75" spans="1:4" ht="18.75" hidden="1" x14ac:dyDescent="0.25">
      <c r="A75" s="20" t="s">
        <v>83</v>
      </c>
      <c r="B75" s="9"/>
      <c r="C75" s="10"/>
      <c r="D75" s="11">
        <f t="shared" si="1"/>
        <v>0</v>
      </c>
    </row>
    <row r="76" spans="1:4" ht="18.75" hidden="1" x14ac:dyDescent="0.25">
      <c r="A76" s="8" t="s">
        <v>84</v>
      </c>
      <c r="B76" s="9"/>
      <c r="C76" s="10">
        <v>50000</v>
      </c>
      <c r="D76" s="11">
        <f t="shared" si="1"/>
        <v>0</v>
      </c>
    </row>
    <row r="77" spans="1:4" ht="18.75" hidden="1" x14ac:dyDescent="0.25">
      <c r="A77" s="8" t="s">
        <v>85</v>
      </c>
      <c r="B77" s="9"/>
      <c r="C77" s="10"/>
      <c r="D77" s="11">
        <f t="shared" si="1"/>
        <v>0</v>
      </c>
    </row>
    <row r="78" spans="1:4" ht="18.75" hidden="1" x14ac:dyDescent="0.25">
      <c r="A78" s="8" t="s">
        <v>86</v>
      </c>
      <c r="B78" s="9"/>
      <c r="C78" s="10">
        <v>50000</v>
      </c>
      <c r="D78" s="11">
        <f t="shared" si="1"/>
        <v>0</v>
      </c>
    </row>
    <row r="79" spans="1:4" ht="18.75" hidden="1" x14ac:dyDescent="0.25">
      <c r="A79" s="8" t="s">
        <v>87</v>
      </c>
      <c r="B79" s="9"/>
      <c r="C79" s="12"/>
      <c r="D79" s="11">
        <f t="shared" si="1"/>
        <v>0</v>
      </c>
    </row>
    <row r="80" spans="1:4" ht="18.75" hidden="1" x14ac:dyDescent="0.25">
      <c r="A80" s="8" t="s">
        <v>88</v>
      </c>
      <c r="B80" s="9"/>
      <c r="C80" s="10">
        <v>45000</v>
      </c>
      <c r="D80" s="11">
        <f t="shared" si="1"/>
        <v>0</v>
      </c>
    </row>
    <row r="81" spans="1:4" ht="18.75" hidden="1" x14ac:dyDescent="0.25">
      <c r="A81" s="8" t="s">
        <v>89</v>
      </c>
      <c r="B81" s="9"/>
      <c r="C81" s="12"/>
      <c r="D81" s="11">
        <f t="shared" si="1"/>
        <v>0</v>
      </c>
    </row>
    <row r="82" spans="1:4" ht="18.75" hidden="1" x14ac:dyDescent="0.25">
      <c r="A82" s="8" t="s">
        <v>90</v>
      </c>
      <c r="B82" s="9"/>
      <c r="C82" s="10">
        <v>50000</v>
      </c>
      <c r="D82" s="11">
        <f t="shared" si="1"/>
        <v>0</v>
      </c>
    </row>
    <row r="83" spans="1:4" ht="18.75" hidden="1" x14ac:dyDescent="0.25">
      <c r="A83" s="8" t="s">
        <v>91</v>
      </c>
      <c r="B83" s="9"/>
      <c r="C83" s="10"/>
      <c r="D83" s="11">
        <f t="shared" si="1"/>
        <v>0</v>
      </c>
    </row>
    <row r="84" spans="1:4" ht="18.75" hidden="1" x14ac:dyDescent="0.25">
      <c r="A84" s="8" t="s">
        <v>92</v>
      </c>
      <c r="B84" s="9"/>
      <c r="C84" s="10"/>
      <c r="D84" s="11">
        <f t="shared" si="1"/>
        <v>0</v>
      </c>
    </row>
    <row r="85" spans="1:4" ht="18.75" hidden="1" x14ac:dyDescent="0.25">
      <c r="A85" s="8" t="s">
        <v>93</v>
      </c>
      <c r="B85" s="9"/>
      <c r="C85" s="10"/>
      <c r="D85" s="11">
        <f t="shared" si="1"/>
        <v>0</v>
      </c>
    </row>
    <row r="86" spans="1:4" ht="18.75" hidden="1" x14ac:dyDescent="0.25">
      <c r="A86" s="8" t="s">
        <v>94</v>
      </c>
      <c r="B86" s="9"/>
      <c r="C86" s="10"/>
      <c r="D86" s="11">
        <f t="shared" si="1"/>
        <v>0</v>
      </c>
    </row>
    <row r="87" spans="1:4" ht="18.75" hidden="1" x14ac:dyDescent="0.25">
      <c r="A87" s="8" t="s">
        <v>95</v>
      </c>
      <c r="B87" s="9"/>
      <c r="C87" s="12">
        <v>12000</v>
      </c>
      <c r="D87" s="11">
        <f t="shared" si="1"/>
        <v>0</v>
      </c>
    </row>
    <row r="88" spans="1:4" ht="18.75" hidden="1" x14ac:dyDescent="0.25">
      <c r="A88" s="8" t="s">
        <v>96</v>
      </c>
      <c r="B88" s="9"/>
      <c r="C88" s="10"/>
      <c r="D88" s="11">
        <f t="shared" si="1"/>
        <v>0</v>
      </c>
    </row>
    <row r="89" spans="1:4" ht="18.75" hidden="1" x14ac:dyDescent="0.25">
      <c r="A89" s="8" t="s">
        <v>97</v>
      </c>
      <c r="B89" s="9"/>
      <c r="C89" s="10"/>
      <c r="D89" s="11">
        <f t="shared" si="1"/>
        <v>0</v>
      </c>
    </row>
    <row r="90" spans="1:4" ht="18.75" hidden="1" x14ac:dyDescent="0.25">
      <c r="A90" s="8" t="s">
        <v>98</v>
      </c>
      <c r="B90" s="9"/>
      <c r="C90" s="10"/>
      <c r="D90" s="11">
        <f t="shared" si="1"/>
        <v>0</v>
      </c>
    </row>
    <row r="91" spans="1:4" ht="18.75" hidden="1" x14ac:dyDescent="0.25">
      <c r="A91" s="8" t="s">
        <v>99</v>
      </c>
      <c r="B91" s="9"/>
      <c r="C91" s="12"/>
      <c r="D91" s="11">
        <f t="shared" si="1"/>
        <v>0</v>
      </c>
    </row>
    <row r="92" spans="1:4" ht="18.75" hidden="1" x14ac:dyDescent="0.25">
      <c r="A92" s="14" t="s">
        <v>100</v>
      </c>
      <c r="B92" s="9"/>
      <c r="C92" s="10"/>
      <c r="D92" s="11">
        <f t="shared" si="1"/>
        <v>0</v>
      </c>
    </row>
    <row r="93" spans="1:4" ht="18.75" hidden="1" x14ac:dyDescent="0.25">
      <c r="A93" s="14" t="s">
        <v>101</v>
      </c>
      <c r="B93" s="9"/>
      <c r="C93" s="10"/>
      <c r="D93" s="11">
        <f t="shared" si="1"/>
        <v>0</v>
      </c>
    </row>
    <row r="94" spans="1:4" ht="18.75" hidden="1" x14ac:dyDescent="0.25">
      <c r="A94" s="14" t="s">
        <v>102</v>
      </c>
      <c r="B94" s="21"/>
      <c r="C94" s="10"/>
      <c r="D94" s="11">
        <f t="shared" si="1"/>
        <v>0</v>
      </c>
    </row>
    <row r="95" spans="1:4" ht="18.75" hidden="1" x14ac:dyDescent="0.25">
      <c r="A95" s="8" t="s">
        <v>103</v>
      </c>
      <c r="B95" s="9"/>
      <c r="C95" s="10"/>
      <c r="D95" s="11">
        <f t="shared" si="1"/>
        <v>0</v>
      </c>
    </row>
    <row r="96" spans="1:4" ht="18.75" hidden="1" x14ac:dyDescent="0.25">
      <c r="A96" s="8" t="s">
        <v>104</v>
      </c>
      <c r="B96" s="9"/>
      <c r="C96" s="12"/>
      <c r="D96" s="11">
        <f t="shared" si="1"/>
        <v>0</v>
      </c>
    </row>
    <row r="97" spans="1:4" ht="18.75" hidden="1" x14ac:dyDescent="0.25">
      <c r="A97" s="8" t="s">
        <v>105</v>
      </c>
      <c r="B97" s="9"/>
      <c r="C97" s="10"/>
      <c r="D97" s="11">
        <f t="shared" si="1"/>
        <v>0</v>
      </c>
    </row>
    <row r="98" spans="1:4" ht="18.75" hidden="1" x14ac:dyDescent="0.25">
      <c r="A98" s="8" t="s">
        <v>106</v>
      </c>
      <c r="B98" s="9"/>
      <c r="C98" s="10"/>
      <c r="D98" s="11">
        <f t="shared" si="1"/>
        <v>0</v>
      </c>
    </row>
    <row r="99" spans="1:4" ht="18.75" hidden="1" x14ac:dyDescent="0.25">
      <c r="A99" s="8" t="s">
        <v>107</v>
      </c>
      <c r="B99" s="9"/>
      <c r="C99" s="10"/>
      <c r="D99" s="11">
        <f t="shared" si="1"/>
        <v>0</v>
      </c>
    </row>
    <row r="100" spans="1:4" ht="18.75" hidden="1" x14ac:dyDescent="0.25">
      <c r="A100" s="22" t="s">
        <v>108</v>
      </c>
      <c r="B100" s="9"/>
      <c r="C100" s="10"/>
      <c r="D100" s="11">
        <f t="shared" si="1"/>
        <v>0</v>
      </c>
    </row>
    <row r="101" spans="1:4" ht="18.75" hidden="1" x14ac:dyDescent="0.25">
      <c r="A101" s="8" t="s">
        <v>109</v>
      </c>
      <c r="B101" s="9"/>
      <c r="C101" s="12">
        <v>10000</v>
      </c>
      <c r="D101" s="11">
        <f t="shared" si="1"/>
        <v>0</v>
      </c>
    </row>
    <row r="102" spans="1:4" ht="18.75" hidden="1" x14ac:dyDescent="0.25">
      <c r="A102" s="8" t="s">
        <v>110</v>
      </c>
      <c r="B102" s="9"/>
      <c r="C102" s="10"/>
      <c r="D102" s="11">
        <f t="shared" si="1"/>
        <v>0</v>
      </c>
    </row>
    <row r="103" spans="1:4" ht="18.75" hidden="1" x14ac:dyDescent="0.25">
      <c r="A103" s="8" t="s">
        <v>111</v>
      </c>
      <c r="B103" s="9"/>
      <c r="C103" s="13"/>
      <c r="D103" s="11">
        <f t="shared" si="1"/>
        <v>0</v>
      </c>
    </row>
    <row r="104" spans="1:4" ht="18.75" x14ac:dyDescent="0.25">
      <c r="A104" s="14" t="s">
        <v>112</v>
      </c>
      <c r="B104" s="9">
        <v>210</v>
      </c>
      <c r="C104" s="10">
        <v>20000</v>
      </c>
      <c r="D104" s="11">
        <f t="shared" si="1"/>
        <v>4200000</v>
      </c>
    </row>
    <row r="105" spans="1:4" ht="18.75" x14ac:dyDescent="0.25">
      <c r="A105" s="14" t="s">
        <v>113</v>
      </c>
      <c r="B105" s="9">
        <v>120</v>
      </c>
      <c r="C105" s="10">
        <v>17000</v>
      </c>
      <c r="D105" s="11">
        <f t="shared" si="1"/>
        <v>2040000</v>
      </c>
    </row>
    <row r="106" spans="1:4" ht="18.75" x14ac:dyDescent="0.25">
      <c r="A106" s="8" t="s">
        <v>114</v>
      </c>
      <c r="B106" s="9">
        <v>100</v>
      </c>
      <c r="C106" s="12">
        <v>14000</v>
      </c>
      <c r="D106" s="11">
        <f t="shared" si="1"/>
        <v>1400000</v>
      </c>
    </row>
    <row r="107" spans="1:4" ht="18.75" x14ac:dyDescent="0.25">
      <c r="A107" s="14" t="s">
        <v>115</v>
      </c>
      <c r="B107" s="9">
        <v>9</v>
      </c>
      <c r="C107" s="10">
        <v>25000</v>
      </c>
      <c r="D107" s="11">
        <f t="shared" si="1"/>
        <v>225000</v>
      </c>
    </row>
    <row r="108" spans="1:4" ht="18.75" hidden="1" x14ac:dyDescent="0.25">
      <c r="A108" s="14" t="s">
        <v>116</v>
      </c>
      <c r="B108" s="9"/>
      <c r="C108" s="12"/>
      <c r="D108" s="11">
        <f t="shared" si="1"/>
        <v>0</v>
      </c>
    </row>
    <row r="109" spans="1:4" ht="18.75" hidden="1" x14ac:dyDescent="0.25">
      <c r="A109" s="8" t="s">
        <v>237</v>
      </c>
      <c r="B109" s="9"/>
      <c r="C109" s="13"/>
      <c r="D109" s="11">
        <f t="shared" si="1"/>
        <v>0</v>
      </c>
    </row>
    <row r="110" spans="1:4" ht="18.75" hidden="1" x14ac:dyDescent="0.25">
      <c r="A110" s="8" t="s">
        <v>117</v>
      </c>
      <c r="B110" s="9"/>
      <c r="C110" s="10"/>
      <c r="D110" s="11">
        <f t="shared" si="1"/>
        <v>0</v>
      </c>
    </row>
    <row r="111" spans="1:4" ht="18.75" hidden="1" x14ac:dyDescent="0.25">
      <c r="A111" s="8" t="s">
        <v>118</v>
      </c>
      <c r="B111" s="9"/>
      <c r="C111" s="12"/>
      <c r="D111" s="11">
        <f t="shared" si="1"/>
        <v>0</v>
      </c>
    </row>
    <row r="112" spans="1:4" ht="18.75" hidden="1" x14ac:dyDescent="0.25">
      <c r="A112" s="8" t="s">
        <v>119</v>
      </c>
      <c r="B112" s="9"/>
      <c r="C112" s="10"/>
      <c r="D112" s="11">
        <f t="shared" si="1"/>
        <v>0</v>
      </c>
    </row>
    <row r="113" spans="1:4" ht="18.75" hidden="1" x14ac:dyDescent="0.25">
      <c r="A113" s="8" t="s">
        <v>120</v>
      </c>
      <c r="B113" s="9"/>
      <c r="C113" s="10">
        <v>15000</v>
      </c>
      <c r="D113" s="11">
        <f t="shared" si="1"/>
        <v>0</v>
      </c>
    </row>
    <row r="114" spans="1:4" ht="18.75" x14ac:dyDescent="0.25">
      <c r="A114" s="8" t="s">
        <v>121</v>
      </c>
      <c r="B114" s="9">
        <v>36</v>
      </c>
      <c r="C114" s="13">
        <v>22000</v>
      </c>
      <c r="D114" s="11">
        <f t="shared" si="1"/>
        <v>792000</v>
      </c>
    </row>
    <row r="115" spans="1:4" ht="18.75" x14ac:dyDescent="0.25">
      <c r="A115" s="8" t="s">
        <v>122</v>
      </c>
      <c r="B115" s="9">
        <v>10</v>
      </c>
      <c r="C115" s="12">
        <v>22000</v>
      </c>
      <c r="D115" s="11">
        <f t="shared" si="1"/>
        <v>220000</v>
      </c>
    </row>
    <row r="116" spans="1:4" ht="18.75" hidden="1" x14ac:dyDescent="0.25">
      <c r="A116" s="8" t="s">
        <v>123</v>
      </c>
      <c r="B116" s="9"/>
      <c r="C116" s="12"/>
      <c r="D116" s="11">
        <f t="shared" si="1"/>
        <v>0</v>
      </c>
    </row>
    <row r="117" spans="1:4" ht="18.75" hidden="1" x14ac:dyDescent="0.25">
      <c r="A117" s="8" t="s">
        <v>124</v>
      </c>
      <c r="B117" s="9"/>
      <c r="C117" s="13"/>
      <c r="D117" s="11">
        <f t="shared" si="1"/>
        <v>0</v>
      </c>
    </row>
    <row r="118" spans="1:4" ht="18.75" hidden="1" x14ac:dyDescent="0.25">
      <c r="A118" s="18" t="s">
        <v>125</v>
      </c>
      <c r="B118" s="9"/>
      <c r="C118" s="12"/>
      <c r="D118" s="11">
        <f t="shared" si="1"/>
        <v>0</v>
      </c>
    </row>
    <row r="119" spans="1:4" ht="18.75" hidden="1" x14ac:dyDescent="0.25">
      <c r="A119" s="8" t="s">
        <v>126</v>
      </c>
      <c r="B119" s="9"/>
      <c r="C119" s="13"/>
      <c r="D119" s="11">
        <f t="shared" si="1"/>
        <v>0</v>
      </c>
    </row>
    <row r="120" spans="1:4" ht="18.75" hidden="1" x14ac:dyDescent="0.25">
      <c r="A120" s="8" t="s">
        <v>127</v>
      </c>
      <c r="B120" s="9"/>
      <c r="C120" s="13"/>
      <c r="D120" s="11">
        <f t="shared" si="1"/>
        <v>0</v>
      </c>
    </row>
    <row r="121" spans="1:4" ht="18.75" hidden="1" x14ac:dyDescent="0.25">
      <c r="A121" s="8" t="s">
        <v>128</v>
      </c>
      <c r="B121" s="9"/>
      <c r="C121" s="10"/>
      <c r="D121" s="11">
        <f t="shared" si="1"/>
        <v>0</v>
      </c>
    </row>
    <row r="122" spans="1:4" ht="18.75" hidden="1" x14ac:dyDescent="0.25">
      <c r="A122" s="14" t="s">
        <v>129</v>
      </c>
      <c r="B122" s="9"/>
      <c r="C122" s="10"/>
      <c r="D122" s="11">
        <f t="shared" si="1"/>
        <v>0</v>
      </c>
    </row>
    <row r="123" spans="1:4" ht="18.75" hidden="1" x14ac:dyDescent="0.25">
      <c r="A123" s="8" t="s">
        <v>130</v>
      </c>
      <c r="B123" s="9"/>
      <c r="C123" s="12">
        <v>15000</v>
      </c>
      <c r="D123" s="11">
        <f t="shared" si="1"/>
        <v>0</v>
      </c>
    </row>
    <row r="124" spans="1:4" ht="18.75" hidden="1" x14ac:dyDescent="0.25">
      <c r="A124" s="8" t="s">
        <v>131</v>
      </c>
      <c r="B124" s="9"/>
      <c r="C124" s="12"/>
      <c r="D124" s="11">
        <f t="shared" si="1"/>
        <v>0</v>
      </c>
    </row>
    <row r="125" spans="1:4" ht="18.75" hidden="1" x14ac:dyDescent="0.25">
      <c r="A125" s="8" t="s">
        <v>132</v>
      </c>
      <c r="B125" s="9"/>
      <c r="C125" s="10"/>
      <c r="D125" s="11">
        <f t="shared" si="1"/>
        <v>0</v>
      </c>
    </row>
    <row r="126" spans="1:4" ht="18.75" hidden="1" x14ac:dyDescent="0.25">
      <c r="A126" s="8" t="s">
        <v>133</v>
      </c>
      <c r="B126" s="9"/>
      <c r="C126" s="10"/>
      <c r="D126" s="11">
        <f t="shared" si="1"/>
        <v>0</v>
      </c>
    </row>
    <row r="127" spans="1:4" ht="18.75" hidden="1" x14ac:dyDescent="0.25">
      <c r="A127" s="8" t="s">
        <v>134</v>
      </c>
      <c r="B127" s="9"/>
      <c r="C127" s="10"/>
      <c r="D127" s="11">
        <f t="shared" si="1"/>
        <v>0</v>
      </c>
    </row>
    <row r="128" spans="1:4" ht="18.75" hidden="1" x14ac:dyDescent="0.25">
      <c r="A128" s="8" t="s">
        <v>135</v>
      </c>
      <c r="B128" s="9"/>
      <c r="C128" s="19"/>
      <c r="D128" s="11">
        <f t="shared" si="1"/>
        <v>0</v>
      </c>
    </row>
    <row r="129" spans="1:4" ht="18.75" hidden="1" x14ac:dyDescent="0.25">
      <c r="A129" s="8" t="s">
        <v>136</v>
      </c>
      <c r="B129" s="9"/>
      <c r="C129" s="10"/>
      <c r="D129" s="11">
        <f t="shared" si="1"/>
        <v>0</v>
      </c>
    </row>
    <row r="130" spans="1:4" ht="18.75" hidden="1" x14ac:dyDescent="0.25">
      <c r="A130" s="8" t="s">
        <v>137</v>
      </c>
      <c r="B130" s="9"/>
      <c r="C130" s="13"/>
      <c r="D130" s="11">
        <f t="shared" si="1"/>
        <v>0</v>
      </c>
    </row>
    <row r="131" spans="1:4" ht="18.75" hidden="1" x14ac:dyDescent="0.25">
      <c r="A131" s="8" t="s">
        <v>138</v>
      </c>
      <c r="B131" s="9"/>
      <c r="C131" s="13">
        <v>25000</v>
      </c>
      <c r="D131" s="11">
        <f t="shared" si="1"/>
        <v>0</v>
      </c>
    </row>
    <row r="132" spans="1:4" ht="18.75" hidden="1" x14ac:dyDescent="0.25">
      <c r="A132" s="23" t="s">
        <v>139</v>
      </c>
      <c r="B132" s="9"/>
      <c r="C132" s="10"/>
      <c r="D132" s="11">
        <f t="shared" si="1"/>
        <v>0</v>
      </c>
    </row>
    <row r="133" spans="1:4" ht="18.75" hidden="1" x14ac:dyDescent="0.25">
      <c r="A133" s="8" t="s">
        <v>140</v>
      </c>
      <c r="B133" s="9"/>
      <c r="C133" s="10"/>
      <c r="D133" s="11">
        <f t="shared" ref="D133:D196" si="2">B133*C133</f>
        <v>0</v>
      </c>
    </row>
    <row r="134" spans="1:4" ht="18.75" x14ac:dyDescent="0.25">
      <c r="A134" s="14" t="s">
        <v>141</v>
      </c>
      <c r="B134" s="9">
        <v>4</v>
      </c>
      <c r="C134" s="10">
        <v>11000</v>
      </c>
      <c r="D134" s="11">
        <f t="shared" si="2"/>
        <v>44000</v>
      </c>
    </row>
    <row r="135" spans="1:4" ht="18.75" hidden="1" x14ac:dyDescent="0.25">
      <c r="A135" s="8" t="s">
        <v>142</v>
      </c>
      <c r="B135" s="9"/>
      <c r="C135" s="10"/>
      <c r="D135" s="11">
        <f t="shared" si="2"/>
        <v>0</v>
      </c>
    </row>
    <row r="136" spans="1:4" ht="18.75" hidden="1" x14ac:dyDescent="0.25">
      <c r="A136" s="8" t="s">
        <v>143</v>
      </c>
      <c r="B136" s="9"/>
      <c r="C136" s="13"/>
      <c r="D136" s="11">
        <f t="shared" si="2"/>
        <v>0</v>
      </c>
    </row>
    <row r="137" spans="1:4" ht="18.75" hidden="1" x14ac:dyDescent="0.25">
      <c r="A137" s="8" t="s">
        <v>144</v>
      </c>
      <c r="B137" s="9"/>
      <c r="C137" s="10"/>
      <c r="D137" s="11">
        <f t="shared" si="2"/>
        <v>0</v>
      </c>
    </row>
    <row r="138" spans="1:4" ht="18.75" hidden="1" x14ac:dyDescent="0.25">
      <c r="A138" s="8" t="s">
        <v>145</v>
      </c>
      <c r="B138" s="9"/>
      <c r="C138" s="12">
        <v>18000</v>
      </c>
      <c r="D138" s="11">
        <f t="shared" si="2"/>
        <v>0</v>
      </c>
    </row>
    <row r="139" spans="1:4" ht="18.75" hidden="1" x14ac:dyDescent="0.25">
      <c r="A139" s="8" t="s">
        <v>146</v>
      </c>
      <c r="B139" s="9"/>
      <c r="C139" s="12"/>
      <c r="D139" s="11">
        <f t="shared" si="2"/>
        <v>0</v>
      </c>
    </row>
    <row r="140" spans="1:4" ht="18.75" hidden="1" x14ac:dyDescent="0.25">
      <c r="A140" s="8" t="s">
        <v>147</v>
      </c>
      <c r="B140" s="9"/>
      <c r="C140" s="12"/>
      <c r="D140" s="11">
        <f t="shared" si="2"/>
        <v>0</v>
      </c>
    </row>
    <row r="141" spans="1:4" ht="18.75" hidden="1" x14ac:dyDescent="0.25">
      <c r="A141" s="24" t="s">
        <v>148</v>
      </c>
      <c r="B141" s="9"/>
      <c r="C141" s="12"/>
      <c r="D141" s="11">
        <f t="shared" si="2"/>
        <v>0</v>
      </c>
    </row>
    <row r="142" spans="1:4" ht="18.75" hidden="1" x14ac:dyDescent="0.25">
      <c r="A142" s="8" t="s">
        <v>149</v>
      </c>
      <c r="B142" s="9"/>
      <c r="C142" s="10"/>
      <c r="D142" s="11">
        <f t="shared" si="2"/>
        <v>0</v>
      </c>
    </row>
    <row r="143" spans="1:4" ht="18.75" hidden="1" x14ac:dyDescent="0.25">
      <c r="A143" s="8" t="s">
        <v>150</v>
      </c>
      <c r="B143" s="9"/>
      <c r="C143" s="25"/>
      <c r="D143" s="11">
        <f t="shared" si="2"/>
        <v>0</v>
      </c>
    </row>
    <row r="144" spans="1:4" ht="18.75" hidden="1" x14ac:dyDescent="0.25">
      <c r="A144" s="14" t="s">
        <v>151</v>
      </c>
      <c r="B144" s="9"/>
      <c r="C144" s="10"/>
      <c r="D144" s="11">
        <f t="shared" si="2"/>
        <v>0</v>
      </c>
    </row>
    <row r="145" spans="1:4" ht="18.75" hidden="1" x14ac:dyDescent="0.25">
      <c r="A145" s="14" t="s">
        <v>152</v>
      </c>
      <c r="B145" s="9"/>
      <c r="C145" s="10"/>
      <c r="D145" s="11">
        <f t="shared" si="2"/>
        <v>0</v>
      </c>
    </row>
    <row r="146" spans="1:4" ht="18.75" hidden="1" x14ac:dyDescent="0.25">
      <c r="A146" s="8" t="s">
        <v>153</v>
      </c>
      <c r="B146" s="9"/>
      <c r="C146" s="10"/>
      <c r="D146" s="11">
        <f t="shared" si="2"/>
        <v>0</v>
      </c>
    </row>
    <row r="147" spans="1:4" ht="18.75" hidden="1" x14ac:dyDescent="0.25">
      <c r="A147" s="8" t="s">
        <v>154</v>
      </c>
      <c r="B147" s="9"/>
      <c r="C147" s="10"/>
      <c r="D147" s="11">
        <f t="shared" si="2"/>
        <v>0</v>
      </c>
    </row>
    <row r="148" spans="1:4" ht="18.75" hidden="1" x14ac:dyDescent="0.25">
      <c r="A148" s="8" t="s">
        <v>155</v>
      </c>
      <c r="B148" s="9"/>
      <c r="C148" s="10"/>
      <c r="D148" s="11">
        <f t="shared" si="2"/>
        <v>0</v>
      </c>
    </row>
    <row r="149" spans="1:4" ht="18.75" hidden="1" x14ac:dyDescent="0.25">
      <c r="A149" s="8" t="s">
        <v>156</v>
      </c>
      <c r="B149" s="9"/>
      <c r="C149" s="10"/>
      <c r="D149" s="11">
        <f t="shared" si="2"/>
        <v>0</v>
      </c>
    </row>
    <row r="150" spans="1:4" ht="18.75" hidden="1" x14ac:dyDescent="0.25">
      <c r="A150" s="8" t="s">
        <v>157</v>
      </c>
      <c r="B150" s="9"/>
      <c r="C150" s="10">
        <v>6000</v>
      </c>
      <c r="D150" s="11">
        <f t="shared" si="2"/>
        <v>0</v>
      </c>
    </row>
    <row r="151" spans="1:4" ht="18.75" hidden="1" x14ac:dyDescent="0.25">
      <c r="A151" s="8" t="s">
        <v>158</v>
      </c>
      <c r="B151" s="9"/>
      <c r="C151" s="10"/>
      <c r="D151" s="11">
        <f t="shared" si="2"/>
        <v>0</v>
      </c>
    </row>
    <row r="152" spans="1:4" ht="18.75" hidden="1" x14ac:dyDescent="0.25">
      <c r="A152" s="8" t="s">
        <v>159</v>
      </c>
      <c r="B152" s="9"/>
      <c r="C152" s="10"/>
      <c r="D152" s="11">
        <f t="shared" si="2"/>
        <v>0</v>
      </c>
    </row>
    <row r="153" spans="1:4" ht="18.75" hidden="1" x14ac:dyDescent="0.25">
      <c r="A153" s="8" t="s">
        <v>160</v>
      </c>
      <c r="B153" s="9"/>
      <c r="C153" s="10"/>
      <c r="D153" s="11">
        <f t="shared" si="2"/>
        <v>0</v>
      </c>
    </row>
    <row r="154" spans="1:4" ht="18.75" hidden="1" x14ac:dyDescent="0.25">
      <c r="A154" s="8" t="s">
        <v>161</v>
      </c>
      <c r="B154" s="9"/>
      <c r="C154" s="10">
        <v>32000</v>
      </c>
      <c r="D154" s="11">
        <f t="shared" si="2"/>
        <v>0</v>
      </c>
    </row>
    <row r="155" spans="1:4" ht="18.75" hidden="1" x14ac:dyDescent="0.25">
      <c r="A155" s="8" t="s">
        <v>162</v>
      </c>
      <c r="B155" s="9"/>
      <c r="C155" s="10"/>
      <c r="D155" s="11">
        <f t="shared" si="2"/>
        <v>0</v>
      </c>
    </row>
    <row r="156" spans="1:4" ht="18.75" hidden="1" x14ac:dyDescent="0.25">
      <c r="A156" s="14" t="s">
        <v>163</v>
      </c>
      <c r="B156" s="9"/>
      <c r="C156" s="15"/>
      <c r="D156" s="11">
        <f t="shared" si="2"/>
        <v>0</v>
      </c>
    </row>
    <row r="157" spans="1:4" ht="18.75" hidden="1" x14ac:dyDescent="0.25">
      <c r="A157" s="14" t="s">
        <v>164</v>
      </c>
      <c r="B157" s="9"/>
      <c r="C157" s="15"/>
      <c r="D157" s="11">
        <f t="shared" si="2"/>
        <v>0</v>
      </c>
    </row>
    <row r="158" spans="1:4" ht="18.75" x14ac:dyDescent="0.25">
      <c r="A158" s="8" t="s">
        <v>165</v>
      </c>
      <c r="B158" s="9">
        <v>20</v>
      </c>
      <c r="C158" s="10">
        <v>26000</v>
      </c>
      <c r="D158" s="11">
        <f t="shared" si="2"/>
        <v>520000</v>
      </c>
    </row>
    <row r="159" spans="1:4" ht="18.75" x14ac:dyDescent="0.25">
      <c r="A159" s="26" t="s">
        <v>166</v>
      </c>
      <c r="B159" s="9">
        <f>45*2</f>
        <v>90</v>
      </c>
      <c r="C159" s="10">
        <v>7500</v>
      </c>
      <c r="D159" s="11">
        <f t="shared" si="2"/>
        <v>675000</v>
      </c>
    </row>
    <row r="160" spans="1:4" ht="18.75" hidden="1" x14ac:dyDescent="0.25">
      <c r="A160" s="8" t="s">
        <v>167</v>
      </c>
      <c r="B160" s="9"/>
      <c r="C160" s="10"/>
      <c r="D160" s="11">
        <f t="shared" si="2"/>
        <v>0</v>
      </c>
    </row>
    <row r="161" spans="1:4" ht="18.75" x14ac:dyDescent="0.25">
      <c r="A161" s="8" t="s">
        <v>168</v>
      </c>
      <c r="B161" s="9">
        <f>9+165</f>
        <v>174</v>
      </c>
      <c r="C161" s="12">
        <v>15000</v>
      </c>
      <c r="D161" s="11">
        <f t="shared" si="2"/>
        <v>2610000</v>
      </c>
    </row>
    <row r="162" spans="1:4" ht="18.75" hidden="1" x14ac:dyDescent="0.25">
      <c r="A162" s="8" t="s">
        <v>169</v>
      </c>
      <c r="B162" s="9"/>
      <c r="C162" s="10"/>
      <c r="D162" s="11">
        <f t="shared" si="2"/>
        <v>0</v>
      </c>
    </row>
    <row r="163" spans="1:4" ht="18.75" hidden="1" x14ac:dyDescent="0.25">
      <c r="A163" s="8" t="s">
        <v>170</v>
      </c>
      <c r="B163" s="9"/>
      <c r="C163" s="10"/>
      <c r="D163" s="11">
        <f t="shared" si="2"/>
        <v>0</v>
      </c>
    </row>
    <row r="164" spans="1:4" ht="18.75" x14ac:dyDescent="0.25">
      <c r="A164" s="8" t="s">
        <v>8</v>
      </c>
      <c r="B164" s="9">
        <v>18</v>
      </c>
      <c r="C164" s="12">
        <v>40000</v>
      </c>
      <c r="D164" s="11">
        <f t="shared" si="2"/>
        <v>720000</v>
      </c>
    </row>
    <row r="165" spans="1:4" ht="18.75" hidden="1" x14ac:dyDescent="0.25">
      <c r="A165" s="8" t="s">
        <v>9</v>
      </c>
      <c r="B165" s="9"/>
      <c r="C165" s="10"/>
      <c r="D165" s="11">
        <f t="shared" si="2"/>
        <v>0</v>
      </c>
    </row>
    <row r="166" spans="1:4" ht="18.75" hidden="1" x14ac:dyDescent="0.25">
      <c r="A166" s="8" t="s">
        <v>10</v>
      </c>
      <c r="B166" s="9"/>
      <c r="C166" s="10">
        <v>21000</v>
      </c>
      <c r="D166" s="11">
        <f t="shared" si="2"/>
        <v>0</v>
      </c>
    </row>
    <row r="167" spans="1:4" ht="18.75" hidden="1" x14ac:dyDescent="0.25">
      <c r="A167" s="14" t="s">
        <v>56</v>
      </c>
      <c r="B167" s="9"/>
      <c r="C167" s="10"/>
      <c r="D167" s="11">
        <f t="shared" si="2"/>
        <v>0</v>
      </c>
    </row>
    <row r="168" spans="1:4" ht="18.75" hidden="1" x14ac:dyDescent="0.25">
      <c r="A168" s="8" t="s">
        <v>171</v>
      </c>
      <c r="B168" s="9"/>
      <c r="C168" s="13"/>
      <c r="D168" s="11">
        <f t="shared" si="2"/>
        <v>0</v>
      </c>
    </row>
    <row r="169" spans="1:4" ht="18.75" hidden="1" x14ac:dyDescent="0.25">
      <c r="A169" s="8" t="s">
        <v>172</v>
      </c>
      <c r="B169" s="9"/>
      <c r="C169" s="13"/>
      <c r="D169" s="11">
        <f t="shared" si="2"/>
        <v>0</v>
      </c>
    </row>
    <row r="170" spans="1:4" ht="18.75" hidden="1" x14ac:dyDescent="0.25">
      <c r="A170" s="8" t="s">
        <v>173</v>
      </c>
      <c r="B170" s="9"/>
      <c r="C170" s="13">
        <v>25000</v>
      </c>
      <c r="D170" s="11">
        <f t="shared" si="2"/>
        <v>0</v>
      </c>
    </row>
    <row r="171" spans="1:4" ht="18.75" hidden="1" x14ac:dyDescent="0.25">
      <c r="A171" s="8" t="s">
        <v>174</v>
      </c>
      <c r="B171" s="9"/>
      <c r="C171" s="13">
        <v>6100</v>
      </c>
      <c r="D171" s="11">
        <f t="shared" si="2"/>
        <v>0</v>
      </c>
    </row>
    <row r="172" spans="1:4" ht="18.75" hidden="1" x14ac:dyDescent="0.25">
      <c r="A172" s="8" t="s">
        <v>175</v>
      </c>
      <c r="B172" s="9"/>
      <c r="C172" s="13"/>
      <c r="D172" s="11">
        <f t="shared" si="2"/>
        <v>0</v>
      </c>
    </row>
    <row r="173" spans="1:4" ht="18.75" hidden="1" x14ac:dyDescent="0.25">
      <c r="A173" s="8" t="s">
        <v>176</v>
      </c>
      <c r="B173" s="9"/>
      <c r="C173" s="13"/>
      <c r="D173" s="11">
        <f t="shared" si="2"/>
        <v>0</v>
      </c>
    </row>
    <row r="174" spans="1:4" ht="18.75" hidden="1" x14ac:dyDescent="0.25">
      <c r="A174" s="8" t="s">
        <v>177</v>
      </c>
      <c r="B174" s="9"/>
      <c r="C174" s="12"/>
      <c r="D174" s="11">
        <f t="shared" si="2"/>
        <v>0</v>
      </c>
    </row>
    <row r="175" spans="1:4" ht="18.75" hidden="1" x14ac:dyDescent="0.25">
      <c r="A175" s="27" t="s">
        <v>178</v>
      </c>
      <c r="B175" s="9"/>
      <c r="C175" s="12"/>
      <c r="D175" s="11">
        <f t="shared" si="2"/>
        <v>0</v>
      </c>
    </row>
    <row r="176" spans="1:4" ht="18.75" hidden="1" x14ac:dyDescent="0.25">
      <c r="A176" s="27" t="s">
        <v>179</v>
      </c>
      <c r="B176" s="9"/>
      <c r="C176" s="13">
        <v>25000</v>
      </c>
      <c r="D176" s="11">
        <f t="shared" si="2"/>
        <v>0</v>
      </c>
    </row>
    <row r="177" spans="1:4" ht="18.75" hidden="1" x14ac:dyDescent="0.25">
      <c r="A177" s="27" t="s">
        <v>180</v>
      </c>
      <c r="B177" s="9"/>
      <c r="C177" s="13"/>
      <c r="D177" s="11">
        <f t="shared" si="2"/>
        <v>0</v>
      </c>
    </row>
    <row r="178" spans="1:4" ht="18.75" hidden="1" x14ac:dyDescent="0.25">
      <c r="A178" s="27" t="s">
        <v>181</v>
      </c>
      <c r="B178" s="9"/>
      <c r="C178" s="12"/>
      <c r="D178" s="11">
        <f t="shared" si="2"/>
        <v>0</v>
      </c>
    </row>
    <row r="179" spans="1:4" ht="18.75" hidden="1" x14ac:dyDescent="0.25">
      <c r="A179" s="27" t="s">
        <v>182</v>
      </c>
      <c r="B179" s="9"/>
      <c r="C179" s="12"/>
      <c r="D179" s="11">
        <f t="shared" si="2"/>
        <v>0</v>
      </c>
    </row>
    <row r="180" spans="1:4" ht="18.75" hidden="1" x14ac:dyDescent="0.25">
      <c r="A180" s="8" t="s">
        <v>183</v>
      </c>
      <c r="B180" s="9"/>
      <c r="C180" s="13">
        <v>6100</v>
      </c>
      <c r="D180" s="11">
        <f t="shared" si="2"/>
        <v>0</v>
      </c>
    </row>
    <row r="181" spans="1:4" ht="18.75" hidden="1" x14ac:dyDescent="0.25">
      <c r="A181" s="8" t="s">
        <v>184</v>
      </c>
      <c r="B181" s="9"/>
      <c r="C181" s="13"/>
      <c r="D181" s="11">
        <f t="shared" si="2"/>
        <v>0</v>
      </c>
    </row>
    <row r="182" spans="1:4" ht="18.75" hidden="1" x14ac:dyDescent="0.25">
      <c r="A182" s="8" t="s">
        <v>185</v>
      </c>
      <c r="B182" s="9"/>
      <c r="C182" s="13">
        <v>23000</v>
      </c>
      <c r="D182" s="11">
        <f t="shared" si="2"/>
        <v>0</v>
      </c>
    </row>
    <row r="183" spans="1:4" ht="18.75" hidden="1" x14ac:dyDescent="0.25">
      <c r="A183" s="8" t="s">
        <v>186</v>
      </c>
      <c r="B183" s="9"/>
      <c r="C183" s="13">
        <v>25000</v>
      </c>
      <c r="D183" s="11">
        <f t="shared" si="2"/>
        <v>0</v>
      </c>
    </row>
    <row r="184" spans="1:4" ht="18.75" hidden="1" x14ac:dyDescent="0.25">
      <c r="A184" s="8" t="s">
        <v>187</v>
      </c>
      <c r="B184" s="9"/>
      <c r="C184" s="13"/>
      <c r="D184" s="11">
        <f t="shared" si="2"/>
        <v>0</v>
      </c>
    </row>
    <row r="185" spans="1:4" ht="18.75" hidden="1" x14ac:dyDescent="0.25">
      <c r="A185" s="8" t="s">
        <v>188</v>
      </c>
      <c r="B185" s="9"/>
      <c r="C185" s="10"/>
      <c r="D185" s="11">
        <f t="shared" si="2"/>
        <v>0</v>
      </c>
    </row>
    <row r="186" spans="1:4" ht="18.75" hidden="1" x14ac:dyDescent="0.25">
      <c r="A186" s="8" t="s">
        <v>189</v>
      </c>
      <c r="B186" s="9"/>
      <c r="C186" s="13"/>
      <c r="D186" s="11">
        <f t="shared" si="2"/>
        <v>0</v>
      </c>
    </row>
    <row r="187" spans="1:4" ht="18.75" hidden="1" x14ac:dyDescent="0.25">
      <c r="A187" s="8" t="s">
        <v>190</v>
      </c>
      <c r="B187" s="9"/>
      <c r="C187" s="12"/>
      <c r="D187" s="11">
        <f t="shared" si="2"/>
        <v>0</v>
      </c>
    </row>
    <row r="188" spans="1:4" ht="18.75" hidden="1" x14ac:dyDescent="0.25">
      <c r="A188" s="8" t="s">
        <v>191</v>
      </c>
      <c r="B188" s="9"/>
      <c r="C188" s="10"/>
      <c r="D188" s="11">
        <f t="shared" si="2"/>
        <v>0</v>
      </c>
    </row>
    <row r="189" spans="1:4" ht="18.75" hidden="1" x14ac:dyDescent="0.25">
      <c r="A189" s="8" t="s">
        <v>192</v>
      </c>
      <c r="B189" s="9"/>
      <c r="C189" s="13"/>
      <c r="D189" s="11">
        <f t="shared" si="2"/>
        <v>0</v>
      </c>
    </row>
    <row r="190" spans="1:4" ht="18.75" hidden="1" x14ac:dyDescent="0.25">
      <c r="A190" s="8" t="s">
        <v>193</v>
      </c>
      <c r="B190" s="9"/>
      <c r="C190" s="10">
        <v>18000</v>
      </c>
      <c r="D190" s="11">
        <f t="shared" si="2"/>
        <v>0</v>
      </c>
    </row>
    <row r="191" spans="1:4" ht="18.75" hidden="1" x14ac:dyDescent="0.25">
      <c r="A191" s="8" t="s">
        <v>194</v>
      </c>
      <c r="B191" s="9"/>
      <c r="C191" s="10"/>
      <c r="D191" s="11">
        <f t="shared" si="2"/>
        <v>0</v>
      </c>
    </row>
    <row r="192" spans="1:4" ht="18.75" hidden="1" x14ac:dyDescent="0.25">
      <c r="A192" s="8" t="s">
        <v>195</v>
      </c>
      <c r="B192" s="9"/>
      <c r="C192" s="10"/>
      <c r="D192" s="11">
        <f t="shared" si="2"/>
        <v>0</v>
      </c>
    </row>
    <row r="193" spans="1:4" ht="18.75" x14ac:dyDescent="0.25">
      <c r="A193" s="14" t="s">
        <v>196</v>
      </c>
      <c r="B193" s="9">
        <f>6*4</f>
        <v>24</v>
      </c>
      <c r="C193" s="12">
        <v>3000</v>
      </c>
      <c r="D193" s="11">
        <f t="shared" si="2"/>
        <v>72000</v>
      </c>
    </row>
    <row r="194" spans="1:4" ht="18.75" hidden="1" x14ac:dyDescent="0.25">
      <c r="A194" s="14" t="s">
        <v>197</v>
      </c>
      <c r="B194" s="9"/>
      <c r="C194" s="10"/>
      <c r="D194" s="11">
        <f t="shared" si="2"/>
        <v>0</v>
      </c>
    </row>
    <row r="195" spans="1:4" ht="18.75" hidden="1" x14ac:dyDescent="0.25">
      <c r="A195" s="8" t="s">
        <v>198</v>
      </c>
      <c r="B195" s="9"/>
      <c r="C195" s="10"/>
      <c r="D195" s="11">
        <f t="shared" si="2"/>
        <v>0</v>
      </c>
    </row>
    <row r="196" spans="1:4" ht="18.75" x14ac:dyDescent="0.25">
      <c r="A196" s="8" t="s">
        <v>199</v>
      </c>
      <c r="B196" s="9">
        <v>1</v>
      </c>
      <c r="C196" s="12">
        <v>18000</v>
      </c>
      <c r="D196" s="11">
        <f t="shared" si="2"/>
        <v>18000</v>
      </c>
    </row>
    <row r="197" spans="1:4" ht="18.75" hidden="1" x14ac:dyDescent="0.25">
      <c r="A197" s="8" t="s">
        <v>200</v>
      </c>
      <c r="B197" s="9"/>
      <c r="C197" s="12"/>
      <c r="D197" s="11">
        <f t="shared" ref="D197:D213" si="3">B197*C197</f>
        <v>0</v>
      </c>
    </row>
    <row r="198" spans="1:4" ht="18.75" hidden="1" x14ac:dyDescent="0.25">
      <c r="A198" s="8" t="s">
        <v>201</v>
      </c>
      <c r="B198" s="9"/>
      <c r="C198" s="19"/>
      <c r="D198" s="11">
        <f t="shared" si="3"/>
        <v>0</v>
      </c>
    </row>
    <row r="199" spans="1:4" ht="18.75" hidden="1" x14ac:dyDescent="0.25">
      <c r="A199" s="8" t="s">
        <v>202</v>
      </c>
      <c r="B199" s="9"/>
      <c r="C199" s="12">
        <v>23000</v>
      </c>
      <c r="D199" s="11">
        <f t="shared" si="3"/>
        <v>0</v>
      </c>
    </row>
    <row r="200" spans="1:4" ht="18.75" hidden="1" x14ac:dyDescent="0.25">
      <c r="A200" s="8" t="s">
        <v>203</v>
      </c>
      <c r="B200" s="9"/>
      <c r="C200" s="12"/>
      <c r="D200" s="11">
        <f t="shared" si="3"/>
        <v>0</v>
      </c>
    </row>
    <row r="201" spans="1:4" ht="18.75" x14ac:dyDescent="0.25">
      <c r="A201" s="8" t="s">
        <v>204</v>
      </c>
      <c r="B201" s="9">
        <v>900</v>
      </c>
      <c r="C201" s="13">
        <v>6500</v>
      </c>
      <c r="D201" s="11">
        <f t="shared" si="3"/>
        <v>5850000</v>
      </c>
    </row>
    <row r="202" spans="1:4" ht="18.75" x14ac:dyDescent="0.25">
      <c r="A202" s="8" t="s">
        <v>205</v>
      </c>
      <c r="B202" s="9">
        <f>110+140</f>
        <v>250</v>
      </c>
      <c r="C202" s="10">
        <v>13000</v>
      </c>
      <c r="D202" s="11">
        <f t="shared" si="3"/>
        <v>3250000</v>
      </c>
    </row>
    <row r="203" spans="1:4" ht="18.75" hidden="1" x14ac:dyDescent="0.25">
      <c r="A203" s="8" t="s">
        <v>242</v>
      </c>
      <c r="B203" s="9"/>
      <c r="C203" s="10"/>
      <c r="D203" s="11">
        <f t="shared" si="3"/>
        <v>0</v>
      </c>
    </row>
    <row r="204" spans="1:4" ht="18.75" hidden="1" x14ac:dyDescent="0.25">
      <c r="A204" s="8" t="s">
        <v>243</v>
      </c>
      <c r="B204" s="9"/>
      <c r="C204" s="10"/>
      <c r="D204" s="11">
        <f t="shared" si="3"/>
        <v>0</v>
      </c>
    </row>
    <row r="205" spans="1:4" ht="18.75" hidden="1" x14ac:dyDescent="0.25">
      <c r="A205" s="8" t="s">
        <v>206</v>
      </c>
      <c r="B205" s="9"/>
      <c r="C205" s="13"/>
      <c r="D205" s="11">
        <f t="shared" si="3"/>
        <v>0</v>
      </c>
    </row>
    <row r="206" spans="1:4" ht="18.75" hidden="1" x14ac:dyDescent="0.25">
      <c r="A206" s="8" t="s">
        <v>207</v>
      </c>
      <c r="B206" s="9"/>
      <c r="C206" s="13"/>
      <c r="D206" s="11">
        <f t="shared" si="3"/>
        <v>0</v>
      </c>
    </row>
    <row r="207" spans="1:4" ht="18.75" hidden="1" x14ac:dyDescent="0.25">
      <c r="A207" s="8" t="s">
        <v>208</v>
      </c>
      <c r="B207" s="9"/>
      <c r="C207" s="13"/>
      <c r="D207" s="11">
        <f t="shared" si="3"/>
        <v>0</v>
      </c>
    </row>
    <row r="208" spans="1:4" ht="18.75" hidden="1" x14ac:dyDescent="0.25">
      <c r="A208" s="14" t="s">
        <v>209</v>
      </c>
      <c r="B208" s="9"/>
      <c r="C208" s="10"/>
      <c r="D208" s="11">
        <f t="shared" si="3"/>
        <v>0</v>
      </c>
    </row>
    <row r="209" spans="1:4" ht="18.75" hidden="1" x14ac:dyDescent="0.25">
      <c r="A209" s="8" t="s">
        <v>210</v>
      </c>
      <c r="B209" s="9"/>
      <c r="C209" s="12"/>
      <c r="D209" s="11">
        <f t="shared" si="3"/>
        <v>0</v>
      </c>
    </row>
    <row r="210" spans="1:4" ht="18.75" hidden="1" x14ac:dyDescent="0.25">
      <c r="A210" s="8" t="s">
        <v>211</v>
      </c>
      <c r="B210" s="9"/>
      <c r="C210" s="13"/>
      <c r="D210" s="11">
        <f t="shared" si="3"/>
        <v>0</v>
      </c>
    </row>
    <row r="211" spans="1:4" ht="18.75" hidden="1" x14ac:dyDescent="0.25">
      <c r="A211" s="8" t="s">
        <v>212</v>
      </c>
      <c r="B211" s="9"/>
      <c r="C211" s="13"/>
      <c r="D211" s="11">
        <f t="shared" si="3"/>
        <v>0</v>
      </c>
    </row>
    <row r="212" spans="1:4" ht="18.75" hidden="1" x14ac:dyDescent="0.25">
      <c r="A212" s="8" t="s">
        <v>213</v>
      </c>
      <c r="B212" s="9"/>
      <c r="C212" s="13"/>
      <c r="D212" s="11">
        <f t="shared" si="3"/>
        <v>0</v>
      </c>
    </row>
    <row r="213" spans="1:4" ht="18.75" hidden="1" x14ac:dyDescent="0.2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2533</v>
      </c>
      <c r="C214" s="29">
        <f t="shared" si="4"/>
        <v>1327700</v>
      </c>
      <c r="D214" s="29">
        <f t="shared" si="4"/>
        <v>33478000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21" sqref="F21"/>
    </sheetView>
  </sheetViews>
  <sheetFormatPr defaultRowHeight="15" x14ac:dyDescent="0.25"/>
  <cols>
    <col min="1" max="1" width="27.85546875" customWidth="1"/>
    <col min="4" max="4" width="15.140625" customWidth="1"/>
  </cols>
  <sheetData>
    <row r="1" spans="1:4" x14ac:dyDescent="0.25">
      <c r="A1" s="1" t="s">
        <v>249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idden="1" x14ac:dyDescent="0.25">
      <c r="A3" s="51"/>
      <c r="B3" s="4"/>
      <c r="C3" s="6"/>
      <c r="D3" s="7"/>
    </row>
    <row r="4" spans="1:4" ht="18.75" hidden="1" x14ac:dyDescent="0.25">
      <c r="A4" s="8" t="s">
        <v>8</v>
      </c>
      <c r="B4" s="9"/>
      <c r="C4" s="12"/>
      <c r="D4" s="11">
        <f>B4*C4</f>
        <v>0</v>
      </c>
    </row>
    <row r="5" spans="1:4" ht="18.75" hidden="1" x14ac:dyDescent="0.25">
      <c r="A5" s="8" t="s">
        <v>9</v>
      </c>
      <c r="B5" s="9"/>
      <c r="C5" s="10"/>
      <c r="D5" s="11">
        <f t="shared" ref="D5:D68" si="0">B5*C5</f>
        <v>0</v>
      </c>
    </row>
    <row r="6" spans="1:4" ht="18.75" x14ac:dyDescent="0.25">
      <c r="A6" s="8" t="s">
        <v>11</v>
      </c>
      <c r="B6" s="9">
        <v>5</v>
      </c>
      <c r="C6" s="10">
        <v>35000</v>
      </c>
      <c r="D6" s="11">
        <f t="shared" si="0"/>
        <v>175000</v>
      </c>
    </row>
    <row r="7" spans="1:4" ht="18.75" x14ac:dyDescent="0.25">
      <c r="A7" s="8" t="s">
        <v>12</v>
      </c>
      <c r="B7" s="9">
        <v>33</v>
      </c>
      <c r="C7" s="10">
        <v>25000</v>
      </c>
      <c r="D7" s="11">
        <f t="shared" si="0"/>
        <v>825000</v>
      </c>
    </row>
    <row r="8" spans="1:4" ht="18.75" hidden="1" x14ac:dyDescent="0.25">
      <c r="A8" s="8" t="s">
        <v>13</v>
      </c>
      <c r="B8" s="9"/>
      <c r="C8" s="10"/>
      <c r="D8" s="11">
        <f t="shared" si="0"/>
        <v>0</v>
      </c>
    </row>
    <row r="9" spans="1:4" ht="18.75" x14ac:dyDescent="0.25">
      <c r="A9" s="8" t="s">
        <v>14</v>
      </c>
      <c r="B9" s="9">
        <v>19</v>
      </c>
      <c r="C9" s="12">
        <v>43000</v>
      </c>
      <c r="D9" s="11">
        <f t="shared" si="0"/>
        <v>817000</v>
      </c>
    </row>
    <row r="10" spans="1:4" ht="18.75" x14ac:dyDescent="0.25">
      <c r="A10" s="8" t="s">
        <v>15</v>
      </c>
      <c r="B10" s="9">
        <v>7</v>
      </c>
      <c r="C10" s="12">
        <v>35000</v>
      </c>
      <c r="D10" s="11">
        <f t="shared" si="0"/>
        <v>245000</v>
      </c>
    </row>
    <row r="11" spans="1:4" ht="18.75" hidden="1" x14ac:dyDescent="0.25">
      <c r="A11" s="8" t="s">
        <v>16</v>
      </c>
      <c r="B11" s="9"/>
      <c r="C11" s="12"/>
      <c r="D11" s="11">
        <f t="shared" si="0"/>
        <v>0</v>
      </c>
    </row>
    <row r="12" spans="1:4" ht="18.75" x14ac:dyDescent="0.25">
      <c r="A12" s="8" t="s">
        <v>17</v>
      </c>
      <c r="B12" s="9">
        <f>6+16+40+20+14-4</f>
        <v>92</v>
      </c>
      <c r="C12" s="10">
        <v>17000</v>
      </c>
      <c r="D12" s="11">
        <f t="shared" si="0"/>
        <v>1564000</v>
      </c>
    </row>
    <row r="13" spans="1:4" ht="18.75" hidden="1" x14ac:dyDescent="0.25">
      <c r="A13" s="8" t="s">
        <v>18</v>
      </c>
      <c r="B13" s="9"/>
      <c r="C13" s="10"/>
      <c r="D13" s="11">
        <f t="shared" si="0"/>
        <v>0</v>
      </c>
    </row>
    <row r="14" spans="1:4" ht="18.75" hidden="1" x14ac:dyDescent="0.25">
      <c r="A14" s="8" t="s">
        <v>19</v>
      </c>
      <c r="B14" s="9"/>
      <c r="C14" s="10"/>
      <c r="D14" s="11">
        <f t="shared" si="0"/>
        <v>0</v>
      </c>
    </row>
    <row r="15" spans="1:4" ht="18.75" hidden="1" x14ac:dyDescent="0.25">
      <c r="A15" s="8" t="s">
        <v>20</v>
      </c>
      <c r="B15" s="9"/>
      <c r="C15" s="13"/>
      <c r="D15" s="11">
        <f t="shared" si="0"/>
        <v>0</v>
      </c>
    </row>
    <row r="16" spans="1:4" ht="18.75" hidden="1" x14ac:dyDescent="0.25">
      <c r="A16" s="8" t="s">
        <v>21</v>
      </c>
      <c r="B16" s="9"/>
      <c r="C16" s="10"/>
      <c r="D16" s="11">
        <f t="shared" si="0"/>
        <v>0</v>
      </c>
    </row>
    <row r="17" spans="1:4" ht="18.75" hidden="1" x14ac:dyDescent="0.25">
      <c r="A17" s="8" t="s">
        <v>24</v>
      </c>
      <c r="B17" s="9"/>
      <c r="C17" s="10"/>
      <c r="D17" s="11">
        <f t="shared" si="0"/>
        <v>0</v>
      </c>
    </row>
    <row r="18" spans="1:4" ht="18.75" hidden="1" x14ac:dyDescent="0.25">
      <c r="A18" s="14" t="s">
        <v>25</v>
      </c>
      <c r="B18" s="9"/>
      <c r="C18" s="13"/>
      <c r="D18" s="11">
        <f t="shared" si="0"/>
        <v>0</v>
      </c>
    </row>
    <row r="19" spans="1:4" ht="18.75" hidden="1" x14ac:dyDescent="0.25">
      <c r="A19" s="18" t="s">
        <v>62</v>
      </c>
      <c r="B19" s="9"/>
      <c r="C19" s="19"/>
      <c r="D19" s="11">
        <f t="shared" si="0"/>
        <v>0</v>
      </c>
    </row>
    <row r="20" spans="1:4" ht="18.75" hidden="1" x14ac:dyDescent="0.25">
      <c r="A20" s="18" t="s">
        <v>63</v>
      </c>
      <c r="B20" s="9"/>
      <c r="C20" s="10">
        <v>10000</v>
      </c>
      <c r="D20" s="11">
        <f t="shared" si="0"/>
        <v>0</v>
      </c>
    </row>
    <row r="21" spans="1:4" ht="18.75" x14ac:dyDescent="0.25">
      <c r="A21" s="8" t="s">
        <v>165</v>
      </c>
      <c r="B21" s="9">
        <v>165</v>
      </c>
      <c r="C21" s="10">
        <v>21000</v>
      </c>
      <c r="D21" s="11">
        <f t="shared" si="0"/>
        <v>3465000</v>
      </c>
    </row>
    <row r="22" spans="1:4" ht="18.75" x14ac:dyDescent="0.25">
      <c r="A22" s="26" t="s">
        <v>166</v>
      </c>
      <c r="B22" s="9">
        <f>119*2</f>
        <v>238</v>
      </c>
      <c r="C22" s="10">
        <v>7000</v>
      </c>
      <c r="D22" s="11">
        <f t="shared" si="0"/>
        <v>1666000</v>
      </c>
    </row>
    <row r="23" spans="1:4" ht="18.75" hidden="1" x14ac:dyDescent="0.25">
      <c r="A23" s="8" t="s">
        <v>26</v>
      </c>
      <c r="B23" s="9"/>
      <c r="C23" s="10"/>
      <c r="D23" s="11">
        <f t="shared" si="0"/>
        <v>0</v>
      </c>
    </row>
    <row r="24" spans="1:4" ht="18.75" hidden="1" x14ac:dyDescent="0.25">
      <c r="A24" s="8" t="s">
        <v>27</v>
      </c>
      <c r="B24" s="9"/>
      <c r="C24" s="10"/>
      <c r="D24" s="11">
        <f t="shared" si="0"/>
        <v>0</v>
      </c>
    </row>
    <row r="25" spans="1:4" ht="18.75" hidden="1" x14ac:dyDescent="0.25">
      <c r="A25" s="8" t="s">
        <v>28</v>
      </c>
      <c r="B25" s="9"/>
      <c r="C25" s="10"/>
      <c r="D25" s="11">
        <f t="shared" si="0"/>
        <v>0</v>
      </c>
    </row>
    <row r="26" spans="1:4" ht="18.75" hidden="1" x14ac:dyDescent="0.25">
      <c r="A26" s="14" t="s">
        <v>29</v>
      </c>
      <c r="B26" s="9"/>
      <c r="C26" s="15"/>
      <c r="D26" s="11">
        <f t="shared" si="0"/>
        <v>0</v>
      </c>
    </row>
    <row r="27" spans="1:4" ht="18.75" hidden="1" x14ac:dyDescent="0.25">
      <c r="A27" s="8" t="s">
        <v>30</v>
      </c>
      <c r="B27" s="9"/>
      <c r="C27" s="10"/>
      <c r="D27" s="11">
        <f t="shared" si="0"/>
        <v>0</v>
      </c>
    </row>
    <row r="28" spans="1:4" ht="18.75" hidden="1" x14ac:dyDescent="0.25">
      <c r="A28" s="8" t="s">
        <v>31</v>
      </c>
      <c r="B28" s="9"/>
      <c r="C28" s="10"/>
      <c r="D28" s="11">
        <f t="shared" si="0"/>
        <v>0</v>
      </c>
    </row>
    <row r="29" spans="1:4" ht="18.75" hidden="1" x14ac:dyDescent="0.25">
      <c r="A29" s="14" t="s">
        <v>32</v>
      </c>
      <c r="B29" s="9"/>
      <c r="C29" s="10"/>
      <c r="D29" s="11">
        <f t="shared" si="0"/>
        <v>0</v>
      </c>
    </row>
    <row r="30" spans="1:4" ht="18.75" hidden="1" x14ac:dyDescent="0.25">
      <c r="A30" s="8" t="s">
        <v>33</v>
      </c>
      <c r="B30" s="9"/>
      <c r="C30" s="13"/>
      <c r="D30" s="11">
        <f t="shared" si="0"/>
        <v>0</v>
      </c>
    </row>
    <row r="31" spans="1:4" ht="18.75" hidden="1" x14ac:dyDescent="0.25">
      <c r="A31" s="8" t="s">
        <v>34</v>
      </c>
      <c r="B31" s="9"/>
      <c r="C31" s="10"/>
      <c r="D31" s="11">
        <f t="shared" si="0"/>
        <v>0</v>
      </c>
    </row>
    <row r="32" spans="1:4" ht="18.75" hidden="1" x14ac:dyDescent="0.25">
      <c r="A32" s="8" t="s">
        <v>35</v>
      </c>
      <c r="B32" s="9"/>
      <c r="C32" s="15">
        <v>110000</v>
      </c>
      <c r="D32" s="11">
        <f t="shared" si="0"/>
        <v>0</v>
      </c>
    </row>
    <row r="33" spans="1:4" ht="18.75" hidden="1" x14ac:dyDescent="0.25">
      <c r="A33" s="8" t="s">
        <v>36</v>
      </c>
      <c r="B33" s="9"/>
      <c r="C33" s="10"/>
      <c r="D33" s="11">
        <f t="shared" si="0"/>
        <v>0</v>
      </c>
    </row>
    <row r="34" spans="1:4" ht="18.75" hidden="1" x14ac:dyDescent="0.25">
      <c r="A34" s="14" t="s">
        <v>37</v>
      </c>
      <c r="B34" s="9"/>
      <c r="C34" s="12">
        <v>20000</v>
      </c>
      <c r="D34" s="11">
        <f t="shared" si="0"/>
        <v>0</v>
      </c>
    </row>
    <row r="35" spans="1:4" ht="18.75" hidden="1" x14ac:dyDescent="0.25">
      <c r="A35" s="14" t="s">
        <v>38</v>
      </c>
      <c r="B35" s="9"/>
      <c r="C35" s="10"/>
      <c r="D35" s="11">
        <f t="shared" si="0"/>
        <v>0</v>
      </c>
    </row>
    <row r="36" spans="1:4" ht="18.75" hidden="1" x14ac:dyDescent="0.25">
      <c r="A36" s="8" t="s">
        <v>39</v>
      </c>
      <c r="B36" s="9"/>
      <c r="C36" s="10"/>
      <c r="D36" s="11">
        <f t="shared" si="0"/>
        <v>0</v>
      </c>
    </row>
    <row r="37" spans="1:4" ht="18.75" hidden="1" x14ac:dyDescent="0.25">
      <c r="A37" s="14" t="s">
        <v>40</v>
      </c>
      <c r="B37" s="9"/>
      <c r="C37" s="10"/>
      <c r="D37" s="11">
        <f t="shared" si="0"/>
        <v>0</v>
      </c>
    </row>
    <row r="38" spans="1:4" ht="18.75" hidden="1" x14ac:dyDescent="0.25">
      <c r="A38" s="8" t="s">
        <v>41</v>
      </c>
      <c r="B38" s="9"/>
      <c r="C38" s="10"/>
      <c r="D38" s="11">
        <f t="shared" si="0"/>
        <v>0</v>
      </c>
    </row>
    <row r="39" spans="1:4" ht="18.75" hidden="1" x14ac:dyDescent="0.25">
      <c r="A39" s="8" t="s">
        <v>42</v>
      </c>
      <c r="B39" s="9"/>
      <c r="C39" s="13"/>
      <c r="D39" s="11">
        <f t="shared" si="0"/>
        <v>0</v>
      </c>
    </row>
    <row r="40" spans="1:4" ht="18.75" hidden="1" x14ac:dyDescent="0.25">
      <c r="A40" s="16" t="s">
        <v>43</v>
      </c>
      <c r="B40" s="9"/>
      <c r="C40" s="10"/>
      <c r="D40" s="11">
        <f t="shared" si="0"/>
        <v>0</v>
      </c>
    </row>
    <row r="41" spans="1:4" ht="18.75" hidden="1" x14ac:dyDescent="0.25">
      <c r="A41" s="8" t="s">
        <v>44</v>
      </c>
      <c r="B41" s="9"/>
      <c r="C41" s="10">
        <v>15000</v>
      </c>
      <c r="D41" s="11">
        <f t="shared" si="0"/>
        <v>0</v>
      </c>
    </row>
    <row r="42" spans="1:4" ht="18.75" hidden="1" x14ac:dyDescent="0.25">
      <c r="A42" s="8" t="s">
        <v>45</v>
      </c>
      <c r="B42" s="9"/>
      <c r="C42" s="10"/>
      <c r="D42" s="11">
        <f t="shared" si="0"/>
        <v>0</v>
      </c>
    </row>
    <row r="43" spans="1:4" ht="18.75" hidden="1" x14ac:dyDescent="0.25">
      <c r="A43" s="8" t="s">
        <v>47</v>
      </c>
      <c r="B43" s="9"/>
      <c r="C43" s="12"/>
      <c r="D43" s="11">
        <f t="shared" si="0"/>
        <v>0</v>
      </c>
    </row>
    <row r="44" spans="1:4" ht="18.75" hidden="1" x14ac:dyDescent="0.25">
      <c r="A44" s="8" t="s">
        <v>49</v>
      </c>
      <c r="B44" s="9"/>
      <c r="C44" s="10"/>
      <c r="D44" s="11">
        <f t="shared" si="0"/>
        <v>0</v>
      </c>
    </row>
    <row r="45" spans="1:4" ht="18.75" hidden="1" x14ac:dyDescent="0.25">
      <c r="A45" s="8" t="s">
        <v>50</v>
      </c>
      <c r="B45" s="9"/>
      <c r="C45" s="10"/>
      <c r="D45" s="11">
        <f t="shared" si="0"/>
        <v>0</v>
      </c>
    </row>
    <row r="46" spans="1:4" ht="18.75" hidden="1" x14ac:dyDescent="0.25">
      <c r="A46" s="8" t="s">
        <v>51</v>
      </c>
      <c r="B46" s="9"/>
      <c r="C46" s="10"/>
      <c r="D46" s="11">
        <f t="shared" si="0"/>
        <v>0</v>
      </c>
    </row>
    <row r="47" spans="1:4" ht="18.75" hidden="1" x14ac:dyDescent="0.25">
      <c r="A47" s="8" t="s">
        <v>52</v>
      </c>
      <c r="B47" s="9"/>
      <c r="C47" s="12"/>
      <c r="D47" s="11">
        <f t="shared" si="0"/>
        <v>0</v>
      </c>
    </row>
    <row r="48" spans="1:4" ht="18.75" hidden="1" x14ac:dyDescent="0.25">
      <c r="A48" s="8" t="s">
        <v>53</v>
      </c>
      <c r="B48" s="9"/>
      <c r="C48" s="10"/>
      <c r="D48" s="11">
        <f t="shared" si="0"/>
        <v>0</v>
      </c>
    </row>
    <row r="49" spans="1:4" ht="18.75" hidden="1" x14ac:dyDescent="0.25">
      <c r="A49" s="8" t="s">
        <v>54</v>
      </c>
      <c r="B49" s="9"/>
      <c r="C49" s="10"/>
      <c r="D49" s="11">
        <f t="shared" si="0"/>
        <v>0</v>
      </c>
    </row>
    <row r="50" spans="1:4" ht="18.75" hidden="1" x14ac:dyDescent="0.25">
      <c r="A50" s="8" t="s">
        <v>55</v>
      </c>
      <c r="B50" s="9"/>
      <c r="C50" s="10"/>
      <c r="D50" s="11">
        <f t="shared" si="0"/>
        <v>0</v>
      </c>
    </row>
    <row r="51" spans="1:4" ht="18.75" hidden="1" x14ac:dyDescent="0.25">
      <c r="A51" s="8" t="s">
        <v>57</v>
      </c>
      <c r="B51" s="9"/>
      <c r="C51" s="10"/>
      <c r="D51" s="11">
        <f t="shared" si="0"/>
        <v>0</v>
      </c>
    </row>
    <row r="52" spans="1:4" ht="18.75" hidden="1" x14ac:dyDescent="0.25">
      <c r="A52" s="8" t="s">
        <v>58</v>
      </c>
      <c r="B52" s="9"/>
      <c r="C52" s="13"/>
      <c r="D52" s="11">
        <f t="shared" si="0"/>
        <v>0</v>
      </c>
    </row>
    <row r="53" spans="1:4" ht="18.75" hidden="1" x14ac:dyDescent="0.25">
      <c r="A53" s="14" t="s">
        <v>59</v>
      </c>
      <c r="B53" s="9"/>
      <c r="C53" s="10"/>
      <c r="D53" s="11">
        <f t="shared" si="0"/>
        <v>0</v>
      </c>
    </row>
    <row r="54" spans="1:4" ht="18.75" hidden="1" x14ac:dyDescent="0.25">
      <c r="A54" s="8" t="s">
        <v>60</v>
      </c>
      <c r="B54" s="9"/>
      <c r="C54" s="12">
        <v>15000</v>
      </c>
      <c r="D54" s="11">
        <f t="shared" si="0"/>
        <v>0</v>
      </c>
    </row>
    <row r="55" spans="1:4" ht="18.75" hidden="1" x14ac:dyDescent="0.25">
      <c r="A55" s="8" t="s">
        <v>61</v>
      </c>
      <c r="B55" s="17"/>
      <c r="C55" s="10"/>
      <c r="D55" s="11">
        <f t="shared" si="0"/>
        <v>0</v>
      </c>
    </row>
    <row r="56" spans="1:4" ht="18.75" hidden="1" x14ac:dyDescent="0.25">
      <c r="A56" s="14" t="s">
        <v>64</v>
      </c>
      <c r="B56" s="9"/>
      <c r="C56" s="10"/>
      <c r="D56" s="11">
        <f t="shared" si="0"/>
        <v>0</v>
      </c>
    </row>
    <row r="57" spans="1:4" ht="18.75" x14ac:dyDescent="0.25">
      <c r="A57" s="8" t="s">
        <v>65</v>
      </c>
      <c r="B57" s="9">
        <v>3</v>
      </c>
      <c r="C57" s="12">
        <v>17000</v>
      </c>
      <c r="D57" s="11">
        <f t="shared" si="0"/>
        <v>51000</v>
      </c>
    </row>
    <row r="58" spans="1:4" ht="18.75" hidden="1" x14ac:dyDescent="0.25">
      <c r="A58" s="14" t="s">
        <v>66</v>
      </c>
      <c r="B58" s="9"/>
      <c r="C58" s="10"/>
      <c r="D58" s="11">
        <f t="shared" si="0"/>
        <v>0</v>
      </c>
    </row>
    <row r="59" spans="1:4" ht="18.75" hidden="1" x14ac:dyDescent="0.25">
      <c r="A59" s="8" t="s">
        <v>5</v>
      </c>
      <c r="B59" s="9"/>
      <c r="C59" s="10">
        <v>10000</v>
      </c>
      <c r="D59" s="11">
        <f t="shared" si="0"/>
        <v>0</v>
      </c>
    </row>
    <row r="60" spans="1:4" ht="18.75" x14ac:dyDescent="0.25">
      <c r="A60" s="8" t="s">
        <v>6</v>
      </c>
      <c r="B60" s="9">
        <f>353-15</f>
        <v>338</v>
      </c>
      <c r="C60" s="10">
        <v>12000</v>
      </c>
      <c r="D60" s="11">
        <f t="shared" si="0"/>
        <v>4056000</v>
      </c>
    </row>
    <row r="61" spans="1:4" ht="18.75" hidden="1" x14ac:dyDescent="0.25">
      <c r="A61" s="8" t="s">
        <v>7</v>
      </c>
      <c r="B61" s="9"/>
      <c r="C61" s="10"/>
      <c r="D61" s="11">
        <f t="shared" si="0"/>
        <v>0</v>
      </c>
    </row>
    <row r="62" spans="1:4" ht="18.75" hidden="1" x14ac:dyDescent="0.25">
      <c r="A62" s="8" t="s">
        <v>68</v>
      </c>
      <c r="B62" s="9"/>
      <c r="C62" s="10"/>
      <c r="D62" s="11">
        <f t="shared" si="0"/>
        <v>0</v>
      </c>
    </row>
    <row r="63" spans="1:4" ht="18.75" hidden="1" x14ac:dyDescent="0.25">
      <c r="A63" s="14" t="s">
        <v>69</v>
      </c>
      <c r="B63" s="9"/>
      <c r="C63" s="15">
        <v>38000</v>
      </c>
      <c r="D63" s="11">
        <f t="shared" si="0"/>
        <v>0</v>
      </c>
    </row>
    <row r="64" spans="1:4" ht="18.75" hidden="1" x14ac:dyDescent="0.25">
      <c r="A64" s="14" t="s">
        <v>70</v>
      </c>
      <c r="B64" s="9"/>
      <c r="C64" s="15"/>
      <c r="D64" s="11">
        <f t="shared" si="0"/>
        <v>0</v>
      </c>
    </row>
    <row r="65" spans="1:4" ht="18.75" hidden="1" x14ac:dyDescent="0.25">
      <c r="A65" s="14" t="s">
        <v>71</v>
      </c>
      <c r="B65" s="9"/>
      <c r="C65" s="10"/>
      <c r="D65" s="11">
        <f t="shared" si="0"/>
        <v>0</v>
      </c>
    </row>
    <row r="66" spans="1:4" ht="18.75" hidden="1" x14ac:dyDescent="0.25">
      <c r="A66" s="8" t="s">
        <v>72</v>
      </c>
      <c r="B66" s="9"/>
      <c r="C66" s="12"/>
      <c r="D66" s="11">
        <f t="shared" si="0"/>
        <v>0</v>
      </c>
    </row>
    <row r="67" spans="1:4" ht="18.75" hidden="1" x14ac:dyDescent="0.25">
      <c r="A67" s="8" t="s">
        <v>73</v>
      </c>
      <c r="B67" s="9"/>
      <c r="C67" s="12">
        <v>25000</v>
      </c>
      <c r="D67" s="11">
        <f t="shared" si="0"/>
        <v>0</v>
      </c>
    </row>
    <row r="68" spans="1:4" ht="18.75" hidden="1" x14ac:dyDescent="0.25">
      <c r="A68" s="8" t="s">
        <v>74</v>
      </c>
      <c r="B68" s="9"/>
      <c r="C68" s="13"/>
      <c r="D68" s="11">
        <f t="shared" si="0"/>
        <v>0</v>
      </c>
    </row>
    <row r="69" spans="1:4" ht="18.75" hidden="1" x14ac:dyDescent="0.25">
      <c r="A69" s="8" t="s">
        <v>75</v>
      </c>
      <c r="B69" s="9"/>
      <c r="C69" s="15"/>
      <c r="D69" s="11">
        <f t="shared" ref="D69:D132" si="1">B69*C69</f>
        <v>0</v>
      </c>
    </row>
    <row r="70" spans="1:4" ht="18.75" hidden="1" x14ac:dyDescent="0.25">
      <c r="A70" s="8" t="s">
        <v>76</v>
      </c>
      <c r="B70" s="9"/>
      <c r="C70" s="10"/>
      <c r="D70" s="11">
        <f t="shared" si="1"/>
        <v>0</v>
      </c>
    </row>
    <row r="71" spans="1:4" ht="18.75" hidden="1" x14ac:dyDescent="0.25">
      <c r="A71" s="8" t="s">
        <v>77</v>
      </c>
      <c r="B71" s="9"/>
      <c r="C71" s="13"/>
      <c r="D71" s="11">
        <f t="shared" si="1"/>
        <v>0</v>
      </c>
    </row>
    <row r="72" spans="1:4" ht="18.75" hidden="1" x14ac:dyDescent="0.25">
      <c r="A72" s="8" t="s">
        <v>78</v>
      </c>
      <c r="B72" s="9"/>
      <c r="C72" s="12"/>
      <c r="D72" s="11">
        <f t="shared" si="1"/>
        <v>0</v>
      </c>
    </row>
    <row r="73" spans="1:4" ht="18.75" hidden="1" x14ac:dyDescent="0.25">
      <c r="A73" s="20" t="s">
        <v>79</v>
      </c>
      <c r="B73" s="9"/>
      <c r="C73" s="13"/>
      <c r="D73" s="11">
        <f t="shared" si="1"/>
        <v>0</v>
      </c>
    </row>
    <row r="74" spans="1:4" ht="18.75" hidden="1" x14ac:dyDescent="0.25">
      <c r="A74" s="20" t="s">
        <v>80</v>
      </c>
      <c r="B74" s="9"/>
      <c r="C74" s="10"/>
      <c r="D74" s="11">
        <f t="shared" si="1"/>
        <v>0</v>
      </c>
    </row>
    <row r="75" spans="1:4" ht="18.75" hidden="1" x14ac:dyDescent="0.25">
      <c r="A75" s="20" t="s">
        <v>81</v>
      </c>
      <c r="B75" s="9"/>
      <c r="C75" s="13"/>
      <c r="D75" s="11">
        <f t="shared" si="1"/>
        <v>0</v>
      </c>
    </row>
    <row r="76" spans="1:4" ht="18.75" hidden="1" x14ac:dyDescent="0.25">
      <c r="A76" s="8" t="s">
        <v>82</v>
      </c>
      <c r="B76" s="9"/>
      <c r="C76" s="10">
        <v>150000</v>
      </c>
      <c r="D76" s="11">
        <f t="shared" si="1"/>
        <v>0</v>
      </c>
    </row>
    <row r="77" spans="1:4" ht="18.75" hidden="1" x14ac:dyDescent="0.25">
      <c r="A77" s="8" t="s">
        <v>83</v>
      </c>
      <c r="B77" s="9"/>
      <c r="C77" s="10"/>
      <c r="D77" s="11">
        <f t="shared" si="1"/>
        <v>0</v>
      </c>
    </row>
    <row r="78" spans="1:4" ht="18.75" hidden="1" x14ac:dyDescent="0.25">
      <c r="A78" s="8" t="s">
        <v>84</v>
      </c>
      <c r="B78" s="9"/>
      <c r="C78" s="10">
        <v>50000</v>
      </c>
      <c r="D78" s="11">
        <f t="shared" si="1"/>
        <v>0</v>
      </c>
    </row>
    <row r="79" spans="1:4" ht="18.75" x14ac:dyDescent="0.25">
      <c r="A79" s="8" t="s">
        <v>85</v>
      </c>
      <c r="B79" s="9">
        <v>1</v>
      </c>
      <c r="C79" s="10">
        <v>80000</v>
      </c>
      <c r="D79" s="11">
        <f t="shared" si="1"/>
        <v>80000</v>
      </c>
    </row>
    <row r="80" spans="1:4" ht="18.75" hidden="1" x14ac:dyDescent="0.25">
      <c r="A80" s="8" t="s">
        <v>86</v>
      </c>
      <c r="B80" s="9"/>
      <c r="C80" s="10">
        <v>50000</v>
      </c>
      <c r="D80" s="11">
        <f t="shared" si="1"/>
        <v>0</v>
      </c>
    </row>
    <row r="81" spans="1:4" ht="18.75" x14ac:dyDescent="0.25">
      <c r="A81" s="8" t="s">
        <v>87</v>
      </c>
      <c r="B81" s="9">
        <v>1</v>
      </c>
      <c r="C81" s="12">
        <v>70000</v>
      </c>
      <c r="D81" s="11">
        <f t="shared" si="1"/>
        <v>70000</v>
      </c>
    </row>
    <row r="82" spans="1:4" ht="18.75" hidden="1" x14ac:dyDescent="0.25">
      <c r="A82" s="8" t="s">
        <v>88</v>
      </c>
      <c r="B82" s="9"/>
      <c r="C82" s="10">
        <v>45000</v>
      </c>
      <c r="D82" s="11">
        <f t="shared" si="1"/>
        <v>0</v>
      </c>
    </row>
    <row r="83" spans="1:4" ht="18.75" hidden="1" x14ac:dyDescent="0.25">
      <c r="A83" s="8" t="s">
        <v>89</v>
      </c>
      <c r="B83" s="9"/>
      <c r="C83" s="12"/>
      <c r="D83" s="11">
        <f t="shared" si="1"/>
        <v>0</v>
      </c>
    </row>
    <row r="84" spans="1:4" ht="18.75" hidden="1" x14ac:dyDescent="0.25">
      <c r="A84" s="8" t="s">
        <v>90</v>
      </c>
      <c r="B84" s="9"/>
      <c r="C84" s="10">
        <v>50000</v>
      </c>
      <c r="D84" s="11">
        <f t="shared" si="1"/>
        <v>0</v>
      </c>
    </row>
    <row r="85" spans="1:4" ht="18.75" hidden="1" x14ac:dyDescent="0.25">
      <c r="A85" s="8" t="s">
        <v>91</v>
      </c>
      <c r="B85" s="9"/>
      <c r="C85" s="10"/>
      <c r="D85" s="11">
        <f t="shared" si="1"/>
        <v>0</v>
      </c>
    </row>
    <row r="86" spans="1:4" ht="18.75" hidden="1" x14ac:dyDescent="0.25">
      <c r="A86" s="8" t="s">
        <v>92</v>
      </c>
      <c r="B86" s="9"/>
      <c r="C86" s="10"/>
      <c r="D86" s="11">
        <f t="shared" si="1"/>
        <v>0</v>
      </c>
    </row>
    <row r="87" spans="1:4" ht="18.75" hidden="1" x14ac:dyDescent="0.25">
      <c r="A87" s="8" t="s">
        <v>93</v>
      </c>
      <c r="B87" s="9"/>
      <c r="C87" s="10"/>
      <c r="D87" s="11">
        <f t="shared" si="1"/>
        <v>0</v>
      </c>
    </row>
    <row r="88" spans="1:4" ht="18.75" hidden="1" x14ac:dyDescent="0.25">
      <c r="A88" s="8" t="s">
        <v>94</v>
      </c>
      <c r="B88" s="9"/>
      <c r="C88" s="10"/>
      <c r="D88" s="11">
        <f t="shared" si="1"/>
        <v>0</v>
      </c>
    </row>
    <row r="89" spans="1:4" ht="18.75" hidden="1" x14ac:dyDescent="0.25">
      <c r="A89" s="8" t="s">
        <v>95</v>
      </c>
      <c r="B89" s="9"/>
      <c r="C89" s="12">
        <v>12000</v>
      </c>
      <c r="D89" s="11">
        <f t="shared" si="1"/>
        <v>0</v>
      </c>
    </row>
    <row r="90" spans="1:4" ht="18.75" hidden="1" x14ac:dyDescent="0.25">
      <c r="A90" s="8" t="s">
        <v>96</v>
      </c>
      <c r="B90" s="9"/>
      <c r="C90" s="10"/>
      <c r="D90" s="11">
        <f t="shared" si="1"/>
        <v>0</v>
      </c>
    </row>
    <row r="91" spans="1:4" ht="18.75" hidden="1" x14ac:dyDescent="0.25">
      <c r="A91" s="8" t="s">
        <v>97</v>
      </c>
      <c r="B91" s="9"/>
      <c r="C91" s="10"/>
      <c r="D91" s="11">
        <f t="shared" si="1"/>
        <v>0</v>
      </c>
    </row>
    <row r="92" spans="1:4" ht="18.75" hidden="1" x14ac:dyDescent="0.25">
      <c r="A92" s="8" t="s">
        <v>98</v>
      </c>
      <c r="B92" s="9"/>
      <c r="C92" s="10"/>
      <c r="D92" s="11">
        <f t="shared" si="1"/>
        <v>0</v>
      </c>
    </row>
    <row r="93" spans="1:4" ht="18.75" hidden="1" x14ac:dyDescent="0.25">
      <c r="A93" s="8" t="s">
        <v>99</v>
      </c>
      <c r="B93" s="9"/>
      <c r="C93" s="12"/>
      <c r="D93" s="11">
        <f t="shared" si="1"/>
        <v>0</v>
      </c>
    </row>
    <row r="94" spans="1:4" ht="18.75" hidden="1" x14ac:dyDescent="0.25">
      <c r="A94" s="14" t="s">
        <v>100</v>
      </c>
      <c r="B94" s="9"/>
      <c r="C94" s="10"/>
      <c r="D94" s="11">
        <f t="shared" si="1"/>
        <v>0</v>
      </c>
    </row>
    <row r="95" spans="1:4" ht="18.75" hidden="1" x14ac:dyDescent="0.25">
      <c r="A95" s="14" t="s">
        <v>101</v>
      </c>
      <c r="B95" s="9"/>
      <c r="C95" s="10"/>
      <c r="D95" s="11">
        <f t="shared" si="1"/>
        <v>0</v>
      </c>
    </row>
    <row r="96" spans="1:4" ht="18.75" hidden="1" x14ac:dyDescent="0.25">
      <c r="A96" s="14" t="s">
        <v>102</v>
      </c>
      <c r="B96" s="21"/>
      <c r="C96" s="10"/>
      <c r="D96" s="11">
        <f t="shared" si="1"/>
        <v>0</v>
      </c>
    </row>
    <row r="97" spans="1:4" ht="18.75" hidden="1" x14ac:dyDescent="0.25">
      <c r="A97" s="8" t="s">
        <v>103</v>
      </c>
      <c r="B97" s="9"/>
      <c r="C97" s="10"/>
      <c r="D97" s="11">
        <f t="shared" si="1"/>
        <v>0</v>
      </c>
    </row>
    <row r="98" spans="1:4" ht="18.75" hidden="1" x14ac:dyDescent="0.25">
      <c r="A98" s="8" t="s">
        <v>104</v>
      </c>
      <c r="B98" s="9"/>
      <c r="C98" s="12"/>
      <c r="D98" s="11">
        <f t="shared" si="1"/>
        <v>0</v>
      </c>
    </row>
    <row r="99" spans="1:4" ht="18.75" hidden="1" x14ac:dyDescent="0.25">
      <c r="A99" s="8" t="s">
        <v>105</v>
      </c>
      <c r="B99" s="9"/>
      <c r="C99" s="10"/>
      <c r="D99" s="11">
        <f t="shared" si="1"/>
        <v>0</v>
      </c>
    </row>
    <row r="100" spans="1:4" ht="18.75" hidden="1" x14ac:dyDescent="0.25">
      <c r="A100" s="8" t="s">
        <v>106</v>
      </c>
      <c r="B100" s="9"/>
      <c r="C100" s="10"/>
      <c r="D100" s="11">
        <f t="shared" si="1"/>
        <v>0</v>
      </c>
    </row>
    <row r="101" spans="1:4" ht="18.75" x14ac:dyDescent="0.25">
      <c r="A101" s="8" t="s">
        <v>46</v>
      </c>
      <c r="B101" s="9">
        <v>4</v>
      </c>
      <c r="C101" s="12">
        <v>15000</v>
      </c>
      <c r="D101" s="11">
        <f t="shared" si="1"/>
        <v>60000</v>
      </c>
    </row>
    <row r="102" spans="1:4" ht="18.75" hidden="1" x14ac:dyDescent="0.25">
      <c r="A102" s="8" t="s">
        <v>48</v>
      </c>
      <c r="B102" s="9"/>
      <c r="C102" s="10"/>
      <c r="D102" s="11">
        <f t="shared" si="1"/>
        <v>0</v>
      </c>
    </row>
    <row r="103" spans="1:4" ht="18.75" hidden="1" x14ac:dyDescent="0.25">
      <c r="A103" s="8" t="s">
        <v>107</v>
      </c>
      <c r="B103" s="9"/>
      <c r="C103" s="10"/>
      <c r="D103" s="11">
        <f t="shared" si="1"/>
        <v>0</v>
      </c>
    </row>
    <row r="104" spans="1:4" ht="18.75" hidden="1" x14ac:dyDescent="0.25">
      <c r="A104" s="22" t="s">
        <v>108</v>
      </c>
      <c r="B104" s="9"/>
      <c r="C104" s="10"/>
      <c r="D104" s="11">
        <f t="shared" si="1"/>
        <v>0</v>
      </c>
    </row>
    <row r="105" spans="1:4" ht="18.75" hidden="1" x14ac:dyDescent="0.25">
      <c r="A105" s="8" t="s">
        <v>109</v>
      </c>
      <c r="B105" s="9"/>
      <c r="C105" s="12">
        <v>10000</v>
      </c>
      <c r="D105" s="11">
        <f t="shared" si="1"/>
        <v>0</v>
      </c>
    </row>
    <row r="106" spans="1:4" ht="18.75" hidden="1" x14ac:dyDescent="0.25">
      <c r="A106" s="8" t="s">
        <v>111</v>
      </c>
      <c r="B106" s="9"/>
      <c r="C106" s="13"/>
      <c r="D106" s="11">
        <f t="shared" si="1"/>
        <v>0</v>
      </c>
    </row>
    <row r="107" spans="1:4" ht="18.75" x14ac:dyDescent="0.25">
      <c r="A107" s="14" t="s">
        <v>112</v>
      </c>
      <c r="B107" s="9">
        <v>280</v>
      </c>
      <c r="C107" s="10">
        <v>22000</v>
      </c>
      <c r="D107" s="11">
        <f t="shared" si="1"/>
        <v>6160000</v>
      </c>
    </row>
    <row r="108" spans="1:4" ht="18.75" x14ac:dyDescent="0.25">
      <c r="A108" s="14" t="s">
        <v>113</v>
      </c>
      <c r="B108" s="9">
        <f>20+200+100</f>
        <v>320</v>
      </c>
      <c r="C108" s="10">
        <v>16000</v>
      </c>
      <c r="D108" s="11">
        <f t="shared" si="1"/>
        <v>5120000</v>
      </c>
    </row>
    <row r="109" spans="1:4" ht="18.75" hidden="1" x14ac:dyDescent="0.25">
      <c r="A109" s="8" t="s">
        <v>114</v>
      </c>
      <c r="B109" s="9"/>
      <c r="C109" s="12"/>
      <c r="D109" s="11">
        <f t="shared" si="1"/>
        <v>0</v>
      </c>
    </row>
    <row r="110" spans="1:4" ht="18.75" x14ac:dyDescent="0.25">
      <c r="A110" s="14" t="s">
        <v>115</v>
      </c>
      <c r="B110" s="9">
        <v>4</v>
      </c>
      <c r="C110" s="10">
        <v>25000</v>
      </c>
      <c r="D110" s="11">
        <f t="shared" si="1"/>
        <v>100000</v>
      </c>
    </row>
    <row r="111" spans="1:4" ht="18.75" hidden="1" x14ac:dyDescent="0.25">
      <c r="A111" s="14" t="s">
        <v>116</v>
      </c>
      <c r="B111" s="9"/>
      <c r="C111" s="12"/>
      <c r="D111" s="11">
        <f t="shared" si="1"/>
        <v>0</v>
      </c>
    </row>
    <row r="112" spans="1:4" ht="18.75" hidden="1" x14ac:dyDescent="0.25">
      <c r="A112" s="8" t="s">
        <v>237</v>
      </c>
      <c r="B112" s="9"/>
      <c r="C112" s="13"/>
      <c r="D112" s="11">
        <f t="shared" si="1"/>
        <v>0</v>
      </c>
    </row>
    <row r="113" spans="1:4" ht="18.75" hidden="1" x14ac:dyDescent="0.25">
      <c r="A113" s="8" t="s">
        <v>117</v>
      </c>
      <c r="B113" s="9"/>
      <c r="C113" s="10"/>
      <c r="D113" s="11">
        <f t="shared" si="1"/>
        <v>0</v>
      </c>
    </row>
    <row r="114" spans="1:4" ht="18.75" hidden="1" x14ac:dyDescent="0.25">
      <c r="A114" s="8" t="s">
        <v>118</v>
      </c>
      <c r="B114" s="9"/>
      <c r="C114" s="12"/>
      <c r="D114" s="11">
        <f t="shared" si="1"/>
        <v>0</v>
      </c>
    </row>
    <row r="115" spans="1:4" ht="18.75" hidden="1" x14ac:dyDescent="0.25">
      <c r="A115" s="8" t="s">
        <v>119</v>
      </c>
      <c r="B115" s="9"/>
      <c r="C115" s="10"/>
      <c r="D115" s="11">
        <f t="shared" si="1"/>
        <v>0</v>
      </c>
    </row>
    <row r="116" spans="1:4" ht="18.75" hidden="1" x14ac:dyDescent="0.25">
      <c r="A116" s="8" t="s">
        <v>120</v>
      </c>
      <c r="B116" s="9"/>
      <c r="C116" s="10">
        <v>15000</v>
      </c>
      <c r="D116" s="11">
        <f t="shared" si="1"/>
        <v>0</v>
      </c>
    </row>
    <row r="117" spans="1:4" ht="18.75" hidden="1" x14ac:dyDescent="0.25">
      <c r="A117" s="8" t="s">
        <v>121</v>
      </c>
      <c r="B117" s="9"/>
      <c r="C117" s="13"/>
      <c r="D117" s="11">
        <f t="shared" si="1"/>
        <v>0</v>
      </c>
    </row>
    <row r="118" spans="1:4" ht="18.75" x14ac:dyDescent="0.25">
      <c r="A118" s="8" t="s">
        <v>122</v>
      </c>
      <c r="B118" s="9">
        <v>2</v>
      </c>
      <c r="C118" s="12">
        <v>22000</v>
      </c>
      <c r="D118" s="11">
        <f t="shared" si="1"/>
        <v>44000</v>
      </c>
    </row>
    <row r="119" spans="1:4" ht="18.75" hidden="1" x14ac:dyDescent="0.25">
      <c r="A119" s="8" t="s">
        <v>123</v>
      </c>
      <c r="B119" s="9"/>
      <c r="C119" s="12"/>
      <c r="D119" s="11">
        <f t="shared" si="1"/>
        <v>0</v>
      </c>
    </row>
    <row r="120" spans="1:4" ht="18.75" hidden="1" x14ac:dyDescent="0.25">
      <c r="A120" s="8" t="s">
        <v>124</v>
      </c>
      <c r="B120" s="9"/>
      <c r="C120" s="13"/>
      <c r="D120" s="11">
        <f t="shared" si="1"/>
        <v>0</v>
      </c>
    </row>
    <row r="121" spans="1:4" ht="18.75" hidden="1" x14ac:dyDescent="0.25">
      <c r="A121" s="18" t="s">
        <v>125</v>
      </c>
      <c r="B121" s="9"/>
      <c r="C121" s="12"/>
      <c r="D121" s="11">
        <f t="shared" si="1"/>
        <v>0</v>
      </c>
    </row>
    <row r="122" spans="1:4" ht="18.75" hidden="1" x14ac:dyDescent="0.25">
      <c r="A122" s="8" t="s">
        <v>126</v>
      </c>
      <c r="B122" s="9"/>
      <c r="C122" s="13"/>
      <c r="D122" s="11">
        <f t="shared" si="1"/>
        <v>0</v>
      </c>
    </row>
    <row r="123" spans="1:4" ht="18.75" hidden="1" x14ac:dyDescent="0.25">
      <c r="A123" s="8" t="s">
        <v>127</v>
      </c>
      <c r="B123" s="9"/>
      <c r="C123" s="13"/>
      <c r="D123" s="11">
        <f t="shared" si="1"/>
        <v>0</v>
      </c>
    </row>
    <row r="124" spans="1:4" ht="18.75" hidden="1" x14ac:dyDescent="0.25">
      <c r="A124" s="8" t="s">
        <v>128</v>
      </c>
      <c r="B124" s="9"/>
      <c r="C124" s="10"/>
      <c r="D124" s="11">
        <f t="shared" si="1"/>
        <v>0</v>
      </c>
    </row>
    <row r="125" spans="1:4" ht="18.75" hidden="1" x14ac:dyDescent="0.25">
      <c r="A125" s="14" t="s">
        <v>129</v>
      </c>
      <c r="B125" s="9"/>
      <c r="C125" s="10"/>
      <c r="D125" s="11">
        <f t="shared" si="1"/>
        <v>0</v>
      </c>
    </row>
    <row r="126" spans="1:4" ht="18.75" hidden="1" x14ac:dyDescent="0.25">
      <c r="A126" s="8" t="s">
        <v>130</v>
      </c>
      <c r="B126" s="9"/>
      <c r="C126" s="12">
        <v>15000</v>
      </c>
      <c r="D126" s="11">
        <f t="shared" si="1"/>
        <v>0</v>
      </c>
    </row>
    <row r="127" spans="1:4" ht="18.75" hidden="1" x14ac:dyDescent="0.25">
      <c r="A127" s="8" t="s">
        <v>131</v>
      </c>
      <c r="B127" s="9"/>
      <c r="C127" s="12"/>
      <c r="D127" s="11">
        <f t="shared" si="1"/>
        <v>0</v>
      </c>
    </row>
    <row r="128" spans="1:4" ht="18.75" hidden="1" x14ac:dyDescent="0.25">
      <c r="A128" s="8" t="s">
        <v>132</v>
      </c>
      <c r="B128" s="9"/>
      <c r="C128" s="10"/>
      <c r="D128" s="11">
        <f t="shared" si="1"/>
        <v>0</v>
      </c>
    </row>
    <row r="129" spans="1:4" ht="18.75" hidden="1" x14ac:dyDescent="0.25">
      <c r="A129" s="8" t="s">
        <v>133</v>
      </c>
      <c r="B129" s="9"/>
      <c r="C129" s="10"/>
      <c r="D129" s="11">
        <f t="shared" si="1"/>
        <v>0</v>
      </c>
    </row>
    <row r="130" spans="1:4" ht="18.75" hidden="1" x14ac:dyDescent="0.25">
      <c r="A130" s="8" t="s">
        <v>134</v>
      </c>
      <c r="B130" s="9"/>
      <c r="C130" s="10"/>
      <c r="D130" s="11">
        <f t="shared" si="1"/>
        <v>0</v>
      </c>
    </row>
    <row r="131" spans="1:4" ht="18.75" hidden="1" x14ac:dyDescent="0.25">
      <c r="A131" s="8" t="s">
        <v>135</v>
      </c>
      <c r="B131" s="9"/>
      <c r="C131" s="19"/>
      <c r="D131" s="11">
        <f t="shared" si="1"/>
        <v>0</v>
      </c>
    </row>
    <row r="132" spans="1:4" ht="18.75" hidden="1" x14ac:dyDescent="0.25">
      <c r="A132" s="8" t="s">
        <v>136</v>
      </c>
      <c r="B132" s="9"/>
      <c r="C132" s="10"/>
      <c r="D132" s="11">
        <f t="shared" si="1"/>
        <v>0</v>
      </c>
    </row>
    <row r="133" spans="1:4" ht="18.75" hidden="1" x14ac:dyDescent="0.25">
      <c r="A133" s="8" t="s">
        <v>137</v>
      </c>
      <c r="B133" s="9"/>
      <c r="C133" s="13"/>
      <c r="D133" s="11">
        <f t="shared" ref="D133:D196" si="2">B133*C133</f>
        <v>0</v>
      </c>
    </row>
    <row r="134" spans="1:4" ht="18.75" hidden="1" x14ac:dyDescent="0.25">
      <c r="A134" s="8" t="s">
        <v>138</v>
      </c>
      <c r="B134" s="9"/>
      <c r="C134" s="13">
        <v>25000</v>
      </c>
      <c r="D134" s="11">
        <f t="shared" si="2"/>
        <v>0</v>
      </c>
    </row>
    <row r="135" spans="1:4" ht="18.75" hidden="1" x14ac:dyDescent="0.25">
      <c r="A135" s="23" t="s">
        <v>139</v>
      </c>
      <c r="B135" s="9"/>
      <c r="C135" s="10"/>
      <c r="D135" s="11">
        <f t="shared" si="2"/>
        <v>0</v>
      </c>
    </row>
    <row r="136" spans="1:4" ht="18.75" hidden="1" x14ac:dyDescent="0.25">
      <c r="A136" s="8" t="s">
        <v>140</v>
      </c>
      <c r="B136" s="9"/>
      <c r="C136" s="10"/>
      <c r="D136" s="11">
        <f t="shared" si="2"/>
        <v>0</v>
      </c>
    </row>
    <row r="137" spans="1:4" ht="18.75" x14ac:dyDescent="0.25">
      <c r="A137" s="14" t="s">
        <v>141</v>
      </c>
      <c r="B137" s="9">
        <v>4</v>
      </c>
      <c r="C137" s="10">
        <v>11000</v>
      </c>
      <c r="D137" s="11">
        <f t="shared" si="2"/>
        <v>44000</v>
      </c>
    </row>
    <row r="138" spans="1:4" ht="18.75" hidden="1" x14ac:dyDescent="0.25">
      <c r="A138" s="8" t="s">
        <v>142</v>
      </c>
      <c r="B138" s="9"/>
      <c r="C138" s="10"/>
      <c r="D138" s="11">
        <f t="shared" si="2"/>
        <v>0</v>
      </c>
    </row>
    <row r="139" spans="1:4" ht="18.75" hidden="1" x14ac:dyDescent="0.25">
      <c r="A139" s="8" t="s">
        <v>143</v>
      </c>
      <c r="B139" s="9"/>
      <c r="C139" s="13"/>
      <c r="D139" s="11">
        <f t="shared" si="2"/>
        <v>0</v>
      </c>
    </row>
    <row r="140" spans="1:4" ht="18.75" hidden="1" x14ac:dyDescent="0.25">
      <c r="A140" s="8" t="s">
        <v>144</v>
      </c>
      <c r="B140" s="9"/>
      <c r="C140" s="10"/>
      <c r="D140" s="11">
        <f t="shared" si="2"/>
        <v>0</v>
      </c>
    </row>
    <row r="141" spans="1:4" ht="18.75" hidden="1" x14ac:dyDescent="0.25">
      <c r="A141" s="8" t="s">
        <v>145</v>
      </c>
      <c r="B141" s="9"/>
      <c r="C141" s="12">
        <v>18000</v>
      </c>
      <c r="D141" s="11">
        <f t="shared" si="2"/>
        <v>0</v>
      </c>
    </row>
    <row r="142" spans="1:4" ht="18.75" hidden="1" x14ac:dyDescent="0.25">
      <c r="A142" s="8" t="s">
        <v>146</v>
      </c>
      <c r="B142" s="9"/>
      <c r="C142" s="12"/>
      <c r="D142" s="11">
        <f t="shared" si="2"/>
        <v>0</v>
      </c>
    </row>
    <row r="143" spans="1:4" ht="18.75" hidden="1" x14ac:dyDescent="0.25">
      <c r="A143" s="8" t="s">
        <v>147</v>
      </c>
      <c r="B143" s="9"/>
      <c r="C143" s="12"/>
      <c r="D143" s="11">
        <f t="shared" si="2"/>
        <v>0</v>
      </c>
    </row>
    <row r="144" spans="1:4" ht="18.75" hidden="1" x14ac:dyDescent="0.25">
      <c r="A144" s="24" t="s">
        <v>148</v>
      </c>
      <c r="B144" s="9"/>
      <c r="C144" s="12"/>
      <c r="D144" s="11">
        <f t="shared" si="2"/>
        <v>0</v>
      </c>
    </row>
    <row r="145" spans="1:4" ht="18.75" hidden="1" x14ac:dyDescent="0.25">
      <c r="A145" s="8" t="s">
        <v>149</v>
      </c>
      <c r="B145" s="9"/>
      <c r="C145" s="10"/>
      <c r="D145" s="11">
        <f t="shared" si="2"/>
        <v>0</v>
      </c>
    </row>
    <row r="146" spans="1:4" ht="18.75" hidden="1" x14ac:dyDescent="0.25">
      <c r="A146" s="8" t="s">
        <v>150</v>
      </c>
      <c r="B146" s="9"/>
      <c r="C146" s="25"/>
      <c r="D146" s="11">
        <f t="shared" si="2"/>
        <v>0</v>
      </c>
    </row>
    <row r="147" spans="1:4" ht="18.75" hidden="1" x14ac:dyDescent="0.25">
      <c r="A147" s="14" t="s">
        <v>151</v>
      </c>
      <c r="B147" s="9"/>
      <c r="C147" s="10"/>
      <c r="D147" s="11">
        <f t="shared" si="2"/>
        <v>0</v>
      </c>
    </row>
    <row r="148" spans="1:4" ht="18.75" hidden="1" x14ac:dyDescent="0.25">
      <c r="A148" s="14" t="s">
        <v>152</v>
      </c>
      <c r="B148" s="9"/>
      <c r="C148" s="10"/>
      <c r="D148" s="11">
        <f t="shared" si="2"/>
        <v>0</v>
      </c>
    </row>
    <row r="149" spans="1:4" ht="18.75" hidden="1" x14ac:dyDescent="0.25">
      <c r="A149" s="8" t="s">
        <v>153</v>
      </c>
      <c r="B149" s="9"/>
      <c r="C149" s="10"/>
      <c r="D149" s="11">
        <f t="shared" si="2"/>
        <v>0</v>
      </c>
    </row>
    <row r="150" spans="1:4" ht="18.75" hidden="1" x14ac:dyDescent="0.25">
      <c r="A150" s="8" t="s">
        <v>154</v>
      </c>
      <c r="B150" s="9"/>
      <c r="C150" s="10"/>
      <c r="D150" s="11">
        <f t="shared" si="2"/>
        <v>0</v>
      </c>
    </row>
    <row r="151" spans="1:4" ht="18.75" hidden="1" x14ac:dyDescent="0.25">
      <c r="A151" s="8" t="s">
        <v>155</v>
      </c>
      <c r="B151" s="9"/>
      <c r="C151" s="10"/>
      <c r="D151" s="11">
        <f t="shared" si="2"/>
        <v>0</v>
      </c>
    </row>
    <row r="152" spans="1:4" ht="18.75" hidden="1" x14ac:dyDescent="0.25">
      <c r="A152" s="8" t="s">
        <v>156</v>
      </c>
      <c r="B152" s="9"/>
      <c r="C152" s="10"/>
      <c r="D152" s="11">
        <f t="shared" si="2"/>
        <v>0</v>
      </c>
    </row>
    <row r="153" spans="1:4" ht="18.75" hidden="1" x14ac:dyDescent="0.25">
      <c r="A153" s="8" t="s">
        <v>157</v>
      </c>
      <c r="B153" s="9"/>
      <c r="C153" s="10">
        <v>6000</v>
      </c>
      <c r="D153" s="11">
        <f t="shared" si="2"/>
        <v>0</v>
      </c>
    </row>
    <row r="154" spans="1:4" ht="18.75" hidden="1" x14ac:dyDescent="0.25">
      <c r="A154" s="8" t="s">
        <v>158</v>
      </c>
      <c r="B154" s="9"/>
      <c r="C154" s="10"/>
      <c r="D154" s="11">
        <f t="shared" si="2"/>
        <v>0</v>
      </c>
    </row>
    <row r="155" spans="1:4" ht="18.75" hidden="1" x14ac:dyDescent="0.25">
      <c r="A155" s="8" t="s">
        <v>159</v>
      </c>
      <c r="B155" s="9"/>
      <c r="C155" s="10"/>
      <c r="D155" s="11">
        <f t="shared" si="2"/>
        <v>0</v>
      </c>
    </row>
    <row r="156" spans="1:4" ht="18.75" hidden="1" x14ac:dyDescent="0.25">
      <c r="A156" s="8" t="s">
        <v>160</v>
      </c>
      <c r="B156" s="9"/>
      <c r="C156" s="10"/>
      <c r="D156" s="11">
        <f t="shared" si="2"/>
        <v>0</v>
      </c>
    </row>
    <row r="157" spans="1:4" ht="18.75" hidden="1" x14ac:dyDescent="0.25">
      <c r="A157" s="8" t="s">
        <v>161</v>
      </c>
      <c r="B157" s="9"/>
      <c r="C157" s="10">
        <v>32000</v>
      </c>
      <c r="D157" s="11">
        <f t="shared" si="2"/>
        <v>0</v>
      </c>
    </row>
    <row r="158" spans="1:4" ht="18.75" hidden="1" x14ac:dyDescent="0.25">
      <c r="A158" s="8" t="s">
        <v>162</v>
      </c>
      <c r="B158" s="9"/>
      <c r="C158" s="10"/>
      <c r="D158" s="11">
        <f t="shared" si="2"/>
        <v>0</v>
      </c>
    </row>
    <row r="159" spans="1:4" ht="18.75" hidden="1" x14ac:dyDescent="0.25">
      <c r="A159" s="14" t="s">
        <v>163</v>
      </c>
      <c r="B159" s="9"/>
      <c r="C159" s="15"/>
      <c r="D159" s="11">
        <f t="shared" si="2"/>
        <v>0</v>
      </c>
    </row>
    <row r="160" spans="1:4" ht="18.75" hidden="1" x14ac:dyDescent="0.25">
      <c r="A160" s="14" t="s">
        <v>164</v>
      </c>
      <c r="B160" s="9"/>
      <c r="C160" s="15"/>
      <c r="D160" s="11">
        <f t="shared" si="2"/>
        <v>0</v>
      </c>
    </row>
    <row r="161" spans="1:4" ht="18.75" hidden="1" x14ac:dyDescent="0.25">
      <c r="A161" s="8" t="s">
        <v>167</v>
      </c>
      <c r="B161" s="9"/>
      <c r="C161" s="10"/>
      <c r="D161" s="11">
        <f t="shared" si="2"/>
        <v>0</v>
      </c>
    </row>
    <row r="162" spans="1:4" ht="18.75" x14ac:dyDescent="0.25">
      <c r="A162" s="8" t="s">
        <v>168</v>
      </c>
      <c r="B162" s="9">
        <v>55</v>
      </c>
      <c r="C162" s="12">
        <v>14000</v>
      </c>
      <c r="D162" s="11">
        <f t="shared" si="2"/>
        <v>770000</v>
      </c>
    </row>
    <row r="163" spans="1:4" ht="18.75" x14ac:dyDescent="0.25">
      <c r="A163" s="8" t="s">
        <v>169</v>
      </c>
      <c r="B163" s="9">
        <v>8</v>
      </c>
      <c r="C163" s="10">
        <v>14000</v>
      </c>
      <c r="D163" s="11">
        <f t="shared" si="2"/>
        <v>112000</v>
      </c>
    </row>
    <row r="164" spans="1:4" ht="18.75" hidden="1" x14ac:dyDescent="0.25">
      <c r="A164" s="8" t="s">
        <v>170</v>
      </c>
      <c r="B164" s="9"/>
      <c r="C164" s="10"/>
      <c r="D164" s="11">
        <f t="shared" si="2"/>
        <v>0</v>
      </c>
    </row>
    <row r="165" spans="1:4" ht="18.75" hidden="1" x14ac:dyDescent="0.25">
      <c r="A165" s="8" t="s">
        <v>10</v>
      </c>
      <c r="B165" s="9"/>
      <c r="C165" s="10">
        <v>21000</v>
      </c>
      <c r="D165" s="11">
        <f t="shared" si="2"/>
        <v>0</v>
      </c>
    </row>
    <row r="166" spans="1:4" ht="18.75" hidden="1" x14ac:dyDescent="0.25">
      <c r="A166" s="14" t="s">
        <v>56</v>
      </c>
      <c r="B166" s="9"/>
      <c r="C166" s="10"/>
      <c r="D166" s="11">
        <f t="shared" si="2"/>
        <v>0</v>
      </c>
    </row>
    <row r="167" spans="1:4" ht="18.75" hidden="1" x14ac:dyDescent="0.25">
      <c r="A167" s="8" t="s">
        <v>171</v>
      </c>
      <c r="B167" s="9"/>
      <c r="C167" s="13"/>
      <c r="D167" s="11">
        <f t="shared" si="2"/>
        <v>0</v>
      </c>
    </row>
    <row r="168" spans="1:4" ht="18.75" hidden="1" x14ac:dyDescent="0.25">
      <c r="A168" s="8" t="s">
        <v>172</v>
      </c>
      <c r="B168" s="9"/>
      <c r="C168" s="13"/>
      <c r="D168" s="11">
        <f t="shared" si="2"/>
        <v>0</v>
      </c>
    </row>
    <row r="169" spans="1:4" ht="18.75" hidden="1" x14ac:dyDescent="0.25">
      <c r="A169" s="8" t="s">
        <v>173</v>
      </c>
      <c r="B169" s="9"/>
      <c r="C169" s="13">
        <v>25000</v>
      </c>
      <c r="D169" s="11">
        <f t="shared" si="2"/>
        <v>0</v>
      </c>
    </row>
    <row r="170" spans="1:4" ht="18.75" hidden="1" x14ac:dyDescent="0.25">
      <c r="A170" s="8" t="s">
        <v>174</v>
      </c>
      <c r="B170" s="9"/>
      <c r="C170" s="13">
        <v>6100</v>
      </c>
      <c r="D170" s="11">
        <f t="shared" si="2"/>
        <v>0</v>
      </c>
    </row>
    <row r="171" spans="1:4" ht="18.75" hidden="1" x14ac:dyDescent="0.25">
      <c r="A171" s="8" t="s">
        <v>175</v>
      </c>
      <c r="B171" s="9"/>
      <c r="C171" s="13"/>
      <c r="D171" s="11">
        <f t="shared" si="2"/>
        <v>0</v>
      </c>
    </row>
    <row r="172" spans="1:4" ht="18.75" hidden="1" x14ac:dyDescent="0.25">
      <c r="A172" s="8" t="s">
        <v>176</v>
      </c>
      <c r="B172" s="9"/>
      <c r="C172" s="13"/>
      <c r="D172" s="11">
        <f t="shared" si="2"/>
        <v>0</v>
      </c>
    </row>
    <row r="173" spans="1:4" ht="18.75" hidden="1" x14ac:dyDescent="0.25">
      <c r="A173" s="8" t="s">
        <v>177</v>
      </c>
      <c r="B173" s="9"/>
      <c r="C173" s="12"/>
      <c r="D173" s="11">
        <f t="shared" si="2"/>
        <v>0</v>
      </c>
    </row>
    <row r="174" spans="1:4" ht="18.75" hidden="1" x14ac:dyDescent="0.25">
      <c r="A174" s="27" t="s">
        <v>178</v>
      </c>
      <c r="B174" s="9"/>
      <c r="C174" s="12"/>
      <c r="D174" s="11">
        <f t="shared" si="2"/>
        <v>0</v>
      </c>
    </row>
    <row r="175" spans="1:4" ht="18.75" hidden="1" x14ac:dyDescent="0.25">
      <c r="A175" s="27" t="s">
        <v>179</v>
      </c>
      <c r="B175" s="9"/>
      <c r="C175" s="13">
        <v>25000</v>
      </c>
      <c r="D175" s="11">
        <f t="shared" si="2"/>
        <v>0</v>
      </c>
    </row>
    <row r="176" spans="1:4" ht="18.75" hidden="1" x14ac:dyDescent="0.25">
      <c r="A176" s="27" t="s">
        <v>180</v>
      </c>
      <c r="B176" s="9"/>
      <c r="C176" s="13"/>
      <c r="D176" s="11">
        <f t="shared" si="2"/>
        <v>0</v>
      </c>
    </row>
    <row r="177" spans="1:4" ht="18.75" hidden="1" x14ac:dyDescent="0.25">
      <c r="A177" s="27" t="s">
        <v>181</v>
      </c>
      <c r="B177" s="9"/>
      <c r="C177" s="12"/>
      <c r="D177" s="11">
        <f t="shared" si="2"/>
        <v>0</v>
      </c>
    </row>
    <row r="178" spans="1:4" ht="18.75" hidden="1" x14ac:dyDescent="0.25">
      <c r="A178" s="27" t="s">
        <v>182</v>
      </c>
      <c r="B178" s="9"/>
      <c r="C178" s="12"/>
      <c r="D178" s="11">
        <f t="shared" si="2"/>
        <v>0</v>
      </c>
    </row>
    <row r="179" spans="1:4" ht="18.75" hidden="1" x14ac:dyDescent="0.25">
      <c r="A179" s="8" t="s">
        <v>183</v>
      </c>
      <c r="B179" s="9"/>
      <c r="C179" s="13">
        <v>6100</v>
      </c>
      <c r="D179" s="11">
        <f t="shared" si="2"/>
        <v>0</v>
      </c>
    </row>
    <row r="180" spans="1:4" ht="18.75" hidden="1" x14ac:dyDescent="0.25">
      <c r="A180" s="8" t="s">
        <v>184</v>
      </c>
      <c r="B180" s="9"/>
      <c r="C180" s="13"/>
      <c r="D180" s="11">
        <f t="shared" si="2"/>
        <v>0</v>
      </c>
    </row>
    <row r="181" spans="1:4" ht="18.75" hidden="1" x14ac:dyDescent="0.25">
      <c r="A181" s="8" t="s">
        <v>185</v>
      </c>
      <c r="B181" s="9"/>
      <c r="C181" s="13">
        <v>23000</v>
      </c>
      <c r="D181" s="11">
        <f t="shared" si="2"/>
        <v>0</v>
      </c>
    </row>
    <row r="182" spans="1:4" ht="18.75" hidden="1" x14ac:dyDescent="0.25">
      <c r="A182" s="8" t="s">
        <v>186</v>
      </c>
      <c r="B182" s="9"/>
      <c r="C182" s="13">
        <v>25000</v>
      </c>
      <c r="D182" s="11">
        <f t="shared" si="2"/>
        <v>0</v>
      </c>
    </row>
    <row r="183" spans="1:4" ht="18.75" hidden="1" x14ac:dyDescent="0.25">
      <c r="A183" s="8" t="s">
        <v>187</v>
      </c>
      <c r="B183" s="9"/>
      <c r="C183" s="13"/>
      <c r="D183" s="11">
        <f t="shared" si="2"/>
        <v>0</v>
      </c>
    </row>
    <row r="184" spans="1:4" ht="18.75" hidden="1" x14ac:dyDescent="0.25">
      <c r="A184" s="8" t="s">
        <v>188</v>
      </c>
      <c r="B184" s="9"/>
      <c r="C184" s="10"/>
      <c r="D184" s="11">
        <f t="shared" si="2"/>
        <v>0</v>
      </c>
    </row>
    <row r="185" spans="1:4" ht="18.75" hidden="1" x14ac:dyDescent="0.25">
      <c r="A185" s="8" t="s">
        <v>189</v>
      </c>
      <c r="B185" s="9"/>
      <c r="C185" s="13"/>
      <c r="D185" s="11">
        <f t="shared" si="2"/>
        <v>0</v>
      </c>
    </row>
    <row r="186" spans="1:4" ht="18.75" hidden="1" x14ac:dyDescent="0.25">
      <c r="A186" s="8" t="s">
        <v>190</v>
      </c>
      <c r="B186" s="9"/>
      <c r="C186" s="12"/>
      <c r="D186" s="11">
        <f t="shared" si="2"/>
        <v>0</v>
      </c>
    </row>
    <row r="187" spans="1:4" ht="18.75" hidden="1" x14ac:dyDescent="0.25">
      <c r="A187" s="8" t="s">
        <v>191</v>
      </c>
      <c r="B187" s="9"/>
      <c r="C187" s="10"/>
      <c r="D187" s="11">
        <f t="shared" si="2"/>
        <v>0</v>
      </c>
    </row>
    <row r="188" spans="1:4" ht="18.75" hidden="1" x14ac:dyDescent="0.25">
      <c r="A188" s="8" t="s">
        <v>192</v>
      </c>
      <c r="B188" s="9"/>
      <c r="C188" s="13"/>
      <c r="D188" s="11">
        <f t="shared" si="2"/>
        <v>0</v>
      </c>
    </row>
    <row r="189" spans="1:4" ht="18.75" hidden="1" x14ac:dyDescent="0.25">
      <c r="A189" s="8" t="s">
        <v>193</v>
      </c>
      <c r="B189" s="9"/>
      <c r="C189" s="10">
        <v>18000</v>
      </c>
      <c r="D189" s="11">
        <f t="shared" si="2"/>
        <v>0</v>
      </c>
    </row>
    <row r="190" spans="1:4" ht="18.75" hidden="1" x14ac:dyDescent="0.25">
      <c r="A190" s="8" t="s">
        <v>194</v>
      </c>
      <c r="B190" s="9"/>
      <c r="C190" s="10"/>
      <c r="D190" s="11">
        <f t="shared" si="2"/>
        <v>0</v>
      </c>
    </row>
    <row r="191" spans="1:4" ht="18.75" hidden="1" x14ac:dyDescent="0.25">
      <c r="A191" s="8" t="s">
        <v>195</v>
      </c>
      <c r="B191" s="9"/>
      <c r="C191" s="10"/>
      <c r="D191" s="11">
        <f t="shared" si="2"/>
        <v>0</v>
      </c>
    </row>
    <row r="192" spans="1:4" ht="18.75" x14ac:dyDescent="0.25">
      <c r="A192" s="14" t="s">
        <v>196</v>
      </c>
      <c r="B192" s="9">
        <v>3</v>
      </c>
      <c r="C192" s="12">
        <v>12000</v>
      </c>
      <c r="D192" s="11">
        <f t="shared" si="2"/>
        <v>36000</v>
      </c>
    </row>
    <row r="193" spans="1:4" ht="18.75" hidden="1" x14ac:dyDescent="0.25">
      <c r="A193" s="14" t="s">
        <v>197</v>
      </c>
      <c r="B193" s="9"/>
      <c r="C193" s="10"/>
      <c r="D193" s="11">
        <f t="shared" si="2"/>
        <v>0</v>
      </c>
    </row>
    <row r="194" spans="1:4" ht="18.75" hidden="1" x14ac:dyDescent="0.25">
      <c r="A194" s="8" t="s">
        <v>198</v>
      </c>
      <c r="B194" s="9"/>
      <c r="C194" s="10"/>
      <c r="D194" s="11">
        <f t="shared" si="2"/>
        <v>0</v>
      </c>
    </row>
    <row r="195" spans="1:4" ht="18.75" hidden="1" x14ac:dyDescent="0.25">
      <c r="A195" s="8" t="s">
        <v>199</v>
      </c>
      <c r="B195" s="9"/>
      <c r="C195" s="12">
        <v>40000</v>
      </c>
      <c r="D195" s="11">
        <f t="shared" si="2"/>
        <v>0</v>
      </c>
    </row>
    <row r="196" spans="1:4" ht="18.75" hidden="1" x14ac:dyDescent="0.25">
      <c r="A196" s="8" t="s">
        <v>200</v>
      </c>
      <c r="B196" s="9"/>
      <c r="C196" s="12"/>
      <c r="D196" s="11">
        <f t="shared" si="2"/>
        <v>0</v>
      </c>
    </row>
    <row r="197" spans="1:4" ht="18.75" hidden="1" x14ac:dyDescent="0.25">
      <c r="A197" s="8" t="s">
        <v>201</v>
      </c>
      <c r="B197" s="9"/>
      <c r="C197" s="19"/>
      <c r="D197" s="11">
        <f t="shared" ref="D197:D213" si="3">B197*C197</f>
        <v>0</v>
      </c>
    </row>
    <row r="198" spans="1:4" ht="18.75" hidden="1" x14ac:dyDescent="0.25">
      <c r="A198" s="8" t="s">
        <v>202</v>
      </c>
      <c r="B198" s="9"/>
      <c r="C198" s="12">
        <v>23000</v>
      </c>
      <c r="D198" s="11">
        <f t="shared" si="3"/>
        <v>0</v>
      </c>
    </row>
    <row r="199" spans="1:4" ht="18.75" hidden="1" x14ac:dyDescent="0.25">
      <c r="A199" s="8" t="s">
        <v>203</v>
      </c>
      <c r="B199" s="9"/>
      <c r="C199" s="12"/>
      <c r="D199" s="11">
        <f t="shared" si="3"/>
        <v>0</v>
      </c>
    </row>
    <row r="200" spans="1:4" ht="18.75" hidden="1" x14ac:dyDescent="0.25">
      <c r="A200" s="8" t="s">
        <v>110</v>
      </c>
      <c r="B200" s="9"/>
      <c r="C200" s="10"/>
      <c r="D200" s="11">
        <f t="shared" si="3"/>
        <v>0</v>
      </c>
    </row>
    <row r="201" spans="1:4" ht="18.75" hidden="1" x14ac:dyDescent="0.25">
      <c r="A201" s="8" t="s">
        <v>204</v>
      </c>
      <c r="B201" s="9"/>
      <c r="C201" s="13"/>
      <c r="D201" s="11">
        <f t="shared" si="3"/>
        <v>0</v>
      </c>
    </row>
    <row r="202" spans="1:4" ht="18.75" x14ac:dyDescent="0.25">
      <c r="A202" s="8" t="s">
        <v>205</v>
      </c>
      <c r="B202" s="9">
        <v>90</v>
      </c>
      <c r="C202" s="10">
        <v>11000</v>
      </c>
      <c r="D202" s="11">
        <f t="shared" si="3"/>
        <v>990000</v>
      </c>
    </row>
    <row r="203" spans="1:4" ht="18.75" hidden="1" x14ac:dyDescent="0.25">
      <c r="A203" s="8" t="s">
        <v>242</v>
      </c>
      <c r="B203" s="9"/>
      <c r="C203" s="10"/>
      <c r="D203" s="11">
        <f t="shared" si="3"/>
        <v>0</v>
      </c>
    </row>
    <row r="204" spans="1:4" ht="18.75" hidden="1" x14ac:dyDescent="0.25">
      <c r="A204" s="8" t="s">
        <v>243</v>
      </c>
      <c r="B204" s="9"/>
      <c r="C204" s="10"/>
      <c r="D204" s="11">
        <f t="shared" si="3"/>
        <v>0</v>
      </c>
    </row>
    <row r="205" spans="1:4" ht="18.75" hidden="1" x14ac:dyDescent="0.25">
      <c r="A205" s="8" t="s">
        <v>206</v>
      </c>
      <c r="B205" s="9"/>
      <c r="C205" s="13"/>
      <c r="D205" s="11">
        <f t="shared" si="3"/>
        <v>0</v>
      </c>
    </row>
    <row r="206" spans="1:4" ht="18.75" hidden="1" x14ac:dyDescent="0.25">
      <c r="A206" s="8" t="s">
        <v>207</v>
      </c>
      <c r="B206" s="9"/>
      <c r="C206" s="13"/>
      <c r="D206" s="11">
        <f t="shared" si="3"/>
        <v>0</v>
      </c>
    </row>
    <row r="207" spans="1:4" ht="18.75" hidden="1" x14ac:dyDescent="0.25">
      <c r="A207" s="8" t="s">
        <v>208</v>
      </c>
      <c r="B207" s="9"/>
      <c r="C207" s="13"/>
      <c r="D207" s="11">
        <f t="shared" si="3"/>
        <v>0</v>
      </c>
    </row>
    <row r="208" spans="1:4" ht="18.75" hidden="1" x14ac:dyDescent="0.25">
      <c r="A208" s="14" t="s">
        <v>209</v>
      </c>
      <c r="B208" s="9"/>
      <c r="C208" s="10"/>
      <c r="D208" s="11">
        <f t="shared" si="3"/>
        <v>0</v>
      </c>
    </row>
    <row r="209" spans="1:4" ht="18.75" hidden="1" x14ac:dyDescent="0.25">
      <c r="A209" s="8" t="s">
        <v>210</v>
      </c>
      <c r="B209" s="9"/>
      <c r="C209" s="12"/>
      <c r="D209" s="11">
        <f t="shared" si="3"/>
        <v>0</v>
      </c>
    </row>
    <row r="210" spans="1:4" ht="18.75" hidden="1" x14ac:dyDescent="0.25">
      <c r="A210" s="8" t="s">
        <v>211</v>
      </c>
      <c r="B210" s="9"/>
      <c r="C210" s="13"/>
      <c r="D210" s="11">
        <f t="shared" si="3"/>
        <v>0</v>
      </c>
    </row>
    <row r="211" spans="1:4" ht="18.75" hidden="1" x14ac:dyDescent="0.25">
      <c r="A211" s="8" t="s">
        <v>212</v>
      </c>
      <c r="B211" s="9"/>
      <c r="C211" s="13"/>
      <c r="D211" s="11">
        <f t="shared" si="3"/>
        <v>0</v>
      </c>
    </row>
    <row r="212" spans="1:4" ht="18.75" hidden="1" x14ac:dyDescent="0.25">
      <c r="A212" s="8" t="s">
        <v>213</v>
      </c>
      <c r="B212" s="9"/>
      <c r="C212" s="13"/>
      <c r="D212" s="11">
        <f t="shared" si="3"/>
        <v>0</v>
      </c>
    </row>
    <row r="213" spans="1:4" ht="18.75" hidden="1" x14ac:dyDescent="0.25">
      <c r="A213" s="8" t="s">
        <v>214</v>
      </c>
      <c r="B213" s="9"/>
      <c r="C213" s="13"/>
      <c r="D213" s="11">
        <f t="shared" si="3"/>
        <v>0</v>
      </c>
    </row>
    <row r="214" spans="1:4" ht="18.75" x14ac:dyDescent="0.25">
      <c r="A214" s="28"/>
      <c r="B214" s="29">
        <f t="shared" ref="B214:D214" si="4">SUM(B4:B213)</f>
        <v>1672</v>
      </c>
      <c r="C214" s="29"/>
      <c r="D214" s="29">
        <f t="shared" si="4"/>
        <v>26450000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6"/>
  <sheetViews>
    <sheetView tabSelected="1" workbookViewId="0">
      <selection activeCell="G126" sqref="G126"/>
    </sheetView>
  </sheetViews>
  <sheetFormatPr defaultRowHeight="15" x14ac:dyDescent="0.25"/>
  <cols>
    <col min="1" max="1" width="33.85546875" customWidth="1"/>
    <col min="3" max="3" width="14.85546875" customWidth="1"/>
    <col min="4" max="4" width="16.42578125" customWidth="1"/>
  </cols>
  <sheetData>
    <row r="1" spans="1:4" x14ac:dyDescent="0.25">
      <c r="A1" s="1" t="s">
        <v>250</v>
      </c>
      <c r="B1" s="2"/>
      <c r="C1" s="2"/>
      <c r="D1" s="3"/>
    </row>
    <row r="2" spans="1:4" ht="25.5" x14ac:dyDescent="0.25">
      <c r="A2" s="50" t="s">
        <v>1</v>
      </c>
      <c r="B2" s="4" t="s">
        <v>224</v>
      </c>
      <c r="C2" s="5" t="s">
        <v>3</v>
      </c>
      <c r="D2" s="4" t="s">
        <v>4</v>
      </c>
    </row>
    <row r="3" spans="1:4" hidden="1" x14ac:dyDescent="0.25">
      <c r="A3" s="51"/>
      <c r="B3" s="4"/>
      <c r="C3" s="6"/>
      <c r="D3" s="7"/>
    </row>
    <row r="4" spans="1:4" ht="18.75" hidden="1" x14ac:dyDescent="0.25">
      <c r="A4" s="8" t="s">
        <v>8</v>
      </c>
      <c r="B4" s="9"/>
      <c r="C4" s="12">
        <v>40000</v>
      </c>
      <c r="D4" s="11">
        <f>C4*B4</f>
        <v>0</v>
      </c>
    </row>
    <row r="5" spans="1:4" ht="18.75" hidden="1" x14ac:dyDescent="0.25">
      <c r="A5" s="8" t="s">
        <v>9</v>
      </c>
      <c r="B5" s="9"/>
      <c r="C5" s="10"/>
      <c r="D5" s="11">
        <f t="shared" ref="D5:D68" si="0">C5*B5</f>
        <v>0</v>
      </c>
    </row>
    <row r="6" spans="1:4" ht="18.75" x14ac:dyDescent="0.25">
      <c r="A6" s="8" t="s">
        <v>11</v>
      </c>
      <c r="B6" s="9">
        <f>9+36</f>
        <v>45</v>
      </c>
      <c r="C6" s="10">
        <v>33000</v>
      </c>
      <c r="D6" s="11">
        <f t="shared" si="0"/>
        <v>1485000</v>
      </c>
    </row>
    <row r="7" spans="1:4" ht="18.75" x14ac:dyDescent="0.25">
      <c r="A7" s="8" t="s">
        <v>12</v>
      </c>
      <c r="B7" s="9">
        <v>13</v>
      </c>
      <c r="C7" s="10">
        <v>25000</v>
      </c>
      <c r="D7" s="11">
        <f t="shared" si="0"/>
        <v>325000</v>
      </c>
    </row>
    <row r="8" spans="1:4" ht="18.75" hidden="1" x14ac:dyDescent="0.25">
      <c r="A8" s="8" t="s">
        <v>13</v>
      </c>
      <c r="B8" s="9"/>
      <c r="C8" s="10"/>
      <c r="D8" s="11">
        <f t="shared" si="0"/>
        <v>0</v>
      </c>
    </row>
    <row r="9" spans="1:4" ht="18.75" x14ac:dyDescent="0.25">
      <c r="A9" s="8" t="s">
        <v>14</v>
      </c>
      <c r="B9" s="9">
        <v>32</v>
      </c>
      <c r="C9" s="12">
        <v>43000</v>
      </c>
      <c r="D9" s="11">
        <f t="shared" si="0"/>
        <v>1376000</v>
      </c>
    </row>
    <row r="10" spans="1:4" ht="18.75" hidden="1" x14ac:dyDescent="0.25">
      <c r="A10" s="8" t="s">
        <v>15</v>
      </c>
      <c r="B10" s="9"/>
      <c r="C10" s="12"/>
      <c r="D10" s="11">
        <f t="shared" si="0"/>
        <v>0</v>
      </c>
    </row>
    <row r="11" spans="1:4" ht="18.75" hidden="1" x14ac:dyDescent="0.25">
      <c r="A11" s="8" t="s">
        <v>16</v>
      </c>
      <c r="B11" s="9"/>
      <c r="C11" s="12"/>
      <c r="D11" s="11">
        <f t="shared" si="0"/>
        <v>0</v>
      </c>
    </row>
    <row r="12" spans="1:4" ht="18.75" x14ac:dyDescent="0.25">
      <c r="A12" s="8" t="s">
        <v>17</v>
      </c>
      <c r="B12" s="9">
        <v>23</v>
      </c>
      <c r="C12" s="10">
        <v>17000</v>
      </c>
      <c r="D12" s="11">
        <f t="shared" si="0"/>
        <v>391000</v>
      </c>
    </row>
    <row r="13" spans="1:4" ht="18.75" hidden="1" x14ac:dyDescent="0.25">
      <c r="A13" s="8" t="s">
        <v>18</v>
      </c>
      <c r="B13" s="9"/>
      <c r="C13" s="10">
        <v>13000</v>
      </c>
      <c r="D13" s="11">
        <f t="shared" si="0"/>
        <v>0</v>
      </c>
    </row>
    <row r="14" spans="1:4" ht="18.75" hidden="1" x14ac:dyDescent="0.25">
      <c r="A14" s="8" t="s">
        <v>19</v>
      </c>
      <c r="B14" s="9"/>
      <c r="C14" s="10"/>
      <c r="D14" s="11">
        <f t="shared" si="0"/>
        <v>0</v>
      </c>
    </row>
    <row r="15" spans="1:4" ht="18.75" hidden="1" x14ac:dyDescent="0.25">
      <c r="A15" s="8" t="s">
        <v>20</v>
      </c>
      <c r="B15" s="9"/>
      <c r="C15" s="13">
        <v>11000</v>
      </c>
      <c r="D15" s="11">
        <f t="shared" si="0"/>
        <v>0</v>
      </c>
    </row>
    <row r="16" spans="1:4" ht="18.75" hidden="1" x14ac:dyDescent="0.25">
      <c r="A16" s="8"/>
      <c r="B16" s="9"/>
      <c r="C16" s="13">
        <v>10000</v>
      </c>
      <c r="D16" s="11">
        <f t="shared" si="0"/>
        <v>0</v>
      </c>
    </row>
    <row r="17" spans="1:4" ht="18.75" hidden="1" x14ac:dyDescent="0.25">
      <c r="A17" s="8" t="s">
        <v>21</v>
      </c>
      <c r="B17" s="9"/>
      <c r="C17" s="10"/>
      <c r="D17" s="11">
        <f t="shared" si="0"/>
        <v>0</v>
      </c>
    </row>
    <row r="18" spans="1:4" ht="18.75" hidden="1" x14ac:dyDescent="0.25">
      <c r="A18" s="8" t="s">
        <v>24</v>
      </c>
      <c r="B18" s="9"/>
      <c r="C18" s="10"/>
      <c r="D18" s="11">
        <f t="shared" si="0"/>
        <v>0</v>
      </c>
    </row>
    <row r="19" spans="1:4" ht="18.75" hidden="1" x14ac:dyDescent="0.25">
      <c r="A19" s="14" t="s">
        <v>25</v>
      </c>
      <c r="B19" s="9"/>
      <c r="C19" s="13"/>
      <c r="D19" s="11">
        <f t="shared" si="0"/>
        <v>0</v>
      </c>
    </row>
    <row r="20" spans="1:4" ht="18.75" x14ac:dyDescent="0.25">
      <c r="A20" s="18" t="s">
        <v>62</v>
      </c>
      <c r="B20" s="9">
        <v>10</v>
      </c>
      <c r="C20" s="19">
        <v>25000</v>
      </c>
      <c r="D20" s="11">
        <f t="shared" si="0"/>
        <v>250000</v>
      </c>
    </row>
    <row r="21" spans="1:4" ht="18.75" hidden="1" x14ac:dyDescent="0.25">
      <c r="A21" s="18" t="s">
        <v>63</v>
      </c>
      <c r="B21" s="9"/>
      <c r="C21" s="10">
        <v>24000</v>
      </c>
      <c r="D21" s="11">
        <f t="shared" si="0"/>
        <v>0</v>
      </c>
    </row>
    <row r="22" spans="1:4" ht="18.75" x14ac:dyDescent="0.25">
      <c r="A22" s="8" t="s">
        <v>165</v>
      </c>
      <c r="B22" s="9">
        <v>178</v>
      </c>
      <c r="C22" s="10">
        <v>21000</v>
      </c>
      <c r="D22" s="11">
        <f t="shared" si="0"/>
        <v>3738000</v>
      </c>
    </row>
    <row r="23" spans="1:4" ht="18.75" x14ac:dyDescent="0.25">
      <c r="A23" s="26" t="s">
        <v>166</v>
      </c>
      <c r="B23" s="9">
        <f>108*2</f>
        <v>216</v>
      </c>
      <c r="C23" s="10">
        <v>7000</v>
      </c>
      <c r="D23" s="11">
        <f t="shared" si="0"/>
        <v>1512000</v>
      </c>
    </row>
    <row r="24" spans="1:4" ht="18.75" hidden="1" x14ac:dyDescent="0.25">
      <c r="A24" s="8" t="s">
        <v>26</v>
      </c>
      <c r="B24" s="9"/>
      <c r="C24" s="10"/>
      <c r="D24" s="11">
        <f t="shared" si="0"/>
        <v>0</v>
      </c>
    </row>
    <row r="25" spans="1:4" ht="18.75" hidden="1" x14ac:dyDescent="0.25">
      <c r="A25" s="8" t="s">
        <v>27</v>
      </c>
      <c r="B25" s="9"/>
      <c r="C25" s="10">
        <v>16000</v>
      </c>
      <c r="D25" s="11">
        <f t="shared" si="0"/>
        <v>0</v>
      </c>
    </row>
    <row r="26" spans="1:4" ht="18.75" hidden="1" x14ac:dyDescent="0.25">
      <c r="A26" s="8" t="s">
        <v>28</v>
      </c>
      <c r="B26" s="9"/>
      <c r="C26" s="10">
        <v>10000</v>
      </c>
      <c r="D26" s="11">
        <f t="shared" si="0"/>
        <v>0</v>
      </c>
    </row>
    <row r="27" spans="1:4" ht="18.75" hidden="1" x14ac:dyDescent="0.25">
      <c r="A27" s="8"/>
      <c r="B27" s="9"/>
      <c r="C27" s="10">
        <v>10000</v>
      </c>
      <c r="D27" s="11">
        <f t="shared" si="0"/>
        <v>0</v>
      </c>
    </row>
    <row r="28" spans="1:4" ht="18.75" hidden="1" x14ac:dyDescent="0.25">
      <c r="A28" s="14" t="s">
        <v>29</v>
      </c>
      <c r="B28" s="9"/>
      <c r="C28" s="15"/>
      <c r="D28" s="11">
        <f t="shared" si="0"/>
        <v>0</v>
      </c>
    </row>
    <row r="29" spans="1:4" ht="18.75" hidden="1" x14ac:dyDescent="0.25">
      <c r="A29" s="8" t="s">
        <v>30</v>
      </c>
      <c r="B29" s="9"/>
      <c r="C29" s="10">
        <v>5000</v>
      </c>
      <c r="D29" s="11">
        <f t="shared" si="0"/>
        <v>0</v>
      </c>
    </row>
    <row r="30" spans="1:4" ht="18.75" hidden="1" x14ac:dyDescent="0.25">
      <c r="A30" s="8"/>
      <c r="B30" s="9"/>
      <c r="C30" s="10">
        <v>5000</v>
      </c>
      <c r="D30" s="11">
        <f t="shared" si="0"/>
        <v>0</v>
      </c>
    </row>
    <row r="31" spans="1:4" ht="18.75" hidden="1" x14ac:dyDescent="0.25">
      <c r="A31" s="8" t="s">
        <v>31</v>
      </c>
      <c r="B31" s="9"/>
      <c r="C31" s="10"/>
      <c r="D31" s="11">
        <f t="shared" si="0"/>
        <v>0</v>
      </c>
    </row>
    <row r="32" spans="1:4" ht="18.75" hidden="1" x14ac:dyDescent="0.25">
      <c r="A32" s="14" t="s">
        <v>32</v>
      </c>
      <c r="B32" s="9"/>
      <c r="C32" s="10"/>
      <c r="D32" s="11">
        <f t="shared" si="0"/>
        <v>0</v>
      </c>
    </row>
    <row r="33" spans="1:4" ht="18.75" hidden="1" x14ac:dyDescent="0.25">
      <c r="A33" s="8" t="s">
        <v>33</v>
      </c>
      <c r="B33" s="9"/>
      <c r="C33" s="13"/>
      <c r="D33" s="11">
        <f t="shared" si="0"/>
        <v>0</v>
      </c>
    </row>
    <row r="34" spans="1:4" ht="18.75" hidden="1" x14ac:dyDescent="0.25">
      <c r="A34" s="8" t="s">
        <v>34</v>
      </c>
      <c r="B34" s="9"/>
      <c r="C34" s="10">
        <v>8000</v>
      </c>
      <c r="D34" s="11">
        <f t="shared" si="0"/>
        <v>0</v>
      </c>
    </row>
    <row r="35" spans="1:4" ht="18.75" hidden="1" x14ac:dyDescent="0.25">
      <c r="A35" s="8" t="s">
        <v>35</v>
      </c>
      <c r="B35" s="9"/>
      <c r="C35" s="15">
        <v>110000</v>
      </c>
      <c r="D35" s="11">
        <f t="shared" si="0"/>
        <v>0</v>
      </c>
    </row>
    <row r="36" spans="1:4" ht="18.75" hidden="1" x14ac:dyDescent="0.25">
      <c r="A36" s="8" t="s">
        <v>36</v>
      </c>
      <c r="B36" s="9"/>
      <c r="C36" s="10"/>
      <c r="D36" s="11">
        <f t="shared" si="0"/>
        <v>0</v>
      </c>
    </row>
    <row r="37" spans="1:4" ht="18.75" hidden="1" x14ac:dyDescent="0.25">
      <c r="A37" s="14" t="s">
        <v>37</v>
      </c>
      <c r="B37" s="9"/>
      <c r="C37" s="12">
        <v>10000</v>
      </c>
      <c r="D37" s="11">
        <f t="shared" si="0"/>
        <v>0</v>
      </c>
    </row>
    <row r="38" spans="1:4" ht="18.75" hidden="1" x14ac:dyDescent="0.25">
      <c r="A38" s="14" t="s">
        <v>38</v>
      </c>
      <c r="B38" s="9"/>
      <c r="C38" s="10"/>
      <c r="D38" s="11">
        <f t="shared" si="0"/>
        <v>0</v>
      </c>
    </row>
    <row r="39" spans="1:4" ht="18.75" hidden="1" x14ac:dyDescent="0.25">
      <c r="A39" s="8" t="s">
        <v>39</v>
      </c>
      <c r="B39" s="9"/>
      <c r="C39" s="10"/>
      <c r="D39" s="11">
        <f t="shared" si="0"/>
        <v>0</v>
      </c>
    </row>
    <row r="40" spans="1:4" ht="18.75" hidden="1" x14ac:dyDescent="0.25">
      <c r="A40" s="14" t="s">
        <v>40</v>
      </c>
      <c r="B40" s="9"/>
      <c r="C40" s="10"/>
      <c r="D40" s="11">
        <f t="shared" si="0"/>
        <v>0</v>
      </c>
    </row>
    <row r="41" spans="1:4" ht="18.75" hidden="1" x14ac:dyDescent="0.25">
      <c r="A41" s="8" t="s">
        <v>41</v>
      </c>
      <c r="B41" s="9"/>
      <c r="C41" s="10"/>
      <c r="D41" s="11">
        <f t="shared" si="0"/>
        <v>0</v>
      </c>
    </row>
    <row r="42" spans="1:4" ht="18.75" hidden="1" x14ac:dyDescent="0.25">
      <c r="A42" s="8" t="s">
        <v>42</v>
      </c>
      <c r="B42" s="9"/>
      <c r="C42" s="13">
        <v>22000</v>
      </c>
      <c r="D42" s="11">
        <f t="shared" si="0"/>
        <v>0</v>
      </c>
    </row>
    <row r="43" spans="1:4" ht="18.75" hidden="1" x14ac:dyDescent="0.25">
      <c r="A43" s="16" t="s">
        <v>43</v>
      </c>
      <c r="B43" s="9"/>
      <c r="C43" s="10"/>
      <c r="D43" s="11">
        <f t="shared" si="0"/>
        <v>0</v>
      </c>
    </row>
    <row r="44" spans="1:4" ht="18.75" x14ac:dyDescent="0.25">
      <c r="A44" s="8" t="s">
        <v>44</v>
      </c>
      <c r="B44" s="9">
        <f>28+14+10</f>
        <v>52</v>
      </c>
      <c r="C44" s="10">
        <v>13000</v>
      </c>
      <c r="D44" s="11">
        <f t="shared" si="0"/>
        <v>676000</v>
      </c>
    </row>
    <row r="45" spans="1:4" ht="18.75" hidden="1" x14ac:dyDescent="0.25">
      <c r="A45" s="8"/>
      <c r="B45" s="9"/>
      <c r="C45" s="10">
        <v>13000</v>
      </c>
      <c r="D45" s="11">
        <f t="shared" si="0"/>
        <v>0</v>
      </c>
    </row>
    <row r="46" spans="1:4" ht="18.75" hidden="1" x14ac:dyDescent="0.25">
      <c r="A46" s="8" t="s">
        <v>251</v>
      </c>
      <c r="B46" s="9"/>
      <c r="C46" s="10"/>
      <c r="D46" s="11">
        <f t="shared" si="0"/>
        <v>0</v>
      </c>
    </row>
    <row r="47" spans="1:4" ht="18.75" hidden="1" x14ac:dyDescent="0.25">
      <c r="A47" s="8" t="s">
        <v>47</v>
      </c>
      <c r="B47" s="9"/>
      <c r="C47" s="12"/>
      <c r="D47" s="11">
        <f t="shared" si="0"/>
        <v>0</v>
      </c>
    </row>
    <row r="48" spans="1:4" ht="18.75" hidden="1" x14ac:dyDescent="0.25">
      <c r="A48" s="8" t="s">
        <v>49</v>
      </c>
      <c r="B48" s="9"/>
      <c r="C48" s="10"/>
      <c r="D48" s="11">
        <f t="shared" si="0"/>
        <v>0</v>
      </c>
    </row>
    <row r="49" spans="1:4" ht="18.75" hidden="1" x14ac:dyDescent="0.25">
      <c r="A49" s="8" t="s">
        <v>50</v>
      </c>
      <c r="B49" s="9"/>
      <c r="C49" s="10">
        <v>17500</v>
      </c>
      <c r="D49" s="11">
        <f t="shared" si="0"/>
        <v>0</v>
      </c>
    </row>
    <row r="50" spans="1:4" ht="18.75" hidden="1" x14ac:dyDescent="0.25">
      <c r="A50" s="8"/>
      <c r="B50" s="9"/>
      <c r="C50" s="10">
        <v>17000</v>
      </c>
      <c r="D50" s="11">
        <f t="shared" si="0"/>
        <v>0</v>
      </c>
    </row>
    <row r="51" spans="1:4" ht="18.75" hidden="1" x14ac:dyDescent="0.25">
      <c r="A51" s="8"/>
      <c r="B51" s="9"/>
      <c r="C51" s="10">
        <v>17000</v>
      </c>
      <c r="D51" s="11">
        <f t="shared" si="0"/>
        <v>0</v>
      </c>
    </row>
    <row r="52" spans="1:4" ht="18.75" hidden="1" x14ac:dyDescent="0.25">
      <c r="A52" s="8"/>
      <c r="B52" s="9"/>
      <c r="C52" s="10">
        <v>18000</v>
      </c>
      <c r="D52" s="11">
        <f t="shared" si="0"/>
        <v>0</v>
      </c>
    </row>
    <row r="53" spans="1:4" ht="18.75" hidden="1" x14ac:dyDescent="0.25">
      <c r="A53" s="8"/>
      <c r="B53" s="9"/>
      <c r="C53" s="10">
        <v>17500</v>
      </c>
      <c r="D53" s="11">
        <f t="shared" si="0"/>
        <v>0</v>
      </c>
    </row>
    <row r="54" spans="1:4" ht="18.75" hidden="1" x14ac:dyDescent="0.25">
      <c r="A54" s="8" t="s">
        <v>51</v>
      </c>
      <c r="B54" s="9"/>
      <c r="C54" s="10"/>
      <c r="D54" s="11">
        <f t="shared" si="0"/>
        <v>0</v>
      </c>
    </row>
    <row r="55" spans="1:4" ht="18.75" hidden="1" x14ac:dyDescent="0.25">
      <c r="A55" s="8" t="s">
        <v>252</v>
      </c>
      <c r="B55" s="9"/>
      <c r="C55" s="12"/>
      <c r="D55" s="11">
        <f t="shared" si="0"/>
        <v>0</v>
      </c>
    </row>
    <row r="56" spans="1:4" ht="18.75" hidden="1" x14ac:dyDescent="0.25">
      <c r="A56" s="8" t="s">
        <v>53</v>
      </c>
      <c r="B56" s="9"/>
      <c r="C56" s="10"/>
      <c r="D56" s="11">
        <f t="shared" si="0"/>
        <v>0</v>
      </c>
    </row>
    <row r="57" spans="1:4" ht="18.75" hidden="1" x14ac:dyDescent="0.25">
      <c r="A57" s="8" t="s">
        <v>54</v>
      </c>
      <c r="B57" s="9"/>
      <c r="C57" s="10"/>
      <c r="D57" s="11">
        <f t="shared" si="0"/>
        <v>0</v>
      </c>
    </row>
    <row r="58" spans="1:4" ht="18.75" hidden="1" x14ac:dyDescent="0.25">
      <c r="A58" s="8" t="s">
        <v>55</v>
      </c>
      <c r="B58" s="9"/>
      <c r="C58" s="10">
        <v>12000</v>
      </c>
      <c r="D58" s="11">
        <f t="shared" si="0"/>
        <v>0</v>
      </c>
    </row>
    <row r="59" spans="1:4" ht="18.75" hidden="1" x14ac:dyDescent="0.25">
      <c r="A59" s="8" t="s">
        <v>57</v>
      </c>
      <c r="B59" s="9"/>
      <c r="C59" s="10">
        <v>7000</v>
      </c>
      <c r="D59" s="11">
        <f t="shared" si="0"/>
        <v>0</v>
      </c>
    </row>
    <row r="60" spans="1:4" ht="18.75" hidden="1" x14ac:dyDescent="0.25">
      <c r="A60" s="8"/>
      <c r="B60" s="9"/>
      <c r="C60" s="10">
        <v>7000</v>
      </c>
      <c r="D60" s="11">
        <f t="shared" si="0"/>
        <v>0</v>
      </c>
    </row>
    <row r="61" spans="1:4" ht="18.75" hidden="1" x14ac:dyDescent="0.25">
      <c r="A61" s="8"/>
      <c r="B61" s="9"/>
      <c r="C61" s="10">
        <v>7500</v>
      </c>
      <c r="D61" s="11">
        <f t="shared" si="0"/>
        <v>0</v>
      </c>
    </row>
    <row r="62" spans="1:4" ht="18.75" hidden="1" x14ac:dyDescent="0.25">
      <c r="A62" s="8" t="s">
        <v>58</v>
      </c>
      <c r="B62" s="9"/>
      <c r="C62" s="13"/>
      <c r="D62" s="11">
        <f t="shared" si="0"/>
        <v>0</v>
      </c>
    </row>
    <row r="63" spans="1:4" ht="18.75" hidden="1" x14ac:dyDescent="0.25">
      <c r="A63" s="14" t="s">
        <v>59</v>
      </c>
      <c r="B63" s="9"/>
      <c r="C63" s="10">
        <v>20000</v>
      </c>
      <c r="D63" s="11">
        <f t="shared" si="0"/>
        <v>0</v>
      </c>
    </row>
    <row r="64" spans="1:4" ht="18.75" hidden="1" x14ac:dyDescent="0.25">
      <c r="A64" s="8" t="s">
        <v>60</v>
      </c>
      <c r="B64" s="9"/>
      <c r="C64" s="12">
        <v>15000</v>
      </c>
      <c r="D64" s="11">
        <f t="shared" si="0"/>
        <v>0</v>
      </c>
    </row>
    <row r="65" spans="1:4" ht="18.75" hidden="1" x14ac:dyDescent="0.25">
      <c r="A65" s="8" t="s">
        <v>61</v>
      </c>
      <c r="B65" s="17"/>
      <c r="C65" s="10"/>
      <c r="D65" s="11">
        <f t="shared" si="0"/>
        <v>0</v>
      </c>
    </row>
    <row r="66" spans="1:4" ht="18.75" x14ac:dyDescent="0.25">
      <c r="A66" s="14" t="s">
        <v>64</v>
      </c>
      <c r="B66" s="9">
        <v>170</v>
      </c>
      <c r="C66" s="10">
        <v>22000</v>
      </c>
      <c r="D66" s="11">
        <f t="shared" si="0"/>
        <v>3740000</v>
      </c>
    </row>
    <row r="67" spans="1:4" ht="18.75" hidden="1" x14ac:dyDescent="0.25">
      <c r="A67" s="14"/>
      <c r="B67" s="9"/>
      <c r="C67" s="10">
        <v>22000</v>
      </c>
      <c r="D67" s="11">
        <f t="shared" si="0"/>
        <v>0</v>
      </c>
    </row>
    <row r="68" spans="1:4" ht="18.75" hidden="1" x14ac:dyDescent="0.25">
      <c r="A68" s="14"/>
      <c r="B68" s="9"/>
      <c r="C68" s="10">
        <v>21000</v>
      </c>
      <c r="D68" s="11">
        <f t="shared" si="0"/>
        <v>0</v>
      </c>
    </row>
    <row r="69" spans="1:4" ht="18.75" x14ac:dyDescent="0.25">
      <c r="A69" s="8" t="s">
        <v>65</v>
      </c>
      <c r="B69" s="9">
        <v>13</v>
      </c>
      <c r="C69" s="12">
        <v>19000</v>
      </c>
      <c r="D69" s="11">
        <f t="shared" ref="D69:D132" si="1">C69*B69</f>
        <v>247000</v>
      </c>
    </row>
    <row r="70" spans="1:4" ht="18.75" hidden="1" x14ac:dyDescent="0.25">
      <c r="A70" s="14" t="s">
        <v>66</v>
      </c>
      <c r="B70" s="9"/>
      <c r="C70" s="10"/>
      <c r="D70" s="11">
        <f t="shared" si="1"/>
        <v>0</v>
      </c>
    </row>
    <row r="71" spans="1:4" ht="18.75" x14ac:dyDescent="0.25">
      <c r="A71" s="8" t="s">
        <v>5</v>
      </c>
      <c r="B71" s="9">
        <v>8</v>
      </c>
      <c r="C71" s="10">
        <v>18000</v>
      </c>
      <c r="D71" s="11">
        <f t="shared" si="1"/>
        <v>144000</v>
      </c>
    </row>
    <row r="72" spans="1:4" ht="18.75" x14ac:dyDescent="0.25">
      <c r="A72" s="8" t="s">
        <v>6</v>
      </c>
      <c r="B72" s="9">
        <v>66</v>
      </c>
      <c r="C72" s="10">
        <v>10000</v>
      </c>
      <c r="D72" s="11">
        <f t="shared" si="1"/>
        <v>660000</v>
      </c>
    </row>
    <row r="73" spans="1:4" ht="18.75" hidden="1" x14ac:dyDescent="0.25">
      <c r="A73" s="8"/>
      <c r="B73" s="9"/>
      <c r="C73" s="10">
        <v>11000</v>
      </c>
      <c r="D73" s="11">
        <f t="shared" si="1"/>
        <v>0</v>
      </c>
    </row>
    <row r="74" spans="1:4" ht="18.75" hidden="1" x14ac:dyDescent="0.25">
      <c r="A74" s="8"/>
      <c r="B74" s="9"/>
      <c r="C74" s="10">
        <v>10000</v>
      </c>
      <c r="D74" s="11">
        <f t="shared" si="1"/>
        <v>0</v>
      </c>
    </row>
    <row r="75" spans="1:4" ht="18.75" hidden="1" x14ac:dyDescent="0.25">
      <c r="A75" s="8" t="s">
        <v>7</v>
      </c>
      <c r="B75" s="9"/>
      <c r="C75" s="10"/>
      <c r="D75" s="11">
        <f t="shared" si="1"/>
        <v>0</v>
      </c>
    </row>
    <row r="76" spans="1:4" ht="18.75" hidden="1" x14ac:dyDescent="0.25">
      <c r="A76" s="8" t="s">
        <v>68</v>
      </c>
      <c r="B76" s="9"/>
      <c r="C76" s="10">
        <v>8000</v>
      </c>
      <c r="D76" s="11">
        <f t="shared" si="1"/>
        <v>0</v>
      </c>
    </row>
    <row r="77" spans="1:4" ht="18.75" hidden="1" x14ac:dyDescent="0.25">
      <c r="A77" s="8" t="s">
        <v>253</v>
      </c>
      <c r="B77" s="9"/>
      <c r="C77" s="10"/>
      <c r="D77" s="11">
        <f t="shared" si="1"/>
        <v>0</v>
      </c>
    </row>
    <row r="78" spans="1:4" ht="18.75" hidden="1" x14ac:dyDescent="0.25">
      <c r="A78" s="14" t="s">
        <v>69</v>
      </c>
      <c r="B78" s="9"/>
      <c r="C78" s="15">
        <v>11500</v>
      </c>
      <c r="D78" s="11">
        <f t="shared" si="1"/>
        <v>0</v>
      </c>
    </row>
    <row r="79" spans="1:4" ht="18.75" hidden="1" x14ac:dyDescent="0.25">
      <c r="A79" s="14"/>
      <c r="B79" s="9"/>
      <c r="C79" s="15">
        <v>11000</v>
      </c>
      <c r="D79" s="11">
        <f t="shared" si="1"/>
        <v>0</v>
      </c>
    </row>
    <row r="80" spans="1:4" ht="18.75" hidden="1" x14ac:dyDescent="0.25">
      <c r="A80" s="14" t="s">
        <v>70</v>
      </c>
      <c r="B80" s="9"/>
      <c r="C80" s="15"/>
      <c r="D80" s="11">
        <f t="shared" si="1"/>
        <v>0</v>
      </c>
    </row>
    <row r="81" spans="1:4" ht="18.75" hidden="1" x14ac:dyDescent="0.25">
      <c r="A81" s="14" t="s">
        <v>71</v>
      </c>
      <c r="B81" s="9"/>
      <c r="C81" s="10"/>
      <c r="D81" s="11">
        <f t="shared" si="1"/>
        <v>0</v>
      </c>
    </row>
    <row r="82" spans="1:4" ht="18.75" hidden="1" x14ac:dyDescent="0.25">
      <c r="A82" s="8" t="s">
        <v>72</v>
      </c>
      <c r="B82" s="9"/>
      <c r="C82" s="12">
        <v>26000</v>
      </c>
      <c r="D82" s="11">
        <f t="shared" si="1"/>
        <v>0</v>
      </c>
    </row>
    <row r="83" spans="1:4" ht="18.75" hidden="1" x14ac:dyDescent="0.25">
      <c r="A83" s="8" t="s">
        <v>73</v>
      </c>
      <c r="B83" s="9"/>
      <c r="C83" s="12">
        <v>25000</v>
      </c>
      <c r="D83" s="11">
        <f t="shared" si="1"/>
        <v>0</v>
      </c>
    </row>
    <row r="84" spans="1:4" ht="18.75" hidden="1" x14ac:dyDescent="0.25">
      <c r="A84" s="8" t="s">
        <v>74</v>
      </c>
      <c r="B84" s="9"/>
      <c r="C84" s="13"/>
      <c r="D84" s="11">
        <f t="shared" si="1"/>
        <v>0</v>
      </c>
    </row>
    <row r="85" spans="1:4" ht="18.75" hidden="1" x14ac:dyDescent="0.25">
      <c r="A85" s="8" t="s">
        <v>75</v>
      </c>
      <c r="B85" s="9"/>
      <c r="C85" s="15"/>
      <c r="D85" s="11">
        <f t="shared" si="1"/>
        <v>0</v>
      </c>
    </row>
    <row r="86" spans="1:4" ht="18.75" hidden="1" x14ac:dyDescent="0.25">
      <c r="A86" s="8" t="s">
        <v>76</v>
      </c>
      <c r="B86" s="9"/>
      <c r="C86" s="10"/>
      <c r="D86" s="11">
        <f t="shared" si="1"/>
        <v>0</v>
      </c>
    </row>
    <row r="87" spans="1:4" ht="18.75" hidden="1" x14ac:dyDescent="0.25">
      <c r="A87" s="8" t="s">
        <v>254</v>
      </c>
      <c r="B87" s="9"/>
      <c r="C87" s="13"/>
      <c r="D87" s="11">
        <f t="shared" si="1"/>
        <v>0</v>
      </c>
    </row>
    <row r="88" spans="1:4" ht="18.75" hidden="1" x14ac:dyDescent="0.25">
      <c r="A88" s="20" t="s">
        <v>78</v>
      </c>
      <c r="B88" s="9"/>
      <c r="C88" s="12"/>
      <c r="D88" s="11">
        <f t="shared" si="1"/>
        <v>0</v>
      </c>
    </row>
    <row r="89" spans="1:4" ht="18.75" hidden="1" x14ac:dyDescent="0.25">
      <c r="A89" s="20"/>
      <c r="B89" s="9"/>
      <c r="C89" s="12">
        <v>8000</v>
      </c>
      <c r="D89" s="11">
        <f t="shared" si="1"/>
        <v>0</v>
      </c>
    </row>
    <row r="90" spans="1:4" ht="18.75" hidden="1" x14ac:dyDescent="0.25">
      <c r="A90" s="20"/>
      <c r="B90" s="9"/>
      <c r="C90" s="12">
        <v>7500</v>
      </c>
      <c r="D90" s="11">
        <f t="shared" si="1"/>
        <v>0</v>
      </c>
    </row>
    <row r="91" spans="1:4" ht="18.75" hidden="1" x14ac:dyDescent="0.25">
      <c r="A91" s="20"/>
      <c r="B91" s="9"/>
      <c r="C91" s="12">
        <v>10000</v>
      </c>
      <c r="D91" s="11">
        <f t="shared" si="1"/>
        <v>0</v>
      </c>
    </row>
    <row r="92" spans="1:4" ht="18.75" hidden="1" x14ac:dyDescent="0.25">
      <c r="A92" s="20" t="s">
        <v>79</v>
      </c>
      <c r="B92" s="9"/>
      <c r="C92" s="13"/>
      <c r="D92" s="11">
        <f t="shared" si="1"/>
        <v>0</v>
      </c>
    </row>
    <row r="93" spans="1:4" ht="18.75" hidden="1" x14ac:dyDescent="0.25">
      <c r="A93" s="20" t="s">
        <v>80</v>
      </c>
      <c r="B93" s="9"/>
      <c r="C93" s="10"/>
      <c r="D93" s="11">
        <f t="shared" si="1"/>
        <v>0</v>
      </c>
    </row>
    <row r="94" spans="1:4" ht="18.75" hidden="1" x14ac:dyDescent="0.25">
      <c r="A94" s="8" t="s">
        <v>81</v>
      </c>
      <c r="B94" s="9"/>
      <c r="C94" s="13"/>
      <c r="D94" s="11">
        <f t="shared" si="1"/>
        <v>0</v>
      </c>
    </row>
    <row r="95" spans="1:4" ht="18.75" hidden="1" x14ac:dyDescent="0.25">
      <c r="A95" s="8" t="s">
        <v>82</v>
      </c>
      <c r="B95" s="9"/>
      <c r="C95" s="10">
        <v>150000</v>
      </c>
      <c r="D95" s="11">
        <f t="shared" si="1"/>
        <v>0</v>
      </c>
    </row>
    <row r="96" spans="1:4" ht="18.75" hidden="1" x14ac:dyDescent="0.25">
      <c r="A96" s="8" t="s">
        <v>83</v>
      </c>
      <c r="B96" s="9"/>
      <c r="C96" s="10"/>
      <c r="D96" s="11">
        <f t="shared" si="1"/>
        <v>0</v>
      </c>
    </row>
    <row r="97" spans="1:4" ht="18.75" hidden="1" x14ac:dyDescent="0.25">
      <c r="A97" s="8" t="s">
        <v>84</v>
      </c>
      <c r="B97" s="9"/>
      <c r="C97" s="10">
        <v>50000</v>
      </c>
      <c r="D97" s="11">
        <f t="shared" si="1"/>
        <v>0</v>
      </c>
    </row>
    <row r="98" spans="1:4" ht="18.75" hidden="1" x14ac:dyDescent="0.25">
      <c r="A98" s="8" t="s">
        <v>85</v>
      </c>
      <c r="B98" s="9"/>
      <c r="C98" s="10"/>
      <c r="D98" s="11">
        <f t="shared" si="1"/>
        <v>0</v>
      </c>
    </row>
    <row r="99" spans="1:4" ht="18.75" hidden="1" x14ac:dyDescent="0.25">
      <c r="A99" s="8" t="s">
        <v>86</v>
      </c>
      <c r="B99" s="9"/>
      <c r="C99" s="10">
        <v>50000</v>
      </c>
      <c r="D99" s="11">
        <f t="shared" si="1"/>
        <v>0</v>
      </c>
    </row>
    <row r="100" spans="1:4" ht="18.75" hidden="1" x14ac:dyDescent="0.25">
      <c r="A100" s="8" t="s">
        <v>87</v>
      </c>
      <c r="B100" s="9"/>
      <c r="C100" s="12"/>
      <c r="D100" s="11">
        <f t="shared" si="1"/>
        <v>0</v>
      </c>
    </row>
    <row r="101" spans="1:4" ht="18.75" hidden="1" x14ac:dyDescent="0.25">
      <c r="A101" s="8" t="s">
        <v>88</v>
      </c>
      <c r="B101" s="9"/>
      <c r="C101" s="10">
        <v>45000</v>
      </c>
      <c r="D101" s="11">
        <f t="shared" si="1"/>
        <v>0</v>
      </c>
    </row>
    <row r="102" spans="1:4" ht="18.75" hidden="1" x14ac:dyDescent="0.25">
      <c r="A102" s="8" t="s">
        <v>89</v>
      </c>
      <c r="B102" s="9"/>
      <c r="C102" s="12"/>
      <c r="D102" s="11">
        <f t="shared" si="1"/>
        <v>0</v>
      </c>
    </row>
    <row r="103" spans="1:4" ht="18.75" hidden="1" x14ac:dyDescent="0.25">
      <c r="A103" s="8" t="s">
        <v>90</v>
      </c>
      <c r="B103" s="9"/>
      <c r="C103" s="10">
        <v>50000</v>
      </c>
      <c r="D103" s="11">
        <f t="shared" si="1"/>
        <v>0</v>
      </c>
    </row>
    <row r="104" spans="1:4" ht="18.75" hidden="1" x14ac:dyDescent="0.25">
      <c r="A104" s="8" t="s">
        <v>91</v>
      </c>
      <c r="B104" s="9"/>
      <c r="C104" s="10"/>
      <c r="D104" s="11">
        <f t="shared" si="1"/>
        <v>0</v>
      </c>
    </row>
    <row r="105" spans="1:4" ht="18.75" hidden="1" x14ac:dyDescent="0.25">
      <c r="A105" s="8" t="s">
        <v>92</v>
      </c>
      <c r="B105" s="9"/>
      <c r="C105" s="10"/>
      <c r="D105" s="11">
        <f t="shared" si="1"/>
        <v>0</v>
      </c>
    </row>
    <row r="106" spans="1:4" ht="18.75" hidden="1" x14ac:dyDescent="0.25">
      <c r="A106" s="8" t="s">
        <v>93</v>
      </c>
      <c r="B106" s="9"/>
      <c r="C106" s="10"/>
      <c r="D106" s="11">
        <f t="shared" si="1"/>
        <v>0</v>
      </c>
    </row>
    <row r="107" spans="1:4" ht="18.75" hidden="1" x14ac:dyDescent="0.25">
      <c r="A107" s="8" t="s">
        <v>94</v>
      </c>
      <c r="B107" s="9"/>
      <c r="C107" s="10"/>
      <c r="D107" s="11">
        <f t="shared" si="1"/>
        <v>0</v>
      </c>
    </row>
    <row r="108" spans="1:4" ht="18.75" hidden="1" x14ac:dyDescent="0.25">
      <c r="A108" s="8" t="s">
        <v>95</v>
      </c>
      <c r="B108" s="9"/>
      <c r="C108" s="12">
        <v>12000</v>
      </c>
      <c r="D108" s="11">
        <f t="shared" si="1"/>
        <v>0</v>
      </c>
    </row>
    <row r="109" spans="1:4" ht="18.75" hidden="1" x14ac:dyDescent="0.25">
      <c r="A109" s="8" t="s">
        <v>96</v>
      </c>
      <c r="B109" s="9"/>
      <c r="C109" s="10"/>
      <c r="D109" s="11">
        <f t="shared" si="1"/>
        <v>0</v>
      </c>
    </row>
    <row r="110" spans="1:4" ht="18.75" hidden="1" x14ac:dyDescent="0.25">
      <c r="A110" s="8" t="s">
        <v>97</v>
      </c>
      <c r="B110" s="9"/>
      <c r="C110" s="10">
        <v>15000</v>
      </c>
      <c r="D110" s="11">
        <f t="shared" si="1"/>
        <v>0</v>
      </c>
    </row>
    <row r="111" spans="1:4" ht="18.75" hidden="1" x14ac:dyDescent="0.25">
      <c r="A111" s="8" t="s">
        <v>98</v>
      </c>
      <c r="B111" s="9"/>
      <c r="C111" s="10"/>
      <c r="D111" s="11">
        <f t="shared" si="1"/>
        <v>0</v>
      </c>
    </row>
    <row r="112" spans="1:4" ht="18.75" hidden="1" x14ac:dyDescent="0.25">
      <c r="A112" s="8" t="s">
        <v>99</v>
      </c>
      <c r="B112" s="9"/>
      <c r="C112" s="12"/>
      <c r="D112" s="11">
        <f t="shared" si="1"/>
        <v>0</v>
      </c>
    </row>
    <row r="113" spans="1:4" ht="18.75" hidden="1" x14ac:dyDescent="0.25">
      <c r="A113" s="14" t="s">
        <v>100</v>
      </c>
      <c r="B113" s="9"/>
      <c r="C113" s="10"/>
      <c r="D113" s="11">
        <f t="shared" si="1"/>
        <v>0</v>
      </c>
    </row>
    <row r="114" spans="1:4" ht="18.75" hidden="1" x14ac:dyDescent="0.25">
      <c r="A114" s="14" t="s">
        <v>101</v>
      </c>
      <c r="B114" s="9"/>
      <c r="C114" s="10"/>
      <c r="D114" s="11">
        <f t="shared" si="1"/>
        <v>0</v>
      </c>
    </row>
    <row r="115" spans="1:4" ht="18.75" hidden="1" x14ac:dyDescent="0.25">
      <c r="A115" s="14" t="s">
        <v>102</v>
      </c>
      <c r="B115" s="21"/>
      <c r="C115" s="10"/>
      <c r="D115" s="11">
        <f t="shared" si="1"/>
        <v>0</v>
      </c>
    </row>
    <row r="116" spans="1:4" ht="18.75" hidden="1" x14ac:dyDescent="0.25">
      <c r="A116" s="8" t="s">
        <v>103</v>
      </c>
      <c r="B116" s="9"/>
      <c r="C116" s="10"/>
      <c r="D116" s="11">
        <f t="shared" si="1"/>
        <v>0</v>
      </c>
    </row>
    <row r="117" spans="1:4" ht="18.75" hidden="1" x14ac:dyDescent="0.25">
      <c r="A117" s="8" t="s">
        <v>104</v>
      </c>
      <c r="B117" s="9"/>
      <c r="C117" s="12"/>
      <c r="D117" s="11">
        <f t="shared" si="1"/>
        <v>0</v>
      </c>
    </row>
    <row r="118" spans="1:4" ht="18.75" hidden="1" x14ac:dyDescent="0.25">
      <c r="A118" s="8" t="s">
        <v>105</v>
      </c>
      <c r="B118" s="9"/>
      <c r="C118" s="10"/>
      <c r="D118" s="11">
        <f t="shared" si="1"/>
        <v>0</v>
      </c>
    </row>
    <row r="119" spans="1:4" ht="18.75" hidden="1" x14ac:dyDescent="0.25">
      <c r="A119" s="8" t="s">
        <v>106</v>
      </c>
      <c r="B119" s="9"/>
      <c r="C119" s="10"/>
      <c r="D119" s="11">
        <f t="shared" si="1"/>
        <v>0</v>
      </c>
    </row>
    <row r="120" spans="1:4" ht="18.75" x14ac:dyDescent="0.25">
      <c r="A120" s="8" t="s">
        <v>46</v>
      </c>
      <c r="B120" s="9">
        <v>3</v>
      </c>
      <c r="C120" s="12">
        <v>15000</v>
      </c>
      <c r="D120" s="11">
        <f t="shared" si="1"/>
        <v>45000</v>
      </c>
    </row>
    <row r="121" spans="1:4" ht="18.75" x14ac:dyDescent="0.25">
      <c r="A121" s="8" t="s">
        <v>48</v>
      </c>
      <c r="B121" s="9">
        <v>14</v>
      </c>
      <c r="C121" s="10">
        <v>15000</v>
      </c>
      <c r="D121" s="11">
        <f t="shared" si="1"/>
        <v>210000</v>
      </c>
    </row>
    <row r="122" spans="1:4" ht="18.75" hidden="1" x14ac:dyDescent="0.25">
      <c r="A122" s="22" t="s">
        <v>108</v>
      </c>
      <c r="B122" s="9"/>
      <c r="C122" s="10"/>
      <c r="D122" s="11">
        <f t="shared" si="1"/>
        <v>0</v>
      </c>
    </row>
    <row r="123" spans="1:4" ht="18.75" hidden="1" x14ac:dyDescent="0.25">
      <c r="A123" s="8" t="s">
        <v>255</v>
      </c>
      <c r="B123" s="9"/>
      <c r="C123" s="12">
        <v>10000</v>
      </c>
      <c r="D123" s="11">
        <f t="shared" si="1"/>
        <v>0</v>
      </c>
    </row>
    <row r="124" spans="1:4" ht="18.75" hidden="1" x14ac:dyDescent="0.25">
      <c r="A124" s="8" t="s">
        <v>111</v>
      </c>
      <c r="B124" s="9"/>
      <c r="C124" s="13"/>
      <c r="D124" s="11">
        <f t="shared" si="1"/>
        <v>0</v>
      </c>
    </row>
    <row r="125" spans="1:4" ht="18.75" x14ac:dyDescent="0.25">
      <c r="A125" s="14" t="s">
        <v>112</v>
      </c>
      <c r="B125" s="9">
        <v>200</v>
      </c>
      <c r="C125" s="10">
        <v>20000</v>
      </c>
      <c r="D125" s="11">
        <f t="shared" si="1"/>
        <v>4000000</v>
      </c>
    </row>
    <row r="126" spans="1:4" ht="18.75" x14ac:dyDescent="0.25">
      <c r="A126" s="14" t="s">
        <v>113</v>
      </c>
      <c r="B126" s="9">
        <v>260</v>
      </c>
      <c r="C126" s="10">
        <v>16000</v>
      </c>
      <c r="D126" s="11">
        <f t="shared" si="1"/>
        <v>4160000</v>
      </c>
    </row>
    <row r="127" spans="1:4" ht="18.75" x14ac:dyDescent="0.25">
      <c r="A127" s="8" t="s">
        <v>114</v>
      </c>
      <c r="B127" s="9">
        <v>48</v>
      </c>
      <c r="C127" s="12">
        <v>7000</v>
      </c>
      <c r="D127" s="11">
        <f t="shared" si="1"/>
        <v>336000</v>
      </c>
    </row>
    <row r="128" spans="1:4" ht="18.75" x14ac:dyDescent="0.25">
      <c r="A128" s="14" t="s">
        <v>115</v>
      </c>
      <c r="B128" s="9">
        <v>19</v>
      </c>
      <c r="C128" s="10">
        <v>25000</v>
      </c>
      <c r="D128" s="11">
        <f t="shared" si="1"/>
        <v>475000</v>
      </c>
    </row>
    <row r="129" spans="1:4" ht="18.75" hidden="1" x14ac:dyDescent="0.25">
      <c r="A129" s="14" t="s">
        <v>116</v>
      </c>
      <c r="B129" s="9"/>
      <c r="C129" s="12"/>
      <c r="D129" s="11">
        <f t="shared" si="1"/>
        <v>0</v>
      </c>
    </row>
    <row r="130" spans="1:4" ht="18.75" hidden="1" x14ac:dyDescent="0.25">
      <c r="A130" s="8" t="s">
        <v>237</v>
      </c>
      <c r="B130" s="9"/>
      <c r="C130" s="13"/>
      <c r="D130" s="11">
        <f t="shared" si="1"/>
        <v>0</v>
      </c>
    </row>
    <row r="131" spans="1:4" ht="18.75" hidden="1" x14ac:dyDescent="0.25">
      <c r="A131" s="8" t="s">
        <v>117</v>
      </c>
      <c r="B131" s="9"/>
      <c r="C131" s="10"/>
      <c r="D131" s="11">
        <f t="shared" si="1"/>
        <v>0</v>
      </c>
    </row>
    <row r="132" spans="1:4" ht="18.75" hidden="1" x14ac:dyDescent="0.25">
      <c r="A132" s="8" t="s">
        <v>118</v>
      </c>
      <c r="B132" s="9"/>
      <c r="C132" s="12"/>
      <c r="D132" s="11">
        <f t="shared" si="1"/>
        <v>0</v>
      </c>
    </row>
    <row r="133" spans="1:4" ht="18.75" hidden="1" x14ac:dyDescent="0.25">
      <c r="A133" s="8" t="s">
        <v>120</v>
      </c>
      <c r="B133" s="9"/>
      <c r="C133" s="10">
        <v>15000</v>
      </c>
      <c r="D133" s="11">
        <f t="shared" ref="D133:D196" si="2">C133*B133</f>
        <v>0</v>
      </c>
    </row>
    <row r="134" spans="1:4" ht="18.75" hidden="1" x14ac:dyDescent="0.25">
      <c r="A134" s="8" t="s">
        <v>256</v>
      </c>
      <c r="B134" s="9"/>
      <c r="C134" s="10"/>
      <c r="D134" s="11">
        <f t="shared" si="2"/>
        <v>0</v>
      </c>
    </row>
    <row r="135" spans="1:4" ht="18.75" x14ac:dyDescent="0.25">
      <c r="A135" s="8" t="s">
        <v>121</v>
      </c>
      <c r="B135" s="9">
        <v>30</v>
      </c>
      <c r="C135" s="13">
        <v>23000</v>
      </c>
      <c r="D135" s="11">
        <f t="shared" si="2"/>
        <v>690000</v>
      </c>
    </row>
    <row r="136" spans="1:4" ht="18.75" hidden="1" x14ac:dyDescent="0.25">
      <c r="A136" s="8"/>
      <c r="B136" s="9"/>
      <c r="C136" s="13">
        <v>23000</v>
      </c>
      <c r="D136" s="11">
        <f t="shared" si="2"/>
        <v>0</v>
      </c>
    </row>
    <row r="137" spans="1:4" ht="18.75" hidden="1" x14ac:dyDescent="0.25">
      <c r="A137" s="8"/>
      <c r="B137" s="9"/>
      <c r="C137" s="13">
        <v>23000</v>
      </c>
      <c r="D137" s="11">
        <f t="shared" si="2"/>
        <v>0</v>
      </c>
    </row>
    <row r="138" spans="1:4" ht="18.75" x14ac:dyDescent="0.25">
      <c r="A138" s="8" t="s">
        <v>122</v>
      </c>
      <c r="B138" s="9">
        <v>10</v>
      </c>
      <c r="C138" s="12">
        <v>23000</v>
      </c>
      <c r="D138" s="11">
        <f t="shared" si="2"/>
        <v>230000</v>
      </c>
    </row>
    <row r="139" spans="1:4" ht="18.75" hidden="1" x14ac:dyDescent="0.25">
      <c r="A139" s="8" t="s">
        <v>123</v>
      </c>
      <c r="B139" s="9"/>
      <c r="C139" s="12"/>
      <c r="D139" s="11">
        <f t="shared" si="2"/>
        <v>0</v>
      </c>
    </row>
    <row r="140" spans="1:4" ht="18.75" hidden="1" x14ac:dyDescent="0.25">
      <c r="A140" s="8" t="s">
        <v>124</v>
      </c>
      <c r="B140" s="9"/>
      <c r="C140" s="13"/>
      <c r="D140" s="11">
        <f t="shared" si="2"/>
        <v>0</v>
      </c>
    </row>
    <row r="141" spans="1:4" ht="18.75" hidden="1" x14ac:dyDescent="0.25">
      <c r="A141" s="18" t="s">
        <v>125</v>
      </c>
      <c r="B141" s="9"/>
      <c r="C141" s="12">
        <v>7000</v>
      </c>
      <c r="D141" s="11">
        <f t="shared" si="2"/>
        <v>0</v>
      </c>
    </row>
    <row r="142" spans="1:4" ht="18.75" hidden="1" x14ac:dyDescent="0.25">
      <c r="A142" s="18"/>
      <c r="B142" s="9"/>
      <c r="C142" s="12">
        <v>7000</v>
      </c>
      <c r="D142" s="11">
        <f t="shared" si="2"/>
        <v>0</v>
      </c>
    </row>
    <row r="143" spans="1:4" ht="18.75" hidden="1" x14ac:dyDescent="0.25">
      <c r="A143" s="18"/>
      <c r="B143" s="9"/>
      <c r="C143" s="12">
        <v>6500</v>
      </c>
      <c r="D143" s="11">
        <f t="shared" si="2"/>
        <v>0</v>
      </c>
    </row>
    <row r="144" spans="1:4" ht="18.75" hidden="1" x14ac:dyDescent="0.25">
      <c r="A144" s="8" t="s">
        <v>257</v>
      </c>
      <c r="B144" s="9"/>
      <c r="C144" s="13"/>
      <c r="D144" s="11">
        <f t="shared" si="2"/>
        <v>0</v>
      </c>
    </row>
    <row r="145" spans="1:4" ht="18.75" hidden="1" x14ac:dyDescent="0.25">
      <c r="A145" s="8" t="s">
        <v>127</v>
      </c>
      <c r="B145" s="9"/>
      <c r="C145" s="13"/>
      <c r="D145" s="11">
        <f t="shared" si="2"/>
        <v>0</v>
      </c>
    </row>
    <row r="146" spans="1:4" ht="18.75" hidden="1" x14ac:dyDescent="0.25">
      <c r="A146" s="8" t="s">
        <v>128</v>
      </c>
      <c r="B146" s="9"/>
      <c r="C146" s="10">
        <v>7500</v>
      </c>
      <c r="D146" s="11">
        <f t="shared" si="2"/>
        <v>0</v>
      </c>
    </row>
    <row r="147" spans="1:4" ht="18.75" hidden="1" x14ac:dyDescent="0.25">
      <c r="A147" s="8"/>
      <c r="B147" s="9"/>
      <c r="C147" s="10">
        <v>7313</v>
      </c>
      <c r="D147" s="11">
        <f t="shared" si="2"/>
        <v>0</v>
      </c>
    </row>
    <row r="148" spans="1:4" ht="18.75" hidden="1" x14ac:dyDescent="0.25">
      <c r="A148" s="8"/>
      <c r="B148" s="9"/>
      <c r="C148" s="10">
        <v>7617</v>
      </c>
      <c r="D148" s="11">
        <f t="shared" si="2"/>
        <v>0</v>
      </c>
    </row>
    <row r="149" spans="1:4" ht="18.75" hidden="1" x14ac:dyDescent="0.25">
      <c r="A149" s="8"/>
      <c r="B149" s="9"/>
      <c r="C149" s="10">
        <v>10000</v>
      </c>
      <c r="D149" s="11">
        <f t="shared" si="2"/>
        <v>0</v>
      </c>
    </row>
    <row r="150" spans="1:4" ht="18.75" hidden="1" x14ac:dyDescent="0.25">
      <c r="A150" s="14" t="s">
        <v>129</v>
      </c>
      <c r="B150" s="9"/>
      <c r="C150" s="10"/>
      <c r="D150" s="11">
        <f t="shared" si="2"/>
        <v>0</v>
      </c>
    </row>
    <row r="151" spans="1:4" ht="18.75" hidden="1" x14ac:dyDescent="0.25">
      <c r="A151" s="8" t="s">
        <v>130</v>
      </c>
      <c r="B151" s="9"/>
      <c r="C151" s="12">
        <v>10000</v>
      </c>
      <c r="D151" s="11">
        <f t="shared" si="2"/>
        <v>0</v>
      </c>
    </row>
    <row r="152" spans="1:4" ht="18.75" hidden="1" x14ac:dyDescent="0.25">
      <c r="A152" s="8"/>
      <c r="B152" s="9"/>
      <c r="C152" s="12">
        <v>9000</v>
      </c>
      <c r="D152" s="11">
        <f t="shared" si="2"/>
        <v>0</v>
      </c>
    </row>
    <row r="153" spans="1:4" ht="18.75" hidden="1" x14ac:dyDescent="0.25">
      <c r="A153" s="8" t="s">
        <v>131</v>
      </c>
      <c r="B153" s="9"/>
      <c r="C153" s="12"/>
      <c r="D153" s="11">
        <f t="shared" si="2"/>
        <v>0</v>
      </c>
    </row>
    <row r="154" spans="1:4" ht="18.75" hidden="1" x14ac:dyDescent="0.25">
      <c r="A154" s="8" t="s">
        <v>132</v>
      </c>
      <c r="B154" s="9"/>
      <c r="C154" s="10"/>
      <c r="D154" s="11">
        <f t="shared" si="2"/>
        <v>0</v>
      </c>
    </row>
    <row r="155" spans="1:4" ht="18.75" hidden="1" x14ac:dyDescent="0.25">
      <c r="A155" s="8" t="s">
        <v>133</v>
      </c>
      <c r="B155" s="9"/>
      <c r="C155" s="10"/>
      <c r="D155" s="11">
        <f t="shared" si="2"/>
        <v>0</v>
      </c>
    </row>
    <row r="156" spans="1:4" ht="18.75" hidden="1" x14ac:dyDescent="0.25">
      <c r="A156" s="8" t="s">
        <v>134</v>
      </c>
      <c r="B156" s="9"/>
      <c r="C156" s="10"/>
      <c r="D156" s="11">
        <f t="shared" si="2"/>
        <v>0</v>
      </c>
    </row>
    <row r="157" spans="1:4" ht="18.75" hidden="1" x14ac:dyDescent="0.25">
      <c r="A157" s="8" t="s">
        <v>135</v>
      </c>
      <c r="B157" s="9"/>
      <c r="C157" s="19"/>
      <c r="D157" s="11">
        <f t="shared" si="2"/>
        <v>0</v>
      </c>
    </row>
    <row r="158" spans="1:4" ht="18.75" hidden="1" x14ac:dyDescent="0.25">
      <c r="A158" s="8" t="s">
        <v>136</v>
      </c>
      <c r="B158" s="9"/>
      <c r="C158" s="10"/>
      <c r="D158" s="11">
        <f t="shared" si="2"/>
        <v>0</v>
      </c>
    </row>
    <row r="159" spans="1:4" ht="18.75" hidden="1" x14ac:dyDescent="0.25">
      <c r="A159" s="8" t="s">
        <v>137</v>
      </c>
      <c r="B159" s="9"/>
      <c r="C159" s="13"/>
      <c r="D159" s="11">
        <f t="shared" si="2"/>
        <v>0</v>
      </c>
    </row>
    <row r="160" spans="1:4" ht="18.75" hidden="1" x14ac:dyDescent="0.25">
      <c r="A160" s="8" t="s">
        <v>138</v>
      </c>
      <c r="B160" s="9"/>
      <c r="C160" s="13">
        <v>25000</v>
      </c>
      <c r="D160" s="11">
        <f t="shared" si="2"/>
        <v>0</v>
      </c>
    </row>
    <row r="161" spans="1:4" ht="18.75" hidden="1" x14ac:dyDescent="0.25">
      <c r="A161" s="23" t="s">
        <v>139</v>
      </c>
      <c r="B161" s="9"/>
      <c r="C161" s="10"/>
      <c r="D161" s="11">
        <f t="shared" si="2"/>
        <v>0</v>
      </c>
    </row>
    <row r="162" spans="1:4" ht="18.75" hidden="1" x14ac:dyDescent="0.25">
      <c r="A162" s="8" t="s">
        <v>140</v>
      </c>
      <c r="B162" s="9"/>
      <c r="C162" s="10"/>
      <c r="D162" s="11">
        <f t="shared" si="2"/>
        <v>0</v>
      </c>
    </row>
    <row r="163" spans="1:4" ht="18.75" hidden="1" x14ac:dyDescent="0.25">
      <c r="A163" s="14" t="s">
        <v>141</v>
      </c>
      <c r="B163" s="9"/>
      <c r="C163" s="10">
        <v>10000</v>
      </c>
      <c r="D163" s="11">
        <f t="shared" si="2"/>
        <v>0</v>
      </c>
    </row>
    <row r="164" spans="1:4" ht="18.75" hidden="1" x14ac:dyDescent="0.25">
      <c r="A164" s="8" t="s">
        <v>142</v>
      </c>
      <c r="B164" s="9"/>
      <c r="C164" s="10"/>
      <c r="D164" s="11">
        <f t="shared" si="2"/>
        <v>0</v>
      </c>
    </row>
    <row r="165" spans="1:4" ht="18.75" hidden="1" x14ac:dyDescent="0.25">
      <c r="A165" s="8" t="s">
        <v>143</v>
      </c>
      <c r="B165" s="9"/>
      <c r="C165" s="13">
        <v>7000</v>
      </c>
      <c r="D165" s="11">
        <f t="shared" si="2"/>
        <v>0</v>
      </c>
    </row>
    <row r="166" spans="1:4" ht="18.75" hidden="1" x14ac:dyDescent="0.25">
      <c r="A166" s="8"/>
      <c r="B166" s="9"/>
      <c r="C166" s="13">
        <v>7500</v>
      </c>
      <c r="D166" s="11">
        <f t="shared" si="2"/>
        <v>0</v>
      </c>
    </row>
    <row r="167" spans="1:4" ht="18.75" hidden="1" x14ac:dyDescent="0.25">
      <c r="A167" s="8" t="s">
        <v>144</v>
      </c>
      <c r="B167" s="9"/>
      <c r="C167" s="10">
        <v>17000</v>
      </c>
      <c r="D167" s="11">
        <f t="shared" si="2"/>
        <v>0</v>
      </c>
    </row>
    <row r="168" spans="1:4" ht="18.75" hidden="1" x14ac:dyDescent="0.25">
      <c r="A168" s="8" t="s">
        <v>145</v>
      </c>
      <c r="B168" s="9"/>
      <c r="C168" s="12">
        <v>13000</v>
      </c>
      <c r="D168" s="11">
        <f t="shared" si="2"/>
        <v>0</v>
      </c>
    </row>
    <row r="169" spans="1:4" ht="18.75" hidden="1" x14ac:dyDescent="0.25">
      <c r="A169" s="8" t="s">
        <v>146</v>
      </c>
      <c r="B169" s="9"/>
      <c r="C169" s="12">
        <v>8500</v>
      </c>
      <c r="D169" s="11">
        <f t="shared" si="2"/>
        <v>0</v>
      </c>
    </row>
    <row r="170" spans="1:4" ht="18.75" hidden="1" x14ac:dyDescent="0.25">
      <c r="A170" s="8" t="s">
        <v>147</v>
      </c>
      <c r="B170" s="9"/>
      <c r="C170" s="12"/>
      <c r="D170" s="11">
        <f t="shared" si="2"/>
        <v>0</v>
      </c>
    </row>
    <row r="171" spans="1:4" ht="18.75" hidden="1" x14ac:dyDescent="0.25">
      <c r="A171" s="24" t="s">
        <v>148</v>
      </c>
      <c r="B171" s="9"/>
      <c r="C171" s="12"/>
      <c r="D171" s="11">
        <f t="shared" si="2"/>
        <v>0</v>
      </c>
    </row>
    <row r="172" spans="1:4" ht="18.75" hidden="1" x14ac:dyDescent="0.25">
      <c r="A172" s="8" t="s">
        <v>149</v>
      </c>
      <c r="B172" s="9"/>
      <c r="C172" s="10"/>
      <c r="D172" s="11">
        <f t="shared" si="2"/>
        <v>0</v>
      </c>
    </row>
    <row r="173" spans="1:4" ht="18.75" hidden="1" x14ac:dyDescent="0.25">
      <c r="A173" s="8" t="s">
        <v>150</v>
      </c>
      <c r="B173" s="9"/>
      <c r="C173" s="25"/>
      <c r="D173" s="11">
        <f t="shared" si="2"/>
        <v>0</v>
      </c>
    </row>
    <row r="174" spans="1:4" ht="18.75" hidden="1" x14ac:dyDescent="0.25">
      <c r="A174" s="14" t="s">
        <v>151</v>
      </c>
      <c r="B174" s="9"/>
      <c r="C174" s="10"/>
      <c r="D174" s="11">
        <f t="shared" si="2"/>
        <v>0</v>
      </c>
    </row>
    <row r="175" spans="1:4" ht="18.75" hidden="1" x14ac:dyDescent="0.25">
      <c r="A175" s="14" t="s">
        <v>152</v>
      </c>
      <c r="B175" s="9"/>
      <c r="C175" s="10"/>
      <c r="D175" s="11">
        <f t="shared" si="2"/>
        <v>0</v>
      </c>
    </row>
    <row r="176" spans="1:4" ht="18.75" hidden="1" x14ac:dyDescent="0.25">
      <c r="A176" s="8" t="s">
        <v>153</v>
      </c>
      <c r="B176" s="9"/>
      <c r="C176" s="10"/>
      <c r="D176" s="11">
        <f t="shared" si="2"/>
        <v>0</v>
      </c>
    </row>
    <row r="177" spans="1:4" ht="18.75" hidden="1" x14ac:dyDescent="0.25">
      <c r="A177" s="8" t="s">
        <v>154</v>
      </c>
      <c r="B177" s="9"/>
      <c r="C177" s="10"/>
      <c r="D177" s="11">
        <f t="shared" si="2"/>
        <v>0</v>
      </c>
    </row>
    <row r="178" spans="1:4" ht="18.75" hidden="1" x14ac:dyDescent="0.25">
      <c r="A178" s="8" t="s">
        <v>155</v>
      </c>
      <c r="B178" s="9"/>
      <c r="C178" s="10">
        <v>26000</v>
      </c>
      <c r="D178" s="11">
        <f t="shared" si="2"/>
        <v>0</v>
      </c>
    </row>
    <row r="179" spans="1:4" ht="18.75" x14ac:dyDescent="0.25">
      <c r="A179" s="8" t="s">
        <v>156</v>
      </c>
      <c r="B179" s="9">
        <v>15</v>
      </c>
      <c r="C179" s="10">
        <v>38000</v>
      </c>
      <c r="D179" s="11">
        <f t="shared" si="2"/>
        <v>570000</v>
      </c>
    </row>
    <row r="180" spans="1:4" ht="18.75" hidden="1" x14ac:dyDescent="0.25">
      <c r="A180" s="8" t="s">
        <v>157</v>
      </c>
      <c r="B180" s="9"/>
      <c r="C180" s="10">
        <v>15000</v>
      </c>
      <c r="D180" s="11">
        <f t="shared" si="2"/>
        <v>0</v>
      </c>
    </row>
    <row r="181" spans="1:4" ht="18.75" hidden="1" x14ac:dyDescent="0.25">
      <c r="A181" s="8" t="s">
        <v>158</v>
      </c>
      <c r="B181" s="9"/>
      <c r="C181" s="10"/>
      <c r="D181" s="11">
        <f t="shared" si="2"/>
        <v>0</v>
      </c>
    </row>
    <row r="182" spans="1:4" ht="18.75" hidden="1" x14ac:dyDescent="0.25">
      <c r="A182" s="8" t="s">
        <v>159</v>
      </c>
      <c r="B182" s="9"/>
      <c r="C182" s="10"/>
      <c r="D182" s="11">
        <f t="shared" si="2"/>
        <v>0</v>
      </c>
    </row>
    <row r="183" spans="1:4" ht="18.75" hidden="1" x14ac:dyDescent="0.25">
      <c r="A183" s="8" t="s">
        <v>160</v>
      </c>
      <c r="B183" s="9"/>
      <c r="C183" s="10"/>
      <c r="D183" s="11">
        <f t="shared" si="2"/>
        <v>0</v>
      </c>
    </row>
    <row r="184" spans="1:4" ht="18.75" hidden="1" x14ac:dyDescent="0.25">
      <c r="A184" s="8" t="s">
        <v>161</v>
      </c>
      <c r="B184" s="9"/>
      <c r="C184" s="10">
        <v>30000</v>
      </c>
      <c r="D184" s="11">
        <f t="shared" si="2"/>
        <v>0</v>
      </c>
    </row>
    <row r="185" spans="1:4" ht="18.75" hidden="1" x14ac:dyDescent="0.25">
      <c r="A185" s="8" t="s">
        <v>162</v>
      </c>
      <c r="B185" s="9"/>
      <c r="C185" s="10"/>
      <c r="D185" s="11">
        <f t="shared" si="2"/>
        <v>0</v>
      </c>
    </row>
    <row r="186" spans="1:4" ht="18.75" hidden="1" x14ac:dyDescent="0.25">
      <c r="A186" s="14" t="s">
        <v>163</v>
      </c>
      <c r="B186" s="9"/>
      <c r="C186" s="15"/>
      <c r="D186" s="11">
        <f t="shared" si="2"/>
        <v>0</v>
      </c>
    </row>
    <row r="187" spans="1:4" ht="18.75" hidden="1" x14ac:dyDescent="0.25">
      <c r="A187" s="14" t="s">
        <v>164</v>
      </c>
      <c r="B187" s="9"/>
      <c r="C187" s="15"/>
      <c r="D187" s="11">
        <f t="shared" si="2"/>
        <v>0</v>
      </c>
    </row>
    <row r="188" spans="1:4" ht="18.75" hidden="1" x14ac:dyDescent="0.25">
      <c r="A188" s="8" t="s">
        <v>167</v>
      </c>
      <c r="B188" s="9"/>
      <c r="C188" s="10"/>
      <c r="D188" s="11">
        <f t="shared" si="2"/>
        <v>0</v>
      </c>
    </row>
    <row r="189" spans="1:4" ht="18.75" x14ac:dyDescent="0.25">
      <c r="A189" s="8" t="s">
        <v>168</v>
      </c>
      <c r="B189" s="9">
        <v>105</v>
      </c>
      <c r="C189" s="12">
        <v>14000</v>
      </c>
      <c r="D189" s="11">
        <f t="shared" si="2"/>
        <v>1470000</v>
      </c>
    </row>
    <row r="190" spans="1:4" ht="18.75" x14ac:dyDescent="0.25">
      <c r="A190" s="8" t="s">
        <v>169</v>
      </c>
      <c r="B190" s="9">
        <v>5</v>
      </c>
      <c r="C190" s="10">
        <v>14000</v>
      </c>
      <c r="D190" s="11">
        <f t="shared" si="2"/>
        <v>70000</v>
      </c>
    </row>
    <row r="191" spans="1:4" ht="18.75" hidden="1" x14ac:dyDescent="0.25">
      <c r="A191" s="8" t="s">
        <v>170</v>
      </c>
      <c r="B191" s="9"/>
      <c r="C191" s="10"/>
      <c r="D191" s="11">
        <f t="shared" si="2"/>
        <v>0</v>
      </c>
    </row>
    <row r="192" spans="1:4" ht="18.75" hidden="1" x14ac:dyDescent="0.25">
      <c r="A192" s="8" t="s">
        <v>10</v>
      </c>
      <c r="B192" s="9"/>
      <c r="C192" s="10">
        <v>21000</v>
      </c>
      <c r="D192" s="11">
        <f t="shared" si="2"/>
        <v>0</v>
      </c>
    </row>
    <row r="193" spans="1:4" ht="18.75" hidden="1" x14ac:dyDescent="0.25">
      <c r="A193" s="14" t="s">
        <v>56</v>
      </c>
      <c r="B193" s="9"/>
      <c r="C193" s="10">
        <v>18000</v>
      </c>
      <c r="D193" s="11">
        <f t="shared" si="2"/>
        <v>0</v>
      </c>
    </row>
    <row r="194" spans="1:4" ht="18.75" hidden="1" x14ac:dyDescent="0.25">
      <c r="A194" s="8" t="s">
        <v>171</v>
      </c>
      <c r="B194" s="9"/>
      <c r="C194" s="13">
        <v>6100</v>
      </c>
      <c r="D194" s="11">
        <f t="shared" si="2"/>
        <v>0</v>
      </c>
    </row>
    <row r="195" spans="1:4" ht="18.75" hidden="1" x14ac:dyDescent="0.25">
      <c r="A195" s="8" t="s">
        <v>172</v>
      </c>
      <c r="B195" s="9"/>
      <c r="C195" s="13">
        <v>6100</v>
      </c>
      <c r="D195" s="11">
        <f t="shared" si="2"/>
        <v>0</v>
      </c>
    </row>
    <row r="196" spans="1:4" ht="18.75" hidden="1" x14ac:dyDescent="0.25">
      <c r="A196" s="8" t="s">
        <v>173</v>
      </c>
      <c r="B196" s="9"/>
      <c r="C196" s="13">
        <v>25000</v>
      </c>
      <c r="D196" s="11">
        <f t="shared" si="2"/>
        <v>0</v>
      </c>
    </row>
    <row r="197" spans="1:4" ht="18.75" hidden="1" x14ac:dyDescent="0.25">
      <c r="A197" s="8" t="s">
        <v>174</v>
      </c>
      <c r="B197" s="9"/>
      <c r="C197" s="13">
        <v>6100</v>
      </c>
      <c r="D197" s="11">
        <f t="shared" ref="D197:D245" si="3">C197*B197</f>
        <v>0</v>
      </c>
    </row>
    <row r="198" spans="1:4" ht="18.75" hidden="1" x14ac:dyDescent="0.25">
      <c r="A198" s="8" t="s">
        <v>175</v>
      </c>
      <c r="B198" s="9"/>
      <c r="C198" s="13"/>
      <c r="D198" s="11">
        <f t="shared" si="3"/>
        <v>0</v>
      </c>
    </row>
    <row r="199" spans="1:4" ht="18.75" hidden="1" x14ac:dyDescent="0.25">
      <c r="A199" s="8" t="s">
        <v>176</v>
      </c>
      <c r="B199" s="9"/>
      <c r="C199" s="13"/>
      <c r="D199" s="11">
        <f t="shared" si="3"/>
        <v>0</v>
      </c>
    </row>
    <row r="200" spans="1:4" ht="18.75" hidden="1" x14ac:dyDescent="0.25">
      <c r="A200" s="8" t="s">
        <v>177</v>
      </c>
      <c r="B200" s="9"/>
      <c r="C200" s="12"/>
      <c r="D200" s="11">
        <f t="shared" si="3"/>
        <v>0</v>
      </c>
    </row>
    <row r="201" spans="1:4" ht="18.75" hidden="1" x14ac:dyDescent="0.25">
      <c r="A201" s="27" t="s">
        <v>178</v>
      </c>
      <c r="B201" s="9"/>
      <c r="C201" s="12">
        <v>27000</v>
      </c>
      <c r="D201" s="11">
        <f t="shared" si="3"/>
        <v>0</v>
      </c>
    </row>
    <row r="202" spans="1:4" ht="18.75" hidden="1" x14ac:dyDescent="0.25">
      <c r="A202" s="27" t="s">
        <v>179</v>
      </c>
      <c r="B202" s="9"/>
      <c r="C202" s="13">
        <v>6100</v>
      </c>
      <c r="D202" s="11">
        <f t="shared" si="3"/>
        <v>0</v>
      </c>
    </row>
    <row r="203" spans="1:4" ht="18.75" hidden="1" x14ac:dyDescent="0.25">
      <c r="A203" s="27" t="s">
        <v>180</v>
      </c>
      <c r="B203" s="9"/>
      <c r="C203" s="13">
        <v>6100</v>
      </c>
      <c r="D203" s="11">
        <f t="shared" si="3"/>
        <v>0</v>
      </c>
    </row>
    <row r="204" spans="1:4" ht="18.75" hidden="1" x14ac:dyDescent="0.25">
      <c r="A204" s="27" t="s">
        <v>181</v>
      </c>
      <c r="B204" s="9"/>
      <c r="C204" s="12"/>
      <c r="D204" s="11">
        <f t="shared" si="3"/>
        <v>0</v>
      </c>
    </row>
    <row r="205" spans="1:4" ht="18.75" hidden="1" x14ac:dyDescent="0.25">
      <c r="A205" s="27" t="s">
        <v>182</v>
      </c>
      <c r="B205" s="9"/>
      <c r="C205" s="12"/>
      <c r="D205" s="11">
        <f t="shared" si="3"/>
        <v>0</v>
      </c>
    </row>
    <row r="206" spans="1:4" ht="18.75" hidden="1" x14ac:dyDescent="0.25">
      <c r="A206" s="8" t="s">
        <v>183</v>
      </c>
      <c r="B206" s="9"/>
      <c r="C206" s="13">
        <v>5500</v>
      </c>
      <c r="D206" s="11">
        <f t="shared" si="3"/>
        <v>0</v>
      </c>
    </row>
    <row r="207" spans="1:4" ht="18.75" hidden="1" x14ac:dyDescent="0.25">
      <c r="A207" s="8" t="s">
        <v>184</v>
      </c>
      <c r="B207" s="9"/>
      <c r="C207" s="13">
        <v>6100</v>
      </c>
      <c r="D207" s="11">
        <f t="shared" si="3"/>
        <v>0</v>
      </c>
    </row>
    <row r="208" spans="1:4" ht="18.75" hidden="1" x14ac:dyDescent="0.25">
      <c r="A208" s="8" t="s">
        <v>185</v>
      </c>
      <c r="B208" s="9"/>
      <c r="C208" s="13">
        <v>25000</v>
      </c>
      <c r="D208" s="11">
        <f t="shared" si="3"/>
        <v>0</v>
      </c>
    </row>
    <row r="209" spans="1:4" ht="18.75" hidden="1" x14ac:dyDescent="0.25">
      <c r="A209" s="8" t="s">
        <v>186</v>
      </c>
      <c r="B209" s="9"/>
      <c r="C209" s="13">
        <v>25000</v>
      </c>
      <c r="D209" s="11">
        <f t="shared" si="3"/>
        <v>0</v>
      </c>
    </row>
    <row r="210" spans="1:4" ht="18.75" hidden="1" x14ac:dyDescent="0.25">
      <c r="A210" s="8" t="s">
        <v>187</v>
      </c>
      <c r="B210" s="9"/>
      <c r="C210" s="13"/>
      <c r="D210" s="11">
        <f t="shared" si="3"/>
        <v>0</v>
      </c>
    </row>
    <row r="211" spans="1:4" ht="18.75" hidden="1" x14ac:dyDescent="0.25">
      <c r="A211" s="8" t="s">
        <v>188</v>
      </c>
      <c r="B211" s="9"/>
      <c r="C211" s="10">
        <v>9000</v>
      </c>
      <c r="D211" s="11">
        <f t="shared" si="3"/>
        <v>0</v>
      </c>
    </row>
    <row r="212" spans="1:4" ht="18.75" hidden="1" x14ac:dyDescent="0.25">
      <c r="A212" s="8" t="s">
        <v>189</v>
      </c>
      <c r="B212" s="9"/>
      <c r="C212" s="13"/>
      <c r="D212" s="11">
        <f t="shared" si="3"/>
        <v>0</v>
      </c>
    </row>
    <row r="213" spans="1:4" ht="18.75" hidden="1" x14ac:dyDescent="0.25">
      <c r="A213" s="8" t="s">
        <v>190</v>
      </c>
      <c r="B213" s="9"/>
      <c r="C213" s="12"/>
      <c r="D213" s="11">
        <f t="shared" si="3"/>
        <v>0</v>
      </c>
    </row>
    <row r="214" spans="1:4" ht="18.75" hidden="1" x14ac:dyDescent="0.25">
      <c r="A214" s="8" t="s">
        <v>191</v>
      </c>
      <c r="B214" s="9"/>
      <c r="C214" s="10"/>
      <c r="D214" s="11">
        <f t="shared" si="3"/>
        <v>0</v>
      </c>
    </row>
    <row r="215" spans="1:4" ht="18.75" hidden="1" x14ac:dyDescent="0.25">
      <c r="A215" s="8" t="s">
        <v>192</v>
      </c>
      <c r="B215" s="9"/>
      <c r="C215" s="13">
        <v>34000</v>
      </c>
      <c r="D215" s="11">
        <f t="shared" si="3"/>
        <v>0</v>
      </c>
    </row>
    <row r="216" spans="1:4" ht="18.75" hidden="1" x14ac:dyDescent="0.25">
      <c r="A216" s="8"/>
      <c r="B216" s="9"/>
      <c r="C216" s="13">
        <v>34000</v>
      </c>
      <c r="D216" s="11">
        <f t="shared" si="3"/>
        <v>0</v>
      </c>
    </row>
    <row r="217" spans="1:4" ht="18.75" hidden="1" x14ac:dyDescent="0.25">
      <c r="A217" s="8" t="s">
        <v>193</v>
      </c>
      <c r="B217" s="9"/>
      <c r="C217" s="10">
        <v>18000</v>
      </c>
      <c r="D217" s="11">
        <f t="shared" si="3"/>
        <v>0</v>
      </c>
    </row>
    <row r="218" spans="1:4" ht="18.75" hidden="1" x14ac:dyDescent="0.25">
      <c r="A218" s="8" t="s">
        <v>194</v>
      </c>
      <c r="B218" s="9"/>
      <c r="C218" s="10"/>
      <c r="D218" s="11">
        <f t="shared" si="3"/>
        <v>0</v>
      </c>
    </row>
    <row r="219" spans="1:4" ht="18.75" hidden="1" x14ac:dyDescent="0.25">
      <c r="A219" s="8"/>
      <c r="B219" s="9"/>
      <c r="C219" s="10">
        <v>27000</v>
      </c>
      <c r="D219" s="11">
        <f t="shared" si="3"/>
        <v>0</v>
      </c>
    </row>
    <row r="220" spans="1:4" ht="18.75" hidden="1" x14ac:dyDescent="0.25">
      <c r="A220" s="8"/>
      <c r="B220" s="9"/>
      <c r="C220" s="10">
        <v>26000</v>
      </c>
      <c r="D220" s="11">
        <f t="shared" si="3"/>
        <v>0</v>
      </c>
    </row>
    <row r="221" spans="1:4" ht="18.75" hidden="1" x14ac:dyDescent="0.25">
      <c r="A221" s="8" t="s">
        <v>195</v>
      </c>
      <c r="B221" s="9"/>
      <c r="C221" s="10">
        <v>27000</v>
      </c>
      <c r="D221" s="11">
        <f t="shared" si="3"/>
        <v>0</v>
      </c>
    </row>
    <row r="222" spans="1:4" ht="18.75" x14ac:dyDescent="0.25">
      <c r="A222" s="14" t="s">
        <v>196</v>
      </c>
      <c r="B222" s="9">
        <f>19.5*4</f>
        <v>78</v>
      </c>
      <c r="C222" s="12">
        <v>3000</v>
      </c>
      <c r="D222" s="11">
        <f t="shared" si="3"/>
        <v>234000</v>
      </c>
    </row>
    <row r="223" spans="1:4" ht="18.75" hidden="1" x14ac:dyDescent="0.25">
      <c r="A223" s="14" t="s">
        <v>197</v>
      </c>
      <c r="B223" s="9"/>
      <c r="C223" s="10"/>
      <c r="D223" s="11">
        <f t="shared" si="3"/>
        <v>0</v>
      </c>
    </row>
    <row r="224" spans="1:4" ht="18.75" hidden="1" x14ac:dyDescent="0.25">
      <c r="A224" s="8" t="s">
        <v>198</v>
      </c>
      <c r="B224" s="9"/>
      <c r="C224" s="10">
        <v>7000</v>
      </c>
      <c r="D224" s="11">
        <f t="shared" si="3"/>
        <v>0</v>
      </c>
    </row>
    <row r="225" spans="1:4" ht="18.75" hidden="1" x14ac:dyDescent="0.25">
      <c r="A225" s="8" t="s">
        <v>199</v>
      </c>
      <c r="B225" s="9"/>
      <c r="C225" s="12">
        <v>18000</v>
      </c>
      <c r="D225" s="11">
        <f t="shared" si="3"/>
        <v>0</v>
      </c>
    </row>
    <row r="226" spans="1:4" ht="18.75" hidden="1" x14ac:dyDescent="0.25">
      <c r="A226" s="8" t="s">
        <v>200</v>
      </c>
      <c r="B226" s="9"/>
      <c r="C226" s="12"/>
      <c r="D226" s="11">
        <f t="shared" si="3"/>
        <v>0</v>
      </c>
    </row>
    <row r="227" spans="1:4" ht="18.75" hidden="1" x14ac:dyDescent="0.25">
      <c r="A227" s="8" t="s">
        <v>201</v>
      </c>
      <c r="B227" s="9"/>
      <c r="C227" s="19"/>
      <c r="D227" s="11">
        <f t="shared" si="3"/>
        <v>0</v>
      </c>
    </row>
    <row r="228" spans="1:4" ht="18.75" hidden="1" x14ac:dyDescent="0.25">
      <c r="A228" s="8" t="s">
        <v>202</v>
      </c>
      <c r="B228" s="9"/>
      <c r="C228" s="12">
        <v>7500</v>
      </c>
      <c r="D228" s="11">
        <f t="shared" si="3"/>
        <v>0</v>
      </c>
    </row>
    <row r="229" spans="1:4" ht="18.75" hidden="1" x14ac:dyDescent="0.25">
      <c r="A229" s="8" t="s">
        <v>203</v>
      </c>
      <c r="B229" s="9"/>
      <c r="C229" s="12">
        <v>7000</v>
      </c>
      <c r="D229" s="11">
        <f t="shared" si="3"/>
        <v>0</v>
      </c>
    </row>
    <row r="230" spans="1:4" ht="18.75" hidden="1" x14ac:dyDescent="0.25">
      <c r="A230" s="8" t="s">
        <v>110</v>
      </c>
      <c r="B230" s="9"/>
      <c r="C230" s="10">
        <v>7318</v>
      </c>
      <c r="D230" s="11">
        <f t="shared" si="3"/>
        <v>0</v>
      </c>
    </row>
    <row r="231" spans="1:4" ht="18.75" x14ac:dyDescent="0.25">
      <c r="A231" s="8" t="s">
        <v>204</v>
      </c>
      <c r="B231" s="9">
        <v>1960</v>
      </c>
      <c r="C231" s="13">
        <v>6500</v>
      </c>
      <c r="D231" s="11">
        <f t="shared" si="3"/>
        <v>12740000</v>
      </c>
    </row>
    <row r="232" spans="1:4" ht="18.75" hidden="1" x14ac:dyDescent="0.25">
      <c r="A232" s="8" t="s">
        <v>205</v>
      </c>
      <c r="B232" s="9"/>
      <c r="C232" s="10"/>
      <c r="D232" s="11">
        <f t="shared" si="3"/>
        <v>0</v>
      </c>
    </row>
    <row r="233" spans="1:4" ht="18.75" hidden="1" x14ac:dyDescent="0.25">
      <c r="A233" s="8"/>
      <c r="B233" s="9"/>
      <c r="C233" s="10">
        <v>10500</v>
      </c>
      <c r="D233" s="11">
        <f t="shared" si="3"/>
        <v>0</v>
      </c>
    </row>
    <row r="234" spans="1:4" ht="18.75" hidden="1" x14ac:dyDescent="0.25">
      <c r="A234" s="8"/>
      <c r="B234" s="9"/>
      <c r="C234" s="10">
        <v>11000</v>
      </c>
      <c r="D234" s="11">
        <f t="shared" si="3"/>
        <v>0</v>
      </c>
    </row>
    <row r="235" spans="1:4" ht="18.75" hidden="1" x14ac:dyDescent="0.25">
      <c r="A235" s="8" t="s">
        <v>242</v>
      </c>
      <c r="B235" s="9"/>
      <c r="C235" s="10"/>
      <c r="D235" s="11">
        <f t="shared" si="3"/>
        <v>0</v>
      </c>
    </row>
    <row r="236" spans="1:4" ht="18.75" hidden="1" x14ac:dyDescent="0.25">
      <c r="A236" s="8" t="s">
        <v>243</v>
      </c>
      <c r="B236" s="9"/>
      <c r="C236" s="10"/>
      <c r="D236" s="11">
        <f t="shared" si="3"/>
        <v>0</v>
      </c>
    </row>
    <row r="237" spans="1:4" ht="18.75" hidden="1" x14ac:dyDescent="0.25">
      <c r="A237" s="8" t="s">
        <v>206</v>
      </c>
      <c r="B237" s="9"/>
      <c r="C237" s="13"/>
      <c r="D237" s="11">
        <f t="shared" si="3"/>
        <v>0</v>
      </c>
    </row>
    <row r="238" spans="1:4" ht="18.75" hidden="1" x14ac:dyDescent="0.25">
      <c r="A238" s="8" t="s">
        <v>207</v>
      </c>
      <c r="B238" s="9"/>
      <c r="C238" s="13"/>
      <c r="D238" s="11">
        <f t="shared" si="3"/>
        <v>0</v>
      </c>
    </row>
    <row r="239" spans="1:4" ht="18.75" hidden="1" x14ac:dyDescent="0.25">
      <c r="A239" s="8" t="s">
        <v>208</v>
      </c>
      <c r="B239" s="9"/>
      <c r="C239" s="13"/>
      <c r="D239" s="11">
        <f t="shared" si="3"/>
        <v>0</v>
      </c>
    </row>
    <row r="240" spans="1:4" ht="18.75" hidden="1" x14ac:dyDescent="0.25">
      <c r="A240" s="14" t="s">
        <v>209</v>
      </c>
      <c r="B240" s="9"/>
      <c r="C240" s="10"/>
      <c r="D240" s="11">
        <f t="shared" si="3"/>
        <v>0</v>
      </c>
    </row>
    <row r="241" spans="1:4" ht="18.75" hidden="1" x14ac:dyDescent="0.25">
      <c r="A241" s="8" t="s">
        <v>210</v>
      </c>
      <c r="B241" s="9"/>
      <c r="C241" s="12"/>
      <c r="D241" s="11">
        <f t="shared" si="3"/>
        <v>0</v>
      </c>
    </row>
    <row r="242" spans="1:4" ht="18.75" hidden="1" x14ac:dyDescent="0.25">
      <c r="A242" s="8" t="s">
        <v>211</v>
      </c>
      <c r="B242" s="9"/>
      <c r="C242" s="13"/>
      <c r="D242" s="11">
        <f t="shared" si="3"/>
        <v>0</v>
      </c>
    </row>
    <row r="243" spans="1:4" ht="18.75" hidden="1" x14ac:dyDescent="0.25">
      <c r="A243" s="8" t="s">
        <v>212</v>
      </c>
      <c r="B243" s="9"/>
      <c r="C243" s="13"/>
      <c r="D243" s="11">
        <f t="shared" si="3"/>
        <v>0</v>
      </c>
    </row>
    <row r="244" spans="1:4" ht="18.75" hidden="1" x14ac:dyDescent="0.25">
      <c r="A244" s="8" t="s">
        <v>213</v>
      </c>
      <c r="B244" s="9"/>
      <c r="C244" s="13"/>
      <c r="D244" s="11">
        <f t="shared" si="3"/>
        <v>0</v>
      </c>
    </row>
    <row r="245" spans="1:4" ht="18.75" hidden="1" x14ac:dyDescent="0.25">
      <c r="A245" s="8" t="s">
        <v>214</v>
      </c>
      <c r="B245" s="9"/>
      <c r="C245" s="13"/>
      <c r="D245" s="11">
        <f t="shared" si="3"/>
        <v>0</v>
      </c>
    </row>
    <row r="246" spans="1:4" ht="18.75" x14ac:dyDescent="0.25">
      <c r="A246" s="28"/>
      <c r="B246" s="29">
        <f t="shared" ref="B246:D246" si="4">SUM(B4:B245)</f>
        <v>3573</v>
      </c>
      <c r="C246" s="29">
        <f t="shared" si="4"/>
        <v>2206348</v>
      </c>
      <c r="D246" s="29">
        <f t="shared" si="4"/>
        <v>39774000</v>
      </c>
    </row>
  </sheetData>
  <protectedRanges>
    <protectedRange password="CC4C" sqref="C1:C245" name="tho5"/>
    <protectedRange password="CF71" sqref="B1:B245" name="tho"/>
  </protectedRanges>
  <autoFilter ref="A2:D24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1.7</vt:lpstr>
      <vt:lpstr>2.7</vt:lpstr>
      <vt:lpstr>3.7</vt:lpstr>
      <vt:lpstr>4.7</vt:lpstr>
      <vt:lpstr>5.7</vt:lpstr>
      <vt:lpstr>6.7</vt:lpstr>
      <vt:lpstr>7.7</vt:lpstr>
      <vt:lpstr>8.7</vt:lpstr>
      <vt:lpstr>9.7</vt:lpstr>
      <vt:lpstr>10.7</vt:lpstr>
      <vt:lpstr>11.07</vt:lpstr>
      <vt:lpstr>12.07</vt:lpstr>
      <vt:lpstr>13.07</vt:lpstr>
      <vt:lpstr>14.7</vt:lpstr>
      <vt:lpstr>15.7</vt:lpstr>
      <vt:lpstr>16.7</vt:lpstr>
      <vt:lpstr>17.7</vt:lpstr>
      <vt:lpstr>18.7</vt:lpstr>
      <vt:lpstr>19.7</vt:lpstr>
      <vt:lpstr>20.7</vt:lpstr>
      <vt:lpstr>21.7</vt:lpstr>
      <vt:lpstr>22.7</vt:lpstr>
      <vt:lpstr>23.7</vt:lpstr>
      <vt:lpstr>24.07</vt:lpstr>
      <vt:lpstr>25.7</vt:lpstr>
      <vt:lpstr>26.7</vt:lpstr>
      <vt:lpstr>27.7</vt:lpstr>
      <vt:lpstr>28.7</vt:lpstr>
      <vt:lpstr>29.7</vt:lpstr>
      <vt:lpstr>30.7</vt:lpstr>
      <vt:lpstr>31.7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Nganguyen</dc:creator>
  <cp:lastModifiedBy>Admin</cp:lastModifiedBy>
  <dcterms:created xsi:type="dcterms:W3CDTF">2022-07-01T07:33:28Z</dcterms:created>
  <dcterms:modified xsi:type="dcterms:W3CDTF">2022-08-03T07:34:13Z</dcterms:modified>
</cp:coreProperties>
</file>