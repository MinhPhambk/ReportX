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3732" yWindow="12" windowWidth="23256" windowHeight="13056" firstSheet="16" activeTab="30"/>
  </bookViews>
  <sheets>
    <sheet name="1.10" sheetId="1" r:id="rId1"/>
    <sheet name="2.10" sheetId="2" r:id="rId2"/>
    <sheet name="3.10" sheetId="3" r:id="rId3"/>
    <sheet name="4.10" sheetId="4" r:id="rId4"/>
    <sheet name="5.10" sheetId="5" r:id="rId5"/>
    <sheet name="6.10" sheetId="6" r:id="rId6"/>
    <sheet name="7.10" sheetId="7" r:id="rId7"/>
    <sheet name="8.10" sheetId="9" r:id="rId8"/>
    <sheet name="9.10" sheetId="10" r:id="rId9"/>
    <sheet name="10.10" sheetId="11" r:id="rId10"/>
    <sheet name="11.10" sheetId="12" r:id="rId11"/>
    <sheet name="12.10" sheetId="13" r:id="rId12"/>
    <sheet name="13.10" sheetId="14" r:id="rId13"/>
    <sheet name="14.10" sheetId="15" r:id="rId14"/>
    <sheet name="15.10" sheetId="16" r:id="rId15"/>
    <sheet name="16.10" sheetId="17" r:id="rId16"/>
    <sheet name="17.10" sheetId="18" r:id="rId17"/>
    <sheet name="18.10" sheetId="19" r:id="rId18"/>
    <sheet name="19.10" sheetId="20" r:id="rId19"/>
    <sheet name="20.10" sheetId="21" r:id="rId20"/>
    <sheet name="21.10" sheetId="22" r:id="rId21"/>
    <sheet name="22.10" sheetId="23" r:id="rId22"/>
    <sheet name="23.10" sheetId="24" r:id="rId23"/>
    <sheet name="24.10" sheetId="25" r:id="rId24"/>
    <sheet name="25.10" sheetId="26" r:id="rId25"/>
    <sheet name="26.10" sheetId="27" r:id="rId26"/>
    <sheet name="27.10" sheetId="28" r:id="rId27"/>
    <sheet name="28.10" sheetId="29" r:id="rId28"/>
    <sheet name="29.10" sheetId="30" r:id="rId29"/>
    <sheet name="30.10" sheetId="31" r:id="rId30"/>
    <sheet name="31.10" sheetId="32" r:id="rId31"/>
  </sheets>
  <definedNames>
    <definedName name="_xlnm._FilterDatabase" localSheetId="0" hidden="1">'1.10'!$A$2:$D$290</definedName>
    <definedName name="_xlnm._FilterDatabase" localSheetId="9" hidden="1">'10.10'!$A$2:$D$290</definedName>
    <definedName name="_xlnm._FilterDatabase" localSheetId="10" hidden="1">'11.10'!$A$2:$D$290</definedName>
    <definedName name="_xlnm._FilterDatabase" localSheetId="11" hidden="1">'12.10'!$A$2:$D$291</definedName>
    <definedName name="_xlnm._FilterDatabase" localSheetId="12" hidden="1">'13.10'!$A$2:$D$291</definedName>
    <definedName name="_xlnm._FilterDatabase" localSheetId="13" hidden="1">'14.10'!$A$2:$D$291</definedName>
    <definedName name="_xlnm._FilterDatabase" localSheetId="14" hidden="1">'15.10'!$A$2:$D$291</definedName>
    <definedName name="_xlnm._FilterDatabase" localSheetId="15" hidden="1">'16.10'!$A$2:$D$294</definedName>
    <definedName name="_xlnm._FilterDatabase" localSheetId="16" hidden="1">'17.10'!$A$2:$D$294</definedName>
    <definedName name="_xlnm._FilterDatabase" localSheetId="17" hidden="1">'18.10'!$A$2:$D$294</definedName>
    <definedName name="_xlnm._FilterDatabase" localSheetId="18" hidden="1">'19.10'!$A$2:$D$294</definedName>
    <definedName name="_xlnm._FilterDatabase" localSheetId="1" hidden="1">'2.10'!$A$2:$D$290</definedName>
    <definedName name="_xlnm._FilterDatabase" localSheetId="19" hidden="1">'20.10'!$A$2:$D$294</definedName>
    <definedName name="_xlnm._FilterDatabase" localSheetId="20" hidden="1">'21.10'!$A$2:$D$294</definedName>
    <definedName name="_xlnm._FilterDatabase" localSheetId="21" hidden="1">'22.10'!$A$2:$D$294</definedName>
    <definedName name="_xlnm._FilterDatabase" localSheetId="22" hidden="1">'23.10'!$A$2:$D$294</definedName>
    <definedName name="_xlnm._FilterDatabase" localSheetId="23" hidden="1">'24.10'!$A$2:$D$294</definedName>
    <definedName name="_xlnm._FilterDatabase" localSheetId="24" hidden="1">'25.10'!$A$2:$M$294</definedName>
    <definedName name="_xlnm._FilterDatabase" localSheetId="25" hidden="1">'26.10'!$A$2:$D$294</definedName>
    <definedName name="_xlnm._FilterDatabase" localSheetId="26" hidden="1">'27.10'!$A$2:$O$294</definedName>
    <definedName name="_xlnm._FilterDatabase" localSheetId="27" hidden="1">'28.10'!$A$2:$E$295</definedName>
    <definedName name="_xlnm._FilterDatabase" localSheetId="28" hidden="1">'29.10'!$A$2:$D$295</definedName>
    <definedName name="_xlnm._FilterDatabase" localSheetId="2" hidden="1">'3.10'!$A$2:$D$173</definedName>
    <definedName name="_xlnm._FilterDatabase" localSheetId="29" hidden="1">'30.10'!$A$2:$D$296</definedName>
    <definedName name="_xlnm._FilterDatabase" localSheetId="30" hidden="1">'31.10'!$A$2:$D$299</definedName>
    <definedName name="_xlnm._FilterDatabase" localSheetId="3" hidden="1">'4.10'!$A$2:$D$290</definedName>
    <definedName name="_xlnm._FilterDatabase" localSheetId="4" hidden="1">'5.10'!$A$2:$D$290</definedName>
    <definedName name="_xlnm._FilterDatabase" localSheetId="5" hidden="1">'6.10'!$A$2:$D$290</definedName>
    <definedName name="_xlnm._FilterDatabase" localSheetId="6" hidden="1">'7.10'!$A$2:$D$290</definedName>
    <definedName name="_xlnm._FilterDatabase" localSheetId="7" hidden="1">'8.10'!$A$2:$D$290</definedName>
    <definedName name="_xlnm._FilterDatabase" localSheetId="8" hidden="1">'9.10'!$A$2:$D$290</definedName>
  </definedNames>
  <calcPr calcId="144525"/>
</workbook>
</file>

<file path=xl/calcChain.xml><?xml version="1.0" encoding="utf-8"?>
<calcChain xmlns="http://schemas.openxmlformats.org/spreadsheetml/2006/main">
  <c r="D4" i="32" l="1"/>
  <c r="D5" i="32"/>
  <c r="D6" i="32"/>
  <c r="D7" i="32"/>
  <c r="D8" i="32"/>
  <c r="D9" i="32"/>
  <c r="D10" i="32"/>
  <c r="D11" i="32"/>
  <c r="D12" i="32"/>
  <c r="D13" i="32"/>
  <c r="D14" i="32"/>
  <c r="D15" i="32"/>
  <c r="D16" i="32"/>
  <c r="D17" i="32"/>
  <c r="D18" i="32"/>
  <c r="D19" i="32"/>
  <c r="D20" i="32"/>
  <c r="D21" i="32"/>
  <c r="D22" i="32"/>
  <c r="D24" i="32"/>
  <c r="D25" i="32"/>
  <c r="D26" i="32"/>
  <c r="D27" i="32"/>
  <c r="D28" i="32"/>
  <c r="D29" i="32"/>
  <c r="D30" i="32"/>
  <c r="D31" i="32"/>
  <c r="D32" i="32"/>
  <c r="D33" i="32"/>
  <c r="D34" i="32"/>
  <c r="D35" i="32"/>
  <c r="D36" i="32"/>
  <c r="D37" i="32"/>
  <c r="D38" i="32"/>
  <c r="D39" i="32"/>
  <c r="D41" i="32"/>
  <c r="D42" i="32"/>
  <c r="D43" i="32"/>
  <c r="D44" i="32"/>
  <c r="D45" i="32"/>
  <c r="D46" i="32"/>
  <c r="D47" i="32"/>
  <c r="D48" i="32"/>
  <c r="D49" i="32"/>
  <c r="D50" i="32"/>
  <c r="D51" i="32"/>
  <c r="D52" i="32"/>
  <c r="D53" i="32"/>
  <c r="D54" i="32"/>
  <c r="D55" i="32"/>
  <c r="D56" i="32"/>
  <c r="D57" i="32"/>
  <c r="D58" i="32"/>
  <c r="D59" i="32"/>
  <c r="D60" i="32"/>
  <c r="D61" i="32"/>
  <c r="D62" i="32"/>
  <c r="D63" i="32"/>
  <c r="D64" i="32"/>
  <c r="D65" i="32"/>
  <c r="D66" i="32"/>
  <c r="D67" i="32"/>
  <c r="D68" i="32"/>
  <c r="D69" i="32"/>
  <c r="D70" i="32"/>
  <c r="D71" i="32"/>
  <c r="D72" i="32"/>
  <c r="D73" i="32"/>
  <c r="D74" i="32"/>
  <c r="D75" i="32"/>
  <c r="D76" i="32"/>
  <c r="D77" i="32"/>
  <c r="D78" i="32"/>
  <c r="D79" i="32"/>
  <c r="D80" i="32"/>
  <c r="D81" i="32"/>
  <c r="D82" i="32"/>
  <c r="D83" i="32"/>
  <c r="D84" i="32"/>
  <c r="D85" i="32"/>
  <c r="D86" i="32"/>
  <c r="D87" i="32"/>
  <c r="D88" i="32"/>
  <c r="D89" i="32"/>
  <c r="D90" i="32"/>
  <c r="D91" i="32"/>
  <c r="D92" i="32"/>
  <c r="D93" i="32"/>
  <c r="D94" i="32"/>
  <c r="D95" i="32"/>
  <c r="D96" i="32"/>
  <c r="D97" i="32"/>
  <c r="D98" i="32"/>
  <c r="D99" i="32"/>
  <c r="D100" i="32"/>
  <c r="D101" i="32"/>
  <c r="D102" i="32"/>
  <c r="D103" i="32"/>
  <c r="D104" i="32"/>
  <c r="D105" i="32"/>
  <c r="D106" i="32"/>
  <c r="D107" i="32"/>
  <c r="D108" i="32"/>
  <c r="D109" i="32"/>
  <c r="D110" i="32"/>
  <c r="D111" i="32"/>
  <c r="D112" i="32"/>
  <c r="D113" i="32"/>
  <c r="D116" i="32"/>
  <c r="D117" i="32"/>
  <c r="D118" i="32"/>
  <c r="D119" i="32"/>
  <c r="D120" i="32"/>
  <c r="D122" i="32"/>
  <c r="D123" i="32"/>
  <c r="D124" i="32"/>
  <c r="D125" i="32"/>
  <c r="D126" i="32"/>
  <c r="D127" i="32"/>
  <c r="D128" i="32"/>
  <c r="D129" i="32"/>
  <c r="D130" i="32"/>
  <c r="D131" i="32"/>
  <c r="D132" i="32"/>
  <c r="D133" i="32"/>
  <c r="D134" i="32"/>
  <c r="D135" i="32"/>
  <c r="D136" i="32"/>
  <c r="D137" i="32"/>
  <c r="D138" i="32"/>
  <c r="D139" i="32"/>
  <c r="D140" i="32"/>
  <c r="D141" i="32"/>
  <c r="D142" i="32"/>
  <c r="D143" i="32"/>
  <c r="D145" i="32"/>
  <c r="D146" i="32"/>
  <c r="D147" i="32"/>
  <c r="D148" i="32"/>
  <c r="D149" i="32"/>
  <c r="D150" i="32"/>
  <c r="D151" i="32"/>
  <c r="D152" i="32"/>
  <c r="D153" i="32"/>
  <c r="D154" i="32"/>
  <c r="D155" i="32"/>
  <c r="D156" i="32"/>
  <c r="D157" i="32"/>
  <c r="D158" i="32"/>
  <c r="D159" i="32"/>
  <c r="D160" i="32"/>
  <c r="D161" i="32"/>
  <c r="D162" i="32"/>
  <c r="D163" i="32"/>
  <c r="D164" i="32"/>
  <c r="D165" i="32"/>
  <c r="D166" i="32"/>
  <c r="D167" i="32"/>
  <c r="D168" i="32"/>
  <c r="D169" i="32"/>
  <c r="D170" i="32"/>
  <c r="D171" i="32"/>
  <c r="D172" i="32"/>
  <c r="D173" i="32"/>
  <c r="D174" i="32"/>
  <c r="D175" i="32"/>
  <c r="D176" i="32"/>
  <c r="D177" i="32"/>
  <c r="D178" i="32"/>
  <c r="D180" i="32"/>
  <c r="D181" i="32"/>
  <c r="D182" i="32"/>
  <c r="D183" i="32"/>
  <c r="D184" i="32"/>
  <c r="D185" i="32"/>
  <c r="D186" i="32"/>
  <c r="D187" i="32"/>
  <c r="D188" i="32"/>
  <c r="D189" i="32"/>
  <c r="D190" i="32"/>
  <c r="D191" i="32"/>
  <c r="D192" i="32"/>
  <c r="D193" i="32"/>
  <c r="D194" i="32"/>
  <c r="D195" i="32"/>
  <c r="D197" i="32"/>
  <c r="D198" i="32"/>
  <c r="D199" i="32"/>
  <c r="D200" i="32"/>
  <c r="D201" i="32"/>
  <c r="D202" i="32"/>
  <c r="D203" i="32"/>
  <c r="D204" i="32"/>
  <c r="D205" i="32"/>
  <c r="D206" i="32"/>
  <c r="D207" i="32"/>
  <c r="D208" i="32"/>
  <c r="D209" i="32"/>
  <c r="D210" i="32"/>
  <c r="D211" i="32"/>
  <c r="D212" i="32"/>
  <c r="D213" i="32"/>
  <c r="D214" i="32"/>
  <c r="D215" i="32"/>
  <c r="D216" i="32"/>
  <c r="D217" i="32"/>
  <c r="D218" i="32"/>
  <c r="D219" i="32"/>
  <c r="D220" i="32"/>
  <c r="D221" i="32"/>
  <c r="D222" i="32"/>
  <c r="D223" i="32"/>
  <c r="D224" i="32"/>
  <c r="D225" i="32"/>
  <c r="D226" i="32"/>
  <c r="D227" i="32"/>
  <c r="D228" i="32"/>
  <c r="D229" i="32"/>
  <c r="D230" i="32"/>
  <c r="D231" i="32"/>
  <c r="D232" i="32"/>
  <c r="D233" i="32"/>
  <c r="D234" i="32"/>
  <c r="D235" i="32"/>
  <c r="D236" i="32"/>
  <c r="D237" i="32"/>
  <c r="D238" i="32"/>
  <c r="D239" i="32"/>
  <c r="D240" i="32"/>
  <c r="D241" i="32"/>
  <c r="D242" i="32"/>
  <c r="D243" i="32"/>
  <c r="D244" i="32"/>
  <c r="D245" i="32"/>
  <c r="D246" i="32"/>
  <c r="D247" i="32"/>
  <c r="D248" i="32"/>
  <c r="D249" i="32"/>
  <c r="D250" i="32"/>
  <c r="D251" i="32"/>
  <c r="D252" i="32"/>
  <c r="D253" i="32"/>
  <c r="D254" i="32"/>
  <c r="D255" i="32"/>
  <c r="D256" i="32"/>
  <c r="D257" i="32"/>
  <c r="D258" i="32"/>
  <c r="D259" i="32"/>
  <c r="D260" i="32"/>
  <c r="D261" i="32"/>
  <c r="D262" i="32"/>
  <c r="D263" i="32"/>
  <c r="D264" i="32"/>
  <c r="D265" i="32"/>
  <c r="D266" i="32"/>
  <c r="D267" i="32"/>
  <c r="D269" i="32"/>
  <c r="D270" i="32"/>
  <c r="D271" i="32"/>
  <c r="D272" i="32"/>
  <c r="D273" i="32"/>
  <c r="D274" i="32"/>
  <c r="D275" i="32"/>
  <c r="D276" i="32"/>
  <c r="D277" i="32"/>
  <c r="D278" i="32"/>
  <c r="D279" i="32"/>
  <c r="D280" i="32"/>
  <c r="D281" i="32"/>
  <c r="D282" i="32"/>
  <c r="D283" i="32"/>
  <c r="D284" i="32"/>
  <c r="D285" i="32"/>
  <c r="D286" i="32"/>
  <c r="D287" i="32"/>
  <c r="D288" i="32"/>
  <c r="D289" i="32"/>
  <c r="D290" i="32"/>
  <c r="D291" i="32"/>
  <c r="D292" i="32"/>
  <c r="D293" i="32"/>
  <c r="D294" i="32"/>
  <c r="D295" i="32"/>
  <c r="D296" i="32"/>
  <c r="D297" i="32"/>
  <c r="D298" i="32"/>
  <c r="D3" i="32"/>
  <c r="B268" i="32"/>
  <c r="D268" i="32" s="1"/>
  <c r="B196" i="32"/>
  <c r="D196" i="32" s="1"/>
  <c r="B179" i="32"/>
  <c r="D179" i="32" s="1"/>
  <c r="B144" i="32"/>
  <c r="D144" i="32" s="1"/>
  <c r="B121" i="32"/>
  <c r="D121" i="32" s="1"/>
  <c r="B115" i="32"/>
  <c r="D115" i="32" s="1"/>
  <c r="B114" i="32"/>
  <c r="D114" i="32" s="1"/>
  <c r="B69" i="32"/>
  <c r="B40" i="32"/>
  <c r="D40" i="32" s="1"/>
  <c r="B23" i="32"/>
  <c r="B299" i="32" s="1"/>
  <c r="D23" i="32" l="1"/>
  <c r="D299" i="32"/>
  <c r="D4" i="31"/>
  <c r="D5" i="31"/>
  <c r="D6" i="31"/>
  <c r="D7" i="31"/>
  <c r="D8" i="31"/>
  <c r="D9" i="31"/>
  <c r="D10" i="31"/>
  <c r="D11" i="31"/>
  <c r="D12" i="31"/>
  <c r="D13" i="31"/>
  <c r="D14" i="31"/>
  <c r="D15" i="31"/>
  <c r="D16" i="31"/>
  <c r="D17" i="31"/>
  <c r="D18" i="31"/>
  <c r="D19" i="31"/>
  <c r="D20" i="31"/>
  <c r="D21" i="31"/>
  <c r="D23" i="31"/>
  <c r="D24" i="31"/>
  <c r="D25" i="31"/>
  <c r="D26" i="31"/>
  <c r="D27" i="31"/>
  <c r="D28" i="31"/>
  <c r="D29" i="31"/>
  <c r="D30" i="31"/>
  <c r="D31" i="31"/>
  <c r="D32" i="31"/>
  <c r="D33" i="31"/>
  <c r="D34" i="31"/>
  <c r="D35" i="31"/>
  <c r="D36" i="31"/>
  <c r="D37" i="31"/>
  <c r="D38" i="31"/>
  <c r="D39" i="31"/>
  <c r="D40" i="31"/>
  <c r="D42" i="31"/>
  <c r="D43" i="31"/>
  <c r="D44" i="31"/>
  <c r="D45" i="31"/>
  <c r="D46" i="31"/>
  <c r="D47" i="31"/>
  <c r="D48" i="31"/>
  <c r="D49" i="31"/>
  <c r="D50" i="31"/>
  <c r="D51" i="31"/>
  <c r="D52" i="31"/>
  <c r="D53" i="31"/>
  <c r="D54" i="31"/>
  <c r="D55" i="31"/>
  <c r="D56" i="31"/>
  <c r="D57" i="31"/>
  <c r="D58" i="31"/>
  <c r="D59" i="31"/>
  <c r="D60" i="31"/>
  <c r="D61" i="31"/>
  <c r="D62" i="31"/>
  <c r="D63" i="31"/>
  <c r="D64" i="31"/>
  <c r="D65" i="31"/>
  <c r="D66" i="31"/>
  <c r="D67" i="31"/>
  <c r="D69" i="31"/>
  <c r="D70" i="31"/>
  <c r="D71" i="31"/>
  <c r="D72" i="31"/>
  <c r="D73" i="31"/>
  <c r="D74" i="31"/>
  <c r="D75" i="31"/>
  <c r="D76" i="31"/>
  <c r="D77" i="31"/>
  <c r="D78" i="31"/>
  <c r="D79" i="31"/>
  <c r="D80" i="31"/>
  <c r="D81" i="31"/>
  <c r="D82" i="31"/>
  <c r="D83" i="31"/>
  <c r="D84" i="31"/>
  <c r="D85" i="31"/>
  <c r="D86" i="31"/>
  <c r="D87" i="31"/>
  <c r="D88" i="31"/>
  <c r="D89" i="31"/>
  <c r="D90" i="31"/>
  <c r="D91" i="31"/>
  <c r="D92" i="31"/>
  <c r="D93" i="31"/>
  <c r="D94" i="31"/>
  <c r="D95" i="31"/>
  <c r="D96" i="31"/>
  <c r="D97" i="31"/>
  <c r="D98" i="31"/>
  <c r="D99" i="31"/>
  <c r="D100" i="31"/>
  <c r="D101" i="31"/>
  <c r="D102" i="31"/>
  <c r="D103" i="31"/>
  <c r="D104" i="31"/>
  <c r="D105" i="31"/>
  <c r="D106" i="31"/>
  <c r="D107" i="31"/>
  <c r="D108" i="31"/>
  <c r="D109" i="31"/>
  <c r="D110" i="31"/>
  <c r="D111" i="31"/>
  <c r="D112" i="31"/>
  <c r="D114" i="31"/>
  <c r="D115" i="31"/>
  <c r="D116" i="31"/>
  <c r="D117" i="31"/>
  <c r="D118" i="31"/>
  <c r="D119" i="31"/>
  <c r="D120" i="31"/>
  <c r="D121" i="31"/>
  <c r="D122" i="31"/>
  <c r="D123" i="31"/>
  <c r="D124" i="31"/>
  <c r="D125" i="31"/>
  <c r="D126" i="31"/>
  <c r="D127" i="31"/>
  <c r="D128" i="31"/>
  <c r="D129" i="31"/>
  <c r="D130" i="31"/>
  <c r="D131" i="31"/>
  <c r="D132" i="31"/>
  <c r="D133" i="31"/>
  <c r="D134" i="31"/>
  <c r="D135" i="31"/>
  <c r="D136" i="31"/>
  <c r="D137" i="31"/>
  <c r="D138" i="31"/>
  <c r="D139" i="31"/>
  <c r="D140" i="31"/>
  <c r="D141" i="31"/>
  <c r="D144" i="31"/>
  <c r="D145" i="31"/>
  <c r="D146" i="31"/>
  <c r="D147" i="31"/>
  <c r="D148" i="31"/>
  <c r="D149" i="31"/>
  <c r="D150" i="31"/>
  <c r="D151" i="31"/>
  <c r="D152" i="31"/>
  <c r="D153" i="31"/>
  <c r="D154" i="31"/>
  <c r="D155" i="31"/>
  <c r="D156" i="31"/>
  <c r="D157" i="31"/>
  <c r="D158" i="31"/>
  <c r="D159" i="31"/>
  <c r="D160" i="31"/>
  <c r="D161" i="31"/>
  <c r="D162" i="31"/>
  <c r="D163" i="31"/>
  <c r="D164" i="31"/>
  <c r="D165" i="31"/>
  <c r="D167" i="31"/>
  <c r="D168" i="31"/>
  <c r="D169" i="31"/>
  <c r="D170" i="31"/>
  <c r="D171" i="31"/>
  <c r="D172" i="31"/>
  <c r="D173" i="31"/>
  <c r="D174" i="31"/>
  <c r="D175" i="31"/>
  <c r="D177" i="31"/>
  <c r="D178" i="31"/>
  <c r="D179" i="31"/>
  <c r="D180" i="31"/>
  <c r="D181" i="31"/>
  <c r="D183" i="31"/>
  <c r="D184" i="31"/>
  <c r="D185" i="31"/>
  <c r="D186" i="31"/>
  <c r="D187" i="31"/>
  <c r="D188" i="31"/>
  <c r="D189" i="31"/>
  <c r="D190" i="31"/>
  <c r="D191" i="31"/>
  <c r="D192" i="31"/>
  <c r="D193" i="31"/>
  <c r="D194" i="31"/>
  <c r="D195" i="31"/>
  <c r="D196" i="31"/>
  <c r="D197" i="31"/>
  <c r="D198" i="31"/>
  <c r="D199" i="31"/>
  <c r="D200" i="31"/>
  <c r="D201" i="31"/>
  <c r="D202" i="31"/>
  <c r="D203" i="31"/>
  <c r="D204" i="31"/>
  <c r="D205" i="31"/>
  <c r="D206" i="31"/>
  <c r="D207" i="31"/>
  <c r="D208" i="31"/>
  <c r="D209" i="31"/>
  <c r="D210" i="31"/>
  <c r="D211" i="31"/>
  <c r="D212" i="31"/>
  <c r="D213" i="31"/>
  <c r="D214" i="31"/>
  <c r="D215" i="31"/>
  <c r="D216" i="31"/>
  <c r="D217" i="31"/>
  <c r="D218" i="31"/>
  <c r="D219" i="31"/>
  <c r="D220" i="31"/>
  <c r="D221" i="31"/>
  <c r="D222" i="31"/>
  <c r="D223" i="31"/>
  <c r="D224" i="31"/>
  <c r="D225" i="31"/>
  <c r="D226" i="31"/>
  <c r="D227" i="31"/>
  <c r="D228" i="31"/>
  <c r="D229" i="31"/>
  <c r="D230" i="31"/>
  <c r="D231" i="31"/>
  <c r="D232" i="31"/>
  <c r="D233" i="31"/>
  <c r="D234" i="31"/>
  <c r="D235" i="31"/>
  <c r="D236" i="31"/>
  <c r="D237" i="31"/>
  <c r="D238" i="31"/>
  <c r="D239" i="31"/>
  <c r="D240" i="31"/>
  <c r="D241" i="31"/>
  <c r="D242" i="31"/>
  <c r="D243" i="31"/>
  <c r="D244" i="31"/>
  <c r="D245" i="31"/>
  <c r="D246" i="31"/>
  <c r="D247" i="31"/>
  <c r="D248" i="31"/>
  <c r="D249" i="31"/>
  <c r="D250" i="31"/>
  <c r="D251" i="31"/>
  <c r="D252" i="31"/>
  <c r="D253" i="31"/>
  <c r="D254" i="31"/>
  <c r="D255" i="31"/>
  <c r="D256" i="31"/>
  <c r="D257" i="31"/>
  <c r="D258" i="31"/>
  <c r="D259" i="31"/>
  <c r="D260" i="31"/>
  <c r="D261" i="31"/>
  <c r="D262" i="31"/>
  <c r="D263" i="31"/>
  <c r="D264" i="31"/>
  <c r="D266" i="31"/>
  <c r="D267" i="31"/>
  <c r="D268" i="31"/>
  <c r="D269" i="31"/>
  <c r="D270" i="31"/>
  <c r="D271" i="31"/>
  <c r="D272" i="31"/>
  <c r="D273" i="31"/>
  <c r="D274" i="31"/>
  <c r="D275" i="31"/>
  <c r="D276" i="31"/>
  <c r="D277" i="31"/>
  <c r="D278" i="31"/>
  <c r="D279" i="31"/>
  <c r="D281" i="31"/>
  <c r="D282" i="31"/>
  <c r="D283" i="31"/>
  <c r="D284" i="31"/>
  <c r="D285" i="31"/>
  <c r="D286" i="31"/>
  <c r="D287" i="31"/>
  <c r="D288" i="31"/>
  <c r="D289" i="31"/>
  <c r="D290" i="31"/>
  <c r="D291" i="31"/>
  <c r="D292" i="31"/>
  <c r="D293" i="31"/>
  <c r="D294" i="31"/>
  <c r="D295" i="31"/>
  <c r="D3" i="31"/>
  <c r="B280" i="31"/>
  <c r="D280" i="31" s="1"/>
  <c r="B265" i="31"/>
  <c r="D265" i="31" s="1"/>
  <c r="B182" i="31"/>
  <c r="D182" i="31" s="1"/>
  <c r="B176" i="31"/>
  <c r="D176" i="31" s="1"/>
  <c r="B166" i="31"/>
  <c r="D166" i="31" s="1"/>
  <c r="B163" i="31"/>
  <c r="B143" i="31"/>
  <c r="D143" i="31" s="1"/>
  <c r="B142" i="31"/>
  <c r="D142" i="31" s="1"/>
  <c r="B120" i="31"/>
  <c r="B113" i="31"/>
  <c r="D113" i="31" s="1"/>
  <c r="B68" i="31"/>
  <c r="D68" i="31" s="1"/>
  <c r="B41" i="31"/>
  <c r="D41" i="31" s="1"/>
  <c r="B22" i="31"/>
  <c r="B296" i="31" s="1"/>
  <c r="D22" i="31" l="1"/>
  <c r="D296" i="31"/>
  <c r="D4" i="30"/>
  <c r="D5" i="30"/>
  <c r="D6" i="30"/>
  <c r="D7" i="30"/>
  <c r="D8" i="30"/>
  <c r="D9" i="30"/>
  <c r="D10" i="30"/>
  <c r="D11" i="30"/>
  <c r="D12" i="30"/>
  <c r="D13" i="30"/>
  <c r="D14" i="30"/>
  <c r="D15" i="30"/>
  <c r="D16" i="30"/>
  <c r="D17" i="30"/>
  <c r="D18" i="30"/>
  <c r="D19" i="30"/>
  <c r="D20" i="30"/>
  <c r="D21" i="30"/>
  <c r="D23" i="30"/>
  <c r="D24" i="30"/>
  <c r="D25" i="30"/>
  <c r="D26" i="30"/>
  <c r="D27" i="30"/>
  <c r="D28" i="30"/>
  <c r="D29" i="30"/>
  <c r="D30" i="30"/>
  <c r="D31" i="30"/>
  <c r="D33" i="30"/>
  <c r="D34" i="30"/>
  <c r="D35" i="30"/>
  <c r="D36" i="30"/>
  <c r="D37" i="30"/>
  <c r="D38" i="30"/>
  <c r="D40" i="30"/>
  <c r="D41" i="30"/>
  <c r="D42" i="30"/>
  <c r="D43" i="30"/>
  <c r="D44" i="30"/>
  <c r="D45" i="30"/>
  <c r="D46" i="30"/>
  <c r="D47" i="30"/>
  <c r="D48" i="30"/>
  <c r="D49" i="30"/>
  <c r="D50" i="30"/>
  <c r="D51" i="30"/>
  <c r="D52" i="30"/>
  <c r="D53" i="30"/>
  <c r="D54" i="30"/>
  <c r="D55" i="30"/>
  <c r="D56" i="30"/>
  <c r="D57" i="30"/>
  <c r="D58" i="30"/>
  <c r="D59" i="30"/>
  <c r="D60" i="30"/>
  <c r="D61" i="30"/>
  <c r="D62" i="30"/>
  <c r="D63" i="30"/>
  <c r="D64" i="30"/>
  <c r="D65" i="30"/>
  <c r="D66" i="30"/>
  <c r="D67" i="30"/>
  <c r="D69" i="30"/>
  <c r="D70" i="30"/>
  <c r="D71" i="30"/>
  <c r="D72" i="30"/>
  <c r="D73" i="30"/>
  <c r="D74" i="30"/>
  <c r="D75" i="30"/>
  <c r="D76" i="30"/>
  <c r="D77" i="30"/>
  <c r="D78" i="30"/>
  <c r="D79" i="30"/>
  <c r="D80" i="30"/>
  <c r="D81" i="30"/>
  <c r="D82" i="30"/>
  <c r="D83" i="30"/>
  <c r="D84" i="30"/>
  <c r="D85" i="30"/>
  <c r="D86" i="30"/>
  <c r="D87" i="30"/>
  <c r="D88" i="30"/>
  <c r="D89" i="30"/>
  <c r="D90" i="30"/>
  <c r="D91" i="30"/>
  <c r="D92" i="30"/>
  <c r="D93" i="30"/>
  <c r="D94" i="30"/>
  <c r="D95" i="30"/>
  <c r="D96" i="30"/>
  <c r="D97" i="30"/>
  <c r="D98" i="30"/>
  <c r="D99" i="30"/>
  <c r="D100" i="30"/>
  <c r="D101" i="30"/>
  <c r="D102" i="30"/>
  <c r="D103" i="30"/>
  <c r="D104" i="30"/>
  <c r="D105" i="30"/>
  <c r="D106" i="30"/>
  <c r="D107" i="30"/>
  <c r="D108" i="30"/>
  <c r="D109" i="30"/>
  <c r="D110" i="30"/>
  <c r="D111" i="30"/>
  <c r="D112" i="30"/>
  <c r="D113" i="30"/>
  <c r="D114" i="30"/>
  <c r="D115" i="30"/>
  <c r="D116" i="30"/>
  <c r="D117" i="30"/>
  <c r="D118" i="30"/>
  <c r="D119" i="30"/>
  <c r="D121" i="30"/>
  <c r="D122" i="30"/>
  <c r="D123" i="30"/>
  <c r="D124" i="30"/>
  <c r="D125" i="30"/>
  <c r="D126" i="30"/>
  <c r="D127" i="30"/>
  <c r="D128" i="30"/>
  <c r="D129" i="30"/>
  <c r="D130" i="30"/>
  <c r="D131" i="30"/>
  <c r="D132" i="30"/>
  <c r="D133" i="30"/>
  <c r="D134" i="30"/>
  <c r="D135" i="30"/>
  <c r="D136" i="30"/>
  <c r="D137" i="30"/>
  <c r="D138" i="30"/>
  <c r="D139" i="30"/>
  <c r="D140" i="30"/>
  <c r="D141" i="30"/>
  <c r="D143" i="30"/>
  <c r="D144" i="30"/>
  <c r="D145" i="30"/>
  <c r="D146" i="30"/>
  <c r="D147" i="30"/>
  <c r="D148" i="30"/>
  <c r="D149" i="30"/>
  <c r="D150" i="30"/>
  <c r="D151" i="30"/>
  <c r="D152" i="30"/>
  <c r="D153" i="30"/>
  <c r="D154" i="30"/>
  <c r="D155" i="30"/>
  <c r="D156" i="30"/>
  <c r="D157" i="30"/>
  <c r="D158" i="30"/>
  <c r="D159" i="30"/>
  <c r="D160" i="30"/>
  <c r="D161" i="30"/>
  <c r="D162" i="30"/>
  <c r="D163" i="30"/>
  <c r="D164" i="30"/>
  <c r="D165" i="30"/>
  <c r="D166" i="30"/>
  <c r="D167" i="30"/>
  <c r="D168" i="30"/>
  <c r="D169" i="30"/>
  <c r="D170" i="30"/>
  <c r="D171" i="30"/>
  <c r="D172" i="30"/>
  <c r="D173" i="30"/>
  <c r="D174" i="30"/>
  <c r="D175" i="30"/>
  <c r="D176" i="30"/>
  <c r="D177" i="30"/>
  <c r="D178" i="30"/>
  <c r="D179" i="30"/>
  <c r="D180" i="30"/>
  <c r="D181" i="30"/>
  <c r="D182" i="30"/>
  <c r="D183" i="30"/>
  <c r="D184" i="30"/>
  <c r="D185" i="30"/>
  <c r="D186" i="30"/>
  <c r="D187" i="30"/>
  <c r="D188" i="30"/>
  <c r="D189" i="30"/>
  <c r="D190" i="30"/>
  <c r="D191" i="30"/>
  <c r="D192" i="30"/>
  <c r="D193" i="30"/>
  <c r="D194" i="30"/>
  <c r="D195" i="30"/>
  <c r="D196" i="30"/>
  <c r="D197" i="30"/>
  <c r="D198" i="30"/>
  <c r="D199" i="30"/>
  <c r="D200" i="30"/>
  <c r="D201" i="30"/>
  <c r="D202" i="30"/>
  <c r="D203" i="30"/>
  <c r="D204" i="30"/>
  <c r="D205" i="30"/>
  <c r="D206" i="30"/>
  <c r="D207" i="30"/>
  <c r="D208" i="30"/>
  <c r="D209" i="30"/>
  <c r="D210" i="30"/>
  <c r="D211" i="30"/>
  <c r="D212" i="30"/>
  <c r="D213" i="30"/>
  <c r="D214" i="30"/>
  <c r="D215" i="30"/>
  <c r="D216" i="30"/>
  <c r="D217" i="30"/>
  <c r="D218" i="30"/>
  <c r="D219" i="30"/>
  <c r="D220" i="30"/>
  <c r="D221" i="30"/>
  <c r="D222" i="30"/>
  <c r="D223" i="30"/>
  <c r="D224" i="30"/>
  <c r="D225" i="30"/>
  <c r="D226" i="30"/>
  <c r="D227" i="30"/>
  <c r="D228" i="30"/>
  <c r="D229" i="30"/>
  <c r="D230" i="30"/>
  <c r="D231" i="30"/>
  <c r="D232" i="30"/>
  <c r="D233" i="30"/>
  <c r="D234" i="30"/>
  <c r="D235" i="30"/>
  <c r="D236" i="30"/>
  <c r="D237" i="30"/>
  <c r="D238" i="30"/>
  <c r="D239" i="30"/>
  <c r="D240" i="30"/>
  <c r="D241" i="30"/>
  <c r="D242" i="30"/>
  <c r="D243" i="30"/>
  <c r="D244" i="30"/>
  <c r="D245" i="30"/>
  <c r="D246" i="30"/>
  <c r="D247" i="30"/>
  <c r="D248" i="30"/>
  <c r="D249" i="30"/>
  <c r="D250" i="30"/>
  <c r="D251" i="30"/>
  <c r="D252" i="30"/>
  <c r="D253" i="30"/>
  <c r="D254" i="30"/>
  <c r="D255" i="30"/>
  <c r="D256" i="30"/>
  <c r="D257" i="30"/>
  <c r="D258" i="30"/>
  <c r="D259" i="30"/>
  <c r="D260" i="30"/>
  <c r="D261" i="30"/>
  <c r="D262" i="30"/>
  <c r="D263" i="30"/>
  <c r="D264" i="30"/>
  <c r="D266" i="30"/>
  <c r="D267" i="30"/>
  <c r="D268" i="30"/>
  <c r="D269" i="30"/>
  <c r="D270" i="30"/>
  <c r="D271" i="30"/>
  <c r="D272" i="30"/>
  <c r="D273" i="30"/>
  <c r="D274" i="30"/>
  <c r="D275" i="30"/>
  <c r="D276" i="30"/>
  <c r="D277" i="30"/>
  <c r="D278" i="30"/>
  <c r="D279" i="30"/>
  <c r="D280" i="30"/>
  <c r="D281" i="30"/>
  <c r="D282" i="30"/>
  <c r="D283" i="30"/>
  <c r="D284" i="30"/>
  <c r="D285" i="30"/>
  <c r="D286" i="30"/>
  <c r="D287" i="30"/>
  <c r="D288" i="30"/>
  <c r="D289" i="30"/>
  <c r="D290" i="30"/>
  <c r="D291" i="30"/>
  <c r="D292" i="30"/>
  <c r="D293" i="30"/>
  <c r="D294" i="30"/>
  <c r="D3" i="30"/>
  <c r="B265" i="30"/>
  <c r="D265" i="30" s="1"/>
  <c r="B182" i="30"/>
  <c r="B176" i="30"/>
  <c r="B142" i="30"/>
  <c r="D142" i="30" s="1"/>
  <c r="B120" i="30"/>
  <c r="D120" i="30" s="1"/>
  <c r="B113" i="30"/>
  <c r="B68" i="30"/>
  <c r="D68" i="30" s="1"/>
  <c r="B41" i="30"/>
  <c r="B39" i="30"/>
  <c r="D39" i="30" s="1"/>
  <c r="B32" i="30"/>
  <c r="D32" i="30" s="1"/>
  <c r="B22" i="30"/>
  <c r="B295" i="30" l="1"/>
  <c r="D22" i="30"/>
  <c r="D295" i="30" s="1"/>
  <c r="D4" i="29"/>
  <c r="D5" i="29"/>
  <c r="D6" i="29"/>
  <c r="D7" i="29"/>
  <c r="D8" i="29"/>
  <c r="D9" i="29"/>
  <c r="D10" i="29"/>
  <c r="D11" i="29"/>
  <c r="D12" i="29"/>
  <c r="D13" i="29"/>
  <c r="D14" i="29"/>
  <c r="D15" i="29"/>
  <c r="D16" i="29"/>
  <c r="D17" i="29"/>
  <c r="D18" i="29"/>
  <c r="D19" i="29"/>
  <c r="D20" i="29"/>
  <c r="D21" i="29"/>
  <c r="D22" i="29"/>
  <c r="D23" i="29"/>
  <c r="D24" i="29"/>
  <c r="D25" i="29"/>
  <c r="D26" i="29"/>
  <c r="D27" i="29"/>
  <c r="D28" i="29"/>
  <c r="D29" i="29"/>
  <c r="D30" i="29"/>
  <c r="D31" i="29"/>
  <c r="D32" i="29"/>
  <c r="D33" i="29"/>
  <c r="D34" i="29"/>
  <c r="D35" i="29"/>
  <c r="D36" i="29"/>
  <c r="D37" i="29"/>
  <c r="D38" i="29"/>
  <c r="D39" i="29"/>
  <c r="D40" i="29"/>
  <c r="D41" i="29"/>
  <c r="D42" i="29"/>
  <c r="D43" i="29"/>
  <c r="D44" i="29"/>
  <c r="D45" i="29"/>
  <c r="D46" i="29"/>
  <c r="D47" i="29"/>
  <c r="D48" i="29"/>
  <c r="D49" i="29"/>
  <c r="D50" i="29"/>
  <c r="D51" i="29"/>
  <c r="D52" i="29"/>
  <c r="D53" i="29"/>
  <c r="D54" i="29"/>
  <c r="D55" i="29"/>
  <c r="D56" i="29"/>
  <c r="D57" i="29"/>
  <c r="D58" i="29"/>
  <c r="D59" i="29"/>
  <c r="D60" i="29"/>
  <c r="D61" i="29"/>
  <c r="D62" i="29"/>
  <c r="D63" i="29"/>
  <c r="D64" i="29"/>
  <c r="D65" i="29"/>
  <c r="D66" i="29"/>
  <c r="D67" i="29"/>
  <c r="D68" i="29"/>
  <c r="D69" i="29"/>
  <c r="D70" i="29"/>
  <c r="D71" i="29"/>
  <c r="D72" i="29"/>
  <c r="D73" i="29"/>
  <c r="D74" i="29"/>
  <c r="D75" i="29"/>
  <c r="D76" i="29"/>
  <c r="D77" i="29"/>
  <c r="D78" i="29"/>
  <c r="D79" i="29"/>
  <c r="D80" i="29"/>
  <c r="D81" i="29"/>
  <c r="D82" i="29"/>
  <c r="D83" i="29"/>
  <c r="D84" i="29"/>
  <c r="D85" i="29"/>
  <c r="D86" i="29"/>
  <c r="D87" i="29"/>
  <c r="D88" i="29"/>
  <c r="D89" i="29"/>
  <c r="D90" i="29"/>
  <c r="D91" i="29"/>
  <c r="D92" i="29"/>
  <c r="D93" i="29"/>
  <c r="D94" i="29"/>
  <c r="D95" i="29"/>
  <c r="D96" i="29"/>
  <c r="D97" i="29"/>
  <c r="D98" i="29"/>
  <c r="D99" i="29"/>
  <c r="D100" i="29"/>
  <c r="D101" i="29"/>
  <c r="D102" i="29"/>
  <c r="D103" i="29"/>
  <c r="D104" i="29"/>
  <c r="D105" i="29"/>
  <c r="D106" i="29"/>
  <c r="D107" i="29"/>
  <c r="D108" i="29"/>
  <c r="D109" i="29"/>
  <c r="D110" i="29"/>
  <c r="D111" i="29"/>
  <c r="D112" i="29"/>
  <c r="D113" i="29"/>
  <c r="D114" i="29"/>
  <c r="D115" i="29"/>
  <c r="D116" i="29"/>
  <c r="D117" i="29"/>
  <c r="D118" i="29"/>
  <c r="D119" i="29"/>
  <c r="D120" i="29"/>
  <c r="D121" i="29"/>
  <c r="D122" i="29"/>
  <c r="D123" i="29"/>
  <c r="D124" i="29"/>
  <c r="D125" i="29"/>
  <c r="D126" i="29"/>
  <c r="D127" i="29"/>
  <c r="D128" i="29"/>
  <c r="D129" i="29"/>
  <c r="D130" i="29"/>
  <c r="D131" i="29"/>
  <c r="D132" i="29"/>
  <c r="D133" i="29"/>
  <c r="D134" i="29"/>
  <c r="D135" i="29"/>
  <c r="D136" i="29"/>
  <c r="D137" i="29"/>
  <c r="D138" i="29"/>
  <c r="D139" i="29"/>
  <c r="D140" i="29"/>
  <c r="D141" i="29"/>
  <c r="D142" i="29"/>
  <c r="D143" i="29"/>
  <c r="D144" i="29"/>
  <c r="D145" i="29"/>
  <c r="D146" i="29"/>
  <c r="D147" i="29"/>
  <c r="D148" i="29"/>
  <c r="D149" i="29"/>
  <c r="D150" i="29"/>
  <c r="D151" i="29"/>
  <c r="D152" i="29"/>
  <c r="D153" i="29"/>
  <c r="D154" i="29"/>
  <c r="D155" i="29"/>
  <c r="D156" i="29"/>
  <c r="D157" i="29"/>
  <c r="D158" i="29"/>
  <c r="D159" i="29"/>
  <c r="D160" i="29"/>
  <c r="D161" i="29"/>
  <c r="D162" i="29"/>
  <c r="D163" i="29"/>
  <c r="D164" i="29"/>
  <c r="D165" i="29"/>
  <c r="D166" i="29"/>
  <c r="D167" i="29"/>
  <c r="D168" i="29"/>
  <c r="D169" i="29"/>
  <c r="D170" i="29"/>
  <c r="D171" i="29"/>
  <c r="D172" i="29"/>
  <c r="D173" i="29"/>
  <c r="D174" i="29"/>
  <c r="D175" i="29"/>
  <c r="D176" i="29"/>
  <c r="D177" i="29"/>
  <c r="D178" i="29"/>
  <c r="D179" i="29"/>
  <c r="D180" i="29"/>
  <c r="D181" i="29"/>
  <c r="D182" i="29"/>
  <c r="D183" i="29"/>
  <c r="D184" i="29"/>
  <c r="D185" i="29"/>
  <c r="D186" i="29"/>
  <c r="D187" i="29"/>
  <c r="D188" i="29"/>
  <c r="D189" i="29"/>
  <c r="D190" i="29"/>
  <c r="D191" i="29"/>
  <c r="D192" i="29"/>
  <c r="D193" i="29"/>
  <c r="D194" i="29"/>
  <c r="D195" i="29"/>
  <c r="D196" i="29"/>
  <c r="D197" i="29"/>
  <c r="D198" i="29"/>
  <c r="D199" i="29"/>
  <c r="D200" i="29"/>
  <c r="D201" i="29"/>
  <c r="D202" i="29"/>
  <c r="D203" i="29"/>
  <c r="D204" i="29"/>
  <c r="D205" i="29"/>
  <c r="D206" i="29"/>
  <c r="D207" i="29"/>
  <c r="D208" i="29"/>
  <c r="D209" i="29"/>
  <c r="D210" i="29"/>
  <c r="D211" i="29"/>
  <c r="D212" i="29"/>
  <c r="D213" i="29"/>
  <c r="D214" i="29"/>
  <c r="D215" i="29"/>
  <c r="D216" i="29"/>
  <c r="D217" i="29"/>
  <c r="D218" i="29"/>
  <c r="D219" i="29"/>
  <c r="D220" i="29"/>
  <c r="D221" i="29"/>
  <c r="D222" i="29"/>
  <c r="D223" i="29"/>
  <c r="D224" i="29"/>
  <c r="D225" i="29"/>
  <c r="D226" i="29"/>
  <c r="D227" i="29"/>
  <c r="D228" i="29"/>
  <c r="D229" i="29"/>
  <c r="D230" i="29"/>
  <c r="D231" i="29"/>
  <c r="D232" i="29"/>
  <c r="D233" i="29"/>
  <c r="D234" i="29"/>
  <c r="D235" i="29"/>
  <c r="D236" i="29"/>
  <c r="D237" i="29"/>
  <c r="D238" i="29"/>
  <c r="D239" i="29"/>
  <c r="D240" i="29"/>
  <c r="D241" i="29"/>
  <c r="D242" i="29"/>
  <c r="D243" i="29"/>
  <c r="D244" i="29"/>
  <c r="D245" i="29"/>
  <c r="D246" i="29"/>
  <c r="D247" i="29"/>
  <c r="D248" i="29"/>
  <c r="D249" i="29"/>
  <c r="D250" i="29"/>
  <c r="D251" i="29"/>
  <c r="D252" i="29"/>
  <c r="D253" i="29"/>
  <c r="D254" i="29"/>
  <c r="D255" i="29"/>
  <c r="D256" i="29"/>
  <c r="D257" i="29"/>
  <c r="D258" i="29"/>
  <c r="D259" i="29"/>
  <c r="D260" i="29"/>
  <c r="D261" i="29"/>
  <c r="D262" i="29"/>
  <c r="D263" i="29"/>
  <c r="D264" i="29"/>
  <c r="D265" i="29"/>
  <c r="D266" i="29"/>
  <c r="D267" i="29"/>
  <c r="D268" i="29"/>
  <c r="D269" i="29"/>
  <c r="D270" i="29"/>
  <c r="D271" i="29"/>
  <c r="D272" i="29"/>
  <c r="D273" i="29"/>
  <c r="D274" i="29"/>
  <c r="D275" i="29"/>
  <c r="D276" i="29"/>
  <c r="D277" i="29"/>
  <c r="D278" i="29"/>
  <c r="D279" i="29"/>
  <c r="D280" i="29"/>
  <c r="D281" i="29"/>
  <c r="D282" i="29"/>
  <c r="D283" i="29"/>
  <c r="D284" i="29"/>
  <c r="D285" i="29"/>
  <c r="D286" i="29"/>
  <c r="D287" i="29"/>
  <c r="D288" i="29"/>
  <c r="D289" i="29"/>
  <c r="D290" i="29"/>
  <c r="D291" i="29"/>
  <c r="D292" i="29"/>
  <c r="D293" i="29"/>
  <c r="D294" i="29"/>
  <c r="D3" i="29"/>
  <c r="B265" i="29"/>
  <c r="B176" i="29"/>
  <c r="B142" i="29"/>
  <c r="B120" i="29"/>
  <c r="B68" i="29"/>
  <c r="B41" i="29"/>
  <c r="B39" i="29"/>
  <c r="B22" i="29"/>
  <c r="B295" i="29" l="1"/>
  <c r="D295" i="29"/>
  <c r="D4" i="28"/>
  <c r="D5" i="28"/>
  <c r="D6" i="28"/>
  <c r="D7" i="28"/>
  <c r="D8" i="28"/>
  <c r="D9" i="28"/>
  <c r="D10" i="28"/>
  <c r="D11" i="28"/>
  <c r="D12" i="28"/>
  <c r="D13" i="28"/>
  <c r="D14" i="28"/>
  <c r="D15" i="28"/>
  <c r="D16" i="28"/>
  <c r="D17" i="28"/>
  <c r="D18" i="28"/>
  <c r="D19" i="28"/>
  <c r="D20" i="28"/>
  <c r="D21" i="28"/>
  <c r="D22" i="28"/>
  <c r="D23" i="28"/>
  <c r="D24" i="28"/>
  <c r="D26" i="28"/>
  <c r="D27" i="28"/>
  <c r="D28" i="28"/>
  <c r="D29" i="28"/>
  <c r="D30" i="28"/>
  <c r="D31" i="28"/>
  <c r="D32" i="28"/>
  <c r="D34" i="28"/>
  <c r="D35" i="28"/>
  <c r="D36" i="28"/>
  <c r="D37" i="28"/>
  <c r="D38" i="28"/>
  <c r="D39" i="28"/>
  <c r="D40" i="28"/>
  <c r="D41" i="28"/>
  <c r="D42" i="28"/>
  <c r="D43" i="28"/>
  <c r="D44" i="28"/>
  <c r="D45" i="28"/>
  <c r="D47" i="28"/>
  <c r="D48" i="28"/>
  <c r="D49" i="28"/>
  <c r="D50" i="28"/>
  <c r="D51" i="28"/>
  <c r="D52" i="28"/>
  <c r="D53" i="28"/>
  <c r="D54" i="28"/>
  <c r="D55" i="28"/>
  <c r="D56" i="28"/>
  <c r="D57" i="28"/>
  <c r="D59" i="28"/>
  <c r="D60" i="28"/>
  <c r="D61" i="28"/>
  <c r="D62" i="28"/>
  <c r="D63" i="28"/>
  <c r="D64" i="28"/>
  <c r="D65" i="28"/>
  <c r="D66" i="28"/>
  <c r="D67" i="28"/>
  <c r="D68" i="28"/>
  <c r="D69" i="28"/>
  <c r="D70" i="28"/>
  <c r="D71" i="28"/>
  <c r="D72" i="28"/>
  <c r="D73" i="28"/>
  <c r="D74" i="28"/>
  <c r="D75" i="28"/>
  <c r="D76" i="28"/>
  <c r="D77" i="28"/>
  <c r="D78" i="28"/>
  <c r="D79" i="28"/>
  <c r="D80" i="28"/>
  <c r="D81" i="28"/>
  <c r="D82" i="28"/>
  <c r="D83" i="28"/>
  <c r="D84" i="28"/>
  <c r="D85" i="28"/>
  <c r="D86" i="28"/>
  <c r="D87" i="28"/>
  <c r="D88" i="28"/>
  <c r="D89" i="28"/>
  <c r="D91" i="28"/>
  <c r="D92" i="28"/>
  <c r="D93" i="28"/>
  <c r="D94" i="28"/>
  <c r="D95" i="28"/>
  <c r="D96" i="28"/>
  <c r="D97" i="28"/>
  <c r="D98" i="28"/>
  <c r="D99" i="28"/>
  <c r="D100" i="28"/>
  <c r="D101" i="28"/>
  <c r="D102" i="28"/>
  <c r="D103" i="28"/>
  <c r="D104" i="28"/>
  <c r="D105" i="28"/>
  <c r="D106" i="28"/>
  <c r="D107" i="28"/>
  <c r="D108" i="28"/>
  <c r="D109" i="28"/>
  <c r="D110" i="28"/>
  <c r="D111" i="28"/>
  <c r="D112" i="28"/>
  <c r="D113" i="28"/>
  <c r="D114" i="28"/>
  <c r="D115" i="28"/>
  <c r="D116" i="28"/>
  <c r="D117" i="28"/>
  <c r="D118" i="28"/>
  <c r="D119" i="28"/>
  <c r="D120" i="28"/>
  <c r="D121" i="28"/>
  <c r="D122" i="28"/>
  <c r="D123" i="28"/>
  <c r="D125" i="28"/>
  <c r="D126" i="28"/>
  <c r="D127" i="28"/>
  <c r="D128" i="28"/>
  <c r="D129" i="28"/>
  <c r="D130" i="28"/>
  <c r="D131" i="28"/>
  <c r="D132" i="28"/>
  <c r="D133" i="28"/>
  <c r="D134" i="28"/>
  <c r="D135" i="28"/>
  <c r="D137" i="28"/>
  <c r="D138" i="28"/>
  <c r="D139" i="28"/>
  <c r="D140" i="28"/>
  <c r="D141" i="28"/>
  <c r="D142" i="28"/>
  <c r="D143" i="28"/>
  <c r="D144" i="28"/>
  <c r="D145" i="28"/>
  <c r="D146" i="28"/>
  <c r="D148" i="28"/>
  <c r="D149" i="28"/>
  <c r="D150" i="28"/>
  <c r="D151" i="28"/>
  <c r="D152" i="28"/>
  <c r="D153" i="28"/>
  <c r="D154" i="28"/>
  <c r="D155" i="28"/>
  <c r="D156" i="28"/>
  <c r="D157" i="28"/>
  <c r="D158" i="28"/>
  <c r="D159" i="28"/>
  <c r="D160" i="28"/>
  <c r="D161" i="28"/>
  <c r="D162" i="28"/>
  <c r="D163" i="28"/>
  <c r="D164" i="28"/>
  <c r="D165" i="28"/>
  <c r="D166" i="28"/>
  <c r="D167" i="28"/>
  <c r="D168" i="28"/>
  <c r="D169" i="28"/>
  <c r="D170" i="28"/>
  <c r="D171" i="28"/>
  <c r="D172" i="28"/>
  <c r="D173" i="28"/>
  <c r="D174" i="28"/>
  <c r="D176" i="28"/>
  <c r="D177" i="28"/>
  <c r="D178" i="28"/>
  <c r="D179" i="28"/>
  <c r="D180" i="28"/>
  <c r="D181" i="28"/>
  <c r="D182" i="28"/>
  <c r="D183" i="28"/>
  <c r="D184" i="28"/>
  <c r="D185" i="28"/>
  <c r="D186" i="28"/>
  <c r="D187" i="28"/>
  <c r="D188" i="28"/>
  <c r="D189" i="28"/>
  <c r="D190" i="28"/>
  <c r="D191" i="28"/>
  <c r="D192" i="28"/>
  <c r="D193" i="28"/>
  <c r="D194" i="28"/>
  <c r="D196" i="28"/>
  <c r="D197" i="28"/>
  <c r="D198" i="28"/>
  <c r="D199" i="28"/>
  <c r="D200" i="28"/>
  <c r="D201" i="28"/>
  <c r="D202" i="28"/>
  <c r="D203" i="28"/>
  <c r="D204" i="28"/>
  <c r="D205" i="28"/>
  <c r="D206" i="28"/>
  <c r="D207" i="28"/>
  <c r="D208" i="28"/>
  <c r="D209" i="28"/>
  <c r="D210" i="28"/>
  <c r="D211" i="28"/>
  <c r="D212" i="28"/>
  <c r="D213" i="28"/>
  <c r="D214" i="28"/>
  <c r="D215" i="28"/>
  <c r="D216" i="28"/>
  <c r="D217" i="28"/>
  <c r="D218" i="28"/>
  <c r="D219" i="28"/>
  <c r="D220" i="28"/>
  <c r="D221" i="28"/>
  <c r="D222" i="28"/>
  <c r="D223" i="28"/>
  <c r="D224" i="28"/>
  <c r="D225" i="28"/>
  <c r="D226" i="28"/>
  <c r="D227" i="28"/>
  <c r="D228" i="28"/>
  <c r="D229" i="28"/>
  <c r="D230" i="28"/>
  <c r="D231" i="28"/>
  <c r="D232" i="28"/>
  <c r="D233" i="28"/>
  <c r="D234" i="28"/>
  <c r="D235" i="28"/>
  <c r="D236" i="28"/>
  <c r="D237" i="28"/>
  <c r="D238" i="28"/>
  <c r="D239" i="28"/>
  <c r="D240" i="28"/>
  <c r="D241" i="28"/>
  <c r="D242" i="28"/>
  <c r="D243" i="28"/>
  <c r="D244" i="28"/>
  <c r="D245" i="28"/>
  <c r="D246" i="28"/>
  <c r="D247" i="28"/>
  <c r="D248" i="28"/>
  <c r="D249" i="28"/>
  <c r="D250" i="28"/>
  <c r="D251" i="28"/>
  <c r="D252" i="28"/>
  <c r="D253" i="28"/>
  <c r="D254" i="28"/>
  <c r="D255" i="28"/>
  <c r="D256" i="28"/>
  <c r="D257" i="28"/>
  <c r="D258" i="28"/>
  <c r="D259" i="28"/>
  <c r="D260" i="28"/>
  <c r="D261" i="28"/>
  <c r="D262" i="28"/>
  <c r="D263" i="28"/>
  <c r="D265" i="28"/>
  <c r="D266" i="28"/>
  <c r="D267" i="28"/>
  <c r="D268" i="28"/>
  <c r="D269" i="28"/>
  <c r="D270" i="28"/>
  <c r="D271" i="28"/>
  <c r="D272" i="28"/>
  <c r="D273" i="28"/>
  <c r="D274" i="28"/>
  <c r="D275" i="28"/>
  <c r="D276" i="28"/>
  <c r="D277" i="28"/>
  <c r="D278" i="28"/>
  <c r="D279" i="28"/>
  <c r="D280" i="28"/>
  <c r="D281" i="28"/>
  <c r="D282" i="28"/>
  <c r="D283" i="28"/>
  <c r="D284" i="28"/>
  <c r="D285" i="28"/>
  <c r="D286" i="28"/>
  <c r="D287" i="28"/>
  <c r="D288" i="28"/>
  <c r="D289" i="28"/>
  <c r="D290" i="28"/>
  <c r="D291" i="28"/>
  <c r="D292" i="28"/>
  <c r="D293" i="28"/>
  <c r="D3" i="28"/>
  <c r="B264" i="28"/>
  <c r="D264" i="28" s="1"/>
  <c r="B195" i="28"/>
  <c r="D195" i="28" s="1"/>
  <c r="B182" i="28"/>
  <c r="B176" i="28"/>
  <c r="B175" i="28"/>
  <c r="D175" i="28" s="1"/>
  <c r="B147" i="28"/>
  <c r="D147" i="28" s="1"/>
  <c r="B136" i="28"/>
  <c r="D136" i="28" s="1"/>
  <c r="B124" i="28"/>
  <c r="D124" i="28" s="1"/>
  <c r="B90" i="28"/>
  <c r="D90" i="28" s="1"/>
  <c r="B71" i="28"/>
  <c r="B58" i="28"/>
  <c r="D58" i="28" s="1"/>
  <c r="B46" i="28"/>
  <c r="D46" i="28" s="1"/>
  <c r="B33" i="28"/>
  <c r="D33" i="28" s="1"/>
  <c r="B25" i="28"/>
  <c r="D25" i="28" s="1"/>
  <c r="D294" i="28" l="1"/>
  <c r="B294" i="28"/>
  <c r="D4" i="27"/>
  <c r="D5" i="27"/>
  <c r="D6" i="27"/>
  <c r="D7" i="27"/>
  <c r="D8" i="27"/>
  <c r="D9" i="27"/>
  <c r="D10" i="27"/>
  <c r="D11" i="27"/>
  <c r="D12" i="27"/>
  <c r="D13" i="27"/>
  <c r="D14" i="27"/>
  <c r="D15" i="27"/>
  <c r="D16" i="27"/>
  <c r="D17" i="27"/>
  <c r="D18" i="27"/>
  <c r="D19" i="27"/>
  <c r="D20" i="27"/>
  <c r="D21" i="27"/>
  <c r="D22" i="27"/>
  <c r="D23" i="27"/>
  <c r="D24" i="27"/>
  <c r="D25" i="27"/>
  <c r="D26" i="27"/>
  <c r="D27" i="27"/>
  <c r="D28" i="27"/>
  <c r="D29" i="27"/>
  <c r="D30" i="27"/>
  <c r="D31" i="27"/>
  <c r="D32" i="27"/>
  <c r="D33" i="27"/>
  <c r="D34" i="27"/>
  <c r="D35" i="27"/>
  <c r="D36" i="27"/>
  <c r="D37" i="27"/>
  <c r="D38" i="27"/>
  <c r="D39" i="27"/>
  <c r="D40" i="27"/>
  <c r="D41" i="27"/>
  <c r="D42" i="27"/>
  <c r="D43" i="27"/>
  <c r="D44" i="27"/>
  <c r="D45" i="27"/>
  <c r="D46" i="27"/>
  <c r="D47" i="27"/>
  <c r="D48" i="27"/>
  <c r="D49" i="27"/>
  <c r="D50" i="27"/>
  <c r="D51" i="27"/>
  <c r="D52" i="27"/>
  <c r="D53" i="27"/>
  <c r="D54" i="27"/>
  <c r="D55" i="27"/>
  <c r="D56" i="27"/>
  <c r="D57" i="27"/>
  <c r="D58" i="27"/>
  <c r="D59" i="27"/>
  <c r="D60" i="27"/>
  <c r="D61" i="27"/>
  <c r="D62" i="27"/>
  <c r="D63" i="27"/>
  <c r="D64" i="27"/>
  <c r="D65" i="27"/>
  <c r="D66" i="27"/>
  <c r="D67" i="27"/>
  <c r="D68" i="27"/>
  <c r="D69" i="27"/>
  <c r="D70" i="27"/>
  <c r="D71" i="27"/>
  <c r="D72" i="27"/>
  <c r="D73" i="27"/>
  <c r="D74" i="27"/>
  <c r="D75" i="27"/>
  <c r="D76" i="27"/>
  <c r="D77" i="27"/>
  <c r="D78" i="27"/>
  <c r="D79" i="27"/>
  <c r="D80" i="27"/>
  <c r="D81" i="27"/>
  <c r="D82" i="27"/>
  <c r="D83" i="27"/>
  <c r="D84" i="27"/>
  <c r="D85" i="27"/>
  <c r="D86" i="27"/>
  <c r="D87" i="27"/>
  <c r="D88" i="27"/>
  <c r="D89" i="27"/>
  <c r="D90" i="27"/>
  <c r="D91" i="27"/>
  <c r="D92" i="27"/>
  <c r="D93" i="27"/>
  <c r="D94" i="27"/>
  <c r="D95" i="27"/>
  <c r="D96" i="27"/>
  <c r="D97" i="27"/>
  <c r="D98" i="27"/>
  <c r="D99" i="27"/>
  <c r="D100" i="27"/>
  <c r="D101" i="27"/>
  <c r="D102" i="27"/>
  <c r="D103" i="27"/>
  <c r="D104" i="27"/>
  <c r="D105" i="27"/>
  <c r="D106" i="27"/>
  <c r="D107" i="27"/>
  <c r="D108" i="27"/>
  <c r="D109" i="27"/>
  <c r="D110" i="27"/>
  <c r="D111" i="27"/>
  <c r="D112" i="27"/>
  <c r="D113" i="27"/>
  <c r="D114" i="27"/>
  <c r="D115" i="27"/>
  <c r="D116" i="27"/>
  <c r="D117" i="27"/>
  <c r="D118" i="27"/>
  <c r="D119" i="27"/>
  <c r="D120" i="27"/>
  <c r="D121" i="27"/>
  <c r="D122" i="27"/>
  <c r="D123" i="27"/>
  <c r="D124" i="27"/>
  <c r="D125" i="27"/>
  <c r="D126" i="27"/>
  <c r="D127" i="27"/>
  <c r="D128" i="27"/>
  <c r="D129" i="27"/>
  <c r="D130" i="27"/>
  <c r="D131" i="27"/>
  <c r="D132" i="27"/>
  <c r="D133" i="27"/>
  <c r="D134" i="27"/>
  <c r="D135" i="27"/>
  <c r="D136" i="27"/>
  <c r="D137" i="27"/>
  <c r="D138" i="27"/>
  <c r="D139" i="27"/>
  <c r="D140" i="27"/>
  <c r="D141" i="27"/>
  <c r="D142" i="27"/>
  <c r="D143" i="27"/>
  <c r="D144" i="27"/>
  <c r="D145" i="27"/>
  <c r="D146" i="27"/>
  <c r="D147" i="27"/>
  <c r="D148" i="27"/>
  <c r="D149" i="27"/>
  <c r="D150" i="27"/>
  <c r="D151" i="27"/>
  <c r="D152" i="27"/>
  <c r="D153" i="27"/>
  <c r="D154" i="27"/>
  <c r="D155" i="27"/>
  <c r="D156" i="27"/>
  <c r="D157" i="27"/>
  <c r="D158" i="27"/>
  <c r="D159" i="27"/>
  <c r="D160" i="27"/>
  <c r="D161" i="27"/>
  <c r="D162" i="27"/>
  <c r="D163" i="27"/>
  <c r="D164" i="27"/>
  <c r="D165" i="27"/>
  <c r="D166" i="27"/>
  <c r="D167" i="27"/>
  <c r="D168" i="27"/>
  <c r="D169" i="27"/>
  <c r="D170" i="27"/>
  <c r="D171" i="27"/>
  <c r="D172" i="27"/>
  <c r="D173" i="27"/>
  <c r="D174" i="27"/>
  <c r="D175" i="27"/>
  <c r="D176" i="27"/>
  <c r="D177" i="27"/>
  <c r="D178" i="27"/>
  <c r="D179" i="27"/>
  <c r="D180" i="27"/>
  <c r="D181" i="27"/>
  <c r="D182" i="27"/>
  <c r="D183" i="27"/>
  <c r="D184" i="27"/>
  <c r="D185" i="27"/>
  <c r="D186" i="27"/>
  <c r="D187" i="27"/>
  <c r="D188" i="27"/>
  <c r="D189" i="27"/>
  <c r="D190" i="27"/>
  <c r="D191" i="27"/>
  <c r="D192" i="27"/>
  <c r="D193" i="27"/>
  <c r="D194" i="27"/>
  <c r="D195" i="27"/>
  <c r="D196" i="27"/>
  <c r="D197" i="27"/>
  <c r="D198" i="27"/>
  <c r="D199" i="27"/>
  <c r="D200" i="27"/>
  <c r="D201" i="27"/>
  <c r="D202" i="27"/>
  <c r="D203" i="27"/>
  <c r="D204" i="27"/>
  <c r="D205" i="27"/>
  <c r="D206" i="27"/>
  <c r="D207" i="27"/>
  <c r="D208" i="27"/>
  <c r="D209" i="27"/>
  <c r="D210" i="27"/>
  <c r="D211" i="27"/>
  <c r="D212" i="27"/>
  <c r="D213" i="27"/>
  <c r="D214" i="27"/>
  <c r="D215" i="27"/>
  <c r="D216" i="27"/>
  <c r="D217" i="27"/>
  <c r="D218" i="27"/>
  <c r="D219" i="27"/>
  <c r="D220" i="27"/>
  <c r="D221" i="27"/>
  <c r="D222" i="27"/>
  <c r="D223" i="27"/>
  <c r="D224" i="27"/>
  <c r="D225" i="27"/>
  <c r="D226" i="27"/>
  <c r="D227" i="27"/>
  <c r="D228" i="27"/>
  <c r="D229" i="27"/>
  <c r="D230" i="27"/>
  <c r="D231" i="27"/>
  <c r="D232" i="27"/>
  <c r="D233" i="27"/>
  <c r="D234" i="27"/>
  <c r="D235" i="27"/>
  <c r="D236" i="27"/>
  <c r="D237" i="27"/>
  <c r="D238" i="27"/>
  <c r="D239" i="27"/>
  <c r="D240" i="27"/>
  <c r="D241" i="27"/>
  <c r="D242" i="27"/>
  <c r="D243" i="27"/>
  <c r="D244" i="27"/>
  <c r="D245" i="27"/>
  <c r="D246" i="27"/>
  <c r="D247" i="27"/>
  <c r="D248" i="27"/>
  <c r="D249" i="27"/>
  <c r="D250" i="27"/>
  <c r="D251" i="27"/>
  <c r="D252" i="27"/>
  <c r="D253" i="27"/>
  <c r="D254" i="27"/>
  <c r="D255" i="27"/>
  <c r="D256" i="27"/>
  <c r="D257" i="27"/>
  <c r="D258" i="27"/>
  <c r="D259" i="27"/>
  <c r="D260" i="27"/>
  <c r="D261" i="27"/>
  <c r="D262" i="27"/>
  <c r="D263" i="27"/>
  <c r="D264" i="27"/>
  <c r="D265" i="27"/>
  <c r="D266" i="27"/>
  <c r="D267" i="27"/>
  <c r="D268" i="27"/>
  <c r="D269" i="27"/>
  <c r="D270" i="27"/>
  <c r="D271" i="27"/>
  <c r="D272" i="27"/>
  <c r="D273" i="27"/>
  <c r="D274" i="27"/>
  <c r="D275" i="27"/>
  <c r="D276" i="27"/>
  <c r="D277" i="27"/>
  <c r="D278" i="27"/>
  <c r="D279" i="27"/>
  <c r="D280" i="27"/>
  <c r="D281" i="27"/>
  <c r="D282" i="27"/>
  <c r="D283" i="27"/>
  <c r="D284" i="27"/>
  <c r="D285" i="27"/>
  <c r="D286" i="27"/>
  <c r="D287" i="27"/>
  <c r="D288" i="27"/>
  <c r="D289" i="27"/>
  <c r="D290" i="27"/>
  <c r="D291" i="27"/>
  <c r="D292" i="27"/>
  <c r="D293" i="27"/>
  <c r="D3" i="27"/>
  <c r="B135" i="27"/>
  <c r="B120" i="27"/>
  <c r="B113" i="27"/>
  <c r="B90" i="27"/>
  <c r="B68" i="27"/>
  <c r="B27" i="27"/>
  <c r="B22" i="27"/>
  <c r="B294" i="27" s="1"/>
  <c r="D4" i="26"/>
  <c r="D5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6" i="26"/>
  <c r="D117" i="26"/>
  <c r="D118" i="26"/>
  <c r="D119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3" i="26"/>
  <c r="B264" i="26"/>
  <c r="B195" i="26"/>
  <c r="B176" i="26"/>
  <c r="D176" i="26" s="1"/>
  <c r="B165" i="26"/>
  <c r="B142" i="26"/>
  <c r="D142" i="26" s="1"/>
  <c r="B120" i="26"/>
  <c r="D120" i="26" s="1"/>
  <c r="B115" i="26"/>
  <c r="D115" i="26" s="1"/>
  <c r="B114" i="26"/>
  <c r="B65" i="26"/>
  <c r="D65" i="26" s="1"/>
  <c r="B57" i="26"/>
  <c r="B34" i="26"/>
  <c r="D34" i="26" s="1"/>
  <c r="B21" i="26"/>
  <c r="B294" i="26" s="1"/>
  <c r="D294" i="27" l="1"/>
  <c r="D21" i="26"/>
  <c r="D294" i="26" s="1"/>
  <c r="D4" i="25"/>
  <c r="D5" i="25"/>
  <c r="D6" i="25"/>
  <c r="D7" i="25"/>
  <c r="D8" i="25"/>
  <c r="D9" i="25"/>
  <c r="D10" i="25"/>
  <c r="D11" i="25"/>
  <c r="D12" i="25"/>
  <c r="D13" i="25"/>
  <c r="D14" i="25"/>
  <c r="D15" i="25"/>
  <c r="D16" i="25"/>
  <c r="D17" i="25"/>
  <c r="D18" i="25"/>
  <c r="D19" i="25"/>
  <c r="D20" i="25"/>
  <c r="D21" i="25"/>
  <c r="D22" i="25"/>
  <c r="D23" i="25"/>
  <c r="D24" i="25"/>
  <c r="D25" i="25"/>
  <c r="D26" i="25"/>
  <c r="D27" i="25"/>
  <c r="D28" i="25"/>
  <c r="D29" i="25"/>
  <c r="D30" i="25"/>
  <c r="D31" i="25"/>
  <c r="D32" i="25"/>
  <c r="D33" i="25"/>
  <c r="D34" i="25"/>
  <c r="D35" i="25"/>
  <c r="D36" i="25"/>
  <c r="D37" i="25"/>
  <c r="D38" i="25"/>
  <c r="D39" i="25"/>
  <c r="D40" i="25"/>
  <c r="D41" i="25"/>
  <c r="D42" i="25"/>
  <c r="D43" i="25"/>
  <c r="D44" i="25"/>
  <c r="D45" i="25"/>
  <c r="D46" i="25"/>
  <c r="D47" i="25"/>
  <c r="D48" i="25"/>
  <c r="D49" i="25"/>
  <c r="D50" i="25"/>
  <c r="D51" i="25"/>
  <c r="D52" i="25"/>
  <c r="D53" i="25"/>
  <c r="D54" i="25"/>
  <c r="D55" i="25"/>
  <c r="D56" i="25"/>
  <c r="D57" i="25"/>
  <c r="D58" i="25"/>
  <c r="D59" i="25"/>
  <c r="D60" i="25"/>
  <c r="D61" i="25"/>
  <c r="D62" i="25"/>
  <c r="D63" i="25"/>
  <c r="D64" i="25"/>
  <c r="D65" i="25"/>
  <c r="D66" i="25"/>
  <c r="D67" i="25"/>
  <c r="D68" i="25"/>
  <c r="D69" i="25"/>
  <c r="D70" i="25"/>
  <c r="D71" i="25"/>
  <c r="D72" i="25"/>
  <c r="D73" i="25"/>
  <c r="D74" i="25"/>
  <c r="D75" i="25"/>
  <c r="D76" i="25"/>
  <c r="D77" i="25"/>
  <c r="D78" i="25"/>
  <c r="D79" i="25"/>
  <c r="D80" i="25"/>
  <c r="D81" i="25"/>
  <c r="D82" i="25"/>
  <c r="D83" i="25"/>
  <c r="D84" i="25"/>
  <c r="D85" i="25"/>
  <c r="D86" i="25"/>
  <c r="D87" i="25"/>
  <c r="D88" i="25"/>
  <c r="D89" i="25"/>
  <c r="D90" i="25"/>
  <c r="D91" i="25"/>
  <c r="D92" i="25"/>
  <c r="D93" i="25"/>
  <c r="D94" i="25"/>
  <c r="D95" i="25"/>
  <c r="D96" i="25"/>
  <c r="D97" i="25"/>
  <c r="D98" i="25"/>
  <c r="D99" i="25"/>
  <c r="D100" i="25"/>
  <c r="D101" i="25"/>
  <c r="D102" i="25"/>
  <c r="D103" i="25"/>
  <c r="D104" i="25"/>
  <c r="D105" i="25"/>
  <c r="D106" i="25"/>
  <c r="D107" i="25"/>
  <c r="D108" i="25"/>
  <c r="D109" i="25"/>
  <c r="D110" i="25"/>
  <c r="D111" i="25"/>
  <c r="D112" i="25"/>
  <c r="D113" i="25"/>
  <c r="D114" i="25"/>
  <c r="D115" i="25"/>
  <c r="D116" i="25"/>
  <c r="D117" i="25"/>
  <c r="D118" i="25"/>
  <c r="D119" i="25"/>
  <c r="D120" i="25"/>
  <c r="D121" i="25"/>
  <c r="D122" i="25"/>
  <c r="D123" i="25"/>
  <c r="D124" i="25"/>
  <c r="D125" i="25"/>
  <c r="D126" i="25"/>
  <c r="D127" i="25"/>
  <c r="D128" i="25"/>
  <c r="D129" i="25"/>
  <c r="D130" i="25"/>
  <c r="D131" i="25"/>
  <c r="D132" i="25"/>
  <c r="D133" i="25"/>
  <c r="D134" i="25"/>
  <c r="D135" i="25"/>
  <c r="D136" i="25"/>
  <c r="D137" i="25"/>
  <c r="D138" i="25"/>
  <c r="D139" i="25"/>
  <c r="D140" i="25"/>
  <c r="D141" i="25"/>
  <c r="D142" i="25"/>
  <c r="D143" i="25"/>
  <c r="D144" i="25"/>
  <c r="D145" i="25"/>
  <c r="D146" i="25"/>
  <c r="D147" i="25"/>
  <c r="D148" i="25"/>
  <c r="D149" i="25"/>
  <c r="D150" i="25"/>
  <c r="D151" i="25"/>
  <c r="D152" i="25"/>
  <c r="D153" i="25"/>
  <c r="D154" i="25"/>
  <c r="D155" i="25"/>
  <c r="D156" i="25"/>
  <c r="D157" i="25"/>
  <c r="D158" i="25"/>
  <c r="D159" i="25"/>
  <c r="D160" i="25"/>
  <c r="D161" i="25"/>
  <c r="D162" i="25"/>
  <c r="D163" i="25"/>
  <c r="D164" i="25"/>
  <c r="D165" i="25"/>
  <c r="D166" i="25"/>
  <c r="D167" i="25"/>
  <c r="D168" i="25"/>
  <c r="D169" i="25"/>
  <c r="D170" i="25"/>
  <c r="D171" i="25"/>
  <c r="D172" i="25"/>
  <c r="D173" i="25"/>
  <c r="D174" i="25"/>
  <c r="D175" i="25"/>
  <c r="D176" i="25"/>
  <c r="D177" i="25"/>
  <c r="D178" i="25"/>
  <c r="D179" i="25"/>
  <c r="D180" i="25"/>
  <c r="D181" i="25"/>
  <c r="D182" i="25"/>
  <c r="D183" i="25"/>
  <c r="D184" i="25"/>
  <c r="D185" i="25"/>
  <c r="D186" i="25"/>
  <c r="D187" i="25"/>
  <c r="D188" i="25"/>
  <c r="D189" i="25"/>
  <c r="D190" i="25"/>
  <c r="D191" i="25"/>
  <c r="D192" i="25"/>
  <c r="D193" i="25"/>
  <c r="D194" i="25"/>
  <c r="D195" i="25"/>
  <c r="D196" i="25"/>
  <c r="D197" i="25"/>
  <c r="D198" i="25"/>
  <c r="D199" i="25"/>
  <c r="D200" i="25"/>
  <c r="D201" i="25"/>
  <c r="D202" i="25"/>
  <c r="D203" i="25"/>
  <c r="D204" i="25"/>
  <c r="D205" i="25"/>
  <c r="D206" i="25"/>
  <c r="D207" i="25"/>
  <c r="D208" i="25"/>
  <c r="D209" i="25"/>
  <c r="D210" i="25"/>
  <c r="D211" i="25"/>
  <c r="D212" i="25"/>
  <c r="D213" i="25"/>
  <c r="D214" i="25"/>
  <c r="D215" i="25"/>
  <c r="D216" i="25"/>
  <c r="D217" i="25"/>
  <c r="D218" i="25"/>
  <c r="D219" i="25"/>
  <c r="D220" i="25"/>
  <c r="D221" i="25"/>
  <c r="D222" i="25"/>
  <c r="D223" i="25"/>
  <c r="D224" i="25"/>
  <c r="D225" i="25"/>
  <c r="D226" i="25"/>
  <c r="D227" i="25"/>
  <c r="D228" i="25"/>
  <c r="D229" i="25"/>
  <c r="D230" i="25"/>
  <c r="D231" i="25"/>
  <c r="D232" i="25"/>
  <c r="D233" i="25"/>
  <c r="D234" i="25"/>
  <c r="D235" i="25"/>
  <c r="D236" i="25"/>
  <c r="D237" i="25"/>
  <c r="D238" i="25"/>
  <c r="D239" i="25"/>
  <c r="D240" i="25"/>
  <c r="D241" i="25"/>
  <c r="D242" i="25"/>
  <c r="D243" i="25"/>
  <c r="D244" i="25"/>
  <c r="D245" i="25"/>
  <c r="D246" i="25"/>
  <c r="D247" i="25"/>
  <c r="D248" i="25"/>
  <c r="D249" i="25"/>
  <c r="D250" i="25"/>
  <c r="D251" i="25"/>
  <c r="D252" i="25"/>
  <c r="D253" i="25"/>
  <c r="D254" i="25"/>
  <c r="D255" i="25"/>
  <c r="D256" i="25"/>
  <c r="D257" i="25"/>
  <c r="D258" i="25"/>
  <c r="D259" i="25"/>
  <c r="D260" i="25"/>
  <c r="D261" i="25"/>
  <c r="D262" i="25"/>
  <c r="D263" i="25"/>
  <c r="D264" i="25"/>
  <c r="D265" i="25"/>
  <c r="D266" i="25"/>
  <c r="D267" i="25"/>
  <c r="D268" i="25"/>
  <c r="D269" i="25"/>
  <c r="D270" i="25"/>
  <c r="D271" i="25"/>
  <c r="D272" i="25"/>
  <c r="D273" i="25"/>
  <c r="D274" i="25"/>
  <c r="D275" i="25"/>
  <c r="D276" i="25"/>
  <c r="D277" i="25"/>
  <c r="D278" i="25"/>
  <c r="D279" i="25"/>
  <c r="D280" i="25"/>
  <c r="D281" i="25"/>
  <c r="D282" i="25"/>
  <c r="D283" i="25"/>
  <c r="D284" i="25"/>
  <c r="D285" i="25"/>
  <c r="D286" i="25"/>
  <c r="D287" i="25"/>
  <c r="D288" i="25"/>
  <c r="D289" i="25"/>
  <c r="D290" i="25"/>
  <c r="D291" i="25"/>
  <c r="D292" i="25"/>
  <c r="D293" i="25"/>
  <c r="D3" i="25"/>
  <c r="B233" i="25"/>
  <c r="B217" i="25"/>
  <c r="B179" i="25"/>
  <c r="B175" i="25"/>
  <c r="B164" i="25"/>
  <c r="B151" i="25"/>
  <c r="B18" i="25"/>
  <c r="B294" i="25" l="1"/>
  <c r="D294" i="25"/>
  <c r="D4" i="24"/>
  <c r="D5" i="24"/>
  <c r="D6" i="24"/>
  <c r="D7" i="24"/>
  <c r="D8" i="24"/>
  <c r="D9" i="24"/>
  <c r="D10" i="24"/>
  <c r="D11" i="24"/>
  <c r="D12" i="24"/>
  <c r="D13" i="24"/>
  <c r="D14" i="24"/>
  <c r="D15" i="24"/>
  <c r="D16" i="24"/>
  <c r="D17" i="24"/>
  <c r="D18" i="24"/>
  <c r="D19" i="24"/>
  <c r="D20" i="24"/>
  <c r="D21" i="24"/>
  <c r="D22" i="24"/>
  <c r="D23" i="24"/>
  <c r="D24" i="24"/>
  <c r="D25" i="24"/>
  <c r="D26" i="24"/>
  <c r="D27" i="24"/>
  <c r="D28" i="24"/>
  <c r="D29" i="24"/>
  <c r="D30" i="24"/>
  <c r="D31" i="24"/>
  <c r="D32" i="24"/>
  <c r="D33" i="24"/>
  <c r="D34" i="24"/>
  <c r="D35" i="24"/>
  <c r="D36" i="24"/>
  <c r="D37" i="24"/>
  <c r="D38" i="24"/>
  <c r="D39" i="24"/>
  <c r="D40" i="24"/>
  <c r="D41" i="24"/>
  <c r="D42" i="24"/>
  <c r="D43" i="24"/>
  <c r="D44" i="24"/>
  <c r="D45" i="24"/>
  <c r="D46" i="24"/>
  <c r="D47" i="24"/>
  <c r="D48" i="24"/>
  <c r="D49" i="24"/>
  <c r="D50" i="24"/>
  <c r="D51" i="24"/>
  <c r="D52" i="24"/>
  <c r="D53" i="24"/>
  <c r="D54" i="24"/>
  <c r="D55" i="24"/>
  <c r="D56" i="24"/>
  <c r="D57" i="24"/>
  <c r="D58" i="24"/>
  <c r="D59" i="24"/>
  <c r="D60" i="24"/>
  <c r="D61" i="24"/>
  <c r="D62" i="24"/>
  <c r="D63" i="24"/>
  <c r="D64" i="24"/>
  <c r="D65" i="24"/>
  <c r="D66" i="24"/>
  <c r="D67" i="24"/>
  <c r="D68" i="24"/>
  <c r="D69" i="24"/>
  <c r="D70" i="24"/>
  <c r="D71" i="24"/>
  <c r="D72" i="24"/>
  <c r="D73" i="24"/>
  <c r="D74" i="24"/>
  <c r="D75" i="24"/>
  <c r="D76" i="24"/>
  <c r="D77" i="24"/>
  <c r="D78" i="24"/>
  <c r="D79" i="24"/>
  <c r="D80" i="24"/>
  <c r="D81" i="24"/>
  <c r="D82" i="24"/>
  <c r="D83" i="24"/>
  <c r="D84" i="24"/>
  <c r="D85" i="24"/>
  <c r="D86" i="24"/>
  <c r="D87" i="24"/>
  <c r="D88" i="24"/>
  <c r="D89" i="24"/>
  <c r="D90" i="24"/>
  <c r="D91" i="24"/>
  <c r="D92" i="24"/>
  <c r="D93" i="24"/>
  <c r="D94" i="24"/>
  <c r="D95" i="24"/>
  <c r="D96" i="24"/>
  <c r="D97" i="24"/>
  <c r="D98" i="24"/>
  <c r="D99" i="24"/>
  <c r="D100" i="24"/>
  <c r="D101" i="24"/>
  <c r="D102" i="24"/>
  <c r="D103" i="24"/>
  <c r="D104" i="24"/>
  <c r="D105" i="24"/>
  <c r="D106" i="24"/>
  <c r="D107" i="24"/>
  <c r="D108" i="24"/>
  <c r="D109" i="24"/>
  <c r="D110" i="24"/>
  <c r="D111" i="24"/>
  <c r="D112" i="24"/>
  <c r="D113" i="24"/>
  <c r="D114" i="24"/>
  <c r="D115" i="24"/>
  <c r="D116" i="24"/>
  <c r="D117" i="24"/>
  <c r="D118" i="24"/>
  <c r="D119" i="24"/>
  <c r="D120" i="24"/>
  <c r="D121" i="24"/>
  <c r="D122" i="24"/>
  <c r="D123" i="24"/>
  <c r="D124" i="24"/>
  <c r="D125" i="24"/>
  <c r="D126" i="24"/>
  <c r="D127" i="24"/>
  <c r="D128" i="24"/>
  <c r="D129" i="24"/>
  <c r="D130" i="24"/>
  <c r="D131" i="24"/>
  <c r="D132" i="24"/>
  <c r="D133" i="24"/>
  <c r="D134" i="24"/>
  <c r="D135" i="24"/>
  <c r="D136" i="24"/>
  <c r="D137" i="24"/>
  <c r="D138" i="24"/>
  <c r="D139" i="24"/>
  <c r="D140" i="24"/>
  <c r="D141" i="24"/>
  <c r="D142" i="24"/>
  <c r="D143" i="24"/>
  <c r="D144" i="24"/>
  <c r="D145" i="24"/>
  <c r="D146" i="24"/>
  <c r="D147" i="24"/>
  <c r="D148" i="24"/>
  <c r="D149" i="24"/>
  <c r="D150" i="24"/>
  <c r="D151" i="24"/>
  <c r="D152" i="24"/>
  <c r="D153" i="24"/>
  <c r="D154" i="24"/>
  <c r="D155" i="24"/>
  <c r="D156" i="24"/>
  <c r="D157" i="24"/>
  <c r="D158" i="24"/>
  <c r="D159" i="24"/>
  <c r="D160" i="24"/>
  <c r="D161" i="24"/>
  <c r="D162" i="24"/>
  <c r="D163" i="24"/>
  <c r="D164" i="24"/>
  <c r="D165" i="24"/>
  <c r="D166" i="24"/>
  <c r="D167" i="24"/>
  <c r="D168" i="24"/>
  <c r="D169" i="24"/>
  <c r="D170" i="24"/>
  <c r="D171" i="24"/>
  <c r="D172" i="24"/>
  <c r="D173" i="24"/>
  <c r="D174" i="24"/>
  <c r="D175" i="24"/>
  <c r="D176" i="24"/>
  <c r="D177" i="24"/>
  <c r="D178" i="24"/>
  <c r="D179" i="24"/>
  <c r="D180" i="24"/>
  <c r="D181" i="24"/>
  <c r="D182" i="24"/>
  <c r="D183" i="24"/>
  <c r="D184" i="24"/>
  <c r="D185" i="24"/>
  <c r="D186" i="24"/>
  <c r="D187" i="24"/>
  <c r="D188" i="24"/>
  <c r="D189" i="24"/>
  <c r="D190" i="24"/>
  <c r="D191" i="24"/>
  <c r="D192" i="24"/>
  <c r="D193" i="24"/>
  <c r="D194" i="24"/>
  <c r="D195" i="24"/>
  <c r="D196" i="24"/>
  <c r="D197" i="24"/>
  <c r="D198" i="24"/>
  <c r="D199" i="24"/>
  <c r="D200" i="24"/>
  <c r="D201" i="24"/>
  <c r="D202" i="24"/>
  <c r="D203" i="24"/>
  <c r="D204" i="24"/>
  <c r="D205" i="24"/>
  <c r="D206" i="24"/>
  <c r="D207" i="24"/>
  <c r="D208" i="24"/>
  <c r="D209" i="24"/>
  <c r="D210" i="24"/>
  <c r="D211" i="24"/>
  <c r="D212" i="24"/>
  <c r="D213" i="24"/>
  <c r="D214" i="24"/>
  <c r="D215" i="24"/>
  <c r="D216" i="24"/>
  <c r="D217" i="24"/>
  <c r="D218" i="24"/>
  <c r="D219" i="24"/>
  <c r="D220" i="24"/>
  <c r="D221" i="24"/>
  <c r="D222" i="24"/>
  <c r="D223" i="24"/>
  <c r="D224" i="24"/>
  <c r="D225" i="24"/>
  <c r="D226" i="24"/>
  <c r="D227" i="24"/>
  <c r="D228" i="24"/>
  <c r="D229" i="24"/>
  <c r="D230" i="24"/>
  <c r="D231" i="24"/>
  <c r="D232" i="24"/>
  <c r="D233" i="24"/>
  <c r="D234" i="24"/>
  <c r="D235" i="24"/>
  <c r="D236" i="24"/>
  <c r="D237" i="24"/>
  <c r="D238" i="24"/>
  <c r="D239" i="24"/>
  <c r="D240" i="24"/>
  <c r="D241" i="24"/>
  <c r="D242" i="24"/>
  <c r="D243" i="24"/>
  <c r="D244" i="24"/>
  <c r="D245" i="24"/>
  <c r="D246" i="24"/>
  <c r="D247" i="24"/>
  <c r="D248" i="24"/>
  <c r="D249" i="24"/>
  <c r="D250" i="24"/>
  <c r="D251" i="24"/>
  <c r="D252" i="24"/>
  <c r="D253" i="24"/>
  <c r="D254" i="24"/>
  <c r="D255" i="24"/>
  <c r="D256" i="24"/>
  <c r="D257" i="24"/>
  <c r="D258" i="24"/>
  <c r="D259" i="24"/>
  <c r="D260" i="24"/>
  <c r="D261" i="24"/>
  <c r="D262" i="24"/>
  <c r="D263" i="24"/>
  <c r="D264" i="24"/>
  <c r="D265" i="24"/>
  <c r="D266" i="24"/>
  <c r="D267" i="24"/>
  <c r="D268" i="24"/>
  <c r="D269" i="24"/>
  <c r="D270" i="24"/>
  <c r="D271" i="24"/>
  <c r="D272" i="24"/>
  <c r="D273" i="24"/>
  <c r="D274" i="24"/>
  <c r="D275" i="24"/>
  <c r="D276" i="24"/>
  <c r="D277" i="24"/>
  <c r="D278" i="24"/>
  <c r="D279" i="24"/>
  <c r="D280" i="24"/>
  <c r="D281" i="24"/>
  <c r="D282" i="24"/>
  <c r="D283" i="24"/>
  <c r="D284" i="24"/>
  <c r="D285" i="24"/>
  <c r="D286" i="24"/>
  <c r="D287" i="24"/>
  <c r="D288" i="24"/>
  <c r="D289" i="24"/>
  <c r="D290" i="24"/>
  <c r="D291" i="24"/>
  <c r="D292" i="24"/>
  <c r="D293" i="24"/>
  <c r="D3" i="24"/>
  <c r="B279" i="24"/>
  <c r="B193" i="24"/>
  <c r="B190" i="24"/>
  <c r="B178" i="24"/>
  <c r="B176" i="24"/>
  <c r="B142" i="24"/>
  <c r="B120" i="24"/>
  <c r="B113" i="24"/>
  <c r="B68" i="24"/>
  <c r="B53" i="24"/>
  <c r="B43" i="24"/>
  <c r="B41" i="24"/>
  <c r="B34" i="24"/>
  <c r="B31" i="24"/>
  <c r="B22" i="24"/>
  <c r="B3" i="24"/>
  <c r="D294" i="24" l="1"/>
  <c r="B294" i="24"/>
  <c r="D4" i="23"/>
  <c r="D5" i="23"/>
  <c r="D6" i="23"/>
  <c r="D7" i="23"/>
  <c r="D8" i="23"/>
  <c r="D9" i="23"/>
  <c r="D10" i="23"/>
  <c r="D11" i="23"/>
  <c r="D12" i="23"/>
  <c r="D13" i="23"/>
  <c r="D14" i="23"/>
  <c r="D15" i="23"/>
  <c r="D16" i="23"/>
  <c r="D17" i="23"/>
  <c r="D18" i="23"/>
  <c r="D19" i="23"/>
  <c r="D20" i="23"/>
  <c r="D21" i="23"/>
  <c r="D22" i="23"/>
  <c r="D23" i="23"/>
  <c r="D24" i="23"/>
  <c r="D25" i="23"/>
  <c r="D26" i="23"/>
  <c r="D27" i="23"/>
  <c r="D28" i="23"/>
  <c r="D29" i="23"/>
  <c r="D30" i="23"/>
  <c r="D31" i="23"/>
  <c r="D32" i="23"/>
  <c r="D33" i="23"/>
  <c r="D34" i="23"/>
  <c r="D35" i="23"/>
  <c r="D36" i="23"/>
  <c r="D37" i="23"/>
  <c r="D38" i="23"/>
  <c r="D39" i="23"/>
  <c r="D40" i="23"/>
  <c r="D41" i="23"/>
  <c r="D42" i="23"/>
  <c r="D43" i="23"/>
  <c r="D44" i="23"/>
  <c r="D45" i="23"/>
  <c r="D46" i="23"/>
  <c r="D47" i="23"/>
  <c r="D48" i="23"/>
  <c r="D49" i="23"/>
  <c r="D50" i="23"/>
  <c r="D51" i="23"/>
  <c r="D52" i="23"/>
  <c r="D54" i="23"/>
  <c r="D55" i="23"/>
  <c r="D56" i="23"/>
  <c r="D57" i="23"/>
  <c r="D58" i="23"/>
  <c r="D59" i="23"/>
  <c r="D60" i="23"/>
  <c r="D61" i="23"/>
  <c r="D62" i="23"/>
  <c r="D63" i="23"/>
  <c r="D64" i="23"/>
  <c r="D65" i="23"/>
  <c r="D66" i="23"/>
  <c r="D67" i="23"/>
  <c r="D68" i="23"/>
  <c r="D69" i="23"/>
  <c r="D70" i="23"/>
  <c r="D71" i="23"/>
  <c r="D72" i="23"/>
  <c r="D73" i="23"/>
  <c r="D74" i="23"/>
  <c r="D75" i="23"/>
  <c r="D76" i="23"/>
  <c r="D77" i="23"/>
  <c r="D78" i="23"/>
  <c r="D79" i="23"/>
  <c r="D80" i="23"/>
  <c r="D81" i="23"/>
  <c r="D82" i="23"/>
  <c r="D83" i="23"/>
  <c r="D84" i="23"/>
  <c r="D85" i="23"/>
  <c r="D86" i="23"/>
  <c r="D87" i="23"/>
  <c r="D88" i="23"/>
  <c r="D89" i="23"/>
  <c r="D90" i="23"/>
  <c r="D91" i="23"/>
  <c r="D92" i="23"/>
  <c r="D93" i="23"/>
  <c r="D94" i="23"/>
  <c r="D95" i="23"/>
  <c r="D96" i="23"/>
  <c r="D97" i="23"/>
  <c r="D98" i="23"/>
  <c r="D99" i="23"/>
  <c r="D100" i="23"/>
  <c r="D101" i="23"/>
  <c r="D102" i="23"/>
  <c r="D103" i="23"/>
  <c r="D104" i="23"/>
  <c r="D105" i="23"/>
  <c r="D106" i="23"/>
  <c r="D107" i="23"/>
  <c r="D108" i="23"/>
  <c r="D109" i="23"/>
  <c r="D110" i="23"/>
  <c r="D111" i="23"/>
  <c r="D112" i="23"/>
  <c r="D113" i="23"/>
  <c r="D114" i="23"/>
  <c r="D115" i="23"/>
  <c r="D116" i="23"/>
  <c r="D117" i="23"/>
  <c r="D118" i="23"/>
  <c r="D119" i="23"/>
  <c r="D121" i="23"/>
  <c r="D122" i="23"/>
  <c r="D123" i="23"/>
  <c r="D124" i="23"/>
  <c r="D125" i="23"/>
  <c r="D126" i="23"/>
  <c r="D127" i="23"/>
  <c r="D128" i="23"/>
  <c r="D129" i="23"/>
  <c r="D130" i="23"/>
  <c r="D131" i="23"/>
  <c r="D132" i="23"/>
  <c r="D133" i="23"/>
  <c r="D134" i="23"/>
  <c r="D135" i="23"/>
  <c r="D136" i="23"/>
  <c r="D137" i="23"/>
  <c r="D138" i="23"/>
  <c r="D139" i="23"/>
  <c r="D140" i="23"/>
  <c r="D141" i="23"/>
  <c r="D143" i="23"/>
  <c r="D144" i="23"/>
  <c r="D145" i="23"/>
  <c r="D146" i="23"/>
  <c r="D147" i="23"/>
  <c r="D148" i="23"/>
  <c r="D149" i="23"/>
  <c r="D150" i="23"/>
  <c r="D151" i="23"/>
  <c r="D152" i="23"/>
  <c r="D153" i="23"/>
  <c r="D154" i="23"/>
  <c r="D155" i="23"/>
  <c r="D156" i="23"/>
  <c r="D157" i="23"/>
  <c r="D158" i="23"/>
  <c r="D159" i="23"/>
  <c r="D160" i="23"/>
  <c r="D161" i="23"/>
  <c r="D162" i="23"/>
  <c r="D164" i="23"/>
  <c r="D165" i="23"/>
  <c r="D166" i="23"/>
  <c r="D167" i="23"/>
  <c r="D168" i="23"/>
  <c r="D169" i="23"/>
  <c r="D170" i="23"/>
  <c r="D171" i="23"/>
  <c r="D172" i="23"/>
  <c r="D173" i="23"/>
  <c r="D174" i="23"/>
  <c r="D175" i="23"/>
  <c r="D176" i="23"/>
  <c r="D177" i="23"/>
  <c r="D179" i="23"/>
  <c r="D180" i="23"/>
  <c r="D181" i="23"/>
  <c r="D182" i="23"/>
  <c r="D183" i="23"/>
  <c r="D184" i="23"/>
  <c r="D185" i="23"/>
  <c r="D186" i="23"/>
  <c r="D187" i="23"/>
  <c r="D188" i="23"/>
  <c r="D189" i="23"/>
  <c r="D190" i="23"/>
  <c r="D191" i="23"/>
  <c r="D192" i="23"/>
  <c r="D193" i="23"/>
  <c r="D194" i="23"/>
  <c r="D195" i="23"/>
  <c r="D196" i="23"/>
  <c r="D197" i="23"/>
  <c r="D198" i="23"/>
  <c r="D199" i="23"/>
  <c r="D200" i="23"/>
  <c r="D201" i="23"/>
  <c r="D202" i="23"/>
  <c r="D203" i="23"/>
  <c r="D204" i="23"/>
  <c r="D205" i="23"/>
  <c r="D206" i="23"/>
  <c r="D207" i="23"/>
  <c r="D208" i="23"/>
  <c r="D209" i="23"/>
  <c r="D210" i="23"/>
  <c r="D211" i="23"/>
  <c r="D212" i="23"/>
  <c r="D213" i="23"/>
  <c r="D214" i="23"/>
  <c r="D215" i="23"/>
  <c r="D216" i="23"/>
  <c r="D217" i="23"/>
  <c r="D218" i="23"/>
  <c r="D219" i="23"/>
  <c r="D220" i="23"/>
  <c r="D221" i="23"/>
  <c r="D222" i="23"/>
  <c r="D223" i="23"/>
  <c r="D224" i="23"/>
  <c r="D225" i="23"/>
  <c r="D226" i="23"/>
  <c r="D227" i="23"/>
  <c r="D228" i="23"/>
  <c r="D229" i="23"/>
  <c r="D230" i="23"/>
  <c r="D231" i="23"/>
  <c r="D232" i="23"/>
  <c r="D233" i="23"/>
  <c r="D234" i="23"/>
  <c r="D235" i="23"/>
  <c r="D236" i="23"/>
  <c r="D237" i="23"/>
  <c r="D238" i="23"/>
  <c r="D239" i="23"/>
  <c r="D240" i="23"/>
  <c r="D241" i="23"/>
  <c r="D242" i="23"/>
  <c r="D243" i="23"/>
  <c r="D244" i="23"/>
  <c r="D245" i="23"/>
  <c r="D246" i="23"/>
  <c r="D247" i="23"/>
  <c r="D248" i="23"/>
  <c r="D249" i="23"/>
  <c r="D250" i="23"/>
  <c r="D251" i="23"/>
  <c r="D252" i="23"/>
  <c r="D253" i="23"/>
  <c r="D254" i="23"/>
  <c r="D255" i="23"/>
  <c r="D256" i="23"/>
  <c r="D257" i="23"/>
  <c r="D258" i="23"/>
  <c r="D259" i="23"/>
  <c r="D260" i="23"/>
  <c r="D261" i="23"/>
  <c r="D262" i="23"/>
  <c r="D263" i="23"/>
  <c r="D264" i="23"/>
  <c r="D265" i="23"/>
  <c r="D266" i="23"/>
  <c r="D267" i="23"/>
  <c r="D268" i="23"/>
  <c r="D269" i="23"/>
  <c r="D270" i="23"/>
  <c r="D271" i="23"/>
  <c r="D272" i="23"/>
  <c r="D273" i="23"/>
  <c r="D274" i="23"/>
  <c r="D275" i="23"/>
  <c r="D276" i="23"/>
  <c r="D277" i="23"/>
  <c r="D278" i="23"/>
  <c r="D279" i="23"/>
  <c r="D280" i="23"/>
  <c r="D281" i="23"/>
  <c r="D282" i="23"/>
  <c r="D283" i="23"/>
  <c r="D284" i="23"/>
  <c r="D285" i="23"/>
  <c r="D286" i="23"/>
  <c r="D287" i="23"/>
  <c r="D288" i="23"/>
  <c r="D289" i="23"/>
  <c r="D290" i="23"/>
  <c r="D291" i="23"/>
  <c r="D292" i="23"/>
  <c r="D293" i="23"/>
  <c r="D3" i="23"/>
  <c r="B264" i="23"/>
  <c r="B195" i="23"/>
  <c r="B178" i="23"/>
  <c r="D178" i="23" s="1"/>
  <c r="B163" i="23"/>
  <c r="D163" i="23" s="1"/>
  <c r="B142" i="23"/>
  <c r="B120" i="23"/>
  <c r="D120" i="23" s="1"/>
  <c r="B68" i="23"/>
  <c r="B53" i="23"/>
  <c r="D53" i="23" s="1"/>
  <c r="B294" i="23" l="1"/>
  <c r="D142" i="23"/>
  <c r="D294" i="23" s="1"/>
  <c r="D4" i="22"/>
  <c r="D5" i="22"/>
  <c r="D7" i="22"/>
  <c r="D8" i="22"/>
  <c r="D9" i="22"/>
  <c r="D10" i="22"/>
  <c r="D11" i="22"/>
  <c r="D12" i="22"/>
  <c r="D13" i="22"/>
  <c r="D14" i="22"/>
  <c r="D15" i="22"/>
  <c r="D16" i="22"/>
  <c r="D17" i="22"/>
  <c r="D18" i="22"/>
  <c r="D19" i="22"/>
  <c r="D20" i="22"/>
  <c r="D22" i="22"/>
  <c r="D23" i="22"/>
  <c r="D24" i="22"/>
  <c r="D25" i="22"/>
  <c r="D26" i="22"/>
  <c r="D27" i="22"/>
  <c r="D28" i="22"/>
  <c r="D29" i="22"/>
  <c r="D30" i="22"/>
  <c r="D31" i="22"/>
  <c r="D32" i="22"/>
  <c r="D33" i="22"/>
  <c r="D34" i="22"/>
  <c r="D35" i="22"/>
  <c r="D36" i="22"/>
  <c r="D37" i="22"/>
  <c r="D38" i="22"/>
  <c r="D39" i="22"/>
  <c r="D40" i="22"/>
  <c r="D41" i="22"/>
  <c r="D42" i="22"/>
  <c r="D43" i="22"/>
  <c r="D44" i="22"/>
  <c r="D45" i="22"/>
  <c r="D47" i="22"/>
  <c r="D48" i="22"/>
  <c r="D49" i="22"/>
  <c r="D50" i="22"/>
  <c r="D51" i="22"/>
  <c r="D52" i="22"/>
  <c r="D53" i="22"/>
  <c r="D54" i="22"/>
  <c r="D55" i="22"/>
  <c r="D56" i="22"/>
  <c r="D57" i="22"/>
  <c r="D58" i="22"/>
  <c r="D59" i="22"/>
  <c r="D60" i="22"/>
  <c r="D61" i="22"/>
  <c r="D62" i="22"/>
  <c r="D63" i="22"/>
  <c r="D64" i="22"/>
  <c r="D65" i="22"/>
  <c r="D66" i="22"/>
  <c r="D68" i="22"/>
  <c r="D69" i="22"/>
  <c r="D70" i="22"/>
  <c r="D71" i="22"/>
  <c r="D72" i="22"/>
  <c r="D73" i="22"/>
  <c r="D74" i="22"/>
  <c r="D75" i="22"/>
  <c r="D76" i="22"/>
  <c r="D77" i="22"/>
  <c r="D78" i="22"/>
  <c r="D79" i="22"/>
  <c r="D80" i="22"/>
  <c r="D81" i="22"/>
  <c r="D82" i="22"/>
  <c r="D83" i="22"/>
  <c r="D84" i="22"/>
  <c r="D85" i="22"/>
  <c r="D86" i="22"/>
  <c r="D87" i="22"/>
  <c r="D88" i="22"/>
  <c r="D89" i="22"/>
  <c r="D90" i="22"/>
  <c r="D91" i="22"/>
  <c r="D92" i="22"/>
  <c r="D93" i="22"/>
  <c r="D94" i="22"/>
  <c r="D95" i="22"/>
  <c r="D96" i="22"/>
  <c r="D97" i="22"/>
  <c r="D98" i="22"/>
  <c r="D99" i="22"/>
  <c r="D100" i="22"/>
  <c r="D101" i="22"/>
  <c r="D102" i="22"/>
  <c r="D103" i="22"/>
  <c r="D104" i="22"/>
  <c r="D105" i="22"/>
  <c r="D106" i="22"/>
  <c r="D107" i="22"/>
  <c r="D108" i="22"/>
  <c r="D109" i="22"/>
  <c r="D110" i="22"/>
  <c r="D111" i="22"/>
  <c r="D112" i="22"/>
  <c r="D113" i="22"/>
  <c r="D114" i="22"/>
  <c r="D115" i="22"/>
  <c r="D116" i="22"/>
  <c r="D117" i="22"/>
  <c r="D118" i="22"/>
  <c r="D119" i="22"/>
  <c r="D120" i="22"/>
  <c r="D121" i="22"/>
  <c r="D122" i="22"/>
  <c r="D123" i="22"/>
  <c r="D124" i="22"/>
  <c r="D125" i="22"/>
  <c r="D126" i="22"/>
  <c r="D127" i="22"/>
  <c r="D128" i="22"/>
  <c r="D129" i="22"/>
  <c r="D130" i="22"/>
  <c r="D131" i="22"/>
  <c r="D132" i="22"/>
  <c r="D133" i="22"/>
  <c r="D134" i="22"/>
  <c r="D135" i="22"/>
  <c r="D136" i="22"/>
  <c r="D137" i="22"/>
  <c r="D138" i="22"/>
  <c r="D139" i="22"/>
  <c r="D140" i="22"/>
  <c r="D141" i="22"/>
  <c r="D142" i="22"/>
  <c r="D143" i="22"/>
  <c r="D144" i="22"/>
  <c r="D145" i="22"/>
  <c r="D146" i="22"/>
  <c r="D147" i="22"/>
  <c r="D148" i="22"/>
  <c r="D149" i="22"/>
  <c r="D150" i="22"/>
  <c r="D151" i="22"/>
  <c r="D152" i="22"/>
  <c r="D153" i="22"/>
  <c r="D154" i="22"/>
  <c r="D155" i="22"/>
  <c r="D156" i="22"/>
  <c r="D157" i="22"/>
  <c r="D158" i="22"/>
  <c r="D159" i="22"/>
  <c r="D160" i="22"/>
  <c r="D161" i="22"/>
  <c r="D162" i="22"/>
  <c r="D163" i="22"/>
  <c r="D164" i="22"/>
  <c r="D165" i="22"/>
  <c r="D166" i="22"/>
  <c r="D167" i="22"/>
  <c r="D168" i="22"/>
  <c r="D169" i="22"/>
  <c r="D170" i="22"/>
  <c r="D171" i="22"/>
  <c r="D172" i="22"/>
  <c r="D173" i="22"/>
  <c r="D174" i="22"/>
  <c r="D175" i="22"/>
  <c r="D176" i="22"/>
  <c r="D177" i="22"/>
  <c r="D178" i="22"/>
  <c r="D179" i="22"/>
  <c r="D180" i="22"/>
  <c r="D181" i="22"/>
  <c r="D182" i="22"/>
  <c r="D184" i="22"/>
  <c r="D185" i="22"/>
  <c r="D186" i="22"/>
  <c r="D187" i="22"/>
  <c r="D188" i="22"/>
  <c r="D190" i="22"/>
  <c r="D191" i="22"/>
  <c r="D192" i="22"/>
  <c r="D193" i="22"/>
  <c r="D194" i="22"/>
  <c r="D196" i="22"/>
  <c r="D197" i="22"/>
  <c r="D198" i="22"/>
  <c r="D199" i="22"/>
  <c r="D200" i="22"/>
  <c r="D201" i="22"/>
  <c r="D202" i="22"/>
  <c r="D203" i="22"/>
  <c r="D204" i="22"/>
  <c r="D205" i="22"/>
  <c r="D206" i="22"/>
  <c r="D207" i="22"/>
  <c r="D208" i="22"/>
  <c r="D209" i="22"/>
  <c r="D210" i="22"/>
  <c r="D211" i="22"/>
  <c r="D212" i="22"/>
  <c r="D213" i="22"/>
  <c r="D214" i="22"/>
  <c r="D215" i="22"/>
  <c r="D217" i="22"/>
  <c r="D218" i="22"/>
  <c r="D219" i="22"/>
  <c r="D220" i="22"/>
  <c r="D221" i="22"/>
  <c r="D222" i="22"/>
  <c r="D223" i="22"/>
  <c r="D224" i="22"/>
  <c r="D225" i="22"/>
  <c r="D226" i="22"/>
  <c r="D227" i="22"/>
  <c r="D229" i="22"/>
  <c r="D230" i="22"/>
  <c r="D231" i="22"/>
  <c r="D232" i="22"/>
  <c r="D233" i="22"/>
  <c r="D234" i="22"/>
  <c r="D235" i="22"/>
  <c r="D236" i="22"/>
  <c r="D237" i="22"/>
  <c r="D238" i="22"/>
  <c r="D239" i="22"/>
  <c r="D240" i="22"/>
  <c r="D241" i="22"/>
  <c r="D242" i="22"/>
  <c r="D243" i="22"/>
  <c r="D244" i="22"/>
  <c r="D245" i="22"/>
  <c r="D246" i="22"/>
  <c r="D247" i="22"/>
  <c r="D248" i="22"/>
  <c r="D249" i="22"/>
  <c r="D250" i="22"/>
  <c r="D251" i="22"/>
  <c r="D252" i="22"/>
  <c r="D253" i="22"/>
  <c r="D254" i="22"/>
  <c r="D255" i="22"/>
  <c r="D256" i="22"/>
  <c r="D257" i="22"/>
  <c r="D258" i="22"/>
  <c r="D259" i="22"/>
  <c r="D260" i="22"/>
  <c r="D261" i="22"/>
  <c r="D262" i="22"/>
  <c r="D263" i="22"/>
  <c r="D264" i="22"/>
  <c r="D265" i="22"/>
  <c r="D266" i="22"/>
  <c r="D267" i="22"/>
  <c r="D268" i="22"/>
  <c r="D269" i="22"/>
  <c r="D270" i="22"/>
  <c r="D271" i="22"/>
  <c r="D272" i="22"/>
  <c r="D273" i="22"/>
  <c r="D274" i="22"/>
  <c r="D275" i="22"/>
  <c r="D276" i="22"/>
  <c r="D277" i="22"/>
  <c r="D278" i="22"/>
  <c r="D279" i="22"/>
  <c r="D280" i="22"/>
  <c r="D281" i="22"/>
  <c r="D282" i="22"/>
  <c r="D283" i="22"/>
  <c r="D284" i="22"/>
  <c r="D285" i="22"/>
  <c r="D286" i="22"/>
  <c r="D287" i="22"/>
  <c r="D288" i="22"/>
  <c r="D289" i="22"/>
  <c r="D290" i="22"/>
  <c r="D291" i="22"/>
  <c r="D292" i="22"/>
  <c r="D293" i="22"/>
  <c r="D3" i="22"/>
  <c r="B228" i="22"/>
  <c r="D228" i="22" s="1"/>
  <c r="B216" i="22"/>
  <c r="D216" i="22" s="1"/>
  <c r="B195" i="22"/>
  <c r="D195" i="22" s="1"/>
  <c r="B189" i="22"/>
  <c r="D189" i="22" s="1"/>
  <c r="B183" i="22"/>
  <c r="D183" i="22" s="1"/>
  <c r="B182" i="22"/>
  <c r="B152" i="22"/>
  <c r="B67" i="22"/>
  <c r="D67" i="22" s="1"/>
  <c r="B46" i="22"/>
  <c r="D46" i="22" s="1"/>
  <c r="B44" i="22"/>
  <c r="B21" i="22"/>
  <c r="D21" i="22" s="1"/>
  <c r="B17" i="22"/>
  <c r="B6" i="22"/>
  <c r="D6" i="22" s="1"/>
  <c r="B294" i="22" l="1"/>
  <c r="D294" i="22"/>
  <c r="D4" i="21"/>
  <c r="D5" i="21"/>
  <c r="D6" i="21"/>
  <c r="D7" i="21"/>
  <c r="D8" i="21"/>
  <c r="D9" i="21"/>
  <c r="D10" i="21"/>
  <c r="D11" i="21"/>
  <c r="D12" i="21"/>
  <c r="D13" i="21"/>
  <c r="D14" i="21"/>
  <c r="D15" i="21"/>
  <c r="D16" i="21"/>
  <c r="D17" i="21"/>
  <c r="D18" i="21"/>
  <c r="D19" i="21"/>
  <c r="D20" i="21"/>
  <c r="D21" i="21"/>
  <c r="D22" i="21"/>
  <c r="D23" i="21"/>
  <c r="D24" i="21"/>
  <c r="D25" i="21"/>
  <c r="D26" i="21"/>
  <c r="D27" i="21"/>
  <c r="D28" i="21"/>
  <c r="D29" i="21"/>
  <c r="D30" i="21"/>
  <c r="D31" i="21"/>
  <c r="D32" i="21"/>
  <c r="D33" i="21"/>
  <c r="D34" i="21"/>
  <c r="D35" i="21"/>
  <c r="D36" i="21"/>
  <c r="D37" i="21"/>
  <c r="D38" i="21"/>
  <c r="D39" i="21"/>
  <c r="D40" i="21"/>
  <c r="D41" i="21"/>
  <c r="D42" i="21"/>
  <c r="D43" i="21"/>
  <c r="D44" i="21"/>
  <c r="D45" i="21"/>
  <c r="D46" i="21"/>
  <c r="D47" i="21"/>
  <c r="D48" i="21"/>
  <c r="D49" i="21"/>
  <c r="D50" i="21"/>
  <c r="D51" i="21"/>
  <c r="D52" i="21"/>
  <c r="D53" i="21"/>
  <c r="D54" i="21"/>
  <c r="D55" i="21"/>
  <c r="D56" i="21"/>
  <c r="D57" i="21"/>
  <c r="D58" i="21"/>
  <c r="D59" i="21"/>
  <c r="D60" i="21"/>
  <c r="D61" i="21"/>
  <c r="D62" i="21"/>
  <c r="D63" i="21"/>
  <c r="D64" i="21"/>
  <c r="D65" i="21"/>
  <c r="D66" i="21"/>
  <c r="D67" i="21"/>
  <c r="D68" i="21"/>
  <c r="D69" i="21"/>
  <c r="D70" i="21"/>
  <c r="D71" i="21"/>
  <c r="D72" i="21"/>
  <c r="D73" i="21"/>
  <c r="D74" i="21"/>
  <c r="D75" i="21"/>
  <c r="D76" i="21"/>
  <c r="D77" i="21"/>
  <c r="D78" i="21"/>
  <c r="D79" i="21"/>
  <c r="D80" i="21"/>
  <c r="D81" i="21"/>
  <c r="D82" i="21"/>
  <c r="D83" i="21"/>
  <c r="D84" i="21"/>
  <c r="D85" i="21"/>
  <c r="D86" i="21"/>
  <c r="D87" i="21"/>
  <c r="D88" i="21"/>
  <c r="D89" i="21"/>
  <c r="D90" i="21"/>
  <c r="D91" i="21"/>
  <c r="D92" i="21"/>
  <c r="D93" i="21"/>
  <c r="D94" i="21"/>
  <c r="D95" i="21"/>
  <c r="D96" i="21"/>
  <c r="D97" i="21"/>
  <c r="D98" i="21"/>
  <c r="D99" i="21"/>
  <c r="D100" i="21"/>
  <c r="D101" i="21"/>
  <c r="D102" i="21"/>
  <c r="D103" i="21"/>
  <c r="D104" i="21"/>
  <c r="D105" i="21"/>
  <c r="D106" i="21"/>
  <c r="D107" i="21"/>
  <c r="D108" i="21"/>
  <c r="D109" i="21"/>
  <c r="D110" i="21"/>
  <c r="D111" i="21"/>
  <c r="D112" i="21"/>
  <c r="D113" i="21"/>
  <c r="D114" i="21"/>
  <c r="D115" i="21"/>
  <c r="D116" i="21"/>
  <c r="D117" i="21"/>
  <c r="D118" i="21"/>
  <c r="D119" i="21"/>
  <c r="D120" i="21"/>
  <c r="D121" i="21"/>
  <c r="D122" i="21"/>
  <c r="D123" i="21"/>
  <c r="D124" i="21"/>
  <c r="D125" i="21"/>
  <c r="D126" i="21"/>
  <c r="D127" i="21"/>
  <c r="D128" i="21"/>
  <c r="D129" i="21"/>
  <c r="D130" i="21"/>
  <c r="D131" i="21"/>
  <c r="D132" i="21"/>
  <c r="D133" i="21"/>
  <c r="D134" i="21"/>
  <c r="D135" i="21"/>
  <c r="D136" i="21"/>
  <c r="D137" i="21"/>
  <c r="D138" i="21"/>
  <c r="D139" i="21"/>
  <c r="D140" i="21"/>
  <c r="D141" i="21"/>
  <c r="D142" i="21"/>
  <c r="D143" i="21"/>
  <c r="D144" i="21"/>
  <c r="D145" i="21"/>
  <c r="D146" i="21"/>
  <c r="D147" i="21"/>
  <c r="D148" i="21"/>
  <c r="D149" i="21"/>
  <c r="D150" i="21"/>
  <c r="D151" i="21"/>
  <c r="D152" i="21"/>
  <c r="D153" i="21"/>
  <c r="D154" i="21"/>
  <c r="D155" i="21"/>
  <c r="D156" i="21"/>
  <c r="D157" i="21"/>
  <c r="D158" i="21"/>
  <c r="D159" i="21"/>
  <c r="D160" i="21"/>
  <c r="D161" i="21"/>
  <c r="D162" i="21"/>
  <c r="D163" i="21"/>
  <c r="D164" i="21"/>
  <c r="D165" i="21"/>
  <c r="D166" i="21"/>
  <c r="D167" i="21"/>
  <c r="D168" i="21"/>
  <c r="D169" i="21"/>
  <c r="D170" i="21"/>
  <c r="D171" i="21"/>
  <c r="D172" i="21"/>
  <c r="D173" i="21"/>
  <c r="D174" i="21"/>
  <c r="D175" i="21"/>
  <c r="D176" i="21"/>
  <c r="D177" i="21"/>
  <c r="D178" i="21"/>
  <c r="D179" i="21"/>
  <c r="D180" i="21"/>
  <c r="D181" i="21"/>
  <c r="D182" i="21"/>
  <c r="D183" i="21"/>
  <c r="D184" i="21"/>
  <c r="D185" i="21"/>
  <c r="D186" i="21"/>
  <c r="D187" i="21"/>
  <c r="D188" i="21"/>
  <c r="D189" i="21"/>
  <c r="D190" i="21"/>
  <c r="D191" i="21"/>
  <c r="D192" i="21"/>
  <c r="D193" i="21"/>
  <c r="D194" i="21"/>
  <c r="D195" i="21"/>
  <c r="D196" i="21"/>
  <c r="D197" i="21"/>
  <c r="D198" i="21"/>
  <c r="D199" i="21"/>
  <c r="D200" i="21"/>
  <c r="D201" i="21"/>
  <c r="D202" i="21"/>
  <c r="D203" i="21"/>
  <c r="D204" i="21"/>
  <c r="D205" i="21"/>
  <c r="D206" i="21"/>
  <c r="D207" i="21"/>
  <c r="D208" i="21"/>
  <c r="D209" i="21"/>
  <c r="D210" i="21"/>
  <c r="D211" i="21"/>
  <c r="D212" i="21"/>
  <c r="D213" i="21"/>
  <c r="D214" i="21"/>
  <c r="D215" i="21"/>
  <c r="D216" i="21"/>
  <c r="D217" i="21"/>
  <c r="D218" i="21"/>
  <c r="D219" i="21"/>
  <c r="D220" i="21"/>
  <c r="D221" i="21"/>
  <c r="D222" i="21"/>
  <c r="D223" i="21"/>
  <c r="D224" i="21"/>
  <c r="D225" i="21"/>
  <c r="D226" i="21"/>
  <c r="D227" i="21"/>
  <c r="D228" i="21"/>
  <c r="D229" i="21"/>
  <c r="D230" i="21"/>
  <c r="D231" i="21"/>
  <c r="D232" i="21"/>
  <c r="D233" i="21"/>
  <c r="D234" i="21"/>
  <c r="D235" i="21"/>
  <c r="D236" i="21"/>
  <c r="D237" i="21"/>
  <c r="D238" i="21"/>
  <c r="D239" i="21"/>
  <c r="D240" i="21"/>
  <c r="D241" i="21"/>
  <c r="D242" i="21"/>
  <c r="D243" i="21"/>
  <c r="D244" i="21"/>
  <c r="D245" i="21"/>
  <c r="D246" i="21"/>
  <c r="D247" i="21"/>
  <c r="D248" i="21"/>
  <c r="D249" i="21"/>
  <c r="D250" i="21"/>
  <c r="D251" i="21"/>
  <c r="D252" i="21"/>
  <c r="D253" i="21"/>
  <c r="D254" i="21"/>
  <c r="D255" i="21"/>
  <c r="D256" i="21"/>
  <c r="D257" i="21"/>
  <c r="D258" i="21"/>
  <c r="D259" i="21"/>
  <c r="D260" i="21"/>
  <c r="D261" i="21"/>
  <c r="D262" i="21"/>
  <c r="D263" i="21"/>
  <c r="D264" i="21"/>
  <c r="D265" i="21"/>
  <c r="D266" i="21"/>
  <c r="D267" i="21"/>
  <c r="D268" i="21"/>
  <c r="D269" i="21"/>
  <c r="D270" i="21"/>
  <c r="D271" i="21"/>
  <c r="D272" i="21"/>
  <c r="D273" i="21"/>
  <c r="D274" i="21"/>
  <c r="D275" i="21"/>
  <c r="D276" i="21"/>
  <c r="D277" i="21"/>
  <c r="D278" i="21"/>
  <c r="D279" i="21"/>
  <c r="D280" i="21"/>
  <c r="D281" i="21"/>
  <c r="D282" i="21"/>
  <c r="D283" i="21"/>
  <c r="D284" i="21"/>
  <c r="D285" i="21"/>
  <c r="D286" i="21"/>
  <c r="D287" i="21"/>
  <c r="D288" i="21"/>
  <c r="D289" i="21"/>
  <c r="D290" i="21"/>
  <c r="D291" i="21"/>
  <c r="D292" i="21"/>
  <c r="D293" i="21"/>
  <c r="D3" i="21"/>
  <c r="B228" i="21"/>
  <c r="B224" i="21"/>
  <c r="B216" i="21"/>
  <c r="B197" i="21"/>
  <c r="B195" i="21"/>
  <c r="B193" i="21"/>
  <c r="B182" i="21"/>
  <c r="B179" i="21"/>
  <c r="B174" i="21"/>
  <c r="B171" i="21"/>
  <c r="B170" i="21"/>
  <c r="B168" i="21"/>
  <c r="B144" i="21"/>
  <c r="B122" i="21"/>
  <c r="B76" i="21"/>
  <c r="B75" i="21"/>
  <c r="B69" i="21"/>
  <c r="B67" i="21"/>
  <c r="B53" i="21"/>
  <c r="B44" i="21"/>
  <c r="B42" i="21"/>
  <c r="B21" i="21"/>
  <c r="B17" i="21"/>
  <c r="B294" i="21" s="1"/>
  <c r="D4" i="20"/>
  <c r="D5" i="20"/>
  <c r="D6" i="20"/>
  <c r="D7" i="20"/>
  <c r="D8" i="20"/>
  <c r="D9" i="20"/>
  <c r="D10" i="20"/>
  <c r="D11" i="20"/>
  <c r="D12" i="20"/>
  <c r="D13" i="20"/>
  <c r="D14" i="20"/>
  <c r="D15" i="20"/>
  <c r="D16" i="20"/>
  <c r="D18" i="20"/>
  <c r="D19" i="20"/>
  <c r="D20" i="20"/>
  <c r="D21" i="20"/>
  <c r="D22" i="20"/>
  <c r="D23" i="20"/>
  <c r="D24" i="20"/>
  <c r="D25" i="20"/>
  <c r="D26" i="20"/>
  <c r="D27" i="20"/>
  <c r="D28" i="20"/>
  <c r="D29" i="20"/>
  <c r="D30" i="20"/>
  <c r="D31" i="20"/>
  <c r="D32" i="20"/>
  <c r="D33" i="20"/>
  <c r="D34" i="20"/>
  <c r="D35" i="20"/>
  <c r="D36" i="20"/>
  <c r="D37" i="20"/>
  <c r="D38" i="20"/>
  <c r="D39" i="20"/>
  <c r="D40" i="20"/>
  <c r="D41" i="20"/>
  <c r="D42" i="20"/>
  <c r="D43" i="20"/>
  <c r="D44" i="20"/>
  <c r="D45" i="20"/>
  <c r="D46" i="20"/>
  <c r="D47" i="20"/>
  <c r="D48" i="20"/>
  <c r="D49" i="20"/>
  <c r="D50" i="20"/>
  <c r="D51" i="20"/>
  <c r="D52" i="20"/>
  <c r="D54" i="20"/>
  <c r="D55" i="20"/>
  <c r="D56" i="20"/>
  <c r="D57" i="20"/>
  <c r="D58" i="20"/>
  <c r="D59" i="20"/>
  <c r="D60" i="20"/>
  <c r="D61" i="20"/>
  <c r="D62" i="20"/>
  <c r="D63" i="20"/>
  <c r="D64" i="20"/>
  <c r="D65" i="20"/>
  <c r="D66" i="20"/>
  <c r="D67" i="20"/>
  <c r="D68" i="20"/>
  <c r="D69" i="20"/>
  <c r="D70" i="20"/>
  <c r="D71" i="20"/>
  <c r="D72" i="20"/>
  <c r="D73" i="20"/>
  <c r="D74" i="20"/>
  <c r="D75" i="20"/>
  <c r="D76" i="20"/>
  <c r="D77" i="20"/>
  <c r="D78" i="20"/>
  <c r="D79" i="20"/>
  <c r="D80" i="20"/>
  <c r="D81" i="20"/>
  <c r="D82" i="20"/>
  <c r="D83" i="20"/>
  <c r="D84" i="20"/>
  <c r="D85" i="20"/>
  <c r="D86" i="20"/>
  <c r="D87" i="20"/>
  <c r="D88" i="20"/>
  <c r="D89" i="20"/>
  <c r="D90" i="20"/>
  <c r="D91" i="20"/>
  <c r="D92" i="20"/>
  <c r="D93" i="20"/>
  <c r="D94" i="20"/>
  <c r="D95" i="20"/>
  <c r="D96" i="20"/>
  <c r="D97" i="20"/>
  <c r="D98" i="20"/>
  <c r="D99" i="20"/>
  <c r="D100" i="20"/>
  <c r="D101" i="20"/>
  <c r="D102" i="20"/>
  <c r="D103" i="20"/>
  <c r="D104" i="20"/>
  <c r="D105" i="20"/>
  <c r="D106" i="20"/>
  <c r="D107" i="20"/>
  <c r="D108" i="20"/>
  <c r="D109" i="20"/>
  <c r="D110" i="20"/>
  <c r="D111" i="20"/>
  <c r="D112" i="20"/>
  <c r="D113" i="20"/>
  <c r="D114" i="20"/>
  <c r="D115" i="20"/>
  <c r="D116" i="20"/>
  <c r="D117" i="20"/>
  <c r="D118" i="20"/>
  <c r="D119" i="20"/>
  <c r="D120" i="20"/>
  <c r="D121" i="20"/>
  <c r="D122" i="20"/>
  <c r="D123" i="20"/>
  <c r="D124" i="20"/>
  <c r="D125" i="20"/>
  <c r="D126" i="20"/>
  <c r="D127" i="20"/>
  <c r="D128" i="20"/>
  <c r="D129" i="20"/>
  <c r="D130" i="20"/>
  <c r="D131" i="20"/>
  <c r="D132" i="20"/>
  <c r="D133" i="20"/>
  <c r="D134" i="20"/>
  <c r="D135" i="20"/>
  <c r="D136" i="20"/>
  <c r="D137" i="20"/>
  <c r="D138" i="20"/>
  <c r="D139" i="20"/>
  <c r="D140" i="20"/>
  <c r="D141" i="20"/>
  <c r="D142" i="20"/>
  <c r="D143" i="20"/>
  <c r="D144" i="20"/>
  <c r="D145" i="20"/>
  <c r="D146" i="20"/>
  <c r="D147" i="20"/>
  <c r="D148" i="20"/>
  <c r="D149" i="20"/>
  <c r="D150" i="20"/>
  <c r="D151" i="20"/>
  <c r="D153" i="20"/>
  <c r="D154" i="20"/>
  <c r="D155" i="20"/>
  <c r="D156" i="20"/>
  <c r="D157" i="20"/>
  <c r="D158" i="20"/>
  <c r="D159" i="20"/>
  <c r="D160" i="20"/>
  <c r="D161" i="20"/>
  <c r="D162" i="20"/>
  <c r="D163" i="20"/>
  <c r="D164" i="20"/>
  <c r="D165" i="20"/>
  <c r="D166" i="20"/>
  <c r="D167" i="20"/>
  <c r="D168" i="20"/>
  <c r="D169" i="20"/>
  <c r="D171" i="20"/>
  <c r="D172" i="20"/>
  <c r="D173" i="20"/>
  <c r="D174" i="20"/>
  <c r="D175" i="20"/>
  <c r="D176" i="20"/>
  <c r="D177" i="20"/>
  <c r="D178" i="20"/>
  <c r="D180" i="20"/>
  <c r="D181" i="20"/>
  <c r="D183" i="20"/>
  <c r="D184" i="20"/>
  <c r="D185" i="20"/>
  <c r="D186" i="20"/>
  <c r="D187" i="20"/>
  <c r="D188" i="20"/>
  <c r="D189" i="20"/>
  <c r="D190" i="20"/>
  <c r="D191" i="20"/>
  <c r="D192" i="20"/>
  <c r="D193" i="20"/>
  <c r="D194" i="20"/>
  <c r="D195" i="20"/>
  <c r="D196" i="20"/>
  <c r="D197" i="20"/>
  <c r="D198" i="20"/>
  <c r="D199" i="20"/>
  <c r="D200" i="20"/>
  <c r="D201" i="20"/>
  <c r="D202" i="20"/>
  <c r="D203" i="20"/>
  <c r="D204" i="20"/>
  <c r="D205" i="20"/>
  <c r="D206" i="20"/>
  <c r="D207" i="20"/>
  <c r="D208" i="20"/>
  <c r="D209" i="20"/>
  <c r="D210" i="20"/>
  <c r="D211" i="20"/>
  <c r="D212" i="20"/>
  <c r="D213" i="20"/>
  <c r="D214" i="20"/>
  <c r="D215" i="20"/>
  <c r="D216" i="20"/>
  <c r="D217" i="20"/>
  <c r="D218" i="20"/>
  <c r="D219" i="20"/>
  <c r="D220" i="20"/>
  <c r="D221" i="20"/>
  <c r="D222" i="20"/>
  <c r="D223" i="20"/>
  <c r="D224" i="20"/>
  <c r="D225" i="20"/>
  <c r="D226" i="20"/>
  <c r="D227" i="20"/>
  <c r="D228" i="20"/>
  <c r="D229" i="20"/>
  <c r="D230" i="20"/>
  <c r="D231" i="20"/>
  <c r="D232" i="20"/>
  <c r="D233" i="20"/>
  <c r="D234" i="20"/>
  <c r="D235" i="20"/>
  <c r="D236" i="20"/>
  <c r="D237" i="20"/>
  <c r="D238" i="20"/>
  <c r="D239" i="20"/>
  <c r="D240" i="20"/>
  <c r="D241" i="20"/>
  <c r="D242" i="20"/>
  <c r="D243" i="20"/>
  <c r="D244" i="20"/>
  <c r="D245" i="20"/>
  <c r="D246" i="20"/>
  <c r="D247" i="20"/>
  <c r="D248" i="20"/>
  <c r="D249" i="20"/>
  <c r="D250" i="20"/>
  <c r="D251" i="20"/>
  <c r="D252" i="20"/>
  <c r="D253" i="20"/>
  <c r="D254" i="20"/>
  <c r="D255" i="20"/>
  <c r="D256" i="20"/>
  <c r="D257" i="20"/>
  <c r="D258" i="20"/>
  <c r="D259" i="20"/>
  <c r="D260" i="20"/>
  <c r="D261" i="20"/>
  <c r="D262" i="20"/>
  <c r="D263" i="20"/>
  <c r="D264" i="20"/>
  <c r="D265" i="20"/>
  <c r="D266" i="20"/>
  <c r="D267" i="20"/>
  <c r="D268" i="20"/>
  <c r="D269" i="20"/>
  <c r="D270" i="20"/>
  <c r="D271" i="20"/>
  <c r="D272" i="20"/>
  <c r="D273" i="20"/>
  <c r="D274" i="20"/>
  <c r="D275" i="20"/>
  <c r="D276" i="20"/>
  <c r="D277" i="20"/>
  <c r="D278" i="20"/>
  <c r="D279" i="20"/>
  <c r="D280" i="20"/>
  <c r="D281" i="20"/>
  <c r="D282" i="20"/>
  <c r="D283" i="20"/>
  <c r="D284" i="20"/>
  <c r="D285" i="20"/>
  <c r="D286" i="20"/>
  <c r="D287" i="20"/>
  <c r="D288" i="20"/>
  <c r="D289" i="20"/>
  <c r="D290" i="20"/>
  <c r="D291" i="20"/>
  <c r="D292" i="20"/>
  <c r="D293" i="20"/>
  <c r="D3" i="20"/>
  <c r="B195" i="20"/>
  <c r="B182" i="20"/>
  <c r="D182" i="20" s="1"/>
  <c r="B179" i="20"/>
  <c r="D179" i="20" s="1"/>
  <c r="B170" i="20"/>
  <c r="D170" i="20" s="1"/>
  <c r="B168" i="20"/>
  <c r="B152" i="20"/>
  <c r="D152" i="20" s="1"/>
  <c r="B53" i="20"/>
  <c r="D53" i="20" s="1"/>
  <c r="B21" i="20"/>
  <c r="B17" i="20"/>
  <c r="B294" i="20" s="1"/>
  <c r="D294" i="21" l="1"/>
  <c r="D17" i="20"/>
  <c r="D294" i="20" s="1"/>
  <c r="D4" i="19"/>
  <c r="D5" i="19"/>
  <c r="D6" i="19"/>
  <c r="D7" i="19"/>
  <c r="D8" i="19"/>
  <c r="D9" i="19"/>
  <c r="D10" i="19"/>
  <c r="D11" i="19"/>
  <c r="D12" i="19"/>
  <c r="D13" i="19"/>
  <c r="D14" i="19"/>
  <c r="D15" i="19"/>
  <c r="D16" i="19"/>
  <c r="D17" i="19"/>
  <c r="D18" i="19"/>
  <c r="D19" i="19"/>
  <c r="D20" i="19"/>
  <c r="D21" i="19"/>
  <c r="D22" i="19"/>
  <c r="D23" i="19"/>
  <c r="D24" i="19"/>
  <c r="D25" i="19"/>
  <c r="D26" i="19"/>
  <c r="D27" i="19"/>
  <c r="D28" i="19"/>
  <c r="D29" i="19"/>
  <c r="D30" i="19"/>
  <c r="D31" i="19"/>
  <c r="D32" i="19"/>
  <c r="D33" i="19"/>
  <c r="D34" i="19"/>
  <c r="D35" i="19"/>
  <c r="D36" i="19"/>
  <c r="D37" i="19"/>
  <c r="D38" i="19"/>
  <c r="D39" i="19"/>
  <c r="D40" i="19"/>
  <c r="D41" i="19"/>
  <c r="D42" i="19"/>
  <c r="D43" i="19"/>
  <c r="D44" i="19"/>
  <c r="D45" i="19"/>
  <c r="D46" i="19"/>
  <c r="D47" i="19"/>
  <c r="D48" i="19"/>
  <c r="D49" i="19"/>
  <c r="D50" i="19"/>
  <c r="D51" i="19"/>
  <c r="D52" i="19"/>
  <c r="D53" i="19"/>
  <c r="D54" i="19"/>
  <c r="D55" i="19"/>
  <c r="D56" i="19"/>
  <c r="D57" i="19"/>
  <c r="D58" i="19"/>
  <c r="D59" i="19"/>
  <c r="D60" i="19"/>
  <c r="D61" i="19"/>
  <c r="D62" i="19"/>
  <c r="D63" i="19"/>
  <c r="D64" i="19"/>
  <c r="D65" i="19"/>
  <c r="D66" i="19"/>
  <c r="D67" i="19"/>
  <c r="D68" i="19"/>
  <c r="D69" i="19"/>
  <c r="D70" i="19"/>
  <c r="D71" i="19"/>
  <c r="D72" i="19"/>
  <c r="D73" i="19"/>
  <c r="D74" i="19"/>
  <c r="D75" i="19"/>
  <c r="D76" i="19"/>
  <c r="D77" i="19"/>
  <c r="D78" i="19"/>
  <c r="D79" i="19"/>
  <c r="D80" i="19"/>
  <c r="D81" i="19"/>
  <c r="D82" i="19"/>
  <c r="D83" i="19"/>
  <c r="D84" i="19"/>
  <c r="D85" i="19"/>
  <c r="D86" i="19"/>
  <c r="D87" i="19"/>
  <c r="D88" i="19"/>
  <c r="D89" i="19"/>
  <c r="D90" i="19"/>
  <c r="D91" i="19"/>
  <c r="D92" i="19"/>
  <c r="D93" i="19"/>
  <c r="D94" i="19"/>
  <c r="D95" i="19"/>
  <c r="D96" i="19"/>
  <c r="D97" i="19"/>
  <c r="D98" i="19"/>
  <c r="D99" i="19"/>
  <c r="D100" i="19"/>
  <c r="D101" i="19"/>
  <c r="D102" i="19"/>
  <c r="D103" i="19"/>
  <c r="D104" i="19"/>
  <c r="D105" i="19"/>
  <c r="D106" i="19"/>
  <c r="D107" i="19"/>
  <c r="D108" i="19"/>
  <c r="D109" i="19"/>
  <c r="D110" i="19"/>
  <c r="D111" i="19"/>
  <c r="D112" i="19"/>
  <c r="D113" i="19"/>
  <c r="D114" i="19"/>
  <c r="D115" i="19"/>
  <c r="D116" i="19"/>
  <c r="D117" i="19"/>
  <c r="D118" i="19"/>
  <c r="D119" i="19"/>
  <c r="D120" i="19"/>
  <c r="D121" i="19"/>
  <c r="D122" i="19"/>
  <c r="D123" i="19"/>
  <c r="D124" i="19"/>
  <c r="D125" i="19"/>
  <c r="D126" i="19"/>
  <c r="D127" i="19"/>
  <c r="D128" i="19"/>
  <c r="D129" i="19"/>
  <c r="D130" i="19"/>
  <c r="D131" i="19"/>
  <c r="D132" i="19"/>
  <c r="D133" i="19"/>
  <c r="D134" i="19"/>
  <c r="D135" i="19"/>
  <c r="D136" i="19"/>
  <c r="D137" i="19"/>
  <c r="D138" i="19"/>
  <c r="D139" i="19"/>
  <c r="D140" i="19"/>
  <c r="D141" i="19"/>
  <c r="D142" i="19"/>
  <c r="D143" i="19"/>
  <c r="D144" i="19"/>
  <c r="D145" i="19"/>
  <c r="D146" i="19"/>
  <c r="D147" i="19"/>
  <c r="D148" i="19"/>
  <c r="D149" i="19"/>
  <c r="D150" i="19"/>
  <c r="D151" i="19"/>
  <c r="D152" i="19"/>
  <c r="D153" i="19"/>
  <c r="D154" i="19"/>
  <c r="D155" i="19"/>
  <c r="D156" i="19"/>
  <c r="D157" i="19"/>
  <c r="D158" i="19"/>
  <c r="D159" i="19"/>
  <c r="D160" i="19"/>
  <c r="D161" i="19"/>
  <c r="D162" i="19"/>
  <c r="D163" i="19"/>
  <c r="D164" i="19"/>
  <c r="D165" i="19"/>
  <c r="D166" i="19"/>
  <c r="D167" i="19"/>
  <c r="D168" i="19"/>
  <c r="D169" i="19"/>
  <c r="D170" i="19"/>
  <c r="D171" i="19"/>
  <c r="D172" i="19"/>
  <c r="D173" i="19"/>
  <c r="D174" i="19"/>
  <c r="D175" i="19"/>
  <c r="D176" i="19"/>
  <c r="D177" i="19"/>
  <c r="D178" i="19"/>
  <c r="D179" i="19"/>
  <c r="D180" i="19"/>
  <c r="D181" i="19"/>
  <c r="D182" i="19"/>
  <c r="D183" i="19"/>
  <c r="D184" i="19"/>
  <c r="D185" i="19"/>
  <c r="D186" i="19"/>
  <c r="D187" i="19"/>
  <c r="D188" i="19"/>
  <c r="D189" i="19"/>
  <c r="D190" i="19"/>
  <c r="D191" i="19"/>
  <c r="D192" i="19"/>
  <c r="D193" i="19"/>
  <c r="D194" i="19"/>
  <c r="D195" i="19"/>
  <c r="D196" i="19"/>
  <c r="D197" i="19"/>
  <c r="D198" i="19"/>
  <c r="D199" i="19"/>
  <c r="D200" i="19"/>
  <c r="D201" i="19"/>
  <c r="D202" i="19"/>
  <c r="D203" i="19"/>
  <c r="D204" i="19"/>
  <c r="D205" i="19"/>
  <c r="D206" i="19"/>
  <c r="D207" i="19"/>
  <c r="D208" i="19"/>
  <c r="D209" i="19"/>
  <c r="D210" i="19"/>
  <c r="D211" i="19"/>
  <c r="D212" i="19"/>
  <c r="D213" i="19"/>
  <c r="D214" i="19"/>
  <c r="D215" i="19"/>
  <c r="D216" i="19"/>
  <c r="D217" i="19"/>
  <c r="D218" i="19"/>
  <c r="D219" i="19"/>
  <c r="D220" i="19"/>
  <c r="D221" i="19"/>
  <c r="D222" i="19"/>
  <c r="D223" i="19"/>
  <c r="D224" i="19"/>
  <c r="D225" i="19"/>
  <c r="D226" i="19"/>
  <c r="D227" i="19"/>
  <c r="D228" i="19"/>
  <c r="D229" i="19"/>
  <c r="D230" i="19"/>
  <c r="D231" i="19"/>
  <c r="D232" i="19"/>
  <c r="D233" i="19"/>
  <c r="D234" i="19"/>
  <c r="D235" i="19"/>
  <c r="D236" i="19"/>
  <c r="D237" i="19"/>
  <c r="D238" i="19"/>
  <c r="D239" i="19"/>
  <c r="D240" i="19"/>
  <c r="D241" i="19"/>
  <c r="D242" i="19"/>
  <c r="D243" i="19"/>
  <c r="D244" i="19"/>
  <c r="D245" i="19"/>
  <c r="D246" i="19"/>
  <c r="D247" i="19"/>
  <c r="D248" i="19"/>
  <c r="D249" i="19"/>
  <c r="D250" i="19"/>
  <c r="D251" i="19"/>
  <c r="D252" i="19"/>
  <c r="D253" i="19"/>
  <c r="D254" i="19"/>
  <c r="D255" i="19"/>
  <c r="D256" i="19"/>
  <c r="D257" i="19"/>
  <c r="D258" i="19"/>
  <c r="D259" i="19"/>
  <c r="D260" i="19"/>
  <c r="D261" i="19"/>
  <c r="D262" i="19"/>
  <c r="D263" i="19"/>
  <c r="D264" i="19"/>
  <c r="D265" i="19"/>
  <c r="D266" i="19"/>
  <c r="D267" i="19"/>
  <c r="D268" i="19"/>
  <c r="D269" i="19"/>
  <c r="D270" i="19"/>
  <c r="D271" i="19"/>
  <c r="D272" i="19"/>
  <c r="D273" i="19"/>
  <c r="D274" i="19"/>
  <c r="D275" i="19"/>
  <c r="D276" i="19"/>
  <c r="D277" i="19"/>
  <c r="D278" i="19"/>
  <c r="D279" i="19"/>
  <c r="D280" i="19"/>
  <c r="D281" i="19"/>
  <c r="D282" i="19"/>
  <c r="D283" i="19"/>
  <c r="D284" i="19"/>
  <c r="D285" i="19"/>
  <c r="D286" i="19"/>
  <c r="D287" i="19"/>
  <c r="D288" i="19"/>
  <c r="D289" i="19"/>
  <c r="D290" i="19"/>
  <c r="D291" i="19"/>
  <c r="D292" i="19"/>
  <c r="D293" i="19"/>
  <c r="D3" i="19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40" i="18"/>
  <c r="D41" i="18"/>
  <c r="D42" i="18"/>
  <c r="D43" i="18"/>
  <c r="D44" i="18"/>
  <c r="D45" i="18"/>
  <c r="D46" i="18"/>
  <c r="D47" i="18"/>
  <c r="D48" i="18"/>
  <c r="D49" i="18"/>
  <c r="D50" i="18"/>
  <c r="D51" i="18"/>
  <c r="D52" i="18"/>
  <c r="D53" i="18"/>
  <c r="D54" i="18"/>
  <c r="D55" i="18"/>
  <c r="D56" i="18"/>
  <c r="D57" i="18"/>
  <c r="D58" i="18"/>
  <c r="D59" i="18"/>
  <c r="D60" i="18"/>
  <c r="D61" i="18"/>
  <c r="D62" i="18"/>
  <c r="D63" i="18"/>
  <c r="D64" i="18"/>
  <c r="D65" i="18"/>
  <c r="D66" i="18"/>
  <c r="D67" i="18"/>
  <c r="D68" i="18"/>
  <c r="D69" i="18"/>
  <c r="D70" i="18"/>
  <c r="D71" i="18"/>
  <c r="D72" i="18"/>
  <c r="D73" i="18"/>
  <c r="D74" i="18"/>
  <c r="D75" i="18"/>
  <c r="D76" i="18"/>
  <c r="D77" i="18"/>
  <c r="D78" i="18"/>
  <c r="D79" i="18"/>
  <c r="D80" i="18"/>
  <c r="D81" i="18"/>
  <c r="D82" i="18"/>
  <c r="D83" i="18"/>
  <c r="D84" i="18"/>
  <c r="D85" i="18"/>
  <c r="D86" i="18"/>
  <c r="D87" i="18"/>
  <c r="D88" i="18"/>
  <c r="D89" i="18"/>
  <c r="D90" i="18"/>
  <c r="D91" i="18"/>
  <c r="D92" i="18"/>
  <c r="D93" i="18"/>
  <c r="D94" i="18"/>
  <c r="D95" i="18"/>
  <c r="D96" i="18"/>
  <c r="D97" i="18"/>
  <c r="D98" i="18"/>
  <c r="D99" i="18"/>
  <c r="D100" i="18"/>
  <c r="D101" i="18"/>
  <c r="D102" i="18"/>
  <c r="D103" i="18"/>
  <c r="D104" i="18"/>
  <c r="D105" i="18"/>
  <c r="D106" i="18"/>
  <c r="D107" i="18"/>
  <c r="D108" i="18"/>
  <c r="D109" i="18"/>
  <c r="D110" i="18"/>
  <c r="D111" i="18"/>
  <c r="D112" i="18"/>
  <c r="D113" i="18"/>
  <c r="D114" i="18"/>
  <c r="D115" i="18"/>
  <c r="D116" i="18"/>
  <c r="D117" i="18"/>
  <c r="D118" i="18"/>
  <c r="D119" i="18"/>
  <c r="D120" i="18"/>
  <c r="D121" i="18"/>
  <c r="D122" i="18"/>
  <c r="D123" i="18"/>
  <c r="D124" i="18"/>
  <c r="D125" i="18"/>
  <c r="D126" i="18"/>
  <c r="D127" i="18"/>
  <c r="D128" i="18"/>
  <c r="D129" i="18"/>
  <c r="D130" i="18"/>
  <c r="D131" i="18"/>
  <c r="D132" i="18"/>
  <c r="D133" i="18"/>
  <c r="D134" i="18"/>
  <c r="D135" i="18"/>
  <c r="D136" i="18"/>
  <c r="D137" i="18"/>
  <c r="D138" i="18"/>
  <c r="D139" i="18"/>
  <c r="D140" i="18"/>
  <c r="D141" i="18"/>
  <c r="D142" i="18"/>
  <c r="D143" i="18"/>
  <c r="D144" i="18"/>
  <c r="D145" i="18"/>
  <c r="D146" i="18"/>
  <c r="D147" i="18"/>
  <c r="D148" i="18"/>
  <c r="D149" i="18"/>
  <c r="D150" i="18"/>
  <c r="D151" i="18"/>
  <c r="D152" i="18"/>
  <c r="D153" i="18"/>
  <c r="D154" i="18"/>
  <c r="D155" i="18"/>
  <c r="D156" i="18"/>
  <c r="D157" i="18"/>
  <c r="D158" i="18"/>
  <c r="D159" i="18"/>
  <c r="D160" i="18"/>
  <c r="D161" i="18"/>
  <c r="D162" i="18"/>
  <c r="D163" i="18"/>
  <c r="D164" i="18"/>
  <c r="D165" i="18"/>
  <c r="D166" i="18"/>
  <c r="D167" i="18"/>
  <c r="D168" i="18"/>
  <c r="D169" i="18"/>
  <c r="D170" i="18"/>
  <c r="D171" i="18"/>
  <c r="D172" i="18"/>
  <c r="D173" i="18"/>
  <c r="D174" i="18"/>
  <c r="D175" i="18"/>
  <c r="D176" i="18"/>
  <c r="D177" i="18"/>
  <c r="D178" i="18"/>
  <c r="D179" i="18"/>
  <c r="D180" i="18"/>
  <c r="D181" i="18"/>
  <c r="D182" i="18"/>
  <c r="D183" i="18"/>
  <c r="D184" i="18"/>
  <c r="D185" i="18"/>
  <c r="D186" i="18"/>
  <c r="D187" i="18"/>
  <c r="D188" i="18"/>
  <c r="D189" i="18"/>
  <c r="D190" i="18"/>
  <c r="D191" i="18"/>
  <c r="D192" i="18"/>
  <c r="D193" i="18"/>
  <c r="D194" i="18"/>
  <c r="D195" i="18"/>
  <c r="D196" i="18"/>
  <c r="D197" i="18"/>
  <c r="D198" i="18"/>
  <c r="D199" i="18"/>
  <c r="D200" i="18"/>
  <c r="D201" i="18"/>
  <c r="D202" i="18"/>
  <c r="D203" i="18"/>
  <c r="D204" i="18"/>
  <c r="D205" i="18"/>
  <c r="D206" i="18"/>
  <c r="D207" i="18"/>
  <c r="D208" i="18"/>
  <c r="D209" i="18"/>
  <c r="D210" i="18"/>
  <c r="D211" i="18"/>
  <c r="D212" i="18"/>
  <c r="D213" i="18"/>
  <c r="D214" i="18"/>
  <c r="D215" i="18"/>
  <c r="D216" i="18"/>
  <c r="D217" i="18"/>
  <c r="D218" i="18"/>
  <c r="D219" i="18"/>
  <c r="D220" i="18"/>
  <c r="D221" i="18"/>
  <c r="D222" i="18"/>
  <c r="D223" i="18"/>
  <c r="D224" i="18"/>
  <c r="D225" i="18"/>
  <c r="D226" i="18"/>
  <c r="D227" i="18"/>
  <c r="D228" i="18"/>
  <c r="D229" i="18"/>
  <c r="D230" i="18"/>
  <c r="D231" i="18"/>
  <c r="D232" i="18"/>
  <c r="D233" i="18"/>
  <c r="D234" i="18"/>
  <c r="D235" i="18"/>
  <c r="D236" i="18"/>
  <c r="D237" i="18"/>
  <c r="D238" i="18"/>
  <c r="D239" i="18"/>
  <c r="D240" i="18"/>
  <c r="D241" i="18"/>
  <c r="D242" i="18"/>
  <c r="D243" i="18"/>
  <c r="D244" i="18"/>
  <c r="D245" i="18"/>
  <c r="D246" i="18"/>
  <c r="D247" i="18"/>
  <c r="D248" i="18"/>
  <c r="D249" i="18"/>
  <c r="D250" i="18"/>
  <c r="D251" i="18"/>
  <c r="D252" i="18"/>
  <c r="D253" i="18"/>
  <c r="D254" i="18"/>
  <c r="D255" i="18"/>
  <c r="D256" i="18"/>
  <c r="D257" i="18"/>
  <c r="D258" i="18"/>
  <c r="D259" i="18"/>
  <c r="D260" i="18"/>
  <c r="D261" i="18"/>
  <c r="D262" i="18"/>
  <c r="D263" i="18"/>
  <c r="D264" i="18"/>
  <c r="D265" i="18"/>
  <c r="D266" i="18"/>
  <c r="D267" i="18"/>
  <c r="D268" i="18"/>
  <c r="D269" i="18"/>
  <c r="D270" i="18"/>
  <c r="D271" i="18"/>
  <c r="D272" i="18"/>
  <c r="D273" i="18"/>
  <c r="D274" i="18"/>
  <c r="D275" i="18"/>
  <c r="D276" i="18"/>
  <c r="D277" i="18"/>
  <c r="D278" i="18"/>
  <c r="D279" i="18"/>
  <c r="D280" i="18"/>
  <c r="D281" i="18"/>
  <c r="D282" i="18"/>
  <c r="D283" i="18"/>
  <c r="D284" i="18"/>
  <c r="D285" i="18"/>
  <c r="D286" i="18"/>
  <c r="D287" i="18"/>
  <c r="D288" i="18"/>
  <c r="D289" i="18"/>
  <c r="D290" i="18"/>
  <c r="D291" i="18"/>
  <c r="D292" i="18"/>
  <c r="D293" i="18"/>
  <c r="D3" i="18"/>
  <c r="B247" i="19"/>
  <c r="B228" i="19"/>
  <c r="B216" i="19"/>
  <c r="B195" i="19"/>
  <c r="B182" i="19"/>
  <c r="B179" i="19"/>
  <c r="B168" i="19"/>
  <c r="B167" i="19"/>
  <c r="B154" i="19"/>
  <c r="B152" i="19"/>
  <c r="B122" i="19"/>
  <c r="B67" i="19"/>
  <c r="B44" i="19"/>
  <c r="B21" i="19"/>
  <c r="B17" i="19"/>
  <c r="B264" i="18"/>
  <c r="B232" i="18"/>
  <c r="B188" i="18"/>
  <c r="B182" i="18"/>
  <c r="B179" i="18"/>
  <c r="B178" i="18"/>
  <c r="B176" i="18"/>
  <c r="B175" i="18"/>
  <c r="B163" i="18"/>
  <c r="B146" i="18"/>
  <c r="B143" i="18"/>
  <c r="B142" i="18"/>
  <c r="B120" i="18"/>
  <c r="B113" i="18"/>
  <c r="B84" i="18"/>
  <c r="B83" i="18"/>
  <c r="B68" i="18"/>
  <c r="B53" i="18"/>
  <c r="B51" i="18"/>
  <c r="B43" i="18"/>
  <c r="B41" i="18"/>
  <c r="B39" i="18"/>
  <c r="B34" i="18"/>
  <c r="B31" i="18"/>
  <c r="B3" i="18"/>
  <c r="B294" i="18" s="1"/>
  <c r="B294" i="19" l="1"/>
  <c r="D294" i="19"/>
  <c r="D294" i="18"/>
  <c r="D4" i="17"/>
  <c r="D5" i="17"/>
  <c r="D6" i="17"/>
  <c r="D7" i="17"/>
  <c r="D8" i="17"/>
  <c r="D9" i="17"/>
  <c r="D10" i="17"/>
  <c r="D11" i="17"/>
  <c r="D12" i="17"/>
  <c r="D13" i="17"/>
  <c r="D14" i="17"/>
  <c r="D15" i="17"/>
  <c r="D16" i="17"/>
  <c r="D17" i="17"/>
  <c r="D18" i="17"/>
  <c r="D19" i="17"/>
  <c r="D20" i="17"/>
  <c r="D21" i="17"/>
  <c r="D22" i="17"/>
  <c r="D23" i="17"/>
  <c r="D24" i="17"/>
  <c r="D25" i="17"/>
  <c r="D26" i="17"/>
  <c r="D27" i="17"/>
  <c r="D28" i="17"/>
  <c r="D29" i="17"/>
  <c r="D30" i="17"/>
  <c r="D31" i="17"/>
  <c r="D32" i="17"/>
  <c r="D33" i="17"/>
  <c r="D34" i="17"/>
  <c r="D35" i="17"/>
  <c r="D36" i="17"/>
  <c r="D37" i="17"/>
  <c r="D38" i="17"/>
  <c r="D39" i="17"/>
  <c r="D40" i="17"/>
  <c r="D41" i="17"/>
  <c r="D43" i="17"/>
  <c r="D45" i="17"/>
  <c r="D46" i="17"/>
  <c r="D47" i="17"/>
  <c r="D48" i="17"/>
  <c r="D49" i="17"/>
  <c r="D50" i="17"/>
  <c r="D51" i="17"/>
  <c r="D52" i="17"/>
  <c r="D53" i="17"/>
  <c r="D54" i="17"/>
  <c r="D55" i="17"/>
  <c r="D56" i="17"/>
  <c r="D57" i="17"/>
  <c r="D58" i="17"/>
  <c r="D59" i="17"/>
  <c r="D60" i="17"/>
  <c r="D61" i="17"/>
  <c r="D62" i="17"/>
  <c r="D63" i="17"/>
  <c r="D64" i="17"/>
  <c r="D65" i="17"/>
  <c r="D66" i="17"/>
  <c r="D68" i="17"/>
  <c r="D69" i="17"/>
  <c r="D70" i="17"/>
  <c r="D71" i="17"/>
  <c r="D72" i="17"/>
  <c r="D73" i="17"/>
  <c r="D74" i="17"/>
  <c r="D75" i="17"/>
  <c r="D76" i="17"/>
  <c r="D77" i="17"/>
  <c r="D78" i="17"/>
  <c r="D79" i="17"/>
  <c r="D80" i="17"/>
  <c r="D81" i="17"/>
  <c r="D82" i="17"/>
  <c r="D83" i="17"/>
  <c r="D84" i="17"/>
  <c r="D85" i="17"/>
  <c r="D86" i="17"/>
  <c r="D87" i="17"/>
  <c r="D88" i="17"/>
  <c r="D89" i="17"/>
  <c r="D90" i="17"/>
  <c r="D91" i="17"/>
  <c r="D92" i="17"/>
  <c r="D93" i="17"/>
  <c r="D94" i="17"/>
  <c r="D95" i="17"/>
  <c r="D96" i="17"/>
  <c r="D97" i="17"/>
  <c r="D98" i="17"/>
  <c r="D99" i="17"/>
  <c r="D100" i="17"/>
  <c r="D101" i="17"/>
  <c r="D102" i="17"/>
  <c r="D103" i="17"/>
  <c r="D104" i="17"/>
  <c r="D105" i="17"/>
  <c r="D106" i="17"/>
  <c r="D107" i="17"/>
  <c r="D108" i="17"/>
  <c r="D109" i="17"/>
  <c r="D110" i="17"/>
  <c r="D111" i="17"/>
  <c r="D112" i="17"/>
  <c r="D113" i="17"/>
  <c r="D114" i="17"/>
  <c r="D115" i="17"/>
  <c r="D116" i="17"/>
  <c r="D117" i="17"/>
  <c r="D118" i="17"/>
  <c r="D119" i="17"/>
  <c r="D120" i="17"/>
  <c r="D121" i="17"/>
  <c r="D122" i="17"/>
  <c r="D123" i="17"/>
  <c r="D124" i="17"/>
  <c r="D125" i="17"/>
  <c r="D126" i="17"/>
  <c r="D127" i="17"/>
  <c r="D128" i="17"/>
  <c r="D129" i="17"/>
  <c r="D130" i="17"/>
  <c r="D131" i="17"/>
  <c r="D132" i="17"/>
  <c r="D133" i="17"/>
  <c r="D134" i="17"/>
  <c r="D135" i="17"/>
  <c r="D136" i="17"/>
  <c r="D137" i="17"/>
  <c r="D138" i="17"/>
  <c r="D139" i="17"/>
  <c r="D140" i="17"/>
  <c r="D141" i="17"/>
  <c r="D142" i="17"/>
  <c r="D143" i="17"/>
  <c r="D144" i="17"/>
  <c r="D145" i="17"/>
  <c r="D146" i="17"/>
  <c r="D147" i="17"/>
  <c r="D148" i="17"/>
  <c r="D149" i="17"/>
  <c r="D150" i="17"/>
  <c r="D151" i="17"/>
  <c r="D152" i="17"/>
  <c r="D153" i="17"/>
  <c r="D154" i="17"/>
  <c r="D155" i="17"/>
  <c r="D156" i="17"/>
  <c r="D157" i="17"/>
  <c r="D158" i="17"/>
  <c r="D159" i="17"/>
  <c r="D160" i="17"/>
  <c r="D161" i="17"/>
  <c r="D162" i="17"/>
  <c r="D163" i="17"/>
  <c r="D164" i="17"/>
  <c r="D165" i="17"/>
  <c r="D166" i="17"/>
  <c r="D167" i="17"/>
  <c r="D169" i="17"/>
  <c r="D171" i="17"/>
  <c r="D172" i="17"/>
  <c r="D173" i="17"/>
  <c r="D174" i="17"/>
  <c r="D175" i="17"/>
  <c r="D176" i="17"/>
  <c r="D177" i="17"/>
  <c r="D178" i="17"/>
  <c r="D179" i="17"/>
  <c r="D180" i="17"/>
  <c r="D181" i="17"/>
  <c r="D182" i="17"/>
  <c r="D183" i="17"/>
  <c r="D184" i="17"/>
  <c r="D185" i="17"/>
  <c r="D186" i="17"/>
  <c r="D187" i="17"/>
  <c r="D188" i="17"/>
  <c r="D189" i="17"/>
  <c r="D190" i="17"/>
  <c r="D191" i="17"/>
  <c r="D192" i="17"/>
  <c r="D193" i="17"/>
  <c r="D194" i="17"/>
  <c r="D196" i="17"/>
  <c r="D198" i="17"/>
  <c r="D199" i="17"/>
  <c r="D200" i="17"/>
  <c r="D201" i="17"/>
  <c r="D202" i="17"/>
  <c r="D203" i="17"/>
  <c r="D204" i="17"/>
  <c r="D205" i="17"/>
  <c r="D206" i="17"/>
  <c r="D207" i="17"/>
  <c r="D208" i="17"/>
  <c r="D209" i="17"/>
  <c r="D210" i="17"/>
  <c r="D211" i="17"/>
  <c r="D212" i="17"/>
  <c r="D213" i="17"/>
  <c r="D214" i="17"/>
  <c r="D215" i="17"/>
  <c r="D217" i="17"/>
  <c r="D218" i="17"/>
  <c r="D219" i="17"/>
  <c r="D220" i="17"/>
  <c r="D221" i="17"/>
  <c r="D222" i="17"/>
  <c r="D223" i="17"/>
  <c r="D224" i="17"/>
  <c r="D225" i="17"/>
  <c r="D226" i="17"/>
  <c r="D227" i="17"/>
  <c r="D228" i="17"/>
  <c r="D229" i="17"/>
  <c r="D230" i="17"/>
  <c r="D231" i="17"/>
  <c r="D232" i="17"/>
  <c r="D233" i="17"/>
  <c r="D234" i="17"/>
  <c r="D235" i="17"/>
  <c r="D236" i="17"/>
  <c r="D237" i="17"/>
  <c r="D238" i="17"/>
  <c r="D239" i="17"/>
  <c r="D240" i="17"/>
  <c r="D241" i="17"/>
  <c r="D242" i="17"/>
  <c r="D243" i="17"/>
  <c r="D244" i="17"/>
  <c r="D245" i="17"/>
  <c r="D246" i="17"/>
  <c r="D247" i="17"/>
  <c r="D248" i="17"/>
  <c r="D249" i="17"/>
  <c r="D250" i="17"/>
  <c r="D251" i="17"/>
  <c r="D252" i="17"/>
  <c r="D253" i="17"/>
  <c r="D254" i="17"/>
  <c r="D255" i="17"/>
  <c r="D256" i="17"/>
  <c r="D257" i="17"/>
  <c r="D258" i="17"/>
  <c r="D259" i="17"/>
  <c r="D260" i="17"/>
  <c r="D261" i="17"/>
  <c r="D262" i="17"/>
  <c r="D263" i="17"/>
  <c r="D264" i="17"/>
  <c r="D265" i="17"/>
  <c r="D266" i="17"/>
  <c r="D267" i="17"/>
  <c r="D268" i="17"/>
  <c r="D269" i="17"/>
  <c r="D270" i="17"/>
  <c r="D271" i="17"/>
  <c r="D272" i="17"/>
  <c r="D273" i="17"/>
  <c r="D274" i="17"/>
  <c r="D275" i="17"/>
  <c r="D276" i="17"/>
  <c r="D277" i="17"/>
  <c r="D278" i="17"/>
  <c r="D279" i="17"/>
  <c r="D280" i="17"/>
  <c r="D281" i="17"/>
  <c r="D282" i="17"/>
  <c r="D283" i="17"/>
  <c r="D284" i="17"/>
  <c r="D285" i="17"/>
  <c r="D286" i="17"/>
  <c r="D287" i="17"/>
  <c r="D288" i="17"/>
  <c r="D289" i="17"/>
  <c r="D290" i="17"/>
  <c r="D291" i="17"/>
  <c r="D292" i="17"/>
  <c r="D293" i="17"/>
  <c r="D3" i="17"/>
  <c r="B216" i="17"/>
  <c r="D216" i="17" s="1"/>
  <c r="B197" i="17"/>
  <c r="D197" i="17" s="1"/>
  <c r="B195" i="17"/>
  <c r="D195" i="17" s="1"/>
  <c r="B182" i="17"/>
  <c r="B170" i="17"/>
  <c r="D170" i="17" s="1"/>
  <c r="B168" i="17"/>
  <c r="D168" i="17" s="1"/>
  <c r="B67" i="17"/>
  <c r="D67" i="17" s="1"/>
  <c r="B44" i="17"/>
  <c r="D44" i="17" s="1"/>
  <c r="B42" i="17"/>
  <c r="D42" i="17" s="1"/>
  <c r="B17" i="17"/>
  <c r="D294" i="17" l="1"/>
  <c r="B294" i="17"/>
  <c r="D4" i="16"/>
  <c r="D5" i="16"/>
  <c r="D6" i="16"/>
  <c r="D7" i="16"/>
  <c r="D8" i="16"/>
  <c r="D9" i="16"/>
  <c r="D10" i="16"/>
  <c r="D11" i="16"/>
  <c r="D12" i="16"/>
  <c r="D13" i="16"/>
  <c r="D14" i="16"/>
  <c r="D15" i="16"/>
  <c r="D16" i="16"/>
  <c r="D17" i="16"/>
  <c r="D18" i="16"/>
  <c r="D19" i="16"/>
  <c r="D20" i="16"/>
  <c r="D21" i="16"/>
  <c r="D23" i="16"/>
  <c r="D24" i="16"/>
  <c r="D25" i="16"/>
  <c r="D26" i="16"/>
  <c r="D27" i="16"/>
  <c r="D28" i="16"/>
  <c r="D29" i="16"/>
  <c r="D30" i="16"/>
  <c r="D32" i="16"/>
  <c r="D33" i="16"/>
  <c r="D34" i="16"/>
  <c r="D35" i="16"/>
  <c r="D36" i="16"/>
  <c r="D37" i="16"/>
  <c r="D38" i="16"/>
  <c r="D39" i="16"/>
  <c r="D40" i="16"/>
  <c r="D41" i="16"/>
  <c r="D42" i="16"/>
  <c r="D43" i="16"/>
  <c r="D44" i="16"/>
  <c r="D45" i="16"/>
  <c r="D46" i="16"/>
  <c r="D47" i="16"/>
  <c r="D48" i="16"/>
  <c r="D49" i="16"/>
  <c r="D50" i="16"/>
  <c r="D51" i="16"/>
  <c r="D52" i="16"/>
  <c r="D53" i="16"/>
  <c r="D54" i="16"/>
  <c r="D55" i="16"/>
  <c r="D56" i="16"/>
  <c r="D57" i="16"/>
  <c r="D58" i="16"/>
  <c r="D59" i="16"/>
  <c r="D60" i="16"/>
  <c r="D61" i="16"/>
  <c r="D62" i="16"/>
  <c r="D63" i="16"/>
  <c r="D64" i="16"/>
  <c r="D65" i="16"/>
  <c r="D66" i="16"/>
  <c r="D67" i="16"/>
  <c r="D69" i="16"/>
  <c r="D70" i="16"/>
  <c r="D71" i="16"/>
  <c r="D72" i="16"/>
  <c r="D73" i="16"/>
  <c r="D74" i="16"/>
  <c r="D75" i="16"/>
  <c r="D76" i="16"/>
  <c r="D77" i="16"/>
  <c r="D78" i="16"/>
  <c r="D79" i="16"/>
  <c r="D80" i="16"/>
  <c r="D81" i="16"/>
  <c r="D82" i="16"/>
  <c r="D84" i="16"/>
  <c r="D85" i="16"/>
  <c r="D86" i="16"/>
  <c r="D87" i="16"/>
  <c r="D88" i="16"/>
  <c r="D89" i="16"/>
  <c r="D90" i="16"/>
  <c r="D91" i="16"/>
  <c r="D92" i="16"/>
  <c r="D93" i="16"/>
  <c r="D94" i="16"/>
  <c r="D95" i="16"/>
  <c r="D96" i="16"/>
  <c r="D97" i="16"/>
  <c r="D98" i="16"/>
  <c r="D99" i="16"/>
  <c r="D100" i="16"/>
  <c r="D101" i="16"/>
  <c r="D102" i="16"/>
  <c r="D103" i="16"/>
  <c r="D104" i="16"/>
  <c r="D105" i="16"/>
  <c r="D106" i="16"/>
  <c r="D107" i="16"/>
  <c r="D108" i="16"/>
  <c r="D109" i="16"/>
  <c r="D110" i="16"/>
  <c r="D111" i="16"/>
  <c r="D112" i="16"/>
  <c r="D114" i="16"/>
  <c r="D115" i="16"/>
  <c r="D116" i="16"/>
  <c r="D117" i="16"/>
  <c r="D118" i="16"/>
  <c r="D119" i="16"/>
  <c r="D121" i="16"/>
  <c r="D122" i="16"/>
  <c r="D123" i="16"/>
  <c r="D124" i="16"/>
  <c r="D125" i="16"/>
  <c r="D126" i="16"/>
  <c r="D127" i="16"/>
  <c r="D128" i="16"/>
  <c r="D129" i="16"/>
  <c r="D130" i="16"/>
  <c r="D131" i="16"/>
  <c r="D132" i="16"/>
  <c r="D133" i="16"/>
  <c r="D134" i="16"/>
  <c r="D135" i="16"/>
  <c r="D136" i="16"/>
  <c r="D137" i="16"/>
  <c r="D138" i="16"/>
  <c r="D140" i="16"/>
  <c r="D141" i="16"/>
  <c r="D143" i="16"/>
  <c r="D144" i="16"/>
  <c r="D145" i="16"/>
  <c r="D146" i="16"/>
  <c r="D147" i="16"/>
  <c r="D148" i="16"/>
  <c r="D149" i="16"/>
  <c r="D150" i="16"/>
  <c r="D151" i="16"/>
  <c r="D152" i="16"/>
  <c r="D153" i="16"/>
  <c r="D154" i="16"/>
  <c r="D155" i="16"/>
  <c r="D156" i="16"/>
  <c r="D157" i="16"/>
  <c r="D158" i="16"/>
  <c r="D159" i="16"/>
  <c r="D160" i="16"/>
  <c r="D161" i="16"/>
  <c r="D162" i="16"/>
  <c r="D164" i="16"/>
  <c r="D165" i="16"/>
  <c r="D166" i="16"/>
  <c r="D167" i="16"/>
  <c r="D168" i="16"/>
  <c r="D169" i="16"/>
  <c r="D170" i="16"/>
  <c r="D171" i="16"/>
  <c r="D172" i="16"/>
  <c r="D173" i="16"/>
  <c r="D174" i="16"/>
  <c r="D175" i="16"/>
  <c r="D176" i="16"/>
  <c r="D177" i="16"/>
  <c r="D179" i="16"/>
  <c r="D180" i="16"/>
  <c r="D181" i="16"/>
  <c r="D182" i="16"/>
  <c r="D183" i="16"/>
  <c r="D184" i="16"/>
  <c r="D185" i="16"/>
  <c r="D186" i="16"/>
  <c r="D187" i="16"/>
  <c r="D188" i="16"/>
  <c r="D189" i="16"/>
  <c r="D190" i="16"/>
  <c r="D191" i="16"/>
  <c r="D192" i="16"/>
  <c r="D193" i="16"/>
  <c r="D194" i="16"/>
  <c r="D195" i="16"/>
  <c r="D196" i="16"/>
  <c r="D197" i="16"/>
  <c r="D198" i="16"/>
  <c r="D199" i="16"/>
  <c r="D200" i="16"/>
  <c r="D201" i="16"/>
  <c r="D202" i="16"/>
  <c r="D203" i="16"/>
  <c r="D204" i="16"/>
  <c r="D205" i="16"/>
  <c r="D206" i="16"/>
  <c r="D207" i="16"/>
  <c r="D208" i="16"/>
  <c r="D209" i="16"/>
  <c r="D210" i="16"/>
  <c r="D211" i="16"/>
  <c r="D212" i="16"/>
  <c r="D213" i="16"/>
  <c r="D214" i="16"/>
  <c r="D215" i="16"/>
  <c r="D216" i="16"/>
  <c r="D217" i="16"/>
  <c r="D218" i="16"/>
  <c r="D219" i="16"/>
  <c r="D220" i="16"/>
  <c r="D221" i="16"/>
  <c r="D222" i="16"/>
  <c r="D223" i="16"/>
  <c r="D224" i="16"/>
  <c r="D225" i="16"/>
  <c r="D226" i="16"/>
  <c r="D227" i="16"/>
  <c r="D228" i="16"/>
  <c r="D229" i="16"/>
  <c r="D230" i="16"/>
  <c r="D231" i="16"/>
  <c r="D232" i="16"/>
  <c r="D233" i="16"/>
  <c r="D234" i="16"/>
  <c r="D235" i="16"/>
  <c r="D236" i="16"/>
  <c r="D237" i="16"/>
  <c r="D238" i="16"/>
  <c r="D239" i="16"/>
  <c r="D240" i="16"/>
  <c r="D241" i="16"/>
  <c r="D242" i="16"/>
  <c r="D243" i="16"/>
  <c r="D244" i="16"/>
  <c r="D245" i="16"/>
  <c r="D246" i="16"/>
  <c r="D247" i="16"/>
  <c r="D248" i="16"/>
  <c r="D249" i="16"/>
  <c r="D250" i="16"/>
  <c r="D251" i="16"/>
  <c r="D252" i="16"/>
  <c r="D253" i="16"/>
  <c r="D254" i="16"/>
  <c r="D255" i="16"/>
  <c r="D256" i="16"/>
  <c r="D257" i="16"/>
  <c r="D258" i="16"/>
  <c r="D259" i="16"/>
  <c r="D260" i="16"/>
  <c r="D261" i="16"/>
  <c r="D262" i="16"/>
  <c r="D263" i="16"/>
  <c r="D264" i="16"/>
  <c r="D265" i="16"/>
  <c r="D266" i="16"/>
  <c r="D267" i="16"/>
  <c r="D268" i="16"/>
  <c r="D269" i="16"/>
  <c r="D270" i="16"/>
  <c r="D271" i="16"/>
  <c r="D272" i="16"/>
  <c r="D273" i="16"/>
  <c r="D274" i="16"/>
  <c r="D275" i="16"/>
  <c r="D276" i="16"/>
  <c r="D277" i="16"/>
  <c r="D278" i="16"/>
  <c r="D279" i="16"/>
  <c r="D280" i="16"/>
  <c r="D281" i="16"/>
  <c r="D282" i="16"/>
  <c r="D283" i="16"/>
  <c r="D284" i="16"/>
  <c r="D285" i="16"/>
  <c r="D286" i="16"/>
  <c r="D287" i="16"/>
  <c r="D288" i="16"/>
  <c r="D289" i="16"/>
  <c r="D290" i="16"/>
  <c r="D3" i="16"/>
  <c r="B264" i="16"/>
  <c r="B195" i="16"/>
  <c r="B178" i="16"/>
  <c r="D178" i="16" s="1"/>
  <c r="B163" i="16"/>
  <c r="D163" i="16" s="1"/>
  <c r="B142" i="16"/>
  <c r="D142" i="16" s="1"/>
  <c r="B139" i="16"/>
  <c r="D139" i="16" s="1"/>
  <c r="B120" i="16"/>
  <c r="D120" i="16" s="1"/>
  <c r="B113" i="16"/>
  <c r="D113" i="16" s="1"/>
  <c r="B83" i="16"/>
  <c r="D83" i="16" s="1"/>
  <c r="B68" i="16"/>
  <c r="D68" i="16" s="1"/>
  <c r="B31" i="16"/>
  <c r="B22" i="16"/>
  <c r="D22" i="16" s="1"/>
  <c r="B291" i="16" l="1"/>
  <c r="D31" i="16"/>
  <c r="D291" i="16" s="1"/>
  <c r="D4" i="15"/>
  <c r="D5" i="15"/>
  <c r="D6" i="15"/>
  <c r="D7" i="15"/>
  <c r="D8" i="15"/>
  <c r="D9" i="15"/>
  <c r="D10" i="15"/>
  <c r="D11" i="15"/>
  <c r="D12" i="15"/>
  <c r="D13" i="15"/>
  <c r="D14" i="15"/>
  <c r="D15" i="15"/>
  <c r="D16" i="15"/>
  <c r="D17" i="15"/>
  <c r="D18" i="15"/>
  <c r="D19" i="15"/>
  <c r="D20" i="15"/>
  <c r="D21" i="15"/>
  <c r="D23" i="15"/>
  <c r="D24" i="15"/>
  <c r="D25" i="15"/>
  <c r="D26" i="15"/>
  <c r="D27" i="15"/>
  <c r="D28" i="15"/>
  <c r="D29" i="15"/>
  <c r="D30" i="15"/>
  <c r="D32" i="15"/>
  <c r="D33" i="15"/>
  <c r="D34" i="15"/>
  <c r="D35" i="15"/>
  <c r="D36" i="15"/>
  <c r="D37" i="15"/>
  <c r="D38" i="15"/>
  <c r="D39" i="15"/>
  <c r="D40" i="15"/>
  <c r="D41" i="15"/>
  <c r="D42" i="15"/>
  <c r="D43" i="15"/>
  <c r="D44" i="15"/>
  <c r="D45" i="15"/>
  <c r="D47" i="15"/>
  <c r="D48" i="15"/>
  <c r="D49" i="15"/>
  <c r="D50" i="15"/>
  <c r="D51" i="15"/>
  <c r="D52" i="15"/>
  <c r="D54" i="15"/>
  <c r="D55" i="15"/>
  <c r="D56" i="15"/>
  <c r="D57" i="15"/>
  <c r="D58" i="15"/>
  <c r="D59" i="15"/>
  <c r="D60" i="15"/>
  <c r="D61" i="15"/>
  <c r="D63" i="15"/>
  <c r="D64" i="15"/>
  <c r="D65" i="15"/>
  <c r="D66" i="15"/>
  <c r="D67" i="15"/>
  <c r="D69" i="15"/>
  <c r="D70" i="15"/>
  <c r="D71" i="15"/>
  <c r="D72" i="15"/>
  <c r="D73" i="15"/>
  <c r="D74" i="15"/>
  <c r="D75" i="15"/>
  <c r="D76" i="15"/>
  <c r="D77" i="15"/>
  <c r="D78" i="15"/>
  <c r="D79" i="15"/>
  <c r="D80" i="15"/>
  <c r="D81" i="15"/>
  <c r="D82" i="15"/>
  <c r="D84" i="15"/>
  <c r="D85" i="15"/>
  <c r="D86" i="15"/>
  <c r="D87" i="15"/>
  <c r="D88" i="15"/>
  <c r="D89" i="15"/>
  <c r="D90" i="15"/>
  <c r="D91" i="15"/>
  <c r="D92" i="15"/>
  <c r="D93" i="15"/>
  <c r="D94" i="15"/>
  <c r="D95" i="15"/>
  <c r="D96" i="15"/>
  <c r="D97" i="15"/>
  <c r="D98" i="15"/>
  <c r="D99" i="15"/>
  <c r="D100" i="15"/>
  <c r="D101" i="15"/>
  <c r="D102" i="15"/>
  <c r="D103" i="15"/>
  <c r="D104" i="15"/>
  <c r="D105" i="15"/>
  <c r="D106" i="15"/>
  <c r="D107" i="15"/>
  <c r="D108" i="15"/>
  <c r="D109" i="15"/>
  <c r="D110" i="15"/>
  <c r="D111" i="15"/>
  <c r="D112" i="15"/>
  <c r="D113" i="15"/>
  <c r="D115" i="15"/>
  <c r="D116" i="15"/>
  <c r="D117" i="15"/>
  <c r="D118" i="15"/>
  <c r="D119" i="15"/>
  <c r="D120" i="15"/>
  <c r="D121" i="15"/>
  <c r="D122" i="15"/>
  <c r="D123" i="15"/>
  <c r="D124" i="15"/>
  <c r="D125" i="15"/>
  <c r="D126" i="15"/>
  <c r="D127" i="15"/>
  <c r="D128" i="15"/>
  <c r="D129" i="15"/>
  <c r="D130" i="15"/>
  <c r="D131" i="15"/>
  <c r="D132" i="15"/>
  <c r="D133" i="15"/>
  <c r="D134" i="15"/>
  <c r="D135" i="15"/>
  <c r="D136" i="15"/>
  <c r="D137" i="15"/>
  <c r="D138" i="15"/>
  <c r="D139" i="15"/>
  <c r="D140" i="15"/>
  <c r="D141" i="15"/>
  <c r="D142" i="15"/>
  <c r="D144" i="15"/>
  <c r="D145" i="15"/>
  <c r="D146" i="15"/>
  <c r="D148" i="15"/>
  <c r="D149" i="15"/>
  <c r="D150" i="15"/>
  <c r="D151" i="15"/>
  <c r="D152" i="15"/>
  <c r="D153" i="15"/>
  <c r="D154" i="15"/>
  <c r="D155" i="15"/>
  <c r="D156" i="15"/>
  <c r="D157" i="15"/>
  <c r="D158" i="15"/>
  <c r="D159" i="15"/>
  <c r="D160" i="15"/>
  <c r="D161" i="15"/>
  <c r="D162" i="15"/>
  <c r="D163" i="15"/>
  <c r="D165" i="15"/>
  <c r="D166" i="15"/>
  <c r="D168" i="15"/>
  <c r="D169" i="15"/>
  <c r="D170" i="15"/>
  <c r="D171" i="15"/>
  <c r="D172" i="15"/>
  <c r="D173" i="15"/>
  <c r="D174" i="15"/>
  <c r="D175" i="15"/>
  <c r="D176" i="15"/>
  <c r="D177" i="15"/>
  <c r="D178" i="15"/>
  <c r="D179" i="15"/>
  <c r="D180" i="15"/>
  <c r="D181" i="15"/>
  <c r="D182" i="15"/>
  <c r="D183" i="15"/>
  <c r="D184" i="15"/>
  <c r="D185" i="15"/>
  <c r="D186" i="15"/>
  <c r="D187" i="15"/>
  <c r="D188" i="15"/>
  <c r="D189" i="15"/>
  <c r="D190" i="15"/>
  <c r="D191" i="15"/>
  <c r="D192" i="15"/>
  <c r="D193" i="15"/>
  <c r="D194" i="15"/>
  <c r="D195" i="15"/>
  <c r="D196" i="15"/>
  <c r="D197" i="15"/>
  <c r="D198" i="15"/>
  <c r="D199" i="15"/>
  <c r="D200" i="15"/>
  <c r="D201" i="15"/>
  <c r="D202" i="15"/>
  <c r="D203" i="15"/>
  <c r="D204" i="15"/>
  <c r="D205" i="15"/>
  <c r="D206" i="15"/>
  <c r="D207" i="15"/>
  <c r="D208" i="15"/>
  <c r="D209" i="15"/>
  <c r="D210" i="15"/>
  <c r="D211" i="15"/>
  <c r="D212" i="15"/>
  <c r="D213" i="15"/>
  <c r="D214" i="15"/>
  <c r="D215" i="15"/>
  <c r="D216" i="15"/>
  <c r="D217" i="15"/>
  <c r="D218" i="15"/>
  <c r="D219" i="15"/>
  <c r="D220" i="15"/>
  <c r="D221" i="15"/>
  <c r="D222" i="15"/>
  <c r="D223" i="15"/>
  <c r="D224" i="15"/>
  <c r="D225" i="15"/>
  <c r="D226" i="15"/>
  <c r="D227" i="15"/>
  <c r="D228" i="15"/>
  <c r="D229" i="15"/>
  <c r="D230" i="15"/>
  <c r="D231" i="15"/>
  <c r="D232" i="15"/>
  <c r="D233" i="15"/>
  <c r="D234" i="15"/>
  <c r="D235" i="15"/>
  <c r="D236" i="15"/>
  <c r="D237" i="15"/>
  <c r="D238" i="15"/>
  <c r="D239" i="15"/>
  <c r="D240" i="15"/>
  <c r="D241" i="15"/>
  <c r="D242" i="15"/>
  <c r="D243" i="15"/>
  <c r="D244" i="15"/>
  <c r="D245" i="15"/>
  <c r="D246" i="15"/>
  <c r="D247" i="15"/>
  <c r="D248" i="15"/>
  <c r="D249" i="15"/>
  <c r="D250" i="15"/>
  <c r="D251" i="15"/>
  <c r="D252" i="15"/>
  <c r="D253" i="15"/>
  <c r="D254" i="15"/>
  <c r="D255" i="15"/>
  <c r="D256" i="15"/>
  <c r="D257" i="15"/>
  <c r="D258" i="15"/>
  <c r="D259" i="15"/>
  <c r="D260" i="15"/>
  <c r="D261" i="15"/>
  <c r="D262" i="15"/>
  <c r="D263" i="15"/>
  <c r="D264" i="15"/>
  <c r="D265" i="15"/>
  <c r="D266" i="15"/>
  <c r="D267" i="15"/>
  <c r="D268" i="15"/>
  <c r="D269" i="15"/>
  <c r="D270" i="15"/>
  <c r="D272" i="15"/>
  <c r="D273" i="15"/>
  <c r="D274" i="15"/>
  <c r="D276" i="15"/>
  <c r="D277" i="15"/>
  <c r="D278" i="15"/>
  <c r="D279" i="15"/>
  <c r="D280" i="15"/>
  <c r="D281" i="15"/>
  <c r="D282" i="15"/>
  <c r="D283" i="15"/>
  <c r="D284" i="15"/>
  <c r="D285" i="15"/>
  <c r="D286" i="15"/>
  <c r="D287" i="15"/>
  <c r="D288" i="15"/>
  <c r="D289" i="15"/>
  <c r="D290" i="15"/>
  <c r="D3" i="15"/>
  <c r="B275" i="15"/>
  <c r="D275" i="15" s="1"/>
  <c r="B271" i="15"/>
  <c r="D271" i="15" s="1"/>
  <c r="B265" i="15"/>
  <c r="B189" i="15"/>
  <c r="B167" i="15"/>
  <c r="D167" i="15" s="1"/>
  <c r="B164" i="15"/>
  <c r="D164" i="15" s="1"/>
  <c r="B147" i="15"/>
  <c r="D147" i="15" s="1"/>
  <c r="B143" i="15"/>
  <c r="D143" i="15" s="1"/>
  <c r="B121" i="15"/>
  <c r="B114" i="15"/>
  <c r="D114" i="15" s="1"/>
  <c r="B83" i="15"/>
  <c r="D83" i="15" s="1"/>
  <c r="B68" i="15"/>
  <c r="D68" i="15" s="1"/>
  <c r="B62" i="15"/>
  <c r="D62" i="15" s="1"/>
  <c r="B53" i="15"/>
  <c r="D53" i="15" s="1"/>
  <c r="B46" i="15"/>
  <c r="D46" i="15" s="1"/>
  <c r="B31" i="15"/>
  <c r="D31" i="15" s="1"/>
  <c r="B22" i="15"/>
  <c r="D22" i="15" s="1"/>
  <c r="D291" i="15" l="1"/>
  <c r="B291" i="15"/>
  <c r="D4" i="14"/>
  <c r="D5" i="14"/>
  <c r="D6" i="14"/>
  <c r="D7" i="14"/>
  <c r="D8" i="14"/>
  <c r="D9" i="14"/>
  <c r="D10" i="14"/>
  <c r="D11" i="14"/>
  <c r="D12" i="14"/>
  <c r="D13" i="14"/>
  <c r="D14" i="14"/>
  <c r="D15" i="14"/>
  <c r="D16" i="14"/>
  <c r="D17" i="14"/>
  <c r="D18" i="14"/>
  <c r="D19" i="14"/>
  <c r="D20" i="14"/>
  <c r="D22" i="14"/>
  <c r="D23" i="14"/>
  <c r="D24" i="14"/>
  <c r="D25" i="14"/>
  <c r="D26" i="14"/>
  <c r="D27" i="14"/>
  <c r="D28" i="14"/>
  <c r="D29" i="14"/>
  <c r="D30" i="14"/>
  <c r="D31" i="14"/>
  <c r="D32" i="14"/>
  <c r="D33" i="14"/>
  <c r="D34" i="14"/>
  <c r="D35" i="14"/>
  <c r="D36" i="14"/>
  <c r="D37" i="14"/>
  <c r="D38" i="14"/>
  <c r="D39" i="14"/>
  <c r="D40" i="14"/>
  <c r="D41" i="14"/>
  <c r="D42" i="14"/>
  <c r="D43" i="14"/>
  <c r="D45" i="14"/>
  <c r="D46" i="14"/>
  <c r="D47" i="14"/>
  <c r="D48" i="14"/>
  <c r="D49" i="14"/>
  <c r="D50" i="14"/>
  <c r="D51" i="14"/>
  <c r="D52" i="14"/>
  <c r="D54" i="14"/>
  <c r="D55" i="14"/>
  <c r="D56" i="14"/>
  <c r="D57" i="14"/>
  <c r="D58" i="14"/>
  <c r="D59" i="14"/>
  <c r="D60" i="14"/>
  <c r="D61" i="14"/>
  <c r="D62" i="14"/>
  <c r="D63" i="14"/>
  <c r="D64" i="14"/>
  <c r="D65" i="14"/>
  <c r="D66" i="14"/>
  <c r="D68" i="14"/>
  <c r="D69" i="14"/>
  <c r="D71" i="14"/>
  <c r="D72" i="14"/>
  <c r="D73" i="14"/>
  <c r="D74" i="14"/>
  <c r="D75" i="14"/>
  <c r="D76" i="14"/>
  <c r="D77" i="14"/>
  <c r="D78" i="14"/>
  <c r="D79" i="14"/>
  <c r="D80" i="14"/>
  <c r="D81" i="14"/>
  <c r="D82" i="14"/>
  <c r="D83" i="14"/>
  <c r="D84" i="14"/>
  <c r="D85" i="14"/>
  <c r="D86" i="14"/>
  <c r="D87" i="14"/>
  <c r="D88" i="14"/>
  <c r="D89" i="14"/>
  <c r="D90" i="14"/>
  <c r="D91" i="14"/>
  <c r="D92" i="14"/>
  <c r="D93" i="14"/>
  <c r="D94" i="14"/>
  <c r="D95" i="14"/>
  <c r="D96" i="14"/>
  <c r="D97" i="14"/>
  <c r="D98" i="14"/>
  <c r="D99" i="14"/>
  <c r="D100" i="14"/>
  <c r="D101" i="14"/>
  <c r="D102" i="14"/>
  <c r="D103" i="14"/>
  <c r="D104" i="14"/>
  <c r="D105" i="14"/>
  <c r="D106" i="14"/>
  <c r="D107" i="14"/>
  <c r="D108" i="14"/>
  <c r="D109" i="14"/>
  <c r="D110" i="14"/>
  <c r="D111" i="14"/>
  <c r="D112" i="14"/>
  <c r="D113" i="14"/>
  <c r="D114" i="14"/>
  <c r="D115" i="14"/>
  <c r="D116" i="14"/>
  <c r="D117" i="14"/>
  <c r="D118" i="14"/>
  <c r="D119" i="14"/>
  <c r="D120" i="14"/>
  <c r="D121" i="14"/>
  <c r="D122" i="14"/>
  <c r="D123" i="14"/>
  <c r="D124" i="14"/>
  <c r="D125" i="14"/>
  <c r="D126" i="14"/>
  <c r="D127" i="14"/>
  <c r="D128" i="14"/>
  <c r="D129" i="14"/>
  <c r="D130" i="14"/>
  <c r="D131" i="14"/>
  <c r="D132" i="14"/>
  <c r="D133" i="14"/>
  <c r="D134" i="14"/>
  <c r="D135" i="14"/>
  <c r="D136" i="14"/>
  <c r="D137" i="14"/>
  <c r="D138" i="14"/>
  <c r="D139" i="14"/>
  <c r="D141" i="14"/>
  <c r="D142" i="14"/>
  <c r="D143" i="14"/>
  <c r="D144" i="14"/>
  <c r="D145" i="14"/>
  <c r="D146" i="14"/>
  <c r="D147" i="14"/>
  <c r="D148" i="14"/>
  <c r="D149" i="14"/>
  <c r="D150" i="14"/>
  <c r="D151" i="14"/>
  <c r="D152" i="14"/>
  <c r="D154" i="14"/>
  <c r="D155" i="14"/>
  <c r="D156" i="14"/>
  <c r="D157" i="14"/>
  <c r="D158" i="14"/>
  <c r="D159" i="14"/>
  <c r="D160" i="14"/>
  <c r="D161" i="14"/>
  <c r="D162" i="14"/>
  <c r="D163" i="14"/>
  <c r="D164" i="14"/>
  <c r="D166" i="14"/>
  <c r="D167" i="14"/>
  <c r="D168" i="14"/>
  <c r="D169" i="14"/>
  <c r="D170" i="14"/>
  <c r="D171" i="14"/>
  <c r="D172" i="14"/>
  <c r="D173" i="14"/>
  <c r="D174" i="14"/>
  <c r="D175" i="14"/>
  <c r="D176" i="14"/>
  <c r="D177" i="14"/>
  <c r="D178" i="14"/>
  <c r="D180" i="14"/>
  <c r="D181" i="14"/>
  <c r="D182" i="14"/>
  <c r="D183" i="14"/>
  <c r="D184" i="14"/>
  <c r="D185" i="14"/>
  <c r="D186" i="14"/>
  <c r="D187" i="14"/>
  <c r="D188" i="14"/>
  <c r="D189" i="14"/>
  <c r="D190" i="14"/>
  <c r="D191" i="14"/>
  <c r="D192" i="14"/>
  <c r="D193" i="14"/>
  <c r="D194" i="14"/>
  <c r="D195" i="14"/>
  <c r="D196" i="14"/>
  <c r="D197" i="14"/>
  <c r="D198" i="14"/>
  <c r="D199" i="14"/>
  <c r="D200" i="14"/>
  <c r="D201" i="14"/>
  <c r="D202" i="14"/>
  <c r="D203" i="14"/>
  <c r="D204" i="14"/>
  <c r="D205" i="14"/>
  <c r="D206" i="14"/>
  <c r="D207" i="14"/>
  <c r="D208" i="14"/>
  <c r="D209" i="14"/>
  <c r="D210" i="14"/>
  <c r="D211" i="14"/>
  <c r="D212" i="14"/>
  <c r="D213" i="14"/>
  <c r="D214" i="14"/>
  <c r="D215" i="14"/>
  <c r="D216" i="14"/>
  <c r="D217" i="14"/>
  <c r="D218" i="14"/>
  <c r="D219" i="14"/>
  <c r="D220" i="14"/>
  <c r="D221" i="14"/>
  <c r="D222" i="14"/>
  <c r="D223" i="14"/>
  <c r="D224" i="14"/>
  <c r="D225" i="14"/>
  <c r="D226" i="14"/>
  <c r="D227" i="14"/>
  <c r="D228" i="14"/>
  <c r="D229" i="14"/>
  <c r="D230" i="14"/>
  <c r="D231" i="14"/>
  <c r="D232" i="14"/>
  <c r="D233" i="14"/>
  <c r="D234" i="14"/>
  <c r="D235" i="14"/>
  <c r="D236" i="14"/>
  <c r="D237" i="14"/>
  <c r="D238" i="14"/>
  <c r="D239" i="14"/>
  <c r="D240" i="14"/>
  <c r="D241" i="14"/>
  <c r="D242" i="14"/>
  <c r="D243" i="14"/>
  <c r="D244" i="14"/>
  <c r="D245" i="14"/>
  <c r="D246" i="14"/>
  <c r="D247" i="14"/>
  <c r="D248" i="14"/>
  <c r="D249" i="14"/>
  <c r="D250" i="14"/>
  <c r="D251" i="14"/>
  <c r="D252" i="14"/>
  <c r="D253" i="14"/>
  <c r="D254" i="14"/>
  <c r="D255" i="14"/>
  <c r="D256" i="14"/>
  <c r="D257" i="14"/>
  <c r="D258" i="14"/>
  <c r="D259" i="14"/>
  <c r="D260" i="14"/>
  <c r="D261" i="14"/>
  <c r="D262" i="14"/>
  <c r="D263" i="14"/>
  <c r="D264" i="14"/>
  <c r="D265" i="14"/>
  <c r="D266" i="14"/>
  <c r="D267" i="14"/>
  <c r="D268" i="14"/>
  <c r="D269" i="14"/>
  <c r="D270" i="14"/>
  <c r="D271" i="14"/>
  <c r="D272" i="14"/>
  <c r="D273" i="14"/>
  <c r="D274" i="14"/>
  <c r="D275" i="14"/>
  <c r="D276" i="14"/>
  <c r="D277" i="14"/>
  <c r="D278" i="14"/>
  <c r="D279" i="14"/>
  <c r="D280" i="14"/>
  <c r="D281" i="14"/>
  <c r="D282" i="14"/>
  <c r="D283" i="14"/>
  <c r="D284" i="14"/>
  <c r="D285" i="14"/>
  <c r="D286" i="14"/>
  <c r="D287" i="14"/>
  <c r="D288" i="14"/>
  <c r="D289" i="14"/>
  <c r="D290" i="14"/>
  <c r="D3" i="14"/>
  <c r="B247" i="14"/>
  <c r="B192" i="14"/>
  <c r="B179" i="14"/>
  <c r="D179" i="14" s="1"/>
  <c r="B176" i="14"/>
  <c r="B165" i="14"/>
  <c r="D165" i="14" s="1"/>
  <c r="B153" i="14"/>
  <c r="D153" i="14" s="1"/>
  <c r="B140" i="14"/>
  <c r="D140" i="14" s="1"/>
  <c r="B70" i="14"/>
  <c r="D70" i="14" s="1"/>
  <c r="B67" i="14"/>
  <c r="D67" i="14" s="1"/>
  <c r="B53" i="14"/>
  <c r="D53" i="14" s="1"/>
  <c r="B44" i="14"/>
  <c r="D44" i="14" s="1"/>
  <c r="B21" i="14"/>
  <c r="D21" i="14" s="1"/>
  <c r="B17" i="14"/>
  <c r="D291" i="14" l="1"/>
  <c r="B291" i="14"/>
  <c r="D4" i="13"/>
  <c r="D5" i="13"/>
  <c r="D6" i="13"/>
  <c r="D7" i="13"/>
  <c r="D8" i="13"/>
  <c r="D9" i="13"/>
  <c r="D10" i="13"/>
  <c r="D11" i="13"/>
  <c r="D12" i="13"/>
  <c r="D13" i="13"/>
  <c r="D14" i="13"/>
  <c r="D15" i="13"/>
  <c r="D16" i="13"/>
  <c r="D17" i="13"/>
  <c r="D18" i="13"/>
  <c r="D19" i="13"/>
  <c r="D20" i="13"/>
  <c r="D21" i="13"/>
  <c r="D22" i="13"/>
  <c r="D23" i="13"/>
  <c r="D24" i="13"/>
  <c r="D25" i="13"/>
  <c r="D26" i="13"/>
  <c r="D27" i="13"/>
  <c r="D28" i="13"/>
  <c r="D29" i="13"/>
  <c r="D30" i="13"/>
  <c r="D31" i="13"/>
  <c r="D32" i="13"/>
  <c r="D33" i="13"/>
  <c r="D34" i="13"/>
  <c r="D35" i="13"/>
  <c r="D36" i="13"/>
  <c r="D37" i="13"/>
  <c r="D38" i="13"/>
  <c r="D39" i="13"/>
  <c r="D40" i="13"/>
  <c r="D41" i="13"/>
  <c r="D42" i="13"/>
  <c r="D43" i="13"/>
  <c r="D45" i="13"/>
  <c r="D46" i="13"/>
  <c r="D47" i="13"/>
  <c r="D48" i="13"/>
  <c r="D49" i="13"/>
  <c r="D50" i="13"/>
  <c r="D51" i="13"/>
  <c r="D52" i="13"/>
  <c r="D53" i="13"/>
  <c r="D54" i="13"/>
  <c r="D55" i="13"/>
  <c r="D56" i="13"/>
  <c r="D57" i="13"/>
  <c r="D58" i="13"/>
  <c r="D59" i="13"/>
  <c r="D60" i="13"/>
  <c r="D61" i="13"/>
  <c r="D62" i="13"/>
  <c r="D63" i="13"/>
  <c r="D64" i="13"/>
  <c r="D65" i="13"/>
  <c r="D66" i="13"/>
  <c r="D68" i="13"/>
  <c r="D69" i="13"/>
  <c r="D70" i="13"/>
  <c r="D71" i="13"/>
  <c r="D72" i="13"/>
  <c r="D73" i="13"/>
  <c r="D74" i="13"/>
  <c r="D75" i="13"/>
  <c r="D76" i="13"/>
  <c r="D77" i="13"/>
  <c r="D78" i="13"/>
  <c r="D79" i="13"/>
  <c r="D80" i="13"/>
  <c r="D81" i="13"/>
  <c r="D82" i="13"/>
  <c r="D83" i="13"/>
  <c r="D84" i="13"/>
  <c r="D85" i="13"/>
  <c r="D86" i="13"/>
  <c r="D87" i="13"/>
  <c r="D88" i="13"/>
  <c r="D89" i="13"/>
  <c r="D90" i="13"/>
  <c r="D91" i="13"/>
  <c r="D92" i="13"/>
  <c r="D93" i="13"/>
  <c r="D94" i="13"/>
  <c r="D95" i="13"/>
  <c r="D96" i="13"/>
  <c r="D97" i="13"/>
  <c r="D98" i="13"/>
  <c r="D99" i="13"/>
  <c r="D100" i="13"/>
  <c r="D101" i="13"/>
  <c r="D102" i="13"/>
  <c r="D103" i="13"/>
  <c r="D104" i="13"/>
  <c r="D105" i="13"/>
  <c r="D106" i="13"/>
  <c r="D107" i="13"/>
  <c r="D108" i="13"/>
  <c r="D109" i="13"/>
  <c r="D110" i="13"/>
  <c r="D111" i="13"/>
  <c r="D112" i="13"/>
  <c r="D113" i="13"/>
  <c r="D114" i="13"/>
  <c r="D115" i="13"/>
  <c r="D116" i="13"/>
  <c r="D117" i="13"/>
  <c r="D118" i="13"/>
  <c r="D119" i="13"/>
  <c r="D120" i="13"/>
  <c r="D121" i="13"/>
  <c r="D122" i="13"/>
  <c r="D123" i="13"/>
  <c r="D124" i="13"/>
  <c r="D125" i="13"/>
  <c r="D126" i="13"/>
  <c r="D127" i="13"/>
  <c r="D128" i="13"/>
  <c r="D129" i="13"/>
  <c r="D130" i="13"/>
  <c r="D131" i="13"/>
  <c r="D132" i="13"/>
  <c r="D133" i="13"/>
  <c r="D134" i="13"/>
  <c r="D135" i="13"/>
  <c r="D136" i="13"/>
  <c r="D137" i="13"/>
  <c r="D138" i="13"/>
  <c r="D139" i="13"/>
  <c r="D140" i="13"/>
  <c r="D141" i="13"/>
  <c r="D142" i="13"/>
  <c r="D143" i="13"/>
  <c r="D144" i="13"/>
  <c r="D145" i="13"/>
  <c r="D146" i="13"/>
  <c r="D147" i="13"/>
  <c r="D148" i="13"/>
  <c r="D149" i="13"/>
  <c r="D150" i="13"/>
  <c r="D151" i="13"/>
  <c r="D152" i="13"/>
  <c r="D153" i="13"/>
  <c r="D154" i="13"/>
  <c r="D155" i="13"/>
  <c r="D156" i="13"/>
  <c r="D157" i="13"/>
  <c r="D158" i="13"/>
  <c r="D159" i="13"/>
  <c r="D160" i="13"/>
  <c r="D161" i="13"/>
  <c r="D162" i="13"/>
  <c r="D163" i="13"/>
  <c r="D165" i="13"/>
  <c r="D166" i="13"/>
  <c r="D167" i="13"/>
  <c r="D168" i="13"/>
  <c r="D169" i="13"/>
  <c r="D170" i="13"/>
  <c r="D171" i="13"/>
  <c r="D172" i="13"/>
  <c r="D173" i="13"/>
  <c r="D174" i="13"/>
  <c r="D175" i="13"/>
  <c r="D177" i="13"/>
  <c r="D178" i="13"/>
  <c r="D180" i="13"/>
  <c r="D181" i="13"/>
  <c r="D182" i="13"/>
  <c r="D183" i="13"/>
  <c r="D184" i="13"/>
  <c r="D185" i="13"/>
  <c r="D186" i="13"/>
  <c r="D187" i="13"/>
  <c r="D188" i="13"/>
  <c r="D189" i="13"/>
  <c r="D190" i="13"/>
  <c r="D191" i="13"/>
  <c r="D192" i="13"/>
  <c r="D193" i="13"/>
  <c r="D195" i="13"/>
  <c r="D196" i="13"/>
  <c r="D197" i="13"/>
  <c r="D198" i="13"/>
  <c r="D199" i="13"/>
  <c r="D200" i="13"/>
  <c r="D201" i="13"/>
  <c r="D202" i="13"/>
  <c r="D203" i="13"/>
  <c r="D204" i="13"/>
  <c r="D205" i="13"/>
  <c r="D206" i="13"/>
  <c r="D207" i="13"/>
  <c r="D208" i="13"/>
  <c r="D209" i="13"/>
  <c r="D210" i="13"/>
  <c r="D211" i="13"/>
  <c r="D212" i="13"/>
  <c r="D214" i="13"/>
  <c r="D215" i="13"/>
  <c r="D216" i="13"/>
  <c r="D217" i="13"/>
  <c r="D218" i="13"/>
  <c r="D219" i="13"/>
  <c r="D220" i="13"/>
  <c r="D221" i="13"/>
  <c r="D222" i="13"/>
  <c r="D223" i="13"/>
  <c r="D224" i="13"/>
  <c r="D225" i="13"/>
  <c r="D226" i="13"/>
  <c r="D227" i="13"/>
  <c r="D228" i="13"/>
  <c r="D229" i="13"/>
  <c r="D230" i="13"/>
  <c r="D231" i="13"/>
  <c r="D233" i="13"/>
  <c r="D234" i="13"/>
  <c r="D235" i="13"/>
  <c r="D236" i="13"/>
  <c r="D237" i="13"/>
  <c r="D238" i="13"/>
  <c r="D239" i="13"/>
  <c r="D240" i="13"/>
  <c r="D241" i="13"/>
  <c r="D242" i="13"/>
  <c r="D243" i="13"/>
  <c r="D244" i="13"/>
  <c r="D245" i="13"/>
  <c r="D246" i="13"/>
  <c r="D247" i="13"/>
  <c r="D248" i="13"/>
  <c r="D249" i="13"/>
  <c r="D250" i="13"/>
  <c r="D251" i="13"/>
  <c r="D252" i="13"/>
  <c r="D253" i="13"/>
  <c r="D254" i="13"/>
  <c r="D255" i="13"/>
  <c r="D256" i="13"/>
  <c r="D257" i="13"/>
  <c r="D258" i="13"/>
  <c r="D259" i="13"/>
  <c r="D260" i="13"/>
  <c r="D261" i="13"/>
  <c r="D262" i="13"/>
  <c r="D263" i="13"/>
  <c r="D264" i="13"/>
  <c r="D265" i="13"/>
  <c r="D266" i="13"/>
  <c r="D267" i="13"/>
  <c r="D268" i="13"/>
  <c r="D269" i="13"/>
  <c r="D270" i="13"/>
  <c r="D271" i="13"/>
  <c r="D272" i="13"/>
  <c r="D273" i="13"/>
  <c r="D274" i="13"/>
  <c r="D275" i="13"/>
  <c r="D276" i="13"/>
  <c r="D277" i="13"/>
  <c r="D278" i="13"/>
  <c r="D279" i="13"/>
  <c r="D280" i="13"/>
  <c r="D281" i="13"/>
  <c r="D282" i="13"/>
  <c r="D283" i="13"/>
  <c r="D284" i="13"/>
  <c r="D285" i="13"/>
  <c r="D286" i="13"/>
  <c r="D287" i="13"/>
  <c r="D288" i="13"/>
  <c r="D289" i="13"/>
  <c r="D290" i="13"/>
  <c r="D3" i="13"/>
  <c r="B232" i="13"/>
  <c r="D232" i="13" s="1"/>
  <c r="B213" i="13"/>
  <c r="D213" i="13" s="1"/>
  <c r="B194" i="13"/>
  <c r="D194" i="13" s="1"/>
  <c r="B179" i="13"/>
  <c r="D179" i="13" s="1"/>
  <c r="B176" i="13"/>
  <c r="D176" i="13" s="1"/>
  <c r="B164" i="13"/>
  <c r="D164" i="13" s="1"/>
  <c r="B149" i="13"/>
  <c r="B67" i="13"/>
  <c r="D67" i="13" s="1"/>
  <c r="B44" i="13"/>
  <c r="D44" i="13" s="1"/>
  <c r="B17" i="13"/>
  <c r="D4" i="12"/>
  <c r="D5" i="12"/>
  <c r="D6" i="12"/>
  <c r="D7" i="12"/>
  <c r="D8" i="12"/>
  <c r="D9" i="12"/>
  <c r="D10" i="12"/>
  <c r="D11" i="12"/>
  <c r="D12" i="12"/>
  <c r="D13" i="12"/>
  <c r="D14" i="12"/>
  <c r="D15" i="12"/>
  <c r="D17" i="12"/>
  <c r="D18" i="12"/>
  <c r="D19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65" i="12"/>
  <c r="D67" i="12"/>
  <c r="D68" i="12"/>
  <c r="D69" i="12"/>
  <c r="D70" i="12"/>
  <c r="D71" i="12"/>
  <c r="D72" i="12"/>
  <c r="D73" i="12"/>
  <c r="D74" i="12"/>
  <c r="D75" i="12"/>
  <c r="D76" i="12"/>
  <c r="D77" i="12"/>
  <c r="D78" i="12"/>
  <c r="D79" i="12"/>
  <c r="D80" i="12"/>
  <c r="D81" i="12"/>
  <c r="D82" i="12"/>
  <c r="D83" i="12"/>
  <c r="D84" i="12"/>
  <c r="D85" i="12"/>
  <c r="D86" i="12"/>
  <c r="D87" i="12"/>
  <c r="D88" i="12"/>
  <c r="D89" i="12"/>
  <c r="D90" i="12"/>
  <c r="D91" i="12"/>
  <c r="D93" i="12"/>
  <c r="D94" i="12"/>
  <c r="D95" i="12"/>
  <c r="D96" i="12"/>
  <c r="D97" i="12"/>
  <c r="D98" i="12"/>
  <c r="D99" i="12"/>
  <c r="D100" i="12"/>
  <c r="D101" i="12"/>
  <c r="D102" i="12"/>
  <c r="D103" i="12"/>
  <c r="D104" i="12"/>
  <c r="D105" i="12"/>
  <c r="D106" i="12"/>
  <c r="D107" i="12"/>
  <c r="D108" i="12"/>
  <c r="D109" i="12"/>
  <c r="D110" i="12"/>
  <c r="D111" i="12"/>
  <c r="D112" i="12"/>
  <c r="D113" i="12"/>
  <c r="D114" i="12"/>
  <c r="D115" i="12"/>
  <c r="D116" i="12"/>
  <c r="D117" i="12"/>
  <c r="D118" i="12"/>
  <c r="D119" i="12"/>
  <c r="D120" i="12"/>
  <c r="D121" i="12"/>
  <c r="D122" i="12"/>
  <c r="D123" i="12"/>
  <c r="D124" i="12"/>
  <c r="D125" i="12"/>
  <c r="D126" i="12"/>
  <c r="D127" i="12"/>
  <c r="D128" i="12"/>
  <c r="D129" i="12"/>
  <c r="D130" i="12"/>
  <c r="D131" i="12"/>
  <c r="D132" i="12"/>
  <c r="D133" i="12"/>
  <c r="D134" i="12"/>
  <c r="D135" i="12"/>
  <c r="D136" i="12"/>
  <c r="D137" i="12"/>
  <c r="D138" i="12"/>
  <c r="D139" i="12"/>
  <c r="D140" i="12"/>
  <c r="D141" i="12"/>
  <c r="D142" i="12"/>
  <c r="D143" i="12"/>
  <c r="D144" i="12"/>
  <c r="D145" i="12"/>
  <c r="D146" i="12"/>
  <c r="D147" i="12"/>
  <c r="D148" i="12"/>
  <c r="D149" i="12"/>
  <c r="D150" i="12"/>
  <c r="D151" i="12"/>
  <c r="D152" i="12"/>
  <c r="D153" i="12"/>
  <c r="D154" i="12"/>
  <c r="D155" i="12"/>
  <c r="D156" i="12"/>
  <c r="D157" i="12"/>
  <c r="D158" i="12"/>
  <c r="D159" i="12"/>
  <c r="D160" i="12"/>
  <c r="D161" i="12"/>
  <c r="D162" i="12"/>
  <c r="D167" i="12"/>
  <c r="D168" i="12"/>
  <c r="D169" i="12"/>
  <c r="D170" i="12"/>
  <c r="D171" i="12"/>
  <c r="D172" i="12"/>
  <c r="D173" i="12"/>
  <c r="D174" i="12"/>
  <c r="D176" i="12"/>
  <c r="D177" i="12"/>
  <c r="D179" i="12"/>
  <c r="D180" i="12"/>
  <c r="D181" i="12"/>
  <c r="D182" i="12"/>
  <c r="D183" i="12"/>
  <c r="D184" i="12"/>
  <c r="D185" i="12"/>
  <c r="D186" i="12"/>
  <c r="D187" i="12"/>
  <c r="D188" i="12"/>
  <c r="D190" i="12"/>
  <c r="D191" i="12"/>
  <c r="D192" i="12"/>
  <c r="D193" i="12"/>
  <c r="D194" i="12"/>
  <c r="D195" i="12"/>
  <c r="D196" i="12"/>
  <c r="D197" i="12"/>
  <c r="D198" i="12"/>
  <c r="D199" i="12"/>
  <c r="D200" i="12"/>
  <c r="D201" i="12"/>
  <c r="D202" i="12"/>
  <c r="D203" i="12"/>
  <c r="D204" i="12"/>
  <c r="D205" i="12"/>
  <c r="D206" i="12"/>
  <c r="D207" i="12"/>
  <c r="D208" i="12"/>
  <c r="D209" i="12"/>
  <c r="D210" i="12"/>
  <c r="D211" i="12"/>
  <c r="D213" i="12"/>
  <c r="D214" i="12"/>
  <c r="D215" i="12"/>
  <c r="D216" i="12"/>
  <c r="D217" i="12"/>
  <c r="D218" i="12"/>
  <c r="D219" i="12"/>
  <c r="D221" i="12"/>
  <c r="D222" i="12"/>
  <c r="D223" i="12"/>
  <c r="D224" i="12"/>
  <c r="D225" i="12"/>
  <c r="D226" i="12"/>
  <c r="D227" i="12"/>
  <c r="D228" i="12"/>
  <c r="D229" i="12"/>
  <c r="D230" i="12"/>
  <c r="D231" i="12"/>
  <c r="D232" i="12"/>
  <c r="D233" i="12"/>
  <c r="D234" i="12"/>
  <c r="D235" i="12"/>
  <c r="D236" i="12"/>
  <c r="D237" i="12"/>
  <c r="D238" i="12"/>
  <c r="D239" i="12"/>
  <c r="D240" i="12"/>
  <c r="D241" i="12"/>
  <c r="D242" i="12"/>
  <c r="D243" i="12"/>
  <c r="D244" i="12"/>
  <c r="D245" i="12"/>
  <c r="D246" i="12"/>
  <c r="D247" i="12"/>
  <c r="D249" i="12"/>
  <c r="D250" i="12"/>
  <c r="D251" i="12"/>
  <c r="D252" i="12"/>
  <c r="D253" i="12"/>
  <c r="D254" i="12"/>
  <c r="D255" i="12"/>
  <c r="D256" i="12"/>
  <c r="D257" i="12"/>
  <c r="D258" i="12"/>
  <c r="D259" i="12"/>
  <c r="D260" i="12"/>
  <c r="D261" i="12"/>
  <c r="D262" i="12"/>
  <c r="D263" i="12"/>
  <c r="D264" i="12"/>
  <c r="D265" i="12"/>
  <c r="D266" i="12"/>
  <c r="D267" i="12"/>
  <c r="D268" i="12"/>
  <c r="D269" i="12"/>
  <c r="D270" i="12"/>
  <c r="D271" i="12"/>
  <c r="D272" i="12"/>
  <c r="D273" i="12"/>
  <c r="D274" i="12"/>
  <c r="D275" i="12"/>
  <c r="D276" i="12"/>
  <c r="D277" i="12"/>
  <c r="D278" i="12"/>
  <c r="D279" i="12"/>
  <c r="D280" i="12"/>
  <c r="D281" i="12"/>
  <c r="D282" i="12"/>
  <c r="D283" i="12"/>
  <c r="D284" i="12"/>
  <c r="D285" i="12"/>
  <c r="D287" i="12"/>
  <c r="D288" i="12"/>
  <c r="D289" i="12"/>
  <c r="D3" i="12"/>
  <c r="B286" i="12"/>
  <c r="D286" i="12" s="1"/>
  <c r="B248" i="12"/>
  <c r="D248" i="12" s="1"/>
  <c r="B220" i="12"/>
  <c r="D220" i="12" s="1"/>
  <c r="B212" i="12"/>
  <c r="D212" i="12" s="1"/>
  <c r="B189" i="12"/>
  <c r="D189" i="12" s="1"/>
  <c r="B178" i="12"/>
  <c r="D178" i="12" s="1"/>
  <c r="B175" i="12"/>
  <c r="D175" i="12" s="1"/>
  <c r="B166" i="12"/>
  <c r="D166" i="12" s="1"/>
  <c r="B165" i="12"/>
  <c r="D165" i="12" s="1"/>
  <c r="B164" i="12"/>
  <c r="D164" i="12" s="1"/>
  <c r="B163" i="12"/>
  <c r="D163" i="12" s="1"/>
  <c r="B92" i="12"/>
  <c r="D92" i="12" s="1"/>
  <c r="B66" i="12"/>
  <c r="B43" i="12"/>
  <c r="D43" i="12" s="1"/>
  <c r="B20" i="12"/>
  <c r="D20" i="12" s="1"/>
  <c r="B16" i="12"/>
  <c r="D16" i="12" s="1"/>
  <c r="B290" i="12" l="1"/>
  <c r="D291" i="13"/>
  <c r="B291" i="13"/>
  <c r="D66" i="12"/>
  <c r="D290" i="12" s="1"/>
  <c r="D4" i="11"/>
  <c r="D5" i="11"/>
  <c r="D6" i="11"/>
  <c r="D7" i="11"/>
  <c r="D8" i="11"/>
  <c r="D9" i="11"/>
  <c r="D10" i="11"/>
  <c r="D11" i="11"/>
  <c r="D12" i="11"/>
  <c r="D13" i="11"/>
  <c r="D14" i="11"/>
  <c r="D15" i="11"/>
  <c r="D16" i="11"/>
  <c r="D17" i="11"/>
  <c r="D18" i="11"/>
  <c r="D19" i="11"/>
  <c r="D20" i="11"/>
  <c r="D21" i="11"/>
  <c r="D23" i="11"/>
  <c r="D24" i="11"/>
  <c r="D25" i="11"/>
  <c r="D26" i="11"/>
  <c r="D27" i="11"/>
  <c r="D28" i="11"/>
  <c r="D29" i="11"/>
  <c r="D30" i="11"/>
  <c r="D32" i="11"/>
  <c r="D33" i="11"/>
  <c r="D35" i="11"/>
  <c r="D36" i="11"/>
  <c r="D37" i="11"/>
  <c r="D38" i="11"/>
  <c r="D39" i="11"/>
  <c r="D40" i="11"/>
  <c r="D41" i="11"/>
  <c r="D42" i="11"/>
  <c r="D43" i="11"/>
  <c r="D44" i="11"/>
  <c r="D45" i="11"/>
  <c r="D46" i="11"/>
  <c r="D47" i="11"/>
  <c r="D48" i="11"/>
  <c r="D49" i="11"/>
  <c r="D50" i="11"/>
  <c r="D51" i="11"/>
  <c r="D52" i="11"/>
  <c r="D53" i="11"/>
  <c r="D54" i="11"/>
  <c r="D55" i="11"/>
  <c r="D56" i="11"/>
  <c r="D57" i="11"/>
  <c r="D58" i="11"/>
  <c r="D59" i="11"/>
  <c r="D60" i="11"/>
  <c r="D61" i="11"/>
  <c r="D62" i="11"/>
  <c r="D63" i="11"/>
  <c r="D64" i="11"/>
  <c r="D65" i="11"/>
  <c r="D66" i="11"/>
  <c r="D67" i="11"/>
  <c r="D69" i="11"/>
  <c r="D70" i="11"/>
  <c r="D71" i="11"/>
  <c r="D72" i="11"/>
  <c r="D73" i="11"/>
  <c r="D74" i="11"/>
  <c r="D75" i="11"/>
  <c r="D76" i="11"/>
  <c r="D77" i="11"/>
  <c r="D78" i="11"/>
  <c r="D79" i="11"/>
  <c r="D80" i="11"/>
  <c r="D81" i="11"/>
  <c r="D82" i="11"/>
  <c r="D84" i="11"/>
  <c r="D85" i="11"/>
  <c r="D86" i="11"/>
  <c r="D87" i="11"/>
  <c r="D88" i="11"/>
  <c r="D89" i="11"/>
  <c r="D90" i="11"/>
  <c r="D91" i="11"/>
  <c r="D92" i="11"/>
  <c r="D93" i="11"/>
  <c r="D94" i="11"/>
  <c r="D95" i="11"/>
  <c r="D96" i="11"/>
  <c r="D97" i="11"/>
  <c r="D98" i="11"/>
  <c r="D99" i="11"/>
  <c r="D100" i="11"/>
  <c r="D101" i="11"/>
  <c r="D102" i="11"/>
  <c r="D103" i="11"/>
  <c r="D104" i="11"/>
  <c r="D105" i="11"/>
  <c r="D106" i="11"/>
  <c r="D107" i="11"/>
  <c r="D108" i="11"/>
  <c r="D109" i="11"/>
  <c r="D110" i="11"/>
  <c r="D111" i="11"/>
  <c r="D112" i="11"/>
  <c r="D113" i="11"/>
  <c r="D114" i="11"/>
  <c r="D115" i="11"/>
  <c r="D116" i="11"/>
  <c r="D117" i="11"/>
  <c r="D118" i="11"/>
  <c r="D119" i="11"/>
  <c r="D120" i="11"/>
  <c r="D121" i="11"/>
  <c r="D122" i="11"/>
  <c r="D123" i="11"/>
  <c r="D124" i="11"/>
  <c r="D125" i="11"/>
  <c r="D126" i="11"/>
  <c r="D127" i="11"/>
  <c r="D128" i="11"/>
  <c r="D129" i="11"/>
  <c r="D130" i="11"/>
  <c r="D131" i="11"/>
  <c r="D132" i="11"/>
  <c r="D133" i="11"/>
  <c r="D134" i="11"/>
  <c r="D135" i="11"/>
  <c r="D136" i="11"/>
  <c r="D137" i="11"/>
  <c r="D138" i="11"/>
  <c r="D139" i="11"/>
  <c r="D140" i="11"/>
  <c r="D141" i="11"/>
  <c r="D142" i="11"/>
  <c r="D143" i="11"/>
  <c r="D145" i="11"/>
  <c r="D146" i="11"/>
  <c r="D147" i="11"/>
  <c r="D148" i="11"/>
  <c r="D149" i="11"/>
  <c r="D150" i="11"/>
  <c r="D151" i="11"/>
  <c r="D152" i="11"/>
  <c r="D153" i="11"/>
  <c r="D154" i="11"/>
  <c r="D155" i="11"/>
  <c r="D156" i="11"/>
  <c r="D157" i="11"/>
  <c r="D158" i="11"/>
  <c r="D159" i="11"/>
  <c r="D160" i="11"/>
  <c r="D161" i="11"/>
  <c r="D162" i="11"/>
  <c r="D163" i="11"/>
  <c r="D165" i="11"/>
  <c r="D166" i="11"/>
  <c r="D167" i="11"/>
  <c r="D168" i="11"/>
  <c r="D169" i="11"/>
  <c r="D170" i="11"/>
  <c r="D171" i="11"/>
  <c r="D172" i="11"/>
  <c r="D173" i="11"/>
  <c r="D174" i="11"/>
  <c r="D175" i="11"/>
  <c r="D176" i="11"/>
  <c r="D177" i="11"/>
  <c r="D178" i="11"/>
  <c r="D179" i="11"/>
  <c r="D180" i="11"/>
  <c r="D181" i="11"/>
  <c r="D182" i="11"/>
  <c r="D183" i="11"/>
  <c r="D184" i="11"/>
  <c r="D185" i="11"/>
  <c r="D186" i="11"/>
  <c r="D187" i="11"/>
  <c r="D188" i="11"/>
  <c r="D189" i="11"/>
  <c r="D190" i="11"/>
  <c r="D191" i="11"/>
  <c r="D192" i="11"/>
  <c r="D193" i="11"/>
  <c r="D194" i="11"/>
  <c r="D195" i="11"/>
  <c r="D196" i="11"/>
  <c r="D197" i="11"/>
  <c r="D198" i="11"/>
  <c r="D199" i="11"/>
  <c r="D200" i="11"/>
  <c r="D201" i="11"/>
  <c r="D202" i="11"/>
  <c r="D203" i="11"/>
  <c r="D204" i="11"/>
  <c r="D205" i="11"/>
  <c r="D206" i="11"/>
  <c r="D207" i="11"/>
  <c r="D208" i="11"/>
  <c r="D209" i="11"/>
  <c r="D210" i="11"/>
  <c r="D211" i="11"/>
  <c r="D212" i="11"/>
  <c r="D213" i="11"/>
  <c r="D214" i="11"/>
  <c r="D215" i="11"/>
  <c r="D216" i="11"/>
  <c r="D217" i="11"/>
  <c r="D218" i="11"/>
  <c r="D219" i="11"/>
  <c r="D220" i="11"/>
  <c r="D221" i="11"/>
  <c r="D222" i="11"/>
  <c r="D223" i="11"/>
  <c r="D224" i="11"/>
  <c r="D225" i="11"/>
  <c r="D226" i="11"/>
  <c r="D227" i="11"/>
  <c r="D228" i="11"/>
  <c r="D229" i="11"/>
  <c r="D230" i="11"/>
  <c r="D231" i="11"/>
  <c r="D232" i="11"/>
  <c r="D233" i="11"/>
  <c r="D234" i="11"/>
  <c r="D235" i="11"/>
  <c r="D236" i="11"/>
  <c r="D237" i="11"/>
  <c r="D238" i="11"/>
  <c r="D239" i="11"/>
  <c r="D240" i="11"/>
  <c r="D241" i="11"/>
  <c r="D242" i="11"/>
  <c r="D243" i="11"/>
  <c r="D244" i="11"/>
  <c r="D245" i="11"/>
  <c r="D246" i="11"/>
  <c r="D247" i="11"/>
  <c r="D248" i="11"/>
  <c r="D249" i="11"/>
  <c r="D250" i="11"/>
  <c r="D251" i="11"/>
  <c r="D252" i="11"/>
  <c r="D253" i="11"/>
  <c r="D254" i="11"/>
  <c r="D255" i="11"/>
  <c r="D256" i="11"/>
  <c r="D257" i="11"/>
  <c r="D258" i="11"/>
  <c r="D259" i="11"/>
  <c r="D260" i="11"/>
  <c r="D261" i="11"/>
  <c r="D262" i="11"/>
  <c r="D263" i="11"/>
  <c r="D264" i="11"/>
  <c r="D265" i="11"/>
  <c r="D266" i="11"/>
  <c r="D267" i="11"/>
  <c r="D268" i="11"/>
  <c r="D269" i="11"/>
  <c r="D270" i="11"/>
  <c r="D271" i="11"/>
  <c r="D272" i="11"/>
  <c r="D273" i="11"/>
  <c r="D274" i="11"/>
  <c r="D275" i="11"/>
  <c r="D277" i="11"/>
  <c r="D278" i="11"/>
  <c r="D279" i="11"/>
  <c r="D280" i="11"/>
  <c r="D281" i="11"/>
  <c r="D283" i="11"/>
  <c r="D284" i="11"/>
  <c r="D285" i="11"/>
  <c r="D286" i="11"/>
  <c r="D287" i="11"/>
  <c r="D288" i="11"/>
  <c r="D289" i="11"/>
  <c r="D3" i="11"/>
  <c r="B282" i="11"/>
  <c r="D282" i="11" s="1"/>
  <c r="B276" i="11"/>
  <c r="D276" i="11" s="1"/>
  <c r="B264" i="11"/>
  <c r="B179" i="11"/>
  <c r="B177" i="11"/>
  <c r="B164" i="11"/>
  <c r="D164" i="11" s="1"/>
  <c r="B144" i="11"/>
  <c r="D144" i="11" s="1"/>
  <c r="B143" i="11"/>
  <c r="B83" i="11"/>
  <c r="D83" i="11" s="1"/>
  <c r="B71" i="11"/>
  <c r="B68" i="11"/>
  <c r="D68" i="11" s="1"/>
  <c r="B41" i="11"/>
  <c r="B34" i="11"/>
  <c r="D34" i="11" s="1"/>
  <c r="B31" i="11"/>
  <c r="D31" i="11" s="1"/>
  <c r="B22" i="11"/>
  <c r="D22" i="11" s="1"/>
  <c r="D290" i="11" l="1"/>
  <c r="B290" i="11"/>
  <c r="D4" i="10"/>
  <c r="D5" i="10"/>
  <c r="D6" i="10"/>
  <c r="D7" i="10"/>
  <c r="D8" i="10"/>
  <c r="D9" i="10"/>
  <c r="D10" i="10"/>
  <c r="D11" i="10"/>
  <c r="D12" i="10"/>
  <c r="D13" i="10"/>
  <c r="D14" i="10"/>
  <c r="D15" i="10"/>
  <c r="D16" i="10"/>
  <c r="D17" i="10"/>
  <c r="D18" i="10"/>
  <c r="D19" i="10"/>
  <c r="D20" i="10"/>
  <c r="D21" i="10"/>
  <c r="D23" i="10"/>
  <c r="D24" i="10"/>
  <c r="D25" i="10"/>
  <c r="D26" i="10"/>
  <c r="D27" i="10"/>
  <c r="D28" i="10"/>
  <c r="D29" i="10"/>
  <c r="D30" i="10"/>
  <c r="D31" i="10"/>
  <c r="D32" i="10"/>
  <c r="D33" i="10"/>
  <c r="D34" i="10"/>
  <c r="D35" i="10"/>
  <c r="D36" i="10"/>
  <c r="D37" i="10"/>
  <c r="D38" i="10"/>
  <c r="D39" i="10"/>
  <c r="D40" i="10"/>
  <c r="D41" i="10"/>
  <c r="D42" i="10"/>
  <c r="D43" i="10"/>
  <c r="D44" i="10"/>
  <c r="D45" i="10"/>
  <c r="D46" i="10"/>
  <c r="D47" i="10"/>
  <c r="D48" i="10"/>
  <c r="D49" i="10"/>
  <c r="D50" i="10"/>
  <c r="D51" i="10"/>
  <c r="D52" i="10"/>
  <c r="D53" i="10"/>
  <c r="D54" i="10"/>
  <c r="D55" i="10"/>
  <c r="D56" i="10"/>
  <c r="D57" i="10"/>
  <c r="D58" i="10"/>
  <c r="D59" i="10"/>
  <c r="D60" i="10"/>
  <c r="D61" i="10"/>
  <c r="D62" i="10"/>
  <c r="D63" i="10"/>
  <c r="D64" i="10"/>
  <c r="D65" i="10"/>
  <c r="D66" i="10"/>
  <c r="D67" i="10"/>
  <c r="D68" i="10"/>
  <c r="D69" i="10"/>
  <c r="D70" i="10"/>
  <c r="D71" i="10"/>
  <c r="D72" i="10"/>
  <c r="D73" i="10"/>
  <c r="D74" i="10"/>
  <c r="D75" i="10"/>
  <c r="D76" i="10"/>
  <c r="D77" i="10"/>
  <c r="D78" i="10"/>
  <c r="D79" i="10"/>
  <c r="D80" i="10"/>
  <c r="D81" i="10"/>
  <c r="D82" i="10"/>
  <c r="D83" i="10"/>
  <c r="D84" i="10"/>
  <c r="D85" i="10"/>
  <c r="D86" i="10"/>
  <c r="D87" i="10"/>
  <c r="D88" i="10"/>
  <c r="D89" i="10"/>
  <c r="D90" i="10"/>
  <c r="D91" i="10"/>
  <c r="D92" i="10"/>
  <c r="D93" i="10"/>
  <c r="D94" i="10"/>
  <c r="D95" i="10"/>
  <c r="D96" i="10"/>
  <c r="D97" i="10"/>
  <c r="D98" i="10"/>
  <c r="D99" i="10"/>
  <c r="D100" i="10"/>
  <c r="D101" i="10"/>
  <c r="D102" i="10"/>
  <c r="D103" i="10"/>
  <c r="D104" i="10"/>
  <c r="D105" i="10"/>
  <c r="D106" i="10"/>
  <c r="D107" i="10"/>
  <c r="D108" i="10"/>
  <c r="D109" i="10"/>
  <c r="D110" i="10"/>
  <c r="D111" i="10"/>
  <c r="D112" i="10"/>
  <c r="D113" i="10"/>
  <c r="D115" i="10"/>
  <c r="D116" i="10"/>
  <c r="D117" i="10"/>
  <c r="D118" i="10"/>
  <c r="D119" i="10"/>
  <c r="D120" i="10"/>
  <c r="D122" i="10"/>
  <c r="D123" i="10"/>
  <c r="D124" i="10"/>
  <c r="D125" i="10"/>
  <c r="D126" i="10"/>
  <c r="D127" i="10"/>
  <c r="D128" i="10"/>
  <c r="D129" i="10"/>
  <c r="D130" i="10"/>
  <c r="D131" i="10"/>
  <c r="D132" i="10"/>
  <c r="D133" i="10"/>
  <c r="D134" i="10"/>
  <c r="D135" i="10"/>
  <c r="D136" i="10"/>
  <c r="D137" i="10"/>
  <c r="D138" i="10"/>
  <c r="D139" i="10"/>
  <c r="D140" i="10"/>
  <c r="D141" i="10"/>
  <c r="D142" i="10"/>
  <c r="D144" i="10"/>
  <c r="D145" i="10"/>
  <c r="D146" i="10"/>
  <c r="D147" i="10"/>
  <c r="D148" i="10"/>
  <c r="D150" i="10"/>
  <c r="D151" i="10"/>
  <c r="D152" i="10"/>
  <c r="D153" i="10"/>
  <c r="D154" i="10"/>
  <c r="D155" i="10"/>
  <c r="D156" i="10"/>
  <c r="D157" i="10"/>
  <c r="D158" i="10"/>
  <c r="D159" i="10"/>
  <c r="D160" i="10"/>
  <c r="D161" i="10"/>
  <c r="D162" i="10"/>
  <c r="D163" i="10"/>
  <c r="D165" i="10"/>
  <c r="D166" i="10"/>
  <c r="D168" i="10"/>
  <c r="D169" i="10"/>
  <c r="D170" i="10"/>
  <c r="D171" i="10"/>
  <c r="D172" i="10"/>
  <c r="D173" i="10"/>
  <c r="D174" i="10"/>
  <c r="D175" i="10"/>
  <c r="D176" i="10"/>
  <c r="D178" i="10"/>
  <c r="D180" i="10"/>
  <c r="D181" i="10"/>
  <c r="D182" i="10"/>
  <c r="D183" i="10"/>
  <c r="D184" i="10"/>
  <c r="D185" i="10"/>
  <c r="D186" i="10"/>
  <c r="D187" i="10"/>
  <c r="D188" i="10"/>
  <c r="D189" i="10"/>
  <c r="D190" i="10"/>
  <c r="D191" i="10"/>
  <c r="D192" i="10"/>
  <c r="D193" i="10"/>
  <c r="D194" i="10"/>
  <c r="D196" i="10"/>
  <c r="D197" i="10"/>
  <c r="D198" i="10"/>
  <c r="D199" i="10"/>
  <c r="D200" i="10"/>
  <c r="D201" i="10"/>
  <c r="D202" i="10"/>
  <c r="D203" i="10"/>
  <c r="D204" i="10"/>
  <c r="D205" i="10"/>
  <c r="D206" i="10"/>
  <c r="D207" i="10"/>
  <c r="D208" i="10"/>
  <c r="D209" i="10"/>
  <c r="D210" i="10"/>
  <c r="D211" i="10"/>
  <c r="D212" i="10"/>
  <c r="D213" i="10"/>
  <c r="D214" i="10"/>
  <c r="D215" i="10"/>
  <c r="D216" i="10"/>
  <c r="D217" i="10"/>
  <c r="D218" i="10"/>
  <c r="D219" i="10"/>
  <c r="D220" i="10"/>
  <c r="D221" i="10"/>
  <c r="D222" i="10"/>
  <c r="D223" i="10"/>
  <c r="D224" i="10"/>
  <c r="D225" i="10"/>
  <c r="D226" i="10"/>
  <c r="D227" i="10"/>
  <c r="D228" i="10"/>
  <c r="D229" i="10"/>
  <c r="D230" i="10"/>
  <c r="D231" i="10"/>
  <c r="D232" i="10"/>
  <c r="D233" i="10"/>
  <c r="D234" i="10"/>
  <c r="D235" i="10"/>
  <c r="D236" i="10"/>
  <c r="D237" i="10"/>
  <c r="D238" i="10"/>
  <c r="D239" i="10"/>
  <c r="D240" i="10"/>
  <c r="D241" i="10"/>
  <c r="D242" i="10"/>
  <c r="D243" i="10"/>
  <c r="D244" i="10"/>
  <c r="D245" i="10"/>
  <c r="D246" i="10"/>
  <c r="D247" i="10"/>
  <c r="D248" i="10"/>
  <c r="D249" i="10"/>
  <c r="D250" i="10"/>
  <c r="D251" i="10"/>
  <c r="D252" i="10"/>
  <c r="D253" i="10"/>
  <c r="D254" i="10"/>
  <c r="D255" i="10"/>
  <c r="D256" i="10"/>
  <c r="D257" i="10"/>
  <c r="D258" i="10"/>
  <c r="D259" i="10"/>
  <c r="D260" i="10"/>
  <c r="D261" i="10"/>
  <c r="D262" i="10"/>
  <c r="D263" i="10"/>
  <c r="D264" i="10"/>
  <c r="D265" i="10"/>
  <c r="D266" i="10"/>
  <c r="D267" i="10"/>
  <c r="D268" i="10"/>
  <c r="D269" i="10"/>
  <c r="D270" i="10"/>
  <c r="D271" i="10"/>
  <c r="D272" i="10"/>
  <c r="D273" i="10"/>
  <c r="D274" i="10"/>
  <c r="D275" i="10"/>
  <c r="D276" i="10"/>
  <c r="D277" i="10"/>
  <c r="D278" i="10"/>
  <c r="D279" i="10"/>
  <c r="D280" i="10"/>
  <c r="D281" i="10"/>
  <c r="D282" i="10"/>
  <c r="D283" i="10"/>
  <c r="D284" i="10"/>
  <c r="D285" i="10"/>
  <c r="D286" i="10"/>
  <c r="D287" i="10"/>
  <c r="D288" i="10"/>
  <c r="D289" i="10"/>
  <c r="D3" i="10"/>
  <c r="B195" i="10"/>
  <c r="D195" i="10" s="1"/>
  <c r="B179" i="10"/>
  <c r="D179" i="10" s="1"/>
  <c r="B177" i="10"/>
  <c r="D177" i="10" s="1"/>
  <c r="B167" i="10"/>
  <c r="D167" i="10" s="1"/>
  <c r="B164" i="10"/>
  <c r="D164" i="10" s="1"/>
  <c r="B149" i="10"/>
  <c r="D149" i="10" s="1"/>
  <c r="B143" i="10"/>
  <c r="D143" i="10" s="1"/>
  <c r="B121" i="10"/>
  <c r="D121" i="10" s="1"/>
  <c r="B114" i="10"/>
  <c r="D114" i="10" s="1"/>
  <c r="B34" i="10"/>
  <c r="B22" i="10"/>
  <c r="D22" i="10" s="1"/>
  <c r="D4" i="9"/>
  <c r="D5" i="9"/>
  <c r="D6" i="9"/>
  <c r="D7" i="9"/>
  <c r="D8" i="9"/>
  <c r="D9" i="9"/>
  <c r="D10" i="9"/>
  <c r="D11" i="9"/>
  <c r="D12" i="9"/>
  <c r="D13" i="9"/>
  <c r="D14" i="9"/>
  <c r="D15" i="9"/>
  <c r="D16" i="9"/>
  <c r="D17" i="9"/>
  <c r="D18" i="9"/>
  <c r="D19" i="9"/>
  <c r="D20" i="9"/>
  <c r="D21" i="9"/>
  <c r="D23" i="9"/>
  <c r="D24" i="9"/>
  <c r="D25" i="9"/>
  <c r="D26" i="9"/>
  <c r="D27" i="9"/>
  <c r="D28" i="9"/>
  <c r="D29" i="9"/>
  <c r="D30" i="9"/>
  <c r="D32" i="9"/>
  <c r="D33" i="9"/>
  <c r="D34" i="9"/>
  <c r="D35" i="9"/>
  <c r="D36" i="9"/>
  <c r="D37" i="9"/>
  <c r="D38" i="9"/>
  <c r="D40" i="9"/>
  <c r="D42" i="9"/>
  <c r="D43" i="9"/>
  <c r="D44" i="9"/>
  <c r="D45" i="9"/>
  <c r="D46" i="9"/>
  <c r="D47" i="9"/>
  <c r="D48" i="9"/>
  <c r="D49" i="9"/>
  <c r="D50" i="9"/>
  <c r="D51" i="9"/>
  <c r="D52" i="9"/>
  <c r="D54" i="9"/>
  <c r="D55" i="9"/>
  <c r="D56" i="9"/>
  <c r="D57" i="9"/>
  <c r="D58" i="9"/>
  <c r="D59" i="9"/>
  <c r="D60" i="9"/>
  <c r="D61" i="9"/>
  <c r="D62" i="9"/>
  <c r="D63" i="9"/>
  <c r="D64" i="9"/>
  <c r="D65" i="9"/>
  <c r="D66" i="9"/>
  <c r="D67" i="9"/>
  <c r="D69" i="9"/>
  <c r="D70" i="9"/>
  <c r="D71" i="9"/>
  <c r="D72" i="9"/>
  <c r="D73" i="9"/>
  <c r="D74" i="9"/>
  <c r="D75" i="9"/>
  <c r="D76" i="9"/>
  <c r="D77" i="9"/>
  <c r="D78" i="9"/>
  <c r="D79" i="9"/>
  <c r="D80" i="9"/>
  <c r="D81" i="9"/>
  <c r="D82" i="9"/>
  <c r="D83" i="9"/>
  <c r="D85" i="9"/>
  <c r="D86" i="9"/>
  <c r="D87" i="9"/>
  <c r="D88" i="9"/>
  <c r="D89" i="9"/>
  <c r="D90" i="9"/>
  <c r="D91" i="9"/>
  <c r="D92" i="9"/>
  <c r="D93" i="9"/>
  <c r="D94" i="9"/>
  <c r="D95" i="9"/>
  <c r="D96" i="9"/>
  <c r="D97" i="9"/>
  <c r="D98" i="9"/>
  <c r="D99" i="9"/>
  <c r="D100" i="9"/>
  <c r="D101" i="9"/>
  <c r="D102" i="9"/>
  <c r="D103" i="9"/>
  <c r="D104" i="9"/>
  <c r="D105" i="9"/>
  <c r="D106" i="9"/>
  <c r="D107" i="9"/>
  <c r="D108" i="9"/>
  <c r="D109" i="9"/>
  <c r="D110" i="9"/>
  <c r="D111" i="9"/>
  <c r="D112" i="9"/>
  <c r="D113" i="9"/>
  <c r="D115" i="9"/>
  <c r="D116" i="9"/>
  <c r="D117" i="9"/>
  <c r="D118" i="9"/>
  <c r="D119" i="9"/>
  <c r="D120" i="9"/>
  <c r="D122" i="9"/>
  <c r="D123" i="9"/>
  <c r="D124" i="9"/>
  <c r="D125" i="9"/>
  <c r="D126" i="9"/>
  <c r="D127" i="9"/>
  <c r="D128" i="9"/>
  <c r="D129" i="9"/>
  <c r="D130" i="9"/>
  <c r="D131" i="9"/>
  <c r="D132" i="9"/>
  <c r="D133" i="9"/>
  <c r="D134" i="9"/>
  <c r="D135" i="9"/>
  <c r="D136" i="9"/>
  <c r="D137" i="9"/>
  <c r="D138" i="9"/>
  <c r="D139" i="9"/>
  <c r="D140" i="9"/>
  <c r="D141" i="9"/>
  <c r="D142" i="9"/>
  <c r="D144" i="9"/>
  <c r="D145" i="9"/>
  <c r="D146" i="9"/>
  <c r="D147" i="9"/>
  <c r="D148" i="9"/>
  <c r="D149" i="9"/>
  <c r="D151" i="9"/>
  <c r="D152" i="9"/>
  <c r="D153" i="9"/>
  <c r="D154" i="9"/>
  <c r="D155" i="9"/>
  <c r="D156" i="9"/>
  <c r="D157" i="9"/>
  <c r="D158" i="9"/>
  <c r="D159" i="9"/>
  <c r="D160" i="9"/>
  <c r="D161" i="9"/>
  <c r="D162" i="9"/>
  <c r="D163" i="9"/>
  <c r="D164" i="9"/>
  <c r="D165" i="9"/>
  <c r="D166" i="9"/>
  <c r="D168" i="9"/>
  <c r="D169" i="9"/>
  <c r="D170" i="9"/>
  <c r="D171" i="9"/>
  <c r="D172" i="9"/>
  <c r="D173" i="9"/>
  <c r="D174" i="9"/>
  <c r="D175" i="9"/>
  <c r="D176" i="9"/>
  <c r="D178" i="9"/>
  <c r="D180" i="9"/>
  <c r="D181" i="9"/>
  <c r="D182" i="9"/>
  <c r="D183" i="9"/>
  <c r="D184" i="9"/>
  <c r="D185" i="9"/>
  <c r="D186" i="9"/>
  <c r="D187" i="9"/>
  <c r="D188" i="9"/>
  <c r="D189" i="9"/>
  <c r="D190" i="9"/>
  <c r="D191" i="9"/>
  <c r="D192" i="9"/>
  <c r="D193" i="9"/>
  <c r="D194" i="9"/>
  <c r="D196" i="9"/>
  <c r="D197" i="9"/>
  <c r="D198" i="9"/>
  <c r="D199" i="9"/>
  <c r="D200" i="9"/>
  <c r="D201" i="9"/>
  <c r="D202" i="9"/>
  <c r="D203" i="9"/>
  <c r="D204" i="9"/>
  <c r="D205" i="9"/>
  <c r="D206" i="9"/>
  <c r="D207" i="9"/>
  <c r="D208" i="9"/>
  <c r="D209" i="9"/>
  <c r="D210" i="9"/>
  <c r="D211" i="9"/>
  <c r="D212" i="9"/>
  <c r="D213" i="9"/>
  <c r="D214" i="9"/>
  <c r="D215" i="9"/>
  <c r="D216" i="9"/>
  <c r="D217" i="9"/>
  <c r="D218" i="9"/>
  <c r="D219" i="9"/>
  <c r="D220" i="9"/>
  <c r="D221" i="9"/>
  <c r="D222" i="9"/>
  <c r="D223" i="9"/>
  <c r="D224" i="9"/>
  <c r="D225" i="9"/>
  <c r="D226" i="9"/>
  <c r="D227" i="9"/>
  <c r="D228" i="9"/>
  <c r="D229" i="9"/>
  <c r="D230" i="9"/>
  <c r="D231" i="9"/>
  <c r="D232" i="9"/>
  <c r="D233" i="9"/>
  <c r="D234" i="9"/>
  <c r="D235" i="9"/>
  <c r="D236" i="9"/>
  <c r="D237" i="9"/>
  <c r="D238" i="9"/>
  <c r="D239" i="9"/>
  <c r="D240" i="9"/>
  <c r="D241" i="9"/>
  <c r="D242" i="9"/>
  <c r="D243" i="9"/>
  <c r="D244" i="9"/>
  <c r="D245" i="9"/>
  <c r="D246" i="9"/>
  <c r="D247" i="9"/>
  <c r="D248" i="9"/>
  <c r="D249" i="9"/>
  <c r="D250" i="9"/>
  <c r="D251" i="9"/>
  <c r="D252" i="9"/>
  <c r="D253" i="9"/>
  <c r="D254" i="9"/>
  <c r="D255" i="9"/>
  <c r="D256" i="9"/>
  <c r="D257" i="9"/>
  <c r="D258" i="9"/>
  <c r="D259" i="9"/>
  <c r="D261" i="9"/>
  <c r="D262" i="9"/>
  <c r="D263" i="9"/>
  <c r="D265" i="9"/>
  <c r="D266" i="9"/>
  <c r="D267" i="9"/>
  <c r="D268" i="9"/>
  <c r="D269" i="9"/>
  <c r="D270" i="9"/>
  <c r="D271" i="9"/>
  <c r="D272" i="9"/>
  <c r="D273" i="9"/>
  <c r="D275" i="9"/>
  <c r="D276" i="9"/>
  <c r="D277" i="9"/>
  <c r="D278" i="9"/>
  <c r="D279" i="9"/>
  <c r="D280" i="9"/>
  <c r="D281" i="9"/>
  <c r="D282" i="9"/>
  <c r="D283" i="9"/>
  <c r="D284" i="9"/>
  <c r="D285" i="9"/>
  <c r="D286" i="9"/>
  <c r="D287" i="9"/>
  <c r="D288" i="9"/>
  <c r="D289" i="9"/>
  <c r="D3" i="9"/>
  <c r="B274" i="9"/>
  <c r="D274" i="9" s="1"/>
  <c r="B264" i="9"/>
  <c r="D264" i="9" s="1"/>
  <c r="B260" i="9"/>
  <c r="D260" i="9" s="1"/>
  <c r="B195" i="9"/>
  <c r="D195" i="9" s="1"/>
  <c r="B179" i="9"/>
  <c r="D179" i="9" s="1"/>
  <c r="B177" i="9"/>
  <c r="D177" i="9" s="1"/>
  <c r="B167" i="9"/>
  <c r="D167" i="9" s="1"/>
  <c r="B164" i="9"/>
  <c r="B150" i="9"/>
  <c r="D150" i="9" s="1"/>
  <c r="B143" i="9"/>
  <c r="D143" i="9" s="1"/>
  <c r="B121" i="9"/>
  <c r="D121" i="9" s="1"/>
  <c r="B114" i="9"/>
  <c r="D114" i="9" s="1"/>
  <c r="B84" i="9"/>
  <c r="D84" i="9" s="1"/>
  <c r="B68" i="9"/>
  <c r="D68" i="9" s="1"/>
  <c r="B53" i="9"/>
  <c r="D53" i="9" s="1"/>
  <c r="B41" i="9"/>
  <c r="D41" i="9" s="1"/>
  <c r="B39" i="9"/>
  <c r="D39" i="9" s="1"/>
  <c r="B31" i="9"/>
  <c r="D31" i="9" s="1"/>
  <c r="B22" i="9"/>
  <c r="D290" i="10" l="1"/>
  <c r="B290" i="10"/>
  <c r="B290" i="9"/>
  <c r="D22" i="9"/>
  <c r="D290" i="9" s="1"/>
  <c r="D4" i="7"/>
  <c r="D5" i="7"/>
  <c r="D6" i="7"/>
  <c r="D7" i="7"/>
  <c r="D8" i="7"/>
  <c r="D9" i="7"/>
  <c r="D10" i="7"/>
  <c r="D11" i="7"/>
  <c r="D12" i="7"/>
  <c r="D13" i="7"/>
  <c r="D14" i="7"/>
  <c r="D15" i="7"/>
  <c r="D17" i="7"/>
  <c r="D18" i="7"/>
  <c r="D19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6" i="7"/>
  <c r="D177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3" i="7"/>
  <c r="D214" i="7"/>
  <c r="D215" i="7"/>
  <c r="D216" i="7"/>
  <c r="D217" i="7"/>
  <c r="D218" i="7"/>
  <c r="D219" i="7"/>
  <c r="D220" i="7"/>
  <c r="D221" i="7"/>
  <c r="D222" i="7"/>
  <c r="D223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3" i="7"/>
  <c r="B224" i="7"/>
  <c r="D224" i="7" s="1"/>
  <c r="B212" i="7"/>
  <c r="D212" i="7" s="1"/>
  <c r="B191" i="7"/>
  <c r="B178" i="7"/>
  <c r="D178" i="7" s="1"/>
  <c r="B175" i="7"/>
  <c r="D175" i="7" s="1"/>
  <c r="B166" i="7"/>
  <c r="B164" i="7"/>
  <c r="B152" i="7"/>
  <c r="D152" i="7" s="1"/>
  <c r="B43" i="7"/>
  <c r="D43" i="7" s="1"/>
  <c r="B20" i="7"/>
  <c r="D20" i="7" s="1"/>
  <c r="B16" i="7"/>
  <c r="B290" i="7" l="1"/>
  <c r="D16" i="7"/>
  <c r="D290" i="7"/>
  <c r="D4" i="6" l="1"/>
  <c r="D5" i="6"/>
  <c r="D6" i="6"/>
  <c r="D7" i="6"/>
  <c r="D8" i="6"/>
  <c r="D9" i="6"/>
  <c r="D10" i="6"/>
  <c r="D11" i="6"/>
  <c r="D12" i="6"/>
  <c r="D13" i="6"/>
  <c r="D14" i="6"/>
  <c r="D15" i="6"/>
  <c r="D16" i="6"/>
  <c r="D17" i="6"/>
  <c r="D18" i="6"/>
  <c r="D19" i="6"/>
  <c r="D20" i="6"/>
  <c r="D21" i="6"/>
  <c r="D22" i="6"/>
  <c r="D23" i="6"/>
  <c r="D24" i="6"/>
  <c r="D25" i="6"/>
  <c r="D26" i="6"/>
  <c r="D27" i="6"/>
  <c r="D28" i="6"/>
  <c r="D29" i="6"/>
  <c r="D30" i="6"/>
  <c r="D32" i="6"/>
  <c r="D33" i="6"/>
  <c r="D35" i="6"/>
  <c r="D36" i="6"/>
  <c r="D37" i="6"/>
  <c r="D38" i="6"/>
  <c r="D39" i="6"/>
  <c r="D40" i="6"/>
  <c r="D41" i="6"/>
  <c r="D42" i="6"/>
  <c r="D43" i="6"/>
  <c r="D44" i="6"/>
  <c r="D45" i="6"/>
  <c r="D46" i="6"/>
  <c r="D47" i="6"/>
  <c r="D48" i="6"/>
  <c r="D49" i="6"/>
  <c r="D50" i="6"/>
  <c r="D51" i="6"/>
  <c r="D52" i="6"/>
  <c r="D53" i="6"/>
  <c r="D54" i="6"/>
  <c r="D55" i="6"/>
  <c r="D56" i="6"/>
  <c r="D57" i="6"/>
  <c r="D58" i="6"/>
  <c r="D59" i="6"/>
  <c r="D60" i="6"/>
  <c r="D61" i="6"/>
  <c r="D62" i="6"/>
  <c r="D63" i="6"/>
  <c r="D64" i="6"/>
  <c r="D65" i="6"/>
  <c r="D66" i="6"/>
  <c r="D67" i="6"/>
  <c r="D69" i="6"/>
  <c r="D70" i="6"/>
  <c r="D71" i="6"/>
  <c r="D72" i="6"/>
  <c r="D73" i="6"/>
  <c r="D74" i="6"/>
  <c r="D75" i="6"/>
  <c r="D76" i="6"/>
  <c r="D77" i="6"/>
  <c r="D78" i="6"/>
  <c r="D79" i="6"/>
  <c r="D80" i="6"/>
  <c r="D81" i="6"/>
  <c r="D82" i="6"/>
  <c r="D83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D102" i="6"/>
  <c r="D103" i="6"/>
  <c r="D104" i="6"/>
  <c r="D105" i="6"/>
  <c r="D106" i="6"/>
  <c r="D107" i="6"/>
  <c r="D108" i="6"/>
  <c r="D109" i="6"/>
  <c r="D110" i="6"/>
  <c r="D111" i="6"/>
  <c r="D112" i="6"/>
  <c r="D113" i="6"/>
  <c r="D115" i="6"/>
  <c r="D116" i="6"/>
  <c r="D117" i="6"/>
  <c r="D118" i="6"/>
  <c r="D119" i="6"/>
  <c r="D120" i="6"/>
  <c r="D122" i="6"/>
  <c r="D123" i="6"/>
  <c r="D124" i="6"/>
  <c r="D125" i="6"/>
  <c r="D126" i="6"/>
  <c r="D127" i="6"/>
  <c r="D128" i="6"/>
  <c r="D129" i="6"/>
  <c r="D130" i="6"/>
  <c r="D131" i="6"/>
  <c r="D132" i="6"/>
  <c r="D133" i="6"/>
  <c r="D134" i="6"/>
  <c r="D135" i="6"/>
  <c r="D136" i="6"/>
  <c r="D137" i="6"/>
  <c r="D138" i="6"/>
  <c r="D139" i="6"/>
  <c r="D140" i="6"/>
  <c r="D141" i="6"/>
  <c r="D142" i="6"/>
  <c r="D144" i="6"/>
  <c r="D145" i="6"/>
  <c r="D146" i="6"/>
  <c r="D147" i="6"/>
  <c r="D148" i="6"/>
  <c r="D149" i="6"/>
  <c r="D150" i="6"/>
  <c r="D151" i="6"/>
  <c r="D152" i="6"/>
  <c r="D153" i="6"/>
  <c r="D154" i="6"/>
  <c r="D155" i="6"/>
  <c r="D156" i="6"/>
  <c r="D157" i="6"/>
  <c r="D158" i="6"/>
  <c r="D159" i="6"/>
  <c r="D160" i="6"/>
  <c r="D161" i="6"/>
  <c r="D162" i="6"/>
  <c r="D163" i="6"/>
  <c r="D164" i="6"/>
  <c r="D165" i="6"/>
  <c r="D166" i="6"/>
  <c r="D168" i="6"/>
  <c r="D169" i="6"/>
  <c r="D170" i="6"/>
  <c r="D171" i="6"/>
  <c r="D172" i="6"/>
  <c r="D173" i="6"/>
  <c r="D174" i="6"/>
  <c r="D175" i="6"/>
  <c r="D177" i="6"/>
  <c r="D178" i="6"/>
  <c r="D179" i="6"/>
  <c r="D180" i="6"/>
  <c r="D181" i="6"/>
  <c r="D182" i="6"/>
  <c r="D183" i="6"/>
  <c r="D184" i="6"/>
  <c r="D185" i="6"/>
  <c r="D186" i="6"/>
  <c r="D187" i="6"/>
  <c r="D188" i="6"/>
  <c r="D189" i="6"/>
  <c r="D190" i="6"/>
  <c r="D192" i="6"/>
  <c r="D193" i="6"/>
  <c r="D194" i="6"/>
  <c r="D195" i="6"/>
  <c r="D196" i="6"/>
  <c r="D197" i="6"/>
  <c r="D198" i="6"/>
  <c r="D199" i="6"/>
  <c r="D200" i="6"/>
  <c r="D201" i="6"/>
  <c r="D202" i="6"/>
  <c r="D203" i="6"/>
  <c r="D204" i="6"/>
  <c r="D205" i="6"/>
  <c r="D206" i="6"/>
  <c r="D207" i="6"/>
  <c r="D208" i="6"/>
  <c r="D209" i="6"/>
  <c r="D210" i="6"/>
  <c r="D211" i="6"/>
  <c r="D212" i="6"/>
  <c r="D213" i="6"/>
  <c r="D214" i="6"/>
  <c r="D215" i="6"/>
  <c r="D216" i="6"/>
  <c r="D217" i="6"/>
  <c r="D218" i="6"/>
  <c r="D219" i="6"/>
  <c r="D220" i="6"/>
  <c r="D221" i="6"/>
  <c r="D222" i="6"/>
  <c r="D223" i="6"/>
  <c r="D224" i="6"/>
  <c r="D225" i="6"/>
  <c r="D226" i="6"/>
  <c r="D227" i="6"/>
  <c r="D228" i="6"/>
  <c r="D229" i="6"/>
  <c r="D230" i="6"/>
  <c r="D231" i="6"/>
  <c r="D232" i="6"/>
  <c r="D233" i="6"/>
  <c r="D234" i="6"/>
  <c r="D235" i="6"/>
  <c r="D236" i="6"/>
  <c r="D237" i="6"/>
  <c r="D238" i="6"/>
  <c r="D239" i="6"/>
  <c r="D240" i="6"/>
  <c r="D241" i="6"/>
  <c r="D242" i="6"/>
  <c r="D243" i="6"/>
  <c r="D244" i="6"/>
  <c r="D245" i="6"/>
  <c r="D246" i="6"/>
  <c r="D247" i="6"/>
  <c r="D248" i="6"/>
  <c r="D249" i="6"/>
  <c r="D250" i="6"/>
  <c r="D251" i="6"/>
  <c r="D252" i="6"/>
  <c r="D253" i="6"/>
  <c r="D254" i="6"/>
  <c r="D255" i="6"/>
  <c r="D256" i="6"/>
  <c r="D257" i="6"/>
  <c r="D258" i="6"/>
  <c r="D259" i="6"/>
  <c r="D261" i="6"/>
  <c r="D262" i="6"/>
  <c r="D263" i="6"/>
  <c r="D265" i="6"/>
  <c r="D266" i="6"/>
  <c r="D267" i="6"/>
  <c r="D268" i="6"/>
  <c r="D269" i="6"/>
  <c r="D270" i="6"/>
  <c r="D271" i="6"/>
  <c r="D272" i="6"/>
  <c r="D273" i="6"/>
  <c r="D274" i="6"/>
  <c r="D275" i="6"/>
  <c r="D276" i="6"/>
  <c r="D277" i="6"/>
  <c r="D278" i="6"/>
  <c r="D279" i="6"/>
  <c r="D280" i="6"/>
  <c r="D281" i="6"/>
  <c r="D283" i="6"/>
  <c r="D284" i="6"/>
  <c r="D285" i="6"/>
  <c r="D286" i="6"/>
  <c r="D287" i="6"/>
  <c r="D288" i="6"/>
  <c r="D289" i="6"/>
  <c r="D3" i="6"/>
  <c r="B282" i="6"/>
  <c r="D282" i="6" s="1"/>
  <c r="B270" i="6"/>
  <c r="B264" i="6"/>
  <c r="D264" i="6" s="1"/>
  <c r="B260" i="6"/>
  <c r="D260" i="6" s="1"/>
  <c r="B191" i="6"/>
  <c r="D191" i="6" s="1"/>
  <c r="B177" i="6"/>
  <c r="B176" i="6"/>
  <c r="D176" i="6" s="1"/>
  <c r="B167" i="6"/>
  <c r="D167" i="6" s="1"/>
  <c r="B143" i="6"/>
  <c r="D143" i="6" s="1"/>
  <c r="B121" i="6"/>
  <c r="D121" i="6" s="1"/>
  <c r="B114" i="6"/>
  <c r="D114" i="6" s="1"/>
  <c r="B68" i="6"/>
  <c r="D68" i="6" s="1"/>
  <c r="B41" i="6"/>
  <c r="B34" i="6"/>
  <c r="D34" i="6" s="1"/>
  <c r="B31" i="6"/>
  <c r="D31" i="6" s="1"/>
  <c r="B22" i="6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5" i="5"/>
  <c r="D36" i="5"/>
  <c r="D37" i="5"/>
  <c r="D38" i="5"/>
  <c r="D39" i="5"/>
  <c r="D40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7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95" i="5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115" i="5"/>
  <c r="D116" i="5"/>
  <c r="D117" i="5"/>
  <c r="D118" i="5"/>
  <c r="D119" i="5"/>
  <c r="D120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D142" i="5"/>
  <c r="D143" i="5"/>
  <c r="D144" i="5"/>
  <c r="D145" i="5"/>
  <c r="D146" i="5"/>
  <c r="D147" i="5"/>
  <c r="D148" i="5"/>
  <c r="D149" i="5"/>
  <c r="D150" i="5"/>
  <c r="D151" i="5"/>
  <c r="D152" i="5"/>
  <c r="D153" i="5"/>
  <c r="D154" i="5"/>
  <c r="D155" i="5"/>
  <c r="D156" i="5"/>
  <c r="D157" i="5"/>
  <c r="D158" i="5"/>
  <c r="D159" i="5"/>
  <c r="D160" i="5"/>
  <c r="D161" i="5"/>
  <c r="D162" i="5"/>
  <c r="D163" i="5"/>
  <c r="D165" i="5"/>
  <c r="D166" i="5"/>
  <c r="D167" i="5"/>
  <c r="D168" i="5"/>
  <c r="D169" i="5"/>
  <c r="D170" i="5"/>
  <c r="D171" i="5"/>
  <c r="D172" i="5"/>
  <c r="D173" i="5"/>
  <c r="D174" i="5"/>
  <c r="D175" i="5"/>
  <c r="D178" i="5"/>
  <c r="D179" i="5"/>
  <c r="D180" i="5"/>
  <c r="D181" i="5"/>
  <c r="D182" i="5"/>
  <c r="D183" i="5"/>
  <c r="D184" i="5"/>
  <c r="D185" i="5"/>
  <c r="D186" i="5"/>
  <c r="D187" i="5"/>
  <c r="D188" i="5"/>
  <c r="D189" i="5"/>
  <c r="D190" i="5"/>
  <c r="D191" i="5"/>
  <c r="D192" i="5"/>
  <c r="D193" i="5"/>
  <c r="D194" i="5"/>
  <c r="D195" i="5"/>
  <c r="D196" i="5"/>
  <c r="D197" i="5"/>
  <c r="D198" i="5"/>
  <c r="D199" i="5"/>
  <c r="D200" i="5"/>
  <c r="D201" i="5"/>
  <c r="D202" i="5"/>
  <c r="D203" i="5"/>
  <c r="D204" i="5"/>
  <c r="D205" i="5"/>
  <c r="D206" i="5"/>
  <c r="D207" i="5"/>
  <c r="D208" i="5"/>
  <c r="D209" i="5"/>
  <c r="D210" i="5"/>
  <c r="D211" i="5"/>
  <c r="D212" i="5"/>
  <c r="D213" i="5"/>
  <c r="D214" i="5"/>
  <c r="D215" i="5"/>
  <c r="D216" i="5"/>
  <c r="D217" i="5"/>
  <c r="D218" i="5"/>
  <c r="D219" i="5"/>
  <c r="D220" i="5"/>
  <c r="D221" i="5"/>
  <c r="D222" i="5"/>
  <c r="D223" i="5"/>
  <c r="D224" i="5"/>
  <c r="D225" i="5"/>
  <c r="D226" i="5"/>
  <c r="D227" i="5"/>
  <c r="D228" i="5"/>
  <c r="D229" i="5"/>
  <c r="D230" i="5"/>
  <c r="D231" i="5"/>
  <c r="D232" i="5"/>
  <c r="D233" i="5"/>
  <c r="D234" i="5"/>
  <c r="D235" i="5"/>
  <c r="D236" i="5"/>
  <c r="D237" i="5"/>
  <c r="D238" i="5"/>
  <c r="D239" i="5"/>
  <c r="D240" i="5"/>
  <c r="D241" i="5"/>
  <c r="D242" i="5"/>
  <c r="D243" i="5"/>
  <c r="D244" i="5"/>
  <c r="D245" i="5"/>
  <c r="D246" i="5"/>
  <c r="D247" i="5"/>
  <c r="D248" i="5"/>
  <c r="D249" i="5"/>
  <c r="D250" i="5"/>
  <c r="D251" i="5"/>
  <c r="D252" i="5"/>
  <c r="D253" i="5"/>
  <c r="D254" i="5"/>
  <c r="D255" i="5"/>
  <c r="D256" i="5"/>
  <c r="D257" i="5"/>
  <c r="D258" i="5"/>
  <c r="D259" i="5"/>
  <c r="D260" i="5"/>
  <c r="D261" i="5"/>
  <c r="D262" i="5"/>
  <c r="D263" i="5"/>
  <c r="D265" i="5"/>
  <c r="D266" i="5"/>
  <c r="D267" i="5"/>
  <c r="D268" i="5"/>
  <c r="D269" i="5"/>
  <c r="D270" i="5"/>
  <c r="D271" i="5"/>
  <c r="D272" i="5"/>
  <c r="D273" i="5"/>
  <c r="D274" i="5"/>
  <c r="D275" i="5"/>
  <c r="D276" i="5"/>
  <c r="D277" i="5"/>
  <c r="D278" i="5"/>
  <c r="D279" i="5"/>
  <c r="D280" i="5"/>
  <c r="D281" i="5"/>
  <c r="D282" i="5"/>
  <c r="D283" i="5"/>
  <c r="D284" i="5"/>
  <c r="D285" i="5"/>
  <c r="D286" i="5"/>
  <c r="D287" i="5"/>
  <c r="D288" i="5"/>
  <c r="D289" i="5"/>
  <c r="D3" i="5"/>
  <c r="B264" i="5"/>
  <c r="D264" i="5" s="1"/>
  <c r="B177" i="5"/>
  <c r="D177" i="5" s="1"/>
  <c r="B176" i="5"/>
  <c r="D176" i="5" s="1"/>
  <c r="B164" i="5"/>
  <c r="D164" i="5" s="1"/>
  <c r="B121" i="5"/>
  <c r="D121" i="5" s="1"/>
  <c r="B114" i="5"/>
  <c r="B68" i="5"/>
  <c r="B42" i="5"/>
  <c r="D42" i="5" s="1"/>
  <c r="B41" i="5"/>
  <c r="D41" i="5" s="1"/>
  <c r="B34" i="5"/>
  <c r="D34" i="5" s="1"/>
  <c r="D290" i="6" l="1"/>
  <c r="B290" i="6"/>
  <c r="D290" i="5"/>
  <c r="B290" i="5"/>
  <c r="D4" i="4"/>
  <c r="D5" i="4"/>
  <c r="D6" i="4"/>
  <c r="D7" i="4"/>
  <c r="D8" i="4"/>
  <c r="D9" i="4"/>
  <c r="D10" i="4"/>
  <c r="D11" i="4"/>
  <c r="D12" i="4"/>
  <c r="D13" i="4"/>
  <c r="D14" i="4"/>
  <c r="D15" i="4"/>
  <c r="D17" i="4"/>
  <c r="D18" i="4"/>
  <c r="D19" i="4"/>
  <c r="D20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4" i="4"/>
  <c r="D45" i="4"/>
  <c r="D46" i="4"/>
  <c r="D47" i="4"/>
  <c r="D48" i="4"/>
  <c r="D49" i="4"/>
  <c r="D50" i="4"/>
  <c r="D51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93" i="4"/>
  <c r="D94" i="4"/>
  <c r="D95" i="4"/>
  <c r="D96" i="4"/>
  <c r="D97" i="4"/>
  <c r="D98" i="4"/>
  <c r="D99" i="4"/>
  <c r="D100" i="4"/>
  <c r="D101" i="4"/>
  <c r="D102" i="4"/>
  <c r="D103" i="4"/>
  <c r="D104" i="4"/>
  <c r="D105" i="4"/>
  <c r="D106" i="4"/>
  <c r="D107" i="4"/>
  <c r="D108" i="4"/>
  <c r="D109" i="4"/>
  <c r="D110" i="4"/>
  <c r="D111" i="4"/>
  <c r="D112" i="4"/>
  <c r="D113" i="4"/>
  <c r="D114" i="4"/>
  <c r="D115" i="4"/>
  <c r="D116" i="4"/>
  <c r="D117" i="4"/>
  <c r="D119" i="4"/>
  <c r="D120" i="4"/>
  <c r="D121" i="4"/>
  <c r="D122" i="4"/>
  <c r="D123" i="4"/>
  <c r="D124" i="4"/>
  <c r="D125" i="4"/>
  <c r="D126" i="4"/>
  <c r="D127" i="4"/>
  <c r="D128" i="4"/>
  <c r="D129" i="4"/>
  <c r="D130" i="4"/>
  <c r="D131" i="4"/>
  <c r="D132" i="4"/>
  <c r="D133" i="4"/>
  <c r="D134" i="4"/>
  <c r="D135" i="4"/>
  <c r="D136" i="4"/>
  <c r="D137" i="4"/>
  <c r="D138" i="4"/>
  <c r="D139" i="4"/>
  <c r="D140" i="4"/>
  <c r="D141" i="4"/>
  <c r="D142" i="4"/>
  <c r="D143" i="4"/>
  <c r="D144" i="4"/>
  <c r="D145" i="4"/>
  <c r="D146" i="4"/>
  <c r="D147" i="4"/>
  <c r="D149" i="4"/>
  <c r="D150" i="4"/>
  <c r="D151" i="4"/>
  <c r="D152" i="4"/>
  <c r="D153" i="4"/>
  <c r="D154" i="4"/>
  <c r="D155" i="4"/>
  <c r="D156" i="4"/>
  <c r="D157" i="4"/>
  <c r="D158" i="4"/>
  <c r="D159" i="4"/>
  <c r="D160" i="4"/>
  <c r="D161" i="4"/>
  <c r="D162" i="4"/>
  <c r="D164" i="4"/>
  <c r="D165" i="4"/>
  <c r="D166" i="4"/>
  <c r="D167" i="4"/>
  <c r="D168" i="4"/>
  <c r="D169" i="4"/>
  <c r="D171" i="4"/>
  <c r="D172" i="4"/>
  <c r="D173" i="4"/>
  <c r="D174" i="4"/>
  <c r="D176" i="4"/>
  <c r="D177" i="4"/>
  <c r="D179" i="4"/>
  <c r="D180" i="4"/>
  <c r="D181" i="4"/>
  <c r="D182" i="4"/>
  <c r="D183" i="4"/>
  <c r="D184" i="4"/>
  <c r="D185" i="4"/>
  <c r="D186" i="4"/>
  <c r="D187" i="4"/>
  <c r="D188" i="4"/>
  <c r="D189" i="4"/>
  <c r="D190" i="4"/>
  <c r="D191" i="4"/>
  <c r="D192" i="4"/>
  <c r="D194" i="4"/>
  <c r="D195" i="4"/>
  <c r="D196" i="4"/>
  <c r="D197" i="4"/>
  <c r="D198" i="4"/>
  <c r="D199" i="4"/>
  <c r="D200" i="4"/>
  <c r="D201" i="4"/>
  <c r="D202" i="4"/>
  <c r="D203" i="4"/>
  <c r="D204" i="4"/>
  <c r="D205" i="4"/>
  <c r="D206" i="4"/>
  <c r="D207" i="4"/>
  <c r="D208" i="4"/>
  <c r="D209" i="4"/>
  <c r="D210" i="4"/>
  <c r="D211" i="4"/>
  <c r="D213" i="4"/>
  <c r="D214" i="4"/>
  <c r="D215" i="4"/>
  <c r="D216" i="4"/>
  <c r="D217" i="4"/>
  <c r="D218" i="4"/>
  <c r="D219" i="4"/>
  <c r="D220" i="4"/>
  <c r="D221" i="4"/>
  <c r="D222" i="4"/>
  <c r="D223" i="4"/>
  <c r="D224" i="4"/>
  <c r="D225" i="4"/>
  <c r="D226" i="4"/>
  <c r="D227" i="4"/>
  <c r="D228" i="4"/>
  <c r="D229" i="4"/>
  <c r="D230" i="4"/>
  <c r="D231" i="4"/>
  <c r="D232" i="4"/>
  <c r="D233" i="4"/>
  <c r="D234" i="4"/>
  <c r="D235" i="4"/>
  <c r="D236" i="4"/>
  <c r="D237" i="4"/>
  <c r="D238" i="4"/>
  <c r="D239" i="4"/>
  <c r="D240" i="4"/>
  <c r="D241" i="4"/>
  <c r="D242" i="4"/>
  <c r="D243" i="4"/>
  <c r="D244" i="4"/>
  <c r="D245" i="4"/>
  <c r="D246" i="4"/>
  <c r="D247" i="4"/>
  <c r="D248" i="4"/>
  <c r="D249" i="4"/>
  <c r="D250" i="4"/>
  <c r="D251" i="4"/>
  <c r="D252" i="4"/>
  <c r="D253" i="4"/>
  <c r="D254" i="4"/>
  <c r="D255" i="4"/>
  <c r="D256" i="4"/>
  <c r="D257" i="4"/>
  <c r="D258" i="4"/>
  <c r="D259" i="4"/>
  <c r="D260" i="4"/>
  <c r="D261" i="4"/>
  <c r="D262" i="4"/>
  <c r="D263" i="4"/>
  <c r="D264" i="4"/>
  <c r="D265" i="4"/>
  <c r="D266" i="4"/>
  <c r="D267" i="4"/>
  <c r="D268" i="4"/>
  <c r="D269" i="4"/>
  <c r="D270" i="4"/>
  <c r="D271" i="4"/>
  <c r="D272" i="4"/>
  <c r="D273" i="4"/>
  <c r="D274" i="4"/>
  <c r="D275" i="4"/>
  <c r="D276" i="4"/>
  <c r="D277" i="4"/>
  <c r="D278" i="4"/>
  <c r="D279" i="4"/>
  <c r="D280" i="4"/>
  <c r="D281" i="4"/>
  <c r="D282" i="4"/>
  <c r="D283" i="4"/>
  <c r="D284" i="4"/>
  <c r="D285" i="4"/>
  <c r="D286" i="4"/>
  <c r="D287" i="4"/>
  <c r="D288" i="4"/>
  <c r="D289" i="4"/>
  <c r="D3" i="4"/>
  <c r="B212" i="4"/>
  <c r="D212" i="4" s="1"/>
  <c r="B193" i="4"/>
  <c r="D193" i="4" s="1"/>
  <c r="B191" i="4"/>
  <c r="B178" i="4"/>
  <c r="D178" i="4" s="1"/>
  <c r="B175" i="4"/>
  <c r="D175" i="4" s="1"/>
  <c r="B170" i="4"/>
  <c r="D170" i="4" s="1"/>
  <c r="B164" i="4"/>
  <c r="B163" i="4"/>
  <c r="D163" i="4" s="1"/>
  <c r="B148" i="4"/>
  <c r="D148" i="4" s="1"/>
  <c r="B118" i="4"/>
  <c r="D118" i="4" s="1"/>
  <c r="B52" i="4"/>
  <c r="D52" i="4" s="1"/>
  <c r="B43" i="4"/>
  <c r="D43" i="4" s="1"/>
  <c r="B16" i="4"/>
  <c r="D16" i="4" s="1"/>
  <c r="D290" i="4" l="1"/>
  <c r="B290" i="4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3" i="3"/>
  <c r="D173" i="3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3" i="2"/>
  <c r="D24" i="2"/>
  <c r="D25" i="2"/>
  <c r="D26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2" i="2"/>
  <c r="D43" i="2"/>
  <c r="D44" i="2"/>
  <c r="D45" i="2"/>
  <c r="D46" i="2"/>
  <c r="D47" i="2"/>
  <c r="D48" i="2"/>
  <c r="D49" i="2"/>
  <c r="D50" i="2"/>
  <c r="D51" i="2"/>
  <c r="D52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128" i="2"/>
  <c r="D129" i="2"/>
  <c r="D130" i="2"/>
  <c r="D131" i="2"/>
  <c r="D132" i="2"/>
  <c r="D133" i="2"/>
  <c r="D134" i="2"/>
  <c r="D135" i="2"/>
  <c r="D136" i="2"/>
  <c r="D137" i="2"/>
  <c r="D138" i="2"/>
  <c r="D139" i="2"/>
  <c r="D140" i="2"/>
  <c r="D141" i="2"/>
  <c r="D142" i="2"/>
  <c r="D143" i="2"/>
  <c r="D144" i="2"/>
  <c r="D145" i="2"/>
  <c r="D146" i="2"/>
  <c r="D147" i="2"/>
  <c r="D148" i="2"/>
  <c r="D149" i="2"/>
  <c r="D150" i="2"/>
  <c r="D151" i="2"/>
  <c r="D152" i="2"/>
  <c r="D153" i="2"/>
  <c r="D154" i="2"/>
  <c r="D155" i="2"/>
  <c r="D156" i="2"/>
  <c r="D157" i="2"/>
  <c r="D158" i="2"/>
  <c r="D159" i="2"/>
  <c r="D160" i="2"/>
  <c r="D161" i="2"/>
  <c r="D162" i="2"/>
  <c r="D163" i="2"/>
  <c r="D165" i="2"/>
  <c r="D166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84" i="2"/>
  <c r="D185" i="2"/>
  <c r="D186" i="2"/>
  <c r="D187" i="2"/>
  <c r="D188" i="2"/>
  <c r="D189" i="2"/>
  <c r="D190" i="2"/>
  <c r="D191" i="2"/>
  <c r="D192" i="2"/>
  <c r="D193" i="2"/>
  <c r="D194" i="2"/>
  <c r="D196" i="2"/>
  <c r="D197" i="2"/>
  <c r="D198" i="2"/>
  <c r="D199" i="2"/>
  <c r="D200" i="2"/>
  <c r="D201" i="2"/>
  <c r="D202" i="2"/>
  <c r="D203" i="2"/>
  <c r="D204" i="2"/>
  <c r="D205" i="2"/>
  <c r="D206" i="2"/>
  <c r="D207" i="2"/>
  <c r="D208" i="2"/>
  <c r="D209" i="2"/>
  <c r="D210" i="2"/>
  <c r="D211" i="2"/>
  <c r="D212" i="2"/>
  <c r="D213" i="2"/>
  <c r="D214" i="2"/>
  <c r="D215" i="2"/>
  <c r="D216" i="2"/>
  <c r="D217" i="2"/>
  <c r="D218" i="2"/>
  <c r="D219" i="2"/>
  <c r="D220" i="2"/>
  <c r="D221" i="2"/>
  <c r="D222" i="2"/>
  <c r="D223" i="2"/>
  <c r="D224" i="2"/>
  <c r="D225" i="2"/>
  <c r="D226" i="2"/>
  <c r="D227" i="2"/>
  <c r="D228" i="2"/>
  <c r="D229" i="2"/>
  <c r="D230" i="2"/>
  <c r="D231" i="2"/>
  <c r="D232" i="2"/>
  <c r="D233" i="2"/>
  <c r="D234" i="2"/>
  <c r="D235" i="2"/>
  <c r="D236" i="2"/>
  <c r="D237" i="2"/>
  <c r="D238" i="2"/>
  <c r="D239" i="2"/>
  <c r="D240" i="2"/>
  <c r="D241" i="2"/>
  <c r="D242" i="2"/>
  <c r="D243" i="2"/>
  <c r="D244" i="2"/>
  <c r="D245" i="2"/>
  <c r="D246" i="2"/>
  <c r="D247" i="2"/>
  <c r="D248" i="2"/>
  <c r="D249" i="2"/>
  <c r="D250" i="2"/>
  <c r="D251" i="2"/>
  <c r="D252" i="2"/>
  <c r="D253" i="2"/>
  <c r="D254" i="2"/>
  <c r="D255" i="2"/>
  <c r="D256" i="2"/>
  <c r="D257" i="2"/>
  <c r="D258" i="2"/>
  <c r="D259" i="2"/>
  <c r="D260" i="2"/>
  <c r="D261" i="2"/>
  <c r="D262" i="2"/>
  <c r="D263" i="2"/>
  <c r="D265" i="2"/>
  <c r="D266" i="2"/>
  <c r="D267" i="2"/>
  <c r="D268" i="2"/>
  <c r="D269" i="2"/>
  <c r="D270" i="2"/>
  <c r="D271" i="2"/>
  <c r="D272" i="2"/>
  <c r="D273" i="2"/>
  <c r="D275" i="2"/>
  <c r="D276" i="2"/>
  <c r="D277" i="2"/>
  <c r="D278" i="2"/>
  <c r="D279" i="2"/>
  <c r="D280" i="2"/>
  <c r="D281" i="2"/>
  <c r="D282" i="2"/>
  <c r="D283" i="2"/>
  <c r="D284" i="2"/>
  <c r="D285" i="2"/>
  <c r="D286" i="2"/>
  <c r="D287" i="2"/>
  <c r="D288" i="2"/>
  <c r="D289" i="2"/>
  <c r="D3" i="2"/>
  <c r="B274" i="2"/>
  <c r="D274" i="2" s="1"/>
  <c r="B264" i="2"/>
  <c r="D264" i="2" s="1"/>
  <c r="B195" i="2"/>
  <c r="D195" i="2" s="1"/>
  <c r="B167" i="2"/>
  <c r="D167" i="2" s="1"/>
  <c r="B164" i="2"/>
  <c r="D164" i="2" s="1"/>
  <c r="B121" i="2"/>
  <c r="B115" i="2"/>
  <c r="D115" i="2" s="1"/>
  <c r="B114" i="2"/>
  <c r="D114" i="2" s="1"/>
  <c r="B53" i="2"/>
  <c r="D53" i="2" s="1"/>
  <c r="B41" i="2"/>
  <c r="D41" i="2" s="1"/>
  <c r="B27" i="2"/>
  <c r="D27" i="2" s="1"/>
  <c r="B22" i="2"/>
  <c r="D22" i="2" s="1"/>
  <c r="D290" i="2" l="1"/>
  <c r="B290" i="2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3" i="1"/>
  <c r="B264" i="1"/>
  <c r="D264" i="1" s="1"/>
  <c r="B177" i="1"/>
  <c r="D177" i="1" s="1"/>
  <c r="B164" i="1"/>
  <c r="B114" i="1"/>
  <c r="D114" i="1" s="1"/>
  <c r="B42" i="1"/>
  <c r="D42" i="1" s="1"/>
  <c r="B41" i="1"/>
  <c r="D290" i="1" l="1"/>
  <c r="B290" i="1"/>
</calcChain>
</file>

<file path=xl/sharedStrings.xml><?xml version="1.0" encoding="utf-8"?>
<sst xmlns="http://schemas.openxmlformats.org/spreadsheetml/2006/main" count="9012" uniqueCount="343">
  <si>
    <t>TÊN SẢN PHẨM</t>
  </si>
  <si>
    <t>TỒN TRƯỚC</t>
  </si>
  <si>
    <t>CÀ CHUA SÔCOLA 300GR (HỘP) VR</t>
  </si>
  <si>
    <t>CÀ CHUA SOCOLA XÁ</t>
  </si>
  <si>
    <t>CÀ CHUA SÔCOLA(HỘP) KQ</t>
  </si>
  <si>
    <t>CÀ CHUA SÔCOLA(HỘP) VR</t>
  </si>
  <si>
    <t>CÀ CHUA SÔCOLA(KG) KQ</t>
  </si>
  <si>
    <t>CÀ CHUA SÔCOLA(KG) -NA</t>
  </si>
  <si>
    <t>CÀ CHUA SÔCOLA(KG) VR</t>
  </si>
  <si>
    <t>CÀ RỐT BABY</t>
  </si>
  <si>
    <t>CÀ RỐT BABY 200GR</t>
  </si>
  <si>
    <t>CẢI CẦU VỒNG</t>
  </si>
  <si>
    <t>CẢI CẦU VỒNG 300GR</t>
  </si>
  <si>
    <t>CẢI KALE</t>
  </si>
  <si>
    <t>CẢI KALE 300GR</t>
  </si>
  <si>
    <t>CHANH VÀNG (KG)</t>
  </si>
  <si>
    <t>CHANH VÀNG TRÁI 180UP</t>
  </si>
  <si>
    <t>CẦN TÂY (KG)</t>
  </si>
  <si>
    <t>CẦN TÂY VR</t>
  </si>
  <si>
    <t>CẦN TÂY(CÂY)</t>
  </si>
  <si>
    <t>ỚT CHUÔNG  3 MÀU(KG)VR</t>
  </si>
  <si>
    <t>ỚT CHUÔNG  ĐỎ</t>
  </si>
  <si>
    <t>ỚT CHUÔNG  ĐỎ L1</t>
  </si>
  <si>
    <t>ỚT CHUÔNG  ĐỎ(TRÁI)</t>
  </si>
  <si>
    <t>ỚT CHUÔNG 3 MÀU 350G</t>
  </si>
  <si>
    <t>ỚT CHUÔNG 3 MÀU KQ(KG)</t>
  </si>
  <si>
    <t>ỚT CHUÔNG VÀNG</t>
  </si>
  <si>
    <t xml:space="preserve">ỚT CHUÔNG VÀNG L1 </t>
  </si>
  <si>
    <t>ỚT CHUÔNG VÀNG(TRÁI)</t>
  </si>
  <si>
    <t>ỚT CHUÔNG VÀNG+ XANH (VỈ)</t>
  </si>
  <si>
    <t>ỚT CHUÔNG XANH</t>
  </si>
  <si>
    <t xml:space="preserve">ỚT CHUÔNG XANH L1 </t>
  </si>
  <si>
    <t>ỚT CHUÔNG XANH(TRÁI)</t>
  </si>
  <si>
    <t>CỦ DỀN</t>
  </si>
  <si>
    <t>CỦ DỀN 600G</t>
  </si>
  <si>
    <t>GỪNG 250GR</t>
  </si>
  <si>
    <t>HỒNG GIÒN</t>
  </si>
  <si>
    <t>XÀ LÁCH MỸ</t>
  </si>
  <si>
    <t>KHOAI TÂY HỒNG</t>
  </si>
  <si>
    <t>KHOAI TÂY HỒNG TÚI LƯỚI 500G</t>
  </si>
  <si>
    <t xml:space="preserve">KHOAI TÂY VÀNG </t>
  </si>
  <si>
    <t>KHOAI TÂY VÀNG ĐL</t>
  </si>
  <si>
    <t>KHOAI TÂY VÀNG LỚN TÚI LƯỚI 500G</t>
  </si>
  <si>
    <t>KHOAI TÂY VÀNG RỬA</t>
  </si>
  <si>
    <t>KHOAI TÂY VÀNG TRUNG TÚI LƯỚI 500G</t>
  </si>
  <si>
    <t>CẢI THẢO 500G-900G</t>
  </si>
  <si>
    <t>CẢI THẢO DL</t>
  </si>
  <si>
    <t>CẢI THẢO DL(BẮP)</t>
  </si>
  <si>
    <t>CẢI THẢO VR</t>
  </si>
  <si>
    <t>BẦU</t>
  </si>
  <si>
    <t>BÍ ĐAO XANH</t>
  </si>
  <si>
    <t>BÍ ĐAO XANH 400G</t>
  </si>
  <si>
    <t>DƯA LEO</t>
  </si>
  <si>
    <t>DƯA LEO 400G</t>
  </si>
  <si>
    <t>KHỔ QUA</t>
  </si>
  <si>
    <t>KHỔ QUA 400GR</t>
  </si>
  <si>
    <t>KHỔ QUA BÓ 350-500GR</t>
  </si>
  <si>
    <t>MƯỚP HƯƠNG</t>
  </si>
  <si>
    <t>MƯỚP HƯƠNG 300G</t>
  </si>
  <si>
    <t>BÍ MINI VÀNG 300GR</t>
  </si>
  <si>
    <t>BÍ MINI VÀNG KG</t>
  </si>
  <si>
    <t>DƯA LEO GIỐNG NHẬT 600GR</t>
  </si>
  <si>
    <t>DƯA LEO GIỐNG NHẬT KG</t>
  </si>
  <si>
    <t>BƠ 034</t>
  </si>
  <si>
    <t>BƠ BOOTH</t>
  </si>
  <si>
    <t>BƠ SÁP</t>
  </si>
  <si>
    <t>KHOAI LANG MẬT</t>
  </si>
  <si>
    <t>KHOAI LANG MẬT (KG) VR</t>
  </si>
  <si>
    <t>KHOAI LANG MẬT 500G KQ</t>
  </si>
  <si>
    <t>KHOAI LANG MẬT 500G VR</t>
  </si>
  <si>
    <t>PARO</t>
  </si>
  <si>
    <t>PARO (CÂY)</t>
  </si>
  <si>
    <t>BẮP CẢI TÍM</t>
  </si>
  <si>
    <t>BẮP CẢI TÍM (BẮP)</t>
  </si>
  <si>
    <t>BẮP CẢI TÍM SUSHI</t>
  </si>
  <si>
    <t>CÀ CHUA CHERRY MIX 300G</t>
  </si>
  <si>
    <t>TÍA TÔ 50G</t>
  </si>
  <si>
    <t>XÀ LÁCH LOLO XANH</t>
  </si>
  <si>
    <t>XÀ LÁCH LOLO XANH SUSHI</t>
  </si>
  <si>
    <t>XÀ LÁCH LOLO XANH TÚI 300GR</t>
  </si>
  <si>
    <t>XÀ LÁCH ROMEN THUỶ CANH (KG) VR</t>
  </si>
  <si>
    <t xml:space="preserve">CÀ RỐT DL </t>
  </si>
  <si>
    <t>CÀ RỐT DL L1</t>
  </si>
  <si>
    <t>CÀ RỐT DL TÚI LƯỚI 500GR VR</t>
  </si>
  <si>
    <t>CÀ RỐT TRUNG</t>
  </si>
  <si>
    <t>CÀ RỐT TÚI LƯỚI 800G KQ</t>
  </si>
  <si>
    <t>GỪNG</t>
  </si>
  <si>
    <t>MỒNG TƠI</t>
  </si>
  <si>
    <t>NGÒ RÍ</t>
  </si>
  <si>
    <t>NGÒ RÍ TÚI 50GR</t>
  </si>
  <si>
    <t>ỚT HIỂM</t>
  </si>
  <si>
    <t>ỚT HIỂM 100G</t>
  </si>
  <si>
    <t>SU SU 400G</t>
  </si>
  <si>
    <t>THÌ LÀ</t>
  </si>
  <si>
    <t>THÌ LÀ TÚI 80GR</t>
  </si>
  <si>
    <t>XÀ LÁCH BÚP MỠ</t>
  </si>
  <si>
    <t>CHUỐI LABA</t>
  </si>
  <si>
    <t>BÔNG BÍ TÚI 300GR</t>
  </si>
  <si>
    <t>BÔNG CẢI TRẮNG</t>
  </si>
  <si>
    <t>BÔNG CẢI TRẮNG (CÂY)</t>
  </si>
  <si>
    <t>SET RAU KÈM ỚT</t>
  </si>
  <si>
    <t>SET RAU KHÔNG KÈM ỚT</t>
  </si>
  <si>
    <t>ĐẬU BO</t>
  </si>
  <si>
    <t>ĐẬU BO 250GR</t>
  </si>
  <si>
    <t>ĐẬU CÚC</t>
  </si>
  <si>
    <t>ĐẬU CÚC 250GR</t>
  </si>
  <si>
    <t>ĐẬU ĐỎ</t>
  </si>
  <si>
    <t>ĐẬU ĐỎ 250GR</t>
  </si>
  <si>
    <t>ĐẬU HÀ LAN-FUJI</t>
  </si>
  <si>
    <t>ĐẬU NGỰ</t>
  </si>
  <si>
    <t>ĐẬU NGỰ 250GR</t>
  </si>
  <si>
    <t>ĐẬU TRẮNG</t>
  </si>
  <si>
    <t>ĐẬU TRẮNG 250GR</t>
  </si>
  <si>
    <t>CÀ CHUA</t>
  </si>
  <si>
    <t>CÀ CHUA L1</t>
  </si>
  <si>
    <t>CÀ CHUA VỈ 400GR</t>
  </si>
  <si>
    <t>CÀ CHUA VR</t>
  </si>
  <si>
    <t>BÍ ĐỎ MINI</t>
  </si>
  <si>
    <t>ỚT SỪNG 100G</t>
  </si>
  <si>
    <t>XẢ CÂY</t>
  </si>
  <si>
    <t>BÍ ĐỎ TRÒN</t>
  </si>
  <si>
    <t>BÔNG ATISO</t>
  </si>
  <si>
    <t>BÔNG CẢI XANH BABY (KG)</t>
  </si>
  <si>
    <t>BÔNG CẢI XANH BABY 200G</t>
  </si>
  <si>
    <t>CỦ CẢI ĐỎ 300GR (KG) VR</t>
  </si>
  <si>
    <t>CỦ CẢI ĐỎ HỘP 300GR</t>
  </si>
  <si>
    <t>CỦ CẢI ĐỎ(HỘP)</t>
  </si>
  <si>
    <t>CỦ CẢI ĐỎ(KG) KQ</t>
  </si>
  <si>
    <t>CỦ CẢI ĐỎ(KG) VR</t>
  </si>
  <si>
    <t>CỦ CẢI HÀN QUỐC</t>
  </si>
  <si>
    <t>ĐẬU HÀ LAN</t>
  </si>
  <si>
    <t>ĐỌT SU 250G</t>
  </si>
  <si>
    <t>LÁ É 300G</t>
  </si>
  <si>
    <t>LÁ GIANG</t>
  </si>
  <si>
    <t>LÁ GIANG 200G</t>
  </si>
  <si>
    <t>LÁ MÈ</t>
  </si>
  <si>
    <t>LÁ MÈ TÚI 50G</t>
  </si>
  <si>
    <t>NGÒ TÂY</t>
  </si>
  <si>
    <t>ROCKET</t>
  </si>
  <si>
    <t>SÚ TRÁI TIM</t>
  </si>
  <si>
    <t>SÚ TRÁI TIM (BẮP)</t>
  </si>
  <si>
    <t>XẠ HƯƠNG</t>
  </si>
  <si>
    <t>KHOAI LANG NHẬT</t>
  </si>
  <si>
    <t>KHOAI LANG TÚI LƯỚI 1KG</t>
  </si>
  <si>
    <t>KHOAI LANG TÚI LƯỚI 500GR</t>
  </si>
  <si>
    <t>BÔNG BÍ</t>
  </si>
  <si>
    <t>RAU BẦU ĐẤT</t>
  </si>
  <si>
    <t>CÀ CHUA BI</t>
  </si>
  <si>
    <t>CÀ CHUA BI (HỘP) 300GR VR</t>
  </si>
  <si>
    <t>CÀ CHUA BI 300GR KQ (KG)</t>
  </si>
  <si>
    <t>CÀ CHUA BI 300GR VR (KG)</t>
  </si>
  <si>
    <t>CÀ CHUA BI CAM SỮA (KG) VR</t>
  </si>
  <si>
    <t>CÀ CHUA BI COOP</t>
  </si>
  <si>
    <t>CÀ CHUA BI-NA</t>
  </si>
  <si>
    <t>CÀ CHUA NGỌT</t>
  </si>
  <si>
    <t>CÀ CHUA NGỌT 300GR (KG)</t>
  </si>
  <si>
    <t>CÀ CHUA NGỌT XÁ</t>
  </si>
  <si>
    <t>ĐẬU QUE TRẮNG (KG XÁ)</t>
  </si>
  <si>
    <t>ĐẬU QUE TRẮNG (KG) KQ</t>
  </si>
  <si>
    <t>ĐẬU QUE TRẮNG (KG) VR</t>
  </si>
  <si>
    <t>ĐẬU QUE TRẮNG (KG) VR 300gr</t>
  </si>
  <si>
    <t>ĐẬU QUE TRẮNG (TÚI) KQ</t>
  </si>
  <si>
    <t>ĐẬU QUE TRẮNG (TÚI) VR</t>
  </si>
  <si>
    <t>CÀ CHUA Ý</t>
  </si>
  <si>
    <t>CÀ CHUA Ý 500G</t>
  </si>
  <si>
    <t>CÀ CHUA Ý TRÁI 140GR UP</t>
  </si>
  <si>
    <t>CÀ CHUA Ý(VỈ) KG</t>
  </si>
  <si>
    <t>CÀ CHUA Ý(VỈ) KG KQ</t>
  </si>
  <si>
    <t>CÀ Ý VỈ 650GR</t>
  </si>
  <si>
    <t>XÀ LÁCH CAROL</t>
  </si>
  <si>
    <t>XÀ LÁCH ROMEN (KG)</t>
  </si>
  <si>
    <t>XÀ LÁCH ROMEN TÚI 300GR</t>
  </si>
  <si>
    <t>CÀ TÍM SỌC PHA LÊ 300G</t>
  </si>
  <si>
    <t>CÀ TÍM SỌC PHA LÊ HỘP 500GR  VR</t>
  </si>
  <si>
    <t>CÀ TÍM SỌC PHA LÊ TÍM (KG) VR</t>
  </si>
  <si>
    <t>HÀNH TÂY DL</t>
  </si>
  <si>
    <t>HÀNH TÂY DL L1</t>
  </si>
  <si>
    <t>HÀNH TÂY DL L1 TÚI LƯỚI 300GR</t>
  </si>
  <si>
    <t>HÀNH TÂY DL TRUNG</t>
  </si>
  <si>
    <t>HANH TAY TIM</t>
  </si>
  <si>
    <t>HANH TAY TIM ĐL (TÚI LƯỚI)</t>
  </si>
  <si>
    <t>HÀNH TÂY TÚI LƯỚI 300GR</t>
  </si>
  <si>
    <t>KHOAI TÂY BI</t>
  </si>
  <si>
    <t>KHOAI TÂY BI 500G VR</t>
  </si>
  <si>
    <t>KHOAI TÂY BI TÚI LƯỚI 500GR</t>
  </si>
  <si>
    <t>KHOAI TÂY DT TÚI LƯỚI 1KG</t>
  </si>
  <si>
    <t>CẢI THẢO HỎA TIỄN</t>
  </si>
  <si>
    <t>CẢI THẢO HỎA TIỄN 250GR</t>
  </si>
  <si>
    <t>CÀ TÍM</t>
  </si>
  <si>
    <t>CÀ TÍM CẶP 400G</t>
  </si>
  <si>
    <t>BẮP CẢI TRẮNG</t>
  </si>
  <si>
    <t>BẮP CẢI TRẮNG (BẮP)</t>
  </si>
  <si>
    <t>DƯA LEO BABY KQ</t>
  </si>
  <si>
    <t>DƯA LEO BABY KQ(KG)</t>
  </si>
  <si>
    <t>DƯA LEO BABY VR</t>
  </si>
  <si>
    <t>DƯA LEO BABY VR(KG)</t>
  </si>
  <si>
    <t>DƯA LEO BABY VR(KG)-NA</t>
  </si>
  <si>
    <t>DƯA LEO BABY XÁ</t>
  </si>
  <si>
    <t>MÂM XÔI ĐEN</t>
  </si>
  <si>
    <t>BÍ ĐỎ HỒ LÔ</t>
  </si>
  <si>
    <t>CẢI CANH</t>
  </si>
  <si>
    <t>CẢI CHÍP</t>
  </si>
  <si>
    <t>CẢI CÚC 500GR</t>
  </si>
  <si>
    <t>CẢI NGỌT</t>
  </si>
  <si>
    <t>CHANH DÂY</t>
  </si>
  <si>
    <t>CHANH DÂY NGỌT L2</t>
  </si>
  <si>
    <t>CHANH DÂY NGỌT VỈ 300GR</t>
  </si>
  <si>
    <t>CHANH KHÔNG HẠT</t>
  </si>
  <si>
    <t>CỦ HÀNH ĐỎ</t>
  </si>
  <si>
    <t>CỦ HÀNH ĐỎ 500GR</t>
  </si>
  <si>
    <t>CỦ NGHỆ</t>
  </si>
  <si>
    <t>CỦ SẮN</t>
  </si>
  <si>
    <t>KHOAI MỠ</t>
  </si>
  <si>
    <t>KHOAI MÔN CAO</t>
  </si>
  <si>
    <t>KHOAI MÔN SỌ</t>
  </si>
  <si>
    <t>KHOAI SỌ</t>
  </si>
  <si>
    <t>NHA DAM</t>
  </si>
  <si>
    <t>OT HIEM XANH</t>
  </si>
  <si>
    <t>ỚT SỪNG</t>
  </si>
  <si>
    <t>TỎI</t>
  </si>
  <si>
    <t>TỎI 250G</t>
  </si>
  <si>
    <t>TỎI CÔ ĐƠN</t>
  </si>
  <si>
    <t>BÓ XÔI</t>
  </si>
  <si>
    <t>BÓ XÔI 300G VR</t>
  </si>
  <si>
    <t>BÓ XÔI-HN KQ</t>
  </si>
  <si>
    <t>BÓ XÔI-HN VR</t>
  </si>
  <si>
    <t>BÓ XÔI-NA</t>
  </si>
  <si>
    <t>ỚT CHUÔNG BABY</t>
  </si>
  <si>
    <t>ỚT CHUÔNG BABY MÀU</t>
  </si>
  <si>
    <t>ỚT CHUÔNG MÀU SNACK MÀU</t>
  </si>
  <si>
    <t>ỚT NGỌT PALERMO (KG) VR</t>
  </si>
  <si>
    <t>ỚT NGỌT PALERMO TÚI 300GR</t>
  </si>
  <si>
    <t>ỚT TRÁI CÂY TÚI 150GR</t>
  </si>
  <si>
    <t>SET ỚT CHUÔNG BABY 250G</t>
  </si>
  <si>
    <t>HÀNH LÁ</t>
  </si>
  <si>
    <t>HÀNH LÁ THUỶ CANH</t>
  </si>
  <si>
    <t>HÀNH LÁ THUỶ CANH(KG) VR</t>
  </si>
  <si>
    <t>XÀ LÁCH LOLO XANH THỦY CANH(KG)-NA</t>
  </si>
  <si>
    <t>XÀ LÁCH MỠ THỦY CANH(CÂY)</t>
  </si>
  <si>
    <t>XÀ LÁCH MỠ THỦY CANH(CÂY) VR</t>
  </si>
  <si>
    <t>XÀ LÁCH MỠ THỦY CANH(KG)</t>
  </si>
  <si>
    <t>XÀ LÁCH MỠ THỦY CANH(KG) KQ</t>
  </si>
  <si>
    <t>XÀ LÁCH MỠ THỦY CANH(KG)-NA</t>
  </si>
  <si>
    <t>XÀ LÁCH MỠ THỦY CANH(TÚI GIẤY) VR</t>
  </si>
  <si>
    <t>XÀ LÁCH ROMEN THUỶ CANH VR</t>
  </si>
  <si>
    <t>XA LACH SALANOVA ĐỎ THUỶ CANH 150+(NA)</t>
  </si>
  <si>
    <t>XA LACH SALANOVA XANH THUỶ CANH 150+(NA)</t>
  </si>
  <si>
    <t>XÀ LÁCH THỦY TINH THỦY CANH (KG)</t>
  </si>
  <si>
    <t>XÀ LÁCH THỦY TINH THỦY CANH (KG) KQ</t>
  </si>
  <si>
    <t>XÀ LÁCH THỦY TINH THỦY CANH (KG)-NA</t>
  </si>
  <si>
    <t>XÀ LÁCH THỦY TINH THỦY CANH(CÂY)</t>
  </si>
  <si>
    <t>XÀ LÁCH THỦY TINH THỦY CANH(CÂY) VR</t>
  </si>
  <si>
    <t>XÀ LÁCH THỦY TINH THỦY CANH(TÚI GIẤY)</t>
  </si>
  <si>
    <t>XA LÁCH XOẮN THỦY CANH(CÂY)</t>
  </si>
  <si>
    <t>XA LÁCH XOẮN THỦY CANH(CÂY) VR</t>
  </si>
  <si>
    <t>XA LÁCH XOẮN THỦY CANH(KG)</t>
  </si>
  <si>
    <t>XA LÁCH XOẮN THỦY CANH(KG) KQ</t>
  </si>
  <si>
    <t>XA LÁCH XOẮN THỦY CANH(TÚI GIẤY) VR</t>
  </si>
  <si>
    <t>XÀ LÁCH XOONG THUỶ CANH</t>
  </si>
  <si>
    <t>SU HÀO</t>
  </si>
  <si>
    <t>SU HÀO 400G</t>
  </si>
  <si>
    <t>SU HÀO VR</t>
  </si>
  <si>
    <t>BÍ NGÒI VÀNG</t>
  </si>
  <si>
    <t>BÍ NGÒI XANH</t>
  </si>
  <si>
    <t>BÍ NGÒI XANH(TRÁI)</t>
  </si>
  <si>
    <t>BÍ NHẬT</t>
  </si>
  <si>
    <t>BÔNG CẢI XANH 10P</t>
  </si>
  <si>
    <t>BÔNG CẢI XANH AEON</t>
  </si>
  <si>
    <t>BÔNG CẢI XANH AEON (CÂY)</t>
  </si>
  <si>
    <t>BÔNG CẢI XANH BIGC</t>
  </si>
  <si>
    <t>BÔNG CẢI XANH CITI</t>
  </si>
  <si>
    <t>CỦ CẢI MUỐI (VỈ) 250G KQ</t>
  </si>
  <si>
    <t>CỦ CẢI MUỐI(KG)</t>
  </si>
  <si>
    <t>CỦ CẢI TRẮNG</t>
  </si>
  <si>
    <t>CỦ CẢI TRẮNG CẶP 400GR</t>
  </si>
  <si>
    <t>SU SU</t>
  </si>
  <si>
    <t>BÍ ĐỎ NON (KG)KQ</t>
  </si>
  <si>
    <t>BÍ ĐỎ NON TRÁI VR</t>
  </si>
  <si>
    <t>BÍ ĐỎ NON( KG) VR</t>
  </si>
  <si>
    <t>ĐẬU QUE XANH (KG) KQ</t>
  </si>
  <si>
    <t>ĐẬU QUE XANH( KG) VR</t>
  </si>
  <si>
    <t>ĐẬU QUE XANH( TÚI) KQ</t>
  </si>
  <si>
    <t>ĐẬU QUE XANH( TÚI) VR</t>
  </si>
  <si>
    <t>CÀ CHUA ROSEBERRY 300G</t>
  </si>
  <si>
    <t>ĐẬU BẮP</t>
  </si>
  <si>
    <t>MĂNG TÂY</t>
  </si>
  <si>
    <t>MĂNG TÂY 300GR</t>
  </si>
  <si>
    <t>RAU NGÓT</t>
  </si>
  <si>
    <t>TRÁI SAKE</t>
  </si>
  <si>
    <t>hàng tồn cuối ngày 1/10</t>
  </si>
  <si>
    <t>GIÁ NHẬP</t>
  </si>
  <si>
    <t>THÀNH TIỀN</t>
  </si>
  <si>
    <t>hàng tồn cuối ngày 2/10</t>
  </si>
  <si>
    <t>hàng tồn cuối ngày 3/10</t>
  </si>
  <si>
    <t>hàng tồn cuối ngày 4/10</t>
  </si>
  <si>
    <t>hàng tồn cuối ngày 5/10</t>
  </si>
  <si>
    <t>hàng tồn cuối ngày 6/10</t>
  </si>
  <si>
    <t xml:space="preserve">GIÁ NHẬP </t>
  </si>
  <si>
    <t>hàng tồn cuối ngày 7/10</t>
  </si>
  <si>
    <t>hàng tồn cuối ngày 8/10</t>
  </si>
  <si>
    <t>CẢI THẢO KIM CHI</t>
  </si>
  <si>
    <t>hàng tồn cuối ngày 9/10</t>
  </si>
  <si>
    <t>hàng tồn cuối ngày 10/10</t>
  </si>
  <si>
    <t>CÀ CHUA SÔCOLA 250GR (HỘP) VR</t>
  </si>
  <si>
    <t>CÀ CHUA SÔCOLA 250GR (KG) -NA</t>
  </si>
  <si>
    <t>CÀ CHUA SÔCOLA 250GR (KG) VR</t>
  </si>
  <si>
    <t>CÀ CHUA SÔCOLA 250GR(KG) KQ</t>
  </si>
  <si>
    <t>hàng tồn cuối ngày 11/10</t>
  </si>
  <si>
    <t>BẮP CẢI TRẮNG SUSHI</t>
  </si>
  <si>
    <t>hàng tồn cuối ngày 12/10</t>
  </si>
  <si>
    <t>hàng tồn cuối ngày 13.10</t>
  </si>
  <si>
    <t>hàng tồn cuối ngày 14/10</t>
  </si>
  <si>
    <t>hàng tồn cuối ngày 15/10</t>
  </si>
  <si>
    <t>CHẬU CÂY CẢI CẦU VỒNG</t>
  </si>
  <si>
    <t>CHẬU CÂY CẢI KALE</t>
  </si>
  <si>
    <t>CHẬU CÂY CẦN TÂY</t>
  </si>
  <si>
    <t>hàng tồn cuối ngày 16/10</t>
  </si>
  <si>
    <t>hàng tồn cuối ngày 17/10</t>
  </si>
  <si>
    <t>hàng tồn cuối ngày 18/10</t>
  </si>
  <si>
    <t>CÀ CHUA Ý CHÙM</t>
  </si>
  <si>
    <t>hàng tồn cuối ngày 19/10</t>
  </si>
  <si>
    <t>hàng tồn cuối ngày 20/10</t>
  </si>
  <si>
    <t>hàng tồn cuối ngày 21/10</t>
  </si>
  <si>
    <t>GÍA NHẬP</t>
  </si>
  <si>
    <t>hàng tồn cuối ngày 22/10</t>
  </si>
  <si>
    <t>hàng tồn cuối ngày 23/10</t>
  </si>
  <si>
    <t>hàng tồn cuối ngày 24/10</t>
  </si>
  <si>
    <t>hàng tồn cuối ngày 25/10</t>
  </si>
  <si>
    <t xml:space="preserve">THÀNH TIỀN </t>
  </si>
  <si>
    <t>hàng tồn cuối ngày 26/10</t>
  </si>
  <si>
    <t>HÀNH TÂY TÚI LƯỚI</t>
  </si>
  <si>
    <t>hàng tồn cuối ngày 27/10</t>
  </si>
  <si>
    <t>ỚT NGỌT PALERMO (KG) KQ</t>
  </si>
  <si>
    <t>hàng tồn cuối ngày 28/10</t>
  </si>
  <si>
    <t>hàng tồn cuối ngày 29/10</t>
  </si>
  <si>
    <t>HẠT DẺ TƯƠI</t>
  </si>
  <si>
    <t>hàng tồn cuối ngày 30/10</t>
  </si>
  <si>
    <t>CÀ RỐT BABY (KG) KQ</t>
  </si>
  <si>
    <t>LÁ MÈ (KG) KQ</t>
  </si>
  <si>
    <t>ĐẬU QUE TRẮNG (TÚI) VR 300gr</t>
  </si>
  <si>
    <t>HÀNH TÂY DL BABY</t>
  </si>
  <si>
    <t>ỚT CHUÔNG MÀU SNACK MÀU(KG) KQ</t>
  </si>
  <si>
    <t>hàng tồn cuối ngày 31/10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</si>
</sst>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(* #,##0.00_);_(* \(#,##0.00\);_(* &quot;-&quot;??_);_(@_)"/>
    <numFmt numFmtId="164" formatCode="0.0"/>
    <numFmt numFmtId="165" formatCode="_(* #,##0_);_(* \(#,##0\);_(* &quot;-&quot;??_);_(@_)"/>
    <numFmt numFmtId="166" formatCode="_(* #,##0.0_);_(* \(#,##0.0\);_(* &quot;-&quot;??_);_(@_)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rgb="FFFF0000"/>
      <name val="Times New Roman"/>
      <family val="1"/>
    </font>
    <font>
      <sz val="10"/>
      <color rgb="FFFF0000"/>
      <name val="Times New Roman"/>
      <family val="1"/>
    </font>
    <font>
      <b/>
      <sz val="10"/>
      <name val="Times New Roman"/>
      <family val="1"/>
    </font>
    <font>
      <sz val="14"/>
      <name val="Times New Roman"/>
      <family val="1"/>
    </font>
    <font>
      <b/>
      <sz val="14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sz val="14"/>
      <color theme="1"/>
      <name val="Times New Roman"/>
      <family val="1"/>
    </font>
    <font>
      <b/>
      <sz val="12"/>
      <name val="Times New Roman"/>
      <family val="1"/>
    </font>
    <font>
      <sz val="11"/>
      <color indexed="8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3" fontId="11" fillId="0" borderId="0" applyFont="0" applyFill="0" applyBorder="0" applyAlignment="0" applyProtection="0"/>
  </cellStyleXfs>
  <cellXfs count="94">
    <xf numFmtId="0" fontId="0" fillId="0" borderId="0" xfId="0"/>
    <xf numFmtId="0" fontId="2" fillId="0" borderId="0" xfId="0" applyFont="1"/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3" fontId="4" fillId="2" borderId="2" xfId="0" applyNumberFormat="1" applyFont="1" applyFill="1" applyBorder="1" applyAlignment="1">
      <alignment horizontal="center" vertical="center" wrapText="1"/>
    </xf>
    <xf numFmtId="3" fontId="4" fillId="3" borderId="3" xfId="0" applyNumberFormat="1" applyFont="1" applyFill="1" applyBorder="1" applyAlignment="1">
      <alignment horizontal="center" vertical="center" wrapText="1"/>
    </xf>
    <xf numFmtId="164" fontId="5" fillId="0" borderId="2" xfId="0" applyNumberFormat="1" applyFont="1" applyBorder="1" applyAlignment="1">
      <alignment horizontal="left" vertical="center" shrinkToFit="1"/>
    </xf>
    <xf numFmtId="165" fontId="5" fillId="0" borderId="2" xfId="1" applyNumberFormat="1" applyFont="1" applyFill="1" applyBorder="1" applyAlignment="1">
      <alignment horizontal="left" vertical="center" shrinkToFit="1"/>
    </xf>
    <xf numFmtId="165" fontId="6" fillId="0" borderId="3" xfId="1" applyNumberFormat="1" applyFont="1" applyFill="1" applyBorder="1" applyAlignment="1">
      <alignment horizontal="left" vertical="center" shrinkToFit="1"/>
    </xf>
    <xf numFmtId="3" fontId="7" fillId="0" borderId="2" xfId="0" applyNumberFormat="1" applyFont="1" applyBorder="1"/>
    <xf numFmtId="1" fontId="5" fillId="0" borderId="2" xfId="0" applyNumberFormat="1" applyFont="1" applyBorder="1" applyAlignment="1">
      <alignment horizontal="left" vertical="center" shrinkToFit="1"/>
    </xf>
    <xf numFmtId="164" fontId="8" fillId="0" borderId="2" xfId="0" applyNumberFormat="1" applyFont="1" applyBorder="1" applyAlignment="1">
      <alignment horizontal="left" vertical="center" shrinkToFit="1"/>
    </xf>
    <xf numFmtId="166" fontId="5" fillId="0" borderId="2" xfId="1" applyNumberFormat="1" applyFont="1" applyFill="1" applyBorder="1" applyAlignment="1">
      <alignment horizontal="left" vertical="center" shrinkToFit="1"/>
    </xf>
    <xf numFmtId="1" fontId="8" fillId="0" borderId="2" xfId="0" applyNumberFormat="1" applyFont="1" applyBorder="1" applyAlignment="1">
      <alignment horizontal="left" vertical="center" shrinkToFit="1"/>
    </xf>
    <xf numFmtId="164" fontId="7" fillId="0" borderId="2" xfId="0" applyNumberFormat="1" applyFont="1" applyBorder="1" applyAlignment="1">
      <alignment horizontal="left" vertical="center" shrinkToFit="1"/>
    </xf>
    <xf numFmtId="3" fontId="5" fillId="0" borderId="2" xfId="0" applyNumberFormat="1" applyFont="1" applyBorder="1" applyAlignment="1">
      <alignment horizontal="left" vertical="center" shrinkToFit="1"/>
    </xf>
    <xf numFmtId="1" fontId="5" fillId="0" borderId="0" xfId="0" applyNumberFormat="1" applyFont="1" applyAlignment="1">
      <alignment horizontal="left" vertical="center" shrinkToFit="1"/>
    </xf>
    <xf numFmtId="3" fontId="7" fillId="0" borderId="2" xfId="0" applyNumberFormat="1" applyFont="1" applyBorder="1" applyAlignment="1">
      <alignment horizontal="left" vertical="center" shrinkToFit="1"/>
    </xf>
    <xf numFmtId="1" fontId="9" fillId="0" borderId="2" xfId="0" applyNumberFormat="1" applyFont="1" applyBorder="1" applyAlignment="1">
      <alignment horizontal="left" vertical="center" shrinkToFit="1"/>
    </xf>
    <xf numFmtId="165" fontId="9" fillId="0" borderId="2" xfId="1" applyNumberFormat="1" applyFont="1" applyFill="1" applyBorder="1" applyAlignment="1">
      <alignment horizontal="left" vertical="center" shrinkToFit="1"/>
    </xf>
    <xf numFmtId="0" fontId="5" fillId="0" borderId="2" xfId="0" applyFont="1" applyBorder="1" applyAlignment="1">
      <alignment horizontal="left" vertical="center" shrinkToFit="1"/>
    </xf>
    <xf numFmtId="0" fontId="7" fillId="0" borderId="2" xfId="0" applyFont="1" applyBorder="1" applyAlignment="1">
      <alignment horizontal="left" vertical="center" shrinkToFit="1"/>
    </xf>
    <xf numFmtId="1" fontId="7" fillId="0" borderId="2" xfId="0" applyNumberFormat="1" applyFont="1" applyBorder="1" applyAlignment="1">
      <alignment horizontal="left" vertical="center" shrinkToFit="1"/>
    </xf>
    <xf numFmtId="165" fontId="6" fillId="0" borderId="2" xfId="1" applyNumberFormat="1" applyFont="1" applyFill="1" applyBorder="1" applyAlignment="1">
      <alignment horizontal="center" vertical="center"/>
    </xf>
    <xf numFmtId="3" fontId="8" fillId="0" borderId="2" xfId="0" applyNumberFormat="1" applyFont="1" applyBorder="1" applyAlignment="1">
      <alignment horizontal="left" vertical="center" shrinkToFit="1"/>
    </xf>
    <xf numFmtId="164" fontId="5" fillId="0" borderId="4" xfId="0" applyNumberFormat="1" applyFont="1" applyBorder="1" applyAlignment="1">
      <alignment horizontal="left" vertical="center" shrinkToFit="1"/>
    </xf>
    <xf numFmtId="1" fontId="5" fillId="0" borderId="4" xfId="0" applyNumberFormat="1" applyFont="1" applyBorder="1" applyAlignment="1">
      <alignment horizontal="left" vertical="center" shrinkToFit="1"/>
    </xf>
    <xf numFmtId="164" fontId="7" fillId="0" borderId="4" xfId="0" applyNumberFormat="1" applyFont="1" applyBorder="1" applyAlignment="1">
      <alignment horizontal="left" vertical="center" shrinkToFit="1"/>
    </xf>
    <xf numFmtId="0" fontId="8" fillId="0" borderId="2" xfId="0" applyFont="1" applyBorder="1" applyAlignment="1">
      <alignment horizontal="left" vertical="center" wrapText="1" shrinkToFit="1"/>
    </xf>
    <xf numFmtId="166" fontId="5" fillId="0" borderId="2" xfId="1" applyNumberFormat="1" applyFont="1" applyFill="1" applyBorder="1" applyAlignment="1">
      <alignment horizontal="left" vertical="top"/>
    </xf>
    <xf numFmtId="164" fontId="5" fillId="4" borderId="2" xfId="0" applyNumberFormat="1" applyFont="1" applyFill="1" applyBorder="1" applyAlignment="1">
      <alignment horizontal="left" vertical="center" shrinkToFit="1"/>
    </xf>
    <xf numFmtId="1" fontId="6" fillId="0" borderId="2" xfId="0" applyNumberFormat="1" applyFont="1" applyBorder="1" applyAlignment="1">
      <alignment vertical="center" shrinkToFit="1"/>
    </xf>
    <xf numFmtId="165" fontId="4" fillId="0" borderId="2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164" fontId="7" fillId="0" borderId="0" xfId="0" applyNumberFormat="1" applyFont="1" applyAlignment="1">
      <alignment horizontal="left" vertical="center" shrinkToFit="1"/>
    </xf>
    <xf numFmtId="3" fontId="7" fillId="0" borderId="0" xfId="0" applyNumberFormat="1" applyFont="1"/>
    <xf numFmtId="164" fontId="5" fillId="0" borderId="0" xfId="0" applyNumberFormat="1" applyFont="1" applyAlignment="1">
      <alignment horizontal="left" vertical="center" shrinkToFit="1"/>
    </xf>
    <xf numFmtId="0" fontId="2" fillId="4" borderId="0" xfId="0" applyFont="1" applyFill="1"/>
    <xf numFmtId="164" fontId="8" fillId="4" borderId="2" xfId="0" applyNumberFormat="1" applyFont="1" applyFill="1" applyBorder="1" applyAlignment="1">
      <alignment horizontal="left" vertical="center" shrinkToFit="1"/>
    </xf>
    <xf numFmtId="1" fontId="5" fillId="4" borderId="2" xfId="0" applyNumberFormat="1" applyFont="1" applyFill="1" applyBorder="1" applyAlignment="1">
      <alignment horizontal="left" vertical="center" shrinkToFit="1"/>
    </xf>
    <xf numFmtId="1" fontId="8" fillId="4" borderId="2" xfId="0" applyNumberFormat="1" applyFont="1" applyFill="1" applyBorder="1" applyAlignment="1">
      <alignment horizontal="left" vertical="center" shrinkToFit="1"/>
    </xf>
    <xf numFmtId="164" fontId="7" fillId="4" borderId="2" xfId="0" applyNumberFormat="1" applyFont="1" applyFill="1" applyBorder="1" applyAlignment="1">
      <alignment horizontal="left" vertical="center" shrinkToFit="1"/>
    </xf>
    <xf numFmtId="3" fontId="7" fillId="4" borderId="2" xfId="0" applyNumberFormat="1" applyFont="1" applyFill="1" applyBorder="1" applyAlignment="1">
      <alignment horizontal="left" vertical="center" shrinkToFit="1"/>
    </xf>
    <xf numFmtId="1" fontId="5" fillId="4" borderId="0" xfId="0" applyNumberFormat="1" applyFont="1" applyFill="1" applyAlignment="1">
      <alignment horizontal="left" vertical="center" shrinkToFit="1"/>
    </xf>
    <xf numFmtId="0" fontId="5" fillId="4" borderId="2" xfId="0" applyFont="1" applyFill="1" applyBorder="1" applyAlignment="1">
      <alignment horizontal="left" vertical="center" shrinkToFit="1"/>
    </xf>
    <xf numFmtId="0" fontId="7" fillId="4" borderId="2" xfId="0" applyFont="1" applyFill="1" applyBorder="1" applyAlignment="1">
      <alignment horizontal="left" vertical="center" shrinkToFit="1"/>
    </xf>
    <xf numFmtId="1" fontId="7" fillId="4" borderId="2" xfId="0" applyNumberFormat="1" applyFont="1" applyFill="1" applyBorder="1" applyAlignment="1">
      <alignment horizontal="left" vertical="center" shrinkToFit="1"/>
    </xf>
    <xf numFmtId="164" fontId="5" fillId="4" borderId="4" xfId="0" applyNumberFormat="1" applyFont="1" applyFill="1" applyBorder="1" applyAlignment="1">
      <alignment horizontal="left" vertical="center" shrinkToFit="1"/>
    </xf>
    <xf numFmtId="1" fontId="5" fillId="4" borderId="4" xfId="0" applyNumberFormat="1" applyFont="1" applyFill="1" applyBorder="1" applyAlignment="1">
      <alignment horizontal="left" vertical="center" shrinkToFit="1"/>
    </xf>
    <xf numFmtId="0" fontId="8" fillId="4" borderId="2" xfId="0" applyFont="1" applyFill="1" applyBorder="1" applyAlignment="1">
      <alignment horizontal="left" vertical="center" wrapText="1" shrinkToFit="1"/>
    </xf>
    <xf numFmtId="3" fontId="8" fillId="4" borderId="2" xfId="0" applyNumberFormat="1" applyFont="1" applyFill="1" applyBorder="1" applyAlignment="1">
      <alignment horizontal="left" vertical="center" shrinkToFit="1"/>
    </xf>
    <xf numFmtId="0" fontId="8" fillId="4" borderId="0" xfId="0" applyFont="1" applyFill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4" fillId="4" borderId="1" xfId="0" applyFont="1" applyFill="1" applyBorder="1" applyAlignment="1">
      <alignment horizontal="center" vertical="center" wrapText="1"/>
    </xf>
    <xf numFmtId="164" fontId="8" fillId="0" borderId="0" xfId="0" applyNumberFormat="1" applyFont="1" applyAlignment="1">
      <alignment horizontal="left" vertical="center" shrinkToFit="1"/>
    </xf>
    <xf numFmtId="164" fontId="8" fillId="0" borderId="4" xfId="0" applyNumberFormat="1" applyFont="1" applyBorder="1" applyAlignment="1">
      <alignment horizontal="left" vertical="center" shrinkToFit="1"/>
    </xf>
    <xf numFmtId="0" fontId="2" fillId="0" borderId="0" xfId="0" applyFont="1" applyFill="1"/>
    <xf numFmtId="0" fontId="3" fillId="0" borderId="0" xfId="0" applyFont="1" applyFill="1" applyBorder="1" applyAlignment="1">
      <alignment horizontal="left" vertical="center"/>
    </xf>
    <xf numFmtId="0" fontId="2" fillId="0" borderId="0" xfId="0" applyFont="1" applyFill="1" applyBorder="1" applyAlignment="1">
      <alignment horizontal="left" vertical="center"/>
    </xf>
    <xf numFmtId="164" fontId="5" fillId="0" borderId="2" xfId="0" applyNumberFormat="1" applyFont="1" applyFill="1" applyBorder="1" applyAlignment="1">
      <alignment horizontal="left" vertical="center" shrinkToFit="1"/>
    </xf>
    <xf numFmtId="164" fontId="8" fillId="0" borderId="2" xfId="0" applyNumberFormat="1" applyFont="1" applyFill="1" applyBorder="1" applyAlignment="1">
      <alignment horizontal="left" vertical="center" shrinkToFit="1"/>
    </xf>
    <xf numFmtId="3" fontId="7" fillId="0" borderId="2" xfId="0" applyNumberFormat="1" applyFont="1" applyFill="1" applyBorder="1" applyProtection="1"/>
    <xf numFmtId="1" fontId="5" fillId="0" borderId="2" xfId="0" applyNumberFormat="1" applyFont="1" applyFill="1" applyBorder="1" applyAlignment="1">
      <alignment horizontal="left" vertical="center" shrinkToFit="1"/>
    </xf>
    <xf numFmtId="1" fontId="8" fillId="0" borderId="2" xfId="0" applyNumberFormat="1" applyFont="1" applyFill="1" applyBorder="1" applyAlignment="1">
      <alignment horizontal="left" vertical="center" shrinkToFit="1"/>
    </xf>
    <xf numFmtId="164" fontId="7" fillId="0" borderId="2" xfId="0" applyNumberFormat="1" applyFont="1" applyFill="1" applyBorder="1" applyAlignment="1" applyProtection="1">
      <alignment horizontal="left" vertical="center" shrinkToFit="1"/>
    </xf>
    <xf numFmtId="3" fontId="5" fillId="0" borderId="2" xfId="0" applyNumberFormat="1" applyFont="1" applyFill="1" applyBorder="1" applyAlignment="1">
      <alignment horizontal="left" vertical="center" shrinkToFit="1"/>
    </xf>
    <xf numFmtId="1" fontId="5" fillId="0" borderId="0" xfId="0" applyNumberFormat="1" applyFont="1" applyFill="1" applyBorder="1" applyAlignment="1">
      <alignment horizontal="left" vertical="center" shrinkToFit="1"/>
    </xf>
    <xf numFmtId="164" fontId="7" fillId="0" borderId="2" xfId="0" applyNumberFormat="1" applyFont="1" applyFill="1" applyBorder="1" applyAlignment="1">
      <alignment horizontal="left" vertical="center" shrinkToFit="1"/>
    </xf>
    <xf numFmtId="1" fontId="9" fillId="0" borderId="2" xfId="0" applyNumberFormat="1" applyFont="1" applyFill="1" applyBorder="1" applyAlignment="1">
      <alignment horizontal="left" vertical="center" shrinkToFit="1"/>
    </xf>
    <xf numFmtId="0" fontId="5" fillId="0" borderId="2" xfId="0" applyFont="1" applyFill="1" applyBorder="1" applyAlignment="1">
      <alignment horizontal="left" vertical="center" shrinkToFit="1"/>
    </xf>
    <xf numFmtId="0" fontId="7" fillId="0" borderId="2" xfId="0" applyFont="1" applyFill="1" applyBorder="1" applyAlignment="1">
      <alignment horizontal="left" vertical="center" shrinkToFit="1"/>
    </xf>
    <xf numFmtId="1" fontId="7" fillId="0" borderId="2" xfId="0" applyNumberFormat="1" applyFont="1" applyFill="1" applyBorder="1" applyAlignment="1" applyProtection="1">
      <alignment horizontal="left" vertical="center" shrinkToFit="1"/>
    </xf>
    <xf numFmtId="3" fontId="8" fillId="0" borderId="2" xfId="0" applyNumberFormat="1" applyFont="1" applyFill="1" applyBorder="1" applyAlignment="1" applyProtection="1">
      <alignment horizontal="left" vertical="center" shrinkToFit="1"/>
    </xf>
    <xf numFmtId="1" fontId="7" fillId="0" borderId="2" xfId="0" applyNumberFormat="1" applyFont="1" applyFill="1" applyBorder="1" applyAlignment="1">
      <alignment horizontal="left" vertical="center" shrinkToFit="1"/>
    </xf>
    <xf numFmtId="164" fontId="7" fillId="0" borderId="4" xfId="0" applyNumberFormat="1" applyFont="1" applyFill="1" applyBorder="1" applyAlignment="1" applyProtection="1">
      <alignment horizontal="left" vertical="center" shrinkToFit="1"/>
    </xf>
    <xf numFmtId="1" fontId="5" fillId="0" borderId="4" xfId="0" applyNumberFormat="1" applyFont="1" applyFill="1" applyBorder="1" applyAlignment="1">
      <alignment horizontal="left" vertical="center" shrinkToFit="1"/>
    </xf>
    <xf numFmtId="0" fontId="8" fillId="0" borderId="2" xfId="0" applyFont="1" applyFill="1" applyBorder="1" applyAlignment="1">
      <alignment horizontal="left" vertical="center" wrapText="1" shrinkToFit="1"/>
    </xf>
    <xf numFmtId="164" fontId="5" fillId="0" borderId="2" xfId="0" applyNumberFormat="1" applyFont="1" applyFill="1" applyBorder="1" applyAlignment="1" applyProtection="1">
      <alignment horizontal="left" vertical="center" shrinkToFit="1"/>
    </xf>
    <xf numFmtId="1" fontId="5" fillId="0" borderId="2" xfId="0" applyNumberFormat="1" applyFont="1" applyFill="1" applyBorder="1" applyAlignment="1" applyProtection="1">
      <alignment horizontal="left" vertical="center" shrinkToFit="1"/>
    </xf>
    <xf numFmtId="1" fontId="6" fillId="0" borderId="2" xfId="0" applyNumberFormat="1" applyFont="1" applyFill="1" applyBorder="1" applyAlignment="1">
      <alignment vertical="center" shrinkToFit="1"/>
    </xf>
    <xf numFmtId="164" fontId="7" fillId="0" borderId="0" xfId="0" applyNumberFormat="1" applyFont="1" applyFill="1" applyBorder="1" applyAlignment="1">
      <alignment horizontal="left" vertical="center" shrinkToFit="1"/>
    </xf>
    <xf numFmtId="164" fontId="8" fillId="0" borderId="0" xfId="0" applyNumberFormat="1" applyFont="1" applyFill="1" applyBorder="1" applyAlignment="1">
      <alignment horizontal="left" vertical="center" shrinkToFit="1"/>
    </xf>
    <xf numFmtId="164" fontId="8" fillId="0" borderId="4" xfId="0" applyNumberFormat="1" applyFont="1" applyFill="1" applyBorder="1" applyAlignment="1">
      <alignment horizontal="left" vertical="center" shrinkToFit="1"/>
    </xf>
    <xf numFmtId="0" fontId="4" fillId="0" borderId="1" xfId="0" applyFont="1" applyFill="1" applyBorder="1" applyAlignment="1">
      <alignment horizontal="center" vertical="center" wrapText="1"/>
    </xf>
    <xf numFmtId="164" fontId="5" fillId="0" borderId="0" xfId="0" applyNumberFormat="1" applyFont="1" applyFill="1" applyBorder="1" applyAlignment="1">
      <alignment horizontal="left" vertical="center" shrinkToFit="1"/>
    </xf>
    <xf numFmtId="165" fontId="4" fillId="0" borderId="2" xfId="2" applyNumberFormat="1" applyFont="1" applyFill="1" applyBorder="1" applyAlignment="1">
      <alignment horizontal="center" vertical="center"/>
    </xf>
    <xf numFmtId="165" fontId="5" fillId="0" borderId="2" xfId="2" applyNumberFormat="1" applyFont="1" applyFill="1" applyBorder="1" applyAlignment="1">
      <alignment horizontal="left" vertical="center" shrinkToFit="1"/>
    </xf>
    <xf numFmtId="165" fontId="6" fillId="0" borderId="3" xfId="2" applyNumberFormat="1" applyFont="1" applyFill="1" applyBorder="1" applyAlignment="1">
      <alignment horizontal="left" vertical="center" shrinkToFit="1"/>
    </xf>
    <xf numFmtId="166" fontId="5" fillId="0" borderId="2" xfId="2" applyNumberFormat="1" applyFont="1" applyFill="1" applyBorder="1" applyAlignment="1">
      <alignment horizontal="left" vertical="center" shrinkToFit="1"/>
    </xf>
    <xf numFmtId="165" fontId="9" fillId="0" borderId="2" xfId="2" applyNumberFormat="1" applyFont="1" applyFill="1" applyBorder="1" applyAlignment="1">
      <alignment horizontal="left" vertical="center" shrinkToFit="1"/>
    </xf>
    <xf numFmtId="165" fontId="6" fillId="0" borderId="2" xfId="2" applyNumberFormat="1" applyFont="1" applyFill="1" applyBorder="1" applyAlignment="1">
      <alignment horizontal="center" vertical="center"/>
    </xf>
    <xf numFmtId="166" fontId="5" fillId="0" borderId="2" xfId="2" applyNumberFormat="1" applyFont="1" applyFill="1" applyBorder="1" applyAlignment="1">
      <alignment horizontal="left" vertical="top"/>
    </xf>
    <xf numFmtId="164" fontId="5" fillId="0" borderId="4" xfId="0" applyNumberFormat="1" applyFont="1" applyFill="1" applyBorder="1" applyAlignment="1">
      <alignment horizontal="left" vertical="center" shrinkToFit="1"/>
    </xf>
  </cellXfs>
  <cellStyles count="3">
    <cellStyle name="Comma" xfId="1" builtinId="3"/>
    <cellStyle name="Comma 2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58" workbookViewId="0">
      <selection activeCell="D290" sqref="D290"/>
    </sheetView>
  </sheetViews>
  <sheetFormatPr defaultRowHeight="14.4" x14ac:dyDescent="0.3"/>
  <cols>
    <col min="1" max="1" width="42.6640625" customWidth="1"/>
    <col min="2" max="2" width="12.21875" customWidth="1"/>
    <col min="3" max="3" width="14.21875" customWidth="1"/>
    <col min="4" max="4" width="20.5546875" customWidth="1"/>
  </cols>
  <sheetData>
    <row r="1" spans="1:4" x14ac:dyDescent="0.3">
      <c r="A1" s="1" t="s">
        <v>289</v>
      </c>
      <c r="B1" s="2"/>
      <c r="C1" s="2"/>
      <c r="D1" s="3"/>
    </row>
    <row r="2" spans="1: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hidden="1" x14ac:dyDescent="0.35">
      <c r="A6" s="6" t="s">
        <v>5</v>
      </c>
      <c r="B6" s="7"/>
      <c r="C6" s="7"/>
      <c r="D6" s="8">
        <f t="shared" si="0"/>
        <v>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6" t="s">
        <v>8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v>50</v>
      </c>
      <c r="C22" s="7">
        <v>20000</v>
      </c>
      <c r="D22" s="8">
        <f t="shared" si="0"/>
        <v>1000000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hidden="1" x14ac:dyDescent="0.35">
      <c r="A27" s="10" t="s">
        <v>26</v>
      </c>
      <c r="B27" s="7"/>
      <c r="C27" s="7"/>
      <c r="D27" s="8">
        <f t="shared" si="0"/>
        <v>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v>30</v>
      </c>
      <c r="C31" s="7">
        <v>20000</v>
      </c>
      <c r="D31" s="8">
        <f t="shared" si="0"/>
        <v>600000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v>3</v>
      </c>
      <c r="C34" s="7">
        <v>5000</v>
      </c>
      <c r="D34" s="8">
        <f t="shared" si="0"/>
        <v>15000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hidden="1" x14ac:dyDescent="0.35">
      <c r="A37" s="6" t="s">
        <v>36</v>
      </c>
      <c r="B37" s="7"/>
      <c r="C37" s="7"/>
      <c r="D37" s="8">
        <f t="shared" si="0"/>
        <v>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hidden="1" x14ac:dyDescent="0.35">
      <c r="A39" s="10" t="s">
        <v>38</v>
      </c>
      <c r="B39" s="7"/>
      <c r="C39" s="7"/>
      <c r="D39" s="8">
        <f t="shared" si="0"/>
        <v>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f>20+30+20</f>
        <v>70</v>
      </c>
      <c r="C41" s="7">
        <v>13000</v>
      </c>
      <c r="D41" s="8">
        <f t="shared" si="0"/>
        <v>910000</v>
      </c>
    </row>
    <row r="42" spans="1:4" ht="18" x14ac:dyDescent="0.3">
      <c r="A42" s="10" t="s">
        <v>41</v>
      </c>
      <c r="B42" s="7">
        <f>195+645</f>
        <v>840</v>
      </c>
      <c r="C42" s="7">
        <v>22000</v>
      </c>
      <c r="D42" s="8">
        <f t="shared" si="0"/>
        <v>18480000</v>
      </c>
    </row>
    <row r="43" spans="1:4" ht="18" x14ac:dyDescent="0.3">
      <c r="A43" s="10" t="s">
        <v>42</v>
      </c>
      <c r="B43" s="7">
        <v>155</v>
      </c>
      <c r="C43" s="7">
        <v>17000</v>
      </c>
      <c r="D43" s="8">
        <f t="shared" si="0"/>
        <v>2635000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45</v>
      </c>
      <c r="B46" s="7"/>
      <c r="C46" s="7"/>
      <c r="D46" s="8">
        <f t="shared" si="0"/>
        <v>0</v>
      </c>
    </row>
    <row r="47" spans="1:4" ht="18" hidden="1" x14ac:dyDescent="0.35">
      <c r="A47" s="10" t="s">
        <v>46</v>
      </c>
      <c r="B47" s="7"/>
      <c r="C47" s="7"/>
      <c r="D47" s="8">
        <f t="shared" si="0"/>
        <v>0</v>
      </c>
    </row>
    <row r="48" spans="1:4" ht="18" hidden="1" x14ac:dyDescent="0.35">
      <c r="A48" s="14" t="s">
        <v>47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x14ac:dyDescent="0.3">
      <c r="A51" s="10" t="s">
        <v>50</v>
      </c>
      <c r="B51" s="7">
        <v>120</v>
      </c>
      <c r="C51" s="7">
        <v>3000</v>
      </c>
      <c r="D51" s="8">
        <f t="shared" si="0"/>
        <v>360000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v>100</v>
      </c>
      <c r="C53" s="7">
        <v>5000</v>
      </c>
      <c r="D53" s="8">
        <f t="shared" si="0"/>
        <v>500000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16" t="s">
        <v>57</v>
      </c>
      <c r="B58" s="7"/>
      <c r="C58" s="7"/>
      <c r="D58" s="8">
        <f t="shared" si="0"/>
        <v>0</v>
      </c>
    </row>
    <row r="59" spans="1:4" ht="18" hidden="1" x14ac:dyDescent="0.35">
      <c r="A59" s="10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v>260</v>
      </c>
      <c r="C68" s="7">
        <v>26000</v>
      </c>
      <c r="D68" s="8">
        <f t="shared" ref="D68:D131" si="1">B68*C68</f>
        <v>6760000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x14ac:dyDescent="0.3">
      <c r="A70" s="10" t="s">
        <v>69</v>
      </c>
      <c r="B70" s="7">
        <v>42</v>
      </c>
      <c r="C70" s="7">
        <v>14000</v>
      </c>
      <c r="D70" s="8">
        <f t="shared" si="1"/>
        <v>588000</v>
      </c>
    </row>
    <row r="71" spans="1:4" ht="18" hidden="1" x14ac:dyDescent="0.35">
      <c r="A71" s="10" t="s">
        <v>70</v>
      </c>
      <c r="B71" s="7"/>
      <c r="C71" s="7"/>
      <c r="D71" s="8">
        <f t="shared" si="1"/>
        <v>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hidden="1" x14ac:dyDescent="0.35">
      <c r="A83" s="10" t="s">
        <v>82</v>
      </c>
      <c r="B83" s="7"/>
      <c r="C83" s="7"/>
      <c r="D83" s="8">
        <f t="shared" si="1"/>
        <v>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hidden="1" x14ac:dyDescent="0.35">
      <c r="A85" s="10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hidden="1" x14ac:dyDescent="0.35">
      <c r="A97" s="26" t="s">
        <v>96</v>
      </c>
      <c r="B97" s="7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hidden="1" x14ac:dyDescent="0.35">
      <c r="A99" s="10" t="s">
        <v>98</v>
      </c>
      <c r="B99" s="7"/>
      <c r="C99" s="7"/>
      <c r="D99" s="8">
        <f t="shared" si="1"/>
        <v>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240+45+70+480+160+200</f>
        <v>1195</v>
      </c>
      <c r="C114" s="7">
        <v>14000</v>
      </c>
      <c r="D114" s="8">
        <f t="shared" si="1"/>
        <v>16730000</v>
      </c>
    </row>
    <row r="115" spans="1:4" ht="18" x14ac:dyDescent="0.3">
      <c r="A115" s="10" t="s">
        <v>114</v>
      </c>
      <c r="B115" s="7">
        <v>15</v>
      </c>
      <c r="C115" s="7">
        <v>9000</v>
      </c>
      <c r="D115" s="8">
        <f t="shared" si="1"/>
        <v>135000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v>195</v>
      </c>
      <c r="C121" s="7">
        <v>5000</v>
      </c>
      <c r="D121" s="8">
        <f t="shared" si="1"/>
        <v>975000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hidden="1" x14ac:dyDescent="0.35">
      <c r="A126" s="22" t="s">
        <v>125</v>
      </c>
      <c r="B126" s="7"/>
      <c r="C126" s="7"/>
      <c r="D126" s="8">
        <f t="shared" si="1"/>
        <v>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v>110</v>
      </c>
      <c r="C143" s="7">
        <v>27000</v>
      </c>
      <c r="D143" s="8">
        <f t="shared" si="2"/>
        <v>2970000</v>
      </c>
    </row>
    <row r="144" spans="1:4" ht="18" x14ac:dyDescent="0.3">
      <c r="A144" s="24" t="s">
        <v>143</v>
      </c>
      <c r="B144" s="7">
        <v>60</v>
      </c>
      <c r="C144" s="7">
        <v>20000</v>
      </c>
      <c r="D144" s="8">
        <f t="shared" si="2"/>
        <v>1200000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hidden="1" x14ac:dyDescent="0.35">
      <c r="A149" s="14" t="s">
        <v>148</v>
      </c>
      <c r="B149" s="7"/>
      <c r="C149" s="7"/>
      <c r="D149" s="8">
        <f t="shared" si="2"/>
        <v>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x14ac:dyDescent="0.3">
      <c r="A158" s="10" t="s">
        <v>157</v>
      </c>
      <c r="B158" s="7">
        <v>4</v>
      </c>
      <c r="C158" s="7">
        <v>14000</v>
      </c>
      <c r="D158" s="8">
        <f t="shared" si="2"/>
        <v>56000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5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16</v>
      </c>
      <c r="C162" s="7">
        <v>7000</v>
      </c>
      <c r="D162" s="8">
        <f t="shared" si="2"/>
        <v>112000</v>
      </c>
    </row>
    <row r="163" spans="1:4" ht="18" hidden="1" x14ac:dyDescent="0.35">
      <c r="A163" s="10" t="s">
        <v>162</v>
      </c>
      <c r="B163" s="7"/>
      <c r="C163" s="7"/>
      <c r="D163" s="8">
        <f t="shared" si="2"/>
        <v>0</v>
      </c>
    </row>
    <row r="164" spans="1:4" ht="18" x14ac:dyDescent="0.3">
      <c r="A164" s="10" t="s">
        <v>163</v>
      </c>
      <c r="B164" s="7">
        <f>40+80+70</f>
        <v>190</v>
      </c>
      <c r="C164" s="7">
        <v>19000</v>
      </c>
      <c r="D164" s="8">
        <f t="shared" si="2"/>
        <v>3610000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hidden="1" x14ac:dyDescent="0.35">
      <c r="A167" s="10" t="s">
        <v>166</v>
      </c>
      <c r="B167" s="7"/>
      <c r="C167" s="7"/>
      <c r="D167" s="8">
        <f t="shared" si="2"/>
        <v>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v>110</v>
      </c>
      <c r="C176" s="7">
        <v>11000</v>
      </c>
      <c r="D176" s="8">
        <f t="shared" si="2"/>
        <v>1210000</v>
      </c>
    </row>
    <row r="177" spans="1:4" ht="18" x14ac:dyDescent="0.3">
      <c r="A177" s="6" t="s">
        <v>176</v>
      </c>
      <c r="B177" s="7">
        <f>240+660+160+6</f>
        <v>1066</v>
      </c>
      <c r="C177" s="7">
        <v>36000</v>
      </c>
      <c r="D177" s="8">
        <f t="shared" si="2"/>
        <v>38376000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hidden="1" x14ac:dyDescent="0.35">
      <c r="A179" s="6" t="s">
        <v>178</v>
      </c>
      <c r="B179" s="7"/>
      <c r="C179" s="7"/>
      <c r="D179" s="8">
        <f t="shared" si="2"/>
        <v>0</v>
      </c>
    </row>
    <row r="180" spans="1:4" ht="18" hidden="1" x14ac:dyDescent="0.35">
      <c r="A180" s="6" t="s">
        <v>179</v>
      </c>
      <c r="B180" s="7"/>
      <c r="C180" s="7"/>
      <c r="D180" s="8">
        <f t="shared" si="2"/>
        <v>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x14ac:dyDescent="0.3">
      <c r="A183" s="10" t="s">
        <v>182</v>
      </c>
      <c r="B183" s="7">
        <v>39</v>
      </c>
      <c r="C183" s="7">
        <v>17000</v>
      </c>
      <c r="D183" s="8">
        <f t="shared" si="2"/>
        <v>663000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188</v>
      </c>
      <c r="B189" s="7"/>
      <c r="C189" s="7"/>
      <c r="D189" s="8">
        <f t="shared" si="2"/>
        <v>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hidden="1" x14ac:dyDescent="0.35">
      <c r="A191" s="20" t="s">
        <v>190</v>
      </c>
      <c r="B191" s="7"/>
      <c r="C191" s="7"/>
      <c r="D191" s="8">
        <f t="shared" si="2"/>
        <v>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hidden="1" x14ac:dyDescent="0.35">
      <c r="A193" s="10" t="s">
        <v>192</v>
      </c>
      <c r="B193" s="7"/>
      <c r="C193" s="7"/>
      <c r="D193" s="8">
        <f t="shared" si="2"/>
        <v>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v>255</v>
      </c>
      <c r="C195" s="7">
        <v>8000</v>
      </c>
      <c r="D195" s="8">
        <f t="shared" si="2"/>
        <v>2040000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6</v>
      </c>
      <c r="C200" s="7">
        <v>9000</v>
      </c>
      <c r="D200" s="8">
        <f t="shared" si="3"/>
        <v>54000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5">
      <c r="A213" s="10" t="s">
        <v>212</v>
      </c>
      <c r="B213" s="7"/>
      <c r="C213" s="7"/>
      <c r="D213" s="8">
        <f t="shared" si="3"/>
        <v>0</v>
      </c>
    </row>
    <row r="214" spans="1:4" ht="18" x14ac:dyDescent="0.3">
      <c r="A214" s="11" t="s">
        <v>213</v>
      </c>
      <c r="B214" s="7">
        <v>19</v>
      </c>
      <c r="C214" s="7">
        <v>28000</v>
      </c>
      <c r="D214" s="8">
        <f t="shared" si="3"/>
        <v>532000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231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hidden="1" x14ac:dyDescent="0.35">
      <c r="A248" s="10" t="s">
        <v>247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hidden="1" x14ac:dyDescent="0.35">
      <c r="A252" s="10" t="s">
        <v>251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255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hidden="1" x14ac:dyDescent="0.35">
      <c r="A260" s="10" t="s">
        <v>259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hidden="1" x14ac:dyDescent="0.35">
      <c r="A263" s="10" t="s">
        <v>262</v>
      </c>
      <c r="B263" s="7"/>
      <c r="C263" s="7"/>
      <c r="D263" s="8">
        <f t="shared" si="4"/>
        <v>0</v>
      </c>
    </row>
    <row r="264" spans="1:4" ht="18" x14ac:dyDescent="0.3">
      <c r="A264" s="10" t="s">
        <v>263</v>
      </c>
      <c r="B264" s="7">
        <f>13+5</f>
        <v>18</v>
      </c>
      <c r="C264" s="7">
        <v>8000</v>
      </c>
      <c r="D264" s="8">
        <f t="shared" si="4"/>
        <v>144000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20</v>
      </c>
      <c r="C270" s="7">
        <v>25000</v>
      </c>
      <c r="D270" s="8">
        <f t="shared" si="4"/>
        <v>500000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hidden="1" x14ac:dyDescent="0.35">
      <c r="A274" s="10" t="s">
        <v>273</v>
      </c>
      <c r="B274" s="7"/>
      <c r="C274" s="7"/>
      <c r="D274" s="8">
        <f t="shared" si="4"/>
        <v>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hidden="1" x14ac:dyDescent="0.35">
      <c r="A278" s="22" t="s">
        <v>277</v>
      </c>
      <c r="B278" s="7"/>
      <c r="C278" s="7"/>
      <c r="D278" s="8">
        <f t="shared" si="4"/>
        <v>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4988</v>
      </c>
      <c r="C290" s="32"/>
      <c r="D290" s="32">
        <f t="shared" si="5"/>
        <v>101155000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60" workbookViewId="0">
      <selection activeCell="D290" sqref="D290"/>
    </sheetView>
  </sheetViews>
  <sheetFormatPr defaultRowHeight="14.4" x14ac:dyDescent="0.3"/>
  <cols>
    <col min="1" max="1" width="42.6640625" customWidth="1"/>
    <col min="3" max="3" width="16.109375" customWidth="1"/>
    <col min="4" max="4" width="23.6640625" customWidth="1"/>
  </cols>
  <sheetData>
    <row r="1" spans="1:4" x14ac:dyDescent="0.3">
      <c r="A1" s="1" t="s">
        <v>292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x14ac:dyDescent="0.3">
      <c r="A6" s="6" t="s">
        <v>5</v>
      </c>
      <c r="B6" s="7">
        <v>104</v>
      </c>
      <c r="C6" s="7">
        <v>7000</v>
      </c>
      <c r="D6" s="8">
        <f t="shared" si="0"/>
        <v>728000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6" t="s">
        <v>8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x14ac:dyDescent="0.3">
      <c r="A18" s="10" t="s">
        <v>17</v>
      </c>
      <c r="B18" s="7">
        <v>10</v>
      </c>
      <c r="C18" s="7">
        <v>8000</v>
      </c>
      <c r="D18" s="8">
        <f t="shared" si="0"/>
        <v>80000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60+10+8</f>
        <v>78</v>
      </c>
      <c r="C22" s="7">
        <v>20000</v>
      </c>
      <c r="D22" s="8">
        <f t="shared" si="0"/>
        <v>1560000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f>8+16</f>
        <v>24</v>
      </c>
      <c r="C27" s="7">
        <v>22000</v>
      </c>
      <c r="D27" s="8">
        <f t="shared" si="0"/>
        <v>528000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v>35</v>
      </c>
      <c r="C31" s="7">
        <v>24000</v>
      </c>
      <c r="D31" s="8">
        <f t="shared" si="0"/>
        <v>840000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v>7</v>
      </c>
      <c r="C34" s="7">
        <v>5000</v>
      </c>
      <c r="D34" s="8">
        <f t="shared" si="0"/>
        <v>35000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x14ac:dyDescent="0.3">
      <c r="A37" s="6" t="s">
        <v>36</v>
      </c>
      <c r="B37" s="7">
        <v>21</v>
      </c>
      <c r="C37" s="7">
        <v>18500</v>
      </c>
      <c r="D37" s="8">
        <f t="shared" si="0"/>
        <v>388500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hidden="1" x14ac:dyDescent="0.35">
      <c r="A39" s="10" t="s">
        <v>38</v>
      </c>
      <c r="B39" s="7"/>
      <c r="C39" s="7"/>
      <c r="D39" s="8">
        <f t="shared" si="0"/>
        <v>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f>40+375+375</f>
        <v>790</v>
      </c>
      <c r="C41" s="7">
        <v>13000</v>
      </c>
      <c r="D41" s="8">
        <f t="shared" si="0"/>
        <v>10270000</v>
      </c>
    </row>
    <row r="42" spans="1:4" ht="18" x14ac:dyDescent="0.3">
      <c r="A42" s="10" t="s">
        <v>41</v>
      </c>
      <c r="B42" s="7">
        <v>838</v>
      </c>
      <c r="C42" s="7">
        <v>22000</v>
      </c>
      <c r="D42" s="8">
        <f t="shared" si="0"/>
        <v>18436000</v>
      </c>
    </row>
    <row r="43" spans="1:4" ht="18" x14ac:dyDescent="0.3">
      <c r="A43" s="10" t="s">
        <v>42</v>
      </c>
      <c r="B43" s="7">
        <v>195</v>
      </c>
      <c r="C43" s="7">
        <v>17000</v>
      </c>
      <c r="D43" s="8">
        <f t="shared" si="0"/>
        <v>3315000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45</v>
      </c>
      <c r="B46" s="7"/>
      <c r="C46" s="7"/>
      <c r="D46" s="8">
        <f t="shared" si="0"/>
        <v>0</v>
      </c>
    </row>
    <row r="47" spans="1:4" ht="18" x14ac:dyDescent="0.3">
      <c r="A47" s="10" t="s">
        <v>46</v>
      </c>
      <c r="B47" s="7">
        <v>80</v>
      </c>
      <c r="C47" s="7">
        <v>7000</v>
      </c>
      <c r="D47" s="8">
        <f t="shared" si="0"/>
        <v>560000</v>
      </c>
    </row>
    <row r="48" spans="1:4" ht="18" hidden="1" x14ac:dyDescent="0.35">
      <c r="A48" s="14" t="s">
        <v>47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hidden="1" x14ac:dyDescent="0.35">
      <c r="A51" s="10" t="s">
        <v>50</v>
      </c>
      <c r="B51" s="7"/>
      <c r="C51" s="7"/>
      <c r="D51" s="8">
        <f t="shared" si="0"/>
        <v>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f>110+110+20</f>
        <v>240</v>
      </c>
      <c r="C53" s="7">
        <v>4000</v>
      </c>
      <c r="D53" s="8">
        <f t="shared" si="0"/>
        <v>960000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x14ac:dyDescent="0.3">
      <c r="A58" s="16" t="s">
        <v>57</v>
      </c>
      <c r="B58" s="7">
        <v>1.5</v>
      </c>
      <c r="C58" s="7">
        <v>7000</v>
      </c>
      <c r="D58" s="8">
        <f t="shared" si="0"/>
        <v>10500</v>
      </c>
    </row>
    <row r="59" spans="1:4" ht="18" hidden="1" x14ac:dyDescent="0.35">
      <c r="A59" s="10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x14ac:dyDescent="0.3">
      <c r="A63" s="18" t="s">
        <v>62</v>
      </c>
      <c r="B63" s="19">
        <v>5</v>
      </c>
      <c r="C63" s="19">
        <v>11000</v>
      </c>
      <c r="D63" s="8">
        <f t="shared" si="0"/>
        <v>55000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v>380</v>
      </c>
      <c r="C68" s="7">
        <v>26000</v>
      </c>
      <c r="D68" s="8">
        <f t="shared" ref="D68:D131" si="1">B68*C68</f>
        <v>9880000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x14ac:dyDescent="0.35">
      <c r="A71" s="10" t="s">
        <v>70</v>
      </c>
      <c r="B71" s="7">
        <v>7</v>
      </c>
      <c r="C71" s="7">
        <v>13000</v>
      </c>
      <c r="D71" s="8">
        <f t="shared" si="1"/>
        <v>91000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x14ac:dyDescent="0.3">
      <c r="A76" s="14" t="s">
        <v>75</v>
      </c>
      <c r="B76" s="7">
        <v>5</v>
      </c>
      <c r="C76" s="7">
        <v>11000</v>
      </c>
      <c r="D76" s="8">
        <f t="shared" si="1"/>
        <v>55000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hidden="1" x14ac:dyDescent="0.35">
      <c r="A83" s="10" t="s">
        <v>82</v>
      </c>
      <c r="B83" s="7"/>
      <c r="C83" s="7"/>
      <c r="D83" s="8">
        <f t="shared" si="1"/>
        <v>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hidden="1" x14ac:dyDescent="0.35">
      <c r="A85" s="10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hidden="1" x14ac:dyDescent="0.35">
      <c r="A97" s="26" t="s">
        <v>96</v>
      </c>
      <c r="B97" s="7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hidden="1" x14ac:dyDescent="0.35">
      <c r="A99" s="10" t="s">
        <v>98</v>
      </c>
      <c r="B99" s="7"/>
      <c r="C99" s="7"/>
      <c r="D99" s="8">
        <f t="shared" si="1"/>
        <v>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55+160+140+25+360</f>
        <v>740</v>
      </c>
      <c r="C114" s="7">
        <v>13000</v>
      </c>
      <c r="D114" s="8">
        <f t="shared" si="1"/>
        <v>9620000</v>
      </c>
    </row>
    <row r="115" spans="1:4" ht="18" x14ac:dyDescent="0.3">
      <c r="A115" s="10" t="s">
        <v>114</v>
      </c>
      <c r="B115" s="7">
        <f>100+28</f>
        <v>128</v>
      </c>
      <c r="C115" s="7">
        <v>10000</v>
      </c>
      <c r="D115" s="8">
        <f t="shared" si="1"/>
        <v>1280000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2058</f>
        <v>2058</v>
      </c>
      <c r="C121" s="7">
        <v>4500</v>
      </c>
      <c r="D121" s="8">
        <f t="shared" si="1"/>
        <v>9261000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x14ac:dyDescent="0.3">
      <c r="A126" s="22" t="s">
        <v>125</v>
      </c>
      <c r="B126" s="7">
        <v>9</v>
      </c>
      <c r="C126" s="7">
        <v>9000</v>
      </c>
      <c r="D126" s="8">
        <f t="shared" si="1"/>
        <v>81000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v>340</v>
      </c>
      <c r="C143" s="7">
        <v>28000</v>
      </c>
      <c r="D143" s="8">
        <f t="shared" si="2"/>
        <v>9520000</v>
      </c>
    </row>
    <row r="144" spans="1:4" ht="18" x14ac:dyDescent="0.3">
      <c r="A144" s="24" t="s">
        <v>143</v>
      </c>
      <c r="B144" s="7">
        <v>10</v>
      </c>
      <c r="C144" s="7">
        <v>20000</v>
      </c>
      <c r="D144" s="8">
        <f t="shared" si="2"/>
        <v>200000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x14ac:dyDescent="0.3">
      <c r="A149" s="14" t="s">
        <v>148</v>
      </c>
      <c r="B149" s="7">
        <v>6</v>
      </c>
      <c r="C149" s="7">
        <v>6000</v>
      </c>
      <c r="D149" s="8">
        <f t="shared" si="2"/>
        <v>36000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x14ac:dyDescent="0.3">
      <c r="A160" s="10" t="s">
        <v>159</v>
      </c>
      <c r="B160" s="7">
        <v>4</v>
      </c>
      <c r="C160" s="7">
        <v>14000</v>
      </c>
      <c r="D160" s="8">
        <f t="shared" si="2"/>
        <v>56000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96</v>
      </c>
      <c r="C162" s="7">
        <v>7000</v>
      </c>
      <c r="D162" s="8">
        <f t="shared" si="2"/>
        <v>672000</v>
      </c>
    </row>
    <row r="163" spans="1:4" ht="18" x14ac:dyDescent="0.3">
      <c r="A163" s="10" t="s">
        <v>162</v>
      </c>
      <c r="B163" s="7">
        <v>128</v>
      </c>
      <c r="C163" s="7">
        <v>7000</v>
      </c>
      <c r="D163" s="8">
        <f t="shared" si="2"/>
        <v>896000</v>
      </c>
    </row>
    <row r="164" spans="1:4" ht="18" x14ac:dyDescent="0.3">
      <c r="A164" s="10" t="s">
        <v>163</v>
      </c>
      <c r="B164" s="7">
        <f>120+40+27+20</f>
        <v>207</v>
      </c>
      <c r="C164" s="7">
        <v>19000</v>
      </c>
      <c r="D164" s="8">
        <f t="shared" si="2"/>
        <v>3933000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f>50+4+4+14</f>
        <v>72</v>
      </c>
      <c r="C167" s="7">
        <v>17000</v>
      </c>
      <c r="D167" s="8">
        <f t="shared" si="2"/>
        <v>1224000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v>93</v>
      </c>
      <c r="C176" s="7">
        <v>11000</v>
      </c>
      <c r="D176" s="8">
        <f t="shared" si="2"/>
        <v>1023000</v>
      </c>
    </row>
    <row r="177" spans="1:4" ht="18" x14ac:dyDescent="0.3">
      <c r="A177" s="6" t="s">
        <v>176</v>
      </c>
      <c r="B177" s="7">
        <v>770</v>
      </c>
      <c r="C177" s="7">
        <v>36000</v>
      </c>
      <c r="D177" s="8">
        <f t="shared" si="2"/>
        <v>27720000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hidden="1" x14ac:dyDescent="0.35">
      <c r="A179" s="6" t="s">
        <v>178</v>
      </c>
      <c r="B179" s="7"/>
      <c r="C179" s="7"/>
      <c r="D179" s="8">
        <f t="shared" si="2"/>
        <v>0</v>
      </c>
    </row>
    <row r="180" spans="1:4" ht="18" hidden="1" x14ac:dyDescent="0.35">
      <c r="A180" s="6" t="s">
        <v>179</v>
      </c>
      <c r="B180" s="7"/>
      <c r="C180" s="7"/>
      <c r="D180" s="8">
        <f t="shared" si="2"/>
        <v>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x14ac:dyDescent="0.3">
      <c r="A183" s="10" t="s">
        <v>182</v>
      </c>
      <c r="B183" s="7">
        <v>24</v>
      </c>
      <c r="C183" s="7">
        <v>17000</v>
      </c>
      <c r="D183" s="8">
        <f t="shared" si="2"/>
        <v>408000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x14ac:dyDescent="0.3">
      <c r="A189" s="10" t="s">
        <v>188</v>
      </c>
      <c r="B189" s="7">
        <v>26</v>
      </c>
      <c r="C189" s="7">
        <v>6000</v>
      </c>
      <c r="D189" s="8">
        <f t="shared" si="2"/>
        <v>156000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hidden="1" x14ac:dyDescent="0.35">
      <c r="A191" s="20" t="s">
        <v>190</v>
      </c>
      <c r="B191" s="7"/>
      <c r="C191" s="7"/>
      <c r="D191" s="8">
        <f t="shared" si="2"/>
        <v>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hidden="1" x14ac:dyDescent="0.35">
      <c r="A193" s="10" t="s">
        <v>192</v>
      </c>
      <c r="B193" s="7"/>
      <c r="C193" s="7"/>
      <c r="D193" s="8">
        <f t="shared" si="2"/>
        <v>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f>254+35+14+10</f>
        <v>313</v>
      </c>
      <c r="C195" s="7">
        <v>7000</v>
      </c>
      <c r="D195" s="8">
        <f t="shared" si="2"/>
        <v>2191000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19</v>
      </c>
      <c r="C200" s="7">
        <v>9000</v>
      </c>
      <c r="D200" s="8">
        <f t="shared" si="3"/>
        <v>171000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x14ac:dyDescent="0.3">
      <c r="A213" s="10" t="s">
        <v>212</v>
      </c>
      <c r="B213" s="7">
        <v>5</v>
      </c>
      <c r="C213" s="7">
        <v>25000</v>
      </c>
      <c r="D213" s="8">
        <f t="shared" si="3"/>
        <v>125000</v>
      </c>
    </row>
    <row r="214" spans="1:4" ht="18" x14ac:dyDescent="0.3">
      <c r="A214" s="11" t="s">
        <v>213</v>
      </c>
      <c r="B214" s="7">
        <v>19</v>
      </c>
      <c r="C214" s="7">
        <v>28000</v>
      </c>
      <c r="D214" s="8">
        <f t="shared" si="3"/>
        <v>532000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x14ac:dyDescent="0.3">
      <c r="A220" s="10" t="s">
        <v>219</v>
      </c>
      <c r="B220" s="7">
        <v>6</v>
      </c>
      <c r="C220" s="7">
        <v>65000</v>
      </c>
      <c r="D220" s="8">
        <f t="shared" si="3"/>
        <v>390000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231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x14ac:dyDescent="0.3">
      <c r="A248" s="10" t="s">
        <v>247</v>
      </c>
      <c r="B248" s="7">
        <v>7</v>
      </c>
      <c r="C248" s="7">
        <v>30000</v>
      </c>
      <c r="D248" s="8">
        <f t="shared" si="3"/>
        <v>210000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hidden="1" x14ac:dyDescent="0.35">
      <c r="A252" s="10" t="s">
        <v>251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255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hidden="1" x14ac:dyDescent="0.35">
      <c r="A260" s="10" t="s">
        <v>259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v>14</v>
      </c>
      <c r="C263" s="7">
        <v>8000</v>
      </c>
      <c r="D263" s="8">
        <f t="shared" si="4"/>
        <v>112000</v>
      </c>
    </row>
    <row r="264" spans="1:4" ht="18" x14ac:dyDescent="0.3">
      <c r="A264" s="10" t="s">
        <v>263</v>
      </c>
      <c r="B264" s="7">
        <f>10+20+100+25+60+14</f>
        <v>229</v>
      </c>
      <c r="C264" s="7">
        <v>8000</v>
      </c>
      <c r="D264" s="8">
        <f t="shared" si="4"/>
        <v>1832000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70</v>
      </c>
      <c r="C270" s="7">
        <v>25000</v>
      </c>
      <c r="D270" s="8">
        <f t="shared" si="4"/>
        <v>1750000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x14ac:dyDescent="0.3">
      <c r="A274" s="10" t="s">
        <v>273</v>
      </c>
      <c r="B274" s="7">
        <f>23+5</f>
        <v>28</v>
      </c>
      <c r="C274" s="7">
        <v>6500</v>
      </c>
      <c r="D274" s="8">
        <f t="shared" si="4"/>
        <v>182000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x14ac:dyDescent="0.3">
      <c r="A278" s="22" t="s">
        <v>277</v>
      </c>
      <c r="B278" s="7">
        <v>62</v>
      </c>
      <c r="C278" s="7">
        <v>3500</v>
      </c>
      <c r="D278" s="8">
        <f t="shared" si="4"/>
        <v>217000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8303.5</v>
      </c>
      <c r="C290" s="32"/>
      <c r="D290" s="32">
        <f t="shared" si="5"/>
        <v>121590000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173"/>
  <sheetViews>
    <sheetView topLeftCell="A103" workbookViewId="0">
      <selection activeCell="D173" sqref="D173"/>
    </sheetView>
  </sheetViews>
  <sheetFormatPr defaultRowHeight="14.4" x14ac:dyDescent="0.3"/>
  <cols>
    <col min="1" max="1" width="46" customWidth="1"/>
    <col min="3" max="3" width="15.77734375" customWidth="1"/>
    <col min="4" max="4" width="20.5546875" customWidth="1"/>
  </cols>
  <sheetData>
    <row r="1" spans="1:4" x14ac:dyDescent="0.3">
      <c r="A1" s="1" t="s">
        <v>293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x14ac:dyDescent="0.3">
      <c r="A4" s="6" t="s">
        <v>5</v>
      </c>
      <c r="B4" s="7">
        <v>11</v>
      </c>
      <c r="C4" s="7">
        <v>7000</v>
      </c>
      <c r="D4" s="8">
        <f t="shared" ref="D4:D67" si="0">B4*C4</f>
        <v>77000</v>
      </c>
    </row>
    <row r="5" spans="1:4" ht="18" hidden="1" x14ac:dyDescent="0.35">
      <c r="A5" s="6" t="s">
        <v>6</v>
      </c>
      <c r="B5" s="7"/>
      <c r="C5" s="7"/>
      <c r="D5" s="8">
        <f t="shared" si="0"/>
        <v>0</v>
      </c>
    </row>
    <row r="6" spans="1:4" ht="18" hidden="1" x14ac:dyDescent="0.35">
      <c r="A6" s="6" t="s">
        <v>8</v>
      </c>
      <c r="B6" s="7"/>
      <c r="C6" s="7"/>
      <c r="D6" s="8">
        <f t="shared" si="0"/>
        <v>0</v>
      </c>
    </row>
    <row r="7" spans="1:4" ht="18" hidden="1" x14ac:dyDescent="0.35">
      <c r="A7" s="6" t="s">
        <v>9</v>
      </c>
      <c r="B7" s="12"/>
      <c r="C7" s="12"/>
      <c r="D7" s="8">
        <f t="shared" si="0"/>
        <v>0</v>
      </c>
    </row>
    <row r="8" spans="1:4" ht="18" hidden="1" x14ac:dyDescent="0.35">
      <c r="A8" s="6" t="s">
        <v>10</v>
      </c>
      <c r="B8" s="12"/>
      <c r="C8" s="12"/>
      <c r="D8" s="8">
        <f t="shared" si="0"/>
        <v>0</v>
      </c>
    </row>
    <row r="9" spans="1:4" ht="18" hidden="1" x14ac:dyDescent="0.35">
      <c r="A9" s="10" t="s">
        <v>12</v>
      </c>
      <c r="B9" s="7"/>
      <c r="C9" s="7"/>
      <c r="D9" s="8">
        <f t="shared" si="0"/>
        <v>0</v>
      </c>
    </row>
    <row r="10" spans="1:4" ht="18" hidden="1" x14ac:dyDescent="0.35">
      <c r="A10" s="10" t="s">
        <v>13</v>
      </c>
      <c r="B10" s="12"/>
      <c r="C10" s="12"/>
      <c r="D10" s="8">
        <f t="shared" si="0"/>
        <v>0</v>
      </c>
    </row>
    <row r="11" spans="1:4" ht="18" hidden="1" x14ac:dyDescent="0.35">
      <c r="A11" s="13" t="s">
        <v>14</v>
      </c>
      <c r="B11" s="7"/>
      <c r="C11" s="7"/>
      <c r="D11" s="8">
        <f t="shared" si="0"/>
        <v>0</v>
      </c>
    </row>
    <row r="12" spans="1:4" ht="18" hidden="1" x14ac:dyDescent="0.35">
      <c r="A12" s="13" t="s">
        <v>16</v>
      </c>
      <c r="B12" s="7"/>
      <c r="C12" s="7"/>
      <c r="D12" s="8">
        <f t="shared" si="0"/>
        <v>0</v>
      </c>
    </row>
    <row r="13" spans="1:4" ht="18" hidden="1" x14ac:dyDescent="0.35">
      <c r="A13" s="10" t="s">
        <v>17</v>
      </c>
      <c r="B13" s="7"/>
      <c r="C13" s="7"/>
      <c r="D13" s="8">
        <f t="shared" si="0"/>
        <v>0</v>
      </c>
    </row>
    <row r="14" spans="1:4" ht="18" hidden="1" x14ac:dyDescent="0.35">
      <c r="A14" s="10" t="s">
        <v>19</v>
      </c>
      <c r="B14" s="7"/>
      <c r="C14" s="7"/>
      <c r="D14" s="8">
        <f t="shared" si="0"/>
        <v>0</v>
      </c>
    </row>
    <row r="15" spans="1:4" ht="18" x14ac:dyDescent="0.3">
      <c r="A15" s="10" t="s">
        <v>21</v>
      </c>
      <c r="B15" s="7">
        <v>183</v>
      </c>
      <c r="C15" s="7">
        <v>18000</v>
      </c>
      <c r="D15" s="8">
        <f t="shared" si="0"/>
        <v>3294000</v>
      </c>
    </row>
    <row r="16" spans="1:4" ht="18" hidden="1" x14ac:dyDescent="0.35">
      <c r="A16" s="10" t="s">
        <v>23</v>
      </c>
      <c r="B16" s="7"/>
      <c r="C16" s="7"/>
      <c r="D16" s="8">
        <f t="shared" si="0"/>
        <v>0</v>
      </c>
    </row>
    <row r="17" spans="1:4" ht="18" hidden="1" x14ac:dyDescent="0.35">
      <c r="A17" s="10" t="s">
        <v>25</v>
      </c>
      <c r="B17" s="7"/>
      <c r="C17" s="7"/>
      <c r="D17" s="8">
        <f t="shared" si="0"/>
        <v>0</v>
      </c>
    </row>
    <row r="18" spans="1:4" ht="18" x14ac:dyDescent="0.3">
      <c r="A18" s="10" t="s">
        <v>26</v>
      </c>
      <c r="B18" s="7">
        <v>20</v>
      </c>
      <c r="C18" s="7">
        <v>18000</v>
      </c>
      <c r="D18" s="8">
        <f t="shared" si="0"/>
        <v>360000</v>
      </c>
    </row>
    <row r="19" spans="1:4" ht="18" hidden="1" x14ac:dyDescent="0.35">
      <c r="A19" s="10" t="s">
        <v>28</v>
      </c>
      <c r="B19" s="7"/>
      <c r="C19" s="7"/>
      <c r="D19" s="8">
        <f t="shared" si="0"/>
        <v>0</v>
      </c>
    </row>
    <row r="20" spans="1:4" ht="18" x14ac:dyDescent="0.3">
      <c r="A20" s="10" t="s">
        <v>30</v>
      </c>
      <c r="B20" s="7">
        <v>40</v>
      </c>
      <c r="C20" s="7">
        <v>22000</v>
      </c>
      <c r="D20" s="8">
        <f t="shared" si="0"/>
        <v>880000</v>
      </c>
    </row>
    <row r="21" spans="1:4" ht="18" hidden="1" x14ac:dyDescent="0.35">
      <c r="A21" s="10" t="s">
        <v>32</v>
      </c>
      <c r="B21" s="7"/>
      <c r="C21" s="7"/>
      <c r="D21" s="8">
        <f t="shared" si="0"/>
        <v>0</v>
      </c>
    </row>
    <row r="22" spans="1:4" ht="18" x14ac:dyDescent="0.3">
      <c r="A22" s="10" t="s">
        <v>33</v>
      </c>
      <c r="B22" s="7">
        <v>64</v>
      </c>
      <c r="C22" s="7">
        <v>5000</v>
      </c>
      <c r="D22" s="8">
        <f t="shared" si="0"/>
        <v>320000</v>
      </c>
    </row>
    <row r="23" spans="1:4" ht="18" hidden="1" x14ac:dyDescent="0.35">
      <c r="A23" s="14" t="s">
        <v>34</v>
      </c>
      <c r="B23" s="7"/>
      <c r="C23" s="7"/>
      <c r="D23" s="8">
        <f t="shared" si="0"/>
        <v>0</v>
      </c>
    </row>
    <row r="24" spans="1:4" ht="18" x14ac:dyDescent="0.3">
      <c r="A24" s="6" t="s">
        <v>36</v>
      </c>
      <c r="B24" s="7">
        <v>174</v>
      </c>
      <c r="C24" s="7">
        <v>15000</v>
      </c>
      <c r="D24" s="8">
        <f t="shared" si="0"/>
        <v>2610000</v>
      </c>
    </row>
    <row r="25" spans="1:4" ht="18" hidden="1" x14ac:dyDescent="0.35">
      <c r="A25" s="10" t="s">
        <v>37</v>
      </c>
      <c r="B25" s="7"/>
      <c r="C25" s="7"/>
      <c r="D25" s="8">
        <f t="shared" si="0"/>
        <v>0</v>
      </c>
    </row>
    <row r="26" spans="1:4" ht="18" hidden="1" x14ac:dyDescent="0.35">
      <c r="A26" s="10" t="s">
        <v>38</v>
      </c>
      <c r="B26" s="7"/>
      <c r="C26" s="7"/>
      <c r="D26" s="8">
        <f t="shared" si="0"/>
        <v>0</v>
      </c>
    </row>
    <row r="27" spans="1:4" ht="18" x14ac:dyDescent="0.3">
      <c r="A27" s="10" t="s">
        <v>40</v>
      </c>
      <c r="B27" s="7">
        <v>485</v>
      </c>
      <c r="C27" s="7">
        <v>13000</v>
      </c>
      <c r="D27" s="8">
        <f t="shared" si="0"/>
        <v>6305000</v>
      </c>
    </row>
    <row r="28" spans="1:4" ht="18" hidden="1" x14ac:dyDescent="0.35">
      <c r="A28" s="10" t="s">
        <v>41</v>
      </c>
      <c r="B28" s="7"/>
      <c r="C28" s="7"/>
      <c r="D28" s="8">
        <f t="shared" si="0"/>
        <v>0</v>
      </c>
    </row>
    <row r="29" spans="1:4" ht="18" x14ac:dyDescent="0.3">
      <c r="A29" s="10" t="s">
        <v>42</v>
      </c>
      <c r="B29" s="7">
        <v>160</v>
      </c>
      <c r="C29" s="7">
        <v>17000</v>
      </c>
      <c r="D29" s="8">
        <f t="shared" si="0"/>
        <v>2720000</v>
      </c>
    </row>
    <row r="30" spans="1:4" ht="18" hidden="1" x14ac:dyDescent="0.35">
      <c r="A30" s="10" t="s">
        <v>46</v>
      </c>
      <c r="B30" s="7"/>
      <c r="C30" s="7"/>
      <c r="D30" s="8">
        <f t="shared" si="0"/>
        <v>0</v>
      </c>
    </row>
    <row r="31" spans="1:4" ht="18" hidden="1" x14ac:dyDescent="0.35">
      <c r="A31" s="14" t="s">
        <v>47</v>
      </c>
      <c r="B31" s="7"/>
      <c r="C31" s="7"/>
      <c r="D31" s="8">
        <f t="shared" si="0"/>
        <v>0</v>
      </c>
    </row>
    <row r="32" spans="1:4" ht="18" hidden="1" x14ac:dyDescent="0.35">
      <c r="A32" s="10" t="s">
        <v>49</v>
      </c>
      <c r="B32" s="7"/>
      <c r="C32" s="7"/>
      <c r="D32" s="8">
        <f t="shared" si="0"/>
        <v>0</v>
      </c>
    </row>
    <row r="33" spans="1:4" ht="18" hidden="1" x14ac:dyDescent="0.35">
      <c r="A33" s="10" t="s">
        <v>50</v>
      </c>
      <c r="B33" s="7"/>
      <c r="C33" s="7"/>
      <c r="D33" s="8">
        <f t="shared" si="0"/>
        <v>0</v>
      </c>
    </row>
    <row r="34" spans="1:4" ht="18" hidden="1" x14ac:dyDescent="0.35">
      <c r="A34" s="6" t="s">
        <v>51</v>
      </c>
      <c r="B34" s="7"/>
      <c r="C34" s="7"/>
      <c r="D34" s="8">
        <f t="shared" si="0"/>
        <v>0</v>
      </c>
    </row>
    <row r="35" spans="1:4" ht="18" x14ac:dyDescent="0.3">
      <c r="A35" s="10" t="s">
        <v>52</v>
      </c>
      <c r="B35" s="7">
        <v>8</v>
      </c>
      <c r="C35" s="7">
        <v>4000</v>
      </c>
      <c r="D35" s="8">
        <f t="shared" si="0"/>
        <v>32000</v>
      </c>
    </row>
    <row r="36" spans="1:4" ht="18" hidden="1" x14ac:dyDescent="0.35">
      <c r="A36" s="14" t="s">
        <v>53</v>
      </c>
      <c r="B36" s="7"/>
      <c r="C36" s="7"/>
      <c r="D36" s="8">
        <f t="shared" si="0"/>
        <v>0</v>
      </c>
    </row>
    <row r="37" spans="1:4" ht="18" hidden="1" x14ac:dyDescent="0.35">
      <c r="A37" s="17" t="s">
        <v>55</v>
      </c>
      <c r="B37" s="7"/>
      <c r="C37" s="7"/>
      <c r="D37" s="8">
        <f t="shared" si="0"/>
        <v>0</v>
      </c>
    </row>
    <row r="38" spans="1:4" ht="18" hidden="1" x14ac:dyDescent="0.35">
      <c r="A38" s="10" t="s">
        <v>58</v>
      </c>
      <c r="B38" s="7"/>
      <c r="C38" s="7"/>
      <c r="D38" s="8">
        <f t="shared" si="0"/>
        <v>0</v>
      </c>
    </row>
    <row r="39" spans="1:4" ht="18" hidden="1" x14ac:dyDescent="0.35">
      <c r="A39" s="6" t="s">
        <v>59</v>
      </c>
      <c r="B39" s="7"/>
      <c r="C39" s="7"/>
      <c r="D39" s="8">
        <f t="shared" si="0"/>
        <v>0</v>
      </c>
    </row>
    <row r="40" spans="1:4" ht="18" x14ac:dyDescent="0.3">
      <c r="A40" s="10" t="s">
        <v>61</v>
      </c>
      <c r="B40" s="7">
        <v>12</v>
      </c>
      <c r="C40" s="7">
        <v>11000</v>
      </c>
      <c r="D40" s="8">
        <f t="shared" si="0"/>
        <v>132000</v>
      </c>
    </row>
    <row r="41" spans="1:4" ht="18" hidden="1" x14ac:dyDescent="0.35">
      <c r="A41" s="6" t="s">
        <v>64</v>
      </c>
      <c r="B41" s="7"/>
      <c r="C41" s="7"/>
      <c r="D41" s="8">
        <f t="shared" si="0"/>
        <v>0</v>
      </c>
    </row>
    <row r="42" spans="1:4" ht="18" x14ac:dyDescent="0.3">
      <c r="A42" s="6" t="s">
        <v>67</v>
      </c>
      <c r="B42" s="7">
        <v>430</v>
      </c>
      <c r="C42" s="7">
        <v>26000</v>
      </c>
      <c r="D42" s="8">
        <f t="shared" si="0"/>
        <v>11180000</v>
      </c>
    </row>
    <row r="43" spans="1:4" ht="18" hidden="1" x14ac:dyDescent="0.35">
      <c r="A43" s="10" t="s">
        <v>68</v>
      </c>
      <c r="B43" s="7"/>
      <c r="C43" s="7"/>
      <c r="D43" s="8">
        <f t="shared" si="0"/>
        <v>0</v>
      </c>
    </row>
    <row r="44" spans="1:4" ht="18" x14ac:dyDescent="0.3">
      <c r="A44" s="10" t="s">
        <v>69</v>
      </c>
      <c r="B44" s="7">
        <v>13</v>
      </c>
      <c r="C44" s="7">
        <v>14000</v>
      </c>
      <c r="D44" s="8">
        <f t="shared" si="0"/>
        <v>182000</v>
      </c>
    </row>
    <row r="45" spans="1:4" ht="18" hidden="1" x14ac:dyDescent="0.35">
      <c r="A45" s="10" t="s">
        <v>70</v>
      </c>
      <c r="B45" s="7"/>
      <c r="C45" s="7"/>
      <c r="D45" s="8">
        <f t="shared" si="0"/>
        <v>0</v>
      </c>
    </row>
    <row r="46" spans="1:4" ht="18" hidden="1" x14ac:dyDescent="0.35">
      <c r="A46" s="10" t="s">
        <v>71</v>
      </c>
      <c r="B46" s="7"/>
      <c r="C46" s="7"/>
      <c r="D46" s="8">
        <f t="shared" si="0"/>
        <v>0</v>
      </c>
    </row>
    <row r="47" spans="1:4" ht="18" hidden="1" x14ac:dyDescent="0.35">
      <c r="A47" s="20" t="s">
        <v>72</v>
      </c>
      <c r="B47" s="7"/>
      <c r="C47" s="7"/>
      <c r="D47" s="8">
        <f t="shared" si="0"/>
        <v>0</v>
      </c>
    </row>
    <row r="48" spans="1:4" ht="18" hidden="1" x14ac:dyDescent="0.35">
      <c r="A48" s="20" t="s">
        <v>74</v>
      </c>
      <c r="B48" s="7"/>
      <c r="C48" s="7"/>
      <c r="D48" s="8">
        <f t="shared" si="0"/>
        <v>0</v>
      </c>
    </row>
    <row r="49" spans="1:4" ht="18" hidden="1" x14ac:dyDescent="0.35">
      <c r="A49" s="21" t="s">
        <v>73</v>
      </c>
      <c r="B49" s="7"/>
      <c r="C49" s="7"/>
      <c r="D49" s="8">
        <f t="shared" si="0"/>
        <v>0</v>
      </c>
    </row>
    <row r="50" spans="1:4" ht="18" hidden="1" x14ac:dyDescent="0.35">
      <c r="A50" s="14" t="s">
        <v>75</v>
      </c>
      <c r="B50" s="7"/>
      <c r="C50" s="7"/>
      <c r="D50" s="8">
        <f t="shared" si="0"/>
        <v>0</v>
      </c>
    </row>
    <row r="51" spans="1:4" ht="18" hidden="1" x14ac:dyDescent="0.35">
      <c r="A51" s="22" t="s">
        <v>76</v>
      </c>
      <c r="B51" s="7"/>
      <c r="C51" s="7"/>
      <c r="D51" s="8">
        <f t="shared" si="0"/>
        <v>0</v>
      </c>
    </row>
    <row r="52" spans="1:4" ht="18" hidden="1" x14ac:dyDescent="0.35">
      <c r="A52" s="22" t="s">
        <v>77</v>
      </c>
      <c r="B52" s="7"/>
      <c r="C52" s="7"/>
      <c r="D52" s="8">
        <f t="shared" si="0"/>
        <v>0</v>
      </c>
    </row>
    <row r="53" spans="1:4" ht="18" hidden="1" x14ac:dyDescent="0.35">
      <c r="A53" s="22" t="s">
        <v>78</v>
      </c>
      <c r="B53" s="7"/>
      <c r="C53" s="7"/>
      <c r="D53" s="8">
        <f t="shared" si="0"/>
        <v>0</v>
      </c>
    </row>
    <row r="54" spans="1:4" ht="18" hidden="1" x14ac:dyDescent="0.35">
      <c r="A54" s="10" t="s">
        <v>82</v>
      </c>
      <c r="B54" s="7"/>
      <c r="C54" s="7"/>
      <c r="D54" s="8">
        <f t="shared" si="0"/>
        <v>0</v>
      </c>
    </row>
    <row r="55" spans="1:4" ht="18" hidden="1" x14ac:dyDescent="0.35">
      <c r="A55" s="10" t="s">
        <v>83</v>
      </c>
      <c r="B55" s="7"/>
      <c r="C55" s="7"/>
      <c r="D55" s="8">
        <f t="shared" si="0"/>
        <v>0</v>
      </c>
    </row>
    <row r="56" spans="1:4" ht="18" hidden="1" x14ac:dyDescent="0.35">
      <c r="A56" s="10" t="s">
        <v>84</v>
      </c>
      <c r="B56" s="7"/>
      <c r="C56" s="7"/>
      <c r="D56" s="8">
        <f t="shared" si="0"/>
        <v>0</v>
      </c>
    </row>
    <row r="57" spans="1:4" ht="18" hidden="1" x14ac:dyDescent="0.35">
      <c r="A57" s="10" t="s">
        <v>89</v>
      </c>
      <c r="B57" s="7"/>
      <c r="C57" s="7"/>
      <c r="D57" s="8">
        <f t="shared" si="0"/>
        <v>0</v>
      </c>
    </row>
    <row r="58" spans="1:4" ht="18" hidden="1" x14ac:dyDescent="0.35">
      <c r="A58" s="14" t="s">
        <v>92</v>
      </c>
      <c r="B58" s="7"/>
      <c r="C58" s="7"/>
      <c r="D58" s="8">
        <f t="shared" si="0"/>
        <v>0</v>
      </c>
    </row>
    <row r="59" spans="1:4" ht="18" hidden="1" x14ac:dyDescent="0.35">
      <c r="A59" s="6" t="s">
        <v>93</v>
      </c>
      <c r="B59" s="7"/>
      <c r="C59" s="7"/>
      <c r="D59" s="8">
        <f t="shared" si="0"/>
        <v>0</v>
      </c>
    </row>
    <row r="60" spans="1:4" ht="18" hidden="1" x14ac:dyDescent="0.35">
      <c r="A60" s="25" t="s">
        <v>95</v>
      </c>
      <c r="B60" s="7"/>
      <c r="C60" s="7"/>
      <c r="D60" s="8">
        <f t="shared" si="0"/>
        <v>0</v>
      </c>
    </row>
    <row r="61" spans="1:4" ht="18" hidden="1" x14ac:dyDescent="0.35">
      <c r="A61" s="26" t="s">
        <v>96</v>
      </c>
      <c r="B61" s="7"/>
      <c r="C61" s="7"/>
      <c r="D61" s="8">
        <f t="shared" si="0"/>
        <v>0</v>
      </c>
    </row>
    <row r="62" spans="1:4" ht="18" hidden="1" x14ac:dyDescent="0.35">
      <c r="A62" s="10" t="s">
        <v>98</v>
      </c>
      <c r="B62" s="7"/>
      <c r="C62" s="7"/>
      <c r="D62" s="8">
        <f t="shared" si="0"/>
        <v>0</v>
      </c>
    </row>
    <row r="63" spans="1:4" ht="18" hidden="1" x14ac:dyDescent="0.35">
      <c r="A63" s="10" t="s">
        <v>99</v>
      </c>
      <c r="B63" s="7"/>
      <c r="C63" s="7"/>
      <c r="D63" s="8">
        <f t="shared" si="0"/>
        <v>0</v>
      </c>
    </row>
    <row r="64" spans="1:4" ht="18" hidden="1" x14ac:dyDescent="0.35">
      <c r="A64" s="14" t="s">
        <v>100</v>
      </c>
      <c r="B64" s="7"/>
      <c r="C64" s="7"/>
      <c r="D64" s="8">
        <f t="shared" si="0"/>
        <v>0</v>
      </c>
    </row>
    <row r="65" spans="1:4" ht="18" hidden="1" x14ac:dyDescent="0.35">
      <c r="A65" s="10" t="s">
        <v>103</v>
      </c>
      <c r="B65" s="12"/>
      <c r="C65" s="12"/>
      <c r="D65" s="8">
        <f t="shared" si="0"/>
        <v>0</v>
      </c>
    </row>
    <row r="66" spans="1:4" ht="18" hidden="1" x14ac:dyDescent="0.35">
      <c r="A66" s="10" t="s">
        <v>106</v>
      </c>
      <c r="B66" s="12"/>
      <c r="C66" s="12"/>
      <c r="D66" s="8">
        <f t="shared" si="0"/>
        <v>0</v>
      </c>
    </row>
    <row r="67" spans="1:4" ht="18" hidden="1" x14ac:dyDescent="0.35">
      <c r="A67" s="10" t="s">
        <v>107</v>
      </c>
      <c r="B67" s="12"/>
      <c r="C67" s="12"/>
      <c r="D67" s="8">
        <f t="shared" si="0"/>
        <v>0</v>
      </c>
    </row>
    <row r="68" spans="1:4" ht="18" x14ac:dyDescent="0.3">
      <c r="A68" s="6" t="s">
        <v>113</v>
      </c>
      <c r="B68" s="7">
        <v>400</v>
      </c>
      <c r="C68" s="7">
        <v>13000</v>
      </c>
      <c r="D68" s="8">
        <f t="shared" ref="D68:D131" si="1">B68*C68</f>
        <v>5200000</v>
      </c>
    </row>
    <row r="69" spans="1:4" ht="18" x14ac:dyDescent="0.3">
      <c r="A69" s="10" t="s">
        <v>114</v>
      </c>
      <c r="B69" s="7">
        <v>54</v>
      </c>
      <c r="C69" s="7">
        <v>10000</v>
      </c>
      <c r="D69" s="8">
        <f t="shared" si="1"/>
        <v>540000</v>
      </c>
    </row>
    <row r="70" spans="1:4" ht="18" hidden="1" x14ac:dyDescent="0.35">
      <c r="A70" s="10" t="s">
        <v>115</v>
      </c>
      <c r="B70" s="7"/>
      <c r="C70" s="7"/>
      <c r="D70" s="8">
        <f t="shared" si="1"/>
        <v>0</v>
      </c>
    </row>
    <row r="71" spans="1:4" ht="18" x14ac:dyDescent="0.3">
      <c r="A71" s="10" t="s">
        <v>120</v>
      </c>
      <c r="B71" s="7">
        <v>1808</v>
      </c>
      <c r="C71" s="7">
        <v>4500</v>
      </c>
      <c r="D71" s="8">
        <f t="shared" si="1"/>
        <v>8136000</v>
      </c>
    </row>
    <row r="72" spans="1:4" ht="18" hidden="1" x14ac:dyDescent="0.35">
      <c r="A72" s="11" t="s">
        <v>122</v>
      </c>
      <c r="B72" s="7"/>
      <c r="C72" s="7"/>
      <c r="D72" s="8">
        <f t="shared" si="1"/>
        <v>0</v>
      </c>
    </row>
    <row r="73" spans="1:4" ht="18" hidden="1" x14ac:dyDescent="0.35">
      <c r="A73" s="22" t="s">
        <v>123</v>
      </c>
      <c r="B73" s="7"/>
      <c r="C73" s="7"/>
      <c r="D73" s="8">
        <f t="shared" si="1"/>
        <v>0</v>
      </c>
    </row>
    <row r="74" spans="1:4" ht="18" hidden="1" x14ac:dyDescent="0.35">
      <c r="A74" s="28" t="s">
        <v>124</v>
      </c>
      <c r="B74" s="7"/>
      <c r="C74" s="7"/>
      <c r="D74" s="8">
        <f t="shared" si="1"/>
        <v>0</v>
      </c>
    </row>
    <row r="75" spans="1:4" ht="18" x14ac:dyDescent="0.3">
      <c r="A75" s="22" t="s">
        <v>125</v>
      </c>
      <c r="B75" s="7">
        <v>10</v>
      </c>
      <c r="C75" s="7">
        <v>9000</v>
      </c>
      <c r="D75" s="8">
        <f t="shared" si="1"/>
        <v>90000</v>
      </c>
    </row>
    <row r="76" spans="1:4" ht="18" hidden="1" x14ac:dyDescent="0.35">
      <c r="A76" s="6" t="s">
        <v>127</v>
      </c>
      <c r="B76" s="12"/>
      <c r="C76" s="12"/>
      <c r="D76" s="8">
        <f t="shared" si="1"/>
        <v>0</v>
      </c>
    </row>
    <row r="77" spans="1:4" ht="18" hidden="1" x14ac:dyDescent="0.35">
      <c r="A77" s="10" t="s">
        <v>130</v>
      </c>
      <c r="B77" s="12"/>
      <c r="C77" s="12"/>
      <c r="D77" s="8">
        <f t="shared" si="1"/>
        <v>0</v>
      </c>
    </row>
    <row r="78" spans="1:4" ht="18" hidden="1" x14ac:dyDescent="0.35">
      <c r="A78" s="14" t="s">
        <v>133</v>
      </c>
      <c r="B78" s="7"/>
      <c r="C78" s="7"/>
      <c r="D78" s="8">
        <f t="shared" si="1"/>
        <v>0</v>
      </c>
    </row>
    <row r="79" spans="1:4" ht="18" hidden="1" x14ac:dyDescent="0.35">
      <c r="A79" s="14" t="s">
        <v>136</v>
      </c>
      <c r="B79" s="7"/>
      <c r="C79" s="7"/>
      <c r="D79" s="8">
        <f t="shared" si="1"/>
        <v>0</v>
      </c>
    </row>
    <row r="80" spans="1:4" ht="18" hidden="1" x14ac:dyDescent="0.35">
      <c r="A80" s="6" t="s">
        <v>138</v>
      </c>
      <c r="B80" s="12"/>
      <c r="C80" s="12"/>
      <c r="D80" s="8">
        <f t="shared" si="1"/>
        <v>0</v>
      </c>
    </row>
    <row r="81" spans="1:4" ht="18" hidden="1" x14ac:dyDescent="0.35">
      <c r="A81" s="10" t="s">
        <v>139</v>
      </c>
      <c r="B81" s="7"/>
      <c r="C81" s="7"/>
      <c r="D81" s="8">
        <f t="shared" si="1"/>
        <v>0</v>
      </c>
    </row>
    <row r="82" spans="1:4" ht="18" hidden="1" x14ac:dyDescent="0.35">
      <c r="A82" s="22" t="s">
        <v>140</v>
      </c>
      <c r="B82" s="7"/>
      <c r="C82" s="7"/>
      <c r="D82" s="8">
        <f t="shared" si="1"/>
        <v>0</v>
      </c>
    </row>
    <row r="83" spans="1:4" ht="18" x14ac:dyDescent="0.3">
      <c r="A83" s="10" t="s">
        <v>142</v>
      </c>
      <c r="B83" s="7">
        <v>505</v>
      </c>
      <c r="C83" s="7">
        <v>28500</v>
      </c>
      <c r="D83" s="8">
        <f t="shared" si="1"/>
        <v>14392500</v>
      </c>
    </row>
    <row r="84" spans="1:4" ht="18" x14ac:dyDescent="0.3">
      <c r="A84" s="24" t="s">
        <v>143</v>
      </c>
      <c r="B84" s="7">
        <v>20</v>
      </c>
      <c r="C84" s="7">
        <v>24000</v>
      </c>
      <c r="D84" s="8">
        <f t="shared" si="1"/>
        <v>480000</v>
      </c>
    </row>
    <row r="85" spans="1:4" ht="18" x14ac:dyDescent="0.3">
      <c r="A85" s="10" t="s">
        <v>145</v>
      </c>
      <c r="B85" s="7">
        <v>1.2</v>
      </c>
      <c r="C85" s="7">
        <v>50000</v>
      </c>
      <c r="D85" s="8">
        <f t="shared" si="1"/>
        <v>60000</v>
      </c>
    </row>
    <row r="86" spans="1:4" ht="18" hidden="1" x14ac:dyDescent="0.35">
      <c r="A86" s="10" t="s">
        <v>147</v>
      </c>
      <c r="B86" s="7"/>
      <c r="C86" s="7"/>
      <c r="D86" s="8">
        <f t="shared" si="1"/>
        <v>0</v>
      </c>
    </row>
    <row r="87" spans="1:4" ht="18" hidden="1" x14ac:dyDescent="0.35">
      <c r="A87" s="14" t="s">
        <v>148</v>
      </c>
      <c r="B87" s="7"/>
      <c r="C87" s="7"/>
      <c r="D87" s="8">
        <f t="shared" si="1"/>
        <v>0</v>
      </c>
    </row>
    <row r="88" spans="1:4" ht="18" hidden="1" x14ac:dyDescent="0.35">
      <c r="A88" s="14" t="s">
        <v>149</v>
      </c>
      <c r="B88" s="7"/>
      <c r="C88" s="7"/>
      <c r="D88" s="8">
        <f t="shared" si="1"/>
        <v>0</v>
      </c>
    </row>
    <row r="89" spans="1:4" ht="18" hidden="1" x14ac:dyDescent="0.35">
      <c r="A89" s="10" t="s">
        <v>152</v>
      </c>
      <c r="B89" s="7"/>
      <c r="C89" s="7"/>
      <c r="D89" s="8">
        <f t="shared" si="1"/>
        <v>0</v>
      </c>
    </row>
    <row r="90" spans="1:4" ht="18" hidden="1" x14ac:dyDescent="0.35">
      <c r="A90" s="10" t="s">
        <v>153</v>
      </c>
      <c r="B90" s="7"/>
      <c r="C90" s="7"/>
      <c r="D90" s="8">
        <f t="shared" si="1"/>
        <v>0</v>
      </c>
    </row>
    <row r="91" spans="1:4" ht="18" hidden="1" x14ac:dyDescent="0.35">
      <c r="A91" s="10" t="s">
        <v>155</v>
      </c>
      <c r="B91" s="7"/>
      <c r="C91" s="7"/>
      <c r="D91" s="8">
        <f t="shared" si="1"/>
        <v>0</v>
      </c>
    </row>
    <row r="92" spans="1:4" ht="18" hidden="1" x14ac:dyDescent="0.35">
      <c r="A92" s="10" t="s">
        <v>158</v>
      </c>
      <c r="B92" s="7"/>
      <c r="C92" s="7"/>
      <c r="D92" s="8">
        <f t="shared" si="1"/>
        <v>0</v>
      </c>
    </row>
    <row r="93" spans="1:4" ht="18" hidden="1" x14ac:dyDescent="0.35">
      <c r="A93" s="14" t="s">
        <v>160</v>
      </c>
      <c r="B93" s="7"/>
      <c r="C93" s="7"/>
      <c r="D93" s="8">
        <f t="shared" si="1"/>
        <v>0</v>
      </c>
    </row>
    <row r="94" spans="1:4" ht="18" hidden="1" x14ac:dyDescent="0.35">
      <c r="A94" s="10" t="s">
        <v>161</v>
      </c>
      <c r="B94" s="7"/>
      <c r="C94" s="7"/>
      <c r="D94" s="8">
        <f t="shared" si="1"/>
        <v>0</v>
      </c>
    </row>
    <row r="95" spans="1:4" ht="18" x14ac:dyDescent="0.3">
      <c r="A95" s="10" t="s">
        <v>163</v>
      </c>
      <c r="B95" s="7">
        <v>48</v>
      </c>
      <c r="C95" s="7">
        <v>18000</v>
      </c>
      <c r="D95" s="8">
        <f t="shared" si="1"/>
        <v>864000</v>
      </c>
    </row>
    <row r="96" spans="1:4" ht="18" hidden="1" x14ac:dyDescent="0.35">
      <c r="A96" s="22" t="s">
        <v>164</v>
      </c>
      <c r="B96" s="7"/>
      <c r="C96" s="7"/>
      <c r="D96" s="8">
        <f t="shared" si="1"/>
        <v>0</v>
      </c>
    </row>
    <row r="97" spans="1:4" ht="18" x14ac:dyDescent="0.3">
      <c r="A97" s="10" t="s">
        <v>166</v>
      </c>
      <c r="B97" s="7">
        <v>35</v>
      </c>
      <c r="C97" s="7">
        <v>16000</v>
      </c>
      <c r="D97" s="8">
        <f t="shared" si="1"/>
        <v>560000</v>
      </c>
    </row>
    <row r="98" spans="1:4" ht="18" hidden="1" x14ac:dyDescent="0.35">
      <c r="A98" s="10" t="s">
        <v>167</v>
      </c>
      <c r="B98" s="7"/>
      <c r="C98" s="7"/>
      <c r="D98" s="8">
        <f t="shared" si="1"/>
        <v>0</v>
      </c>
    </row>
    <row r="99" spans="1:4" ht="18" hidden="1" x14ac:dyDescent="0.35">
      <c r="A99" s="22" t="s">
        <v>168</v>
      </c>
      <c r="B99" s="7"/>
      <c r="C99" s="7"/>
      <c r="D99" s="8">
        <f t="shared" si="1"/>
        <v>0</v>
      </c>
    </row>
    <row r="100" spans="1:4" ht="18" hidden="1" x14ac:dyDescent="0.35">
      <c r="A100" s="10" t="s">
        <v>169</v>
      </c>
      <c r="B100" s="7"/>
      <c r="C100" s="7"/>
      <c r="D100" s="8">
        <f t="shared" si="1"/>
        <v>0</v>
      </c>
    </row>
    <row r="101" spans="1:4" ht="18" hidden="1" x14ac:dyDescent="0.35">
      <c r="A101" s="6" t="s">
        <v>170</v>
      </c>
      <c r="B101" s="7"/>
      <c r="C101" s="7"/>
      <c r="D101" s="8">
        <f t="shared" si="1"/>
        <v>0</v>
      </c>
    </row>
    <row r="102" spans="1:4" ht="18" hidden="1" x14ac:dyDescent="0.35">
      <c r="A102" s="10" t="s">
        <v>171</v>
      </c>
      <c r="B102" s="7"/>
      <c r="C102" s="7"/>
      <c r="D102" s="8">
        <f t="shared" si="1"/>
        <v>0</v>
      </c>
    </row>
    <row r="103" spans="1:4" ht="18" x14ac:dyDescent="0.3">
      <c r="A103" s="6" t="s">
        <v>175</v>
      </c>
      <c r="B103" s="7">
        <v>220</v>
      </c>
      <c r="C103" s="7">
        <v>11000</v>
      </c>
      <c r="D103" s="8">
        <f t="shared" si="1"/>
        <v>2420000</v>
      </c>
    </row>
    <row r="104" spans="1:4" ht="18" x14ac:dyDescent="0.3">
      <c r="A104" s="6" t="s">
        <v>176</v>
      </c>
      <c r="B104" s="7">
        <v>540</v>
      </c>
      <c r="C104" s="7">
        <v>36000</v>
      </c>
      <c r="D104" s="8">
        <f t="shared" si="1"/>
        <v>19440000</v>
      </c>
    </row>
    <row r="105" spans="1:4" ht="18" x14ac:dyDescent="0.3">
      <c r="A105" s="10" t="s">
        <v>177</v>
      </c>
      <c r="B105" s="7">
        <v>33.333333333333336</v>
      </c>
      <c r="C105" s="7">
        <v>7000</v>
      </c>
      <c r="D105" s="8">
        <f t="shared" si="1"/>
        <v>233333.33333333334</v>
      </c>
    </row>
    <row r="106" spans="1:4" ht="18" hidden="1" x14ac:dyDescent="0.35">
      <c r="A106" s="6" t="s">
        <v>179</v>
      </c>
      <c r="B106" s="7"/>
      <c r="C106" s="7"/>
      <c r="D106" s="8">
        <f t="shared" si="1"/>
        <v>0</v>
      </c>
    </row>
    <row r="107" spans="1:4" ht="18" hidden="1" x14ac:dyDescent="0.35">
      <c r="A107" s="6" t="s">
        <v>180</v>
      </c>
      <c r="B107" s="7"/>
      <c r="C107" s="7"/>
      <c r="D107" s="8">
        <f t="shared" si="1"/>
        <v>0</v>
      </c>
    </row>
    <row r="108" spans="1:4" ht="18" hidden="1" x14ac:dyDescent="0.35">
      <c r="A108" s="10" t="s">
        <v>181</v>
      </c>
      <c r="B108" s="7"/>
      <c r="C108" s="7"/>
      <c r="D108" s="8">
        <f t="shared" si="1"/>
        <v>0</v>
      </c>
    </row>
    <row r="109" spans="1:4" ht="18" hidden="1" x14ac:dyDescent="0.35">
      <c r="A109" s="10" t="s">
        <v>182</v>
      </c>
      <c r="B109" s="7"/>
      <c r="C109" s="7"/>
      <c r="D109" s="8">
        <f t="shared" si="1"/>
        <v>0</v>
      </c>
    </row>
    <row r="110" spans="1:4" ht="18" hidden="1" x14ac:dyDescent="0.35">
      <c r="A110" s="10" t="s">
        <v>183</v>
      </c>
      <c r="B110" s="7"/>
      <c r="C110" s="7"/>
      <c r="D110" s="8">
        <f t="shared" si="1"/>
        <v>0</v>
      </c>
    </row>
    <row r="111" spans="1:4" ht="18" x14ac:dyDescent="0.3">
      <c r="A111" s="10" t="s">
        <v>184</v>
      </c>
      <c r="B111" s="7">
        <v>39</v>
      </c>
      <c r="C111" s="7">
        <v>8500</v>
      </c>
      <c r="D111" s="8">
        <f t="shared" si="1"/>
        <v>331500</v>
      </c>
    </row>
    <row r="112" spans="1:4" ht="18" hidden="1" x14ac:dyDescent="0.35">
      <c r="A112" s="10" t="s">
        <v>186</v>
      </c>
      <c r="B112" s="7"/>
      <c r="C112" s="7"/>
      <c r="D112" s="8">
        <f t="shared" si="1"/>
        <v>0</v>
      </c>
    </row>
    <row r="113" spans="1:4" ht="18" hidden="1" x14ac:dyDescent="0.35">
      <c r="A113" s="10" t="s">
        <v>188</v>
      </c>
      <c r="B113" s="7"/>
      <c r="C113" s="7"/>
      <c r="D113" s="8">
        <f t="shared" si="1"/>
        <v>0</v>
      </c>
    </row>
    <row r="114" spans="1:4" ht="18" hidden="1" x14ac:dyDescent="0.35">
      <c r="A114" s="13" t="s">
        <v>189</v>
      </c>
      <c r="B114" s="7"/>
      <c r="C114" s="7"/>
      <c r="D114" s="8">
        <f t="shared" si="1"/>
        <v>0</v>
      </c>
    </row>
    <row r="115" spans="1:4" ht="18" x14ac:dyDescent="0.3">
      <c r="A115" s="20" t="s">
        <v>190</v>
      </c>
      <c r="B115" s="7">
        <v>40</v>
      </c>
      <c r="C115" s="7">
        <v>9000</v>
      </c>
      <c r="D115" s="8">
        <f t="shared" si="1"/>
        <v>360000</v>
      </c>
    </row>
    <row r="116" spans="1:4" ht="18" hidden="1" x14ac:dyDescent="0.35">
      <c r="A116" s="10" t="s">
        <v>191</v>
      </c>
      <c r="B116" s="7"/>
      <c r="C116" s="7"/>
      <c r="D116" s="8">
        <f t="shared" si="1"/>
        <v>0</v>
      </c>
    </row>
    <row r="117" spans="1:4" ht="18" hidden="1" x14ac:dyDescent="0.35">
      <c r="A117" s="10" t="s">
        <v>192</v>
      </c>
      <c r="B117" s="7"/>
      <c r="C117" s="7"/>
      <c r="D117" s="8">
        <f t="shared" si="1"/>
        <v>0</v>
      </c>
    </row>
    <row r="118" spans="1:4" ht="18" x14ac:dyDescent="0.3">
      <c r="A118" s="10" t="s">
        <v>194</v>
      </c>
      <c r="B118" s="7">
        <v>280</v>
      </c>
      <c r="C118" s="7">
        <v>8000</v>
      </c>
      <c r="D118" s="8">
        <f t="shared" si="1"/>
        <v>2240000</v>
      </c>
    </row>
    <row r="119" spans="1:4" ht="18" hidden="1" x14ac:dyDescent="0.35">
      <c r="A119" s="10" t="s">
        <v>195</v>
      </c>
      <c r="B119" s="7"/>
      <c r="C119" s="7"/>
      <c r="D119" s="8">
        <f t="shared" si="1"/>
        <v>0</v>
      </c>
    </row>
    <row r="120" spans="1:4" ht="18" hidden="1" x14ac:dyDescent="0.35">
      <c r="A120" s="10" t="s">
        <v>196</v>
      </c>
      <c r="B120" s="7"/>
      <c r="C120" s="7"/>
      <c r="D120" s="8">
        <f t="shared" si="1"/>
        <v>0</v>
      </c>
    </row>
    <row r="121" spans="1:4" ht="18" hidden="1" x14ac:dyDescent="0.35">
      <c r="A121" s="6" t="s">
        <v>198</v>
      </c>
      <c r="B121" s="7"/>
      <c r="C121" s="7"/>
      <c r="D121" s="8">
        <f t="shared" si="1"/>
        <v>0</v>
      </c>
    </row>
    <row r="122" spans="1:4" ht="18" x14ac:dyDescent="0.3">
      <c r="A122" s="6" t="s">
        <v>199</v>
      </c>
      <c r="B122" s="7">
        <v>17</v>
      </c>
      <c r="C122" s="7">
        <v>9500</v>
      </c>
      <c r="D122" s="8">
        <f t="shared" si="1"/>
        <v>161500</v>
      </c>
    </row>
    <row r="123" spans="1:4" ht="18" hidden="1" x14ac:dyDescent="0.35">
      <c r="A123" s="6" t="s">
        <v>208</v>
      </c>
      <c r="B123" s="7"/>
      <c r="C123" s="7"/>
      <c r="D123" s="8">
        <f t="shared" si="1"/>
        <v>0</v>
      </c>
    </row>
    <row r="124" spans="1:4" ht="18" x14ac:dyDescent="0.3">
      <c r="A124" s="10" t="s">
        <v>212</v>
      </c>
      <c r="B124" s="7">
        <v>3</v>
      </c>
      <c r="C124" s="7">
        <v>25000</v>
      </c>
      <c r="D124" s="8">
        <f t="shared" si="1"/>
        <v>75000</v>
      </c>
    </row>
    <row r="125" spans="1:4" ht="18" x14ac:dyDescent="0.3">
      <c r="A125" s="11" t="s">
        <v>213</v>
      </c>
      <c r="B125" s="7">
        <v>16</v>
      </c>
      <c r="C125" s="7">
        <v>28000</v>
      </c>
      <c r="D125" s="8">
        <f t="shared" si="1"/>
        <v>448000</v>
      </c>
    </row>
    <row r="126" spans="1:4" ht="18" hidden="1" x14ac:dyDescent="0.35">
      <c r="A126" s="10" t="s">
        <v>216</v>
      </c>
      <c r="B126" s="7"/>
      <c r="C126" s="7"/>
      <c r="D126" s="8">
        <f t="shared" si="1"/>
        <v>0</v>
      </c>
    </row>
    <row r="127" spans="1:4" ht="18" x14ac:dyDescent="0.3">
      <c r="A127" s="10" t="s">
        <v>219</v>
      </c>
      <c r="B127" s="7">
        <v>4</v>
      </c>
      <c r="C127" s="7">
        <v>55000</v>
      </c>
      <c r="D127" s="8">
        <f t="shared" si="1"/>
        <v>220000</v>
      </c>
    </row>
    <row r="128" spans="1:4" ht="18" hidden="1" x14ac:dyDescent="0.35">
      <c r="A128" s="10" t="s">
        <v>222</v>
      </c>
      <c r="B128" s="7"/>
      <c r="C128" s="7"/>
      <c r="D128" s="8">
        <f t="shared" si="1"/>
        <v>0</v>
      </c>
    </row>
    <row r="129" spans="1:4" ht="18" hidden="1" x14ac:dyDescent="0.35">
      <c r="A129" s="10" t="s">
        <v>223</v>
      </c>
      <c r="B129" s="7"/>
      <c r="C129" s="7"/>
      <c r="D129" s="8">
        <f t="shared" si="1"/>
        <v>0</v>
      </c>
    </row>
    <row r="130" spans="1:4" ht="18" hidden="1" x14ac:dyDescent="0.35">
      <c r="A130" s="11" t="s">
        <v>226</v>
      </c>
      <c r="B130" s="12"/>
      <c r="C130" s="12"/>
      <c r="D130" s="8">
        <f t="shared" si="1"/>
        <v>0</v>
      </c>
    </row>
    <row r="131" spans="1:4" ht="18" hidden="1" x14ac:dyDescent="0.35">
      <c r="A131" s="14" t="s">
        <v>227</v>
      </c>
      <c r="B131" s="7"/>
      <c r="C131" s="7"/>
      <c r="D131" s="8">
        <f t="shared" si="1"/>
        <v>0</v>
      </c>
    </row>
    <row r="132" spans="1:4" ht="18" hidden="1" x14ac:dyDescent="0.35">
      <c r="A132" s="13" t="s">
        <v>229</v>
      </c>
      <c r="B132" s="7"/>
      <c r="C132" s="7"/>
      <c r="D132" s="8">
        <f t="shared" ref="D132:D172" si="2">B132*C132</f>
        <v>0</v>
      </c>
    </row>
    <row r="133" spans="1:4" ht="18" hidden="1" x14ac:dyDescent="0.35">
      <c r="A133" s="11" t="s">
        <v>230</v>
      </c>
      <c r="B133" s="7"/>
      <c r="C133" s="7"/>
      <c r="D133" s="8">
        <f t="shared" si="2"/>
        <v>0</v>
      </c>
    </row>
    <row r="134" spans="1:4" ht="18" hidden="1" x14ac:dyDescent="0.35">
      <c r="A134" s="10" t="s">
        <v>231</v>
      </c>
      <c r="B134" s="7"/>
      <c r="C134" s="7"/>
      <c r="D134" s="8">
        <f t="shared" si="2"/>
        <v>0</v>
      </c>
    </row>
    <row r="135" spans="1:4" ht="18" hidden="1" x14ac:dyDescent="0.35">
      <c r="A135" s="10" t="s">
        <v>232</v>
      </c>
      <c r="B135" s="7"/>
      <c r="C135" s="7"/>
      <c r="D135" s="8">
        <f t="shared" si="2"/>
        <v>0</v>
      </c>
    </row>
    <row r="136" spans="1:4" ht="18" hidden="1" x14ac:dyDescent="0.35">
      <c r="A136" s="14" t="s">
        <v>233</v>
      </c>
      <c r="B136" s="7"/>
      <c r="C136" s="7"/>
      <c r="D136" s="8">
        <f t="shared" si="2"/>
        <v>0</v>
      </c>
    </row>
    <row r="137" spans="1:4" ht="18" hidden="1" x14ac:dyDescent="0.35">
      <c r="A137" s="10" t="s">
        <v>236</v>
      </c>
      <c r="B137" s="7"/>
      <c r="C137" s="7"/>
      <c r="D137" s="8">
        <f t="shared" si="2"/>
        <v>0</v>
      </c>
    </row>
    <row r="138" spans="1:4" ht="18" hidden="1" x14ac:dyDescent="0.35">
      <c r="A138" s="13" t="s">
        <v>237</v>
      </c>
      <c r="B138" s="7"/>
      <c r="C138" s="7"/>
      <c r="D138" s="8">
        <f t="shared" si="2"/>
        <v>0</v>
      </c>
    </row>
    <row r="139" spans="1:4" ht="18" hidden="1" x14ac:dyDescent="0.35">
      <c r="A139" s="10" t="s">
        <v>238</v>
      </c>
      <c r="B139" s="7"/>
      <c r="C139" s="7"/>
      <c r="D139" s="8">
        <f t="shared" si="2"/>
        <v>0</v>
      </c>
    </row>
    <row r="140" spans="1:4" ht="18" hidden="1" x14ac:dyDescent="0.35">
      <c r="A140" s="10" t="s">
        <v>239</v>
      </c>
      <c r="B140" s="7"/>
      <c r="C140" s="7"/>
      <c r="D140" s="8">
        <f t="shared" si="2"/>
        <v>0</v>
      </c>
    </row>
    <row r="141" spans="1:4" ht="18" hidden="1" x14ac:dyDescent="0.35">
      <c r="A141" s="10" t="s">
        <v>240</v>
      </c>
      <c r="B141" s="7"/>
      <c r="C141" s="7"/>
      <c r="D141" s="8">
        <f t="shared" si="2"/>
        <v>0</v>
      </c>
    </row>
    <row r="142" spans="1:4" ht="18" hidden="1" x14ac:dyDescent="0.35">
      <c r="A142" s="10" t="s">
        <v>241</v>
      </c>
      <c r="B142" s="7"/>
      <c r="C142" s="7"/>
      <c r="D142" s="8">
        <f t="shared" si="2"/>
        <v>0</v>
      </c>
    </row>
    <row r="143" spans="1:4" ht="18" hidden="1" x14ac:dyDescent="0.35">
      <c r="A143" s="13" t="s">
        <v>242</v>
      </c>
      <c r="B143" s="7"/>
      <c r="C143" s="7"/>
      <c r="D143" s="8">
        <f t="shared" si="2"/>
        <v>0</v>
      </c>
    </row>
    <row r="144" spans="1:4" ht="18" x14ac:dyDescent="0.3">
      <c r="A144" s="10" t="s">
        <v>247</v>
      </c>
      <c r="B144" s="7">
        <v>3</v>
      </c>
      <c r="C144" s="7">
        <v>30000</v>
      </c>
      <c r="D144" s="8">
        <f t="shared" si="2"/>
        <v>90000</v>
      </c>
    </row>
    <row r="145" spans="1:4" ht="18" hidden="1" x14ac:dyDescent="0.35">
      <c r="A145" s="13" t="s">
        <v>249</v>
      </c>
      <c r="B145" s="7"/>
      <c r="C145" s="7"/>
      <c r="D145" s="8">
        <f t="shared" si="2"/>
        <v>0</v>
      </c>
    </row>
    <row r="146" spans="1:4" ht="18" hidden="1" x14ac:dyDescent="0.35">
      <c r="A146" s="10" t="s">
        <v>250</v>
      </c>
      <c r="B146" s="7"/>
      <c r="C146" s="7"/>
      <c r="D146" s="8">
        <f t="shared" si="2"/>
        <v>0</v>
      </c>
    </row>
    <row r="147" spans="1:4" ht="18" hidden="1" x14ac:dyDescent="0.35">
      <c r="A147" s="10" t="s">
        <v>251</v>
      </c>
      <c r="B147" s="7"/>
      <c r="C147" s="7"/>
      <c r="D147" s="8">
        <f t="shared" si="2"/>
        <v>0</v>
      </c>
    </row>
    <row r="148" spans="1:4" ht="18" hidden="1" x14ac:dyDescent="0.35">
      <c r="A148" s="10" t="s">
        <v>253</v>
      </c>
      <c r="B148" s="7"/>
      <c r="C148" s="7"/>
      <c r="D148" s="8">
        <f t="shared" si="2"/>
        <v>0</v>
      </c>
    </row>
    <row r="149" spans="1:4" ht="18" hidden="1" x14ac:dyDescent="0.35">
      <c r="A149" s="10" t="s">
        <v>254</v>
      </c>
      <c r="B149" s="7"/>
      <c r="C149" s="7"/>
      <c r="D149" s="8">
        <f t="shared" si="2"/>
        <v>0</v>
      </c>
    </row>
    <row r="150" spans="1:4" ht="18" hidden="1" x14ac:dyDescent="0.35">
      <c r="A150" s="10" t="s">
        <v>255</v>
      </c>
      <c r="B150" s="7"/>
      <c r="C150" s="7"/>
      <c r="D150" s="8">
        <f t="shared" si="2"/>
        <v>0</v>
      </c>
    </row>
    <row r="151" spans="1:4" ht="18" hidden="1" x14ac:dyDescent="0.35">
      <c r="A151" s="10" t="s">
        <v>256</v>
      </c>
      <c r="B151" s="7"/>
      <c r="C151" s="7"/>
      <c r="D151" s="8">
        <f t="shared" si="2"/>
        <v>0</v>
      </c>
    </row>
    <row r="152" spans="1:4" ht="18" hidden="1" x14ac:dyDescent="0.35">
      <c r="A152" s="10" t="s">
        <v>259</v>
      </c>
      <c r="B152" s="7"/>
      <c r="C152" s="7"/>
      <c r="D152" s="8">
        <f t="shared" si="2"/>
        <v>0</v>
      </c>
    </row>
    <row r="153" spans="1:4" ht="18" hidden="1" x14ac:dyDescent="0.35">
      <c r="A153" s="14" t="s">
        <v>260</v>
      </c>
      <c r="B153" s="7"/>
      <c r="C153" s="7"/>
      <c r="D153" s="8">
        <f t="shared" si="2"/>
        <v>0</v>
      </c>
    </row>
    <row r="154" spans="1:4" ht="18" x14ac:dyDescent="0.3">
      <c r="A154" s="10" t="s">
        <v>262</v>
      </c>
      <c r="B154" s="7">
        <v>6</v>
      </c>
      <c r="C154" s="7">
        <v>8000</v>
      </c>
      <c r="D154" s="8">
        <f t="shared" si="2"/>
        <v>48000</v>
      </c>
    </row>
    <row r="155" spans="1:4" ht="18" x14ac:dyDescent="0.3">
      <c r="A155" s="10" t="s">
        <v>263</v>
      </c>
      <c r="B155" s="7">
        <v>32</v>
      </c>
      <c r="C155" s="7">
        <v>6000</v>
      </c>
      <c r="D155" s="8">
        <f t="shared" si="2"/>
        <v>192000</v>
      </c>
    </row>
    <row r="156" spans="1:4" ht="18" hidden="1" x14ac:dyDescent="0.35">
      <c r="A156" s="10" t="s">
        <v>264</v>
      </c>
      <c r="B156" s="7"/>
      <c r="C156" s="7"/>
      <c r="D156" s="8">
        <f t="shared" si="2"/>
        <v>0</v>
      </c>
    </row>
    <row r="157" spans="1:4" ht="18" hidden="1" x14ac:dyDescent="0.35">
      <c r="A157" s="10" t="s">
        <v>266</v>
      </c>
      <c r="B157" s="7"/>
      <c r="C157" s="7"/>
      <c r="D157" s="8">
        <f t="shared" si="2"/>
        <v>0</v>
      </c>
    </row>
    <row r="158" spans="1:4" ht="18" hidden="1" x14ac:dyDescent="0.35">
      <c r="A158" s="10" t="s">
        <v>267</v>
      </c>
      <c r="B158" s="7"/>
      <c r="C158" s="7"/>
      <c r="D158" s="8">
        <f t="shared" si="2"/>
        <v>0</v>
      </c>
    </row>
    <row r="159" spans="1:4" ht="18" hidden="1" x14ac:dyDescent="0.35">
      <c r="A159" s="22" t="s">
        <v>268</v>
      </c>
      <c r="B159" s="7"/>
      <c r="C159" s="7"/>
      <c r="D159" s="8">
        <f t="shared" si="2"/>
        <v>0</v>
      </c>
    </row>
    <row r="160" spans="1:4" ht="18" x14ac:dyDescent="0.3">
      <c r="A160" s="10" t="s">
        <v>269</v>
      </c>
      <c r="B160" s="7">
        <v>17</v>
      </c>
      <c r="C160" s="7">
        <v>25000</v>
      </c>
      <c r="D160" s="8">
        <f t="shared" si="2"/>
        <v>425000</v>
      </c>
    </row>
    <row r="161" spans="1:4" ht="18" hidden="1" x14ac:dyDescent="0.35">
      <c r="A161" s="10" t="s">
        <v>270</v>
      </c>
      <c r="B161" s="7"/>
      <c r="C161" s="7"/>
      <c r="D161" s="8">
        <f t="shared" si="2"/>
        <v>0</v>
      </c>
    </row>
    <row r="162" spans="1:4" ht="18" hidden="1" x14ac:dyDescent="0.35">
      <c r="A162" s="6" t="s">
        <v>272</v>
      </c>
      <c r="B162" s="12"/>
      <c r="C162" s="7"/>
      <c r="D162" s="8">
        <f t="shared" si="2"/>
        <v>0</v>
      </c>
    </row>
    <row r="163" spans="1:4" ht="18" hidden="1" x14ac:dyDescent="0.35">
      <c r="A163" s="10" t="s">
        <v>273</v>
      </c>
      <c r="B163" s="7"/>
      <c r="C163" s="7"/>
      <c r="D163" s="8">
        <f t="shared" si="2"/>
        <v>0</v>
      </c>
    </row>
    <row r="164" spans="1:4" ht="18" hidden="1" x14ac:dyDescent="0.35">
      <c r="A164" s="10" t="s">
        <v>274</v>
      </c>
      <c r="B164" s="7"/>
      <c r="C164" s="7"/>
      <c r="D164" s="8">
        <f t="shared" si="2"/>
        <v>0</v>
      </c>
    </row>
    <row r="165" spans="1:4" ht="18" hidden="1" x14ac:dyDescent="0.35">
      <c r="A165" s="10" t="s">
        <v>275</v>
      </c>
      <c r="B165" s="7"/>
      <c r="C165" s="7"/>
      <c r="D165" s="8">
        <f t="shared" si="2"/>
        <v>0</v>
      </c>
    </row>
    <row r="166" spans="1:4" ht="18" hidden="1" x14ac:dyDescent="0.35">
      <c r="A166" s="10" t="s">
        <v>276</v>
      </c>
      <c r="B166" s="7"/>
      <c r="C166" s="7"/>
      <c r="D166" s="8">
        <f t="shared" si="2"/>
        <v>0</v>
      </c>
    </row>
    <row r="167" spans="1:4" ht="18" x14ac:dyDescent="0.3">
      <c r="A167" s="22" t="s">
        <v>277</v>
      </c>
      <c r="B167" s="7">
        <v>68</v>
      </c>
      <c r="C167" s="7">
        <v>3500</v>
      </c>
      <c r="D167" s="8">
        <f t="shared" si="2"/>
        <v>238000</v>
      </c>
    </row>
    <row r="168" spans="1:4" ht="18" hidden="1" x14ac:dyDescent="0.35">
      <c r="A168" s="11" t="s">
        <v>278</v>
      </c>
      <c r="B168" s="7"/>
      <c r="C168" s="7"/>
      <c r="D168" s="8">
        <f t="shared" si="2"/>
        <v>0</v>
      </c>
    </row>
    <row r="169" spans="1:4" ht="18" hidden="1" x14ac:dyDescent="0.35">
      <c r="A169" s="10" t="s">
        <v>281</v>
      </c>
      <c r="B169" s="7"/>
      <c r="C169" s="7"/>
      <c r="D169" s="8">
        <f t="shared" si="2"/>
        <v>0</v>
      </c>
    </row>
    <row r="170" spans="1:4" ht="18" x14ac:dyDescent="0.3">
      <c r="A170" s="10" t="s">
        <v>282</v>
      </c>
      <c r="B170" s="7">
        <v>5</v>
      </c>
      <c r="C170" s="7">
        <v>6000</v>
      </c>
      <c r="D170" s="8">
        <f t="shared" si="2"/>
        <v>30000</v>
      </c>
    </row>
    <row r="171" spans="1:4" ht="18" hidden="1" x14ac:dyDescent="0.35">
      <c r="A171" s="11" t="s">
        <v>285</v>
      </c>
      <c r="B171" s="7"/>
      <c r="C171" s="7"/>
      <c r="D171" s="8">
        <f t="shared" si="2"/>
        <v>0</v>
      </c>
    </row>
    <row r="172" spans="1:4" ht="18" hidden="1" x14ac:dyDescent="0.35">
      <c r="A172" s="10" t="s">
        <v>288</v>
      </c>
      <c r="B172" s="7"/>
      <c r="C172" s="7"/>
      <c r="D172" s="8">
        <f t="shared" si="2"/>
        <v>0</v>
      </c>
    </row>
    <row r="173" spans="1:4" ht="17.399999999999999" x14ac:dyDescent="0.3">
      <c r="A173" s="31"/>
      <c r="B173" s="32">
        <v>5820.5333333333328</v>
      </c>
      <c r="C173" s="32"/>
      <c r="D173" s="32">
        <f>SUBTOTAL(9,D3:D172)</f>
        <v>85366833.333333328</v>
      </c>
    </row>
  </sheetData>
  <protectedRanges>
    <protectedRange password="CF71" sqref="B1:D3 D4:D172" name="tho"/>
    <protectedRange password="CF71" sqref="B4:C5" name="tho_1"/>
    <protectedRange password="CF71" sqref="B6:C8" name="tho_2"/>
    <protectedRange password="CF71" sqref="B9:C11" name="tho_3"/>
    <protectedRange password="CF71" sqref="B12:C13" name="tho_4"/>
    <protectedRange password="CF71" sqref="B14:C14" name="tho_5"/>
    <protectedRange password="CF71" sqref="B15:C15" name="tho_6"/>
    <protectedRange password="CF71" sqref="B16:C16" name="tho_7"/>
    <protectedRange password="CF71" sqref="B17:C18" name="tho_8"/>
    <protectedRange password="CF71" sqref="B19:C19" name="tho_9"/>
    <protectedRange password="CF71" sqref="B20:C20" name="tho_10"/>
    <protectedRange password="CF71" sqref="B21:C23" name="tho_11"/>
    <protectedRange password="CF71" sqref="B24:C26" name="tho_12"/>
    <protectedRange password="CF71" sqref="B27:C29" name="tho_13"/>
    <protectedRange password="CF71" sqref="B30:C31" name="tho_14"/>
    <protectedRange password="CF71" sqref="B32:C36" name="tho_15"/>
    <protectedRange password="CF71" sqref="B37:C37" name="tho_16"/>
    <protectedRange password="CF71" sqref="B38:C39" name="tho_17"/>
    <protectedRange password="CF71" sqref="B40:C40" name="tho_18"/>
    <protectedRange password="CF71" sqref="B41:C41" name="tho_19"/>
    <protectedRange password="CF71" sqref="B42:C53" name="tho_20"/>
    <protectedRange password="CF71" sqref="B54:C56" name="tho_21"/>
    <protectedRange password="CF71" sqref="B57:C57" name="tho_22"/>
    <protectedRange password="CF71" sqref="B58:C59" name="tho_23"/>
    <protectedRange password="CF71" sqref="B60:C61" name="tho_24"/>
    <protectedRange password="CF71" sqref="B62:C64" name="tho_25"/>
    <protectedRange password="CF71" sqref="B65:C65" name="tho_26"/>
    <protectedRange password="CF71" sqref="B66:C67" name="tho_27"/>
    <protectedRange password="CF71" sqref="B68:C70" name="tho_28"/>
    <protectedRange password="CF71" sqref="B71:C71" name="tho_29"/>
    <protectedRange password="CF71" sqref="B72:C75" name="tho_30"/>
    <protectedRange password="CF71" sqref="B76:C76" name="tho_31"/>
    <protectedRange password="CF71" sqref="B77:C77" name="tho_32"/>
    <protectedRange password="CF71" sqref="B78:C78" name="tho_33"/>
    <protectedRange password="CF71" sqref="B79:C79" name="tho_34"/>
    <protectedRange password="CF71" sqref="B80:C82" name="tho_35"/>
    <protectedRange password="CF71" sqref="B83:C84" name="tho_36"/>
    <protectedRange password="CF71" sqref="B85:C85" name="tho_37"/>
    <protectedRange password="CF71" sqref="B86:C88" name="tho_38"/>
    <protectedRange password="CF71" sqref="B89:C90" name="tho_39"/>
    <protectedRange password="CF71" sqref="B91:C91" name="tho_40"/>
    <protectedRange password="CF71" sqref="B92:C92" name="tho_41"/>
    <protectedRange password="CF71" sqref="B93:C94" name="tho_42"/>
    <protectedRange password="CF71" sqref="B95:C96" name="tho_43"/>
    <protectedRange password="CF71" sqref="B97:C102" name="tho_44"/>
    <protectedRange password="CF71" sqref="B103:C104" name="tho_45"/>
    <protectedRange password="CF71" sqref="B105:C111" name="tho_46"/>
    <protectedRange password="CF71" sqref="B112:C112" name="tho_47"/>
    <protectedRange password="CF71" sqref="B113:C117" name="tho_48"/>
    <protectedRange password="CF71" sqref="B118:C120" name="tho_49"/>
    <protectedRange password="CF71" sqref="B121:C122" name="tho_50"/>
    <protectedRange password="CF71" sqref="B123:C123" name="tho_51"/>
    <protectedRange password="CF71" sqref="B124:C124" name="tho_52"/>
    <protectedRange password="CF71" sqref="B125:C125" name="tho_53"/>
    <protectedRange password="CF71" sqref="B126:C126" name="tho_54"/>
    <protectedRange password="CF71" sqref="B127:C127" name="tho_55"/>
    <protectedRange password="CF71" sqref="B128:C129" name="tho_56"/>
    <protectedRange password="CF71" sqref="B130:C131" name="tho_57"/>
    <protectedRange password="CF71" sqref="B132:C136" name="tho_58"/>
    <protectedRange password="CF71" sqref="B137:C143" name="tho_59"/>
    <protectedRange password="CF71" sqref="B144:C144" name="tho_60"/>
    <protectedRange password="CF71" sqref="B145:C147" name="tho_61"/>
    <protectedRange password="CF71" sqref="B148:C151" name="tho_62"/>
    <protectedRange password="CF71" sqref="B152:C153" name="tho_63"/>
    <protectedRange password="CF71" sqref="B154:C156" name="tho_64"/>
    <protectedRange password="CF71" sqref="B157:C161" name="tho_65"/>
    <protectedRange password="CF71" sqref="B162:C168" name="tho_66"/>
    <protectedRange password="CF71" sqref="B169:C170" name="tho_67"/>
    <protectedRange password="CF71" sqref="B171:C171" name="tho_68"/>
    <protectedRange password="CF71" sqref="B172:C172" name="tho_69"/>
  </protectedRanges>
  <autoFilter ref="A2:D173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82" workbookViewId="0">
      <selection activeCell="D290" sqref="D290"/>
    </sheetView>
  </sheetViews>
  <sheetFormatPr defaultRowHeight="14.4" x14ac:dyDescent="0.3"/>
  <cols>
    <col min="1" max="1" width="41.109375" customWidth="1"/>
    <col min="3" max="3" width="12.33203125" customWidth="1"/>
    <col min="4" max="4" width="18.6640625" customWidth="1"/>
  </cols>
  <sheetData>
    <row r="1" spans="1:4" x14ac:dyDescent="0.3">
      <c r="A1" s="1" t="s">
        <v>294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hidden="1" x14ac:dyDescent="0.35">
      <c r="A6" s="20" t="s">
        <v>190</v>
      </c>
      <c r="B6" s="7"/>
      <c r="C6" s="7"/>
      <c r="D6" s="8">
        <f t="shared" si="0"/>
        <v>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10" t="s">
        <v>49</v>
      </c>
      <c r="B8" s="7"/>
      <c r="C8" s="7"/>
      <c r="D8" s="8">
        <f t="shared" si="0"/>
        <v>0</v>
      </c>
    </row>
    <row r="9" spans="1:4" ht="18" hidden="1" x14ac:dyDescent="0.35">
      <c r="A9" s="10" t="s">
        <v>50</v>
      </c>
      <c r="B9" s="7"/>
      <c r="C9" s="7"/>
      <c r="D9" s="8">
        <f t="shared" si="0"/>
        <v>0</v>
      </c>
    </row>
    <row r="10" spans="1:4" ht="18" hidden="1" x14ac:dyDescent="0.35">
      <c r="A10" s="6" t="s">
        <v>51</v>
      </c>
      <c r="B10" s="7"/>
      <c r="C10" s="7"/>
      <c r="D10" s="8">
        <f t="shared" si="0"/>
        <v>0</v>
      </c>
    </row>
    <row r="11" spans="1:4" ht="18" x14ac:dyDescent="0.3">
      <c r="A11" s="6" t="s">
        <v>199</v>
      </c>
      <c r="B11" s="12">
        <v>3</v>
      </c>
      <c r="C11" s="7">
        <v>9500</v>
      </c>
      <c r="D11" s="8">
        <f t="shared" si="0"/>
        <v>28500</v>
      </c>
    </row>
    <row r="12" spans="1:4" ht="18" hidden="1" x14ac:dyDescent="0.35">
      <c r="A12" s="10" t="s">
        <v>117</v>
      </c>
      <c r="B12" s="7"/>
      <c r="C12" s="7"/>
      <c r="D12" s="8">
        <f t="shared" si="0"/>
        <v>0</v>
      </c>
    </row>
    <row r="13" spans="1:4" ht="18" hidden="1" x14ac:dyDescent="0.35">
      <c r="A13" s="10" t="s">
        <v>276</v>
      </c>
      <c r="B13" s="7"/>
      <c r="C13" s="7"/>
      <c r="D13" s="8">
        <f t="shared" si="0"/>
        <v>0</v>
      </c>
    </row>
    <row r="14" spans="1:4" ht="18" x14ac:dyDescent="0.3">
      <c r="A14" s="22" t="s">
        <v>277</v>
      </c>
      <c r="B14" s="7">
        <v>24</v>
      </c>
      <c r="C14" s="7">
        <v>3500</v>
      </c>
      <c r="D14" s="8">
        <f t="shared" si="0"/>
        <v>84000</v>
      </c>
    </row>
    <row r="15" spans="1:4" ht="18" hidden="1" x14ac:dyDescent="0.35">
      <c r="A15" s="11" t="s">
        <v>278</v>
      </c>
      <c r="B15" s="7"/>
      <c r="C15" s="7"/>
      <c r="D15" s="8">
        <f t="shared" si="0"/>
        <v>0</v>
      </c>
    </row>
    <row r="16" spans="1:4" ht="18" x14ac:dyDescent="0.3">
      <c r="A16" s="10" t="s">
        <v>120</v>
      </c>
      <c r="B16" s="7">
        <f>345+240+300</f>
        <v>885</v>
      </c>
      <c r="C16" s="7">
        <v>4500</v>
      </c>
      <c r="D16" s="8">
        <f t="shared" si="0"/>
        <v>3982500</v>
      </c>
    </row>
    <row r="17" spans="1:4" ht="18" hidden="1" x14ac:dyDescent="0.35">
      <c r="A17" s="6" t="s">
        <v>59</v>
      </c>
      <c r="B17" s="7"/>
      <c r="C17" s="7"/>
      <c r="D17" s="8">
        <f t="shared" si="0"/>
        <v>0</v>
      </c>
    </row>
    <row r="18" spans="1:4" ht="18" hidden="1" x14ac:dyDescent="0.35">
      <c r="A18" s="6" t="s">
        <v>60</v>
      </c>
      <c r="B18" s="7"/>
      <c r="C18" s="7"/>
      <c r="D18" s="8">
        <f t="shared" si="0"/>
        <v>0</v>
      </c>
    </row>
    <row r="19" spans="1:4" ht="18" x14ac:dyDescent="0.3">
      <c r="A19" s="10" t="s">
        <v>262</v>
      </c>
      <c r="B19" s="12">
        <v>14</v>
      </c>
      <c r="C19" s="7">
        <v>8000</v>
      </c>
      <c r="D19" s="8">
        <f t="shared" si="0"/>
        <v>112000</v>
      </c>
    </row>
    <row r="20" spans="1:4" ht="18" x14ac:dyDescent="0.3">
      <c r="A20" s="10" t="s">
        <v>263</v>
      </c>
      <c r="B20" s="7">
        <v>40</v>
      </c>
      <c r="C20" s="7">
        <v>6000</v>
      </c>
      <c r="D20" s="8">
        <f t="shared" si="0"/>
        <v>240000</v>
      </c>
    </row>
    <row r="21" spans="1:4" ht="18" hidden="1" x14ac:dyDescent="0.35">
      <c r="A21" s="10" t="s">
        <v>264</v>
      </c>
      <c r="B21" s="7"/>
      <c r="C21" s="7"/>
      <c r="D21" s="8">
        <f t="shared" si="0"/>
        <v>0</v>
      </c>
    </row>
    <row r="22" spans="1:4" ht="18" hidden="1" x14ac:dyDescent="0.35">
      <c r="A22" s="10" t="s">
        <v>265</v>
      </c>
      <c r="B22" s="7"/>
      <c r="C22" s="7"/>
      <c r="D22" s="8">
        <f t="shared" si="0"/>
        <v>0</v>
      </c>
    </row>
    <row r="23" spans="1:4" ht="18" hidden="1" x14ac:dyDescent="0.35">
      <c r="A23" s="10" t="s">
        <v>63</v>
      </c>
      <c r="B23" s="7"/>
      <c r="C23" s="7"/>
      <c r="D23" s="8">
        <f t="shared" si="0"/>
        <v>0</v>
      </c>
    </row>
    <row r="24" spans="1:4" ht="18" hidden="1" x14ac:dyDescent="0.35">
      <c r="A24" s="6" t="s">
        <v>64</v>
      </c>
      <c r="B24" s="7"/>
      <c r="C24" s="7"/>
      <c r="D24" s="8">
        <f t="shared" si="0"/>
        <v>0</v>
      </c>
    </row>
    <row r="25" spans="1:4" ht="18" hidden="1" x14ac:dyDescent="0.35">
      <c r="A25" s="6" t="s">
        <v>65</v>
      </c>
      <c r="B25" s="7"/>
      <c r="C25" s="7"/>
      <c r="D25" s="8">
        <f t="shared" si="0"/>
        <v>0</v>
      </c>
    </row>
    <row r="26" spans="1:4" ht="18" hidden="1" x14ac:dyDescent="0.35">
      <c r="A26" s="10" t="s">
        <v>222</v>
      </c>
      <c r="B26" s="7"/>
      <c r="C26" s="7"/>
      <c r="D26" s="8">
        <f t="shared" si="0"/>
        <v>0</v>
      </c>
    </row>
    <row r="27" spans="1:4" ht="18" hidden="1" x14ac:dyDescent="0.35">
      <c r="A27" s="10" t="s">
        <v>223</v>
      </c>
      <c r="B27" s="7"/>
      <c r="C27" s="7"/>
      <c r="D27" s="8">
        <f t="shared" si="0"/>
        <v>0</v>
      </c>
    </row>
    <row r="28" spans="1:4" ht="18" hidden="1" x14ac:dyDescent="0.35">
      <c r="A28" s="11" t="s">
        <v>224</v>
      </c>
      <c r="B28" s="12"/>
      <c r="C28" s="12"/>
      <c r="D28" s="8">
        <f t="shared" si="0"/>
        <v>0</v>
      </c>
    </row>
    <row r="29" spans="1:4" ht="18" hidden="1" x14ac:dyDescent="0.35">
      <c r="A29" s="11" t="s">
        <v>225</v>
      </c>
      <c r="B29" s="7"/>
      <c r="C29" s="7"/>
      <c r="D29" s="8">
        <f t="shared" si="0"/>
        <v>0</v>
      </c>
    </row>
    <row r="30" spans="1:4" ht="18" hidden="1" x14ac:dyDescent="0.35">
      <c r="A30" s="11" t="s">
        <v>226</v>
      </c>
      <c r="B30" s="12"/>
      <c r="C30" s="12"/>
      <c r="D30" s="8">
        <f t="shared" si="0"/>
        <v>0</v>
      </c>
    </row>
    <row r="31" spans="1:4" ht="18" hidden="1" x14ac:dyDescent="0.35">
      <c r="A31" s="10" t="s">
        <v>121</v>
      </c>
      <c r="B31" s="7"/>
      <c r="C31" s="7"/>
      <c r="D31" s="8">
        <f t="shared" si="0"/>
        <v>0</v>
      </c>
    </row>
    <row r="32" spans="1:4" ht="18" hidden="1" x14ac:dyDescent="0.35">
      <c r="A32" s="10" t="s">
        <v>145</v>
      </c>
      <c r="B32" s="7"/>
      <c r="C32" s="7"/>
      <c r="D32" s="8">
        <f t="shared" si="0"/>
        <v>0</v>
      </c>
    </row>
    <row r="33" spans="1:4" ht="18" hidden="1" x14ac:dyDescent="0.35">
      <c r="A33" s="14" t="s">
        <v>97</v>
      </c>
      <c r="B33" s="7"/>
      <c r="C33" s="7"/>
      <c r="D33" s="8">
        <f t="shared" si="0"/>
        <v>0</v>
      </c>
    </row>
    <row r="34" spans="1:4" ht="18" hidden="1" x14ac:dyDescent="0.35">
      <c r="A34" s="10" t="s">
        <v>98</v>
      </c>
      <c r="B34" s="7"/>
      <c r="C34" s="7"/>
      <c r="D34" s="8">
        <f t="shared" si="0"/>
        <v>0</v>
      </c>
    </row>
    <row r="35" spans="1:4" ht="18" hidden="1" x14ac:dyDescent="0.35">
      <c r="A35" s="10" t="s">
        <v>99</v>
      </c>
      <c r="B35" s="7"/>
      <c r="C35" s="7"/>
      <c r="D35" s="8">
        <f t="shared" si="0"/>
        <v>0</v>
      </c>
    </row>
    <row r="36" spans="1:4" ht="18" hidden="1" x14ac:dyDescent="0.35">
      <c r="A36" s="10" t="s">
        <v>266</v>
      </c>
      <c r="B36" s="7"/>
      <c r="C36" s="7"/>
      <c r="D36" s="8">
        <f t="shared" si="0"/>
        <v>0</v>
      </c>
    </row>
    <row r="37" spans="1:4" ht="18" hidden="1" x14ac:dyDescent="0.35">
      <c r="A37" s="10" t="s">
        <v>267</v>
      </c>
      <c r="B37" s="7"/>
      <c r="C37" s="7"/>
      <c r="D37" s="8">
        <f t="shared" si="0"/>
        <v>0</v>
      </c>
    </row>
    <row r="38" spans="1:4" ht="18" hidden="1" x14ac:dyDescent="0.35">
      <c r="A38" s="22" t="s">
        <v>268</v>
      </c>
      <c r="B38" s="7"/>
      <c r="C38" s="7"/>
      <c r="D38" s="8">
        <f t="shared" si="0"/>
        <v>0</v>
      </c>
    </row>
    <row r="39" spans="1:4" ht="18" hidden="1" x14ac:dyDescent="0.35">
      <c r="A39" s="11" t="s">
        <v>122</v>
      </c>
      <c r="B39" s="7"/>
      <c r="C39" s="7"/>
      <c r="D39" s="8">
        <f t="shared" si="0"/>
        <v>0</v>
      </c>
    </row>
    <row r="40" spans="1:4" ht="18" hidden="1" x14ac:dyDescent="0.35">
      <c r="A40" s="22" t="s">
        <v>123</v>
      </c>
      <c r="B40" s="7"/>
      <c r="C40" s="7"/>
      <c r="D40" s="8">
        <f t="shared" si="0"/>
        <v>0</v>
      </c>
    </row>
    <row r="41" spans="1:4" ht="18" x14ac:dyDescent="0.3">
      <c r="A41" s="10" t="s">
        <v>269</v>
      </c>
      <c r="B41" s="12">
        <v>12</v>
      </c>
      <c r="C41" s="7">
        <v>25000</v>
      </c>
      <c r="D41" s="8">
        <f t="shared" si="0"/>
        <v>300000</v>
      </c>
    </row>
    <row r="42" spans="1:4" ht="18" hidden="1" x14ac:dyDescent="0.35">
      <c r="A42" s="10" t="s">
        <v>270</v>
      </c>
      <c r="B42" s="7"/>
      <c r="C42" s="7"/>
      <c r="D42" s="8">
        <f t="shared" si="0"/>
        <v>0</v>
      </c>
    </row>
    <row r="43" spans="1:4" ht="18" x14ac:dyDescent="0.3">
      <c r="A43" s="6" t="s">
        <v>113</v>
      </c>
      <c r="B43" s="7">
        <f>740+80+60</f>
        <v>880</v>
      </c>
      <c r="C43" s="7">
        <v>14000</v>
      </c>
      <c r="D43" s="8">
        <f t="shared" si="0"/>
        <v>12320000</v>
      </c>
    </row>
    <row r="44" spans="1:4" ht="18" hidden="1" x14ac:dyDescent="0.35">
      <c r="A44" s="10" t="s">
        <v>147</v>
      </c>
      <c r="B44" s="7"/>
      <c r="C44" s="7"/>
      <c r="D44" s="8">
        <f t="shared" si="0"/>
        <v>0</v>
      </c>
    </row>
    <row r="45" spans="1:4" ht="18" hidden="1" x14ac:dyDescent="0.35">
      <c r="A45" s="34" t="s">
        <v>148</v>
      </c>
      <c r="B45" s="7"/>
      <c r="C45" s="7"/>
      <c r="D45" s="8">
        <f t="shared" si="0"/>
        <v>0</v>
      </c>
    </row>
    <row r="46" spans="1:4" ht="18" hidden="1" x14ac:dyDescent="0.35">
      <c r="A46" s="14" t="s">
        <v>149</v>
      </c>
      <c r="B46" s="7"/>
      <c r="C46" s="7"/>
      <c r="D46" s="8">
        <f t="shared" si="0"/>
        <v>0</v>
      </c>
    </row>
    <row r="47" spans="1:4" ht="18" hidden="1" x14ac:dyDescent="0.35">
      <c r="A47" s="10" t="s">
        <v>150</v>
      </c>
      <c r="B47" s="7"/>
      <c r="C47" s="7"/>
      <c r="D47" s="8">
        <f t="shared" si="0"/>
        <v>0</v>
      </c>
    </row>
    <row r="48" spans="1:4" ht="18" hidden="1" x14ac:dyDescent="0.35">
      <c r="A48" s="11" t="s">
        <v>151</v>
      </c>
      <c r="B48" s="7"/>
      <c r="C48" s="7"/>
      <c r="D48" s="8">
        <f t="shared" si="0"/>
        <v>0</v>
      </c>
    </row>
    <row r="49" spans="1:4" ht="18" hidden="1" x14ac:dyDescent="0.35">
      <c r="A49" s="10" t="s">
        <v>152</v>
      </c>
      <c r="B49" s="7"/>
      <c r="C49" s="7"/>
      <c r="D49" s="8">
        <f t="shared" si="0"/>
        <v>0</v>
      </c>
    </row>
    <row r="50" spans="1:4" ht="18" hidden="1" x14ac:dyDescent="0.35">
      <c r="A50" s="10" t="s">
        <v>153</v>
      </c>
      <c r="B50" s="7"/>
      <c r="C50" s="7"/>
      <c r="D50" s="8">
        <f t="shared" si="0"/>
        <v>0</v>
      </c>
    </row>
    <row r="51" spans="1:4" ht="18" hidden="1" x14ac:dyDescent="0.35">
      <c r="A51" s="14" t="s">
        <v>75</v>
      </c>
      <c r="B51" s="7"/>
      <c r="C51" s="7"/>
      <c r="D51" s="8">
        <f t="shared" si="0"/>
        <v>0</v>
      </c>
    </row>
    <row r="52" spans="1:4" ht="18" x14ac:dyDescent="0.3">
      <c r="A52" s="10" t="s">
        <v>114</v>
      </c>
      <c r="B52" s="7">
        <f>20+36</f>
        <v>56</v>
      </c>
      <c r="C52" s="7">
        <v>9000</v>
      </c>
      <c r="D52" s="8">
        <f t="shared" si="0"/>
        <v>504000</v>
      </c>
    </row>
    <row r="53" spans="1:4" ht="18" hidden="1" x14ac:dyDescent="0.35">
      <c r="A53" s="10" t="s">
        <v>154</v>
      </c>
      <c r="B53" s="7"/>
      <c r="C53" s="7"/>
      <c r="D53" s="8">
        <f t="shared" si="0"/>
        <v>0</v>
      </c>
    </row>
    <row r="54" spans="1:4" ht="18" hidden="1" x14ac:dyDescent="0.35">
      <c r="A54" s="10" t="s">
        <v>155</v>
      </c>
      <c r="B54" s="7"/>
      <c r="C54" s="7"/>
      <c r="D54" s="8">
        <f t="shared" si="0"/>
        <v>0</v>
      </c>
    </row>
    <row r="55" spans="1:4" ht="18" hidden="1" x14ac:dyDescent="0.35">
      <c r="A55" s="9" t="s">
        <v>156</v>
      </c>
      <c r="B55" s="7"/>
      <c r="C55" s="7"/>
      <c r="D55" s="8">
        <f t="shared" si="0"/>
        <v>0</v>
      </c>
    </row>
    <row r="56" spans="1:4" ht="18" hidden="1" x14ac:dyDescent="0.35">
      <c r="A56" s="6" t="s">
        <v>283</v>
      </c>
      <c r="B56" s="7"/>
      <c r="C56" s="7"/>
      <c r="D56" s="8">
        <f t="shared" si="0"/>
        <v>0</v>
      </c>
    </row>
    <row r="57" spans="1:4" ht="18" hidden="1" x14ac:dyDescent="0.35">
      <c r="A57" s="6" t="s">
        <v>2</v>
      </c>
      <c r="B57" s="7"/>
      <c r="C57" s="7"/>
      <c r="D57" s="8">
        <f t="shared" si="0"/>
        <v>0</v>
      </c>
    </row>
    <row r="58" spans="1:4" ht="18" hidden="1" x14ac:dyDescent="0.35">
      <c r="A58" s="35" t="s">
        <v>3</v>
      </c>
      <c r="B58" s="7"/>
      <c r="C58" s="7"/>
      <c r="D58" s="8">
        <f t="shared" si="0"/>
        <v>0</v>
      </c>
    </row>
    <row r="59" spans="1:4" ht="18" hidden="1" x14ac:dyDescent="0.35">
      <c r="A59" s="10" t="s">
        <v>4</v>
      </c>
      <c r="B59" s="7"/>
      <c r="C59" s="7"/>
      <c r="D59" s="8">
        <f t="shared" si="0"/>
        <v>0</v>
      </c>
    </row>
    <row r="60" spans="1:4" ht="18" hidden="1" x14ac:dyDescent="0.35">
      <c r="A60" s="6" t="s">
        <v>5</v>
      </c>
      <c r="B60" s="7"/>
      <c r="C60" s="7"/>
      <c r="D60" s="8">
        <f t="shared" si="0"/>
        <v>0</v>
      </c>
    </row>
    <row r="61" spans="1:4" ht="18" hidden="1" x14ac:dyDescent="0.35">
      <c r="A61" s="6" t="s">
        <v>6</v>
      </c>
      <c r="B61" s="7"/>
      <c r="C61" s="7"/>
      <c r="D61" s="8">
        <f t="shared" si="0"/>
        <v>0</v>
      </c>
    </row>
    <row r="62" spans="1:4" ht="18" hidden="1" x14ac:dyDescent="0.35">
      <c r="A62" s="11" t="s">
        <v>7</v>
      </c>
      <c r="B62" s="7"/>
      <c r="C62" s="7"/>
      <c r="D62" s="8">
        <f t="shared" si="0"/>
        <v>0</v>
      </c>
    </row>
    <row r="63" spans="1:4" ht="18" hidden="1" x14ac:dyDescent="0.35">
      <c r="A63" s="6" t="s">
        <v>8</v>
      </c>
      <c r="B63" s="7"/>
      <c r="C63" s="7"/>
      <c r="D63" s="8">
        <f t="shared" si="0"/>
        <v>0</v>
      </c>
    </row>
    <row r="64" spans="1:4" ht="18" hidden="1" x14ac:dyDescent="0.35">
      <c r="A64" s="10" t="s">
        <v>115</v>
      </c>
      <c r="B64" s="7"/>
      <c r="C64" s="7"/>
      <c r="D64" s="8">
        <f t="shared" si="0"/>
        <v>0</v>
      </c>
    </row>
    <row r="65" spans="1:4" ht="18" hidden="1" x14ac:dyDescent="0.35">
      <c r="A65" s="6" t="s">
        <v>116</v>
      </c>
      <c r="B65" s="7"/>
      <c r="C65" s="7"/>
      <c r="D65" s="8">
        <f t="shared" si="0"/>
        <v>0</v>
      </c>
    </row>
    <row r="66" spans="1:4" ht="18" x14ac:dyDescent="0.3">
      <c r="A66" s="10" t="s">
        <v>163</v>
      </c>
      <c r="B66" s="7">
        <v>60</v>
      </c>
      <c r="C66" s="7">
        <v>19000</v>
      </c>
      <c r="D66" s="8">
        <f t="shared" si="0"/>
        <v>1140000</v>
      </c>
    </row>
    <row r="67" spans="1:4" ht="18" hidden="1" x14ac:dyDescent="0.35">
      <c r="A67" s="22" t="s">
        <v>164</v>
      </c>
      <c r="B67" s="7"/>
      <c r="C67" s="7"/>
      <c r="D67" s="8">
        <f t="shared" si="0"/>
        <v>0</v>
      </c>
    </row>
    <row r="68" spans="1:4" ht="18" hidden="1" x14ac:dyDescent="0.35">
      <c r="A68" s="10" t="s">
        <v>165</v>
      </c>
      <c r="B68" s="7"/>
      <c r="C68" s="7"/>
      <c r="D68" s="8">
        <f t="shared" ref="D68:D131" si="1">B68*C68</f>
        <v>0</v>
      </c>
    </row>
    <row r="69" spans="1:4" ht="18" x14ac:dyDescent="0.3">
      <c r="A69" s="10" t="s">
        <v>166</v>
      </c>
      <c r="B69" s="12">
        <v>8</v>
      </c>
      <c r="C69" s="7">
        <v>17000</v>
      </c>
      <c r="D69" s="8">
        <f t="shared" si="1"/>
        <v>136000</v>
      </c>
    </row>
    <row r="70" spans="1:4" ht="18" hidden="1" x14ac:dyDescent="0.35">
      <c r="A70" s="10" t="s">
        <v>167</v>
      </c>
      <c r="B70" s="7"/>
      <c r="C70" s="7"/>
      <c r="D70" s="8">
        <f t="shared" si="1"/>
        <v>0</v>
      </c>
    </row>
    <row r="71" spans="1:4" ht="18" hidden="1" x14ac:dyDescent="0.35">
      <c r="A71" s="6" t="s">
        <v>9</v>
      </c>
      <c r="B71" s="12"/>
      <c r="C71" s="12"/>
      <c r="D71" s="8">
        <f t="shared" si="1"/>
        <v>0</v>
      </c>
    </row>
    <row r="72" spans="1:4" ht="18" hidden="1" x14ac:dyDescent="0.35">
      <c r="A72" s="6" t="s">
        <v>10</v>
      </c>
      <c r="B72" s="12"/>
      <c r="C72" s="12"/>
      <c r="D72" s="8">
        <f t="shared" si="1"/>
        <v>0</v>
      </c>
    </row>
    <row r="73" spans="1:4" ht="18" hidden="1" x14ac:dyDescent="0.35">
      <c r="A73" s="10" t="s">
        <v>81</v>
      </c>
      <c r="B73" s="7"/>
      <c r="C73" s="7"/>
      <c r="D73" s="8">
        <f t="shared" si="1"/>
        <v>0</v>
      </c>
    </row>
    <row r="74" spans="1:4" ht="18" hidden="1" x14ac:dyDescent="0.35">
      <c r="A74" s="10" t="s">
        <v>82</v>
      </c>
      <c r="B74" s="7"/>
      <c r="C74" s="7"/>
      <c r="D74" s="8">
        <f t="shared" si="1"/>
        <v>0</v>
      </c>
    </row>
    <row r="75" spans="1:4" ht="18" hidden="1" x14ac:dyDescent="0.35">
      <c r="A75" s="10" t="s">
        <v>83</v>
      </c>
      <c r="B75" s="7"/>
      <c r="C75" s="7"/>
      <c r="D75" s="8">
        <f t="shared" si="1"/>
        <v>0</v>
      </c>
    </row>
    <row r="76" spans="1:4" ht="18" hidden="1" x14ac:dyDescent="0.35">
      <c r="A76" s="10" t="s">
        <v>84</v>
      </c>
      <c r="B76" s="7"/>
      <c r="C76" s="7"/>
      <c r="D76" s="8">
        <f t="shared" si="1"/>
        <v>0</v>
      </c>
    </row>
    <row r="77" spans="1:4" ht="18" hidden="1" x14ac:dyDescent="0.35">
      <c r="A77" s="10" t="s">
        <v>85</v>
      </c>
      <c r="B77" s="7"/>
      <c r="C77" s="7"/>
      <c r="D77" s="8">
        <f t="shared" si="1"/>
        <v>0</v>
      </c>
    </row>
    <row r="78" spans="1:4" ht="18" hidden="1" x14ac:dyDescent="0.35">
      <c r="A78" s="10" t="s">
        <v>188</v>
      </c>
      <c r="B78" s="7"/>
      <c r="C78" s="7"/>
      <c r="D78" s="8">
        <f t="shared" si="1"/>
        <v>0</v>
      </c>
    </row>
    <row r="79" spans="1:4" ht="18" hidden="1" x14ac:dyDescent="0.35">
      <c r="A79" s="13" t="s">
        <v>189</v>
      </c>
      <c r="B79" s="7"/>
      <c r="C79" s="7"/>
      <c r="D79" s="8">
        <f t="shared" si="1"/>
        <v>0</v>
      </c>
    </row>
    <row r="80" spans="1:4" ht="18" hidden="1" x14ac:dyDescent="0.35">
      <c r="A80" s="13" t="s">
        <v>172</v>
      </c>
      <c r="B80" s="7"/>
      <c r="C80" s="7"/>
      <c r="D80" s="8">
        <f t="shared" si="1"/>
        <v>0</v>
      </c>
    </row>
    <row r="81" spans="1:4" ht="18" hidden="1" x14ac:dyDescent="0.35">
      <c r="A81" s="13" t="s">
        <v>173</v>
      </c>
      <c r="B81" s="7"/>
      <c r="C81" s="7"/>
      <c r="D81" s="8">
        <f t="shared" si="1"/>
        <v>0</v>
      </c>
    </row>
    <row r="82" spans="1:4" ht="18" hidden="1" x14ac:dyDescent="0.35">
      <c r="A82" s="11" t="s">
        <v>174</v>
      </c>
      <c r="B82" s="7"/>
      <c r="C82" s="7"/>
      <c r="D82" s="8">
        <f t="shared" si="1"/>
        <v>0</v>
      </c>
    </row>
    <row r="83" spans="1:4" ht="18" hidden="1" x14ac:dyDescent="0.35">
      <c r="A83" s="22" t="s">
        <v>168</v>
      </c>
      <c r="B83" s="7"/>
      <c r="C83" s="7"/>
      <c r="D83" s="8">
        <f t="shared" si="1"/>
        <v>0</v>
      </c>
    </row>
    <row r="84" spans="1:4" ht="18" hidden="1" x14ac:dyDescent="0.35">
      <c r="A84" s="11" t="s">
        <v>200</v>
      </c>
      <c r="B84" s="7"/>
      <c r="C84" s="7"/>
      <c r="D84" s="8">
        <f t="shared" si="1"/>
        <v>0</v>
      </c>
    </row>
    <row r="85" spans="1:4" ht="18" hidden="1" x14ac:dyDescent="0.35">
      <c r="A85" s="10" t="s">
        <v>11</v>
      </c>
      <c r="B85" s="7"/>
      <c r="C85" s="7"/>
      <c r="D85" s="8">
        <f t="shared" si="1"/>
        <v>0</v>
      </c>
    </row>
    <row r="86" spans="1:4" ht="18" hidden="1" x14ac:dyDescent="0.35">
      <c r="A86" s="10" t="s">
        <v>12</v>
      </c>
      <c r="B86" s="7"/>
      <c r="C86" s="7"/>
      <c r="D86" s="8">
        <f t="shared" si="1"/>
        <v>0</v>
      </c>
    </row>
    <row r="87" spans="1:4" ht="18" hidden="1" x14ac:dyDescent="0.35">
      <c r="A87" s="11" t="s">
        <v>201</v>
      </c>
      <c r="B87" s="7"/>
      <c r="C87" s="7"/>
      <c r="D87" s="8">
        <f t="shared" si="1"/>
        <v>0</v>
      </c>
    </row>
    <row r="88" spans="1:4" ht="18" hidden="1" x14ac:dyDescent="0.35">
      <c r="A88" s="11" t="s">
        <v>202</v>
      </c>
      <c r="B88" s="7"/>
      <c r="C88" s="7"/>
      <c r="D88" s="8">
        <f t="shared" si="1"/>
        <v>0</v>
      </c>
    </row>
    <row r="89" spans="1:4" ht="18" hidden="1" x14ac:dyDescent="0.35">
      <c r="A89" s="10" t="s">
        <v>13</v>
      </c>
      <c r="B89" s="12"/>
      <c r="C89" s="12"/>
      <c r="D89" s="8">
        <f t="shared" si="1"/>
        <v>0</v>
      </c>
    </row>
    <row r="90" spans="1:4" ht="18" hidden="1" x14ac:dyDescent="0.35">
      <c r="A90" s="13" t="s">
        <v>14</v>
      </c>
      <c r="B90" s="7"/>
      <c r="C90" s="7"/>
      <c r="D90" s="8">
        <f t="shared" si="1"/>
        <v>0</v>
      </c>
    </row>
    <row r="91" spans="1:4" ht="18" hidden="1" x14ac:dyDescent="0.35">
      <c r="A91" s="11" t="s">
        <v>203</v>
      </c>
      <c r="B91" s="7"/>
      <c r="C91" s="7"/>
      <c r="D91" s="8">
        <f t="shared" si="1"/>
        <v>0</v>
      </c>
    </row>
    <row r="92" spans="1:4" ht="18" hidden="1" x14ac:dyDescent="0.35">
      <c r="A92" s="10" t="s">
        <v>45</v>
      </c>
      <c r="B92" s="7"/>
      <c r="C92" s="7"/>
      <c r="D92" s="8">
        <f t="shared" si="1"/>
        <v>0</v>
      </c>
    </row>
    <row r="93" spans="1:4" ht="18" hidden="1" x14ac:dyDescent="0.35">
      <c r="A93" s="10" t="s">
        <v>46</v>
      </c>
      <c r="B93" s="7"/>
      <c r="C93" s="7"/>
      <c r="D93" s="8">
        <f t="shared" si="1"/>
        <v>0</v>
      </c>
    </row>
    <row r="94" spans="1:4" ht="18" hidden="1" x14ac:dyDescent="0.35">
      <c r="A94" s="14" t="s">
        <v>47</v>
      </c>
      <c r="B94" s="7"/>
      <c r="C94" s="7"/>
      <c r="D94" s="8">
        <f t="shared" si="1"/>
        <v>0</v>
      </c>
    </row>
    <row r="95" spans="1:4" ht="18" hidden="1" x14ac:dyDescent="0.35">
      <c r="A95" s="10" t="s">
        <v>186</v>
      </c>
      <c r="B95" s="7"/>
      <c r="C95" s="7"/>
      <c r="D95" s="8">
        <f t="shared" si="1"/>
        <v>0</v>
      </c>
    </row>
    <row r="96" spans="1:4" ht="18" hidden="1" x14ac:dyDescent="0.35">
      <c r="A96" s="26" t="s">
        <v>187</v>
      </c>
      <c r="B96" s="7"/>
      <c r="C96" s="7"/>
      <c r="D96" s="8">
        <f t="shared" si="1"/>
        <v>0</v>
      </c>
    </row>
    <row r="97" spans="1:4" ht="18" hidden="1" x14ac:dyDescent="0.35">
      <c r="A97" s="26" t="s">
        <v>48</v>
      </c>
      <c r="B97" s="7"/>
      <c r="C97" s="7"/>
      <c r="D97" s="8">
        <f t="shared" si="1"/>
        <v>0</v>
      </c>
    </row>
    <row r="98" spans="1:4" ht="18" hidden="1" x14ac:dyDescent="0.35">
      <c r="A98" s="26" t="s">
        <v>17</v>
      </c>
      <c r="B98" s="7"/>
      <c r="C98" s="7"/>
      <c r="D98" s="8">
        <f t="shared" si="1"/>
        <v>0</v>
      </c>
    </row>
    <row r="99" spans="1:4" ht="18" hidden="1" x14ac:dyDescent="0.35">
      <c r="A99" s="10" t="s">
        <v>18</v>
      </c>
      <c r="B99" s="7"/>
      <c r="C99" s="7"/>
      <c r="D99" s="8">
        <f t="shared" si="1"/>
        <v>0</v>
      </c>
    </row>
    <row r="100" spans="1:4" ht="18" hidden="1" x14ac:dyDescent="0.35">
      <c r="A100" s="10" t="s">
        <v>19</v>
      </c>
      <c r="B100" s="7"/>
      <c r="C100" s="7"/>
      <c r="D100" s="8">
        <f t="shared" si="1"/>
        <v>0</v>
      </c>
    </row>
    <row r="101" spans="1:4" ht="18" hidden="1" x14ac:dyDescent="0.35">
      <c r="A101" s="10" t="s">
        <v>204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205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206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207</v>
      </c>
      <c r="B104" s="7"/>
      <c r="C104" s="7"/>
      <c r="D104" s="8">
        <f t="shared" si="1"/>
        <v>0</v>
      </c>
    </row>
    <row r="105" spans="1:4" ht="18" hidden="1" x14ac:dyDescent="0.35">
      <c r="A105" s="11" t="s">
        <v>15</v>
      </c>
      <c r="B105" s="7"/>
      <c r="C105" s="7"/>
      <c r="D105" s="8">
        <f t="shared" si="1"/>
        <v>0</v>
      </c>
    </row>
    <row r="106" spans="1:4" ht="18" hidden="1" x14ac:dyDescent="0.35">
      <c r="A106" s="13" t="s">
        <v>16</v>
      </c>
      <c r="B106" s="7"/>
      <c r="C106" s="7"/>
      <c r="D106" s="8">
        <f t="shared" si="1"/>
        <v>0</v>
      </c>
    </row>
    <row r="107" spans="1:4" ht="18" hidden="1" x14ac:dyDescent="0.35">
      <c r="A107" s="10" t="s">
        <v>96</v>
      </c>
      <c r="B107" s="7"/>
      <c r="C107" s="7"/>
      <c r="D107" s="8">
        <f t="shared" si="1"/>
        <v>0</v>
      </c>
    </row>
    <row r="108" spans="1:4" ht="18" hidden="1" x14ac:dyDescent="0.35">
      <c r="A108" s="28" t="s">
        <v>124</v>
      </c>
      <c r="B108" s="7"/>
      <c r="C108" s="7"/>
      <c r="D108" s="8">
        <f t="shared" si="1"/>
        <v>0</v>
      </c>
    </row>
    <row r="109" spans="1:4" ht="18" hidden="1" x14ac:dyDescent="0.35">
      <c r="A109" s="22" t="s">
        <v>125</v>
      </c>
      <c r="B109" s="7"/>
      <c r="C109" s="7"/>
      <c r="D109" s="8">
        <f t="shared" si="1"/>
        <v>0</v>
      </c>
    </row>
    <row r="110" spans="1:4" ht="18" hidden="1" x14ac:dyDescent="0.35">
      <c r="A110" s="6" t="s">
        <v>126</v>
      </c>
      <c r="B110" s="12"/>
      <c r="C110" s="12"/>
      <c r="D110" s="8">
        <f t="shared" si="1"/>
        <v>0</v>
      </c>
    </row>
    <row r="111" spans="1:4" ht="18" hidden="1" x14ac:dyDescent="0.35">
      <c r="A111" s="6" t="s">
        <v>127</v>
      </c>
      <c r="B111" s="12"/>
      <c r="C111" s="12"/>
      <c r="D111" s="8">
        <f t="shared" si="1"/>
        <v>0</v>
      </c>
    </row>
    <row r="112" spans="1:4" ht="18" hidden="1" x14ac:dyDescent="0.35">
      <c r="A112" s="6" t="s">
        <v>128</v>
      </c>
      <c r="B112" s="12"/>
      <c r="C112" s="12"/>
      <c r="D112" s="8">
        <f t="shared" si="1"/>
        <v>0</v>
      </c>
    </row>
    <row r="113" spans="1:4" ht="18" hidden="1" x14ac:dyDescent="0.35">
      <c r="A113" s="6" t="s">
        <v>129</v>
      </c>
      <c r="B113" s="29"/>
      <c r="C113" s="29"/>
      <c r="D113" s="8">
        <f t="shared" si="1"/>
        <v>0</v>
      </c>
    </row>
    <row r="114" spans="1:4" ht="18" hidden="1" x14ac:dyDescent="0.35">
      <c r="A114" s="30" t="s">
        <v>271</v>
      </c>
      <c r="B114" s="7"/>
      <c r="C114" s="7"/>
      <c r="D114" s="8">
        <f t="shared" si="1"/>
        <v>0</v>
      </c>
    </row>
    <row r="115" spans="1:4" ht="18" hidden="1" x14ac:dyDescent="0.35">
      <c r="A115" s="6" t="s">
        <v>272</v>
      </c>
      <c r="B115" s="12"/>
      <c r="C115" s="7"/>
      <c r="D115" s="8">
        <f t="shared" si="1"/>
        <v>0</v>
      </c>
    </row>
    <row r="116" spans="1:4" ht="18" hidden="1" x14ac:dyDescent="0.35">
      <c r="A116" s="10" t="s">
        <v>273</v>
      </c>
      <c r="B116" s="7"/>
      <c r="C116" s="7"/>
      <c r="D116" s="8">
        <f t="shared" si="1"/>
        <v>0</v>
      </c>
    </row>
    <row r="117" spans="1:4" ht="18" hidden="1" x14ac:dyDescent="0.35">
      <c r="A117" s="10" t="s">
        <v>274</v>
      </c>
      <c r="B117" s="7"/>
      <c r="C117" s="7"/>
      <c r="D117" s="8">
        <f t="shared" si="1"/>
        <v>0</v>
      </c>
    </row>
    <row r="118" spans="1:4" ht="18" x14ac:dyDescent="0.3">
      <c r="A118" s="10" t="s">
        <v>33</v>
      </c>
      <c r="B118" s="7">
        <f>9+18</f>
        <v>27</v>
      </c>
      <c r="C118" s="7">
        <v>5000</v>
      </c>
      <c r="D118" s="8">
        <f t="shared" si="1"/>
        <v>135000</v>
      </c>
    </row>
    <row r="119" spans="1:4" ht="18" hidden="1" x14ac:dyDescent="0.35">
      <c r="A119" s="14" t="s">
        <v>34</v>
      </c>
      <c r="B119" s="7"/>
      <c r="C119" s="7"/>
      <c r="D119" s="8">
        <f t="shared" si="1"/>
        <v>0</v>
      </c>
    </row>
    <row r="120" spans="1:4" ht="18" hidden="1" x14ac:dyDescent="0.35">
      <c r="A120" s="6" t="s">
        <v>208</v>
      </c>
      <c r="B120" s="7"/>
      <c r="C120" s="7"/>
      <c r="D120" s="8">
        <f t="shared" si="1"/>
        <v>0</v>
      </c>
    </row>
    <row r="121" spans="1:4" ht="18" hidden="1" x14ac:dyDescent="0.35">
      <c r="A121" s="6" t="s">
        <v>209</v>
      </c>
      <c r="B121" s="7"/>
      <c r="C121" s="7"/>
      <c r="D121" s="8">
        <f t="shared" si="1"/>
        <v>0</v>
      </c>
    </row>
    <row r="122" spans="1:4" ht="18" hidden="1" x14ac:dyDescent="0.35">
      <c r="A122" s="10" t="s">
        <v>210</v>
      </c>
      <c r="B122" s="7"/>
      <c r="C122" s="7"/>
      <c r="D122" s="8">
        <f t="shared" si="1"/>
        <v>0</v>
      </c>
    </row>
    <row r="123" spans="1:4" ht="18" hidden="1" x14ac:dyDescent="0.35">
      <c r="A123" s="10" t="s">
        <v>211</v>
      </c>
      <c r="B123" s="7"/>
      <c r="C123" s="7"/>
      <c r="D123" s="8">
        <f t="shared" si="1"/>
        <v>0</v>
      </c>
    </row>
    <row r="124" spans="1:4" ht="18" hidden="1" x14ac:dyDescent="0.35">
      <c r="A124" s="10" t="s">
        <v>284</v>
      </c>
      <c r="B124" s="7"/>
      <c r="C124" s="7"/>
      <c r="D124" s="8">
        <f t="shared" si="1"/>
        <v>0</v>
      </c>
    </row>
    <row r="125" spans="1:4" ht="18" hidden="1" x14ac:dyDescent="0.35">
      <c r="A125" s="10" t="s">
        <v>102</v>
      </c>
      <c r="B125" s="12"/>
      <c r="C125" s="12"/>
      <c r="D125" s="8">
        <f t="shared" si="1"/>
        <v>0</v>
      </c>
    </row>
    <row r="126" spans="1:4" ht="18" hidden="1" x14ac:dyDescent="0.35">
      <c r="A126" s="10" t="s">
        <v>103</v>
      </c>
      <c r="B126" s="12"/>
      <c r="C126" s="12"/>
      <c r="D126" s="8">
        <f t="shared" si="1"/>
        <v>0</v>
      </c>
    </row>
    <row r="127" spans="1:4" ht="18" hidden="1" x14ac:dyDescent="0.35">
      <c r="A127" s="10" t="s">
        <v>104</v>
      </c>
      <c r="B127" s="12"/>
      <c r="C127" s="12"/>
      <c r="D127" s="8">
        <f t="shared" si="1"/>
        <v>0</v>
      </c>
    </row>
    <row r="128" spans="1:4" ht="18" hidden="1" x14ac:dyDescent="0.35">
      <c r="A128" s="10" t="s">
        <v>105</v>
      </c>
      <c r="B128" s="12"/>
      <c r="C128" s="12"/>
      <c r="D128" s="8">
        <f t="shared" si="1"/>
        <v>0</v>
      </c>
    </row>
    <row r="129" spans="1:4" ht="18" hidden="1" x14ac:dyDescent="0.35">
      <c r="A129" s="10" t="s">
        <v>106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107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108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0" t="s">
        <v>109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110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157</v>
      </c>
      <c r="B135" s="7"/>
      <c r="C135" s="7"/>
      <c r="D135" s="8">
        <f t="shared" si="2"/>
        <v>0</v>
      </c>
    </row>
    <row r="136" spans="1:4" ht="18" hidden="1" x14ac:dyDescent="0.35">
      <c r="A136" s="10" t="s">
        <v>158</v>
      </c>
      <c r="B136" s="7"/>
      <c r="C136" s="7"/>
      <c r="D136" s="8">
        <f t="shared" si="2"/>
        <v>0</v>
      </c>
    </row>
    <row r="137" spans="1:4" ht="18" hidden="1" x14ac:dyDescent="0.35">
      <c r="A137" s="10" t="s">
        <v>159</v>
      </c>
      <c r="B137" s="7"/>
      <c r="C137" s="7"/>
      <c r="D137" s="8">
        <f t="shared" si="2"/>
        <v>0</v>
      </c>
    </row>
    <row r="138" spans="1:4" ht="18" hidden="1" x14ac:dyDescent="0.35">
      <c r="A138" s="14" t="s">
        <v>160</v>
      </c>
      <c r="B138" s="7"/>
      <c r="C138" s="7"/>
      <c r="D138" s="8">
        <f t="shared" si="2"/>
        <v>0</v>
      </c>
    </row>
    <row r="139" spans="1:4" ht="18" hidden="1" x14ac:dyDescent="0.35">
      <c r="A139" s="10" t="s">
        <v>161</v>
      </c>
      <c r="B139" s="7"/>
      <c r="C139" s="7"/>
      <c r="D139" s="8">
        <f t="shared" si="2"/>
        <v>0</v>
      </c>
    </row>
    <row r="140" spans="1:4" ht="18" hidden="1" x14ac:dyDescent="0.35">
      <c r="A140" s="10" t="s">
        <v>162</v>
      </c>
      <c r="B140" s="7"/>
      <c r="C140" s="7"/>
      <c r="D140" s="8">
        <f t="shared" si="2"/>
        <v>0</v>
      </c>
    </row>
    <row r="141" spans="1:4" ht="18" hidden="1" x14ac:dyDescent="0.35">
      <c r="A141" s="10" t="s">
        <v>279</v>
      </c>
      <c r="B141" s="7"/>
      <c r="C141" s="7"/>
      <c r="D141" s="8">
        <f t="shared" si="2"/>
        <v>0</v>
      </c>
    </row>
    <row r="142" spans="1:4" ht="18" hidden="1" x14ac:dyDescent="0.35">
      <c r="A142" s="10" t="s">
        <v>280</v>
      </c>
      <c r="B142" s="7"/>
      <c r="C142" s="7"/>
      <c r="D142" s="8">
        <f t="shared" si="2"/>
        <v>0</v>
      </c>
    </row>
    <row r="143" spans="1:4" ht="18" hidden="1" x14ac:dyDescent="0.35">
      <c r="A143" s="10" t="s">
        <v>281</v>
      </c>
      <c r="B143" s="7"/>
      <c r="C143" s="7"/>
      <c r="D143" s="8">
        <f t="shared" si="2"/>
        <v>0</v>
      </c>
    </row>
    <row r="144" spans="1:4" ht="18" hidden="1" x14ac:dyDescent="0.35">
      <c r="A144" s="10" t="s">
        <v>282</v>
      </c>
      <c r="B144" s="7"/>
      <c r="C144" s="7"/>
      <c r="D144" s="8">
        <f t="shared" si="2"/>
        <v>0</v>
      </c>
    </row>
    <row r="145" spans="1:4" ht="18" hidden="1" x14ac:dyDescent="0.35">
      <c r="A145" s="10" t="s">
        <v>111</v>
      </c>
      <c r="B145" s="12"/>
      <c r="C145" s="12"/>
      <c r="D145" s="8">
        <f t="shared" si="2"/>
        <v>0</v>
      </c>
    </row>
    <row r="146" spans="1:4" ht="18" hidden="1" x14ac:dyDescent="0.35">
      <c r="A146" s="10" t="s">
        <v>112</v>
      </c>
      <c r="B146" s="12"/>
      <c r="C146" s="12"/>
      <c r="D146" s="8">
        <f t="shared" si="2"/>
        <v>0</v>
      </c>
    </row>
    <row r="147" spans="1:4" ht="18" hidden="1" x14ac:dyDescent="0.35">
      <c r="A147" s="10" t="s">
        <v>131</v>
      </c>
      <c r="B147" s="12"/>
      <c r="C147" s="12"/>
      <c r="D147" s="8">
        <f t="shared" si="2"/>
        <v>0</v>
      </c>
    </row>
    <row r="148" spans="1:4" ht="18" x14ac:dyDescent="0.3">
      <c r="A148" s="10" t="s">
        <v>52</v>
      </c>
      <c r="B148" s="7">
        <f>20+16+3</f>
        <v>39</v>
      </c>
      <c r="C148" s="7">
        <v>4000</v>
      </c>
      <c r="D148" s="8">
        <f t="shared" si="2"/>
        <v>156000</v>
      </c>
    </row>
    <row r="149" spans="1:4" ht="18" hidden="1" x14ac:dyDescent="0.35">
      <c r="A149" s="14" t="s">
        <v>53</v>
      </c>
      <c r="B149" s="7"/>
      <c r="C149" s="7"/>
      <c r="D149" s="8">
        <f t="shared" si="2"/>
        <v>0</v>
      </c>
    </row>
    <row r="150" spans="1:4" ht="18" x14ac:dyDescent="0.3">
      <c r="A150" s="10" t="s">
        <v>192</v>
      </c>
      <c r="B150" s="7">
        <v>168</v>
      </c>
      <c r="C150" s="7">
        <v>8000</v>
      </c>
      <c r="D150" s="8">
        <f t="shared" si="2"/>
        <v>1344000</v>
      </c>
    </row>
    <row r="151" spans="1:4" ht="18" hidden="1" x14ac:dyDescent="0.35">
      <c r="A151" s="36" t="s">
        <v>193</v>
      </c>
      <c r="B151" s="7"/>
      <c r="C151" s="7"/>
      <c r="D151" s="8">
        <f t="shared" si="2"/>
        <v>0</v>
      </c>
    </row>
    <row r="152" spans="1:4" ht="18" x14ac:dyDescent="0.3">
      <c r="A152" s="10" t="s">
        <v>194</v>
      </c>
      <c r="B152" s="7">
        <v>291</v>
      </c>
      <c r="C152" s="7">
        <v>8000</v>
      </c>
      <c r="D152" s="8">
        <f t="shared" si="2"/>
        <v>2328000</v>
      </c>
    </row>
    <row r="153" spans="1:4" ht="18" hidden="1" x14ac:dyDescent="0.35">
      <c r="A153" s="10" t="s">
        <v>195</v>
      </c>
      <c r="B153" s="7"/>
      <c r="C153" s="7"/>
      <c r="D153" s="8">
        <f t="shared" si="2"/>
        <v>0</v>
      </c>
    </row>
    <row r="154" spans="1:4" ht="18" hidden="1" x14ac:dyDescent="0.35">
      <c r="A154" s="10" t="s">
        <v>196</v>
      </c>
      <c r="B154" s="7"/>
      <c r="C154" s="7"/>
      <c r="D154" s="8">
        <f t="shared" si="2"/>
        <v>0</v>
      </c>
    </row>
    <row r="155" spans="1:4" ht="18" hidden="1" x14ac:dyDescent="0.35">
      <c r="A155" s="9" t="s">
        <v>197</v>
      </c>
      <c r="B155" s="7"/>
      <c r="C155" s="7"/>
      <c r="D155" s="8">
        <f t="shared" si="2"/>
        <v>0</v>
      </c>
    </row>
    <row r="156" spans="1:4" ht="18" hidden="1" x14ac:dyDescent="0.35">
      <c r="A156" s="10" t="s">
        <v>61</v>
      </c>
      <c r="B156" s="7"/>
      <c r="C156" s="7"/>
      <c r="D156" s="8">
        <f t="shared" si="2"/>
        <v>0</v>
      </c>
    </row>
    <row r="157" spans="1:4" ht="18" hidden="1" x14ac:dyDescent="0.35">
      <c r="A157" s="18" t="s">
        <v>62</v>
      </c>
      <c r="B157" s="19"/>
      <c r="C157" s="19"/>
      <c r="D157" s="8">
        <f t="shared" si="2"/>
        <v>0</v>
      </c>
    </row>
    <row r="158" spans="1:4" ht="18" hidden="1" x14ac:dyDescent="0.35">
      <c r="A158" s="10" t="s">
        <v>86</v>
      </c>
      <c r="B158" s="7"/>
      <c r="C158" s="7"/>
      <c r="D158" s="8">
        <f t="shared" si="2"/>
        <v>0</v>
      </c>
    </row>
    <row r="159" spans="1:4" ht="18" hidden="1" x14ac:dyDescent="0.35">
      <c r="A159" s="10" t="s">
        <v>35</v>
      </c>
      <c r="B159" s="7"/>
      <c r="C159" s="7"/>
      <c r="D159" s="8">
        <f t="shared" si="2"/>
        <v>0</v>
      </c>
    </row>
    <row r="160" spans="1:4" ht="18" hidden="1" x14ac:dyDescent="0.35">
      <c r="A160" s="6" t="s">
        <v>234</v>
      </c>
      <c r="B160" s="7"/>
      <c r="C160" s="7"/>
      <c r="D160" s="8">
        <f t="shared" si="2"/>
        <v>0</v>
      </c>
    </row>
    <row r="161" spans="1:4" ht="18" hidden="1" x14ac:dyDescent="0.35">
      <c r="A161" s="10" t="s">
        <v>235</v>
      </c>
      <c r="B161" s="7"/>
      <c r="C161" s="7"/>
      <c r="D161" s="8">
        <f t="shared" si="2"/>
        <v>0</v>
      </c>
    </row>
    <row r="162" spans="1:4" ht="18" hidden="1" x14ac:dyDescent="0.35">
      <c r="A162" s="10" t="s">
        <v>236</v>
      </c>
      <c r="B162" s="7"/>
      <c r="C162" s="7"/>
      <c r="D162" s="8">
        <f t="shared" si="2"/>
        <v>0</v>
      </c>
    </row>
    <row r="163" spans="1:4" ht="18" x14ac:dyDescent="0.3">
      <c r="A163" s="6" t="s">
        <v>175</v>
      </c>
      <c r="B163" s="7">
        <f>60+60+40</f>
        <v>160</v>
      </c>
      <c r="C163" s="7">
        <v>11000</v>
      </c>
      <c r="D163" s="8">
        <f t="shared" si="2"/>
        <v>1760000</v>
      </c>
    </row>
    <row r="164" spans="1:4" ht="18" x14ac:dyDescent="0.3">
      <c r="A164" s="6" t="s">
        <v>176</v>
      </c>
      <c r="B164" s="7">
        <f>60+240</f>
        <v>300</v>
      </c>
      <c r="C164" s="7">
        <v>35000</v>
      </c>
      <c r="D164" s="8">
        <f t="shared" si="2"/>
        <v>10500000</v>
      </c>
    </row>
    <row r="165" spans="1:4" ht="18" hidden="1" x14ac:dyDescent="0.35">
      <c r="A165" s="10" t="s">
        <v>177</v>
      </c>
      <c r="B165" s="7"/>
      <c r="C165" s="7"/>
      <c r="D165" s="8">
        <f t="shared" si="2"/>
        <v>0</v>
      </c>
    </row>
    <row r="166" spans="1:4" ht="18" hidden="1" x14ac:dyDescent="0.35">
      <c r="A166" s="6" t="s">
        <v>178</v>
      </c>
      <c r="B166" s="7"/>
      <c r="C166" s="7"/>
      <c r="D166" s="8">
        <f t="shared" si="2"/>
        <v>0</v>
      </c>
    </row>
    <row r="167" spans="1:4" ht="18" hidden="1" x14ac:dyDescent="0.35">
      <c r="A167" s="6" t="s">
        <v>179</v>
      </c>
      <c r="B167" s="7"/>
      <c r="C167" s="7"/>
      <c r="D167" s="8">
        <f t="shared" si="2"/>
        <v>0</v>
      </c>
    </row>
    <row r="168" spans="1:4" ht="18" hidden="1" x14ac:dyDescent="0.35">
      <c r="A168" s="6" t="s">
        <v>180</v>
      </c>
      <c r="B168" s="7"/>
      <c r="C168" s="7"/>
      <c r="D168" s="8">
        <f t="shared" si="2"/>
        <v>0</v>
      </c>
    </row>
    <row r="169" spans="1:4" ht="18" hidden="1" x14ac:dyDescent="0.35">
      <c r="A169" s="10" t="s">
        <v>181</v>
      </c>
      <c r="B169" s="7"/>
      <c r="C169" s="7"/>
      <c r="D169" s="8">
        <f t="shared" si="2"/>
        <v>0</v>
      </c>
    </row>
    <row r="170" spans="1:4" ht="18" x14ac:dyDescent="0.3">
      <c r="A170" s="6" t="s">
        <v>36</v>
      </c>
      <c r="B170" s="7">
        <f>24+59</f>
        <v>83</v>
      </c>
      <c r="C170" s="7">
        <v>15000</v>
      </c>
      <c r="D170" s="8">
        <f t="shared" si="2"/>
        <v>1245000</v>
      </c>
    </row>
    <row r="171" spans="1:4" ht="18" hidden="1" x14ac:dyDescent="0.35">
      <c r="A171" s="10" t="s">
        <v>54</v>
      </c>
      <c r="B171" s="7"/>
      <c r="C171" s="7"/>
      <c r="D171" s="8">
        <f t="shared" si="2"/>
        <v>0</v>
      </c>
    </row>
    <row r="172" spans="1:4" ht="18" hidden="1" x14ac:dyDescent="0.35">
      <c r="A172" s="17" t="s">
        <v>55</v>
      </c>
      <c r="B172" s="7"/>
      <c r="C172" s="7"/>
      <c r="D172" s="8">
        <f t="shared" si="2"/>
        <v>0</v>
      </c>
    </row>
    <row r="173" spans="1:4" ht="18" hidden="1" x14ac:dyDescent="0.35">
      <c r="A173" s="10" t="s">
        <v>56</v>
      </c>
      <c r="B173" s="7"/>
      <c r="C173" s="7"/>
      <c r="D173" s="8">
        <f t="shared" si="2"/>
        <v>0</v>
      </c>
    </row>
    <row r="174" spans="1:4" ht="18" hidden="1" x14ac:dyDescent="0.35">
      <c r="A174" s="10" t="s">
        <v>66</v>
      </c>
      <c r="B174" s="7"/>
      <c r="C174" s="7"/>
      <c r="D174" s="8">
        <f t="shared" si="2"/>
        <v>0</v>
      </c>
    </row>
    <row r="175" spans="1:4" ht="18" x14ac:dyDescent="0.3">
      <c r="A175" s="6" t="s">
        <v>67</v>
      </c>
      <c r="B175" s="7">
        <f>100+20</f>
        <v>120</v>
      </c>
      <c r="C175" s="7">
        <v>26000</v>
      </c>
      <c r="D175" s="8">
        <f t="shared" si="2"/>
        <v>3120000</v>
      </c>
    </row>
    <row r="176" spans="1:4" ht="18" x14ac:dyDescent="0.3">
      <c r="A176" s="10" t="s">
        <v>68</v>
      </c>
      <c r="B176" s="12">
        <v>17</v>
      </c>
      <c r="C176" s="7">
        <v>14000</v>
      </c>
      <c r="D176" s="8">
        <f t="shared" si="2"/>
        <v>238000</v>
      </c>
    </row>
    <row r="177" spans="1:4" ht="18" hidden="1" x14ac:dyDescent="0.35">
      <c r="A177" s="10" t="s">
        <v>69</v>
      </c>
      <c r="B177" s="7"/>
      <c r="C177" s="7"/>
      <c r="D177" s="8">
        <f t="shared" si="2"/>
        <v>0</v>
      </c>
    </row>
    <row r="178" spans="1:4" ht="18" x14ac:dyDescent="0.3">
      <c r="A178" s="10" t="s">
        <v>142</v>
      </c>
      <c r="B178" s="7">
        <f>180+220+20</f>
        <v>420</v>
      </c>
      <c r="C178" s="7">
        <v>28500</v>
      </c>
      <c r="D178" s="8">
        <f t="shared" si="2"/>
        <v>11970000</v>
      </c>
    </row>
    <row r="179" spans="1:4" ht="18" hidden="1" x14ac:dyDescent="0.35">
      <c r="A179" s="24" t="s">
        <v>143</v>
      </c>
      <c r="B179" s="7"/>
      <c r="C179" s="7"/>
      <c r="D179" s="8">
        <f t="shared" si="2"/>
        <v>0</v>
      </c>
    </row>
    <row r="180" spans="1:4" ht="18" hidden="1" x14ac:dyDescent="0.35">
      <c r="A180" s="24" t="s">
        <v>144</v>
      </c>
      <c r="B180" s="7"/>
      <c r="C180" s="7"/>
      <c r="D180" s="8">
        <f t="shared" si="2"/>
        <v>0</v>
      </c>
    </row>
    <row r="181" spans="1:4" ht="18" hidden="1" x14ac:dyDescent="0.35">
      <c r="A181" s="10" t="s">
        <v>212</v>
      </c>
      <c r="B181" s="7"/>
      <c r="C181" s="7"/>
      <c r="D181" s="8">
        <f t="shared" si="2"/>
        <v>0</v>
      </c>
    </row>
    <row r="182" spans="1:4" ht="18" x14ac:dyDescent="0.3">
      <c r="A182" s="11" t="s">
        <v>213</v>
      </c>
      <c r="B182" s="12">
        <v>12</v>
      </c>
      <c r="C182" s="7">
        <v>28000</v>
      </c>
      <c r="D182" s="8">
        <f t="shared" si="2"/>
        <v>336000</v>
      </c>
    </row>
    <row r="183" spans="1:4" ht="18" hidden="1" x14ac:dyDescent="0.35">
      <c r="A183" s="10" t="s">
        <v>214</v>
      </c>
      <c r="B183" s="7"/>
      <c r="C183" s="7"/>
      <c r="D183" s="8">
        <f t="shared" si="2"/>
        <v>0</v>
      </c>
    </row>
    <row r="184" spans="1:4" ht="18" hidden="1" x14ac:dyDescent="0.35">
      <c r="A184" s="11" t="s">
        <v>215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182</v>
      </c>
      <c r="B185" s="7"/>
      <c r="C185" s="7"/>
      <c r="D185" s="8">
        <f t="shared" si="2"/>
        <v>0</v>
      </c>
    </row>
    <row r="186" spans="1:4" ht="18" x14ac:dyDescent="0.3">
      <c r="A186" s="10" t="s">
        <v>183</v>
      </c>
      <c r="B186" s="7">
        <v>57</v>
      </c>
      <c r="C186" s="7">
        <v>17000</v>
      </c>
      <c r="D186" s="8">
        <f t="shared" si="2"/>
        <v>969000</v>
      </c>
    </row>
    <row r="187" spans="1:4" ht="18" hidden="1" x14ac:dyDescent="0.35">
      <c r="A187" s="10" t="s">
        <v>184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185</v>
      </c>
      <c r="B188" s="7"/>
      <c r="C188" s="7"/>
      <c r="D188" s="8">
        <f t="shared" si="2"/>
        <v>0</v>
      </c>
    </row>
    <row r="189" spans="1:4" ht="18" hidden="1" x14ac:dyDescent="0.35">
      <c r="A189" s="10" t="s">
        <v>38</v>
      </c>
      <c r="B189" s="7"/>
      <c r="C189" s="7"/>
      <c r="D189" s="8">
        <f t="shared" si="2"/>
        <v>0</v>
      </c>
    </row>
    <row r="190" spans="1:4" ht="18" hidden="1" x14ac:dyDescent="0.35">
      <c r="A190" s="15" t="s">
        <v>39</v>
      </c>
      <c r="B190" s="7"/>
      <c r="C190" s="7"/>
      <c r="D190" s="8">
        <f t="shared" si="2"/>
        <v>0</v>
      </c>
    </row>
    <row r="191" spans="1:4" ht="18" x14ac:dyDescent="0.3">
      <c r="A191" s="10" t="s">
        <v>40</v>
      </c>
      <c r="B191" s="7">
        <f>15+10+240</f>
        <v>265</v>
      </c>
      <c r="C191" s="7">
        <v>13000</v>
      </c>
      <c r="D191" s="8">
        <f t="shared" si="2"/>
        <v>3445000</v>
      </c>
    </row>
    <row r="192" spans="1:4" ht="18" x14ac:dyDescent="0.3">
      <c r="A192" s="10" t="s">
        <v>41</v>
      </c>
      <c r="B192" s="7">
        <v>673</v>
      </c>
      <c r="C192" s="7">
        <v>22000</v>
      </c>
      <c r="D192" s="8">
        <f t="shared" si="2"/>
        <v>14806000</v>
      </c>
    </row>
    <row r="193" spans="1:4" ht="18" x14ac:dyDescent="0.3">
      <c r="A193" s="10" t="s">
        <v>42</v>
      </c>
      <c r="B193" s="7">
        <f>40+195</f>
        <v>235</v>
      </c>
      <c r="C193" s="7">
        <v>8500</v>
      </c>
      <c r="D193" s="8">
        <f t="shared" si="2"/>
        <v>1997500</v>
      </c>
    </row>
    <row r="194" spans="1:4" ht="18" hidden="1" x14ac:dyDescent="0.35">
      <c r="A194" s="10" t="s">
        <v>43</v>
      </c>
      <c r="B194" s="7"/>
      <c r="C194" s="7"/>
      <c r="D194" s="8">
        <f t="shared" si="2"/>
        <v>0</v>
      </c>
    </row>
    <row r="195" spans="1:4" ht="18" hidden="1" x14ac:dyDescent="0.35">
      <c r="A195" s="10" t="s">
        <v>44</v>
      </c>
      <c r="B195" s="7"/>
      <c r="C195" s="7"/>
      <c r="D195" s="8">
        <f t="shared" si="2"/>
        <v>0</v>
      </c>
    </row>
    <row r="196" spans="1:4" ht="18" hidden="1" x14ac:dyDescent="0.35">
      <c r="A196" s="14" t="s">
        <v>132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4" t="s">
        <v>133</v>
      </c>
      <c r="B197" s="7"/>
      <c r="C197" s="7"/>
      <c r="D197" s="8">
        <f t="shared" si="3"/>
        <v>0</v>
      </c>
    </row>
    <row r="198" spans="1:4" ht="18" hidden="1" x14ac:dyDescent="0.35">
      <c r="A198" s="14" t="s">
        <v>134</v>
      </c>
      <c r="B198" s="7"/>
      <c r="C198" s="7"/>
      <c r="D198" s="8">
        <f t="shared" si="3"/>
        <v>0</v>
      </c>
    </row>
    <row r="199" spans="1:4" ht="18" hidden="1" x14ac:dyDescent="0.35">
      <c r="A199" s="10" t="s">
        <v>135</v>
      </c>
      <c r="B199" s="7"/>
      <c r="C199" s="7"/>
      <c r="D199" s="8">
        <f t="shared" si="3"/>
        <v>0</v>
      </c>
    </row>
    <row r="200" spans="1:4" ht="18" hidden="1" x14ac:dyDescent="0.35">
      <c r="A200" s="14" t="s">
        <v>136</v>
      </c>
      <c r="B200" s="7"/>
      <c r="C200" s="7"/>
      <c r="D200" s="8">
        <f t="shared" si="3"/>
        <v>0</v>
      </c>
    </row>
    <row r="201" spans="1:4" ht="18" hidden="1" x14ac:dyDescent="0.35">
      <c r="A201" s="6" t="s">
        <v>198</v>
      </c>
      <c r="B201" s="7"/>
      <c r="C201" s="7"/>
      <c r="D201" s="8">
        <f t="shared" si="3"/>
        <v>0</v>
      </c>
    </row>
    <row r="202" spans="1:4" ht="18" hidden="1" x14ac:dyDescent="0.35">
      <c r="A202" s="11" t="s">
        <v>285</v>
      </c>
      <c r="B202" s="7"/>
      <c r="C202" s="7"/>
      <c r="D202" s="8">
        <f t="shared" si="3"/>
        <v>0</v>
      </c>
    </row>
    <row r="203" spans="1:4" ht="18" hidden="1" x14ac:dyDescent="0.35">
      <c r="A203" s="11" t="s">
        <v>286</v>
      </c>
      <c r="B203" s="7"/>
      <c r="C203" s="7"/>
      <c r="D203" s="8">
        <f t="shared" si="3"/>
        <v>0</v>
      </c>
    </row>
    <row r="204" spans="1:4" ht="18" hidden="1" x14ac:dyDescent="0.35">
      <c r="A204" s="24" t="s">
        <v>87</v>
      </c>
      <c r="B204" s="7"/>
      <c r="C204" s="7"/>
      <c r="D204" s="8">
        <f t="shared" si="3"/>
        <v>0</v>
      </c>
    </row>
    <row r="205" spans="1:4" ht="18" hidden="1" x14ac:dyDescent="0.35">
      <c r="A205" s="10" t="s">
        <v>57</v>
      </c>
      <c r="B205" s="7"/>
      <c r="C205" s="7"/>
      <c r="D205" s="8">
        <f t="shared" si="3"/>
        <v>0</v>
      </c>
    </row>
    <row r="206" spans="1:4" ht="18" hidden="1" x14ac:dyDescent="0.35">
      <c r="A206" s="10" t="s">
        <v>58</v>
      </c>
      <c r="B206" s="7"/>
      <c r="C206" s="7"/>
      <c r="D206" s="8">
        <f t="shared" si="3"/>
        <v>0</v>
      </c>
    </row>
    <row r="207" spans="1:4" ht="18" hidden="1" x14ac:dyDescent="0.35">
      <c r="A207" s="10" t="s">
        <v>88</v>
      </c>
      <c r="B207" s="7"/>
      <c r="C207" s="7"/>
      <c r="D207" s="8">
        <f t="shared" si="3"/>
        <v>0</v>
      </c>
    </row>
    <row r="208" spans="1:4" ht="18" hidden="1" x14ac:dyDescent="0.35">
      <c r="A208" s="10" t="s">
        <v>89</v>
      </c>
      <c r="B208" s="7"/>
      <c r="C208" s="7"/>
      <c r="D208" s="8">
        <f t="shared" si="3"/>
        <v>0</v>
      </c>
    </row>
    <row r="209" spans="1:4" ht="18" hidden="1" x14ac:dyDescent="0.35">
      <c r="A209" s="10" t="s">
        <v>137</v>
      </c>
      <c r="B209" s="12"/>
      <c r="C209" s="12"/>
      <c r="D209" s="8">
        <f t="shared" si="3"/>
        <v>0</v>
      </c>
    </row>
    <row r="210" spans="1:4" ht="18" hidden="1" x14ac:dyDescent="0.35">
      <c r="A210" s="10" t="s">
        <v>216</v>
      </c>
      <c r="B210" s="7"/>
      <c r="C210" s="7"/>
      <c r="D210" s="8">
        <f t="shared" si="3"/>
        <v>0</v>
      </c>
    </row>
    <row r="211" spans="1:4" ht="18" hidden="1" x14ac:dyDescent="0.35">
      <c r="A211" s="11" t="s">
        <v>20</v>
      </c>
      <c r="B211" s="7"/>
      <c r="C211" s="7"/>
      <c r="D211" s="8">
        <f t="shared" si="3"/>
        <v>0</v>
      </c>
    </row>
    <row r="212" spans="1:4" ht="18" x14ac:dyDescent="0.3">
      <c r="A212" s="10" t="s">
        <v>21</v>
      </c>
      <c r="B212" s="7">
        <f>10+75+57+130+15</f>
        <v>287</v>
      </c>
      <c r="C212" s="7">
        <v>23000</v>
      </c>
      <c r="D212" s="8">
        <f t="shared" si="3"/>
        <v>6601000</v>
      </c>
    </row>
    <row r="213" spans="1:4" ht="18" x14ac:dyDescent="0.3">
      <c r="A213" s="10" t="s">
        <v>22</v>
      </c>
      <c r="B213" s="12">
        <v>5</v>
      </c>
      <c r="C213" s="7">
        <v>18000</v>
      </c>
      <c r="D213" s="8">
        <f t="shared" si="3"/>
        <v>90000</v>
      </c>
    </row>
    <row r="214" spans="1:4" ht="18" hidden="1" x14ac:dyDescent="0.35">
      <c r="A214" s="10" t="s">
        <v>23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24</v>
      </c>
      <c r="B215" s="7"/>
      <c r="C215" s="7"/>
      <c r="D215" s="8">
        <f t="shared" si="3"/>
        <v>0</v>
      </c>
    </row>
    <row r="216" spans="1:4" ht="18" hidden="1" x14ac:dyDescent="0.35">
      <c r="A216" s="10" t="s">
        <v>25</v>
      </c>
      <c r="B216" s="7"/>
      <c r="C216" s="7"/>
      <c r="D216" s="8">
        <f t="shared" si="3"/>
        <v>0</v>
      </c>
    </row>
    <row r="217" spans="1:4" ht="18" hidden="1" x14ac:dyDescent="0.35">
      <c r="A217" s="14" t="s">
        <v>227</v>
      </c>
      <c r="B217" s="7"/>
      <c r="C217" s="7"/>
      <c r="D217" s="8">
        <f t="shared" si="3"/>
        <v>0</v>
      </c>
    </row>
    <row r="218" spans="1:4" ht="18" hidden="1" x14ac:dyDescent="0.35">
      <c r="A218" s="13" t="s">
        <v>228</v>
      </c>
      <c r="B218" s="7"/>
      <c r="C218" s="7"/>
      <c r="D218" s="8">
        <f t="shared" si="3"/>
        <v>0</v>
      </c>
    </row>
    <row r="219" spans="1:4" ht="18" hidden="1" x14ac:dyDescent="0.35">
      <c r="A219" s="13" t="s">
        <v>229</v>
      </c>
      <c r="B219" s="7"/>
      <c r="C219" s="7"/>
      <c r="D219" s="8">
        <f t="shared" si="3"/>
        <v>0</v>
      </c>
    </row>
    <row r="220" spans="1:4" ht="18" hidden="1" x14ac:dyDescent="0.35">
      <c r="A220" s="10" t="s">
        <v>26</v>
      </c>
      <c r="B220" s="7"/>
      <c r="C220" s="7"/>
      <c r="D220" s="8">
        <f t="shared" si="3"/>
        <v>0</v>
      </c>
    </row>
    <row r="221" spans="1:4" ht="18" x14ac:dyDescent="0.3">
      <c r="A221" s="10" t="s">
        <v>27</v>
      </c>
      <c r="B221" s="12">
        <v>5</v>
      </c>
      <c r="C221" s="7">
        <v>17000</v>
      </c>
      <c r="D221" s="8">
        <f t="shared" si="3"/>
        <v>85000</v>
      </c>
    </row>
    <row r="222" spans="1:4" ht="18" hidden="1" x14ac:dyDescent="0.35">
      <c r="A222" s="10" t="s">
        <v>28</v>
      </c>
      <c r="B222" s="7"/>
      <c r="C222" s="7"/>
      <c r="D222" s="8">
        <f t="shared" si="3"/>
        <v>0</v>
      </c>
    </row>
    <row r="223" spans="1:4" ht="18" hidden="1" x14ac:dyDescent="0.35">
      <c r="A223" s="10" t="s">
        <v>29</v>
      </c>
      <c r="B223" s="7"/>
      <c r="C223" s="7"/>
      <c r="D223" s="8">
        <f t="shared" si="3"/>
        <v>0</v>
      </c>
    </row>
    <row r="224" spans="1:4" ht="18" hidden="1" x14ac:dyDescent="0.35">
      <c r="A224" s="10" t="s">
        <v>30</v>
      </c>
      <c r="B224" s="7"/>
      <c r="C224" s="7"/>
      <c r="D224" s="8">
        <f t="shared" si="3"/>
        <v>0</v>
      </c>
    </row>
    <row r="225" spans="1:4" ht="18" x14ac:dyDescent="0.3">
      <c r="A225" s="10" t="s">
        <v>31</v>
      </c>
      <c r="B225" s="12">
        <v>5</v>
      </c>
      <c r="C225" s="7">
        <v>25000</v>
      </c>
      <c r="D225" s="8">
        <f t="shared" si="3"/>
        <v>125000</v>
      </c>
    </row>
    <row r="226" spans="1:4" ht="18" hidden="1" x14ac:dyDescent="0.35">
      <c r="A226" s="10" t="s">
        <v>32</v>
      </c>
      <c r="B226" s="7"/>
      <c r="C226" s="7"/>
      <c r="D226" s="8">
        <f t="shared" si="3"/>
        <v>0</v>
      </c>
    </row>
    <row r="227" spans="1:4" ht="18" hidden="1" x14ac:dyDescent="0.35">
      <c r="A227" s="10" t="s">
        <v>90</v>
      </c>
      <c r="B227" s="12"/>
      <c r="C227" s="7"/>
      <c r="D227" s="8">
        <f t="shared" si="3"/>
        <v>0</v>
      </c>
    </row>
    <row r="228" spans="1:4" ht="18" hidden="1" x14ac:dyDescent="0.35">
      <c r="A228" s="22" t="s">
        <v>91</v>
      </c>
      <c r="B228" s="7"/>
      <c r="C228" s="7"/>
      <c r="D228" s="8">
        <f t="shared" si="3"/>
        <v>0</v>
      </c>
    </row>
    <row r="229" spans="1:4" ht="18" hidden="1" x14ac:dyDescent="0.35">
      <c r="A229" s="10" t="s">
        <v>217</v>
      </c>
      <c r="B229" s="7"/>
      <c r="C229" s="7"/>
      <c r="D229" s="8">
        <f t="shared" si="3"/>
        <v>0</v>
      </c>
    </row>
    <row r="230" spans="1:4" ht="18" hidden="1" x14ac:dyDescent="0.35">
      <c r="A230" s="11" t="s">
        <v>230</v>
      </c>
      <c r="B230" s="7"/>
      <c r="C230" s="7"/>
      <c r="D230" s="8">
        <f t="shared" si="3"/>
        <v>0</v>
      </c>
    </row>
    <row r="231" spans="1:4" ht="18" hidden="1" x14ac:dyDescent="0.35">
      <c r="A231" s="10" t="s">
        <v>231</v>
      </c>
      <c r="B231" s="7"/>
      <c r="C231" s="7"/>
      <c r="D231" s="8">
        <f t="shared" si="3"/>
        <v>0</v>
      </c>
    </row>
    <row r="232" spans="1:4" ht="18" hidden="1" x14ac:dyDescent="0.35">
      <c r="A232" s="10" t="s">
        <v>218</v>
      </c>
      <c r="B232" s="7"/>
      <c r="C232" s="7"/>
      <c r="D232" s="8">
        <f t="shared" si="3"/>
        <v>0</v>
      </c>
    </row>
    <row r="233" spans="1:4" ht="18" hidden="1" x14ac:dyDescent="0.35">
      <c r="A233" s="10" t="s">
        <v>118</v>
      </c>
      <c r="B233" s="7"/>
      <c r="C233" s="7"/>
      <c r="D233" s="8">
        <f t="shared" si="3"/>
        <v>0</v>
      </c>
    </row>
    <row r="234" spans="1:4" ht="18" hidden="1" x14ac:dyDescent="0.35">
      <c r="A234" s="10" t="s">
        <v>232</v>
      </c>
      <c r="B234" s="7"/>
      <c r="C234" s="7"/>
      <c r="D234" s="8">
        <f t="shared" si="3"/>
        <v>0</v>
      </c>
    </row>
    <row r="235" spans="1:4" ht="18" x14ac:dyDescent="0.3">
      <c r="A235" s="10" t="s">
        <v>70</v>
      </c>
      <c r="B235" s="12">
        <v>10</v>
      </c>
      <c r="C235" s="7">
        <v>13000</v>
      </c>
      <c r="D235" s="8">
        <f t="shared" si="3"/>
        <v>130000</v>
      </c>
    </row>
    <row r="236" spans="1:4" ht="18" hidden="1" x14ac:dyDescent="0.35">
      <c r="A236" s="10" t="s">
        <v>71</v>
      </c>
      <c r="B236" s="7"/>
      <c r="C236" s="7"/>
      <c r="D236" s="8">
        <f t="shared" si="3"/>
        <v>0</v>
      </c>
    </row>
    <row r="237" spans="1:4" ht="18" hidden="1" x14ac:dyDescent="0.35">
      <c r="A237" s="10" t="s">
        <v>146</v>
      </c>
      <c r="B237" s="7"/>
      <c r="C237" s="7"/>
      <c r="D237" s="8">
        <f t="shared" si="3"/>
        <v>0</v>
      </c>
    </row>
    <row r="238" spans="1:4" ht="18" hidden="1" x14ac:dyDescent="0.35">
      <c r="A238" s="11" t="s">
        <v>287</v>
      </c>
      <c r="B238" s="7"/>
      <c r="C238" s="7"/>
      <c r="D238" s="8">
        <f t="shared" si="3"/>
        <v>0</v>
      </c>
    </row>
    <row r="239" spans="1:4" ht="18" hidden="1" x14ac:dyDescent="0.35">
      <c r="A239" s="6" t="s">
        <v>138</v>
      </c>
      <c r="B239" s="12"/>
      <c r="C239" s="12"/>
      <c r="D239" s="8">
        <f t="shared" si="3"/>
        <v>0</v>
      </c>
    </row>
    <row r="240" spans="1:4" ht="18" hidden="1" x14ac:dyDescent="0.35">
      <c r="A240" s="14" t="s">
        <v>233</v>
      </c>
      <c r="B240" s="7"/>
      <c r="C240" s="7"/>
      <c r="D240" s="8">
        <f t="shared" si="3"/>
        <v>0</v>
      </c>
    </row>
    <row r="241" spans="1:4" ht="18" hidden="1" x14ac:dyDescent="0.35">
      <c r="A241" s="14" t="s">
        <v>100</v>
      </c>
      <c r="B241" s="7"/>
      <c r="C241" s="7"/>
      <c r="D241" s="8">
        <f t="shared" si="3"/>
        <v>0</v>
      </c>
    </row>
    <row r="242" spans="1:4" ht="18" hidden="1" x14ac:dyDescent="0.35">
      <c r="A242" s="14" t="s">
        <v>101</v>
      </c>
      <c r="B242" s="7"/>
      <c r="C242" s="7"/>
      <c r="D242" s="8">
        <f t="shared" si="3"/>
        <v>0</v>
      </c>
    </row>
    <row r="243" spans="1:4" ht="18" hidden="1" x14ac:dyDescent="0.35">
      <c r="A243" s="10" t="s">
        <v>259</v>
      </c>
      <c r="B243" s="7"/>
      <c r="C243" s="7"/>
      <c r="D243" s="8">
        <f t="shared" si="3"/>
        <v>0</v>
      </c>
    </row>
    <row r="244" spans="1:4" ht="18" hidden="1" x14ac:dyDescent="0.35">
      <c r="A244" s="14" t="s">
        <v>260</v>
      </c>
      <c r="B244" s="7"/>
      <c r="C244" s="7"/>
      <c r="D244" s="8">
        <f t="shared" si="3"/>
        <v>0</v>
      </c>
    </row>
    <row r="245" spans="1:4" ht="18" hidden="1" x14ac:dyDescent="0.35">
      <c r="A245" s="10" t="s">
        <v>261</v>
      </c>
      <c r="B245" s="7"/>
      <c r="C245" s="7"/>
      <c r="D245" s="8">
        <f t="shared" si="3"/>
        <v>0</v>
      </c>
    </row>
    <row r="246" spans="1:4" ht="18" hidden="1" x14ac:dyDescent="0.35">
      <c r="A246" s="10" t="s">
        <v>275</v>
      </c>
      <c r="B246" s="7"/>
      <c r="C246" s="7"/>
      <c r="D246" s="8">
        <f t="shared" si="3"/>
        <v>0</v>
      </c>
    </row>
    <row r="247" spans="1:4" ht="18" hidden="1" x14ac:dyDescent="0.35">
      <c r="A247" s="14" t="s">
        <v>92</v>
      </c>
      <c r="B247" s="7"/>
      <c r="C247" s="7"/>
      <c r="D247" s="8">
        <f t="shared" si="3"/>
        <v>0</v>
      </c>
    </row>
    <row r="248" spans="1:4" ht="18" hidden="1" x14ac:dyDescent="0.35">
      <c r="A248" s="10" t="s">
        <v>139</v>
      </c>
      <c r="B248" s="7"/>
      <c r="C248" s="7"/>
      <c r="D248" s="8">
        <f t="shared" si="3"/>
        <v>0</v>
      </c>
    </row>
    <row r="249" spans="1:4" ht="18" hidden="1" x14ac:dyDescent="0.35">
      <c r="A249" s="22" t="s">
        <v>140</v>
      </c>
      <c r="B249" s="7"/>
      <c r="C249" s="7"/>
      <c r="D249" s="8">
        <f t="shared" si="3"/>
        <v>0</v>
      </c>
    </row>
    <row r="250" spans="1:4" ht="18" hidden="1" x14ac:dyDescent="0.35">
      <c r="A250" s="6" t="s">
        <v>93</v>
      </c>
      <c r="B250" s="7"/>
      <c r="C250" s="7"/>
      <c r="D250" s="8">
        <f t="shared" si="3"/>
        <v>0</v>
      </c>
    </row>
    <row r="251" spans="1:4" ht="18" hidden="1" x14ac:dyDescent="0.35">
      <c r="A251" s="14" t="s">
        <v>94</v>
      </c>
      <c r="B251" s="7"/>
      <c r="C251" s="7"/>
      <c r="D251" s="8">
        <f t="shared" si="3"/>
        <v>0</v>
      </c>
    </row>
    <row r="252" spans="1:4" ht="18" hidden="1" x14ac:dyDescent="0.35">
      <c r="A252" s="22" t="s">
        <v>76</v>
      </c>
      <c r="B252" s="7"/>
      <c r="C252" s="7"/>
      <c r="D252" s="8">
        <f t="shared" si="3"/>
        <v>0</v>
      </c>
    </row>
    <row r="253" spans="1:4" ht="18" x14ac:dyDescent="0.3">
      <c r="A253" s="10" t="s">
        <v>219</v>
      </c>
      <c r="B253" s="12">
        <v>3</v>
      </c>
      <c r="C253" s="7">
        <v>55000</v>
      </c>
      <c r="D253" s="8">
        <f t="shared" si="3"/>
        <v>165000</v>
      </c>
    </row>
    <row r="254" spans="1:4" ht="18" hidden="1" x14ac:dyDescent="0.35">
      <c r="A254" s="14" t="s">
        <v>220</v>
      </c>
      <c r="B254" s="7"/>
      <c r="C254" s="7"/>
      <c r="D254" s="8">
        <f t="shared" si="3"/>
        <v>0</v>
      </c>
    </row>
    <row r="255" spans="1:4" ht="18" hidden="1" x14ac:dyDescent="0.35">
      <c r="A255" s="6" t="s">
        <v>221</v>
      </c>
      <c r="B255" s="7"/>
      <c r="C255" s="7"/>
      <c r="D255" s="8">
        <f t="shared" si="3"/>
        <v>0</v>
      </c>
    </row>
    <row r="256" spans="1:4" ht="18" hidden="1" x14ac:dyDescent="0.35">
      <c r="A256" s="10" t="s">
        <v>288</v>
      </c>
      <c r="B256" s="7"/>
      <c r="C256" s="7"/>
      <c r="D256" s="8">
        <f t="shared" si="3"/>
        <v>0</v>
      </c>
    </row>
    <row r="257" spans="1:4" ht="18" hidden="1" x14ac:dyDescent="0.35">
      <c r="A257" s="10" t="s">
        <v>119</v>
      </c>
      <c r="B257" s="7"/>
      <c r="C257" s="7"/>
      <c r="D257" s="8">
        <f t="shared" si="3"/>
        <v>0</v>
      </c>
    </row>
    <row r="258" spans="1:4" ht="18" hidden="1" x14ac:dyDescent="0.35">
      <c r="A258" s="6" t="s">
        <v>141</v>
      </c>
      <c r="B258" s="7"/>
      <c r="C258" s="7"/>
      <c r="D258" s="8">
        <f t="shared" si="3"/>
        <v>0</v>
      </c>
    </row>
    <row r="259" spans="1:4" ht="18" hidden="1" x14ac:dyDescent="0.35">
      <c r="A259" s="6" t="s">
        <v>95</v>
      </c>
      <c r="B259" s="7"/>
      <c r="C259" s="7"/>
      <c r="D259" s="8">
        <f t="shared" si="3"/>
        <v>0</v>
      </c>
    </row>
    <row r="260" spans="1:4" ht="18" hidden="1" x14ac:dyDescent="0.35">
      <c r="A260" s="10" t="s">
        <v>169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22" t="s">
        <v>77</v>
      </c>
      <c r="B261" s="7"/>
      <c r="C261" s="7"/>
      <c r="D261" s="8">
        <f t="shared" si="4"/>
        <v>0</v>
      </c>
    </row>
    <row r="262" spans="1:4" ht="18" hidden="1" x14ac:dyDescent="0.35">
      <c r="A262" s="22" t="s">
        <v>78</v>
      </c>
      <c r="B262" s="7"/>
      <c r="C262" s="7"/>
      <c r="D262" s="8">
        <f t="shared" si="4"/>
        <v>0</v>
      </c>
    </row>
    <row r="263" spans="1:4" ht="18" hidden="1" x14ac:dyDescent="0.35">
      <c r="A263" s="13" t="s">
        <v>237</v>
      </c>
      <c r="B263" s="7"/>
      <c r="C263" s="7"/>
      <c r="D263" s="8">
        <f t="shared" si="4"/>
        <v>0</v>
      </c>
    </row>
    <row r="264" spans="1:4" ht="18" hidden="1" x14ac:dyDescent="0.35">
      <c r="A264" s="22" t="s">
        <v>79</v>
      </c>
      <c r="B264" s="7"/>
      <c r="C264" s="7"/>
      <c r="D264" s="8">
        <f t="shared" si="4"/>
        <v>0</v>
      </c>
    </row>
    <row r="265" spans="1:4" ht="18" hidden="1" x14ac:dyDescent="0.35">
      <c r="A265" s="10" t="s">
        <v>238</v>
      </c>
      <c r="B265" s="7"/>
      <c r="C265" s="7"/>
      <c r="D265" s="8">
        <f t="shared" si="4"/>
        <v>0</v>
      </c>
    </row>
    <row r="266" spans="1:4" ht="18" hidden="1" x14ac:dyDescent="0.35">
      <c r="A266" s="10" t="s">
        <v>239</v>
      </c>
      <c r="B266" s="7"/>
      <c r="C266" s="7"/>
      <c r="D266" s="8">
        <f t="shared" si="4"/>
        <v>0</v>
      </c>
    </row>
    <row r="267" spans="1:4" ht="18" hidden="1" x14ac:dyDescent="0.35">
      <c r="A267" s="10" t="s">
        <v>240</v>
      </c>
      <c r="B267" s="7"/>
      <c r="C267" s="7"/>
      <c r="D267" s="8">
        <f t="shared" si="4"/>
        <v>0</v>
      </c>
    </row>
    <row r="268" spans="1:4" ht="18" hidden="1" x14ac:dyDescent="0.35">
      <c r="A268" s="10" t="s">
        <v>241</v>
      </c>
      <c r="B268" s="7"/>
      <c r="C268" s="7"/>
      <c r="D268" s="8">
        <f t="shared" si="4"/>
        <v>0</v>
      </c>
    </row>
    <row r="269" spans="1:4" ht="18" hidden="1" x14ac:dyDescent="0.35">
      <c r="A269" s="13" t="s">
        <v>242</v>
      </c>
      <c r="B269" s="7"/>
      <c r="C269" s="7"/>
      <c r="D269" s="8">
        <f t="shared" si="4"/>
        <v>0</v>
      </c>
    </row>
    <row r="270" spans="1:4" ht="18" hidden="1" x14ac:dyDescent="0.35">
      <c r="A270" s="10" t="s">
        <v>243</v>
      </c>
      <c r="B270" s="7"/>
      <c r="C270" s="7"/>
      <c r="D270" s="8">
        <f t="shared" si="4"/>
        <v>0</v>
      </c>
    </row>
    <row r="271" spans="1:4" ht="18" hidden="1" x14ac:dyDescent="0.35">
      <c r="A271" s="10" t="s">
        <v>37</v>
      </c>
      <c r="B271" s="7"/>
      <c r="C271" s="7"/>
      <c r="D271" s="8">
        <f t="shared" si="4"/>
        <v>0</v>
      </c>
    </row>
    <row r="272" spans="1:4" ht="18" hidden="1" x14ac:dyDescent="0.35">
      <c r="A272" s="6" t="s">
        <v>170</v>
      </c>
      <c r="B272" s="7"/>
      <c r="C272" s="7"/>
      <c r="D272" s="8">
        <f t="shared" si="4"/>
        <v>0</v>
      </c>
    </row>
    <row r="273" spans="1:4" ht="18" hidden="1" x14ac:dyDescent="0.35">
      <c r="A273" s="10" t="s">
        <v>80</v>
      </c>
      <c r="B273" s="23"/>
      <c r="C273" s="23"/>
      <c r="D273" s="8">
        <f t="shared" si="4"/>
        <v>0</v>
      </c>
    </row>
    <row r="274" spans="1:4" ht="18" hidden="1" x14ac:dyDescent="0.35">
      <c r="A274" s="10" t="s">
        <v>244</v>
      </c>
      <c r="B274" s="7"/>
      <c r="C274" s="7"/>
      <c r="D274" s="8">
        <f t="shared" si="4"/>
        <v>0</v>
      </c>
    </row>
    <row r="275" spans="1:4" ht="18" hidden="1" x14ac:dyDescent="0.35">
      <c r="A275" s="10" t="s">
        <v>171</v>
      </c>
      <c r="B275" s="7"/>
      <c r="C275" s="7"/>
      <c r="D275" s="8">
        <f t="shared" si="4"/>
        <v>0</v>
      </c>
    </row>
    <row r="276" spans="1:4" ht="18" hidden="1" x14ac:dyDescent="0.35">
      <c r="A276" s="13" t="s">
        <v>245</v>
      </c>
      <c r="B276" s="7"/>
      <c r="C276" s="7"/>
      <c r="D276" s="8">
        <f t="shared" si="4"/>
        <v>0</v>
      </c>
    </row>
    <row r="277" spans="1:4" ht="18" hidden="1" x14ac:dyDescent="0.35">
      <c r="A277" s="13" t="s">
        <v>246</v>
      </c>
      <c r="B277" s="7"/>
      <c r="C277" s="7"/>
      <c r="D277" s="8">
        <f t="shared" si="4"/>
        <v>0</v>
      </c>
    </row>
    <row r="278" spans="1:4" ht="18" x14ac:dyDescent="0.3">
      <c r="A278" s="10" t="s">
        <v>247</v>
      </c>
      <c r="B278" s="12">
        <v>4</v>
      </c>
      <c r="C278" s="7">
        <v>30000</v>
      </c>
      <c r="D278" s="8">
        <f t="shared" si="4"/>
        <v>120000</v>
      </c>
    </row>
    <row r="279" spans="1:4" ht="18" hidden="1" x14ac:dyDescent="0.35">
      <c r="A279" s="10" t="s">
        <v>248</v>
      </c>
      <c r="B279" s="7"/>
      <c r="C279" s="7"/>
      <c r="D279" s="8">
        <f t="shared" si="4"/>
        <v>0</v>
      </c>
    </row>
    <row r="280" spans="1:4" ht="18" hidden="1" x14ac:dyDescent="0.35">
      <c r="A280" s="13" t="s">
        <v>249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250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251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252</v>
      </c>
      <c r="B283" s="7"/>
      <c r="C283" s="7"/>
      <c r="D283" s="8">
        <f t="shared" si="4"/>
        <v>0</v>
      </c>
    </row>
    <row r="284" spans="1:4" ht="18" hidden="1" x14ac:dyDescent="0.35">
      <c r="A284" s="10" t="s">
        <v>253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254</v>
      </c>
      <c r="B285" s="7"/>
      <c r="C285" s="7"/>
      <c r="D285" s="8">
        <f t="shared" si="4"/>
        <v>0</v>
      </c>
    </row>
    <row r="286" spans="1:4" ht="18" hidden="1" x14ac:dyDescent="0.35">
      <c r="A286" s="10" t="s">
        <v>255</v>
      </c>
      <c r="B286" s="7"/>
      <c r="C286" s="7"/>
      <c r="D286" s="8">
        <f t="shared" si="4"/>
        <v>0</v>
      </c>
    </row>
    <row r="287" spans="1:4" ht="18" hidden="1" x14ac:dyDescent="0.35">
      <c r="A287" s="10" t="s">
        <v>256</v>
      </c>
      <c r="B287" s="7"/>
      <c r="C287" s="7"/>
      <c r="D287" s="8">
        <f t="shared" si="4"/>
        <v>0</v>
      </c>
    </row>
    <row r="288" spans="1:4" ht="18" hidden="1" x14ac:dyDescent="0.35">
      <c r="A288" s="10" t="s">
        <v>257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5168</v>
      </c>
      <c r="C290" s="32"/>
      <c r="D290" s="32">
        <f t="shared" si="5"/>
        <v>80512500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84" workbookViewId="0">
      <selection activeCell="D290" sqref="D290"/>
    </sheetView>
  </sheetViews>
  <sheetFormatPr defaultRowHeight="14.4" x14ac:dyDescent="0.3"/>
  <cols>
    <col min="1" max="1" width="38.21875" customWidth="1"/>
    <col min="3" max="3" width="14.6640625" customWidth="1"/>
    <col min="4" max="4" width="18.88671875" customWidth="1"/>
  </cols>
  <sheetData>
    <row r="1" spans="1:4" x14ac:dyDescent="0.3">
      <c r="A1" s="1" t="s">
        <v>295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x14ac:dyDescent="0.3">
      <c r="A6" s="6" t="s">
        <v>5</v>
      </c>
      <c r="B6" s="7">
        <v>34</v>
      </c>
      <c r="C6" s="7">
        <v>7000</v>
      </c>
      <c r="D6" s="8">
        <f t="shared" si="0"/>
        <v>238000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21" t="s">
        <v>73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191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50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v>155</v>
      </c>
      <c r="C22" s="7">
        <v>18000</v>
      </c>
      <c r="D22" s="8">
        <f t="shared" si="0"/>
        <v>2790000</v>
      </c>
    </row>
    <row r="23" spans="1:4" ht="18" x14ac:dyDescent="0.3">
      <c r="A23" s="10" t="s">
        <v>22</v>
      </c>
      <c r="B23" s="7">
        <v>5</v>
      </c>
      <c r="C23" s="7">
        <v>18000</v>
      </c>
      <c r="D23" s="8">
        <f t="shared" si="0"/>
        <v>90000</v>
      </c>
    </row>
    <row r="24" spans="1:4" ht="18" hidden="1" x14ac:dyDescent="0.35">
      <c r="A24" s="10" t="s">
        <v>264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v>10</v>
      </c>
      <c r="C27" s="7">
        <v>18000</v>
      </c>
      <c r="D27" s="8">
        <f t="shared" si="0"/>
        <v>180000</v>
      </c>
    </row>
    <row r="28" spans="1:4" ht="18" x14ac:dyDescent="0.3">
      <c r="A28" s="10" t="s">
        <v>27</v>
      </c>
      <c r="B28" s="7">
        <v>5</v>
      </c>
      <c r="C28" s="7">
        <v>22000</v>
      </c>
      <c r="D28" s="8">
        <f t="shared" si="0"/>
        <v>110000</v>
      </c>
    </row>
    <row r="29" spans="1:4" ht="18" hidden="1" x14ac:dyDescent="0.35">
      <c r="A29" s="10" t="s">
        <v>99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v>6</v>
      </c>
      <c r="C31" s="7">
        <v>28000</v>
      </c>
      <c r="D31" s="8">
        <f t="shared" si="0"/>
        <v>168000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22" t="s">
        <v>268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f>15+12</f>
        <v>27</v>
      </c>
      <c r="C34" s="7">
        <v>5000</v>
      </c>
      <c r="D34" s="8">
        <f t="shared" si="0"/>
        <v>135000</v>
      </c>
    </row>
    <row r="35" spans="1:4" ht="18" x14ac:dyDescent="0.3">
      <c r="A35" s="14" t="s">
        <v>148</v>
      </c>
      <c r="B35" s="7">
        <v>12</v>
      </c>
      <c r="C35" s="7">
        <v>6000</v>
      </c>
      <c r="D35" s="8">
        <f t="shared" si="0"/>
        <v>72000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x14ac:dyDescent="0.3">
      <c r="A37" s="6" t="s">
        <v>36</v>
      </c>
      <c r="B37" s="7">
        <v>12</v>
      </c>
      <c r="C37" s="7">
        <v>18500</v>
      </c>
      <c r="D37" s="8">
        <f t="shared" si="0"/>
        <v>222000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hidden="1" x14ac:dyDescent="0.35">
      <c r="A39" s="10" t="s">
        <v>38</v>
      </c>
      <c r="B39" s="7"/>
      <c r="C39" s="7"/>
      <c r="D39" s="8">
        <f t="shared" si="0"/>
        <v>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f>390+100+60</f>
        <v>550</v>
      </c>
      <c r="C41" s="7">
        <v>13000</v>
      </c>
      <c r="D41" s="8">
        <f t="shared" si="0"/>
        <v>7150000</v>
      </c>
    </row>
    <row r="42" spans="1:4" ht="18" x14ac:dyDescent="0.3">
      <c r="A42" s="10" t="s">
        <v>41</v>
      </c>
      <c r="B42" s="7">
        <f>300+8+400</f>
        <v>708</v>
      </c>
      <c r="C42" s="7">
        <v>22000</v>
      </c>
      <c r="D42" s="8">
        <f t="shared" si="0"/>
        <v>15576000</v>
      </c>
    </row>
    <row r="43" spans="1:4" ht="18" x14ac:dyDescent="0.3">
      <c r="A43" s="10" t="s">
        <v>114</v>
      </c>
      <c r="B43" s="7">
        <v>20</v>
      </c>
      <c r="C43" s="7">
        <v>6000</v>
      </c>
      <c r="D43" s="8">
        <f t="shared" si="0"/>
        <v>120000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45</v>
      </c>
      <c r="B46" s="7"/>
      <c r="C46" s="7"/>
      <c r="D46" s="8">
        <f t="shared" si="0"/>
        <v>0</v>
      </c>
    </row>
    <row r="47" spans="1:4" ht="18" hidden="1" x14ac:dyDescent="0.35">
      <c r="A47" s="10" t="s">
        <v>46</v>
      </c>
      <c r="B47" s="7"/>
      <c r="C47" s="7"/>
      <c r="D47" s="8">
        <f t="shared" si="0"/>
        <v>0</v>
      </c>
    </row>
    <row r="48" spans="1:4" ht="18" hidden="1" x14ac:dyDescent="0.35">
      <c r="A48" s="10" t="s">
        <v>154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hidden="1" x14ac:dyDescent="0.35">
      <c r="A51" s="6" t="s">
        <v>8</v>
      </c>
      <c r="B51" s="7"/>
      <c r="C51" s="7"/>
      <c r="D51" s="8">
        <f t="shared" si="0"/>
        <v>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v>46</v>
      </c>
      <c r="C53" s="7">
        <v>5000</v>
      </c>
      <c r="D53" s="8">
        <f t="shared" si="0"/>
        <v>230000</v>
      </c>
    </row>
    <row r="54" spans="1:4" ht="18" hidden="1" x14ac:dyDescent="0.35">
      <c r="A54" s="10" t="s">
        <v>115</v>
      </c>
      <c r="B54" s="7"/>
      <c r="C54" s="7"/>
      <c r="D54" s="8">
        <f t="shared" si="0"/>
        <v>0</v>
      </c>
    </row>
    <row r="55" spans="1:4" ht="18" x14ac:dyDescent="0.3">
      <c r="A55" s="10" t="s">
        <v>54</v>
      </c>
      <c r="B55" s="7">
        <v>17</v>
      </c>
      <c r="C55" s="7">
        <v>20000</v>
      </c>
      <c r="D55" s="8">
        <f t="shared" si="0"/>
        <v>340000</v>
      </c>
    </row>
    <row r="56" spans="1:4" ht="18" hidden="1" x14ac:dyDescent="0.35">
      <c r="A56" s="22" t="s">
        <v>164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x14ac:dyDescent="0.3">
      <c r="A58" s="16" t="s">
        <v>166</v>
      </c>
      <c r="B58" s="7">
        <v>70</v>
      </c>
      <c r="C58" s="7">
        <v>17000</v>
      </c>
      <c r="D58" s="8">
        <f t="shared" si="0"/>
        <v>1190000</v>
      </c>
    </row>
    <row r="59" spans="1:4" ht="18" hidden="1" x14ac:dyDescent="0.35">
      <c r="A59" s="10" t="s">
        <v>83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f>18+375+10</f>
        <v>403</v>
      </c>
      <c r="C68" s="7">
        <v>26000</v>
      </c>
      <c r="D68" s="8">
        <f t="shared" ref="D68:D131" si="1">B68*C68</f>
        <v>10478000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hidden="1" x14ac:dyDescent="0.35">
      <c r="A71" s="13" t="s">
        <v>189</v>
      </c>
      <c r="B71" s="7"/>
      <c r="C71" s="7"/>
      <c r="D71" s="8">
        <f t="shared" si="1"/>
        <v>0</v>
      </c>
    </row>
    <row r="72" spans="1:4" ht="18" hidden="1" x14ac:dyDescent="0.35">
      <c r="A72" s="14" t="s">
        <v>47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10" t="s">
        <v>186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hidden="1" x14ac:dyDescent="0.35">
      <c r="A83" s="10" t="s">
        <v>82</v>
      </c>
      <c r="B83" s="7"/>
      <c r="C83" s="7"/>
      <c r="D83" s="8">
        <f t="shared" si="1"/>
        <v>0</v>
      </c>
    </row>
    <row r="84" spans="1:4" ht="18" hidden="1" x14ac:dyDescent="0.35">
      <c r="A84" s="10" t="s">
        <v>17</v>
      </c>
      <c r="B84" s="7"/>
      <c r="C84" s="7"/>
      <c r="D84" s="8">
        <f t="shared" si="1"/>
        <v>0</v>
      </c>
    </row>
    <row r="85" spans="1:4" ht="18" x14ac:dyDescent="0.3">
      <c r="A85" s="10" t="s">
        <v>84</v>
      </c>
      <c r="B85" s="7">
        <v>25</v>
      </c>
      <c r="C85" s="7">
        <v>13000</v>
      </c>
      <c r="D85" s="8">
        <f t="shared" si="1"/>
        <v>325000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19</v>
      </c>
      <c r="B91" s="7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0" t="s">
        <v>96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hidden="1" x14ac:dyDescent="0.35">
      <c r="A97" s="25" t="s">
        <v>272</v>
      </c>
      <c r="B97" s="12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x14ac:dyDescent="0.3">
      <c r="A99" s="10" t="s">
        <v>98</v>
      </c>
      <c r="B99" s="7">
        <v>18</v>
      </c>
      <c r="C99" s="7">
        <v>28000</v>
      </c>
      <c r="D99" s="8">
        <f t="shared" si="1"/>
        <v>504000</v>
      </c>
    </row>
    <row r="100" spans="1:4" ht="18" hidden="1" x14ac:dyDescent="0.35">
      <c r="A100" s="10" t="s">
        <v>274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4" t="s">
        <v>34</v>
      </c>
      <c r="B104" s="7"/>
      <c r="C104" s="7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x14ac:dyDescent="0.3">
      <c r="A107" s="10" t="s">
        <v>106</v>
      </c>
      <c r="B107" s="12">
        <v>0.5</v>
      </c>
      <c r="C107" s="12">
        <v>80000</v>
      </c>
      <c r="D107" s="8">
        <f t="shared" si="1"/>
        <v>40000</v>
      </c>
    </row>
    <row r="108" spans="1:4" ht="18" hidden="1" x14ac:dyDescent="0.35">
      <c r="A108" s="10" t="s">
        <v>103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x14ac:dyDescent="0.3">
      <c r="A110" s="10" t="s">
        <v>109</v>
      </c>
      <c r="B110" s="12">
        <v>0.5</v>
      </c>
      <c r="C110" s="12">
        <v>70000</v>
      </c>
      <c r="D110" s="8">
        <f t="shared" si="1"/>
        <v>35000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x14ac:dyDescent="0.3">
      <c r="A112" s="10" t="s">
        <v>111</v>
      </c>
      <c r="B112" s="12">
        <v>0.4</v>
      </c>
      <c r="C112" s="12">
        <v>70000</v>
      </c>
      <c r="D112" s="8">
        <f t="shared" si="1"/>
        <v>28000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50+540+340+800</f>
        <v>1730</v>
      </c>
      <c r="C114" s="7">
        <v>8500</v>
      </c>
      <c r="D114" s="8">
        <f t="shared" si="1"/>
        <v>14705000</v>
      </c>
    </row>
    <row r="115" spans="1:4" ht="18" hidden="1" x14ac:dyDescent="0.35">
      <c r="A115" s="10" t="s">
        <v>107</v>
      </c>
      <c r="B115" s="12"/>
      <c r="C115" s="12"/>
      <c r="D115" s="8">
        <f t="shared" si="1"/>
        <v>0</v>
      </c>
    </row>
    <row r="116" spans="1:4" ht="18" hidden="1" x14ac:dyDescent="0.35">
      <c r="A116" s="10" t="s">
        <v>162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200+915+105</f>
        <v>1220</v>
      </c>
      <c r="C121" s="7">
        <v>4500</v>
      </c>
      <c r="D121" s="8">
        <f t="shared" si="1"/>
        <v>5490000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x14ac:dyDescent="0.3">
      <c r="A126" s="22" t="s">
        <v>125</v>
      </c>
      <c r="B126" s="7">
        <v>3</v>
      </c>
      <c r="C126" s="7">
        <v>9000</v>
      </c>
      <c r="D126" s="8">
        <f t="shared" si="1"/>
        <v>27000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10" t="s">
        <v>282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hidden="1" x14ac:dyDescent="0.35">
      <c r="A143" s="14" t="s">
        <v>53</v>
      </c>
      <c r="B143" s="7"/>
      <c r="C143" s="7"/>
      <c r="D143" s="8">
        <f t="shared" si="2"/>
        <v>0</v>
      </c>
    </row>
    <row r="144" spans="1:4" ht="18" hidden="1" x14ac:dyDescent="0.35">
      <c r="A144" s="24" t="s">
        <v>143</v>
      </c>
      <c r="B144" s="7"/>
      <c r="C144" s="7"/>
      <c r="D144" s="8">
        <f t="shared" si="2"/>
        <v>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x14ac:dyDescent="0.3">
      <c r="A148" s="10" t="s">
        <v>147</v>
      </c>
      <c r="B148" s="7">
        <v>1</v>
      </c>
      <c r="C148" s="7">
        <v>18000</v>
      </c>
      <c r="D148" s="8">
        <f t="shared" si="2"/>
        <v>18000</v>
      </c>
    </row>
    <row r="149" spans="1:4" ht="18" hidden="1" x14ac:dyDescent="0.35">
      <c r="A149" s="10" t="s">
        <v>194</v>
      </c>
      <c r="B149" s="7"/>
      <c r="C149" s="7"/>
      <c r="D149" s="8">
        <f t="shared" si="2"/>
        <v>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x14ac:dyDescent="0.3">
      <c r="A155" s="6" t="s">
        <v>175</v>
      </c>
      <c r="B155" s="7">
        <v>295</v>
      </c>
      <c r="C155" s="7">
        <v>11000</v>
      </c>
      <c r="D155" s="8">
        <f t="shared" si="2"/>
        <v>3245000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5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4</v>
      </c>
      <c r="C162" s="7">
        <v>7000</v>
      </c>
      <c r="D162" s="8">
        <f t="shared" si="2"/>
        <v>28000</v>
      </c>
    </row>
    <row r="163" spans="1:4" ht="18" hidden="1" x14ac:dyDescent="0.35">
      <c r="A163" s="6" t="s">
        <v>180</v>
      </c>
      <c r="B163" s="7"/>
      <c r="C163" s="7"/>
      <c r="D163" s="8">
        <f t="shared" si="2"/>
        <v>0</v>
      </c>
    </row>
    <row r="164" spans="1:4" ht="18" x14ac:dyDescent="0.3">
      <c r="A164" s="10" t="s">
        <v>163</v>
      </c>
      <c r="B164" s="7">
        <f>115+10+15</f>
        <v>140</v>
      </c>
      <c r="C164" s="7">
        <v>19000</v>
      </c>
      <c r="D164" s="8">
        <f t="shared" si="2"/>
        <v>2660000</v>
      </c>
    </row>
    <row r="165" spans="1:4" ht="18" hidden="1" x14ac:dyDescent="0.35">
      <c r="A165" s="10" t="s">
        <v>181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hidden="1" x14ac:dyDescent="0.35">
      <c r="A167" s="17" t="s">
        <v>55</v>
      </c>
      <c r="B167" s="7"/>
      <c r="C167" s="7"/>
      <c r="D167" s="8">
        <f t="shared" si="2"/>
        <v>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10" t="s">
        <v>142</v>
      </c>
      <c r="B176" s="7">
        <f>55+70+35+280+70+60+35</f>
        <v>605</v>
      </c>
      <c r="C176" s="7">
        <v>28500</v>
      </c>
      <c r="D176" s="8">
        <f t="shared" si="2"/>
        <v>17242500</v>
      </c>
    </row>
    <row r="177" spans="1:4" ht="18" x14ac:dyDescent="0.3">
      <c r="A177" s="6" t="s">
        <v>176</v>
      </c>
      <c r="B177" s="7">
        <f>220</f>
        <v>220</v>
      </c>
      <c r="C177" s="7">
        <v>35000</v>
      </c>
      <c r="D177" s="8">
        <f t="shared" si="2"/>
        <v>7700000</v>
      </c>
    </row>
    <row r="178" spans="1:4" ht="18" x14ac:dyDescent="0.3">
      <c r="A178" s="10" t="s">
        <v>177</v>
      </c>
      <c r="B178" s="7">
        <v>90</v>
      </c>
      <c r="C178" s="7">
        <v>9600</v>
      </c>
      <c r="D178" s="8">
        <f t="shared" si="2"/>
        <v>864000</v>
      </c>
    </row>
    <row r="179" spans="1:4" ht="18" x14ac:dyDescent="0.3">
      <c r="A179" s="6" t="s">
        <v>178</v>
      </c>
      <c r="B179" s="7">
        <v>790</v>
      </c>
      <c r="C179" s="7">
        <v>32000</v>
      </c>
      <c r="D179" s="8">
        <f t="shared" si="2"/>
        <v>25280000</v>
      </c>
    </row>
    <row r="180" spans="1:4" ht="18" x14ac:dyDescent="0.35">
      <c r="A180" s="6" t="s">
        <v>179</v>
      </c>
      <c r="B180" s="7">
        <v>3</v>
      </c>
      <c r="C180" s="7">
        <v>25000</v>
      </c>
      <c r="D180" s="8">
        <f t="shared" si="2"/>
        <v>75000</v>
      </c>
    </row>
    <row r="181" spans="1:4" ht="18" x14ac:dyDescent="0.3">
      <c r="A181" s="10" t="s">
        <v>212</v>
      </c>
      <c r="B181" s="7">
        <v>3</v>
      </c>
      <c r="C181" s="7">
        <v>25000</v>
      </c>
      <c r="D181" s="8">
        <f t="shared" si="2"/>
        <v>75000</v>
      </c>
    </row>
    <row r="182" spans="1:4" ht="18" hidden="1" x14ac:dyDescent="0.35">
      <c r="A182" s="10" t="s">
        <v>182</v>
      </c>
      <c r="B182" s="7"/>
      <c r="C182" s="7"/>
      <c r="D182" s="8">
        <f t="shared" si="2"/>
        <v>0</v>
      </c>
    </row>
    <row r="183" spans="1:4" ht="18" hidden="1" x14ac:dyDescent="0.35">
      <c r="A183" s="10" t="s">
        <v>183</v>
      </c>
      <c r="B183" s="7"/>
      <c r="C183" s="7"/>
      <c r="D183" s="8">
        <f t="shared" si="2"/>
        <v>0</v>
      </c>
    </row>
    <row r="184" spans="1:4" ht="18" x14ac:dyDescent="0.3">
      <c r="A184" s="10" t="s">
        <v>42</v>
      </c>
      <c r="B184" s="7">
        <v>130</v>
      </c>
      <c r="C184" s="7">
        <v>17000</v>
      </c>
      <c r="D184" s="8">
        <f t="shared" si="2"/>
        <v>2210000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57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188</v>
      </c>
      <c r="B189" s="7"/>
      <c r="C189" s="7"/>
      <c r="D189" s="8">
        <f t="shared" si="2"/>
        <v>0</v>
      </c>
    </row>
    <row r="190" spans="1:4" ht="18" hidden="1" x14ac:dyDescent="0.35">
      <c r="A190" s="10" t="s">
        <v>58</v>
      </c>
      <c r="B190" s="7"/>
      <c r="C190" s="7"/>
      <c r="D190" s="8">
        <f t="shared" si="2"/>
        <v>0</v>
      </c>
    </row>
    <row r="191" spans="1:4" ht="18" x14ac:dyDescent="0.3">
      <c r="A191" s="20" t="s">
        <v>190</v>
      </c>
      <c r="B191" s="7">
        <v>20</v>
      </c>
      <c r="C191" s="7">
        <v>9000</v>
      </c>
      <c r="D191" s="8">
        <f t="shared" si="2"/>
        <v>180000</v>
      </c>
    </row>
    <row r="192" spans="1:4" ht="18" hidden="1" x14ac:dyDescent="0.35">
      <c r="A192" s="10" t="s">
        <v>216</v>
      </c>
      <c r="B192" s="7"/>
      <c r="C192" s="7"/>
      <c r="D192" s="8">
        <f t="shared" si="2"/>
        <v>0</v>
      </c>
    </row>
    <row r="193" spans="1:4" ht="18" hidden="1" x14ac:dyDescent="0.35">
      <c r="A193" s="10" t="s">
        <v>192</v>
      </c>
      <c r="B193" s="7"/>
      <c r="C193" s="7"/>
      <c r="D193" s="8">
        <f t="shared" si="2"/>
        <v>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hidden="1" x14ac:dyDescent="0.35">
      <c r="A195" s="10" t="s">
        <v>23</v>
      </c>
      <c r="B195" s="7"/>
      <c r="C195" s="7"/>
      <c r="D195" s="8">
        <f t="shared" si="2"/>
        <v>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21</v>
      </c>
      <c r="C200" s="7">
        <v>9500</v>
      </c>
      <c r="D200" s="8">
        <f t="shared" si="3"/>
        <v>199500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5">
      <c r="A213" s="14" t="s">
        <v>227</v>
      </c>
      <c r="B213" s="7"/>
      <c r="C213" s="7"/>
      <c r="D213" s="8">
        <f t="shared" si="3"/>
        <v>0</v>
      </c>
    </row>
    <row r="214" spans="1:4" ht="18" x14ac:dyDescent="0.3">
      <c r="A214" s="11" t="s">
        <v>213</v>
      </c>
      <c r="B214" s="7">
        <v>6</v>
      </c>
      <c r="C214" s="7">
        <v>28000</v>
      </c>
      <c r="D214" s="8">
        <f t="shared" si="3"/>
        <v>168000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28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x14ac:dyDescent="0.3">
      <c r="A220" s="10" t="s">
        <v>219</v>
      </c>
      <c r="B220" s="7">
        <v>2</v>
      </c>
      <c r="C220" s="7">
        <v>65000</v>
      </c>
      <c r="D220" s="8">
        <f t="shared" si="3"/>
        <v>130000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0" t="s">
        <v>32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90</v>
      </c>
      <c r="B232" s="12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x14ac:dyDescent="0.3">
      <c r="A248" s="10" t="s">
        <v>247</v>
      </c>
      <c r="B248" s="7">
        <v>14</v>
      </c>
      <c r="C248" s="7">
        <v>30000</v>
      </c>
      <c r="D248" s="8">
        <f t="shared" si="3"/>
        <v>420000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x14ac:dyDescent="0.3">
      <c r="A251" s="10" t="s">
        <v>250</v>
      </c>
      <c r="B251" s="7">
        <v>49</v>
      </c>
      <c r="C251" s="7">
        <v>6800</v>
      </c>
      <c r="D251" s="8">
        <f t="shared" si="3"/>
        <v>333200</v>
      </c>
    </row>
    <row r="252" spans="1:4" ht="18" hidden="1" x14ac:dyDescent="0.35">
      <c r="A252" s="10" t="s">
        <v>231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70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x14ac:dyDescent="0.3">
      <c r="A260" s="10" t="s">
        <v>259</v>
      </c>
      <c r="B260" s="7">
        <v>7</v>
      </c>
      <c r="C260" s="7">
        <v>12000</v>
      </c>
      <c r="D260" s="8">
        <f t="shared" ref="D260:D289" si="4">B260*C260</f>
        <v>84000</v>
      </c>
    </row>
    <row r="261" spans="1:4" ht="18" hidden="1" x14ac:dyDescent="0.35">
      <c r="A261" s="10" t="s">
        <v>71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v>10</v>
      </c>
      <c r="C263" s="7">
        <v>8000</v>
      </c>
      <c r="D263" s="8">
        <f t="shared" si="4"/>
        <v>80000</v>
      </c>
    </row>
    <row r="264" spans="1:4" ht="18" x14ac:dyDescent="0.3">
      <c r="A264" s="10" t="s">
        <v>263</v>
      </c>
      <c r="B264" s="7">
        <f>5+60+10+30+8</f>
        <v>113</v>
      </c>
      <c r="C264" s="7">
        <v>6000</v>
      </c>
      <c r="D264" s="8">
        <f t="shared" si="4"/>
        <v>678000</v>
      </c>
    </row>
    <row r="265" spans="1:4" ht="18" hidden="1" x14ac:dyDescent="0.35">
      <c r="A265" s="14" t="s">
        <v>260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14" t="s">
        <v>92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5</v>
      </c>
      <c r="C270" s="7">
        <v>25000</v>
      </c>
      <c r="D270" s="8">
        <f t="shared" si="4"/>
        <v>125000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22" t="s">
        <v>140</v>
      </c>
      <c r="B273" s="7"/>
      <c r="C273" s="7"/>
      <c r="D273" s="8">
        <f t="shared" si="4"/>
        <v>0</v>
      </c>
    </row>
    <row r="274" spans="1:4" ht="18" hidden="1" x14ac:dyDescent="0.35">
      <c r="A274" s="10" t="s">
        <v>273</v>
      </c>
      <c r="B274" s="7"/>
      <c r="C274" s="7"/>
      <c r="D274" s="8">
        <f t="shared" si="4"/>
        <v>0</v>
      </c>
    </row>
    <row r="275" spans="1:4" ht="18" hidden="1" x14ac:dyDescent="0.35">
      <c r="A275" s="10" t="s">
        <v>251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x14ac:dyDescent="0.3">
      <c r="A278" s="22" t="s">
        <v>277</v>
      </c>
      <c r="B278" s="7">
        <v>49</v>
      </c>
      <c r="C278" s="7">
        <v>3500</v>
      </c>
      <c r="D278" s="8">
        <f t="shared" si="4"/>
        <v>171500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255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7654.4</v>
      </c>
      <c r="C290" s="32"/>
      <c r="D290" s="32">
        <f t="shared" si="5"/>
        <v>122209700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34" workbookViewId="0">
      <selection activeCell="H270" sqref="H270"/>
    </sheetView>
  </sheetViews>
  <sheetFormatPr defaultRowHeight="14.4" x14ac:dyDescent="0.3"/>
  <cols>
    <col min="1" max="1" width="39.5546875" customWidth="1"/>
    <col min="3" max="3" width="13.44140625" customWidth="1"/>
    <col min="4" max="4" width="18.21875" customWidth="1"/>
  </cols>
  <sheetData>
    <row r="1" spans="1:4" x14ac:dyDescent="0.3">
      <c r="A1" s="1" t="s">
        <v>296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hidden="1" x14ac:dyDescent="0.35">
      <c r="A6" s="6" t="s">
        <v>5</v>
      </c>
      <c r="B6" s="7"/>
      <c r="C6" s="7"/>
      <c r="D6" s="8">
        <f t="shared" si="0"/>
        <v>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6" t="s">
        <v>8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60+60+100+40</f>
        <v>260</v>
      </c>
      <c r="C22" s="7">
        <v>18000</v>
      </c>
      <c r="D22" s="8">
        <f t="shared" si="0"/>
        <v>4680000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v>10</v>
      </c>
      <c r="C27" s="7">
        <v>18000</v>
      </c>
      <c r="D27" s="8">
        <f t="shared" si="0"/>
        <v>180000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f>10+15+20</f>
        <v>45</v>
      </c>
      <c r="C31" s="7">
        <v>25000</v>
      </c>
      <c r="D31" s="8">
        <f t="shared" si="0"/>
        <v>1125000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f>18+3+14</f>
        <v>35</v>
      </c>
      <c r="C34" s="7">
        <v>5000</v>
      </c>
      <c r="D34" s="8">
        <f t="shared" si="0"/>
        <v>175000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hidden="1" x14ac:dyDescent="0.35">
      <c r="A37" s="6" t="s">
        <v>36</v>
      </c>
      <c r="B37" s="7"/>
      <c r="C37" s="7"/>
      <c r="D37" s="8">
        <f t="shared" si="0"/>
        <v>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x14ac:dyDescent="0.3">
      <c r="A39" s="10" t="s">
        <v>38</v>
      </c>
      <c r="B39" s="7">
        <v>45</v>
      </c>
      <c r="C39" s="7">
        <v>27000</v>
      </c>
      <c r="D39" s="8">
        <f t="shared" si="0"/>
        <v>1215000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f>200+150+30</f>
        <v>380</v>
      </c>
      <c r="C41" s="7">
        <v>13000</v>
      </c>
      <c r="D41" s="8">
        <f t="shared" si="0"/>
        <v>4940000</v>
      </c>
    </row>
    <row r="42" spans="1:4" ht="18" x14ac:dyDescent="0.3">
      <c r="A42" s="10" t="s">
        <v>41</v>
      </c>
      <c r="B42" s="7">
        <v>530</v>
      </c>
      <c r="C42" s="7">
        <v>22000</v>
      </c>
      <c r="D42" s="8">
        <f t="shared" si="0"/>
        <v>11660000</v>
      </c>
    </row>
    <row r="43" spans="1:4" ht="18" x14ac:dyDescent="0.3">
      <c r="A43" s="10" t="s">
        <v>42</v>
      </c>
      <c r="B43" s="7">
        <v>200</v>
      </c>
      <c r="C43" s="7">
        <v>17000</v>
      </c>
      <c r="D43" s="8">
        <f t="shared" si="0"/>
        <v>3400000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45</v>
      </c>
      <c r="B46" s="7"/>
      <c r="C46" s="7"/>
      <c r="D46" s="8">
        <f t="shared" si="0"/>
        <v>0</v>
      </c>
    </row>
    <row r="47" spans="1:4" ht="18" hidden="1" x14ac:dyDescent="0.35">
      <c r="A47" s="10" t="s">
        <v>46</v>
      </c>
      <c r="B47" s="7"/>
      <c r="C47" s="7"/>
      <c r="D47" s="8">
        <f t="shared" si="0"/>
        <v>0</v>
      </c>
    </row>
    <row r="48" spans="1:4" ht="18" hidden="1" x14ac:dyDescent="0.35">
      <c r="A48" s="14" t="s">
        <v>47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hidden="1" x14ac:dyDescent="0.35">
      <c r="A51" s="10" t="s">
        <v>50</v>
      </c>
      <c r="B51" s="7"/>
      <c r="C51" s="7"/>
      <c r="D51" s="8">
        <f t="shared" si="0"/>
        <v>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v>33</v>
      </c>
      <c r="C53" s="7">
        <v>5000</v>
      </c>
      <c r="D53" s="8">
        <f t="shared" si="0"/>
        <v>165000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x14ac:dyDescent="0.3">
      <c r="A55" s="10" t="s">
        <v>54</v>
      </c>
      <c r="B55" s="7">
        <v>10</v>
      </c>
      <c r="C55" s="7">
        <v>20000</v>
      </c>
      <c r="D55" s="8">
        <f t="shared" si="0"/>
        <v>200000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16" t="s">
        <v>57</v>
      </c>
      <c r="B58" s="7"/>
      <c r="C58" s="7"/>
      <c r="D58" s="8">
        <f t="shared" si="0"/>
        <v>0</v>
      </c>
    </row>
    <row r="59" spans="1:4" ht="18" hidden="1" x14ac:dyDescent="0.35">
      <c r="A59" s="10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f>275+5</f>
        <v>280</v>
      </c>
      <c r="C68" s="7">
        <v>26000</v>
      </c>
      <c r="D68" s="8">
        <f t="shared" ref="D68:D131" si="1">B68*C68</f>
        <v>7280000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x14ac:dyDescent="0.3">
      <c r="A70" s="10" t="s">
        <v>69</v>
      </c>
      <c r="B70" s="7">
        <v>9</v>
      </c>
      <c r="C70" s="7">
        <v>14000</v>
      </c>
      <c r="D70" s="8">
        <f t="shared" si="1"/>
        <v>126000</v>
      </c>
    </row>
    <row r="71" spans="1:4" ht="18" hidden="1" x14ac:dyDescent="0.35">
      <c r="A71" s="10" t="s">
        <v>70</v>
      </c>
      <c r="B71" s="7"/>
      <c r="C71" s="7"/>
      <c r="D71" s="8">
        <f t="shared" si="1"/>
        <v>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hidden="1" x14ac:dyDescent="0.35">
      <c r="A83" s="10" t="s">
        <v>82</v>
      </c>
      <c r="B83" s="7"/>
      <c r="C83" s="7"/>
      <c r="D83" s="8">
        <f t="shared" si="1"/>
        <v>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hidden="1" x14ac:dyDescent="0.35">
      <c r="A85" s="10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hidden="1" x14ac:dyDescent="0.35">
      <c r="A97" s="26" t="s">
        <v>96</v>
      </c>
      <c r="B97" s="7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x14ac:dyDescent="0.3">
      <c r="A99" s="10" t="s">
        <v>98</v>
      </c>
      <c r="B99" s="7">
        <v>28</v>
      </c>
      <c r="C99" s="7">
        <v>28000</v>
      </c>
      <c r="D99" s="8">
        <f t="shared" si="1"/>
        <v>784000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180+30+420+150</f>
        <v>780</v>
      </c>
      <c r="C114" s="7">
        <v>8500</v>
      </c>
      <c r="D114" s="8">
        <f t="shared" si="1"/>
        <v>6630000</v>
      </c>
    </row>
    <row r="115" spans="1:4" ht="18" hidden="1" x14ac:dyDescent="0.35">
      <c r="A115" s="10" t="s">
        <v>114</v>
      </c>
      <c r="B115" s="7"/>
      <c r="C115" s="7"/>
      <c r="D115" s="8">
        <f t="shared" si="1"/>
        <v>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285+285+435+30+120</f>
        <v>1155</v>
      </c>
      <c r="C121" s="7">
        <v>4500</v>
      </c>
      <c r="D121" s="8">
        <f t="shared" si="1"/>
        <v>5197500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x14ac:dyDescent="0.3">
      <c r="A126" s="22" t="s">
        <v>125</v>
      </c>
      <c r="B126" s="7">
        <v>3</v>
      </c>
      <c r="C126" s="7">
        <v>9000</v>
      </c>
      <c r="D126" s="8">
        <f t="shared" si="1"/>
        <v>27000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f>70+150+110+20+40+120</f>
        <v>510</v>
      </c>
      <c r="C143" s="7">
        <v>28500</v>
      </c>
      <c r="D143" s="8">
        <f t="shared" si="2"/>
        <v>14535000</v>
      </c>
    </row>
    <row r="144" spans="1:4" ht="18" x14ac:dyDescent="0.3">
      <c r="A144" s="24" t="s">
        <v>143</v>
      </c>
      <c r="B144" s="7">
        <v>70</v>
      </c>
      <c r="C144" s="7">
        <v>24000</v>
      </c>
      <c r="D144" s="8">
        <f t="shared" si="2"/>
        <v>1680000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x14ac:dyDescent="0.3">
      <c r="A149" s="14" t="s">
        <v>148</v>
      </c>
      <c r="B149" s="7">
        <v>12</v>
      </c>
      <c r="C149" s="7">
        <v>6500</v>
      </c>
      <c r="D149" s="8">
        <f t="shared" si="2"/>
        <v>78000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x14ac:dyDescent="0.3">
      <c r="A160" s="10" t="s">
        <v>159</v>
      </c>
      <c r="B160" s="7">
        <v>2</v>
      </c>
      <c r="C160" s="7">
        <v>14000</v>
      </c>
      <c r="D160" s="8">
        <f t="shared" si="2"/>
        <v>28000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4</v>
      </c>
      <c r="C162" s="7">
        <v>7000</v>
      </c>
      <c r="D162" s="8">
        <f t="shared" si="2"/>
        <v>28000</v>
      </c>
    </row>
    <row r="163" spans="1:4" ht="18" x14ac:dyDescent="0.3">
      <c r="A163" s="10" t="s">
        <v>162</v>
      </c>
      <c r="B163" s="7">
        <v>10</v>
      </c>
      <c r="C163" s="7">
        <v>7000</v>
      </c>
      <c r="D163" s="8">
        <f t="shared" si="2"/>
        <v>70000</v>
      </c>
    </row>
    <row r="164" spans="1:4" ht="18" x14ac:dyDescent="0.3">
      <c r="A164" s="10" t="s">
        <v>163</v>
      </c>
      <c r="B164" s="7">
        <v>110</v>
      </c>
      <c r="C164" s="7">
        <v>19000</v>
      </c>
      <c r="D164" s="8">
        <f t="shared" si="2"/>
        <v>2090000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f>12+20</f>
        <v>32</v>
      </c>
      <c r="C167" s="7">
        <v>17000</v>
      </c>
      <c r="D167" s="8">
        <f t="shared" si="2"/>
        <v>544000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f>10+60+15+120</f>
        <v>205</v>
      </c>
      <c r="C176" s="7">
        <v>11000</v>
      </c>
      <c r="D176" s="8">
        <f t="shared" si="2"/>
        <v>2255000</v>
      </c>
    </row>
    <row r="177" spans="1:4" ht="18" x14ac:dyDescent="0.3">
      <c r="A177" s="6" t="s">
        <v>176</v>
      </c>
      <c r="B177" s="7">
        <f>10+140+110+60</f>
        <v>320</v>
      </c>
      <c r="C177" s="7">
        <v>35000</v>
      </c>
      <c r="D177" s="8">
        <f t="shared" si="2"/>
        <v>11200000</v>
      </c>
    </row>
    <row r="178" spans="1:4" ht="18" x14ac:dyDescent="0.3">
      <c r="A178" s="10" t="s">
        <v>177</v>
      </c>
      <c r="B178" s="7">
        <v>90</v>
      </c>
      <c r="C178" s="7">
        <v>9600</v>
      </c>
      <c r="D178" s="8">
        <f t="shared" si="2"/>
        <v>864000</v>
      </c>
    </row>
    <row r="179" spans="1:4" ht="18" x14ac:dyDescent="0.3">
      <c r="A179" s="6" t="s">
        <v>178</v>
      </c>
      <c r="B179" s="7">
        <v>620</v>
      </c>
      <c r="C179" s="7">
        <v>32000</v>
      </c>
      <c r="D179" s="8">
        <f t="shared" si="2"/>
        <v>19840000</v>
      </c>
    </row>
    <row r="180" spans="1:4" ht="18" x14ac:dyDescent="0.3">
      <c r="A180" s="6" t="s">
        <v>179</v>
      </c>
      <c r="B180" s="7">
        <v>16</v>
      </c>
      <c r="C180" s="7">
        <v>25000</v>
      </c>
      <c r="D180" s="8">
        <f t="shared" si="2"/>
        <v>400000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hidden="1" x14ac:dyDescent="0.35">
      <c r="A183" s="10" t="s">
        <v>182</v>
      </c>
      <c r="B183" s="7"/>
      <c r="C183" s="7"/>
      <c r="D183" s="8">
        <f t="shared" si="2"/>
        <v>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188</v>
      </c>
      <c r="B189" s="7"/>
      <c r="C189" s="7"/>
      <c r="D189" s="8">
        <f t="shared" si="2"/>
        <v>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x14ac:dyDescent="0.3">
      <c r="A191" s="20" t="s">
        <v>190</v>
      </c>
      <c r="B191" s="7">
        <f>70+180+6+55-120</f>
        <v>191</v>
      </c>
      <c r="C191" s="7">
        <v>6500</v>
      </c>
      <c r="D191" s="8">
        <f t="shared" si="2"/>
        <v>1241500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hidden="1" x14ac:dyDescent="0.35">
      <c r="A193" s="10" t="s">
        <v>192</v>
      </c>
      <c r="B193" s="7"/>
      <c r="C193" s="7"/>
      <c r="D193" s="8">
        <f t="shared" si="2"/>
        <v>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v>690</v>
      </c>
      <c r="C195" s="7">
        <v>8000</v>
      </c>
      <c r="D195" s="8">
        <f t="shared" si="2"/>
        <v>5520000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20</v>
      </c>
      <c r="C200" s="7">
        <v>9500</v>
      </c>
      <c r="D200" s="8">
        <f t="shared" si="3"/>
        <v>190000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x14ac:dyDescent="0.3">
      <c r="A213" s="10" t="s">
        <v>212</v>
      </c>
      <c r="B213" s="7">
        <v>3</v>
      </c>
      <c r="C213" s="7">
        <v>25000</v>
      </c>
      <c r="D213" s="8">
        <f t="shared" si="3"/>
        <v>75000</v>
      </c>
    </row>
    <row r="214" spans="1:4" ht="18" hidden="1" x14ac:dyDescent="0.35">
      <c r="A214" s="11" t="s">
        <v>213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231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x14ac:dyDescent="0.3">
      <c r="A234" s="14" t="s">
        <v>233</v>
      </c>
      <c r="B234" s="7">
        <v>5</v>
      </c>
      <c r="C234" s="7">
        <v>7500</v>
      </c>
      <c r="D234" s="8">
        <f t="shared" si="3"/>
        <v>37500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x14ac:dyDescent="0.3">
      <c r="A248" s="10" t="s">
        <v>247</v>
      </c>
      <c r="B248" s="7">
        <v>3</v>
      </c>
      <c r="C248" s="7">
        <v>30000</v>
      </c>
      <c r="D248" s="8">
        <f t="shared" si="3"/>
        <v>90000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x14ac:dyDescent="0.3">
      <c r="A252" s="10" t="s">
        <v>251</v>
      </c>
      <c r="B252" s="7">
        <v>135</v>
      </c>
      <c r="C252" s="7">
        <v>6800</v>
      </c>
      <c r="D252" s="8">
        <f t="shared" si="3"/>
        <v>918000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255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x14ac:dyDescent="0.3">
      <c r="A260" s="10" t="s">
        <v>259</v>
      </c>
      <c r="B260" s="7">
        <f>8+33</f>
        <v>41</v>
      </c>
      <c r="C260" s="7">
        <v>12000</v>
      </c>
      <c r="D260" s="8">
        <f t="shared" ref="D260:D289" si="4">B260*C260</f>
        <v>492000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v>4</v>
      </c>
      <c r="C263" s="7">
        <v>8000</v>
      </c>
      <c r="D263" s="8">
        <f t="shared" si="4"/>
        <v>32000</v>
      </c>
    </row>
    <row r="264" spans="1:4" ht="18" x14ac:dyDescent="0.3">
      <c r="A264" s="10" t="s">
        <v>263</v>
      </c>
      <c r="B264" s="7">
        <f>27+75</f>
        <v>102</v>
      </c>
      <c r="C264" s="7">
        <v>6000</v>
      </c>
      <c r="D264" s="8">
        <f t="shared" si="4"/>
        <v>612000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f>10+30</f>
        <v>40</v>
      </c>
      <c r="C270" s="7">
        <v>25000</v>
      </c>
      <c r="D270" s="8">
        <f t="shared" si="4"/>
        <v>1000000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hidden="1" x14ac:dyDescent="0.35">
      <c r="A274" s="10" t="s">
        <v>273</v>
      </c>
      <c r="B274" s="7"/>
      <c r="C274" s="7"/>
      <c r="D274" s="8">
        <f t="shared" si="4"/>
        <v>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x14ac:dyDescent="0.3">
      <c r="A278" s="22" t="s">
        <v>277</v>
      </c>
      <c r="B278" s="7">
        <v>14</v>
      </c>
      <c r="C278" s="7">
        <v>3500</v>
      </c>
      <c r="D278" s="8">
        <f t="shared" si="4"/>
        <v>49000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x14ac:dyDescent="0.3">
      <c r="A282" s="10" t="s">
        <v>281</v>
      </c>
      <c r="B282" s="7">
        <f>17+25</f>
        <v>42</v>
      </c>
      <c r="C282" s="7">
        <v>6000</v>
      </c>
      <c r="D282" s="8">
        <f t="shared" si="4"/>
        <v>252000</v>
      </c>
    </row>
    <row r="283" spans="1:4" ht="18" hidden="1" x14ac:dyDescent="0.35">
      <c r="A283" s="10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7094</v>
      </c>
      <c r="C290" s="32"/>
      <c r="D290" s="32">
        <f t="shared" si="5"/>
        <v>111905500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>
      <selection activeCell="F140" sqref="F140"/>
    </sheetView>
  </sheetViews>
  <sheetFormatPr defaultRowHeight="14.4" x14ac:dyDescent="0.3"/>
  <cols>
    <col min="1" max="1" width="39.77734375" customWidth="1"/>
    <col min="3" max="3" width="12.44140625" customWidth="1"/>
    <col min="4" max="4" width="19.109375" customWidth="1"/>
  </cols>
  <sheetData>
    <row r="1" spans="1:4" x14ac:dyDescent="0.3">
      <c r="A1" s="1" t="s">
        <v>298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hidden="1" x14ac:dyDescent="0.35">
      <c r="A6" s="20" t="s">
        <v>190</v>
      </c>
      <c r="B6" s="7"/>
      <c r="C6" s="7"/>
      <c r="D6" s="8">
        <f t="shared" si="0"/>
        <v>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10" t="s">
        <v>49</v>
      </c>
      <c r="B8" s="7"/>
      <c r="C8" s="7"/>
      <c r="D8" s="8">
        <f t="shared" si="0"/>
        <v>0</v>
      </c>
    </row>
    <row r="9" spans="1:4" ht="18" x14ac:dyDescent="0.3">
      <c r="A9" s="10" t="s">
        <v>50</v>
      </c>
      <c r="B9" s="7">
        <v>6</v>
      </c>
      <c r="C9" s="7">
        <v>8000</v>
      </c>
      <c r="D9" s="8">
        <f t="shared" si="0"/>
        <v>48000</v>
      </c>
    </row>
    <row r="10" spans="1:4" ht="18" hidden="1" x14ac:dyDescent="0.35">
      <c r="A10" s="6" t="s">
        <v>51</v>
      </c>
      <c r="B10" s="7"/>
      <c r="C10" s="7"/>
      <c r="D10" s="8">
        <f t="shared" si="0"/>
        <v>0</v>
      </c>
    </row>
    <row r="11" spans="1:4" ht="18" hidden="1" x14ac:dyDescent="0.35">
      <c r="A11" s="6" t="s">
        <v>199</v>
      </c>
      <c r="B11" s="7"/>
      <c r="C11" s="7"/>
      <c r="D11" s="8">
        <f t="shared" si="0"/>
        <v>0</v>
      </c>
    </row>
    <row r="12" spans="1:4" ht="18" hidden="1" x14ac:dyDescent="0.35">
      <c r="A12" s="10" t="s">
        <v>117</v>
      </c>
      <c r="B12" s="7"/>
      <c r="C12" s="7"/>
      <c r="D12" s="8">
        <f t="shared" si="0"/>
        <v>0</v>
      </c>
    </row>
    <row r="13" spans="1:4" ht="18" hidden="1" x14ac:dyDescent="0.35">
      <c r="A13" s="10" t="s">
        <v>276</v>
      </c>
      <c r="B13" s="7"/>
      <c r="C13" s="7"/>
      <c r="D13" s="8">
        <f t="shared" si="0"/>
        <v>0</v>
      </c>
    </row>
    <row r="14" spans="1:4" ht="18" hidden="1" x14ac:dyDescent="0.35">
      <c r="A14" s="22" t="s">
        <v>277</v>
      </c>
      <c r="B14" s="7"/>
      <c r="C14" s="7"/>
      <c r="D14" s="8">
        <f t="shared" si="0"/>
        <v>0</v>
      </c>
    </row>
    <row r="15" spans="1:4" ht="18" hidden="1" x14ac:dyDescent="0.35">
      <c r="A15" s="11" t="s">
        <v>278</v>
      </c>
      <c r="B15" s="7"/>
      <c r="C15" s="7"/>
      <c r="D15" s="8">
        <f t="shared" si="0"/>
        <v>0</v>
      </c>
    </row>
    <row r="16" spans="1:4" ht="18" x14ac:dyDescent="0.3">
      <c r="A16" s="10" t="s">
        <v>120</v>
      </c>
      <c r="B16" s="7">
        <f>1796+190+45+255</f>
        <v>2286</v>
      </c>
      <c r="C16" s="7">
        <v>4500</v>
      </c>
      <c r="D16" s="8">
        <f t="shared" si="0"/>
        <v>10287000</v>
      </c>
    </row>
    <row r="17" spans="1:4" ht="18" hidden="1" x14ac:dyDescent="0.35">
      <c r="A17" s="6" t="s">
        <v>59</v>
      </c>
      <c r="B17" s="7"/>
      <c r="C17" s="7"/>
      <c r="D17" s="8">
        <f t="shared" si="0"/>
        <v>0</v>
      </c>
    </row>
    <row r="18" spans="1:4" ht="18" hidden="1" x14ac:dyDescent="0.35">
      <c r="A18" s="6" t="s">
        <v>60</v>
      </c>
      <c r="B18" s="7"/>
      <c r="C18" s="7"/>
      <c r="D18" s="8">
        <f t="shared" si="0"/>
        <v>0</v>
      </c>
    </row>
    <row r="19" spans="1:4" ht="18" hidden="1" x14ac:dyDescent="0.35">
      <c r="A19" s="10" t="s">
        <v>262</v>
      </c>
      <c r="B19" s="7"/>
      <c r="C19" s="7"/>
      <c r="D19" s="8">
        <f t="shared" si="0"/>
        <v>0</v>
      </c>
    </row>
    <row r="20" spans="1:4" ht="18" x14ac:dyDescent="0.3">
      <c r="A20" s="10" t="s">
        <v>263</v>
      </c>
      <c r="B20" s="7">
        <f>65+58</f>
        <v>123</v>
      </c>
      <c r="C20" s="7">
        <v>7000</v>
      </c>
      <c r="D20" s="8">
        <f t="shared" si="0"/>
        <v>861000</v>
      </c>
    </row>
    <row r="21" spans="1:4" ht="18" hidden="1" x14ac:dyDescent="0.35">
      <c r="A21" s="10" t="s">
        <v>264</v>
      </c>
      <c r="B21" s="7"/>
      <c r="C21" s="7"/>
      <c r="D21" s="8">
        <f t="shared" si="0"/>
        <v>0</v>
      </c>
    </row>
    <row r="22" spans="1:4" ht="18" hidden="1" x14ac:dyDescent="0.35">
      <c r="A22" s="10" t="s">
        <v>265</v>
      </c>
      <c r="B22" s="7"/>
      <c r="C22" s="7"/>
      <c r="D22" s="8">
        <f t="shared" si="0"/>
        <v>0</v>
      </c>
    </row>
    <row r="23" spans="1:4" ht="18" hidden="1" x14ac:dyDescent="0.35">
      <c r="A23" s="10" t="s">
        <v>63</v>
      </c>
      <c r="B23" s="7"/>
      <c r="C23" s="7"/>
      <c r="D23" s="8">
        <f t="shared" si="0"/>
        <v>0</v>
      </c>
    </row>
    <row r="24" spans="1:4" ht="18" hidden="1" x14ac:dyDescent="0.35">
      <c r="A24" s="6" t="s">
        <v>64</v>
      </c>
      <c r="B24" s="7"/>
      <c r="C24" s="7"/>
      <c r="D24" s="8">
        <f t="shared" si="0"/>
        <v>0</v>
      </c>
    </row>
    <row r="25" spans="1:4" ht="18" hidden="1" x14ac:dyDescent="0.35">
      <c r="A25" s="6" t="s">
        <v>65</v>
      </c>
      <c r="B25" s="7"/>
      <c r="C25" s="7"/>
      <c r="D25" s="8">
        <f t="shared" si="0"/>
        <v>0</v>
      </c>
    </row>
    <row r="26" spans="1:4" ht="18" hidden="1" x14ac:dyDescent="0.35">
      <c r="A26" s="10" t="s">
        <v>222</v>
      </c>
      <c r="B26" s="7"/>
      <c r="C26" s="7"/>
      <c r="D26" s="8">
        <f t="shared" si="0"/>
        <v>0</v>
      </c>
    </row>
    <row r="27" spans="1:4" ht="18" hidden="1" x14ac:dyDescent="0.35">
      <c r="A27" s="10" t="s">
        <v>223</v>
      </c>
      <c r="B27" s="7"/>
      <c r="C27" s="7"/>
      <c r="D27" s="8">
        <f t="shared" si="0"/>
        <v>0</v>
      </c>
    </row>
    <row r="28" spans="1:4" ht="18" hidden="1" x14ac:dyDescent="0.35">
      <c r="A28" s="11" t="s">
        <v>224</v>
      </c>
      <c r="B28" s="12"/>
      <c r="C28" s="12"/>
      <c r="D28" s="8">
        <f t="shared" si="0"/>
        <v>0</v>
      </c>
    </row>
    <row r="29" spans="1:4" ht="18" hidden="1" x14ac:dyDescent="0.35">
      <c r="A29" s="11" t="s">
        <v>225</v>
      </c>
      <c r="B29" s="7"/>
      <c r="C29" s="7"/>
      <c r="D29" s="8">
        <f t="shared" si="0"/>
        <v>0</v>
      </c>
    </row>
    <row r="30" spans="1:4" ht="18" hidden="1" x14ac:dyDescent="0.35">
      <c r="A30" s="11" t="s">
        <v>226</v>
      </c>
      <c r="B30" s="12"/>
      <c r="C30" s="12"/>
      <c r="D30" s="8">
        <f t="shared" si="0"/>
        <v>0</v>
      </c>
    </row>
    <row r="31" spans="1:4" ht="18" hidden="1" x14ac:dyDescent="0.35">
      <c r="A31" s="10" t="s">
        <v>121</v>
      </c>
      <c r="B31" s="7"/>
      <c r="C31" s="7"/>
      <c r="D31" s="8">
        <f t="shared" si="0"/>
        <v>0</v>
      </c>
    </row>
    <row r="32" spans="1:4" ht="18" hidden="1" x14ac:dyDescent="0.35">
      <c r="A32" s="10" t="s">
        <v>145</v>
      </c>
      <c r="B32" s="7"/>
      <c r="C32" s="7"/>
      <c r="D32" s="8">
        <f t="shared" si="0"/>
        <v>0</v>
      </c>
    </row>
    <row r="33" spans="1:4" ht="18" hidden="1" x14ac:dyDescent="0.35">
      <c r="A33" s="14" t="s">
        <v>97</v>
      </c>
      <c r="B33" s="7"/>
      <c r="C33" s="7"/>
      <c r="D33" s="8">
        <f t="shared" si="0"/>
        <v>0</v>
      </c>
    </row>
    <row r="34" spans="1:4" ht="18" hidden="1" x14ac:dyDescent="0.35">
      <c r="A34" s="10" t="s">
        <v>98</v>
      </c>
      <c r="B34" s="7"/>
      <c r="C34" s="7"/>
      <c r="D34" s="8">
        <f t="shared" si="0"/>
        <v>0</v>
      </c>
    </row>
    <row r="35" spans="1:4" ht="18" hidden="1" x14ac:dyDescent="0.35">
      <c r="A35" s="10" t="s">
        <v>99</v>
      </c>
      <c r="B35" s="7"/>
      <c r="C35" s="7"/>
      <c r="D35" s="8">
        <f t="shared" si="0"/>
        <v>0</v>
      </c>
    </row>
    <row r="36" spans="1:4" ht="18" hidden="1" x14ac:dyDescent="0.35">
      <c r="A36" s="10" t="s">
        <v>266</v>
      </c>
      <c r="B36" s="7"/>
      <c r="C36" s="7"/>
      <c r="D36" s="8">
        <f t="shared" si="0"/>
        <v>0</v>
      </c>
    </row>
    <row r="37" spans="1:4" ht="18" hidden="1" x14ac:dyDescent="0.35">
      <c r="A37" s="10" t="s">
        <v>267</v>
      </c>
      <c r="B37" s="7"/>
      <c r="C37" s="7"/>
      <c r="D37" s="8">
        <f t="shared" si="0"/>
        <v>0</v>
      </c>
    </row>
    <row r="38" spans="1:4" ht="18" hidden="1" x14ac:dyDescent="0.35">
      <c r="A38" s="22" t="s">
        <v>268</v>
      </c>
      <c r="B38" s="7"/>
      <c r="C38" s="7"/>
      <c r="D38" s="8">
        <f t="shared" si="0"/>
        <v>0</v>
      </c>
    </row>
    <row r="39" spans="1:4" ht="18" hidden="1" x14ac:dyDescent="0.35">
      <c r="A39" s="11" t="s">
        <v>122</v>
      </c>
      <c r="B39" s="7"/>
      <c r="C39" s="7"/>
      <c r="D39" s="8">
        <f t="shared" si="0"/>
        <v>0</v>
      </c>
    </row>
    <row r="40" spans="1:4" ht="18" hidden="1" x14ac:dyDescent="0.35">
      <c r="A40" s="22" t="s">
        <v>123</v>
      </c>
      <c r="B40" s="7"/>
      <c r="C40" s="7"/>
      <c r="D40" s="8">
        <f t="shared" si="0"/>
        <v>0</v>
      </c>
    </row>
    <row r="41" spans="1:4" ht="18" hidden="1" x14ac:dyDescent="0.35">
      <c r="A41" s="10" t="s">
        <v>269</v>
      </c>
      <c r="B41" s="7"/>
      <c r="C41" s="7"/>
      <c r="D41" s="8">
        <f t="shared" si="0"/>
        <v>0</v>
      </c>
    </row>
    <row r="42" spans="1:4" ht="18" hidden="1" x14ac:dyDescent="0.35">
      <c r="A42" s="10" t="s">
        <v>270</v>
      </c>
      <c r="B42" s="7"/>
      <c r="C42" s="7"/>
      <c r="D42" s="8">
        <f t="shared" si="0"/>
        <v>0</v>
      </c>
    </row>
    <row r="43" spans="1:4" ht="18" x14ac:dyDescent="0.3">
      <c r="A43" s="6" t="s">
        <v>113</v>
      </c>
      <c r="B43" s="7">
        <f>20+30+400+35</f>
        <v>485</v>
      </c>
      <c r="C43" s="7">
        <v>14000</v>
      </c>
      <c r="D43" s="8">
        <f t="shared" si="0"/>
        <v>6790000</v>
      </c>
    </row>
    <row r="44" spans="1:4" ht="18" hidden="1" x14ac:dyDescent="0.35">
      <c r="A44" s="10" t="s">
        <v>147</v>
      </c>
      <c r="B44" s="7"/>
      <c r="C44" s="7"/>
      <c r="D44" s="8">
        <f t="shared" si="0"/>
        <v>0</v>
      </c>
    </row>
    <row r="45" spans="1:4" ht="18" hidden="1" x14ac:dyDescent="0.35">
      <c r="A45" s="34" t="s">
        <v>148</v>
      </c>
      <c r="B45" s="7"/>
      <c r="C45" s="7"/>
      <c r="D45" s="8">
        <f t="shared" si="0"/>
        <v>0</v>
      </c>
    </row>
    <row r="46" spans="1:4" ht="18" hidden="1" x14ac:dyDescent="0.35">
      <c r="A46" s="14" t="s">
        <v>149</v>
      </c>
      <c r="B46" s="7"/>
      <c r="C46" s="7"/>
      <c r="D46" s="8">
        <f t="shared" si="0"/>
        <v>0</v>
      </c>
    </row>
    <row r="47" spans="1:4" ht="18" hidden="1" x14ac:dyDescent="0.35">
      <c r="A47" s="10" t="s">
        <v>150</v>
      </c>
      <c r="B47" s="7"/>
      <c r="C47" s="7"/>
      <c r="D47" s="8">
        <f t="shared" si="0"/>
        <v>0</v>
      </c>
    </row>
    <row r="48" spans="1:4" ht="18" hidden="1" x14ac:dyDescent="0.35">
      <c r="A48" s="11" t="s">
        <v>151</v>
      </c>
      <c r="B48" s="7"/>
      <c r="C48" s="7"/>
      <c r="D48" s="8">
        <f t="shared" si="0"/>
        <v>0</v>
      </c>
    </row>
    <row r="49" spans="1:4" ht="18" hidden="1" x14ac:dyDescent="0.35">
      <c r="A49" s="10" t="s">
        <v>152</v>
      </c>
      <c r="B49" s="7"/>
      <c r="C49" s="7"/>
      <c r="D49" s="8">
        <f t="shared" si="0"/>
        <v>0</v>
      </c>
    </row>
    <row r="50" spans="1:4" ht="18" hidden="1" x14ac:dyDescent="0.35">
      <c r="A50" s="10" t="s">
        <v>153</v>
      </c>
      <c r="B50" s="7"/>
      <c r="C50" s="7"/>
      <c r="D50" s="8">
        <f t="shared" si="0"/>
        <v>0</v>
      </c>
    </row>
    <row r="51" spans="1:4" ht="18" hidden="1" x14ac:dyDescent="0.35">
      <c r="A51" s="14" t="s">
        <v>75</v>
      </c>
      <c r="B51" s="7"/>
      <c r="C51" s="7"/>
      <c r="D51" s="8">
        <f t="shared" si="0"/>
        <v>0</v>
      </c>
    </row>
    <row r="52" spans="1:4" ht="18" hidden="1" x14ac:dyDescent="0.35">
      <c r="A52" s="10" t="s">
        <v>114</v>
      </c>
      <c r="B52" s="7"/>
      <c r="C52" s="7"/>
      <c r="D52" s="8">
        <f t="shared" si="0"/>
        <v>0</v>
      </c>
    </row>
    <row r="53" spans="1:4" ht="18" hidden="1" x14ac:dyDescent="0.35">
      <c r="A53" s="10" t="s">
        <v>154</v>
      </c>
      <c r="B53" s="7"/>
      <c r="C53" s="7"/>
      <c r="D53" s="8">
        <f t="shared" si="0"/>
        <v>0</v>
      </c>
    </row>
    <row r="54" spans="1:4" ht="18" hidden="1" x14ac:dyDescent="0.35">
      <c r="A54" s="10" t="s">
        <v>155</v>
      </c>
      <c r="B54" s="7"/>
      <c r="C54" s="7"/>
      <c r="D54" s="8">
        <f t="shared" si="0"/>
        <v>0</v>
      </c>
    </row>
    <row r="55" spans="1:4" ht="18" hidden="1" x14ac:dyDescent="0.35">
      <c r="A55" s="9" t="s">
        <v>156</v>
      </c>
      <c r="B55" s="7"/>
      <c r="C55" s="7"/>
      <c r="D55" s="8">
        <f t="shared" si="0"/>
        <v>0</v>
      </c>
    </row>
    <row r="56" spans="1:4" ht="18" hidden="1" x14ac:dyDescent="0.35">
      <c r="A56" s="6" t="s">
        <v>283</v>
      </c>
      <c r="B56" s="7"/>
      <c r="C56" s="7"/>
      <c r="D56" s="8">
        <f t="shared" si="0"/>
        <v>0</v>
      </c>
    </row>
    <row r="57" spans="1:4" ht="18" hidden="1" x14ac:dyDescent="0.35">
      <c r="A57" s="6" t="s">
        <v>2</v>
      </c>
      <c r="B57" s="7"/>
      <c r="C57" s="7"/>
      <c r="D57" s="8">
        <f t="shared" si="0"/>
        <v>0</v>
      </c>
    </row>
    <row r="58" spans="1:4" ht="18" hidden="1" x14ac:dyDescent="0.35">
      <c r="A58" s="35" t="s">
        <v>3</v>
      </c>
      <c r="B58" s="7"/>
      <c r="C58" s="7"/>
      <c r="D58" s="8">
        <f t="shared" si="0"/>
        <v>0</v>
      </c>
    </row>
    <row r="59" spans="1:4" ht="18" hidden="1" x14ac:dyDescent="0.35">
      <c r="A59" s="10" t="s">
        <v>4</v>
      </c>
      <c r="B59" s="7"/>
      <c r="C59" s="7"/>
      <c r="D59" s="8">
        <f t="shared" si="0"/>
        <v>0</v>
      </c>
    </row>
    <row r="60" spans="1:4" ht="18" hidden="1" x14ac:dyDescent="0.35">
      <c r="A60" s="6" t="s">
        <v>5</v>
      </c>
      <c r="B60" s="7"/>
      <c r="C60" s="7"/>
      <c r="D60" s="8">
        <f t="shared" si="0"/>
        <v>0</v>
      </c>
    </row>
    <row r="61" spans="1:4" ht="18" hidden="1" x14ac:dyDescent="0.35">
      <c r="A61" s="6" t="s">
        <v>6</v>
      </c>
      <c r="B61" s="7"/>
      <c r="C61" s="7"/>
      <c r="D61" s="8">
        <f t="shared" si="0"/>
        <v>0</v>
      </c>
    </row>
    <row r="62" spans="1:4" ht="18" hidden="1" x14ac:dyDescent="0.35">
      <c r="A62" s="11" t="s">
        <v>7</v>
      </c>
      <c r="B62" s="7"/>
      <c r="C62" s="7"/>
      <c r="D62" s="8">
        <f t="shared" si="0"/>
        <v>0</v>
      </c>
    </row>
    <row r="63" spans="1:4" ht="18" hidden="1" x14ac:dyDescent="0.35">
      <c r="A63" s="6" t="s">
        <v>8</v>
      </c>
      <c r="B63" s="7"/>
      <c r="C63" s="7"/>
      <c r="D63" s="8">
        <f t="shared" si="0"/>
        <v>0</v>
      </c>
    </row>
    <row r="64" spans="1:4" ht="18" hidden="1" x14ac:dyDescent="0.35">
      <c r="A64" s="10" t="s">
        <v>115</v>
      </c>
      <c r="B64" s="7"/>
      <c r="C64" s="7"/>
      <c r="D64" s="8">
        <f t="shared" si="0"/>
        <v>0</v>
      </c>
    </row>
    <row r="65" spans="1:4" ht="18" hidden="1" x14ac:dyDescent="0.35">
      <c r="A65" s="6" t="s">
        <v>116</v>
      </c>
      <c r="B65" s="7"/>
      <c r="C65" s="7"/>
      <c r="D65" s="8">
        <f t="shared" si="0"/>
        <v>0</v>
      </c>
    </row>
    <row r="66" spans="1:4" ht="18" x14ac:dyDescent="0.3">
      <c r="A66" s="10" t="s">
        <v>163</v>
      </c>
      <c r="B66" s="7">
        <v>157</v>
      </c>
      <c r="C66" s="7">
        <v>19000</v>
      </c>
      <c r="D66" s="8">
        <f t="shared" si="0"/>
        <v>2983000</v>
      </c>
    </row>
    <row r="67" spans="1:4" ht="18" hidden="1" x14ac:dyDescent="0.35">
      <c r="A67" s="22" t="s">
        <v>164</v>
      </c>
      <c r="B67" s="7"/>
      <c r="C67" s="7"/>
      <c r="D67" s="8">
        <f t="shared" si="0"/>
        <v>0</v>
      </c>
    </row>
    <row r="68" spans="1:4" ht="18" hidden="1" x14ac:dyDescent="0.35">
      <c r="A68" s="10" t="s">
        <v>165</v>
      </c>
      <c r="B68" s="7"/>
      <c r="C68" s="7"/>
      <c r="D68" s="8">
        <f t="shared" ref="D68:D131" si="1">B68*C68</f>
        <v>0</v>
      </c>
    </row>
    <row r="69" spans="1:4" ht="18" x14ac:dyDescent="0.3">
      <c r="A69" s="10" t="s">
        <v>166</v>
      </c>
      <c r="B69" s="7">
        <v>10</v>
      </c>
      <c r="C69" s="7">
        <v>17000</v>
      </c>
      <c r="D69" s="8">
        <f t="shared" si="1"/>
        <v>170000</v>
      </c>
    </row>
    <row r="70" spans="1:4" ht="18" hidden="1" x14ac:dyDescent="0.35">
      <c r="A70" s="10" t="s">
        <v>167</v>
      </c>
      <c r="B70" s="7"/>
      <c r="C70" s="7"/>
      <c r="D70" s="8">
        <f t="shared" si="1"/>
        <v>0</v>
      </c>
    </row>
    <row r="71" spans="1:4" ht="18" hidden="1" x14ac:dyDescent="0.35">
      <c r="A71" s="6" t="s">
        <v>9</v>
      </c>
      <c r="B71" s="12"/>
      <c r="C71" s="12"/>
      <c r="D71" s="8">
        <f t="shared" si="1"/>
        <v>0</v>
      </c>
    </row>
    <row r="72" spans="1:4" ht="18" hidden="1" x14ac:dyDescent="0.35">
      <c r="A72" s="6" t="s">
        <v>10</v>
      </c>
      <c r="B72" s="12"/>
      <c r="C72" s="12"/>
      <c r="D72" s="8">
        <f t="shared" si="1"/>
        <v>0</v>
      </c>
    </row>
    <row r="73" spans="1:4" ht="18" hidden="1" x14ac:dyDescent="0.35">
      <c r="A73" s="10" t="s">
        <v>81</v>
      </c>
      <c r="B73" s="7"/>
      <c r="C73" s="7"/>
      <c r="D73" s="8">
        <f t="shared" si="1"/>
        <v>0</v>
      </c>
    </row>
    <row r="74" spans="1:4" ht="18" hidden="1" x14ac:dyDescent="0.35">
      <c r="A74" s="10" t="s">
        <v>82</v>
      </c>
      <c r="B74" s="7"/>
      <c r="C74" s="7"/>
      <c r="D74" s="8">
        <f t="shared" si="1"/>
        <v>0</v>
      </c>
    </row>
    <row r="75" spans="1:4" ht="18" hidden="1" x14ac:dyDescent="0.35">
      <c r="A75" s="10" t="s">
        <v>83</v>
      </c>
      <c r="B75" s="7"/>
      <c r="C75" s="7"/>
      <c r="D75" s="8">
        <f t="shared" si="1"/>
        <v>0</v>
      </c>
    </row>
    <row r="76" spans="1:4" ht="18" hidden="1" x14ac:dyDescent="0.35">
      <c r="A76" s="10" t="s">
        <v>84</v>
      </c>
      <c r="B76" s="7"/>
      <c r="C76" s="7"/>
      <c r="D76" s="8">
        <f t="shared" si="1"/>
        <v>0</v>
      </c>
    </row>
    <row r="77" spans="1:4" ht="18" hidden="1" x14ac:dyDescent="0.35">
      <c r="A77" s="10" t="s">
        <v>85</v>
      </c>
      <c r="B77" s="7"/>
      <c r="C77" s="7"/>
      <c r="D77" s="8">
        <f t="shared" si="1"/>
        <v>0</v>
      </c>
    </row>
    <row r="78" spans="1:4" ht="18" x14ac:dyDescent="0.3">
      <c r="A78" s="10" t="s">
        <v>188</v>
      </c>
      <c r="B78" s="7">
        <v>3</v>
      </c>
      <c r="C78" s="7">
        <v>6000</v>
      </c>
      <c r="D78" s="8">
        <f t="shared" si="1"/>
        <v>18000</v>
      </c>
    </row>
    <row r="79" spans="1:4" ht="18" hidden="1" x14ac:dyDescent="0.35">
      <c r="A79" s="13" t="s">
        <v>189</v>
      </c>
      <c r="B79" s="7"/>
      <c r="C79" s="7"/>
      <c r="D79" s="8">
        <f t="shared" si="1"/>
        <v>0</v>
      </c>
    </row>
    <row r="80" spans="1:4" ht="18" hidden="1" x14ac:dyDescent="0.35">
      <c r="A80" s="13" t="s">
        <v>172</v>
      </c>
      <c r="B80" s="7"/>
      <c r="C80" s="7"/>
      <c r="D80" s="8">
        <f t="shared" si="1"/>
        <v>0</v>
      </c>
    </row>
    <row r="81" spans="1:4" ht="18" hidden="1" x14ac:dyDescent="0.35">
      <c r="A81" s="13" t="s">
        <v>173</v>
      </c>
      <c r="B81" s="7"/>
      <c r="C81" s="7"/>
      <c r="D81" s="8">
        <f t="shared" si="1"/>
        <v>0</v>
      </c>
    </row>
    <row r="82" spans="1:4" ht="18" hidden="1" x14ac:dyDescent="0.35">
      <c r="A82" s="11" t="s">
        <v>174</v>
      </c>
      <c r="B82" s="7"/>
      <c r="C82" s="7"/>
      <c r="D82" s="8">
        <f t="shared" si="1"/>
        <v>0</v>
      </c>
    </row>
    <row r="83" spans="1:4" ht="18" hidden="1" x14ac:dyDescent="0.35">
      <c r="A83" s="22" t="s">
        <v>168</v>
      </c>
      <c r="B83" s="7"/>
      <c r="C83" s="7"/>
      <c r="D83" s="8">
        <f t="shared" si="1"/>
        <v>0</v>
      </c>
    </row>
    <row r="84" spans="1:4" ht="18" hidden="1" x14ac:dyDescent="0.35">
      <c r="A84" s="11" t="s">
        <v>200</v>
      </c>
      <c r="B84" s="7"/>
      <c r="C84" s="7"/>
      <c r="D84" s="8">
        <f t="shared" si="1"/>
        <v>0</v>
      </c>
    </row>
    <row r="85" spans="1:4" ht="18" hidden="1" x14ac:dyDescent="0.35">
      <c r="A85" s="10" t="s">
        <v>11</v>
      </c>
      <c r="B85" s="7"/>
      <c r="C85" s="7"/>
      <c r="D85" s="8">
        <f t="shared" si="1"/>
        <v>0</v>
      </c>
    </row>
    <row r="86" spans="1:4" ht="18" hidden="1" x14ac:dyDescent="0.35">
      <c r="A86" s="10" t="s">
        <v>12</v>
      </c>
      <c r="B86" s="7"/>
      <c r="C86" s="7"/>
      <c r="D86" s="8">
        <f t="shared" si="1"/>
        <v>0</v>
      </c>
    </row>
    <row r="87" spans="1:4" ht="18" hidden="1" x14ac:dyDescent="0.35">
      <c r="A87" s="11" t="s">
        <v>201</v>
      </c>
      <c r="B87" s="7"/>
      <c r="C87" s="7"/>
      <c r="D87" s="8">
        <f t="shared" si="1"/>
        <v>0</v>
      </c>
    </row>
    <row r="88" spans="1:4" ht="18" hidden="1" x14ac:dyDescent="0.35">
      <c r="A88" s="11" t="s">
        <v>202</v>
      </c>
      <c r="B88" s="7"/>
      <c r="C88" s="7"/>
      <c r="D88" s="8">
        <f t="shared" si="1"/>
        <v>0</v>
      </c>
    </row>
    <row r="89" spans="1:4" ht="18" hidden="1" x14ac:dyDescent="0.35">
      <c r="A89" s="10" t="s">
        <v>13</v>
      </c>
      <c r="B89" s="12"/>
      <c r="C89" s="12"/>
      <c r="D89" s="8">
        <f t="shared" si="1"/>
        <v>0</v>
      </c>
    </row>
    <row r="90" spans="1:4" ht="18" hidden="1" x14ac:dyDescent="0.35">
      <c r="A90" s="13" t="s">
        <v>14</v>
      </c>
      <c r="B90" s="7"/>
      <c r="C90" s="7"/>
      <c r="D90" s="8">
        <f t="shared" si="1"/>
        <v>0</v>
      </c>
    </row>
    <row r="91" spans="1:4" ht="18" hidden="1" x14ac:dyDescent="0.35">
      <c r="A91" s="11" t="s">
        <v>203</v>
      </c>
      <c r="B91" s="7"/>
      <c r="C91" s="7"/>
      <c r="D91" s="8">
        <f t="shared" si="1"/>
        <v>0</v>
      </c>
    </row>
    <row r="92" spans="1:4" ht="18" hidden="1" x14ac:dyDescent="0.35">
      <c r="A92" s="10" t="s">
        <v>45</v>
      </c>
      <c r="B92" s="7"/>
      <c r="C92" s="7"/>
      <c r="D92" s="8">
        <f t="shared" si="1"/>
        <v>0</v>
      </c>
    </row>
    <row r="93" spans="1:4" ht="18" hidden="1" x14ac:dyDescent="0.35">
      <c r="A93" s="10" t="s">
        <v>46</v>
      </c>
      <c r="B93" s="7"/>
      <c r="C93" s="7"/>
      <c r="D93" s="8">
        <f t="shared" si="1"/>
        <v>0</v>
      </c>
    </row>
    <row r="94" spans="1:4" ht="18" hidden="1" x14ac:dyDescent="0.35">
      <c r="A94" s="14" t="s">
        <v>47</v>
      </c>
      <c r="B94" s="7"/>
      <c r="C94" s="7"/>
      <c r="D94" s="8">
        <f t="shared" si="1"/>
        <v>0</v>
      </c>
    </row>
    <row r="95" spans="1:4" ht="18" hidden="1" x14ac:dyDescent="0.35">
      <c r="A95" s="10" t="s">
        <v>186</v>
      </c>
      <c r="B95" s="7"/>
      <c r="C95" s="7"/>
      <c r="D95" s="8">
        <f t="shared" si="1"/>
        <v>0</v>
      </c>
    </row>
    <row r="96" spans="1:4" ht="18" hidden="1" x14ac:dyDescent="0.35">
      <c r="A96" s="26" t="s">
        <v>187</v>
      </c>
      <c r="B96" s="7"/>
      <c r="C96" s="7"/>
      <c r="D96" s="8">
        <f t="shared" si="1"/>
        <v>0</v>
      </c>
    </row>
    <row r="97" spans="1:4" ht="18" hidden="1" x14ac:dyDescent="0.35">
      <c r="A97" s="26" t="s">
        <v>48</v>
      </c>
      <c r="B97" s="7"/>
      <c r="C97" s="7"/>
      <c r="D97" s="8">
        <f t="shared" si="1"/>
        <v>0</v>
      </c>
    </row>
    <row r="98" spans="1:4" ht="18" hidden="1" x14ac:dyDescent="0.35">
      <c r="A98" s="26" t="s">
        <v>17</v>
      </c>
      <c r="B98" s="7"/>
      <c r="C98" s="7"/>
      <c r="D98" s="8">
        <f t="shared" si="1"/>
        <v>0</v>
      </c>
    </row>
    <row r="99" spans="1:4" ht="18" hidden="1" x14ac:dyDescent="0.35">
      <c r="A99" s="10" t="s">
        <v>18</v>
      </c>
      <c r="B99" s="7"/>
      <c r="C99" s="7"/>
      <c r="D99" s="8">
        <f t="shared" si="1"/>
        <v>0</v>
      </c>
    </row>
    <row r="100" spans="1:4" ht="18" hidden="1" x14ac:dyDescent="0.35">
      <c r="A100" s="10" t="s">
        <v>19</v>
      </c>
      <c r="B100" s="7"/>
      <c r="C100" s="7"/>
      <c r="D100" s="8">
        <f t="shared" si="1"/>
        <v>0</v>
      </c>
    </row>
    <row r="101" spans="1:4" ht="18" hidden="1" x14ac:dyDescent="0.35">
      <c r="A101" s="10" t="s">
        <v>204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205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206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207</v>
      </c>
      <c r="B104" s="7"/>
      <c r="C104" s="7"/>
      <c r="D104" s="8">
        <f t="shared" si="1"/>
        <v>0</v>
      </c>
    </row>
    <row r="105" spans="1:4" ht="18" hidden="1" x14ac:dyDescent="0.35">
      <c r="A105" s="11" t="s">
        <v>15</v>
      </c>
      <c r="B105" s="7"/>
      <c r="C105" s="7"/>
      <c r="D105" s="8">
        <f t="shared" si="1"/>
        <v>0</v>
      </c>
    </row>
    <row r="106" spans="1:4" ht="18" hidden="1" x14ac:dyDescent="0.35">
      <c r="A106" s="13" t="s">
        <v>16</v>
      </c>
      <c r="B106" s="7"/>
      <c r="C106" s="7"/>
      <c r="D106" s="8">
        <f t="shared" si="1"/>
        <v>0</v>
      </c>
    </row>
    <row r="107" spans="1:4" ht="18" hidden="1" x14ac:dyDescent="0.35">
      <c r="A107" s="10" t="s">
        <v>96</v>
      </c>
      <c r="B107" s="7"/>
      <c r="C107" s="7"/>
      <c r="D107" s="8">
        <f t="shared" si="1"/>
        <v>0</v>
      </c>
    </row>
    <row r="108" spans="1:4" ht="18" hidden="1" x14ac:dyDescent="0.35">
      <c r="A108" s="28" t="s">
        <v>124</v>
      </c>
      <c r="B108" s="7"/>
      <c r="C108" s="7"/>
      <c r="D108" s="8">
        <f t="shared" si="1"/>
        <v>0</v>
      </c>
    </row>
    <row r="109" spans="1:4" ht="18" hidden="1" x14ac:dyDescent="0.35">
      <c r="A109" s="22" t="s">
        <v>125</v>
      </c>
      <c r="B109" s="7"/>
      <c r="C109" s="7"/>
      <c r="D109" s="8">
        <f t="shared" si="1"/>
        <v>0</v>
      </c>
    </row>
    <row r="110" spans="1:4" ht="18" hidden="1" x14ac:dyDescent="0.35">
      <c r="A110" s="6" t="s">
        <v>126</v>
      </c>
      <c r="B110" s="12"/>
      <c r="C110" s="12"/>
      <c r="D110" s="8">
        <f t="shared" si="1"/>
        <v>0</v>
      </c>
    </row>
    <row r="111" spans="1:4" ht="18" hidden="1" x14ac:dyDescent="0.35">
      <c r="A111" s="6" t="s">
        <v>127</v>
      </c>
      <c r="B111" s="12"/>
      <c r="C111" s="12"/>
      <c r="D111" s="8">
        <f t="shared" si="1"/>
        <v>0</v>
      </c>
    </row>
    <row r="112" spans="1:4" ht="18" hidden="1" x14ac:dyDescent="0.35">
      <c r="A112" s="6" t="s">
        <v>128</v>
      </c>
      <c r="B112" s="12"/>
      <c r="C112" s="12"/>
      <c r="D112" s="8">
        <f t="shared" si="1"/>
        <v>0</v>
      </c>
    </row>
    <row r="113" spans="1:4" ht="18" hidden="1" x14ac:dyDescent="0.35">
      <c r="A113" s="6" t="s">
        <v>129</v>
      </c>
      <c r="B113" s="29"/>
      <c r="C113" s="29"/>
      <c r="D113" s="8">
        <f t="shared" si="1"/>
        <v>0</v>
      </c>
    </row>
    <row r="114" spans="1:4" ht="18" hidden="1" x14ac:dyDescent="0.35">
      <c r="A114" s="30" t="s">
        <v>271</v>
      </c>
      <c r="B114" s="7"/>
      <c r="C114" s="7"/>
      <c r="D114" s="8">
        <f t="shared" si="1"/>
        <v>0</v>
      </c>
    </row>
    <row r="115" spans="1:4" ht="18" hidden="1" x14ac:dyDescent="0.35">
      <c r="A115" s="6" t="s">
        <v>272</v>
      </c>
      <c r="B115" s="12"/>
      <c r="C115" s="7"/>
      <c r="D115" s="8">
        <f t="shared" si="1"/>
        <v>0</v>
      </c>
    </row>
    <row r="116" spans="1:4" ht="18" hidden="1" x14ac:dyDescent="0.35">
      <c r="A116" s="10" t="s">
        <v>273</v>
      </c>
      <c r="B116" s="7"/>
      <c r="C116" s="7"/>
      <c r="D116" s="8">
        <f t="shared" si="1"/>
        <v>0</v>
      </c>
    </row>
    <row r="117" spans="1:4" ht="18" hidden="1" x14ac:dyDescent="0.35">
      <c r="A117" s="10" t="s">
        <v>274</v>
      </c>
      <c r="B117" s="7"/>
      <c r="C117" s="7"/>
      <c r="D117" s="8">
        <f t="shared" si="1"/>
        <v>0</v>
      </c>
    </row>
    <row r="118" spans="1:4" ht="18" hidden="1" x14ac:dyDescent="0.35">
      <c r="A118" s="10" t="s">
        <v>33</v>
      </c>
      <c r="B118" s="7"/>
      <c r="C118" s="7"/>
      <c r="D118" s="8">
        <f t="shared" si="1"/>
        <v>0</v>
      </c>
    </row>
    <row r="119" spans="1:4" ht="18" hidden="1" x14ac:dyDescent="0.35">
      <c r="A119" s="14" t="s">
        <v>34</v>
      </c>
      <c r="B119" s="7"/>
      <c r="C119" s="7"/>
      <c r="D119" s="8">
        <f t="shared" si="1"/>
        <v>0</v>
      </c>
    </row>
    <row r="120" spans="1:4" ht="18" hidden="1" x14ac:dyDescent="0.35">
      <c r="A120" s="6" t="s">
        <v>208</v>
      </c>
      <c r="B120" s="7"/>
      <c r="C120" s="7"/>
      <c r="D120" s="8">
        <f t="shared" si="1"/>
        <v>0</v>
      </c>
    </row>
    <row r="121" spans="1:4" ht="18" hidden="1" x14ac:dyDescent="0.35">
      <c r="A121" s="6" t="s">
        <v>209</v>
      </c>
      <c r="B121" s="7"/>
      <c r="C121" s="7"/>
      <c r="D121" s="8">
        <f t="shared" si="1"/>
        <v>0</v>
      </c>
    </row>
    <row r="122" spans="1:4" ht="18" hidden="1" x14ac:dyDescent="0.35">
      <c r="A122" s="10" t="s">
        <v>210</v>
      </c>
      <c r="B122" s="7"/>
      <c r="C122" s="7"/>
      <c r="D122" s="8">
        <f t="shared" si="1"/>
        <v>0</v>
      </c>
    </row>
    <row r="123" spans="1:4" ht="18" hidden="1" x14ac:dyDescent="0.35">
      <c r="A123" s="10" t="s">
        <v>211</v>
      </c>
      <c r="B123" s="7"/>
      <c r="C123" s="7"/>
      <c r="D123" s="8">
        <f t="shared" si="1"/>
        <v>0</v>
      </c>
    </row>
    <row r="124" spans="1:4" ht="18" hidden="1" x14ac:dyDescent="0.35">
      <c r="A124" s="10" t="s">
        <v>284</v>
      </c>
      <c r="B124" s="7"/>
      <c r="C124" s="7"/>
      <c r="D124" s="8">
        <f t="shared" si="1"/>
        <v>0</v>
      </c>
    </row>
    <row r="125" spans="1:4" ht="18" hidden="1" x14ac:dyDescent="0.35">
      <c r="A125" s="10" t="s">
        <v>102</v>
      </c>
      <c r="B125" s="12"/>
      <c r="C125" s="12"/>
      <c r="D125" s="8">
        <f t="shared" si="1"/>
        <v>0</v>
      </c>
    </row>
    <row r="126" spans="1:4" ht="18" hidden="1" x14ac:dyDescent="0.35">
      <c r="A126" s="10" t="s">
        <v>103</v>
      </c>
      <c r="B126" s="12"/>
      <c r="C126" s="12"/>
      <c r="D126" s="8">
        <f t="shared" si="1"/>
        <v>0</v>
      </c>
    </row>
    <row r="127" spans="1:4" ht="18" hidden="1" x14ac:dyDescent="0.35">
      <c r="A127" s="10" t="s">
        <v>104</v>
      </c>
      <c r="B127" s="12"/>
      <c r="C127" s="12"/>
      <c r="D127" s="8">
        <f t="shared" si="1"/>
        <v>0</v>
      </c>
    </row>
    <row r="128" spans="1:4" ht="18" hidden="1" x14ac:dyDescent="0.35">
      <c r="A128" s="10" t="s">
        <v>105</v>
      </c>
      <c r="B128" s="12"/>
      <c r="C128" s="12"/>
      <c r="D128" s="8">
        <f t="shared" si="1"/>
        <v>0</v>
      </c>
    </row>
    <row r="129" spans="1:4" ht="18" hidden="1" x14ac:dyDescent="0.35">
      <c r="A129" s="10" t="s">
        <v>106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107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108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0" t="s">
        <v>109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110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157</v>
      </c>
      <c r="B135" s="7"/>
      <c r="C135" s="7"/>
      <c r="D135" s="8">
        <f t="shared" si="2"/>
        <v>0</v>
      </c>
    </row>
    <row r="136" spans="1:4" ht="18" hidden="1" x14ac:dyDescent="0.35">
      <c r="A136" s="10" t="s">
        <v>158</v>
      </c>
      <c r="B136" s="7"/>
      <c r="C136" s="7"/>
      <c r="D136" s="8">
        <f t="shared" si="2"/>
        <v>0</v>
      </c>
    </row>
    <row r="137" spans="1:4" ht="18" hidden="1" x14ac:dyDescent="0.35">
      <c r="A137" s="10" t="s">
        <v>159</v>
      </c>
      <c r="B137" s="7"/>
      <c r="C137" s="7"/>
      <c r="D137" s="8">
        <f t="shared" si="2"/>
        <v>0</v>
      </c>
    </row>
    <row r="138" spans="1:4" ht="18" hidden="1" x14ac:dyDescent="0.35">
      <c r="A138" s="14" t="s">
        <v>160</v>
      </c>
      <c r="B138" s="7"/>
      <c r="C138" s="7"/>
      <c r="D138" s="8">
        <f t="shared" si="2"/>
        <v>0</v>
      </c>
    </row>
    <row r="139" spans="1:4" ht="18" x14ac:dyDescent="0.3">
      <c r="A139" s="10" t="s">
        <v>161</v>
      </c>
      <c r="B139" s="7">
        <v>49</v>
      </c>
      <c r="C139" s="7">
        <v>7000</v>
      </c>
      <c r="D139" s="8">
        <f t="shared" si="2"/>
        <v>343000</v>
      </c>
    </row>
    <row r="140" spans="1:4" ht="18" x14ac:dyDescent="0.3">
      <c r="A140" s="10" t="s">
        <v>162</v>
      </c>
      <c r="B140" s="7">
        <v>15</v>
      </c>
      <c r="C140" s="7">
        <v>7000</v>
      </c>
      <c r="D140" s="8">
        <f t="shared" si="2"/>
        <v>105000</v>
      </c>
    </row>
    <row r="141" spans="1:4" ht="18" hidden="1" x14ac:dyDescent="0.35">
      <c r="A141" s="10" t="s">
        <v>279</v>
      </c>
      <c r="B141" s="7"/>
      <c r="C141" s="7"/>
      <c r="D141" s="8">
        <f t="shared" si="2"/>
        <v>0</v>
      </c>
    </row>
    <row r="142" spans="1:4" ht="18" hidden="1" x14ac:dyDescent="0.35">
      <c r="A142" s="10" t="s">
        <v>280</v>
      </c>
      <c r="B142" s="7"/>
      <c r="C142" s="7"/>
      <c r="D142" s="8">
        <f t="shared" si="2"/>
        <v>0</v>
      </c>
    </row>
    <row r="143" spans="1:4" ht="18" hidden="1" x14ac:dyDescent="0.35">
      <c r="A143" s="10" t="s">
        <v>281</v>
      </c>
      <c r="B143" s="7"/>
      <c r="C143" s="7"/>
      <c r="D143" s="8">
        <f t="shared" si="2"/>
        <v>0</v>
      </c>
    </row>
    <row r="144" spans="1:4" ht="18" hidden="1" x14ac:dyDescent="0.35">
      <c r="A144" s="10" t="s">
        <v>282</v>
      </c>
      <c r="B144" s="7"/>
      <c r="C144" s="7"/>
      <c r="D144" s="8">
        <f t="shared" si="2"/>
        <v>0</v>
      </c>
    </row>
    <row r="145" spans="1:4" ht="18" hidden="1" x14ac:dyDescent="0.35">
      <c r="A145" s="10" t="s">
        <v>111</v>
      </c>
      <c r="B145" s="12"/>
      <c r="C145" s="12"/>
      <c r="D145" s="8">
        <f t="shared" si="2"/>
        <v>0</v>
      </c>
    </row>
    <row r="146" spans="1:4" ht="18" hidden="1" x14ac:dyDescent="0.35">
      <c r="A146" s="10" t="s">
        <v>112</v>
      </c>
      <c r="B146" s="12"/>
      <c r="C146" s="12"/>
      <c r="D146" s="8">
        <f t="shared" si="2"/>
        <v>0</v>
      </c>
    </row>
    <row r="147" spans="1:4" ht="18" hidden="1" x14ac:dyDescent="0.35">
      <c r="A147" s="10" t="s">
        <v>131</v>
      </c>
      <c r="B147" s="12"/>
      <c r="C147" s="12"/>
      <c r="D147" s="8">
        <f t="shared" si="2"/>
        <v>0</v>
      </c>
    </row>
    <row r="148" spans="1:4" ht="18" x14ac:dyDescent="0.3">
      <c r="A148" s="10" t="s">
        <v>52</v>
      </c>
      <c r="B148" s="7">
        <v>20</v>
      </c>
      <c r="C148" s="7">
        <v>5000</v>
      </c>
      <c r="D148" s="8">
        <f t="shared" si="2"/>
        <v>100000</v>
      </c>
    </row>
    <row r="149" spans="1:4" ht="18" hidden="1" x14ac:dyDescent="0.35">
      <c r="A149" s="14" t="s">
        <v>53</v>
      </c>
      <c r="B149" s="7"/>
      <c r="C149" s="7"/>
      <c r="D149" s="8">
        <f t="shared" si="2"/>
        <v>0</v>
      </c>
    </row>
    <row r="150" spans="1:4" ht="18" hidden="1" x14ac:dyDescent="0.35">
      <c r="A150" s="10" t="s">
        <v>192</v>
      </c>
      <c r="B150" s="7"/>
      <c r="C150" s="7"/>
      <c r="D150" s="8">
        <f t="shared" si="2"/>
        <v>0</v>
      </c>
    </row>
    <row r="151" spans="1:4" ht="18" hidden="1" x14ac:dyDescent="0.35">
      <c r="A151" s="36" t="s">
        <v>193</v>
      </c>
      <c r="B151" s="7"/>
      <c r="C151" s="7"/>
      <c r="D151" s="8">
        <f t="shared" si="2"/>
        <v>0</v>
      </c>
    </row>
    <row r="152" spans="1:4" ht="18" x14ac:dyDescent="0.3">
      <c r="A152" s="10" t="s">
        <v>194</v>
      </c>
      <c r="B152" s="7">
        <f>27+62+57+30</f>
        <v>176</v>
      </c>
      <c r="C152" s="7">
        <v>8000</v>
      </c>
      <c r="D152" s="8">
        <f t="shared" si="2"/>
        <v>1408000</v>
      </c>
    </row>
    <row r="153" spans="1:4" ht="18" hidden="1" x14ac:dyDescent="0.35">
      <c r="A153" s="10" t="s">
        <v>195</v>
      </c>
      <c r="B153" s="7"/>
      <c r="C153" s="7"/>
      <c r="D153" s="8">
        <f t="shared" si="2"/>
        <v>0</v>
      </c>
    </row>
    <row r="154" spans="1:4" ht="18" hidden="1" x14ac:dyDescent="0.35">
      <c r="A154" s="10" t="s">
        <v>196</v>
      </c>
      <c r="B154" s="7"/>
      <c r="C154" s="7"/>
      <c r="D154" s="8">
        <f t="shared" si="2"/>
        <v>0</v>
      </c>
    </row>
    <row r="155" spans="1:4" ht="18" hidden="1" x14ac:dyDescent="0.35">
      <c r="A155" s="9" t="s">
        <v>197</v>
      </c>
      <c r="B155" s="7"/>
      <c r="C155" s="7"/>
      <c r="D155" s="8">
        <f t="shared" si="2"/>
        <v>0</v>
      </c>
    </row>
    <row r="156" spans="1:4" ht="18" hidden="1" x14ac:dyDescent="0.35">
      <c r="A156" s="10" t="s">
        <v>61</v>
      </c>
      <c r="B156" s="7"/>
      <c r="C156" s="7"/>
      <c r="D156" s="8">
        <f t="shared" si="2"/>
        <v>0</v>
      </c>
    </row>
    <row r="157" spans="1:4" ht="18" hidden="1" x14ac:dyDescent="0.35">
      <c r="A157" s="18" t="s">
        <v>62</v>
      </c>
      <c r="B157" s="19"/>
      <c r="C157" s="19"/>
      <c r="D157" s="8">
        <f t="shared" si="2"/>
        <v>0</v>
      </c>
    </row>
    <row r="158" spans="1:4" ht="18" hidden="1" x14ac:dyDescent="0.35">
      <c r="A158" s="10" t="s">
        <v>86</v>
      </c>
      <c r="B158" s="7"/>
      <c r="C158" s="7"/>
      <c r="D158" s="8">
        <f t="shared" si="2"/>
        <v>0</v>
      </c>
    </row>
    <row r="159" spans="1:4" ht="18" hidden="1" x14ac:dyDescent="0.35">
      <c r="A159" s="10" t="s">
        <v>35</v>
      </c>
      <c r="B159" s="7"/>
      <c r="C159" s="7"/>
      <c r="D159" s="8">
        <f t="shared" si="2"/>
        <v>0</v>
      </c>
    </row>
    <row r="160" spans="1:4" ht="18" hidden="1" x14ac:dyDescent="0.35">
      <c r="A160" s="6" t="s">
        <v>234</v>
      </c>
      <c r="B160" s="7"/>
      <c r="C160" s="7"/>
      <c r="D160" s="8">
        <f t="shared" si="2"/>
        <v>0</v>
      </c>
    </row>
    <row r="161" spans="1:4" ht="18" hidden="1" x14ac:dyDescent="0.35">
      <c r="A161" s="10" t="s">
        <v>235</v>
      </c>
      <c r="B161" s="7"/>
      <c r="C161" s="7"/>
      <c r="D161" s="8">
        <f t="shared" si="2"/>
        <v>0</v>
      </c>
    </row>
    <row r="162" spans="1:4" ht="18" hidden="1" x14ac:dyDescent="0.35">
      <c r="A162" s="10" t="s">
        <v>236</v>
      </c>
      <c r="B162" s="7"/>
      <c r="C162" s="7"/>
      <c r="D162" s="8">
        <f t="shared" si="2"/>
        <v>0</v>
      </c>
    </row>
    <row r="163" spans="1:4" ht="18" x14ac:dyDescent="0.3">
      <c r="A163" s="6" t="s">
        <v>175</v>
      </c>
      <c r="B163" s="7">
        <v>110</v>
      </c>
      <c r="C163" s="7">
        <v>11000</v>
      </c>
      <c r="D163" s="8">
        <f t="shared" si="2"/>
        <v>1210000</v>
      </c>
    </row>
    <row r="164" spans="1:4" ht="18" x14ac:dyDescent="0.3">
      <c r="A164" s="6" t="s">
        <v>176</v>
      </c>
      <c r="B164" s="7">
        <f>45+420</f>
        <v>465</v>
      </c>
      <c r="C164" s="7">
        <v>35000</v>
      </c>
      <c r="D164" s="8">
        <f t="shared" si="2"/>
        <v>16275000</v>
      </c>
    </row>
    <row r="165" spans="1:4" ht="18" x14ac:dyDescent="0.3">
      <c r="A165" s="10" t="s">
        <v>177</v>
      </c>
      <c r="B165" s="7">
        <v>85</v>
      </c>
      <c r="C165" s="7">
        <v>9600</v>
      </c>
      <c r="D165" s="8">
        <f t="shared" si="2"/>
        <v>816000</v>
      </c>
    </row>
    <row r="166" spans="1:4" ht="18" x14ac:dyDescent="0.3">
      <c r="A166" s="6" t="s">
        <v>178</v>
      </c>
      <c r="B166" s="7">
        <f>15+570</f>
        <v>585</v>
      </c>
      <c r="C166" s="7">
        <v>32000</v>
      </c>
      <c r="D166" s="8">
        <f t="shared" si="2"/>
        <v>18720000</v>
      </c>
    </row>
    <row r="167" spans="1:4" ht="18" x14ac:dyDescent="0.3">
      <c r="A167" s="6" t="s">
        <v>179</v>
      </c>
      <c r="B167" s="7">
        <v>11</v>
      </c>
      <c r="C167" s="7">
        <v>25000</v>
      </c>
      <c r="D167" s="8">
        <f t="shared" si="2"/>
        <v>275000</v>
      </c>
    </row>
    <row r="168" spans="1:4" ht="18" hidden="1" x14ac:dyDescent="0.35">
      <c r="A168" s="6" t="s">
        <v>180</v>
      </c>
      <c r="B168" s="7"/>
      <c r="C168" s="7"/>
      <c r="D168" s="8">
        <f t="shared" si="2"/>
        <v>0</v>
      </c>
    </row>
    <row r="169" spans="1:4" ht="18" hidden="1" x14ac:dyDescent="0.35">
      <c r="A169" s="10" t="s">
        <v>181</v>
      </c>
      <c r="B169" s="7"/>
      <c r="C169" s="7"/>
      <c r="D169" s="8">
        <f t="shared" si="2"/>
        <v>0</v>
      </c>
    </row>
    <row r="170" spans="1:4" ht="18" hidden="1" x14ac:dyDescent="0.35">
      <c r="A170" s="6" t="s">
        <v>36</v>
      </c>
      <c r="B170" s="7"/>
      <c r="C170" s="7"/>
      <c r="D170" s="8">
        <f t="shared" si="2"/>
        <v>0</v>
      </c>
    </row>
    <row r="171" spans="1:4" ht="18" hidden="1" x14ac:dyDescent="0.35">
      <c r="A171" s="10" t="s">
        <v>54</v>
      </c>
      <c r="B171" s="7"/>
      <c r="C171" s="7"/>
      <c r="D171" s="8">
        <f t="shared" si="2"/>
        <v>0</v>
      </c>
    </row>
    <row r="172" spans="1:4" ht="18" hidden="1" x14ac:dyDescent="0.35">
      <c r="A172" s="17" t="s">
        <v>55</v>
      </c>
      <c r="B172" s="7"/>
      <c r="C172" s="7"/>
      <c r="D172" s="8">
        <f t="shared" si="2"/>
        <v>0</v>
      </c>
    </row>
    <row r="173" spans="1:4" ht="18" hidden="1" x14ac:dyDescent="0.35">
      <c r="A173" s="10" t="s">
        <v>56</v>
      </c>
      <c r="B173" s="7"/>
      <c r="C173" s="7"/>
      <c r="D173" s="8">
        <f t="shared" si="2"/>
        <v>0</v>
      </c>
    </row>
    <row r="174" spans="1:4" ht="18" hidden="1" x14ac:dyDescent="0.35">
      <c r="A174" s="10" t="s">
        <v>66</v>
      </c>
      <c r="B174" s="7"/>
      <c r="C174" s="7"/>
      <c r="D174" s="8">
        <f t="shared" si="2"/>
        <v>0</v>
      </c>
    </row>
    <row r="175" spans="1:4" ht="18" x14ac:dyDescent="0.3">
      <c r="A175" s="6" t="s">
        <v>67</v>
      </c>
      <c r="B175" s="7">
        <f>60+200</f>
        <v>260</v>
      </c>
      <c r="C175" s="7">
        <v>27000</v>
      </c>
      <c r="D175" s="8">
        <f t="shared" si="2"/>
        <v>7020000</v>
      </c>
    </row>
    <row r="176" spans="1:4" ht="18" hidden="1" x14ac:dyDescent="0.35">
      <c r="A176" s="10" t="s">
        <v>68</v>
      </c>
      <c r="B176" s="7"/>
      <c r="C176" s="7"/>
      <c r="D176" s="8">
        <f t="shared" si="2"/>
        <v>0</v>
      </c>
    </row>
    <row r="177" spans="1:4" ht="18" hidden="1" x14ac:dyDescent="0.35">
      <c r="A177" s="10" t="s">
        <v>69</v>
      </c>
      <c r="B177" s="7"/>
      <c r="C177" s="7"/>
      <c r="D177" s="8">
        <f t="shared" si="2"/>
        <v>0</v>
      </c>
    </row>
    <row r="178" spans="1:4" ht="18" x14ac:dyDescent="0.3">
      <c r="A178" s="10" t="s">
        <v>142</v>
      </c>
      <c r="B178" s="7">
        <f>220+120+80</f>
        <v>420</v>
      </c>
      <c r="C178" s="7">
        <v>28500</v>
      </c>
      <c r="D178" s="8">
        <f t="shared" si="2"/>
        <v>11970000</v>
      </c>
    </row>
    <row r="179" spans="1:4" ht="18" x14ac:dyDescent="0.3">
      <c r="A179" s="24" t="s">
        <v>143</v>
      </c>
      <c r="B179" s="7">
        <v>20</v>
      </c>
      <c r="C179" s="7">
        <v>24000</v>
      </c>
      <c r="D179" s="8">
        <f t="shared" si="2"/>
        <v>480000</v>
      </c>
    </row>
    <row r="180" spans="1:4" ht="18" hidden="1" x14ac:dyDescent="0.35">
      <c r="A180" s="24" t="s">
        <v>144</v>
      </c>
      <c r="B180" s="7"/>
      <c r="C180" s="7"/>
      <c r="D180" s="8">
        <f t="shared" si="2"/>
        <v>0</v>
      </c>
    </row>
    <row r="181" spans="1:4" ht="18" x14ac:dyDescent="0.3">
      <c r="A181" s="10" t="s">
        <v>212</v>
      </c>
      <c r="B181" s="7">
        <v>6</v>
      </c>
      <c r="C181" s="7">
        <v>25000</v>
      </c>
      <c r="D181" s="8">
        <f t="shared" si="2"/>
        <v>150000</v>
      </c>
    </row>
    <row r="182" spans="1:4" ht="18" x14ac:dyDescent="0.3">
      <c r="A182" s="11" t="s">
        <v>213</v>
      </c>
      <c r="B182" s="7">
        <v>5</v>
      </c>
      <c r="C182" s="7">
        <v>28000</v>
      </c>
      <c r="D182" s="8">
        <f t="shared" si="2"/>
        <v>140000</v>
      </c>
    </row>
    <row r="183" spans="1:4" ht="18" hidden="1" x14ac:dyDescent="0.35">
      <c r="A183" s="10" t="s">
        <v>214</v>
      </c>
      <c r="B183" s="7"/>
      <c r="C183" s="7"/>
      <c r="D183" s="8">
        <f t="shared" si="2"/>
        <v>0</v>
      </c>
    </row>
    <row r="184" spans="1:4" ht="18" hidden="1" x14ac:dyDescent="0.35">
      <c r="A184" s="11" t="s">
        <v>215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182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183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184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185</v>
      </c>
      <c r="B188" s="7"/>
      <c r="C188" s="7"/>
      <c r="D188" s="8">
        <f t="shared" si="2"/>
        <v>0</v>
      </c>
    </row>
    <row r="189" spans="1:4" ht="18" x14ac:dyDescent="0.3">
      <c r="A189" s="10" t="s">
        <v>38</v>
      </c>
      <c r="B189" s="7">
        <v>6</v>
      </c>
      <c r="C189" s="7">
        <v>27000</v>
      </c>
      <c r="D189" s="8">
        <f t="shared" si="2"/>
        <v>162000</v>
      </c>
    </row>
    <row r="190" spans="1:4" ht="18" hidden="1" x14ac:dyDescent="0.35">
      <c r="A190" s="15" t="s">
        <v>39</v>
      </c>
      <c r="B190" s="7"/>
      <c r="C190" s="7"/>
      <c r="D190" s="8">
        <f t="shared" si="2"/>
        <v>0</v>
      </c>
    </row>
    <row r="191" spans="1:4" ht="18" x14ac:dyDescent="0.3">
      <c r="A191" s="10" t="s">
        <v>40</v>
      </c>
      <c r="B191" s="7">
        <f>50+500+45</f>
        <v>595</v>
      </c>
      <c r="C191" s="7">
        <v>13000</v>
      </c>
      <c r="D191" s="8">
        <f t="shared" si="2"/>
        <v>7735000</v>
      </c>
    </row>
    <row r="192" spans="1:4" ht="18" x14ac:dyDescent="0.3">
      <c r="A192" s="10" t="s">
        <v>41</v>
      </c>
      <c r="B192" s="7">
        <v>300</v>
      </c>
      <c r="C192" s="7">
        <v>22000</v>
      </c>
      <c r="D192" s="8">
        <f t="shared" si="2"/>
        <v>6600000</v>
      </c>
    </row>
    <row r="193" spans="1:4" ht="18" x14ac:dyDescent="0.3">
      <c r="A193" s="10" t="s">
        <v>42</v>
      </c>
      <c r="B193" s="7">
        <v>78</v>
      </c>
      <c r="C193" s="7">
        <v>17000</v>
      </c>
      <c r="D193" s="8">
        <f t="shared" si="2"/>
        <v>1326000</v>
      </c>
    </row>
    <row r="194" spans="1:4" ht="18" hidden="1" x14ac:dyDescent="0.35">
      <c r="A194" s="10" t="s">
        <v>43</v>
      </c>
      <c r="B194" s="7"/>
      <c r="C194" s="7"/>
      <c r="D194" s="8">
        <f t="shared" si="2"/>
        <v>0</v>
      </c>
    </row>
    <row r="195" spans="1:4" ht="18" hidden="1" x14ac:dyDescent="0.35">
      <c r="A195" s="10" t="s">
        <v>44</v>
      </c>
      <c r="B195" s="7"/>
      <c r="C195" s="7"/>
      <c r="D195" s="8">
        <f t="shared" si="2"/>
        <v>0</v>
      </c>
    </row>
    <row r="196" spans="1:4" ht="18" hidden="1" x14ac:dyDescent="0.35">
      <c r="A196" s="14" t="s">
        <v>132</v>
      </c>
      <c r="B196" s="7"/>
      <c r="C196" s="7"/>
      <c r="D196" s="8">
        <f t="shared" ref="D196:D259" si="3">B196*C196</f>
        <v>0</v>
      </c>
    </row>
    <row r="197" spans="1:4" ht="18" x14ac:dyDescent="0.3">
      <c r="A197" s="14" t="s">
        <v>133</v>
      </c>
      <c r="B197" s="7">
        <v>0.8</v>
      </c>
      <c r="C197" s="7">
        <v>60000</v>
      </c>
      <c r="D197" s="8">
        <f t="shared" si="3"/>
        <v>48000</v>
      </c>
    </row>
    <row r="198" spans="1:4" ht="18" hidden="1" x14ac:dyDescent="0.35">
      <c r="A198" s="14" t="s">
        <v>134</v>
      </c>
      <c r="B198" s="7"/>
      <c r="C198" s="7"/>
      <c r="D198" s="8">
        <f t="shared" si="3"/>
        <v>0</v>
      </c>
    </row>
    <row r="199" spans="1:4" ht="18" hidden="1" x14ac:dyDescent="0.35">
      <c r="A199" s="10" t="s">
        <v>135</v>
      </c>
      <c r="B199" s="7"/>
      <c r="C199" s="7"/>
      <c r="D199" s="8">
        <f t="shared" si="3"/>
        <v>0</v>
      </c>
    </row>
    <row r="200" spans="1:4" ht="18" hidden="1" x14ac:dyDescent="0.35">
      <c r="A200" s="14" t="s">
        <v>136</v>
      </c>
      <c r="B200" s="7"/>
      <c r="C200" s="7"/>
      <c r="D200" s="8">
        <f t="shared" si="3"/>
        <v>0</v>
      </c>
    </row>
    <row r="201" spans="1:4" ht="18" hidden="1" x14ac:dyDescent="0.35">
      <c r="A201" s="6" t="s">
        <v>198</v>
      </c>
      <c r="B201" s="7"/>
      <c r="C201" s="7"/>
      <c r="D201" s="8">
        <f t="shared" si="3"/>
        <v>0</v>
      </c>
    </row>
    <row r="202" spans="1:4" ht="18" hidden="1" x14ac:dyDescent="0.35">
      <c r="A202" s="11" t="s">
        <v>285</v>
      </c>
      <c r="B202" s="7"/>
      <c r="C202" s="7"/>
      <c r="D202" s="8">
        <f t="shared" si="3"/>
        <v>0</v>
      </c>
    </row>
    <row r="203" spans="1:4" ht="18" hidden="1" x14ac:dyDescent="0.35">
      <c r="A203" s="11" t="s">
        <v>286</v>
      </c>
      <c r="B203" s="7"/>
      <c r="C203" s="7"/>
      <c r="D203" s="8">
        <f t="shared" si="3"/>
        <v>0</v>
      </c>
    </row>
    <row r="204" spans="1:4" ht="18" hidden="1" x14ac:dyDescent="0.35">
      <c r="A204" s="24" t="s">
        <v>87</v>
      </c>
      <c r="B204" s="7"/>
      <c r="C204" s="7"/>
      <c r="D204" s="8">
        <f t="shared" si="3"/>
        <v>0</v>
      </c>
    </row>
    <row r="205" spans="1:4" ht="18" hidden="1" x14ac:dyDescent="0.35">
      <c r="A205" s="10" t="s">
        <v>57</v>
      </c>
      <c r="B205" s="7"/>
      <c r="C205" s="7"/>
      <c r="D205" s="8">
        <f t="shared" si="3"/>
        <v>0</v>
      </c>
    </row>
    <row r="206" spans="1:4" ht="18" hidden="1" x14ac:dyDescent="0.35">
      <c r="A206" s="10" t="s">
        <v>58</v>
      </c>
      <c r="B206" s="7"/>
      <c r="C206" s="7"/>
      <c r="D206" s="8">
        <f t="shared" si="3"/>
        <v>0</v>
      </c>
    </row>
    <row r="207" spans="1:4" ht="18" hidden="1" x14ac:dyDescent="0.35">
      <c r="A207" s="10" t="s">
        <v>88</v>
      </c>
      <c r="B207" s="7"/>
      <c r="C207" s="7"/>
      <c r="D207" s="8">
        <f t="shared" si="3"/>
        <v>0</v>
      </c>
    </row>
    <row r="208" spans="1:4" ht="18" hidden="1" x14ac:dyDescent="0.35">
      <c r="A208" s="10" t="s">
        <v>89</v>
      </c>
      <c r="B208" s="7"/>
      <c r="C208" s="7"/>
      <c r="D208" s="8">
        <f t="shared" si="3"/>
        <v>0</v>
      </c>
    </row>
    <row r="209" spans="1:4" ht="18" hidden="1" x14ac:dyDescent="0.35">
      <c r="A209" s="10" t="s">
        <v>137</v>
      </c>
      <c r="B209" s="12"/>
      <c r="C209" s="12"/>
      <c r="D209" s="8">
        <f t="shared" si="3"/>
        <v>0</v>
      </c>
    </row>
    <row r="210" spans="1:4" ht="18" x14ac:dyDescent="0.3">
      <c r="A210" s="10" t="s">
        <v>216</v>
      </c>
      <c r="B210" s="7">
        <v>5</v>
      </c>
      <c r="C210" s="7">
        <v>15000</v>
      </c>
      <c r="D210" s="8">
        <f t="shared" si="3"/>
        <v>75000</v>
      </c>
    </row>
    <row r="211" spans="1:4" ht="18" hidden="1" x14ac:dyDescent="0.35">
      <c r="A211" s="11" t="s">
        <v>20</v>
      </c>
      <c r="B211" s="7"/>
      <c r="C211" s="7"/>
      <c r="D211" s="8">
        <f t="shared" si="3"/>
        <v>0</v>
      </c>
    </row>
    <row r="212" spans="1:4" ht="18" x14ac:dyDescent="0.3">
      <c r="A212" s="10" t="s">
        <v>21</v>
      </c>
      <c r="B212" s="7">
        <f>110+20+20+40</f>
        <v>190</v>
      </c>
      <c r="C212" s="7">
        <v>17000</v>
      </c>
      <c r="D212" s="8">
        <f t="shared" si="3"/>
        <v>3230000</v>
      </c>
    </row>
    <row r="213" spans="1:4" ht="18" hidden="1" x14ac:dyDescent="0.35">
      <c r="A213" s="10" t="s">
        <v>22</v>
      </c>
      <c r="B213" s="7"/>
      <c r="C213" s="7"/>
      <c r="D213" s="8">
        <f t="shared" si="3"/>
        <v>0</v>
      </c>
    </row>
    <row r="214" spans="1:4" ht="18" hidden="1" x14ac:dyDescent="0.35">
      <c r="A214" s="10" t="s">
        <v>23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24</v>
      </c>
      <c r="B215" s="7"/>
      <c r="C215" s="7"/>
      <c r="D215" s="8">
        <f t="shared" si="3"/>
        <v>0</v>
      </c>
    </row>
    <row r="216" spans="1:4" ht="18" hidden="1" x14ac:dyDescent="0.35">
      <c r="A216" s="10" t="s">
        <v>25</v>
      </c>
      <c r="B216" s="7"/>
      <c r="C216" s="7"/>
      <c r="D216" s="8">
        <f t="shared" si="3"/>
        <v>0</v>
      </c>
    </row>
    <row r="217" spans="1:4" ht="18" hidden="1" x14ac:dyDescent="0.35">
      <c r="A217" s="14" t="s">
        <v>227</v>
      </c>
      <c r="B217" s="7"/>
      <c r="C217" s="7"/>
      <c r="D217" s="8">
        <f t="shared" si="3"/>
        <v>0</v>
      </c>
    </row>
    <row r="218" spans="1:4" ht="18" hidden="1" x14ac:dyDescent="0.35">
      <c r="A218" s="13" t="s">
        <v>228</v>
      </c>
      <c r="B218" s="7"/>
      <c r="C218" s="7"/>
      <c r="D218" s="8">
        <f t="shared" si="3"/>
        <v>0</v>
      </c>
    </row>
    <row r="219" spans="1:4" ht="18" hidden="1" x14ac:dyDescent="0.35">
      <c r="A219" s="13" t="s">
        <v>229</v>
      </c>
      <c r="B219" s="7"/>
      <c r="C219" s="7"/>
      <c r="D219" s="8">
        <f t="shared" si="3"/>
        <v>0</v>
      </c>
    </row>
    <row r="220" spans="1:4" ht="18" hidden="1" x14ac:dyDescent="0.35">
      <c r="A220" s="10" t="s">
        <v>26</v>
      </c>
      <c r="B220" s="7"/>
      <c r="C220" s="7"/>
      <c r="D220" s="8">
        <f t="shared" si="3"/>
        <v>0</v>
      </c>
    </row>
    <row r="221" spans="1:4" ht="18" hidden="1" x14ac:dyDescent="0.35">
      <c r="A221" s="10" t="s">
        <v>27</v>
      </c>
      <c r="B221" s="7"/>
      <c r="C221" s="7"/>
      <c r="D221" s="8">
        <f t="shared" si="3"/>
        <v>0</v>
      </c>
    </row>
    <row r="222" spans="1:4" ht="18" hidden="1" x14ac:dyDescent="0.35">
      <c r="A222" s="10" t="s">
        <v>28</v>
      </c>
      <c r="B222" s="7"/>
      <c r="C222" s="7"/>
      <c r="D222" s="8">
        <f t="shared" si="3"/>
        <v>0</v>
      </c>
    </row>
    <row r="223" spans="1:4" ht="18" hidden="1" x14ac:dyDescent="0.35">
      <c r="A223" s="10" t="s">
        <v>29</v>
      </c>
      <c r="B223" s="7"/>
      <c r="C223" s="7"/>
      <c r="D223" s="8">
        <f t="shared" si="3"/>
        <v>0</v>
      </c>
    </row>
    <row r="224" spans="1:4" ht="18" x14ac:dyDescent="0.3">
      <c r="A224" s="10" t="s">
        <v>30</v>
      </c>
      <c r="B224" s="7">
        <f>15+5+10</f>
        <v>30</v>
      </c>
      <c r="C224" s="7">
        <v>30000</v>
      </c>
      <c r="D224" s="8">
        <f t="shared" si="3"/>
        <v>900000</v>
      </c>
    </row>
    <row r="225" spans="1:4" ht="18" hidden="1" x14ac:dyDescent="0.35">
      <c r="A225" s="10" t="s">
        <v>31</v>
      </c>
      <c r="B225" s="7"/>
      <c r="C225" s="7"/>
      <c r="D225" s="8">
        <f t="shared" si="3"/>
        <v>0</v>
      </c>
    </row>
    <row r="226" spans="1:4" ht="18" hidden="1" x14ac:dyDescent="0.35">
      <c r="A226" s="10" t="s">
        <v>32</v>
      </c>
      <c r="B226" s="7"/>
      <c r="C226" s="7"/>
      <c r="D226" s="8">
        <f t="shared" si="3"/>
        <v>0</v>
      </c>
    </row>
    <row r="227" spans="1:4" ht="18" hidden="1" x14ac:dyDescent="0.35">
      <c r="A227" s="10" t="s">
        <v>90</v>
      </c>
      <c r="B227" s="12"/>
      <c r="C227" s="7"/>
      <c r="D227" s="8">
        <f t="shared" si="3"/>
        <v>0</v>
      </c>
    </row>
    <row r="228" spans="1:4" ht="18" hidden="1" x14ac:dyDescent="0.35">
      <c r="A228" s="22" t="s">
        <v>91</v>
      </c>
      <c r="B228" s="7"/>
      <c r="C228" s="7"/>
      <c r="D228" s="8">
        <f t="shared" si="3"/>
        <v>0</v>
      </c>
    </row>
    <row r="229" spans="1:4" ht="18" hidden="1" x14ac:dyDescent="0.35">
      <c r="A229" s="10" t="s">
        <v>217</v>
      </c>
      <c r="B229" s="7"/>
      <c r="C229" s="7"/>
      <c r="D229" s="8">
        <f t="shared" si="3"/>
        <v>0</v>
      </c>
    </row>
    <row r="230" spans="1:4" ht="18" hidden="1" x14ac:dyDescent="0.35">
      <c r="A230" s="11" t="s">
        <v>230</v>
      </c>
      <c r="B230" s="7"/>
      <c r="C230" s="7"/>
      <c r="D230" s="8">
        <f t="shared" si="3"/>
        <v>0</v>
      </c>
    </row>
    <row r="231" spans="1:4" ht="18" x14ac:dyDescent="0.3">
      <c r="A231" s="10" t="s">
        <v>231</v>
      </c>
      <c r="B231" s="7">
        <v>26</v>
      </c>
      <c r="C231" s="7">
        <v>17000</v>
      </c>
      <c r="D231" s="8">
        <f t="shared" si="3"/>
        <v>442000</v>
      </c>
    </row>
    <row r="232" spans="1:4" ht="18" hidden="1" x14ac:dyDescent="0.35">
      <c r="A232" s="10" t="s">
        <v>218</v>
      </c>
      <c r="B232" s="7"/>
      <c r="C232" s="7"/>
      <c r="D232" s="8">
        <f t="shared" si="3"/>
        <v>0</v>
      </c>
    </row>
    <row r="233" spans="1:4" ht="18" hidden="1" x14ac:dyDescent="0.35">
      <c r="A233" s="10" t="s">
        <v>118</v>
      </c>
      <c r="B233" s="7"/>
      <c r="C233" s="7"/>
      <c r="D233" s="8">
        <f t="shared" si="3"/>
        <v>0</v>
      </c>
    </row>
    <row r="234" spans="1:4" ht="18" hidden="1" x14ac:dyDescent="0.35">
      <c r="A234" s="10" t="s">
        <v>232</v>
      </c>
      <c r="B234" s="7"/>
      <c r="C234" s="7"/>
      <c r="D234" s="8">
        <f t="shared" si="3"/>
        <v>0</v>
      </c>
    </row>
    <row r="235" spans="1:4" ht="18" hidden="1" x14ac:dyDescent="0.35">
      <c r="A235" s="10" t="s">
        <v>70</v>
      </c>
      <c r="B235" s="7"/>
      <c r="C235" s="7"/>
      <c r="D235" s="8">
        <f t="shared" si="3"/>
        <v>0</v>
      </c>
    </row>
    <row r="236" spans="1:4" ht="18" hidden="1" x14ac:dyDescent="0.35">
      <c r="A236" s="10" t="s">
        <v>71</v>
      </c>
      <c r="B236" s="7"/>
      <c r="C236" s="7"/>
      <c r="D236" s="8">
        <f t="shared" si="3"/>
        <v>0</v>
      </c>
    </row>
    <row r="237" spans="1:4" ht="18" hidden="1" x14ac:dyDescent="0.35">
      <c r="A237" s="10" t="s">
        <v>146</v>
      </c>
      <c r="B237" s="7"/>
      <c r="C237" s="7"/>
      <c r="D237" s="8">
        <f t="shared" si="3"/>
        <v>0</v>
      </c>
    </row>
    <row r="238" spans="1:4" ht="18" hidden="1" x14ac:dyDescent="0.35">
      <c r="A238" s="11" t="s">
        <v>287</v>
      </c>
      <c r="B238" s="7"/>
      <c r="C238" s="7"/>
      <c r="D238" s="8">
        <f t="shared" si="3"/>
        <v>0</v>
      </c>
    </row>
    <row r="239" spans="1:4" ht="18" hidden="1" x14ac:dyDescent="0.35">
      <c r="A239" s="6" t="s">
        <v>138</v>
      </c>
      <c r="B239" s="12"/>
      <c r="C239" s="12"/>
      <c r="D239" s="8">
        <f t="shared" si="3"/>
        <v>0</v>
      </c>
    </row>
    <row r="240" spans="1:4" ht="18" hidden="1" x14ac:dyDescent="0.35">
      <c r="A240" s="14" t="s">
        <v>233</v>
      </c>
      <c r="B240" s="7"/>
      <c r="C240" s="7"/>
      <c r="D240" s="8">
        <f t="shared" si="3"/>
        <v>0</v>
      </c>
    </row>
    <row r="241" spans="1:4" ht="18" hidden="1" x14ac:dyDescent="0.35">
      <c r="A241" s="14" t="s">
        <v>100</v>
      </c>
      <c r="B241" s="7"/>
      <c r="C241" s="7"/>
      <c r="D241" s="8">
        <f t="shared" si="3"/>
        <v>0</v>
      </c>
    </row>
    <row r="242" spans="1:4" ht="18" hidden="1" x14ac:dyDescent="0.35">
      <c r="A242" s="14" t="s">
        <v>101</v>
      </c>
      <c r="B242" s="7"/>
      <c r="C242" s="7"/>
      <c r="D242" s="8">
        <f t="shared" si="3"/>
        <v>0</v>
      </c>
    </row>
    <row r="243" spans="1:4" ht="18" hidden="1" x14ac:dyDescent="0.35">
      <c r="A243" s="10" t="s">
        <v>259</v>
      </c>
      <c r="B243" s="7"/>
      <c r="C243" s="7"/>
      <c r="D243" s="8">
        <f t="shared" si="3"/>
        <v>0</v>
      </c>
    </row>
    <row r="244" spans="1:4" ht="18" hidden="1" x14ac:dyDescent="0.35">
      <c r="A244" s="14" t="s">
        <v>260</v>
      </c>
      <c r="B244" s="7"/>
      <c r="C244" s="7"/>
      <c r="D244" s="8">
        <f t="shared" si="3"/>
        <v>0</v>
      </c>
    </row>
    <row r="245" spans="1:4" ht="18" hidden="1" x14ac:dyDescent="0.35">
      <c r="A245" s="10" t="s">
        <v>261</v>
      </c>
      <c r="B245" s="7"/>
      <c r="C245" s="7"/>
      <c r="D245" s="8">
        <f t="shared" si="3"/>
        <v>0</v>
      </c>
    </row>
    <row r="246" spans="1:4" ht="18" hidden="1" x14ac:dyDescent="0.35">
      <c r="A246" s="10" t="s">
        <v>275</v>
      </c>
      <c r="B246" s="7"/>
      <c r="C246" s="7"/>
      <c r="D246" s="8">
        <f t="shared" si="3"/>
        <v>0</v>
      </c>
    </row>
    <row r="247" spans="1:4" ht="18" hidden="1" x14ac:dyDescent="0.35">
      <c r="A247" s="14" t="s">
        <v>92</v>
      </c>
      <c r="B247" s="7"/>
      <c r="C247" s="7"/>
      <c r="D247" s="8">
        <f t="shared" si="3"/>
        <v>0</v>
      </c>
    </row>
    <row r="248" spans="1:4" ht="18" hidden="1" x14ac:dyDescent="0.35">
      <c r="A248" s="10" t="s">
        <v>139</v>
      </c>
      <c r="B248" s="7"/>
      <c r="C248" s="7"/>
      <c r="D248" s="8">
        <f t="shared" si="3"/>
        <v>0</v>
      </c>
    </row>
    <row r="249" spans="1:4" ht="18" hidden="1" x14ac:dyDescent="0.35">
      <c r="A249" s="22" t="s">
        <v>140</v>
      </c>
      <c r="B249" s="7"/>
      <c r="C249" s="7"/>
      <c r="D249" s="8">
        <f t="shared" si="3"/>
        <v>0</v>
      </c>
    </row>
    <row r="250" spans="1:4" ht="18" hidden="1" x14ac:dyDescent="0.35">
      <c r="A250" s="6" t="s">
        <v>93</v>
      </c>
      <c r="B250" s="7"/>
      <c r="C250" s="7"/>
      <c r="D250" s="8">
        <f t="shared" si="3"/>
        <v>0</v>
      </c>
    </row>
    <row r="251" spans="1:4" ht="18" hidden="1" x14ac:dyDescent="0.35">
      <c r="A251" s="14" t="s">
        <v>94</v>
      </c>
      <c r="B251" s="7"/>
      <c r="C251" s="7"/>
      <c r="D251" s="8">
        <f t="shared" si="3"/>
        <v>0</v>
      </c>
    </row>
    <row r="252" spans="1:4" ht="18" hidden="1" x14ac:dyDescent="0.35">
      <c r="A252" s="22" t="s">
        <v>76</v>
      </c>
      <c r="B252" s="7"/>
      <c r="C252" s="7"/>
      <c r="D252" s="8">
        <f t="shared" si="3"/>
        <v>0</v>
      </c>
    </row>
    <row r="253" spans="1:4" ht="18" hidden="1" x14ac:dyDescent="0.35">
      <c r="A253" s="10" t="s">
        <v>219</v>
      </c>
      <c r="B253" s="7"/>
      <c r="C253" s="7"/>
      <c r="D253" s="8">
        <f t="shared" si="3"/>
        <v>0</v>
      </c>
    </row>
    <row r="254" spans="1:4" ht="18" hidden="1" x14ac:dyDescent="0.35">
      <c r="A254" s="14" t="s">
        <v>220</v>
      </c>
      <c r="B254" s="7"/>
      <c r="C254" s="7"/>
      <c r="D254" s="8">
        <f t="shared" si="3"/>
        <v>0</v>
      </c>
    </row>
    <row r="255" spans="1:4" ht="18" hidden="1" x14ac:dyDescent="0.35">
      <c r="A255" s="6" t="s">
        <v>221</v>
      </c>
      <c r="B255" s="7"/>
      <c r="C255" s="7"/>
      <c r="D255" s="8">
        <f t="shared" si="3"/>
        <v>0</v>
      </c>
    </row>
    <row r="256" spans="1:4" ht="18" hidden="1" x14ac:dyDescent="0.35">
      <c r="A256" s="10" t="s">
        <v>288</v>
      </c>
      <c r="B256" s="7"/>
      <c r="C256" s="7"/>
      <c r="D256" s="8">
        <f t="shared" si="3"/>
        <v>0</v>
      </c>
    </row>
    <row r="257" spans="1:4" ht="18" hidden="1" x14ac:dyDescent="0.35">
      <c r="A257" s="10" t="s">
        <v>119</v>
      </c>
      <c r="B257" s="7"/>
      <c r="C257" s="7"/>
      <c r="D257" s="8">
        <f t="shared" si="3"/>
        <v>0</v>
      </c>
    </row>
    <row r="258" spans="1:4" ht="18" hidden="1" x14ac:dyDescent="0.35">
      <c r="A258" s="6" t="s">
        <v>141</v>
      </c>
      <c r="B258" s="7"/>
      <c r="C258" s="7"/>
      <c r="D258" s="8">
        <f t="shared" si="3"/>
        <v>0</v>
      </c>
    </row>
    <row r="259" spans="1:4" ht="18" hidden="1" x14ac:dyDescent="0.35">
      <c r="A259" s="6" t="s">
        <v>95</v>
      </c>
      <c r="B259" s="7"/>
      <c r="C259" s="7"/>
      <c r="D259" s="8">
        <f t="shared" si="3"/>
        <v>0</v>
      </c>
    </row>
    <row r="260" spans="1:4" ht="18" hidden="1" x14ac:dyDescent="0.35">
      <c r="A260" s="10" t="s">
        <v>169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22" t="s">
        <v>77</v>
      </c>
      <c r="B261" s="7"/>
      <c r="C261" s="7"/>
      <c r="D261" s="8">
        <f t="shared" si="4"/>
        <v>0</v>
      </c>
    </row>
    <row r="262" spans="1:4" ht="18" hidden="1" x14ac:dyDescent="0.35">
      <c r="A262" s="22" t="s">
        <v>78</v>
      </c>
      <c r="B262" s="7"/>
      <c r="C262" s="7"/>
      <c r="D262" s="8">
        <f t="shared" si="4"/>
        <v>0</v>
      </c>
    </row>
    <row r="263" spans="1:4" ht="18" hidden="1" x14ac:dyDescent="0.35">
      <c r="A263" s="13" t="s">
        <v>237</v>
      </c>
      <c r="B263" s="7"/>
      <c r="C263" s="7"/>
      <c r="D263" s="8">
        <f t="shared" si="4"/>
        <v>0</v>
      </c>
    </row>
    <row r="264" spans="1:4" ht="18" hidden="1" x14ac:dyDescent="0.35">
      <c r="A264" s="22" t="s">
        <v>79</v>
      </c>
      <c r="B264" s="7"/>
      <c r="C264" s="7"/>
      <c r="D264" s="8">
        <f t="shared" si="4"/>
        <v>0</v>
      </c>
    </row>
    <row r="265" spans="1:4" ht="18" hidden="1" x14ac:dyDescent="0.35">
      <c r="A265" s="10" t="s">
        <v>238</v>
      </c>
      <c r="B265" s="7"/>
      <c r="C265" s="7"/>
      <c r="D265" s="8">
        <f t="shared" si="4"/>
        <v>0</v>
      </c>
    </row>
    <row r="266" spans="1:4" ht="18" hidden="1" x14ac:dyDescent="0.35">
      <c r="A266" s="10" t="s">
        <v>239</v>
      </c>
      <c r="B266" s="7"/>
      <c r="C266" s="7"/>
      <c r="D266" s="8">
        <f t="shared" si="4"/>
        <v>0</v>
      </c>
    </row>
    <row r="267" spans="1:4" ht="18" hidden="1" x14ac:dyDescent="0.35">
      <c r="A267" s="10" t="s">
        <v>240</v>
      </c>
      <c r="B267" s="7"/>
      <c r="C267" s="7"/>
      <c r="D267" s="8">
        <f t="shared" si="4"/>
        <v>0</v>
      </c>
    </row>
    <row r="268" spans="1:4" ht="18" hidden="1" x14ac:dyDescent="0.35">
      <c r="A268" s="10" t="s">
        <v>241</v>
      </c>
      <c r="B268" s="7"/>
      <c r="C268" s="7"/>
      <c r="D268" s="8">
        <f t="shared" si="4"/>
        <v>0</v>
      </c>
    </row>
    <row r="269" spans="1:4" ht="18" hidden="1" x14ac:dyDescent="0.35">
      <c r="A269" s="13" t="s">
        <v>242</v>
      </c>
      <c r="B269" s="7"/>
      <c r="C269" s="7"/>
      <c r="D269" s="8">
        <f t="shared" si="4"/>
        <v>0</v>
      </c>
    </row>
    <row r="270" spans="1:4" ht="18" hidden="1" x14ac:dyDescent="0.35">
      <c r="A270" s="10" t="s">
        <v>243</v>
      </c>
      <c r="B270" s="7"/>
      <c r="C270" s="7"/>
      <c r="D270" s="8">
        <f t="shared" si="4"/>
        <v>0</v>
      </c>
    </row>
    <row r="271" spans="1:4" ht="18" hidden="1" x14ac:dyDescent="0.35">
      <c r="A271" s="10" t="s">
        <v>37</v>
      </c>
      <c r="B271" s="7"/>
      <c r="C271" s="7"/>
      <c r="D271" s="8">
        <f t="shared" si="4"/>
        <v>0</v>
      </c>
    </row>
    <row r="272" spans="1:4" ht="18" hidden="1" x14ac:dyDescent="0.35">
      <c r="A272" s="6" t="s">
        <v>170</v>
      </c>
      <c r="B272" s="7"/>
      <c r="C272" s="7"/>
      <c r="D272" s="8">
        <f t="shared" si="4"/>
        <v>0</v>
      </c>
    </row>
    <row r="273" spans="1:4" ht="18" hidden="1" x14ac:dyDescent="0.35">
      <c r="A273" s="10" t="s">
        <v>80</v>
      </c>
      <c r="B273" s="23"/>
      <c r="C273" s="23"/>
      <c r="D273" s="8">
        <f t="shared" si="4"/>
        <v>0</v>
      </c>
    </row>
    <row r="274" spans="1:4" ht="18" hidden="1" x14ac:dyDescent="0.35">
      <c r="A274" s="10" t="s">
        <v>244</v>
      </c>
      <c r="B274" s="7"/>
      <c r="C274" s="7"/>
      <c r="D274" s="8">
        <f t="shared" si="4"/>
        <v>0</v>
      </c>
    </row>
    <row r="275" spans="1:4" ht="18" hidden="1" x14ac:dyDescent="0.35">
      <c r="A275" s="10" t="s">
        <v>171</v>
      </c>
      <c r="B275" s="7"/>
      <c r="C275" s="7"/>
      <c r="D275" s="8">
        <f t="shared" si="4"/>
        <v>0</v>
      </c>
    </row>
    <row r="276" spans="1:4" ht="18" hidden="1" x14ac:dyDescent="0.35">
      <c r="A276" s="13" t="s">
        <v>245</v>
      </c>
      <c r="B276" s="7"/>
      <c r="C276" s="7"/>
      <c r="D276" s="8">
        <f t="shared" si="4"/>
        <v>0</v>
      </c>
    </row>
    <row r="277" spans="1:4" ht="18" hidden="1" x14ac:dyDescent="0.35">
      <c r="A277" s="13" t="s">
        <v>246</v>
      </c>
      <c r="B277" s="7"/>
      <c r="C277" s="7"/>
      <c r="D277" s="8">
        <f t="shared" si="4"/>
        <v>0</v>
      </c>
    </row>
    <row r="278" spans="1:4" ht="18" hidden="1" x14ac:dyDescent="0.35">
      <c r="A278" s="10" t="s">
        <v>247</v>
      </c>
      <c r="B278" s="7"/>
      <c r="C278" s="7"/>
      <c r="D278" s="8">
        <f t="shared" si="4"/>
        <v>0</v>
      </c>
    </row>
    <row r="279" spans="1:4" ht="18" hidden="1" x14ac:dyDescent="0.35">
      <c r="A279" s="10" t="s">
        <v>248</v>
      </c>
      <c r="B279" s="7"/>
      <c r="C279" s="7"/>
      <c r="D279" s="8">
        <f t="shared" si="4"/>
        <v>0</v>
      </c>
    </row>
    <row r="280" spans="1:4" ht="18" hidden="1" x14ac:dyDescent="0.35">
      <c r="A280" s="13" t="s">
        <v>249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250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251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252</v>
      </c>
      <c r="B283" s="7"/>
      <c r="C283" s="7"/>
      <c r="D283" s="8">
        <f t="shared" si="4"/>
        <v>0</v>
      </c>
    </row>
    <row r="284" spans="1:4" ht="18" hidden="1" x14ac:dyDescent="0.35">
      <c r="A284" s="10" t="s">
        <v>253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254</v>
      </c>
      <c r="B285" s="7"/>
      <c r="C285" s="7"/>
      <c r="D285" s="8">
        <f t="shared" si="4"/>
        <v>0</v>
      </c>
    </row>
    <row r="286" spans="1:4" ht="18" x14ac:dyDescent="0.3">
      <c r="A286" s="10" t="s">
        <v>255</v>
      </c>
      <c r="B286" s="7">
        <v>10</v>
      </c>
      <c r="C286" s="7">
        <v>28000</v>
      </c>
      <c r="D286" s="8">
        <f t="shared" si="4"/>
        <v>280000</v>
      </c>
    </row>
    <row r="287" spans="1:4" ht="18" hidden="1" x14ac:dyDescent="0.35">
      <c r="A287" s="10" t="s">
        <v>256</v>
      </c>
      <c r="B287" s="7"/>
      <c r="C287" s="7"/>
      <c r="D287" s="8">
        <f t="shared" si="4"/>
        <v>0</v>
      </c>
    </row>
    <row r="288" spans="1:4" ht="18" hidden="1" x14ac:dyDescent="0.35">
      <c r="A288" s="10" t="s">
        <v>257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6537.8</v>
      </c>
      <c r="C290" s="32"/>
      <c r="D290" s="32">
        <f t="shared" si="5"/>
        <v>100967000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>
      <selection activeCell="H294" sqref="H294"/>
    </sheetView>
  </sheetViews>
  <sheetFormatPr defaultRowHeight="14.4" x14ac:dyDescent="0.3"/>
  <cols>
    <col min="1" max="1" width="47.5546875" customWidth="1"/>
    <col min="3" max="3" width="15.109375" customWidth="1"/>
    <col min="4" max="4" width="19.6640625" customWidth="1"/>
  </cols>
  <sheetData>
    <row r="1" spans="1:4" x14ac:dyDescent="0.3">
      <c r="A1" s="1" t="s">
        <v>299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hidden="1" x14ac:dyDescent="0.35">
      <c r="A6" s="6" t="s">
        <v>5</v>
      </c>
      <c r="B6" s="7"/>
      <c r="C6" s="7"/>
      <c r="D6" s="8">
        <f t="shared" si="0"/>
        <v>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6" t="s">
        <v>8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x14ac:dyDescent="0.3">
      <c r="A13" s="10" t="s">
        <v>12</v>
      </c>
      <c r="B13" s="7">
        <v>5</v>
      </c>
      <c r="C13" s="7">
        <v>6000</v>
      </c>
      <c r="D13" s="8">
        <f t="shared" si="0"/>
        <v>30000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20+80+35+40</f>
        <v>175</v>
      </c>
      <c r="C22" s="7">
        <v>17000</v>
      </c>
      <c r="D22" s="8">
        <f t="shared" si="0"/>
        <v>2975000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hidden="1" x14ac:dyDescent="0.35">
      <c r="A27" s="10" t="s">
        <v>26</v>
      </c>
      <c r="B27" s="7"/>
      <c r="C27" s="7"/>
      <c r="D27" s="8">
        <f t="shared" si="0"/>
        <v>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f>30+10</f>
        <v>40</v>
      </c>
      <c r="C31" s="7">
        <v>25000</v>
      </c>
      <c r="D31" s="8">
        <f t="shared" si="0"/>
        <v>1000000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v>10</v>
      </c>
      <c r="C34" s="7">
        <v>5000</v>
      </c>
      <c r="D34" s="8">
        <f t="shared" si="0"/>
        <v>50000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hidden="1" x14ac:dyDescent="0.35">
      <c r="A37" s="6" t="s">
        <v>36</v>
      </c>
      <c r="B37" s="7"/>
      <c r="C37" s="7"/>
      <c r="D37" s="8">
        <f t="shared" si="0"/>
        <v>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x14ac:dyDescent="0.3">
      <c r="A39" s="10" t="s">
        <v>38</v>
      </c>
      <c r="B39" s="7">
        <f>8+8</f>
        <v>16</v>
      </c>
      <c r="C39" s="7">
        <v>27000</v>
      </c>
      <c r="D39" s="8">
        <f t="shared" si="0"/>
        <v>432000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f>20+30+20+100</f>
        <v>170</v>
      </c>
      <c r="C41" s="7">
        <v>13000</v>
      </c>
      <c r="D41" s="8">
        <f t="shared" si="0"/>
        <v>2210000</v>
      </c>
    </row>
    <row r="42" spans="1:4" ht="18" x14ac:dyDescent="0.3">
      <c r="A42" s="10" t="s">
        <v>41</v>
      </c>
      <c r="B42" s="7">
        <v>230</v>
      </c>
      <c r="C42" s="7">
        <v>22000</v>
      </c>
      <c r="D42" s="8">
        <f t="shared" si="0"/>
        <v>5060000</v>
      </c>
    </row>
    <row r="43" spans="1:4" ht="18" x14ac:dyDescent="0.3">
      <c r="A43" s="10" t="s">
        <v>42</v>
      </c>
      <c r="B43" s="7">
        <v>120</v>
      </c>
      <c r="C43" s="7">
        <v>17000</v>
      </c>
      <c r="D43" s="8">
        <f t="shared" si="0"/>
        <v>2040000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45</v>
      </c>
      <c r="B46" s="7"/>
      <c r="C46" s="7"/>
      <c r="D46" s="8">
        <f t="shared" si="0"/>
        <v>0</v>
      </c>
    </row>
    <row r="47" spans="1:4" ht="18" x14ac:dyDescent="0.3">
      <c r="A47" s="10" t="s">
        <v>46</v>
      </c>
      <c r="B47" s="7">
        <v>80</v>
      </c>
      <c r="C47" s="7">
        <v>7000</v>
      </c>
      <c r="D47" s="8">
        <f t="shared" si="0"/>
        <v>560000</v>
      </c>
    </row>
    <row r="48" spans="1:4" ht="18" hidden="1" x14ac:dyDescent="0.35">
      <c r="A48" s="14" t="s">
        <v>47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hidden="1" x14ac:dyDescent="0.35">
      <c r="A51" s="10" t="s">
        <v>50</v>
      </c>
      <c r="B51" s="7"/>
      <c r="C51" s="7"/>
      <c r="D51" s="8">
        <f t="shared" si="0"/>
        <v>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f>40+7+30</f>
        <v>77</v>
      </c>
      <c r="C53" s="7">
        <v>5000</v>
      </c>
      <c r="D53" s="8">
        <f t="shared" si="0"/>
        <v>385000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16" t="s">
        <v>57</v>
      </c>
      <c r="B58" s="7"/>
      <c r="C58" s="7"/>
      <c r="D58" s="8">
        <f t="shared" si="0"/>
        <v>0</v>
      </c>
    </row>
    <row r="59" spans="1:4" ht="18" hidden="1" x14ac:dyDescent="0.35">
      <c r="A59" s="10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f>20+42</f>
        <v>62</v>
      </c>
      <c r="C68" s="7">
        <v>27000</v>
      </c>
      <c r="D68" s="8">
        <f t="shared" ref="D68:D131" si="1">B68*C68</f>
        <v>1674000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hidden="1" x14ac:dyDescent="0.35">
      <c r="A71" s="10" t="s">
        <v>70</v>
      </c>
      <c r="B71" s="7"/>
      <c r="C71" s="7"/>
      <c r="D71" s="8">
        <f t="shared" si="1"/>
        <v>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x14ac:dyDescent="0.3">
      <c r="A83" s="10" t="s">
        <v>82</v>
      </c>
      <c r="B83" s="7">
        <v>7</v>
      </c>
      <c r="C83" s="7">
        <v>26000</v>
      </c>
      <c r="D83" s="8">
        <f t="shared" si="1"/>
        <v>182000</v>
      </c>
    </row>
    <row r="84" spans="1:4" ht="18" x14ac:dyDescent="0.3">
      <c r="A84" s="10" t="s">
        <v>83</v>
      </c>
      <c r="B84" s="7">
        <f>32/0.5</f>
        <v>64</v>
      </c>
      <c r="C84" s="7">
        <v>15000</v>
      </c>
      <c r="D84" s="8">
        <f t="shared" si="1"/>
        <v>960000</v>
      </c>
    </row>
    <row r="85" spans="1:4" ht="18" hidden="1" x14ac:dyDescent="0.35">
      <c r="A85" s="10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hidden="1" x14ac:dyDescent="0.35">
      <c r="A97" s="26" t="s">
        <v>96</v>
      </c>
      <c r="B97" s="7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x14ac:dyDescent="0.3">
      <c r="A99" s="10" t="s">
        <v>98</v>
      </c>
      <c r="B99" s="7">
        <v>10</v>
      </c>
      <c r="C99" s="7">
        <v>28000</v>
      </c>
      <c r="D99" s="8">
        <f t="shared" si="1"/>
        <v>280000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70+40+60+360</f>
        <v>530</v>
      </c>
      <c r="C114" s="7">
        <v>8500</v>
      </c>
      <c r="D114" s="8">
        <f t="shared" si="1"/>
        <v>4505000</v>
      </c>
    </row>
    <row r="115" spans="1:4" ht="18" hidden="1" x14ac:dyDescent="0.35">
      <c r="A115" s="10" t="s">
        <v>114</v>
      </c>
      <c r="B115" s="7"/>
      <c r="C115" s="7"/>
      <c r="D115" s="8">
        <f t="shared" si="1"/>
        <v>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1316+10+320</f>
        <v>1646</v>
      </c>
      <c r="C121" s="7">
        <v>4500</v>
      </c>
      <c r="D121" s="8">
        <f t="shared" si="1"/>
        <v>7407000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x14ac:dyDescent="0.3">
      <c r="A126" s="22" t="s">
        <v>125</v>
      </c>
      <c r="B126" s="7">
        <v>8</v>
      </c>
      <c r="C126" s="7">
        <v>9000</v>
      </c>
      <c r="D126" s="8">
        <f t="shared" si="1"/>
        <v>72000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f>30+80+160+140+90</f>
        <v>500</v>
      </c>
      <c r="C143" s="7">
        <v>28500</v>
      </c>
      <c r="D143" s="8">
        <f t="shared" si="2"/>
        <v>14250000</v>
      </c>
    </row>
    <row r="144" spans="1:4" ht="18" hidden="1" x14ac:dyDescent="0.35">
      <c r="A144" s="24" t="s">
        <v>143</v>
      </c>
      <c r="B144" s="7"/>
      <c r="C144" s="7"/>
      <c r="D144" s="8">
        <f t="shared" si="2"/>
        <v>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hidden="1" x14ac:dyDescent="0.35">
      <c r="A149" s="14" t="s">
        <v>148</v>
      </c>
      <c r="B149" s="7"/>
      <c r="C149" s="7"/>
      <c r="D149" s="8">
        <f t="shared" si="2"/>
        <v>0</v>
      </c>
    </row>
    <row r="150" spans="1:4" ht="18" x14ac:dyDescent="0.3">
      <c r="A150" s="14" t="s">
        <v>149</v>
      </c>
      <c r="B150" s="12">
        <f>17*0.3</f>
        <v>5.0999999999999996</v>
      </c>
      <c r="C150" s="7">
        <v>6000</v>
      </c>
      <c r="D150" s="8">
        <f t="shared" si="2"/>
        <v>30599.999999999996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5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hidden="1" x14ac:dyDescent="0.35">
      <c r="A162" s="10" t="s">
        <v>161</v>
      </c>
      <c r="B162" s="7"/>
      <c r="C162" s="7"/>
      <c r="D162" s="8">
        <f t="shared" si="2"/>
        <v>0</v>
      </c>
    </row>
    <row r="163" spans="1:4" ht="18" hidden="1" x14ac:dyDescent="0.35">
      <c r="A163" s="10" t="s">
        <v>162</v>
      </c>
      <c r="B163" s="7"/>
      <c r="C163" s="7"/>
      <c r="D163" s="8">
        <f t="shared" si="2"/>
        <v>0</v>
      </c>
    </row>
    <row r="164" spans="1:4" ht="18" x14ac:dyDescent="0.3">
      <c r="A164" s="10" t="s">
        <v>163</v>
      </c>
      <c r="B164" s="7">
        <f>60+160+20+20+40</f>
        <v>300</v>
      </c>
      <c r="C164" s="7">
        <v>19000</v>
      </c>
      <c r="D164" s="8">
        <f t="shared" si="2"/>
        <v>5700000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f>25+28+25</f>
        <v>78</v>
      </c>
      <c r="C167" s="7">
        <v>17000</v>
      </c>
      <c r="D167" s="8">
        <f t="shared" si="2"/>
        <v>1326000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v>40</v>
      </c>
      <c r="C176" s="7">
        <v>11000</v>
      </c>
      <c r="D176" s="8">
        <f t="shared" si="2"/>
        <v>440000</v>
      </c>
    </row>
    <row r="177" spans="1:4" ht="18" x14ac:dyDescent="0.3">
      <c r="A177" s="6" t="s">
        <v>176</v>
      </c>
      <c r="B177" s="7">
        <f>45+30+200+110+80</f>
        <v>465</v>
      </c>
      <c r="C177" s="7">
        <v>35000</v>
      </c>
      <c r="D177" s="8">
        <f t="shared" si="2"/>
        <v>16275000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x14ac:dyDescent="0.3">
      <c r="A179" s="6" t="s">
        <v>178</v>
      </c>
      <c r="B179" s="7">
        <f>10+460+60</f>
        <v>530</v>
      </c>
      <c r="C179" s="7">
        <v>32000</v>
      </c>
      <c r="D179" s="8">
        <f t="shared" si="2"/>
        <v>16960000</v>
      </c>
    </row>
    <row r="180" spans="1:4" ht="18" hidden="1" x14ac:dyDescent="0.35">
      <c r="A180" s="6" t="s">
        <v>179</v>
      </c>
      <c r="B180" s="7"/>
      <c r="C180" s="7"/>
      <c r="D180" s="8">
        <f t="shared" si="2"/>
        <v>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hidden="1" x14ac:dyDescent="0.35">
      <c r="A183" s="10" t="s">
        <v>182</v>
      </c>
      <c r="B183" s="7"/>
      <c r="C183" s="7"/>
      <c r="D183" s="8">
        <f t="shared" si="2"/>
        <v>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x14ac:dyDescent="0.3">
      <c r="A189" s="10" t="s">
        <v>188</v>
      </c>
      <c r="B189" s="7">
        <v>7</v>
      </c>
      <c r="C189" s="7">
        <v>6000</v>
      </c>
      <c r="D189" s="8">
        <f t="shared" si="2"/>
        <v>42000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x14ac:dyDescent="0.3">
      <c r="A191" s="20" t="s">
        <v>190</v>
      </c>
      <c r="B191" s="7">
        <v>132</v>
      </c>
      <c r="C191" s="7">
        <v>8500</v>
      </c>
      <c r="D191" s="8">
        <f t="shared" si="2"/>
        <v>1122000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x14ac:dyDescent="0.3">
      <c r="A193" s="10" t="s">
        <v>192</v>
      </c>
      <c r="B193" s="7">
        <v>121</v>
      </c>
      <c r="C193" s="7">
        <v>8000</v>
      </c>
      <c r="D193" s="8">
        <f t="shared" si="2"/>
        <v>968000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f>189+60+75+75</f>
        <v>399</v>
      </c>
      <c r="C195" s="7">
        <v>8000</v>
      </c>
      <c r="D195" s="8">
        <f t="shared" si="2"/>
        <v>3192000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6</v>
      </c>
      <c r="C200" s="7">
        <v>9500</v>
      </c>
      <c r="D200" s="8">
        <f t="shared" si="3"/>
        <v>57000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5">
      <c r="A213" s="10" t="s">
        <v>212</v>
      </c>
      <c r="B213" s="7"/>
      <c r="C213" s="7"/>
      <c r="D213" s="8">
        <f t="shared" si="3"/>
        <v>0</v>
      </c>
    </row>
    <row r="214" spans="1:4" ht="18" hidden="1" x14ac:dyDescent="0.35">
      <c r="A214" s="11" t="s">
        <v>213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231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hidden="1" x14ac:dyDescent="0.35">
      <c r="A248" s="10" t="s">
        <v>247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hidden="1" x14ac:dyDescent="0.35">
      <c r="A252" s="10" t="s">
        <v>251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255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x14ac:dyDescent="0.3">
      <c r="A260" s="10" t="s">
        <v>259</v>
      </c>
      <c r="B260" s="7">
        <f>5+25</f>
        <v>30</v>
      </c>
      <c r="C260" s="7">
        <v>12000</v>
      </c>
      <c r="D260" s="8">
        <f t="shared" ref="D260:D289" si="4">B260*C260</f>
        <v>360000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hidden="1" x14ac:dyDescent="0.35">
      <c r="A263" s="10" t="s">
        <v>262</v>
      </c>
      <c r="B263" s="7"/>
      <c r="C263" s="7"/>
      <c r="D263" s="8">
        <f t="shared" si="4"/>
        <v>0</v>
      </c>
    </row>
    <row r="264" spans="1:4" ht="18" x14ac:dyDescent="0.3">
      <c r="A264" s="10" t="s">
        <v>263</v>
      </c>
      <c r="B264" s="7">
        <f>22+15+10+15+31</f>
        <v>93</v>
      </c>
      <c r="C264" s="7">
        <v>6000</v>
      </c>
      <c r="D264" s="8">
        <f t="shared" si="4"/>
        <v>558000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50</v>
      </c>
      <c r="C270" s="7">
        <v>25000</v>
      </c>
      <c r="D270" s="8">
        <f t="shared" si="4"/>
        <v>1250000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x14ac:dyDescent="0.3">
      <c r="A274" s="10" t="s">
        <v>273</v>
      </c>
      <c r="B274" s="7">
        <f>10+30+55</f>
        <v>95</v>
      </c>
      <c r="C274" s="7">
        <v>6000</v>
      </c>
      <c r="D274" s="8">
        <f t="shared" si="4"/>
        <v>570000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x14ac:dyDescent="0.3">
      <c r="A278" s="22" t="s">
        <v>277</v>
      </c>
      <c r="B278" s="7">
        <v>16</v>
      </c>
      <c r="C278" s="7">
        <v>3500</v>
      </c>
      <c r="D278" s="8">
        <f t="shared" si="4"/>
        <v>56000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6117.1</v>
      </c>
      <c r="C290" s="32"/>
      <c r="D290" s="32">
        <f t="shared" si="5"/>
        <v>92978600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>
      <selection activeCell="G41" sqref="G41"/>
    </sheetView>
  </sheetViews>
  <sheetFormatPr defaultRowHeight="14.4" x14ac:dyDescent="0.3"/>
  <cols>
    <col min="1" max="1" width="40.21875" customWidth="1"/>
    <col min="3" max="3" width="17.44140625" customWidth="1"/>
    <col min="4" max="4" width="20" customWidth="1"/>
  </cols>
  <sheetData>
    <row r="1" spans="1:4" x14ac:dyDescent="0.3">
      <c r="A1" s="1" t="s">
        <v>301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x14ac:dyDescent="0.3">
      <c r="A6" s="6" t="s">
        <v>5</v>
      </c>
      <c r="B6" s="7">
        <v>50</v>
      </c>
      <c r="C6" s="7">
        <v>7000</v>
      </c>
      <c r="D6" s="8">
        <f t="shared" si="0"/>
        <v>350000</v>
      </c>
    </row>
    <row r="7" spans="1:4" ht="18" hidden="1" x14ac:dyDescent="0.35">
      <c r="A7" s="6" t="s">
        <v>6</v>
      </c>
      <c r="B7" s="7"/>
      <c r="C7" s="7"/>
      <c r="D7" s="8">
        <f t="shared" si="0"/>
        <v>0</v>
      </c>
    </row>
    <row r="8" spans="1:4" ht="18" hidden="1" x14ac:dyDescent="0.35">
      <c r="A8" s="11" t="s">
        <v>7</v>
      </c>
      <c r="B8" s="7"/>
      <c r="C8" s="7"/>
      <c r="D8" s="8">
        <f t="shared" si="0"/>
        <v>0</v>
      </c>
    </row>
    <row r="9" spans="1:4" ht="18" hidden="1" x14ac:dyDescent="0.35">
      <c r="A9" s="6" t="s">
        <v>8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x14ac:dyDescent="0.3">
      <c r="A18" s="10" t="s">
        <v>17</v>
      </c>
      <c r="B18" s="7">
        <v>15</v>
      </c>
      <c r="C18" s="7">
        <v>23000</v>
      </c>
      <c r="D18" s="8">
        <f t="shared" si="0"/>
        <v>345000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15+40+20+4+30</f>
        <v>109</v>
      </c>
      <c r="C22" s="7">
        <v>17000</v>
      </c>
      <c r="D22" s="8">
        <f t="shared" si="0"/>
        <v>1853000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v>50</v>
      </c>
      <c r="C27" s="7">
        <v>16000</v>
      </c>
      <c r="D27" s="8">
        <f t="shared" si="0"/>
        <v>800000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v>38</v>
      </c>
      <c r="C31" s="7">
        <v>25000</v>
      </c>
      <c r="D31" s="8">
        <f t="shared" si="0"/>
        <v>950000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f>55+13</f>
        <v>68</v>
      </c>
      <c r="C34" s="7">
        <v>5000</v>
      </c>
      <c r="D34" s="8">
        <f t="shared" si="0"/>
        <v>340000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x14ac:dyDescent="0.3">
      <c r="A37" s="6" t="s">
        <v>36</v>
      </c>
      <c r="B37" s="7">
        <v>4</v>
      </c>
      <c r="C37" s="7">
        <v>21000</v>
      </c>
      <c r="D37" s="8">
        <f t="shared" si="0"/>
        <v>84000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x14ac:dyDescent="0.3">
      <c r="A39" s="10" t="s">
        <v>38</v>
      </c>
      <c r="B39" s="7">
        <v>55</v>
      </c>
      <c r="C39" s="7">
        <v>27000</v>
      </c>
      <c r="D39" s="8">
        <f t="shared" si="0"/>
        <v>1485000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v>300</v>
      </c>
      <c r="C41" s="7">
        <v>13000</v>
      </c>
      <c r="D41" s="8">
        <f t="shared" si="0"/>
        <v>3900000</v>
      </c>
    </row>
    <row r="42" spans="1:4" ht="18" x14ac:dyDescent="0.3">
      <c r="A42" s="10" t="s">
        <v>41</v>
      </c>
      <c r="B42" s="7">
        <v>120</v>
      </c>
      <c r="C42" s="7">
        <v>22000</v>
      </c>
      <c r="D42" s="8">
        <f t="shared" si="0"/>
        <v>2640000</v>
      </c>
    </row>
    <row r="43" spans="1:4" ht="18" x14ac:dyDescent="0.3">
      <c r="A43" s="10" t="s">
        <v>42</v>
      </c>
      <c r="B43" s="7">
        <v>180</v>
      </c>
      <c r="C43" s="7">
        <v>17000</v>
      </c>
      <c r="D43" s="8">
        <f t="shared" si="0"/>
        <v>3060000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hidden="1" x14ac:dyDescent="0.35">
      <c r="A46" s="10" t="s">
        <v>46</v>
      </c>
      <c r="B46" s="7"/>
      <c r="C46" s="7"/>
      <c r="D46" s="8">
        <f t="shared" si="0"/>
        <v>0</v>
      </c>
    </row>
    <row r="47" spans="1:4" ht="18" hidden="1" x14ac:dyDescent="0.35">
      <c r="A47" s="14" t="s">
        <v>47</v>
      </c>
      <c r="B47" s="7"/>
      <c r="C47" s="7"/>
      <c r="D47" s="8">
        <f t="shared" si="0"/>
        <v>0</v>
      </c>
    </row>
    <row r="48" spans="1:4" ht="18" hidden="1" x14ac:dyDescent="0.35">
      <c r="A48" s="10" t="s">
        <v>300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x14ac:dyDescent="0.3">
      <c r="A51" s="10" t="s">
        <v>50</v>
      </c>
      <c r="B51" s="7">
        <v>10</v>
      </c>
      <c r="C51" s="7">
        <v>8000</v>
      </c>
      <c r="D51" s="8">
        <f t="shared" si="0"/>
        <v>80000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v>27</v>
      </c>
      <c r="C53" s="7">
        <v>5000</v>
      </c>
      <c r="D53" s="8">
        <f t="shared" si="0"/>
        <v>135000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16" t="s">
        <v>57</v>
      </c>
      <c r="B58" s="7"/>
      <c r="C58" s="7"/>
      <c r="D58" s="8">
        <f t="shared" si="0"/>
        <v>0</v>
      </c>
    </row>
    <row r="59" spans="1:4" ht="18" hidden="1" x14ac:dyDescent="0.35">
      <c r="A59" s="10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v>100</v>
      </c>
      <c r="C68" s="7">
        <v>27000</v>
      </c>
      <c r="D68" s="8">
        <f t="shared" ref="D68:D131" si="1">B68*C68</f>
        <v>2700000</v>
      </c>
    </row>
    <row r="69" spans="1:4" ht="18" x14ac:dyDescent="0.3">
      <c r="A69" s="10" t="s">
        <v>68</v>
      </c>
      <c r="B69" s="7">
        <v>10</v>
      </c>
      <c r="C69" s="7">
        <v>14000</v>
      </c>
      <c r="D69" s="8">
        <f t="shared" si="1"/>
        <v>140000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x14ac:dyDescent="0.3">
      <c r="A71" s="10" t="s">
        <v>70</v>
      </c>
      <c r="B71" s="7">
        <v>4</v>
      </c>
      <c r="C71" s="7">
        <v>12000</v>
      </c>
      <c r="D71" s="8">
        <f t="shared" si="1"/>
        <v>48000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hidden="1" x14ac:dyDescent="0.35">
      <c r="A83" s="10" t="s">
        <v>82</v>
      </c>
      <c r="B83" s="7"/>
      <c r="C83" s="7"/>
      <c r="D83" s="8">
        <f t="shared" si="1"/>
        <v>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x14ac:dyDescent="0.3">
      <c r="A85" s="10" t="s">
        <v>84</v>
      </c>
      <c r="B85" s="7">
        <v>50</v>
      </c>
      <c r="C85" s="7">
        <v>15000</v>
      </c>
      <c r="D85" s="8">
        <f t="shared" si="1"/>
        <v>750000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25" t="s">
        <v>95</v>
      </c>
      <c r="B96" s="7"/>
      <c r="C96" s="7"/>
      <c r="D96" s="8">
        <f t="shared" si="1"/>
        <v>0</v>
      </c>
    </row>
    <row r="97" spans="1:4" ht="18" x14ac:dyDescent="0.3">
      <c r="A97" s="26" t="s">
        <v>96</v>
      </c>
      <c r="B97" s="7">
        <v>10</v>
      </c>
      <c r="C97" s="7">
        <v>11000</v>
      </c>
      <c r="D97" s="8">
        <f t="shared" si="1"/>
        <v>110000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hidden="1" x14ac:dyDescent="0.35">
      <c r="A99" s="10" t="s">
        <v>98</v>
      </c>
      <c r="B99" s="7"/>
      <c r="C99" s="7"/>
      <c r="D99" s="8">
        <f t="shared" si="1"/>
        <v>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100+50+20+200+80+200</f>
        <v>650</v>
      </c>
      <c r="C114" s="7">
        <v>9500</v>
      </c>
      <c r="D114" s="8">
        <f t="shared" si="1"/>
        <v>6175000</v>
      </c>
    </row>
    <row r="115" spans="1:4" ht="18" hidden="1" x14ac:dyDescent="0.35">
      <c r="A115" s="10" t="s">
        <v>114</v>
      </c>
      <c r="B115" s="7"/>
      <c r="C115" s="7"/>
      <c r="D115" s="8">
        <f t="shared" si="1"/>
        <v>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566+150+150</f>
        <v>866</v>
      </c>
      <c r="C121" s="7">
        <v>4500</v>
      </c>
      <c r="D121" s="8">
        <f t="shared" si="1"/>
        <v>3897000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x14ac:dyDescent="0.3">
      <c r="A126" s="22" t="s">
        <v>125</v>
      </c>
      <c r="B126" s="7">
        <v>8</v>
      </c>
      <c r="C126" s="7">
        <v>9000</v>
      </c>
      <c r="D126" s="8">
        <f t="shared" si="1"/>
        <v>72000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f>220+50+80</f>
        <v>350</v>
      </c>
      <c r="C143" s="7">
        <v>28500</v>
      </c>
      <c r="D143" s="8">
        <f t="shared" si="2"/>
        <v>9975000</v>
      </c>
    </row>
    <row r="144" spans="1:4" ht="18" x14ac:dyDescent="0.3">
      <c r="A144" s="24" t="s">
        <v>143</v>
      </c>
      <c r="B144" s="7">
        <v>20</v>
      </c>
      <c r="C144" s="7">
        <v>20000</v>
      </c>
      <c r="D144" s="8">
        <f t="shared" si="2"/>
        <v>400000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x14ac:dyDescent="0.3">
      <c r="A149" s="14" t="s">
        <v>148</v>
      </c>
      <c r="B149" s="7">
        <f>8+233</f>
        <v>241</v>
      </c>
      <c r="C149" s="7">
        <v>6000</v>
      </c>
      <c r="D149" s="8">
        <f t="shared" si="2"/>
        <v>1446000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11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5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70</v>
      </c>
      <c r="C162" s="7">
        <v>7000</v>
      </c>
      <c r="D162" s="8">
        <f t="shared" si="2"/>
        <v>490000</v>
      </c>
    </row>
    <row r="163" spans="1:4" ht="18" hidden="1" x14ac:dyDescent="0.35">
      <c r="A163" s="10" t="s">
        <v>162</v>
      </c>
      <c r="B163" s="7"/>
      <c r="C163" s="7"/>
      <c r="D163" s="8">
        <f t="shared" si="2"/>
        <v>0</v>
      </c>
    </row>
    <row r="164" spans="1:4" ht="18" x14ac:dyDescent="0.3">
      <c r="A164" s="10" t="s">
        <v>163</v>
      </c>
      <c r="B164" s="7">
        <f>48+40+30+40</f>
        <v>158</v>
      </c>
      <c r="C164" s="7">
        <v>19000</v>
      </c>
      <c r="D164" s="8">
        <f t="shared" si="2"/>
        <v>3002000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f>20+23+6+10+28</f>
        <v>87</v>
      </c>
      <c r="C167" s="7">
        <v>17000</v>
      </c>
      <c r="D167" s="8">
        <f t="shared" si="2"/>
        <v>1479000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v>100</v>
      </c>
      <c r="C176" s="7">
        <v>11000</v>
      </c>
      <c r="D176" s="8">
        <f t="shared" si="2"/>
        <v>1100000</v>
      </c>
    </row>
    <row r="177" spans="1:4" ht="18" x14ac:dyDescent="0.3">
      <c r="A177" s="6" t="s">
        <v>176</v>
      </c>
      <c r="B177" s="7">
        <f>10+60+120+60+40+40+300</f>
        <v>630</v>
      </c>
      <c r="C177" s="7">
        <v>35000</v>
      </c>
      <c r="D177" s="8">
        <f t="shared" si="2"/>
        <v>22050000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x14ac:dyDescent="0.3">
      <c r="A179" s="6" t="s">
        <v>178</v>
      </c>
      <c r="B179" s="7">
        <f>80+40+320</f>
        <v>440</v>
      </c>
      <c r="C179" s="7">
        <v>32000</v>
      </c>
      <c r="D179" s="8">
        <f t="shared" si="2"/>
        <v>14080000</v>
      </c>
    </row>
    <row r="180" spans="1:4" ht="18" hidden="1" x14ac:dyDescent="0.35">
      <c r="A180" s="6" t="s">
        <v>179</v>
      </c>
      <c r="B180" s="7"/>
      <c r="C180" s="7"/>
      <c r="D180" s="8">
        <f t="shared" si="2"/>
        <v>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hidden="1" x14ac:dyDescent="0.35">
      <c r="A183" s="10" t="s">
        <v>182</v>
      </c>
      <c r="B183" s="7"/>
      <c r="C183" s="7"/>
      <c r="D183" s="8">
        <f t="shared" si="2"/>
        <v>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188</v>
      </c>
      <c r="B189" s="7"/>
      <c r="C189" s="7"/>
      <c r="D189" s="8">
        <f t="shared" si="2"/>
        <v>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hidden="1" x14ac:dyDescent="0.35">
      <c r="A191" s="20" t="s">
        <v>190</v>
      </c>
      <c r="B191" s="7"/>
      <c r="C191" s="7"/>
      <c r="D191" s="8">
        <f t="shared" si="2"/>
        <v>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x14ac:dyDescent="0.3">
      <c r="A193" s="10" t="s">
        <v>192</v>
      </c>
      <c r="B193" s="7">
        <v>163</v>
      </c>
      <c r="C193" s="7">
        <v>8000</v>
      </c>
      <c r="D193" s="8">
        <f t="shared" si="2"/>
        <v>1304000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f>297+23</f>
        <v>320</v>
      </c>
      <c r="C195" s="7">
        <v>8000</v>
      </c>
      <c r="D195" s="8">
        <f t="shared" si="2"/>
        <v>2560000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x14ac:dyDescent="0.3">
      <c r="A200" s="6" t="s">
        <v>199</v>
      </c>
      <c r="B200" s="7">
        <v>5</v>
      </c>
      <c r="C200" s="7">
        <v>9500</v>
      </c>
      <c r="D200" s="8">
        <f t="shared" si="3"/>
        <v>47500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5">
      <c r="A213" s="10" t="s">
        <v>212</v>
      </c>
      <c r="B213" s="7"/>
      <c r="C213" s="7"/>
      <c r="D213" s="8">
        <f t="shared" si="3"/>
        <v>0</v>
      </c>
    </row>
    <row r="214" spans="1:4" ht="18" hidden="1" x14ac:dyDescent="0.35">
      <c r="A214" s="11" t="s">
        <v>213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hidden="1" x14ac:dyDescent="0.35">
      <c r="A232" s="10" t="s">
        <v>231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hidden="1" x14ac:dyDescent="0.35">
      <c r="A241" s="10" t="s">
        <v>240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hidden="1" x14ac:dyDescent="0.35">
      <c r="A248" s="10" t="s">
        <v>247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hidden="1" x14ac:dyDescent="0.35">
      <c r="A252" s="10" t="s">
        <v>251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255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hidden="1" x14ac:dyDescent="0.35">
      <c r="A260" s="10" t="s">
        <v>259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v>1</v>
      </c>
      <c r="C263" s="7">
        <v>10000</v>
      </c>
      <c r="D263" s="8">
        <f t="shared" si="4"/>
        <v>10000</v>
      </c>
    </row>
    <row r="264" spans="1:4" ht="18" x14ac:dyDescent="0.3">
      <c r="A264" s="10" t="s">
        <v>263</v>
      </c>
      <c r="B264" s="7">
        <v>15</v>
      </c>
      <c r="C264" s="7">
        <v>6000</v>
      </c>
      <c r="D264" s="8">
        <f t="shared" si="4"/>
        <v>90000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5</v>
      </c>
      <c r="C270" s="7">
        <v>25000</v>
      </c>
      <c r="D270" s="8">
        <f t="shared" si="4"/>
        <v>125000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hidden="1" x14ac:dyDescent="0.35">
      <c r="A274" s="10" t="s">
        <v>273</v>
      </c>
      <c r="B274" s="7"/>
      <c r="C274" s="7"/>
      <c r="D274" s="8">
        <f t="shared" si="4"/>
        <v>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hidden="1" x14ac:dyDescent="0.35">
      <c r="A276" s="10" t="s">
        <v>275</v>
      </c>
      <c r="B276" s="7"/>
      <c r="C276" s="7"/>
      <c r="D276" s="8">
        <f t="shared" si="4"/>
        <v>0</v>
      </c>
    </row>
    <row r="277" spans="1:4" ht="18" hidden="1" x14ac:dyDescent="0.35">
      <c r="A277" s="10" t="s">
        <v>276</v>
      </c>
      <c r="B277" s="7"/>
      <c r="C277" s="7"/>
      <c r="D277" s="8">
        <f t="shared" si="4"/>
        <v>0</v>
      </c>
    </row>
    <row r="278" spans="1:4" ht="18" hidden="1" x14ac:dyDescent="0.35">
      <c r="A278" s="22" t="s">
        <v>277</v>
      </c>
      <c r="B278" s="7"/>
      <c r="C278" s="7"/>
      <c r="D278" s="8">
        <f t="shared" si="4"/>
        <v>0</v>
      </c>
    </row>
    <row r="279" spans="1:4" ht="18" hidden="1" x14ac:dyDescent="0.35">
      <c r="A279" s="11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280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11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5329</v>
      </c>
      <c r="C290" s="32"/>
      <c r="D290" s="32">
        <f t="shared" si="5"/>
        <v>88072500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workbookViewId="0">
      <selection activeCell="G32" sqref="G32:H32"/>
    </sheetView>
  </sheetViews>
  <sheetFormatPr defaultRowHeight="15.6" x14ac:dyDescent="0.3"/>
  <cols>
    <col min="1" max="1" width="41.44140625" style="51" customWidth="1"/>
    <col min="2" max="2" width="13.44140625" style="52" customWidth="1"/>
    <col min="3" max="3" width="12.77734375" style="52" customWidth="1"/>
    <col min="4" max="4" width="20.44140625" style="53" customWidth="1"/>
  </cols>
  <sheetData>
    <row r="1" spans="1:4" ht="14.4" x14ac:dyDescent="0.3">
      <c r="A1" s="37" t="s">
        <v>302</v>
      </c>
      <c r="B1" s="2"/>
      <c r="C1" s="2"/>
      <c r="D1" s="3"/>
    </row>
    <row r="2" spans="1:4" ht="14.4" x14ac:dyDescent="0.3">
      <c r="A2" s="5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30" t="s">
        <v>2</v>
      </c>
      <c r="B3" s="7"/>
      <c r="C3" s="7"/>
      <c r="D3" s="8">
        <f>B3*C3</f>
        <v>0</v>
      </c>
    </row>
    <row r="4" spans="1:4" ht="18" hidden="1" x14ac:dyDescent="0.35">
      <c r="A4" s="9" t="s">
        <v>3</v>
      </c>
      <c r="B4" s="7"/>
      <c r="C4" s="7"/>
      <c r="D4" s="8">
        <f t="shared" ref="D4:D67" si="0">B4*C4</f>
        <v>0</v>
      </c>
    </row>
    <row r="5" spans="1:4" ht="18" hidden="1" x14ac:dyDescent="0.35">
      <c r="A5" s="10" t="s">
        <v>4</v>
      </c>
      <c r="B5" s="7"/>
      <c r="C5" s="7"/>
      <c r="D5" s="8">
        <f t="shared" si="0"/>
        <v>0</v>
      </c>
    </row>
    <row r="6" spans="1:4" ht="18" x14ac:dyDescent="0.3">
      <c r="A6" s="30" t="s">
        <v>5</v>
      </c>
      <c r="B6" s="7">
        <v>40</v>
      </c>
      <c r="C6" s="7">
        <v>7000</v>
      </c>
      <c r="D6" s="8">
        <f t="shared" si="0"/>
        <v>280000</v>
      </c>
    </row>
    <row r="7" spans="1:4" ht="18" hidden="1" x14ac:dyDescent="0.35">
      <c r="A7" s="30" t="s">
        <v>6</v>
      </c>
      <c r="B7" s="7"/>
      <c r="C7" s="7"/>
      <c r="D7" s="8">
        <f t="shared" si="0"/>
        <v>0</v>
      </c>
    </row>
    <row r="8" spans="1:4" ht="18" hidden="1" x14ac:dyDescent="0.35">
      <c r="A8" s="38" t="s">
        <v>7</v>
      </c>
      <c r="B8" s="7"/>
      <c r="C8" s="7"/>
      <c r="D8" s="8">
        <f t="shared" si="0"/>
        <v>0</v>
      </c>
    </row>
    <row r="9" spans="1:4" ht="18" hidden="1" x14ac:dyDescent="0.35">
      <c r="A9" s="30" t="s">
        <v>8</v>
      </c>
      <c r="B9" s="7"/>
      <c r="C9" s="7"/>
      <c r="D9" s="8">
        <f t="shared" si="0"/>
        <v>0</v>
      </c>
    </row>
    <row r="10" spans="1:4" ht="18" hidden="1" x14ac:dyDescent="0.35">
      <c r="A10" s="30" t="s">
        <v>9</v>
      </c>
      <c r="B10" s="12"/>
      <c r="C10" s="12"/>
      <c r="D10" s="8">
        <f t="shared" si="0"/>
        <v>0</v>
      </c>
    </row>
    <row r="11" spans="1:4" ht="18" hidden="1" x14ac:dyDescent="0.35">
      <c r="A11" s="30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39" t="s">
        <v>12</v>
      </c>
      <c r="B13" s="7"/>
      <c r="C13" s="7"/>
      <c r="D13" s="8">
        <f t="shared" si="0"/>
        <v>0</v>
      </c>
    </row>
    <row r="14" spans="1:4" ht="18" hidden="1" x14ac:dyDescent="0.35">
      <c r="A14" s="39" t="s">
        <v>13</v>
      </c>
      <c r="B14" s="12"/>
      <c r="C14" s="12"/>
      <c r="D14" s="8">
        <f t="shared" si="0"/>
        <v>0</v>
      </c>
    </row>
    <row r="15" spans="1:4" ht="18" hidden="1" x14ac:dyDescent="0.35">
      <c r="A15" s="40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40" t="s">
        <v>16</v>
      </c>
      <c r="B17" s="7"/>
      <c r="C17" s="7"/>
      <c r="D17" s="8">
        <f t="shared" si="0"/>
        <v>0</v>
      </c>
    </row>
    <row r="18" spans="1:4" ht="18" hidden="1" x14ac:dyDescent="0.35">
      <c r="A18" s="39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39" t="s">
        <v>19</v>
      </c>
      <c r="B20" s="7"/>
      <c r="C20" s="7"/>
      <c r="D20" s="8">
        <f t="shared" si="0"/>
        <v>0</v>
      </c>
    </row>
    <row r="21" spans="1:4" ht="18" hidden="1" x14ac:dyDescent="0.35">
      <c r="A21" s="38" t="s">
        <v>20</v>
      </c>
      <c r="B21" s="7"/>
      <c r="C21" s="7"/>
      <c r="D21" s="8">
        <f t="shared" si="0"/>
        <v>0</v>
      </c>
    </row>
    <row r="22" spans="1:4" ht="18" x14ac:dyDescent="0.3">
      <c r="A22" s="39" t="s">
        <v>21</v>
      </c>
      <c r="B22" s="7">
        <f>5+40+20</f>
        <v>65</v>
      </c>
      <c r="C22" s="7">
        <v>17000</v>
      </c>
      <c r="D22" s="8">
        <f t="shared" si="0"/>
        <v>1105000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39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39" t="s">
        <v>25</v>
      </c>
      <c r="B26" s="7"/>
      <c r="C26" s="7"/>
      <c r="D26" s="8">
        <f t="shared" si="0"/>
        <v>0</v>
      </c>
    </row>
    <row r="27" spans="1:4" ht="18" x14ac:dyDescent="0.3">
      <c r="A27" s="39" t="s">
        <v>26</v>
      </c>
      <c r="B27" s="7">
        <v>9</v>
      </c>
      <c r="C27" s="7">
        <v>16000</v>
      </c>
      <c r="D27" s="8">
        <f t="shared" si="0"/>
        <v>144000</v>
      </c>
    </row>
    <row r="28" spans="1:4" ht="18" x14ac:dyDescent="0.3">
      <c r="A28" s="39" t="s">
        <v>27</v>
      </c>
      <c r="B28" s="7">
        <v>3</v>
      </c>
      <c r="C28" s="7">
        <v>15000</v>
      </c>
      <c r="D28" s="8">
        <f t="shared" si="0"/>
        <v>45000</v>
      </c>
    </row>
    <row r="29" spans="1:4" ht="18" hidden="1" x14ac:dyDescent="0.35">
      <c r="A29" s="39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39" t="s">
        <v>30</v>
      </c>
      <c r="B31" s="7">
        <f>30+5</f>
        <v>35</v>
      </c>
      <c r="C31" s="7">
        <v>32000</v>
      </c>
      <c r="D31" s="8">
        <f t="shared" si="0"/>
        <v>1120000</v>
      </c>
    </row>
    <row r="32" spans="1:4" ht="18" x14ac:dyDescent="0.3">
      <c r="A32" s="39" t="s">
        <v>31</v>
      </c>
      <c r="B32" s="7">
        <v>9</v>
      </c>
      <c r="C32" s="7">
        <v>27000</v>
      </c>
      <c r="D32" s="8">
        <f t="shared" si="0"/>
        <v>243000</v>
      </c>
    </row>
    <row r="33" spans="1:4" ht="18" hidden="1" x14ac:dyDescent="0.35">
      <c r="A33" s="39" t="s">
        <v>32</v>
      </c>
      <c r="B33" s="7"/>
      <c r="C33" s="7"/>
      <c r="D33" s="8">
        <f t="shared" si="0"/>
        <v>0</v>
      </c>
    </row>
    <row r="34" spans="1:4" ht="18" x14ac:dyDescent="0.3">
      <c r="A34" s="39" t="s">
        <v>33</v>
      </c>
      <c r="B34" s="7">
        <f>8+25</f>
        <v>33</v>
      </c>
      <c r="C34" s="7">
        <v>6000</v>
      </c>
      <c r="D34" s="8">
        <f t="shared" si="0"/>
        <v>198000</v>
      </c>
    </row>
    <row r="35" spans="1:4" ht="18" hidden="1" x14ac:dyDescent="0.35">
      <c r="A35" s="41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hidden="1" x14ac:dyDescent="0.35">
      <c r="A37" s="30" t="s">
        <v>36</v>
      </c>
      <c r="B37" s="7"/>
      <c r="C37" s="7"/>
      <c r="D37" s="8">
        <f t="shared" si="0"/>
        <v>0</v>
      </c>
    </row>
    <row r="38" spans="1:4" ht="18" hidden="1" x14ac:dyDescent="0.35">
      <c r="A38" s="39" t="s">
        <v>37</v>
      </c>
      <c r="B38" s="7"/>
      <c r="C38" s="7"/>
      <c r="D38" s="8">
        <f t="shared" si="0"/>
        <v>0</v>
      </c>
    </row>
    <row r="39" spans="1:4" ht="18" x14ac:dyDescent="0.3">
      <c r="A39" s="39" t="s">
        <v>38</v>
      </c>
      <c r="B39" s="7">
        <v>40</v>
      </c>
      <c r="C39" s="7">
        <v>27000</v>
      </c>
      <c r="D39" s="8">
        <f t="shared" si="0"/>
        <v>1080000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39" t="s">
        <v>40</v>
      </c>
      <c r="B41" s="7">
        <f>225+15</f>
        <v>240</v>
      </c>
      <c r="C41" s="7">
        <v>13000</v>
      </c>
      <c r="D41" s="8">
        <f t="shared" si="0"/>
        <v>3120000</v>
      </c>
    </row>
    <row r="42" spans="1:4" ht="18" hidden="1" x14ac:dyDescent="0.35">
      <c r="A42" s="39" t="s">
        <v>41</v>
      </c>
      <c r="B42" s="7"/>
      <c r="C42" s="7"/>
      <c r="D42" s="8">
        <f t="shared" si="0"/>
        <v>0</v>
      </c>
    </row>
    <row r="43" spans="1:4" ht="18" hidden="1" x14ac:dyDescent="0.35">
      <c r="A43" s="39" t="s">
        <v>42</v>
      </c>
      <c r="B43" s="7"/>
      <c r="C43" s="7"/>
      <c r="D43" s="8">
        <f t="shared" si="0"/>
        <v>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6" t="s">
        <v>44</v>
      </c>
      <c r="B45" s="7"/>
      <c r="C45" s="7"/>
      <c r="D45" s="8">
        <f t="shared" si="0"/>
        <v>0</v>
      </c>
    </row>
    <row r="46" spans="1:4" ht="18" x14ac:dyDescent="0.3">
      <c r="A46" s="39" t="s">
        <v>46</v>
      </c>
      <c r="B46" s="7">
        <v>120</v>
      </c>
      <c r="C46" s="7">
        <v>7000</v>
      </c>
      <c r="D46" s="8">
        <f t="shared" si="0"/>
        <v>840000</v>
      </c>
    </row>
    <row r="47" spans="1:4" ht="18" hidden="1" x14ac:dyDescent="0.35">
      <c r="A47" s="41" t="s">
        <v>47</v>
      </c>
      <c r="B47" s="7"/>
      <c r="C47" s="7"/>
      <c r="D47" s="8">
        <f t="shared" si="0"/>
        <v>0</v>
      </c>
    </row>
    <row r="48" spans="1:4" ht="18" hidden="1" x14ac:dyDescent="0.35">
      <c r="A48" s="11" t="s">
        <v>300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39" t="s">
        <v>49</v>
      </c>
      <c r="B50" s="7"/>
      <c r="C50" s="7"/>
      <c r="D50" s="8">
        <f t="shared" si="0"/>
        <v>0</v>
      </c>
    </row>
    <row r="51" spans="1:4" ht="18" x14ac:dyDescent="0.3">
      <c r="A51" s="39" t="s">
        <v>50</v>
      </c>
      <c r="B51" s="7">
        <v>22</v>
      </c>
      <c r="C51" s="7">
        <v>8000</v>
      </c>
      <c r="D51" s="8">
        <f t="shared" si="0"/>
        <v>176000</v>
      </c>
    </row>
    <row r="52" spans="1:4" ht="18" hidden="1" x14ac:dyDescent="0.35">
      <c r="A52" s="30" t="s">
        <v>51</v>
      </c>
      <c r="B52" s="7"/>
      <c r="C52" s="7"/>
      <c r="D52" s="8">
        <f t="shared" si="0"/>
        <v>0</v>
      </c>
    </row>
    <row r="53" spans="1:4" ht="18" hidden="1" x14ac:dyDescent="0.35">
      <c r="A53" s="39" t="s">
        <v>52</v>
      </c>
      <c r="B53" s="7"/>
      <c r="C53" s="7"/>
      <c r="D53" s="8">
        <f t="shared" si="0"/>
        <v>0</v>
      </c>
    </row>
    <row r="54" spans="1:4" ht="18" hidden="1" x14ac:dyDescent="0.35">
      <c r="A54" s="41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42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43" t="s">
        <v>57</v>
      </c>
      <c r="B58" s="7"/>
      <c r="C58" s="7"/>
      <c r="D58" s="8">
        <f t="shared" si="0"/>
        <v>0</v>
      </c>
    </row>
    <row r="59" spans="1:4" ht="18" hidden="1" x14ac:dyDescent="0.35">
      <c r="A59" s="39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30" t="s">
        <v>60</v>
      </c>
      <c r="B61" s="7"/>
      <c r="C61" s="7"/>
      <c r="D61" s="8">
        <f t="shared" si="0"/>
        <v>0</v>
      </c>
    </row>
    <row r="62" spans="1:4" ht="18" x14ac:dyDescent="0.3">
      <c r="A62" s="39" t="s">
        <v>61</v>
      </c>
      <c r="B62" s="7">
        <v>5</v>
      </c>
      <c r="C62" s="7">
        <v>12000</v>
      </c>
      <c r="D62" s="8">
        <f t="shared" si="0"/>
        <v>60000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30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30" t="s">
        <v>67</v>
      </c>
      <c r="B68" s="7">
        <f>45+10+200+100+60</f>
        <v>415</v>
      </c>
      <c r="C68" s="7">
        <v>27000</v>
      </c>
      <c r="D68" s="8">
        <f t="shared" ref="D68:D131" si="1">B68*C68</f>
        <v>11205000</v>
      </c>
    </row>
    <row r="69" spans="1:4" ht="18" hidden="1" x14ac:dyDescent="0.35">
      <c r="A69" s="39" t="s">
        <v>68</v>
      </c>
      <c r="B69" s="7"/>
      <c r="C69" s="7"/>
      <c r="D69" s="8">
        <f t="shared" si="1"/>
        <v>0</v>
      </c>
    </row>
    <row r="70" spans="1:4" ht="18" hidden="1" x14ac:dyDescent="0.35">
      <c r="A70" s="39" t="s">
        <v>69</v>
      </c>
      <c r="B70" s="7"/>
      <c r="C70" s="7"/>
      <c r="D70" s="8">
        <f t="shared" si="1"/>
        <v>0</v>
      </c>
    </row>
    <row r="71" spans="1:4" ht="18" x14ac:dyDescent="0.3">
      <c r="A71" s="39" t="s">
        <v>70</v>
      </c>
      <c r="B71" s="7">
        <f>7+30</f>
        <v>37</v>
      </c>
      <c r="C71" s="7">
        <v>12000</v>
      </c>
      <c r="D71" s="8">
        <f t="shared" si="1"/>
        <v>444000</v>
      </c>
    </row>
    <row r="72" spans="1:4" ht="18" hidden="1" x14ac:dyDescent="0.35">
      <c r="A72" s="39" t="s">
        <v>71</v>
      </c>
      <c r="B72" s="7"/>
      <c r="C72" s="7"/>
      <c r="D72" s="8">
        <f t="shared" si="1"/>
        <v>0</v>
      </c>
    </row>
    <row r="73" spans="1:4" ht="18" hidden="1" x14ac:dyDescent="0.35">
      <c r="A73" s="44" t="s">
        <v>72</v>
      </c>
      <c r="B73" s="7"/>
      <c r="C73" s="7"/>
      <c r="D73" s="8">
        <f t="shared" si="1"/>
        <v>0</v>
      </c>
    </row>
    <row r="74" spans="1:4" ht="18" hidden="1" x14ac:dyDescent="0.35">
      <c r="A74" s="45" t="s">
        <v>73</v>
      </c>
      <c r="B74" s="7"/>
      <c r="C74" s="7"/>
      <c r="D74" s="8">
        <f t="shared" si="1"/>
        <v>0</v>
      </c>
    </row>
    <row r="75" spans="1:4" ht="18" hidden="1" x14ac:dyDescent="0.35">
      <c r="A75" s="44" t="s">
        <v>74</v>
      </c>
      <c r="B75" s="7"/>
      <c r="C75" s="7"/>
      <c r="D75" s="8">
        <f t="shared" si="1"/>
        <v>0</v>
      </c>
    </row>
    <row r="76" spans="1:4" ht="18" hidden="1" x14ac:dyDescent="0.35">
      <c r="A76" s="41" t="s">
        <v>75</v>
      </c>
      <c r="B76" s="7"/>
      <c r="C76" s="7"/>
      <c r="D76" s="8">
        <f t="shared" si="1"/>
        <v>0</v>
      </c>
    </row>
    <row r="77" spans="1:4" ht="18" hidden="1" x14ac:dyDescent="0.35">
      <c r="A77" s="46" t="s">
        <v>76</v>
      </c>
      <c r="B77" s="7"/>
      <c r="C77" s="7"/>
      <c r="D77" s="8">
        <f t="shared" si="1"/>
        <v>0</v>
      </c>
    </row>
    <row r="78" spans="1:4" ht="18" hidden="1" x14ac:dyDescent="0.35">
      <c r="A78" s="46" t="s">
        <v>77</v>
      </c>
      <c r="B78" s="7"/>
      <c r="C78" s="7"/>
      <c r="D78" s="8">
        <f t="shared" si="1"/>
        <v>0</v>
      </c>
    </row>
    <row r="79" spans="1:4" ht="18" hidden="1" x14ac:dyDescent="0.35">
      <c r="A79" s="46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39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x14ac:dyDescent="0.3">
      <c r="A83" s="39" t="s">
        <v>82</v>
      </c>
      <c r="B83" s="7">
        <f>60+20</f>
        <v>80</v>
      </c>
      <c r="C83" s="7">
        <v>26000</v>
      </c>
      <c r="D83" s="8">
        <f t="shared" si="1"/>
        <v>2080000</v>
      </c>
    </row>
    <row r="84" spans="1:4" ht="18" hidden="1" x14ac:dyDescent="0.35">
      <c r="A84" s="39" t="s">
        <v>83</v>
      </c>
      <c r="B84" s="7"/>
      <c r="C84" s="7"/>
      <c r="D84" s="8">
        <f t="shared" si="1"/>
        <v>0</v>
      </c>
    </row>
    <row r="85" spans="1:4" ht="18" hidden="1" x14ac:dyDescent="0.35">
      <c r="A85" s="39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39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39" t="s">
        <v>89</v>
      </c>
      <c r="B90" s="7"/>
      <c r="C90" s="7"/>
      <c r="D90" s="8">
        <f t="shared" si="1"/>
        <v>0</v>
      </c>
    </row>
    <row r="91" spans="1:4" ht="18" hidden="1" x14ac:dyDescent="0.35">
      <c r="A91" s="39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41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47" t="s">
        <v>95</v>
      </c>
      <c r="B96" s="7"/>
      <c r="C96" s="7"/>
      <c r="D96" s="8">
        <f t="shared" si="1"/>
        <v>0</v>
      </c>
    </row>
    <row r="97" spans="1:4" ht="18" hidden="1" x14ac:dyDescent="0.35">
      <c r="A97" s="48" t="s">
        <v>96</v>
      </c>
      <c r="B97" s="7"/>
      <c r="C97" s="7"/>
      <c r="D97" s="8">
        <f t="shared" si="1"/>
        <v>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x14ac:dyDescent="0.3">
      <c r="A99" s="39" t="s">
        <v>98</v>
      </c>
      <c r="B99" s="7">
        <v>12</v>
      </c>
      <c r="C99" s="7">
        <v>28000</v>
      </c>
      <c r="D99" s="8">
        <f t="shared" si="1"/>
        <v>336000</v>
      </c>
    </row>
    <row r="100" spans="1:4" ht="18" hidden="1" x14ac:dyDescent="0.35">
      <c r="A100" s="39" t="s">
        <v>99</v>
      </c>
      <c r="B100" s="7"/>
      <c r="C100" s="7"/>
      <c r="D100" s="8">
        <f t="shared" si="1"/>
        <v>0</v>
      </c>
    </row>
    <row r="101" spans="1:4" ht="18" hidden="1" x14ac:dyDescent="0.35">
      <c r="A101" s="41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39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39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30" t="s">
        <v>113</v>
      </c>
      <c r="B114" s="7">
        <v>380</v>
      </c>
      <c r="C114" s="7">
        <v>9000</v>
      </c>
      <c r="D114" s="8">
        <f t="shared" si="1"/>
        <v>3420000</v>
      </c>
    </row>
    <row r="115" spans="1:4" ht="18" x14ac:dyDescent="0.3">
      <c r="A115" s="39" t="s">
        <v>114</v>
      </c>
      <c r="B115" s="7">
        <v>15</v>
      </c>
      <c r="C115" s="7">
        <v>6000</v>
      </c>
      <c r="D115" s="8">
        <f t="shared" si="1"/>
        <v>90000</v>
      </c>
    </row>
    <row r="116" spans="1:4" ht="18" hidden="1" x14ac:dyDescent="0.35">
      <c r="A116" s="39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39" t="s">
        <v>120</v>
      </c>
      <c r="B121" s="7">
        <v>120</v>
      </c>
      <c r="C121" s="7">
        <v>4500</v>
      </c>
      <c r="D121" s="8">
        <f t="shared" si="1"/>
        <v>540000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38" t="s">
        <v>122</v>
      </c>
      <c r="B123" s="7"/>
      <c r="C123" s="7"/>
      <c r="D123" s="8">
        <f t="shared" si="1"/>
        <v>0</v>
      </c>
    </row>
    <row r="124" spans="1:4" ht="18" hidden="1" x14ac:dyDescent="0.35">
      <c r="A124" s="46" t="s">
        <v>123</v>
      </c>
      <c r="B124" s="7"/>
      <c r="C124" s="7"/>
      <c r="D124" s="8">
        <f t="shared" si="1"/>
        <v>0</v>
      </c>
    </row>
    <row r="125" spans="1:4" ht="18" hidden="1" x14ac:dyDescent="0.35">
      <c r="A125" s="49" t="s">
        <v>124</v>
      </c>
      <c r="B125" s="7"/>
      <c r="C125" s="7"/>
      <c r="D125" s="8">
        <f t="shared" si="1"/>
        <v>0</v>
      </c>
    </row>
    <row r="126" spans="1:4" ht="18" x14ac:dyDescent="0.3">
      <c r="A126" s="46" t="s">
        <v>125</v>
      </c>
      <c r="B126" s="7">
        <v>3</v>
      </c>
      <c r="C126" s="7">
        <v>9000</v>
      </c>
      <c r="D126" s="8">
        <f t="shared" si="1"/>
        <v>27000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30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39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41" t="s">
        <v>132</v>
      </c>
      <c r="B133" s="7"/>
      <c r="C133" s="7"/>
      <c r="D133" s="8">
        <f t="shared" si="2"/>
        <v>0</v>
      </c>
    </row>
    <row r="134" spans="1:4" ht="18" hidden="1" x14ac:dyDescent="0.35">
      <c r="A134" s="41" t="s">
        <v>133</v>
      </c>
      <c r="B134" s="7"/>
      <c r="C134" s="7"/>
      <c r="D134" s="8">
        <f t="shared" si="2"/>
        <v>0</v>
      </c>
    </row>
    <row r="135" spans="1:4" ht="18" hidden="1" x14ac:dyDescent="0.35">
      <c r="A135" s="41" t="s">
        <v>134</v>
      </c>
      <c r="B135" s="7"/>
      <c r="C135" s="7"/>
      <c r="D135" s="8">
        <f t="shared" si="2"/>
        <v>0</v>
      </c>
    </row>
    <row r="136" spans="1:4" ht="18" hidden="1" x14ac:dyDescent="0.35">
      <c r="A136" s="39" t="s">
        <v>135</v>
      </c>
      <c r="B136" s="7"/>
      <c r="C136" s="7"/>
      <c r="D136" s="8">
        <f t="shared" si="2"/>
        <v>0</v>
      </c>
    </row>
    <row r="137" spans="1:4" ht="18" hidden="1" x14ac:dyDescent="0.35">
      <c r="A137" s="41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30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39" t="s">
        <v>139</v>
      </c>
      <c r="B140" s="7"/>
      <c r="C140" s="7"/>
      <c r="D140" s="8">
        <f t="shared" si="2"/>
        <v>0</v>
      </c>
    </row>
    <row r="141" spans="1:4" ht="18" hidden="1" x14ac:dyDescent="0.35">
      <c r="A141" s="46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39" t="s">
        <v>142</v>
      </c>
      <c r="B143" s="7">
        <f>15+40+100+280</f>
        <v>435</v>
      </c>
      <c r="C143" s="7">
        <v>28000</v>
      </c>
      <c r="D143" s="8">
        <f t="shared" si="2"/>
        <v>12180000</v>
      </c>
    </row>
    <row r="144" spans="1:4" ht="18" x14ac:dyDescent="0.3">
      <c r="A144" s="50" t="s">
        <v>143</v>
      </c>
      <c r="B144" s="7">
        <f>20+15</f>
        <v>35</v>
      </c>
      <c r="C144" s="7">
        <v>20000</v>
      </c>
      <c r="D144" s="8">
        <f t="shared" si="2"/>
        <v>700000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39" t="s">
        <v>145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146</v>
      </c>
      <c r="B147" s="7"/>
      <c r="C147" s="7"/>
      <c r="D147" s="8">
        <f t="shared" si="2"/>
        <v>0</v>
      </c>
    </row>
    <row r="148" spans="1:4" ht="18" hidden="1" x14ac:dyDescent="0.35">
      <c r="A148" s="39" t="s">
        <v>147</v>
      </c>
      <c r="B148" s="7"/>
      <c r="C148" s="7"/>
      <c r="D148" s="8">
        <f t="shared" si="2"/>
        <v>0</v>
      </c>
    </row>
    <row r="149" spans="1:4" ht="18" hidden="1" x14ac:dyDescent="0.35">
      <c r="A149" s="14" t="s">
        <v>148</v>
      </c>
      <c r="B149" s="7"/>
      <c r="C149" s="7"/>
      <c r="D149" s="8">
        <f t="shared" si="2"/>
        <v>0</v>
      </c>
    </row>
    <row r="150" spans="1:4" ht="18" x14ac:dyDescent="0.3">
      <c r="A150" s="41" t="s">
        <v>149</v>
      </c>
      <c r="B150" s="7">
        <v>11</v>
      </c>
      <c r="C150" s="7">
        <v>6000</v>
      </c>
      <c r="D150" s="8">
        <f t="shared" si="2"/>
        <v>66000</v>
      </c>
    </row>
    <row r="151" spans="1:4" ht="18" hidden="1" x14ac:dyDescent="0.35">
      <c r="A151" s="16" t="s">
        <v>150</v>
      </c>
      <c r="B151" s="7"/>
      <c r="C151" s="7"/>
      <c r="D151" s="8">
        <f t="shared" si="2"/>
        <v>0</v>
      </c>
    </row>
    <row r="152" spans="1:4" ht="18" hidden="1" x14ac:dyDescent="0.35">
      <c r="A152" s="38" t="s">
        <v>151</v>
      </c>
      <c r="B152" s="7"/>
      <c r="C152" s="7"/>
      <c r="D152" s="8">
        <f t="shared" si="2"/>
        <v>0</v>
      </c>
    </row>
    <row r="153" spans="1:4" ht="18" hidden="1" x14ac:dyDescent="0.35">
      <c r="A153" s="39" t="s">
        <v>152</v>
      </c>
      <c r="B153" s="7"/>
      <c r="C153" s="7"/>
      <c r="D153" s="8">
        <f t="shared" si="2"/>
        <v>0</v>
      </c>
    </row>
    <row r="154" spans="1:4" ht="18" hidden="1" x14ac:dyDescent="0.35">
      <c r="A154" s="39" t="s">
        <v>153</v>
      </c>
      <c r="B154" s="7"/>
      <c r="C154" s="7"/>
      <c r="D154" s="8">
        <f t="shared" si="2"/>
        <v>0</v>
      </c>
    </row>
    <row r="155" spans="1:4" ht="18" hidden="1" x14ac:dyDescent="0.35">
      <c r="A155" s="39" t="s">
        <v>154</v>
      </c>
      <c r="B155" s="7"/>
      <c r="C155" s="7"/>
      <c r="D155" s="8">
        <f t="shared" si="2"/>
        <v>0</v>
      </c>
    </row>
    <row r="156" spans="1:4" ht="18" hidden="1" x14ac:dyDescent="0.35">
      <c r="A156" s="39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39" t="s">
        <v>158</v>
      </c>
      <c r="B159" s="7"/>
      <c r="C159" s="7"/>
      <c r="D159" s="8">
        <f t="shared" si="2"/>
        <v>0</v>
      </c>
    </row>
    <row r="160" spans="1:4" ht="18" hidden="1" x14ac:dyDescent="0.35">
      <c r="A160" s="39" t="s">
        <v>159</v>
      </c>
      <c r="B160" s="7"/>
      <c r="C160" s="7"/>
      <c r="D160" s="8">
        <f t="shared" si="2"/>
        <v>0</v>
      </c>
    </row>
    <row r="161" spans="1:4" ht="18" hidden="1" x14ac:dyDescent="0.35">
      <c r="A161" s="41" t="s">
        <v>160</v>
      </c>
      <c r="B161" s="7"/>
      <c r="C161" s="7"/>
      <c r="D161" s="8">
        <f t="shared" si="2"/>
        <v>0</v>
      </c>
    </row>
    <row r="162" spans="1:4" ht="18" hidden="1" x14ac:dyDescent="0.35">
      <c r="A162" s="39" t="s">
        <v>161</v>
      </c>
      <c r="B162" s="7"/>
      <c r="C162" s="7"/>
      <c r="D162" s="8">
        <f t="shared" si="2"/>
        <v>0</v>
      </c>
    </row>
    <row r="163" spans="1:4" ht="18" hidden="1" x14ac:dyDescent="0.35">
      <c r="A163" s="39" t="s">
        <v>162</v>
      </c>
      <c r="B163" s="7"/>
      <c r="C163" s="7"/>
      <c r="D163" s="8">
        <f t="shared" si="2"/>
        <v>0</v>
      </c>
    </row>
    <row r="164" spans="1:4" ht="18" x14ac:dyDescent="0.3">
      <c r="A164" s="39" t="s">
        <v>163</v>
      </c>
      <c r="B164" s="7">
        <f>150+20</f>
        <v>170</v>
      </c>
      <c r="C164" s="7">
        <v>19000</v>
      </c>
      <c r="D164" s="8">
        <f t="shared" si="2"/>
        <v>3230000</v>
      </c>
    </row>
    <row r="165" spans="1:4" ht="18" hidden="1" x14ac:dyDescent="0.35">
      <c r="A165" s="46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v>20</v>
      </c>
      <c r="C167" s="7">
        <v>17000</v>
      </c>
      <c r="D167" s="8">
        <f t="shared" si="2"/>
        <v>340000</v>
      </c>
    </row>
    <row r="168" spans="1:4" ht="18" hidden="1" x14ac:dyDescent="0.35">
      <c r="A168" s="39" t="s">
        <v>167</v>
      </c>
      <c r="B168" s="7"/>
      <c r="C168" s="7"/>
      <c r="D168" s="8">
        <f t="shared" si="2"/>
        <v>0</v>
      </c>
    </row>
    <row r="169" spans="1:4" ht="18" hidden="1" x14ac:dyDescent="0.35">
      <c r="A169" s="46" t="s">
        <v>168</v>
      </c>
      <c r="B169" s="7"/>
      <c r="C169" s="7"/>
      <c r="D169" s="8">
        <f t="shared" si="2"/>
        <v>0</v>
      </c>
    </row>
    <row r="170" spans="1:4" ht="18" hidden="1" x14ac:dyDescent="0.35">
      <c r="A170" s="39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38" t="s">
        <v>174</v>
      </c>
      <c r="B175" s="7"/>
      <c r="C175" s="7"/>
      <c r="D175" s="8">
        <f t="shared" si="2"/>
        <v>0</v>
      </c>
    </row>
    <row r="176" spans="1:4" ht="18" x14ac:dyDescent="0.3">
      <c r="A176" s="30" t="s">
        <v>175</v>
      </c>
      <c r="B176" s="7">
        <v>20</v>
      </c>
      <c r="C176" s="7">
        <v>11000</v>
      </c>
      <c r="D176" s="8">
        <f t="shared" si="2"/>
        <v>220000</v>
      </c>
    </row>
    <row r="177" spans="1:4" ht="18" x14ac:dyDescent="0.3">
      <c r="A177" s="30" t="s">
        <v>176</v>
      </c>
      <c r="B177" s="7">
        <f>300+80+180+60</f>
        <v>620</v>
      </c>
      <c r="C177" s="7">
        <v>32000</v>
      </c>
      <c r="D177" s="8">
        <f t="shared" si="2"/>
        <v>19840000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x14ac:dyDescent="0.3">
      <c r="A179" s="30" t="s">
        <v>178</v>
      </c>
      <c r="B179" s="7">
        <f>120+160+40</f>
        <v>320</v>
      </c>
      <c r="C179" s="7">
        <v>32000</v>
      </c>
      <c r="D179" s="8">
        <f t="shared" si="2"/>
        <v>10240000</v>
      </c>
    </row>
    <row r="180" spans="1:4" ht="18" x14ac:dyDescent="0.3">
      <c r="A180" s="30" t="s">
        <v>179</v>
      </c>
      <c r="B180" s="7">
        <v>19</v>
      </c>
      <c r="C180" s="7">
        <v>25000</v>
      </c>
      <c r="D180" s="8">
        <f t="shared" si="2"/>
        <v>475000</v>
      </c>
    </row>
    <row r="181" spans="1:4" ht="18" hidden="1" x14ac:dyDescent="0.35">
      <c r="A181" s="30" t="s">
        <v>180</v>
      </c>
      <c r="B181" s="7"/>
      <c r="C181" s="7"/>
      <c r="D181" s="8">
        <f t="shared" si="2"/>
        <v>0</v>
      </c>
    </row>
    <row r="182" spans="1:4" ht="18" hidden="1" x14ac:dyDescent="0.35">
      <c r="A182" s="39" t="s">
        <v>181</v>
      </c>
      <c r="B182" s="7"/>
      <c r="C182" s="7"/>
      <c r="D182" s="8">
        <f t="shared" si="2"/>
        <v>0</v>
      </c>
    </row>
    <row r="183" spans="1:4" ht="18" hidden="1" x14ac:dyDescent="0.35">
      <c r="A183" s="39" t="s">
        <v>182</v>
      </c>
      <c r="B183" s="7"/>
      <c r="C183" s="7"/>
      <c r="D183" s="8">
        <f t="shared" si="2"/>
        <v>0</v>
      </c>
    </row>
    <row r="184" spans="1:4" ht="18" hidden="1" x14ac:dyDescent="0.35">
      <c r="A184" s="39" t="s">
        <v>183</v>
      </c>
      <c r="B184" s="7"/>
      <c r="C184" s="7"/>
      <c r="D184" s="8">
        <f t="shared" si="2"/>
        <v>0</v>
      </c>
    </row>
    <row r="185" spans="1:4" ht="18" hidden="1" x14ac:dyDescent="0.35">
      <c r="A185" s="39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39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hidden="1" x14ac:dyDescent="0.35">
      <c r="A189" s="39" t="s">
        <v>188</v>
      </c>
      <c r="B189" s="7"/>
      <c r="C189" s="7"/>
      <c r="D189" s="8">
        <f t="shared" si="2"/>
        <v>0</v>
      </c>
    </row>
    <row r="190" spans="1:4" ht="18" hidden="1" x14ac:dyDescent="0.35">
      <c r="A190" s="40" t="s">
        <v>189</v>
      </c>
      <c r="B190" s="7"/>
      <c r="C190" s="7"/>
      <c r="D190" s="8">
        <f t="shared" si="2"/>
        <v>0</v>
      </c>
    </row>
    <row r="191" spans="1:4" ht="18" hidden="1" x14ac:dyDescent="0.35">
      <c r="A191" s="44" t="s">
        <v>190</v>
      </c>
      <c r="B191" s="7"/>
      <c r="C191" s="7"/>
      <c r="D191" s="8">
        <f t="shared" si="2"/>
        <v>0</v>
      </c>
    </row>
    <row r="192" spans="1:4" ht="18" hidden="1" x14ac:dyDescent="0.35">
      <c r="A192" s="39" t="s">
        <v>191</v>
      </c>
      <c r="B192" s="7"/>
      <c r="C192" s="7"/>
      <c r="D192" s="8">
        <f t="shared" si="2"/>
        <v>0</v>
      </c>
    </row>
    <row r="193" spans="1:4" ht="18" x14ac:dyDescent="0.3">
      <c r="A193" s="39" t="s">
        <v>192</v>
      </c>
      <c r="B193" s="7">
        <v>141</v>
      </c>
      <c r="C193" s="7">
        <v>8000</v>
      </c>
      <c r="D193" s="8">
        <f t="shared" si="2"/>
        <v>1128000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39" t="s">
        <v>194</v>
      </c>
      <c r="B195" s="7">
        <v>135</v>
      </c>
      <c r="C195" s="7">
        <v>8000</v>
      </c>
      <c r="D195" s="8">
        <f t="shared" si="2"/>
        <v>1080000</v>
      </c>
    </row>
    <row r="196" spans="1:4" ht="18" hidden="1" x14ac:dyDescent="0.35">
      <c r="A196" s="39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hidden="1" x14ac:dyDescent="0.35">
      <c r="A200" s="30" t="s">
        <v>199</v>
      </c>
      <c r="B200" s="7"/>
      <c r="C200" s="7"/>
      <c r="D200" s="8">
        <f t="shared" si="3"/>
        <v>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39" t="s">
        <v>207</v>
      </c>
      <c r="B208" s="7"/>
      <c r="C208" s="7"/>
      <c r="D208" s="8">
        <f t="shared" si="3"/>
        <v>0</v>
      </c>
    </row>
    <row r="209" spans="1:4" ht="18" hidden="1" x14ac:dyDescent="0.35">
      <c r="A209" s="30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x14ac:dyDescent="0.3">
      <c r="A213" s="39" t="s">
        <v>212</v>
      </c>
      <c r="B213" s="7">
        <v>3</v>
      </c>
      <c r="C213" s="7">
        <v>25000</v>
      </c>
      <c r="D213" s="8">
        <f t="shared" si="3"/>
        <v>75000</v>
      </c>
    </row>
    <row r="214" spans="1:4" ht="18" hidden="1" x14ac:dyDescent="0.35">
      <c r="A214" s="38" t="s">
        <v>213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39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39" t="s">
        <v>218</v>
      </c>
      <c r="B219" s="7"/>
      <c r="C219" s="7"/>
      <c r="D219" s="8">
        <f t="shared" si="3"/>
        <v>0</v>
      </c>
    </row>
    <row r="220" spans="1:4" ht="18" hidden="1" x14ac:dyDescent="0.35">
      <c r="A220" s="39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39" t="s">
        <v>222</v>
      </c>
      <c r="B223" s="7"/>
      <c r="C223" s="7"/>
      <c r="D223" s="8">
        <f t="shared" si="3"/>
        <v>0</v>
      </c>
    </row>
    <row r="224" spans="1:4" ht="18" hidden="1" x14ac:dyDescent="0.35">
      <c r="A224" s="39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38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41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40" t="s">
        <v>229</v>
      </c>
      <c r="B230" s="7"/>
      <c r="C230" s="7"/>
      <c r="D230" s="8">
        <f t="shared" si="3"/>
        <v>0</v>
      </c>
    </row>
    <row r="231" spans="1:4" ht="18" hidden="1" x14ac:dyDescent="0.35">
      <c r="A231" s="38" t="s">
        <v>230</v>
      </c>
      <c r="B231" s="7"/>
      <c r="C231" s="7"/>
      <c r="D231" s="8">
        <f t="shared" si="3"/>
        <v>0</v>
      </c>
    </row>
    <row r="232" spans="1:4" ht="18" x14ac:dyDescent="0.3">
      <c r="A232" s="39" t="s">
        <v>231</v>
      </c>
      <c r="B232" s="7">
        <v>15</v>
      </c>
      <c r="C232" s="7">
        <v>17000</v>
      </c>
      <c r="D232" s="8">
        <f t="shared" si="3"/>
        <v>255000</v>
      </c>
    </row>
    <row r="233" spans="1:4" ht="18" hidden="1" x14ac:dyDescent="0.35">
      <c r="A233" s="39" t="s">
        <v>232</v>
      </c>
      <c r="B233" s="7"/>
      <c r="C233" s="7"/>
      <c r="D233" s="8">
        <f t="shared" si="3"/>
        <v>0</v>
      </c>
    </row>
    <row r="234" spans="1:4" ht="18" hidden="1" x14ac:dyDescent="0.35">
      <c r="A234" s="41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39" t="s">
        <v>236</v>
      </c>
      <c r="B237" s="7"/>
      <c r="C237" s="7"/>
      <c r="D237" s="8">
        <f t="shared" si="3"/>
        <v>0</v>
      </c>
    </row>
    <row r="238" spans="1:4" ht="18" hidden="1" x14ac:dyDescent="0.35">
      <c r="A238" s="40" t="s">
        <v>237</v>
      </c>
      <c r="B238" s="7"/>
      <c r="C238" s="7"/>
      <c r="D238" s="8">
        <f t="shared" si="3"/>
        <v>0</v>
      </c>
    </row>
    <row r="239" spans="1:4" ht="18" hidden="1" x14ac:dyDescent="0.35">
      <c r="A239" s="39" t="s">
        <v>238</v>
      </c>
      <c r="B239" s="7"/>
      <c r="C239" s="7"/>
      <c r="D239" s="8">
        <f t="shared" si="3"/>
        <v>0</v>
      </c>
    </row>
    <row r="240" spans="1:4" ht="18" hidden="1" x14ac:dyDescent="0.35">
      <c r="A240" s="39" t="s">
        <v>239</v>
      </c>
      <c r="B240" s="7"/>
      <c r="C240" s="7"/>
      <c r="D240" s="8">
        <f t="shared" si="3"/>
        <v>0</v>
      </c>
    </row>
    <row r="241" spans="1:4" ht="18" hidden="1" x14ac:dyDescent="0.35">
      <c r="A241" s="39" t="s">
        <v>240</v>
      </c>
      <c r="B241" s="7"/>
      <c r="C241" s="7"/>
      <c r="D241" s="8">
        <f t="shared" si="3"/>
        <v>0</v>
      </c>
    </row>
    <row r="242" spans="1:4" ht="18" hidden="1" x14ac:dyDescent="0.35">
      <c r="A242" s="39" t="s">
        <v>241</v>
      </c>
      <c r="B242" s="7"/>
      <c r="C242" s="7"/>
      <c r="D242" s="8">
        <f t="shared" si="3"/>
        <v>0</v>
      </c>
    </row>
    <row r="243" spans="1:4" ht="18" hidden="1" x14ac:dyDescent="0.35">
      <c r="A243" s="40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hidden="1" x14ac:dyDescent="0.35">
      <c r="A248" s="39" t="s">
        <v>247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40" t="s">
        <v>249</v>
      </c>
      <c r="B250" s="7"/>
      <c r="C250" s="7"/>
      <c r="D250" s="8">
        <f t="shared" si="3"/>
        <v>0</v>
      </c>
    </row>
    <row r="251" spans="1:4" ht="18" hidden="1" x14ac:dyDescent="0.35">
      <c r="A251" s="39" t="s">
        <v>250</v>
      </c>
      <c r="B251" s="7"/>
      <c r="C251" s="7"/>
      <c r="D251" s="8">
        <f t="shared" si="3"/>
        <v>0</v>
      </c>
    </row>
    <row r="252" spans="1:4" ht="18" hidden="1" x14ac:dyDescent="0.35">
      <c r="A252" s="39" t="s">
        <v>251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39" t="s">
        <v>253</v>
      </c>
      <c r="B254" s="7"/>
      <c r="C254" s="7"/>
      <c r="D254" s="8">
        <f t="shared" si="3"/>
        <v>0</v>
      </c>
    </row>
    <row r="255" spans="1:4" ht="18" hidden="1" x14ac:dyDescent="0.35">
      <c r="A255" s="39" t="s">
        <v>254</v>
      </c>
      <c r="B255" s="7"/>
      <c r="C255" s="7"/>
      <c r="D255" s="8">
        <f t="shared" si="3"/>
        <v>0</v>
      </c>
    </row>
    <row r="256" spans="1:4" ht="18" hidden="1" x14ac:dyDescent="0.35">
      <c r="A256" s="39" t="s">
        <v>255</v>
      </c>
      <c r="B256" s="7"/>
      <c r="C256" s="7"/>
      <c r="D256" s="8">
        <f t="shared" si="3"/>
        <v>0</v>
      </c>
    </row>
    <row r="257" spans="1:4" ht="18" hidden="1" x14ac:dyDescent="0.35">
      <c r="A257" s="39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hidden="1" x14ac:dyDescent="0.35">
      <c r="A260" s="39" t="s">
        <v>259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41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hidden="1" x14ac:dyDescent="0.35">
      <c r="A263" s="39" t="s">
        <v>262</v>
      </c>
      <c r="B263" s="7"/>
      <c r="C263" s="7"/>
      <c r="D263" s="8">
        <f t="shared" si="4"/>
        <v>0</v>
      </c>
    </row>
    <row r="264" spans="1:4" ht="18" x14ac:dyDescent="0.3">
      <c r="A264" s="39" t="s">
        <v>263</v>
      </c>
      <c r="B264" s="7">
        <f>15+10+25</f>
        <v>50</v>
      </c>
      <c r="C264" s="7">
        <v>6000</v>
      </c>
      <c r="D264" s="8">
        <f t="shared" si="4"/>
        <v>300000</v>
      </c>
    </row>
    <row r="265" spans="1:4" ht="18" hidden="1" x14ac:dyDescent="0.35">
      <c r="A265" s="39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39" t="s">
        <v>266</v>
      </c>
      <c r="B267" s="7"/>
      <c r="C267" s="7"/>
      <c r="D267" s="8">
        <f t="shared" si="4"/>
        <v>0</v>
      </c>
    </row>
    <row r="268" spans="1:4" ht="18" hidden="1" x14ac:dyDescent="0.35">
      <c r="A268" s="39" t="s">
        <v>267</v>
      </c>
      <c r="B268" s="7"/>
      <c r="C268" s="7"/>
      <c r="D268" s="8">
        <f t="shared" si="4"/>
        <v>0</v>
      </c>
    </row>
    <row r="269" spans="1:4" ht="18" hidden="1" x14ac:dyDescent="0.35">
      <c r="A269" s="46" t="s">
        <v>268</v>
      </c>
      <c r="B269" s="7"/>
      <c r="C269" s="7"/>
      <c r="D269" s="8">
        <f t="shared" si="4"/>
        <v>0</v>
      </c>
    </row>
    <row r="270" spans="1:4" ht="18" x14ac:dyDescent="0.3">
      <c r="A270" s="39" t="s">
        <v>269</v>
      </c>
      <c r="B270" s="7">
        <v>15</v>
      </c>
      <c r="C270" s="7">
        <v>25000</v>
      </c>
      <c r="D270" s="8">
        <f t="shared" si="4"/>
        <v>375000</v>
      </c>
    </row>
    <row r="271" spans="1:4" ht="18" hidden="1" x14ac:dyDescent="0.35">
      <c r="A271" s="39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30" t="s">
        <v>272</v>
      </c>
      <c r="B273" s="12"/>
      <c r="C273" s="7"/>
      <c r="D273" s="8">
        <f t="shared" si="4"/>
        <v>0</v>
      </c>
    </row>
    <row r="274" spans="1:4" ht="18" hidden="1" x14ac:dyDescent="0.35">
      <c r="A274" s="39" t="s">
        <v>273</v>
      </c>
      <c r="B274" s="7"/>
      <c r="C274" s="7"/>
      <c r="D274" s="8">
        <f t="shared" si="4"/>
        <v>0</v>
      </c>
    </row>
    <row r="275" spans="1:4" ht="18" hidden="1" x14ac:dyDescent="0.35">
      <c r="A275" s="39" t="s">
        <v>274</v>
      </c>
      <c r="B275" s="7"/>
      <c r="C275" s="7"/>
      <c r="D275" s="8">
        <f t="shared" si="4"/>
        <v>0</v>
      </c>
    </row>
    <row r="276" spans="1:4" ht="18" x14ac:dyDescent="0.3">
      <c r="A276" s="39" t="s">
        <v>275</v>
      </c>
      <c r="B276" s="7">
        <f>20+25</f>
        <v>45</v>
      </c>
      <c r="C276" s="7">
        <v>4500</v>
      </c>
      <c r="D276" s="8">
        <f t="shared" si="4"/>
        <v>202500</v>
      </c>
    </row>
    <row r="277" spans="1:4" ht="18" hidden="1" x14ac:dyDescent="0.35">
      <c r="A277" s="39" t="s">
        <v>276</v>
      </c>
      <c r="B277" s="7"/>
      <c r="C277" s="7"/>
      <c r="D277" s="8">
        <f t="shared" si="4"/>
        <v>0</v>
      </c>
    </row>
    <row r="278" spans="1:4" ht="18" x14ac:dyDescent="0.3">
      <c r="A278" s="46" t="s">
        <v>277</v>
      </c>
      <c r="B278" s="7">
        <v>25</v>
      </c>
      <c r="C278" s="7">
        <v>3500</v>
      </c>
      <c r="D278" s="8">
        <f t="shared" si="4"/>
        <v>87500</v>
      </c>
    </row>
    <row r="279" spans="1:4" ht="18" hidden="1" x14ac:dyDescent="0.35">
      <c r="A279" s="38" t="s">
        <v>278</v>
      </c>
      <c r="B279" s="7"/>
      <c r="C279" s="7"/>
      <c r="D279" s="8">
        <f t="shared" si="4"/>
        <v>0</v>
      </c>
    </row>
    <row r="280" spans="1:4" ht="18" hidden="1" x14ac:dyDescent="0.35">
      <c r="A280" s="10" t="s">
        <v>279</v>
      </c>
      <c r="B280" s="7"/>
      <c r="C280" s="7"/>
      <c r="D280" s="8">
        <f t="shared" si="4"/>
        <v>0</v>
      </c>
    </row>
    <row r="281" spans="1:4" ht="18" hidden="1" x14ac:dyDescent="0.35">
      <c r="A281" s="39" t="s">
        <v>280</v>
      </c>
      <c r="B281" s="7"/>
      <c r="C281" s="7"/>
      <c r="D281" s="8">
        <f t="shared" si="4"/>
        <v>0</v>
      </c>
    </row>
    <row r="282" spans="1:4" ht="18" x14ac:dyDescent="0.3">
      <c r="A282" s="39" t="s">
        <v>281</v>
      </c>
      <c r="B282" s="7">
        <f>66+3</f>
        <v>69</v>
      </c>
      <c r="C282" s="7">
        <v>6000</v>
      </c>
      <c r="D282" s="8">
        <f t="shared" si="4"/>
        <v>414000</v>
      </c>
    </row>
    <row r="283" spans="1:4" ht="18" hidden="1" x14ac:dyDescent="0.35">
      <c r="A283" s="39" t="s">
        <v>282</v>
      </c>
      <c r="B283" s="7"/>
      <c r="C283" s="7"/>
      <c r="D283" s="8">
        <f t="shared" si="4"/>
        <v>0</v>
      </c>
    </row>
    <row r="284" spans="1:4" ht="18" hidden="1" x14ac:dyDescent="0.35">
      <c r="A284" s="6" t="s">
        <v>283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284</v>
      </c>
      <c r="B285" s="7"/>
      <c r="C285" s="7"/>
      <c r="D285" s="8">
        <f t="shared" si="4"/>
        <v>0</v>
      </c>
    </row>
    <row r="286" spans="1:4" ht="18" hidden="1" x14ac:dyDescent="0.35">
      <c r="A286" s="38" t="s">
        <v>285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286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287</v>
      </c>
      <c r="B288" s="7"/>
      <c r="C288" s="7"/>
      <c r="D288" s="8">
        <f t="shared" si="4"/>
        <v>0</v>
      </c>
    </row>
    <row r="289" spans="1:4" ht="18" hidden="1" x14ac:dyDescent="0.35">
      <c r="A289" s="39" t="s">
        <v>288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3831</v>
      </c>
      <c r="C290" s="32"/>
      <c r="D290" s="32">
        <f t="shared" si="5"/>
        <v>77761000</v>
      </c>
    </row>
  </sheetData>
  <protectedRanges>
    <protectedRange password="CF71" sqref="B291:D65535 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0"/>
  <sheetViews>
    <sheetView topLeftCell="A19" workbookViewId="0">
      <selection activeCell="J291" sqref="J291"/>
    </sheetView>
  </sheetViews>
  <sheetFormatPr defaultRowHeight="14.4" x14ac:dyDescent="0.3"/>
  <cols>
    <col min="1" max="1" width="29.88671875" customWidth="1"/>
    <col min="3" max="3" width="12.77734375" customWidth="1"/>
    <col min="4" max="4" width="19.6640625" customWidth="1"/>
  </cols>
  <sheetData>
    <row r="1" spans="1:4" x14ac:dyDescent="0.3">
      <c r="A1" s="1" t="s">
        <v>307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hidden="1" x14ac:dyDescent="0.35">
      <c r="A6" s="20" t="s">
        <v>190</v>
      </c>
      <c r="B6" s="7"/>
      <c r="C6" s="7"/>
      <c r="D6" s="8">
        <f t="shared" si="0"/>
        <v>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10" t="s">
        <v>49</v>
      </c>
      <c r="B8" s="7"/>
      <c r="C8" s="7"/>
      <c r="D8" s="8">
        <f t="shared" si="0"/>
        <v>0</v>
      </c>
    </row>
    <row r="9" spans="1:4" ht="18" x14ac:dyDescent="0.3">
      <c r="A9" s="10" t="s">
        <v>50</v>
      </c>
      <c r="B9" s="7">
        <v>5</v>
      </c>
      <c r="C9" s="7">
        <v>8000</v>
      </c>
      <c r="D9" s="8">
        <f t="shared" si="0"/>
        <v>40000</v>
      </c>
    </row>
    <row r="10" spans="1:4" ht="18" hidden="1" x14ac:dyDescent="0.35">
      <c r="A10" s="6" t="s">
        <v>51</v>
      </c>
      <c r="B10" s="7"/>
      <c r="C10" s="7"/>
      <c r="D10" s="8">
        <f t="shared" si="0"/>
        <v>0</v>
      </c>
    </row>
    <row r="11" spans="1:4" ht="18" x14ac:dyDescent="0.3">
      <c r="A11" s="6" t="s">
        <v>199</v>
      </c>
      <c r="B11" s="7">
        <v>15</v>
      </c>
      <c r="C11" s="7">
        <v>9500</v>
      </c>
      <c r="D11" s="8">
        <f t="shared" si="0"/>
        <v>142500</v>
      </c>
    </row>
    <row r="12" spans="1:4" ht="18" hidden="1" x14ac:dyDescent="0.35">
      <c r="A12" s="10" t="s">
        <v>117</v>
      </c>
      <c r="B12" s="7"/>
      <c r="C12" s="7"/>
      <c r="D12" s="8">
        <f t="shared" si="0"/>
        <v>0</v>
      </c>
    </row>
    <row r="13" spans="1:4" ht="18" hidden="1" x14ac:dyDescent="0.35">
      <c r="A13" s="10" t="s">
        <v>276</v>
      </c>
      <c r="B13" s="7"/>
      <c r="C13" s="7"/>
      <c r="D13" s="8">
        <f t="shared" si="0"/>
        <v>0</v>
      </c>
    </row>
    <row r="14" spans="1:4" ht="18" hidden="1" x14ac:dyDescent="0.35">
      <c r="A14" s="22" t="s">
        <v>277</v>
      </c>
      <c r="B14" s="7"/>
      <c r="C14" s="7"/>
      <c r="D14" s="8">
        <f t="shared" si="0"/>
        <v>0</v>
      </c>
    </row>
    <row r="15" spans="1:4" ht="18" hidden="1" x14ac:dyDescent="0.35">
      <c r="A15" s="11" t="s">
        <v>278</v>
      </c>
      <c r="B15" s="7"/>
      <c r="C15" s="7"/>
      <c r="D15" s="8">
        <f t="shared" si="0"/>
        <v>0</v>
      </c>
    </row>
    <row r="16" spans="1:4" ht="18" x14ac:dyDescent="0.3">
      <c r="A16" s="10" t="s">
        <v>120</v>
      </c>
      <c r="B16" s="7">
        <f>30+270+30+20-125-5</f>
        <v>220</v>
      </c>
      <c r="C16" s="7">
        <v>5000</v>
      </c>
      <c r="D16" s="8">
        <f t="shared" si="0"/>
        <v>1100000</v>
      </c>
    </row>
    <row r="17" spans="1:4" ht="18" hidden="1" x14ac:dyDescent="0.35">
      <c r="A17" s="6" t="s">
        <v>59</v>
      </c>
      <c r="B17" s="7"/>
      <c r="C17" s="7"/>
      <c r="D17" s="8">
        <f t="shared" si="0"/>
        <v>0</v>
      </c>
    </row>
    <row r="18" spans="1:4" ht="18" hidden="1" x14ac:dyDescent="0.35">
      <c r="A18" s="6" t="s">
        <v>60</v>
      </c>
      <c r="B18" s="7"/>
      <c r="C18" s="7"/>
      <c r="D18" s="8">
        <f t="shared" si="0"/>
        <v>0</v>
      </c>
    </row>
    <row r="19" spans="1:4" ht="18" x14ac:dyDescent="0.3">
      <c r="A19" s="10" t="s">
        <v>262</v>
      </c>
      <c r="B19" s="7">
        <v>3</v>
      </c>
      <c r="C19" s="7">
        <v>10000</v>
      </c>
      <c r="D19" s="8">
        <f t="shared" si="0"/>
        <v>30000</v>
      </c>
    </row>
    <row r="20" spans="1:4" ht="18" x14ac:dyDescent="0.3">
      <c r="A20" s="10" t="s">
        <v>263</v>
      </c>
      <c r="B20" s="7">
        <f>65+10+13</f>
        <v>88</v>
      </c>
      <c r="C20" s="7">
        <v>6000</v>
      </c>
      <c r="D20" s="8">
        <f t="shared" si="0"/>
        <v>528000</v>
      </c>
    </row>
    <row r="21" spans="1:4" ht="18" hidden="1" x14ac:dyDescent="0.35">
      <c r="A21" s="10" t="s">
        <v>264</v>
      </c>
      <c r="B21" s="7"/>
      <c r="C21" s="7"/>
      <c r="D21" s="8">
        <f t="shared" si="0"/>
        <v>0</v>
      </c>
    </row>
    <row r="22" spans="1:4" ht="18" hidden="1" x14ac:dyDescent="0.35">
      <c r="A22" s="10" t="s">
        <v>265</v>
      </c>
      <c r="B22" s="7"/>
      <c r="C22" s="7"/>
      <c r="D22" s="8">
        <f t="shared" si="0"/>
        <v>0</v>
      </c>
    </row>
    <row r="23" spans="1:4" ht="18" hidden="1" x14ac:dyDescent="0.35">
      <c r="A23" s="10" t="s">
        <v>63</v>
      </c>
      <c r="B23" s="7"/>
      <c r="C23" s="7"/>
      <c r="D23" s="8">
        <f t="shared" si="0"/>
        <v>0</v>
      </c>
    </row>
    <row r="24" spans="1:4" ht="18" hidden="1" x14ac:dyDescent="0.35">
      <c r="A24" s="6" t="s">
        <v>64</v>
      </c>
      <c r="B24" s="7"/>
      <c r="C24" s="7"/>
      <c r="D24" s="8">
        <f t="shared" si="0"/>
        <v>0</v>
      </c>
    </row>
    <row r="25" spans="1:4" ht="18" x14ac:dyDescent="0.3">
      <c r="A25" s="6" t="s">
        <v>65</v>
      </c>
      <c r="B25" s="7">
        <v>20</v>
      </c>
      <c r="C25" s="7">
        <v>12000</v>
      </c>
      <c r="D25" s="8">
        <f t="shared" si="0"/>
        <v>240000</v>
      </c>
    </row>
    <row r="26" spans="1:4" ht="18" hidden="1" x14ac:dyDescent="0.35">
      <c r="A26" s="10" t="s">
        <v>222</v>
      </c>
      <c r="B26" s="7"/>
      <c r="C26" s="7"/>
      <c r="D26" s="8">
        <f t="shared" si="0"/>
        <v>0</v>
      </c>
    </row>
    <row r="27" spans="1:4" ht="18" hidden="1" x14ac:dyDescent="0.35">
      <c r="A27" s="10" t="s">
        <v>223</v>
      </c>
      <c r="B27" s="7"/>
      <c r="C27" s="7"/>
      <c r="D27" s="8">
        <f t="shared" si="0"/>
        <v>0</v>
      </c>
    </row>
    <row r="28" spans="1:4" ht="18" hidden="1" x14ac:dyDescent="0.35">
      <c r="A28" s="11" t="s">
        <v>224</v>
      </c>
      <c r="B28" s="12"/>
      <c r="C28" s="12"/>
      <c r="D28" s="8">
        <f t="shared" si="0"/>
        <v>0</v>
      </c>
    </row>
    <row r="29" spans="1:4" ht="18" hidden="1" x14ac:dyDescent="0.35">
      <c r="A29" s="11" t="s">
        <v>225</v>
      </c>
      <c r="B29" s="7"/>
      <c r="C29" s="7"/>
      <c r="D29" s="8">
        <f t="shared" si="0"/>
        <v>0</v>
      </c>
    </row>
    <row r="30" spans="1:4" ht="18" hidden="1" x14ac:dyDescent="0.35">
      <c r="A30" s="11" t="s">
        <v>226</v>
      </c>
      <c r="B30" s="12"/>
      <c r="C30" s="12"/>
      <c r="D30" s="8">
        <f t="shared" si="0"/>
        <v>0</v>
      </c>
    </row>
    <row r="31" spans="1:4" ht="18" hidden="1" x14ac:dyDescent="0.35">
      <c r="A31" s="10" t="s">
        <v>121</v>
      </c>
      <c r="B31" s="7"/>
      <c r="C31" s="7"/>
      <c r="D31" s="8">
        <f t="shared" si="0"/>
        <v>0</v>
      </c>
    </row>
    <row r="32" spans="1:4" ht="18" hidden="1" x14ac:dyDescent="0.35">
      <c r="A32" s="10" t="s">
        <v>145</v>
      </c>
      <c r="B32" s="7"/>
      <c r="C32" s="7"/>
      <c r="D32" s="8">
        <f t="shared" si="0"/>
        <v>0</v>
      </c>
    </row>
    <row r="33" spans="1:4" ht="18" hidden="1" x14ac:dyDescent="0.35">
      <c r="A33" s="14" t="s">
        <v>97</v>
      </c>
      <c r="B33" s="7"/>
      <c r="C33" s="7"/>
      <c r="D33" s="8">
        <f t="shared" si="0"/>
        <v>0</v>
      </c>
    </row>
    <row r="34" spans="1:4" ht="18" x14ac:dyDescent="0.3">
      <c r="A34" s="10" t="s">
        <v>98</v>
      </c>
      <c r="B34" s="7">
        <v>40</v>
      </c>
      <c r="C34" s="7">
        <v>28000</v>
      </c>
      <c r="D34" s="8">
        <f t="shared" si="0"/>
        <v>1120000</v>
      </c>
    </row>
    <row r="35" spans="1:4" ht="18" hidden="1" x14ac:dyDescent="0.35">
      <c r="A35" s="10" t="s">
        <v>99</v>
      </c>
      <c r="B35" s="7"/>
      <c r="C35" s="7"/>
      <c r="D35" s="8">
        <f t="shared" si="0"/>
        <v>0</v>
      </c>
    </row>
    <row r="36" spans="1:4" ht="18" hidden="1" x14ac:dyDescent="0.35">
      <c r="A36" s="10" t="s">
        <v>266</v>
      </c>
      <c r="B36" s="7"/>
      <c r="C36" s="7"/>
      <c r="D36" s="8">
        <f t="shared" si="0"/>
        <v>0</v>
      </c>
    </row>
    <row r="37" spans="1:4" ht="18" hidden="1" x14ac:dyDescent="0.35">
      <c r="A37" s="10" t="s">
        <v>267</v>
      </c>
      <c r="B37" s="7"/>
      <c r="C37" s="7"/>
      <c r="D37" s="8">
        <f t="shared" si="0"/>
        <v>0</v>
      </c>
    </row>
    <row r="38" spans="1:4" ht="18" hidden="1" x14ac:dyDescent="0.35">
      <c r="A38" s="22" t="s">
        <v>268</v>
      </c>
      <c r="B38" s="7"/>
      <c r="C38" s="7"/>
      <c r="D38" s="8">
        <f t="shared" si="0"/>
        <v>0</v>
      </c>
    </row>
    <row r="39" spans="1:4" ht="18" hidden="1" x14ac:dyDescent="0.35">
      <c r="A39" s="11" t="s">
        <v>122</v>
      </c>
      <c r="B39" s="7"/>
      <c r="C39" s="7"/>
      <c r="D39" s="8">
        <f t="shared" si="0"/>
        <v>0</v>
      </c>
    </row>
    <row r="40" spans="1:4" ht="18" hidden="1" x14ac:dyDescent="0.35">
      <c r="A40" s="22" t="s">
        <v>123</v>
      </c>
      <c r="B40" s="7"/>
      <c r="C40" s="7"/>
      <c r="D40" s="8">
        <f t="shared" si="0"/>
        <v>0</v>
      </c>
    </row>
    <row r="41" spans="1:4" ht="18" hidden="1" x14ac:dyDescent="0.35">
      <c r="A41" s="10" t="s">
        <v>269</v>
      </c>
      <c r="B41" s="7"/>
      <c r="C41" s="7"/>
      <c r="D41" s="8">
        <f t="shared" si="0"/>
        <v>0</v>
      </c>
    </row>
    <row r="42" spans="1:4" ht="18" hidden="1" x14ac:dyDescent="0.35">
      <c r="A42" s="10" t="s">
        <v>270</v>
      </c>
      <c r="B42" s="7"/>
      <c r="C42" s="7"/>
      <c r="D42" s="8">
        <f t="shared" si="0"/>
        <v>0</v>
      </c>
    </row>
    <row r="43" spans="1:4" ht="18" x14ac:dyDescent="0.3">
      <c r="A43" s="6" t="s">
        <v>113</v>
      </c>
      <c r="B43" s="7">
        <f>20+500+80+60+160+260</f>
        <v>1080</v>
      </c>
      <c r="C43" s="7">
        <v>14000</v>
      </c>
      <c r="D43" s="8">
        <f t="shared" si="0"/>
        <v>15120000</v>
      </c>
    </row>
    <row r="44" spans="1:4" ht="18" hidden="1" x14ac:dyDescent="0.35">
      <c r="A44" s="10" t="s">
        <v>147</v>
      </c>
      <c r="B44" s="7"/>
      <c r="C44" s="7"/>
      <c r="D44" s="8">
        <f t="shared" si="0"/>
        <v>0</v>
      </c>
    </row>
    <row r="45" spans="1:4" ht="18" hidden="1" x14ac:dyDescent="0.35">
      <c r="A45" s="34" t="s">
        <v>148</v>
      </c>
      <c r="B45" s="7"/>
      <c r="C45" s="7"/>
      <c r="D45" s="8">
        <f t="shared" si="0"/>
        <v>0</v>
      </c>
    </row>
    <row r="46" spans="1:4" ht="18" hidden="1" x14ac:dyDescent="0.35">
      <c r="A46" s="14" t="s">
        <v>149</v>
      </c>
      <c r="B46" s="7"/>
      <c r="C46" s="7"/>
      <c r="D46" s="8">
        <f t="shared" si="0"/>
        <v>0</v>
      </c>
    </row>
    <row r="47" spans="1:4" ht="18" hidden="1" x14ac:dyDescent="0.35">
      <c r="A47" s="10" t="s">
        <v>150</v>
      </c>
      <c r="B47" s="7"/>
      <c r="C47" s="7"/>
      <c r="D47" s="8">
        <f t="shared" si="0"/>
        <v>0</v>
      </c>
    </row>
    <row r="48" spans="1:4" ht="18" hidden="1" x14ac:dyDescent="0.35">
      <c r="A48" s="11" t="s">
        <v>151</v>
      </c>
      <c r="B48" s="7"/>
      <c r="C48" s="7"/>
      <c r="D48" s="8">
        <f t="shared" si="0"/>
        <v>0</v>
      </c>
    </row>
    <row r="49" spans="1:4" ht="18" hidden="1" x14ac:dyDescent="0.35">
      <c r="A49" s="10" t="s">
        <v>152</v>
      </c>
      <c r="B49" s="7"/>
      <c r="C49" s="7"/>
      <c r="D49" s="8">
        <f t="shared" si="0"/>
        <v>0</v>
      </c>
    </row>
    <row r="50" spans="1:4" ht="18" hidden="1" x14ac:dyDescent="0.35">
      <c r="A50" s="10" t="s">
        <v>153</v>
      </c>
      <c r="B50" s="7"/>
      <c r="C50" s="7"/>
      <c r="D50" s="8">
        <f t="shared" si="0"/>
        <v>0</v>
      </c>
    </row>
    <row r="51" spans="1:4" ht="18" hidden="1" x14ac:dyDescent="0.35">
      <c r="A51" s="14" t="s">
        <v>75</v>
      </c>
      <c r="B51" s="7"/>
      <c r="C51" s="7"/>
      <c r="D51" s="8">
        <f t="shared" si="0"/>
        <v>0</v>
      </c>
    </row>
    <row r="52" spans="1:4" ht="18" hidden="1" x14ac:dyDescent="0.35">
      <c r="A52" s="10" t="s">
        <v>114</v>
      </c>
      <c r="B52" s="7"/>
      <c r="C52" s="7"/>
      <c r="D52" s="8">
        <f t="shared" si="0"/>
        <v>0</v>
      </c>
    </row>
    <row r="53" spans="1:4" ht="18" hidden="1" x14ac:dyDescent="0.35">
      <c r="A53" s="10" t="s">
        <v>154</v>
      </c>
      <c r="B53" s="7"/>
      <c r="C53" s="7"/>
      <c r="D53" s="8">
        <f t="shared" si="0"/>
        <v>0</v>
      </c>
    </row>
    <row r="54" spans="1:4" ht="18" hidden="1" x14ac:dyDescent="0.35">
      <c r="A54" s="10" t="s">
        <v>155</v>
      </c>
      <c r="B54" s="7"/>
      <c r="C54" s="7"/>
      <c r="D54" s="8">
        <f t="shared" si="0"/>
        <v>0</v>
      </c>
    </row>
    <row r="55" spans="1:4" ht="18" hidden="1" x14ac:dyDescent="0.35">
      <c r="A55" s="9" t="s">
        <v>156</v>
      </c>
      <c r="B55" s="7"/>
      <c r="C55" s="7"/>
      <c r="D55" s="8">
        <f t="shared" si="0"/>
        <v>0</v>
      </c>
    </row>
    <row r="56" spans="1:4" ht="18" hidden="1" x14ac:dyDescent="0.35">
      <c r="A56" s="6" t="s">
        <v>283</v>
      </c>
      <c r="B56" s="7"/>
      <c r="C56" s="7"/>
      <c r="D56" s="8">
        <f t="shared" si="0"/>
        <v>0</v>
      </c>
    </row>
    <row r="57" spans="1:4" ht="18" hidden="1" x14ac:dyDescent="0.35">
      <c r="A57" s="6" t="s">
        <v>303</v>
      </c>
      <c r="B57" s="7"/>
      <c r="C57" s="7"/>
      <c r="D57" s="8">
        <f t="shared" si="0"/>
        <v>0</v>
      </c>
    </row>
    <row r="58" spans="1:4" ht="18" hidden="1" x14ac:dyDescent="0.35">
      <c r="A58" s="55" t="s">
        <v>304</v>
      </c>
      <c r="B58" s="7"/>
      <c r="C58" s="7"/>
      <c r="D58" s="8">
        <f t="shared" si="0"/>
        <v>0</v>
      </c>
    </row>
    <row r="59" spans="1:4" ht="18" hidden="1" x14ac:dyDescent="0.35">
      <c r="A59" s="6" t="s">
        <v>305</v>
      </c>
      <c r="B59" s="7"/>
      <c r="C59" s="7"/>
      <c r="D59" s="8">
        <f t="shared" si="0"/>
        <v>0</v>
      </c>
    </row>
    <row r="60" spans="1:4" ht="18" hidden="1" x14ac:dyDescent="0.35">
      <c r="A60" s="6" t="s">
        <v>306</v>
      </c>
      <c r="B60" s="7"/>
      <c r="C60" s="7"/>
      <c r="D60" s="8">
        <f t="shared" si="0"/>
        <v>0</v>
      </c>
    </row>
    <row r="61" spans="1:4" ht="18" hidden="1" x14ac:dyDescent="0.35">
      <c r="A61" s="6" t="s">
        <v>2</v>
      </c>
      <c r="B61" s="7"/>
      <c r="C61" s="7"/>
      <c r="D61" s="8">
        <f t="shared" si="0"/>
        <v>0</v>
      </c>
    </row>
    <row r="62" spans="1:4" ht="18" hidden="1" x14ac:dyDescent="0.35">
      <c r="A62" s="9" t="s">
        <v>3</v>
      </c>
      <c r="B62" s="7"/>
      <c r="C62" s="7"/>
      <c r="D62" s="8">
        <f t="shared" si="0"/>
        <v>0</v>
      </c>
    </row>
    <row r="63" spans="1:4" ht="18" hidden="1" x14ac:dyDescent="0.35">
      <c r="A63" s="10" t="s">
        <v>4</v>
      </c>
      <c r="B63" s="7"/>
      <c r="C63" s="7"/>
      <c r="D63" s="8">
        <f t="shared" si="0"/>
        <v>0</v>
      </c>
    </row>
    <row r="64" spans="1:4" ht="18" hidden="1" x14ac:dyDescent="0.35">
      <c r="A64" s="10" t="s">
        <v>115</v>
      </c>
      <c r="B64" s="7"/>
      <c r="C64" s="7"/>
      <c r="D64" s="8">
        <f t="shared" si="0"/>
        <v>0</v>
      </c>
    </row>
    <row r="65" spans="1:4" ht="18" hidden="1" x14ac:dyDescent="0.35">
      <c r="A65" s="6" t="s">
        <v>116</v>
      </c>
      <c r="B65" s="7"/>
      <c r="C65" s="7"/>
      <c r="D65" s="8">
        <f t="shared" si="0"/>
        <v>0</v>
      </c>
    </row>
    <row r="66" spans="1:4" ht="18" x14ac:dyDescent="0.3">
      <c r="A66" s="10" t="s">
        <v>163</v>
      </c>
      <c r="B66" s="7">
        <f>200+20+60</f>
        <v>280</v>
      </c>
      <c r="C66" s="7">
        <v>17000</v>
      </c>
      <c r="D66" s="8">
        <f t="shared" si="0"/>
        <v>4760000</v>
      </c>
    </row>
    <row r="67" spans="1:4" ht="18" hidden="1" x14ac:dyDescent="0.35">
      <c r="A67" s="22" t="s">
        <v>164</v>
      </c>
      <c r="B67" s="7"/>
      <c r="C67" s="7"/>
      <c r="D67" s="8">
        <f t="shared" si="0"/>
        <v>0</v>
      </c>
    </row>
    <row r="68" spans="1:4" ht="18" hidden="1" x14ac:dyDescent="0.35">
      <c r="A68" s="10" t="s">
        <v>165</v>
      </c>
      <c r="B68" s="7"/>
      <c r="C68" s="7"/>
      <c r="D68" s="8">
        <f t="shared" ref="D68:D131" si="1">B68*C68</f>
        <v>0</v>
      </c>
    </row>
    <row r="69" spans="1:4" ht="18" x14ac:dyDescent="0.3">
      <c r="A69" s="10" t="s">
        <v>166</v>
      </c>
      <c r="B69" s="7">
        <v>10</v>
      </c>
      <c r="C69" s="7">
        <v>16000</v>
      </c>
      <c r="D69" s="8">
        <f t="shared" si="1"/>
        <v>160000</v>
      </c>
    </row>
    <row r="70" spans="1:4" ht="18" hidden="1" x14ac:dyDescent="0.35">
      <c r="A70" s="10" t="s">
        <v>167</v>
      </c>
      <c r="B70" s="7"/>
      <c r="C70" s="7"/>
      <c r="D70" s="8">
        <f t="shared" si="1"/>
        <v>0</v>
      </c>
    </row>
    <row r="71" spans="1:4" ht="18" hidden="1" x14ac:dyDescent="0.35">
      <c r="A71" s="6" t="s">
        <v>9</v>
      </c>
      <c r="B71" s="12"/>
      <c r="C71" s="12"/>
      <c r="D71" s="8">
        <f t="shared" si="1"/>
        <v>0</v>
      </c>
    </row>
    <row r="72" spans="1:4" ht="18" hidden="1" x14ac:dyDescent="0.35">
      <c r="A72" s="6" t="s">
        <v>10</v>
      </c>
      <c r="B72" s="12"/>
      <c r="C72" s="12"/>
      <c r="D72" s="8">
        <f t="shared" si="1"/>
        <v>0</v>
      </c>
    </row>
    <row r="73" spans="1:4" ht="18" hidden="1" x14ac:dyDescent="0.35">
      <c r="A73" s="10" t="s">
        <v>81</v>
      </c>
      <c r="B73" s="7"/>
      <c r="C73" s="7"/>
      <c r="D73" s="8">
        <f t="shared" si="1"/>
        <v>0</v>
      </c>
    </row>
    <row r="74" spans="1:4" ht="18" x14ac:dyDescent="0.3">
      <c r="A74" s="10" t="s">
        <v>82</v>
      </c>
      <c r="B74" s="7">
        <v>6</v>
      </c>
      <c r="C74" s="7">
        <v>26000</v>
      </c>
      <c r="D74" s="8">
        <f t="shared" si="1"/>
        <v>156000</v>
      </c>
    </row>
    <row r="75" spans="1:4" ht="18" hidden="1" x14ac:dyDescent="0.35">
      <c r="A75" s="10" t="s">
        <v>83</v>
      </c>
      <c r="B75" s="7"/>
      <c r="C75" s="7"/>
      <c r="D75" s="8">
        <f t="shared" si="1"/>
        <v>0</v>
      </c>
    </row>
    <row r="76" spans="1:4" ht="18" hidden="1" x14ac:dyDescent="0.35">
      <c r="A76" s="10" t="s">
        <v>84</v>
      </c>
      <c r="B76" s="7"/>
      <c r="C76" s="7"/>
      <c r="D76" s="8">
        <f t="shared" si="1"/>
        <v>0</v>
      </c>
    </row>
    <row r="77" spans="1:4" ht="18" hidden="1" x14ac:dyDescent="0.35">
      <c r="A77" s="10" t="s">
        <v>85</v>
      </c>
      <c r="B77" s="7"/>
      <c r="C77" s="7"/>
      <c r="D77" s="8">
        <f t="shared" si="1"/>
        <v>0</v>
      </c>
    </row>
    <row r="78" spans="1:4" ht="18" x14ac:dyDescent="0.3">
      <c r="A78" s="10" t="s">
        <v>188</v>
      </c>
      <c r="B78" s="7">
        <v>20</v>
      </c>
      <c r="C78" s="7">
        <v>6000</v>
      </c>
      <c r="D78" s="8">
        <f t="shared" si="1"/>
        <v>120000</v>
      </c>
    </row>
    <row r="79" spans="1:4" ht="18" hidden="1" x14ac:dyDescent="0.35">
      <c r="A79" s="13" t="s">
        <v>189</v>
      </c>
      <c r="B79" s="7"/>
      <c r="C79" s="7"/>
      <c r="D79" s="8">
        <f t="shared" si="1"/>
        <v>0</v>
      </c>
    </row>
    <row r="80" spans="1:4" ht="18" hidden="1" x14ac:dyDescent="0.35">
      <c r="A80" s="13" t="s">
        <v>172</v>
      </c>
      <c r="B80" s="7"/>
      <c r="C80" s="7"/>
      <c r="D80" s="8">
        <f t="shared" si="1"/>
        <v>0</v>
      </c>
    </row>
    <row r="81" spans="1:4" ht="18" hidden="1" x14ac:dyDescent="0.35">
      <c r="A81" s="13" t="s">
        <v>173</v>
      </c>
      <c r="B81" s="7"/>
      <c r="C81" s="7"/>
      <c r="D81" s="8">
        <f t="shared" si="1"/>
        <v>0</v>
      </c>
    </row>
    <row r="82" spans="1:4" ht="18" hidden="1" x14ac:dyDescent="0.35">
      <c r="A82" s="11" t="s">
        <v>174</v>
      </c>
      <c r="B82" s="7"/>
      <c r="C82" s="7"/>
      <c r="D82" s="8">
        <f t="shared" si="1"/>
        <v>0</v>
      </c>
    </row>
    <row r="83" spans="1:4" ht="18" hidden="1" x14ac:dyDescent="0.35">
      <c r="A83" s="22" t="s">
        <v>168</v>
      </c>
      <c r="B83" s="7"/>
      <c r="C83" s="7"/>
      <c r="D83" s="8">
        <f t="shared" si="1"/>
        <v>0</v>
      </c>
    </row>
    <row r="84" spans="1:4" ht="18" hidden="1" x14ac:dyDescent="0.35">
      <c r="A84" s="11" t="s">
        <v>200</v>
      </c>
      <c r="B84" s="7"/>
      <c r="C84" s="7"/>
      <c r="D84" s="8">
        <f t="shared" si="1"/>
        <v>0</v>
      </c>
    </row>
    <row r="85" spans="1:4" ht="18" hidden="1" x14ac:dyDescent="0.35">
      <c r="A85" s="10" t="s">
        <v>11</v>
      </c>
      <c r="B85" s="7"/>
      <c r="C85" s="7"/>
      <c r="D85" s="8">
        <f t="shared" si="1"/>
        <v>0</v>
      </c>
    </row>
    <row r="86" spans="1:4" ht="18" hidden="1" x14ac:dyDescent="0.35">
      <c r="A86" s="10" t="s">
        <v>12</v>
      </c>
      <c r="B86" s="7"/>
      <c r="C86" s="7"/>
      <c r="D86" s="8">
        <f t="shared" si="1"/>
        <v>0</v>
      </c>
    </row>
    <row r="87" spans="1:4" ht="18" hidden="1" x14ac:dyDescent="0.35">
      <c r="A87" s="11" t="s">
        <v>201</v>
      </c>
      <c r="B87" s="7"/>
      <c r="C87" s="7"/>
      <c r="D87" s="8">
        <f t="shared" si="1"/>
        <v>0</v>
      </c>
    </row>
    <row r="88" spans="1:4" ht="18" hidden="1" x14ac:dyDescent="0.35">
      <c r="A88" s="11" t="s">
        <v>202</v>
      </c>
      <c r="B88" s="7"/>
      <c r="C88" s="7"/>
      <c r="D88" s="8">
        <f t="shared" si="1"/>
        <v>0</v>
      </c>
    </row>
    <row r="89" spans="1:4" ht="18" hidden="1" x14ac:dyDescent="0.35">
      <c r="A89" s="10" t="s">
        <v>13</v>
      </c>
      <c r="B89" s="12"/>
      <c r="C89" s="12"/>
      <c r="D89" s="8">
        <f t="shared" si="1"/>
        <v>0</v>
      </c>
    </row>
    <row r="90" spans="1:4" ht="18" hidden="1" x14ac:dyDescent="0.35">
      <c r="A90" s="13" t="s">
        <v>14</v>
      </c>
      <c r="B90" s="7"/>
      <c r="C90" s="7"/>
      <c r="D90" s="8">
        <f t="shared" si="1"/>
        <v>0</v>
      </c>
    </row>
    <row r="91" spans="1:4" ht="18" hidden="1" x14ac:dyDescent="0.35">
      <c r="A91" s="11" t="s">
        <v>203</v>
      </c>
      <c r="B91" s="7"/>
      <c r="C91" s="7"/>
      <c r="D91" s="8">
        <f t="shared" si="1"/>
        <v>0</v>
      </c>
    </row>
    <row r="92" spans="1:4" ht="18" x14ac:dyDescent="0.3">
      <c r="A92" s="10" t="s">
        <v>46</v>
      </c>
      <c r="B92" s="7">
        <f>40+80+20</f>
        <v>140</v>
      </c>
      <c r="C92" s="7">
        <v>7500</v>
      </c>
      <c r="D92" s="8">
        <f t="shared" si="1"/>
        <v>1050000</v>
      </c>
    </row>
    <row r="93" spans="1:4" ht="18" hidden="1" x14ac:dyDescent="0.35">
      <c r="A93" s="14" t="s">
        <v>47</v>
      </c>
      <c r="B93" s="7"/>
      <c r="C93" s="7"/>
      <c r="D93" s="8">
        <f t="shared" si="1"/>
        <v>0</v>
      </c>
    </row>
    <row r="94" spans="1:4" ht="18" hidden="1" x14ac:dyDescent="0.35">
      <c r="A94" s="10" t="s">
        <v>186</v>
      </c>
      <c r="B94" s="7"/>
      <c r="C94" s="7"/>
      <c r="D94" s="8">
        <f t="shared" si="1"/>
        <v>0</v>
      </c>
    </row>
    <row r="95" spans="1:4" ht="18" hidden="1" x14ac:dyDescent="0.35">
      <c r="A95" s="10" t="s">
        <v>187</v>
      </c>
      <c r="B95" s="7"/>
      <c r="C95" s="7"/>
      <c r="D95" s="8">
        <f t="shared" si="1"/>
        <v>0</v>
      </c>
    </row>
    <row r="96" spans="1:4" ht="18" hidden="1" x14ac:dyDescent="0.35">
      <c r="A96" s="56" t="s">
        <v>300</v>
      </c>
      <c r="B96" s="7"/>
      <c r="C96" s="7"/>
      <c r="D96" s="8">
        <f t="shared" si="1"/>
        <v>0</v>
      </c>
    </row>
    <row r="97" spans="1:4" ht="18" hidden="1" x14ac:dyDescent="0.35">
      <c r="A97" s="26" t="s">
        <v>48</v>
      </c>
      <c r="B97" s="7"/>
      <c r="C97" s="7"/>
      <c r="D97" s="8">
        <f t="shared" si="1"/>
        <v>0</v>
      </c>
    </row>
    <row r="98" spans="1:4" ht="18" hidden="1" x14ac:dyDescent="0.35">
      <c r="A98" s="26" t="s">
        <v>17</v>
      </c>
      <c r="B98" s="7"/>
      <c r="C98" s="7"/>
      <c r="D98" s="8">
        <f t="shared" si="1"/>
        <v>0</v>
      </c>
    </row>
    <row r="99" spans="1:4" ht="18" hidden="1" x14ac:dyDescent="0.35">
      <c r="A99" s="10" t="s">
        <v>18</v>
      </c>
      <c r="B99" s="7"/>
      <c r="C99" s="7"/>
      <c r="D99" s="8">
        <f t="shared" si="1"/>
        <v>0</v>
      </c>
    </row>
    <row r="100" spans="1:4" ht="18" hidden="1" x14ac:dyDescent="0.35">
      <c r="A100" s="10" t="s">
        <v>19</v>
      </c>
      <c r="B100" s="7"/>
      <c r="C100" s="7"/>
      <c r="D100" s="8">
        <f t="shared" si="1"/>
        <v>0</v>
      </c>
    </row>
    <row r="101" spans="1:4" ht="18" hidden="1" x14ac:dyDescent="0.35">
      <c r="A101" s="10" t="s">
        <v>204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205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206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207</v>
      </c>
      <c r="B104" s="7"/>
      <c r="C104" s="7"/>
      <c r="D104" s="8">
        <f t="shared" si="1"/>
        <v>0</v>
      </c>
    </row>
    <row r="105" spans="1:4" ht="18" hidden="1" x14ac:dyDescent="0.35">
      <c r="A105" s="11" t="s">
        <v>15</v>
      </c>
      <c r="B105" s="7"/>
      <c r="C105" s="7"/>
      <c r="D105" s="8">
        <f t="shared" si="1"/>
        <v>0</v>
      </c>
    </row>
    <row r="106" spans="1:4" ht="18" hidden="1" x14ac:dyDescent="0.35">
      <c r="A106" s="13" t="s">
        <v>16</v>
      </c>
      <c r="B106" s="7"/>
      <c r="C106" s="7"/>
      <c r="D106" s="8">
        <f t="shared" si="1"/>
        <v>0</v>
      </c>
    </row>
    <row r="107" spans="1:4" ht="18" hidden="1" x14ac:dyDescent="0.35">
      <c r="A107" s="10" t="s">
        <v>96</v>
      </c>
      <c r="B107" s="7"/>
      <c r="C107" s="7"/>
      <c r="D107" s="8">
        <f t="shared" si="1"/>
        <v>0</v>
      </c>
    </row>
    <row r="108" spans="1:4" ht="18" hidden="1" x14ac:dyDescent="0.35">
      <c r="A108" s="28" t="s">
        <v>124</v>
      </c>
      <c r="B108" s="7"/>
      <c r="C108" s="7"/>
      <c r="D108" s="8">
        <f t="shared" si="1"/>
        <v>0</v>
      </c>
    </row>
    <row r="109" spans="1:4" ht="18" hidden="1" x14ac:dyDescent="0.35">
      <c r="A109" s="22" t="s">
        <v>125</v>
      </c>
      <c r="B109" s="7"/>
      <c r="C109" s="7"/>
      <c r="D109" s="8">
        <f t="shared" si="1"/>
        <v>0</v>
      </c>
    </row>
    <row r="110" spans="1:4" ht="18" hidden="1" x14ac:dyDescent="0.35">
      <c r="A110" s="6" t="s">
        <v>126</v>
      </c>
      <c r="B110" s="12"/>
      <c r="C110" s="12"/>
      <c r="D110" s="8">
        <f t="shared" si="1"/>
        <v>0</v>
      </c>
    </row>
    <row r="111" spans="1:4" ht="18" hidden="1" x14ac:dyDescent="0.35">
      <c r="A111" s="6" t="s">
        <v>127</v>
      </c>
      <c r="B111" s="12"/>
      <c r="C111" s="12"/>
      <c r="D111" s="8">
        <f t="shared" si="1"/>
        <v>0</v>
      </c>
    </row>
    <row r="112" spans="1:4" ht="18" hidden="1" x14ac:dyDescent="0.35">
      <c r="A112" s="6" t="s">
        <v>128</v>
      </c>
      <c r="B112" s="12"/>
      <c r="C112" s="12"/>
      <c r="D112" s="8">
        <f t="shared" si="1"/>
        <v>0</v>
      </c>
    </row>
    <row r="113" spans="1:4" ht="18" hidden="1" x14ac:dyDescent="0.35">
      <c r="A113" s="6" t="s">
        <v>129</v>
      </c>
      <c r="B113" s="29"/>
      <c r="C113" s="29"/>
      <c r="D113" s="8">
        <f t="shared" si="1"/>
        <v>0</v>
      </c>
    </row>
    <row r="114" spans="1:4" ht="18" hidden="1" x14ac:dyDescent="0.35">
      <c r="A114" s="30" t="s">
        <v>271</v>
      </c>
      <c r="B114" s="7"/>
      <c r="C114" s="7"/>
      <c r="D114" s="8">
        <f t="shared" si="1"/>
        <v>0</v>
      </c>
    </row>
    <row r="115" spans="1:4" ht="18" hidden="1" x14ac:dyDescent="0.35">
      <c r="A115" s="6" t="s">
        <v>272</v>
      </c>
      <c r="B115" s="12"/>
      <c r="C115" s="7"/>
      <c r="D115" s="8">
        <f t="shared" si="1"/>
        <v>0</v>
      </c>
    </row>
    <row r="116" spans="1:4" ht="18" hidden="1" x14ac:dyDescent="0.35">
      <c r="A116" s="10" t="s">
        <v>273</v>
      </c>
      <c r="B116" s="7"/>
      <c r="C116" s="7"/>
      <c r="D116" s="8">
        <f t="shared" si="1"/>
        <v>0</v>
      </c>
    </row>
    <row r="117" spans="1:4" ht="18" hidden="1" x14ac:dyDescent="0.35">
      <c r="A117" s="10" t="s">
        <v>274</v>
      </c>
      <c r="B117" s="7"/>
      <c r="C117" s="7"/>
      <c r="D117" s="8">
        <f t="shared" si="1"/>
        <v>0</v>
      </c>
    </row>
    <row r="118" spans="1:4" ht="18" hidden="1" x14ac:dyDescent="0.35">
      <c r="A118" s="10" t="s">
        <v>33</v>
      </c>
      <c r="B118" s="7"/>
      <c r="C118" s="7"/>
      <c r="D118" s="8">
        <f t="shared" si="1"/>
        <v>0</v>
      </c>
    </row>
    <row r="119" spans="1:4" ht="18" hidden="1" x14ac:dyDescent="0.35">
      <c r="A119" s="14" t="s">
        <v>34</v>
      </c>
      <c r="B119" s="7"/>
      <c r="C119" s="7"/>
      <c r="D119" s="8">
        <f t="shared" si="1"/>
        <v>0</v>
      </c>
    </row>
    <row r="120" spans="1:4" ht="18" hidden="1" x14ac:dyDescent="0.35">
      <c r="A120" s="6" t="s">
        <v>208</v>
      </c>
      <c r="B120" s="7"/>
      <c r="C120" s="7"/>
      <c r="D120" s="8">
        <f t="shared" si="1"/>
        <v>0</v>
      </c>
    </row>
    <row r="121" spans="1:4" ht="18" hidden="1" x14ac:dyDescent="0.35">
      <c r="A121" s="6" t="s">
        <v>209</v>
      </c>
      <c r="B121" s="7"/>
      <c r="C121" s="7"/>
      <c r="D121" s="8">
        <f t="shared" si="1"/>
        <v>0</v>
      </c>
    </row>
    <row r="122" spans="1:4" ht="18" hidden="1" x14ac:dyDescent="0.35">
      <c r="A122" s="10" t="s">
        <v>210</v>
      </c>
      <c r="B122" s="7"/>
      <c r="C122" s="7"/>
      <c r="D122" s="8">
        <f t="shared" si="1"/>
        <v>0</v>
      </c>
    </row>
    <row r="123" spans="1:4" ht="18" hidden="1" x14ac:dyDescent="0.35">
      <c r="A123" s="10" t="s">
        <v>211</v>
      </c>
      <c r="B123" s="7"/>
      <c r="C123" s="7"/>
      <c r="D123" s="8">
        <f t="shared" si="1"/>
        <v>0</v>
      </c>
    </row>
    <row r="124" spans="1:4" ht="18" hidden="1" x14ac:dyDescent="0.35">
      <c r="A124" s="10" t="s">
        <v>284</v>
      </c>
      <c r="B124" s="7"/>
      <c r="C124" s="7"/>
      <c r="D124" s="8">
        <f t="shared" si="1"/>
        <v>0</v>
      </c>
    </row>
    <row r="125" spans="1:4" ht="18" hidden="1" x14ac:dyDescent="0.35">
      <c r="A125" s="10" t="s">
        <v>102</v>
      </c>
      <c r="B125" s="12"/>
      <c r="C125" s="12"/>
      <c r="D125" s="8">
        <f t="shared" si="1"/>
        <v>0</v>
      </c>
    </row>
    <row r="126" spans="1:4" ht="18" hidden="1" x14ac:dyDescent="0.35">
      <c r="A126" s="10" t="s">
        <v>103</v>
      </c>
      <c r="B126" s="12"/>
      <c r="C126" s="12"/>
      <c r="D126" s="8">
        <f t="shared" si="1"/>
        <v>0</v>
      </c>
    </row>
    <row r="127" spans="1:4" ht="18" hidden="1" x14ac:dyDescent="0.35">
      <c r="A127" s="10" t="s">
        <v>104</v>
      </c>
      <c r="B127" s="12"/>
      <c r="C127" s="12"/>
      <c r="D127" s="8">
        <f t="shared" si="1"/>
        <v>0</v>
      </c>
    </row>
    <row r="128" spans="1:4" ht="18" hidden="1" x14ac:dyDescent="0.35">
      <c r="A128" s="10" t="s">
        <v>105</v>
      </c>
      <c r="B128" s="12"/>
      <c r="C128" s="12"/>
      <c r="D128" s="8">
        <f t="shared" si="1"/>
        <v>0</v>
      </c>
    </row>
    <row r="129" spans="1:4" ht="18" hidden="1" x14ac:dyDescent="0.35">
      <c r="A129" s="10" t="s">
        <v>106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107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108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0" t="s">
        <v>109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110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157</v>
      </c>
      <c r="B135" s="7"/>
      <c r="C135" s="7"/>
      <c r="D135" s="8">
        <f t="shared" si="2"/>
        <v>0</v>
      </c>
    </row>
    <row r="136" spans="1:4" ht="18" hidden="1" x14ac:dyDescent="0.35">
      <c r="A136" s="10" t="s">
        <v>158</v>
      </c>
      <c r="B136" s="7"/>
      <c r="C136" s="7"/>
      <c r="D136" s="8">
        <f t="shared" si="2"/>
        <v>0</v>
      </c>
    </row>
    <row r="137" spans="1:4" ht="18" hidden="1" x14ac:dyDescent="0.35">
      <c r="A137" s="10" t="s">
        <v>159</v>
      </c>
      <c r="B137" s="7"/>
      <c r="C137" s="7"/>
      <c r="D137" s="8">
        <f t="shared" si="2"/>
        <v>0</v>
      </c>
    </row>
    <row r="138" spans="1:4" ht="18" hidden="1" x14ac:dyDescent="0.35">
      <c r="A138" s="14" t="s">
        <v>160</v>
      </c>
      <c r="B138" s="7"/>
      <c r="C138" s="7"/>
      <c r="D138" s="8">
        <f t="shared" si="2"/>
        <v>0</v>
      </c>
    </row>
    <row r="139" spans="1:4" ht="18" hidden="1" x14ac:dyDescent="0.35">
      <c r="A139" s="10" t="s">
        <v>161</v>
      </c>
      <c r="B139" s="7"/>
      <c r="C139" s="7"/>
      <c r="D139" s="8">
        <f t="shared" si="2"/>
        <v>0</v>
      </c>
    </row>
    <row r="140" spans="1:4" ht="18" hidden="1" x14ac:dyDescent="0.35">
      <c r="A140" s="10" t="s">
        <v>162</v>
      </c>
      <c r="B140" s="7"/>
      <c r="C140" s="7"/>
      <c r="D140" s="8">
        <f t="shared" si="2"/>
        <v>0</v>
      </c>
    </row>
    <row r="141" spans="1:4" ht="18" hidden="1" x14ac:dyDescent="0.35">
      <c r="A141" s="10" t="s">
        <v>279</v>
      </c>
      <c r="B141" s="7"/>
      <c r="C141" s="7"/>
      <c r="D141" s="8">
        <f t="shared" si="2"/>
        <v>0</v>
      </c>
    </row>
    <row r="142" spans="1:4" ht="18" hidden="1" x14ac:dyDescent="0.35">
      <c r="A142" s="10" t="s">
        <v>280</v>
      </c>
      <c r="B142" s="7"/>
      <c r="C142" s="7"/>
      <c r="D142" s="8">
        <f t="shared" si="2"/>
        <v>0</v>
      </c>
    </row>
    <row r="143" spans="1:4" ht="18" hidden="1" x14ac:dyDescent="0.35">
      <c r="A143" s="10" t="s">
        <v>281</v>
      </c>
      <c r="B143" s="7"/>
      <c r="C143" s="7"/>
      <c r="D143" s="8">
        <f t="shared" si="2"/>
        <v>0</v>
      </c>
    </row>
    <row r="144" spans="1:4" ht="18" x14ac:dyDescent="0.3">
      <c r="A144" s="10" t="s">
        <v>282</v>
      </c>
      <c r="B144" s="7">
        <v>4</v>
      </c>
      <c r="C144" s="7">
        <v>6000</v>
      </c>
      <c r="D144" s="8">
        <f t="shared" si="2"/>
        <v>24000</v>
      </c>
    </row>
    <row r="145" spans="1:4" ht="18" hidden="1" x14ac:dyDescent="0.35">
      <c r="A145" s="10" t="s">
        <v>111</v>
      </c>
      <c r="B145" s="12"/>
      <c r="C145" s="12"/>
      <c r="D145" s="8">
        <f t="shared" si="2"/>
        <v>0</v>
      </c>
    </row>
    <row r="146" spans="1:4" ht="18" hidden="1" x14ac:dyDescent="0.35">
      <c r="A146" s="10" t="s">
        <v>112</v>
      </c>
      <c r="B146" s="12"/>
      <c r="C146" s="12"/>
      <c r="D146" s="8">
        <f t="shared" si="2"/>
        <v>0</v>
      </c>
    </row>
    <row r="147" spans="1:4" ht="18" hidden="1" x14ac:dyDescent="0.35">
      <c r="A147" s="10" t="s">
        <v>131</v>
      </c>
      <c r="B147" s="12"/>
      <c r="C147" s="12"/>
      <c r="D147" s="8">
        <f t="shared" si="2"/>
        <v>0</v>
      </c>
    </row>
    <row r="148" spans="1:4" ht="18" x14ac:dyDescent="0.3">
      <c r="A148" s="10" t="s">
        <v>52</v>
      </c>
      <c r="B148" s="7">
        <v>28</v>
      </c>
      <c r="C148" s="7">
        <v>6000</v>
      </c>
      <c r="D148" s="8">
        <f t="shared" si="2"/>
        <v>168000</v>
      </c>
    </row>
    <row r="149" spans="1:4" ht="18" hidden="1" x14ac:dyDescent="0.35">
      <c r="A149" s="14" t="s">
        <v>53</v>
      </c>
      <c r="B149" s="7"/>
      <c r="C149" s="7"/>
      <c r="D149" s="8">
        <f t="shared" si="2"/>
        <v>0</v>
      </c>
    </row>
    <row r="150" spans="1:4" ht="18" hidden="1" x14ac:dyDescent="0.35">
      <c r="A150" s="10" t="s">
        <v>192</v>
      </c>
      <c r="B150" s="7"/>
      <c r="C150" s="7"/>
      <c r="D150" s="8">
        <f t="shared" si="2"/>
        <v>0</v>
      </c>
    </row>
    <row r="151" spans="1:4" ht="18" hidden="1" x14ac:dyDescent="0.35">
      <c r="A151" s="36" t="s">
        <v>193</v>
      </c>
      <c r="B151" s="7"/>
      <c r="C151" s="7"/>
      <c r="D151" s="8">
        <f t="shared" si="2"/>
        <v>0</v>
      </c>
    </row>
    <row r="152" spans="1:4" ht="18" x14ac:dyDescent="0.3">
      <c r="A152" s="10" t="s">
        <v>194</v>
      </c>
      <c r="B152" s="7">
        <v>886</v>
      </c>
      <c r="C152" s="7">
        <v>8000</v>
      </c>
      <c r="D152" s="8">
        <f t="shared" si="2"/>
        <v>7088000</v>
      </c>
    </row>
    <row r="153" spans="1:4" ht="18" hidden="1" x14ac:dyDescent="0.35">
      <c r="A153" s="10" t="s">
        <v>195</v>
      </c>
      <c r="B153" s="7"/>
      <c r="C153" s="7"/>
      <c r="D153" s="8">
        <f t="shared" si="2"/>
        <v>0</v>
      </c>
    </row>
    <row r="154" spans="1:4" ht="18" hidden="1" x14ac:dyDescent="0.35">
      <c r="A154" s="10" t="s">
        <v>196</v>
      </c>
      <c r="B154" s="7"/>
      <c r="C154" s="7"/>
      <c r="D154" s="8">
        <f t="shared" si="2"/>
        <v>0</v>
      </c>
    </row>
    <row r="155" spans="1:4" ht="18" hidden="1" x14ac:dyDescent="0.35">
      <c r="A155" s="9" t="s">
        <v>197</v>
      </c>
      <c r="B155" s="7"/>
      <c r="C155" s="7"/>
      <c r="D155" s="8">
        <f t="shared" si="2"/>
        <v>0</v>
      </c>
    </row>
    <row r="156" spans="1:4" ht="18" x14ac:dyDescent="0.3">
      <c r="A156" s="10" t="s">
        <v>61</v>
      </c>
      <c r="B156" s="7">
        <v>10</v>
      </c>
      <c r="C156" s="7">
        <v>12000</v>
      </c>
      <c r="D156" s="8">
        <f t="shared" si="2"/>
        <v>120000</v>
      </c>
    </row>
    <row r="157" spans="1:4" ht="18" hidden="1" x14ac:dyDescent="0.35">
      <c r="A157" s="18" t="s">
        <v>62</v>
      </c>
      <c r="B157" s="19"/>
      <c r="C157" s="19"/>
      <c r="D157" s="8">
        <f t="shared" si="2"/>
        <v>0</v>
      </c>
    </row>
    <row r="158" spans="1:4" ht="18" hidden="1" x14ac:dyDescent="0.35">
      <c r="A158" s="10" t="s">
        <v>86</v>
      </c>
      <c r="B158" s="7"/>
      <c r="C158" s="7"/>
      <c r="D158" s="8">
        <f t="shared" si="2"/>
        <v>0</v>
      </c>
    </row>
    <row r="159" spans="1:4" ht="18" hidden="1" x14ac:dyDescent="0.35">
      <c r="A159" s="10" t="s">
        <v>35</v>
      </c>
      <c r="B159" s="7"/>
      <c r="C159" s="7"/>
      <c r="D159" s="8">
        <f t="shared" si="2"/>
        <v>0</v>
      </c>
    </row>
    <row r="160" spans="1:4" ht="18" hidden="1" x14ac:dyDescent="0.35">
      <c r="A160" s="6" t="s">
        <v>234</v>
      </c>
      <c r="B160" s="7"/>
      <c r="C160" s="7"/>
      <c r="D160" s="8">
        <f t="shared" si="2"/>
        <v>0</v>
      </c>
    </row>
    <row r="161" spans="1:4" ht="18" hidden="1" x14ac:dyDescent="0.35">
      <c r="A161" s="10" t="s">
        <v>235</v>
      </c>
      <c r="B161" s="7"/>
      <c r="C161" s="7"/>
      <c r="D161" s="8">
        <f t="shared" si="2"/>
        <v>0</v>
      </c>
    </row>
    <row r="162" spans="1:4" ht="18" hidden="1" x14ac:dyDescent="0.35">
      <c r="A162" s="10" t="s">
        <v>236</v>
      </c>
      <c r="B162" s="7"/>
      <c r="C162" s="7"/>
      <c r="D162" s="8">
        <f t="shared" si="2"/>
        <v>0</v>
      </c>
    </row>
    <row r="163" spans="1:4" ht="18" x14ac:dyDescent="0.3">
      <c r="A163" s="6" t="s">
        <v>175</v>
      </c>
      <c r="B163" s="7">
        <f>10+20+7</f>
        <v>37</v>
      </c>
      <c r="C163" s="7">
        <v>11000</v>
      </c>
      <c r="D163" s="8">
        <f t="shared" si="2"/>
        <v>407000</v>
      </c>
    </row>
    <row r="164" spans="1:4" ht="18" x14ac:dyDescent="0.3">
      <c r="A164" s="6" t="s">
        <v>176</v>
      </c>
      <c r="B164" s="7">
        <f>60+20+140+340</f>
        <v>560</v>
      </c>
      <c r="C164" s="7">
        <v>32000</v>
      </c>
      <c r="D164" s="8">
        <f t="shared" si="2"/>
        <v>17920000</v>
      </c>
    </row>
    <row r="165" spans="1:4" ht="18" x14ac:dyDescent="0.3">
      <c r="A165" s="10" t="s">
        <v>177</v>
      </c>
      <c r="B165" s="7">
        <f>250+15</f>
        <v>265</v>
      </c>
      <c r="C165" s="7">
        <v>9600</v>
      </c>
      <c r="D165" s="8">
        <f t="shared" si="2"/>
        <v>2544000</v>
      </c>
    </row>
    <row r="166" spans="1:4" ht="18" x14ac:dyDescent="0.3">
      <c r="A166" s="6" t="s">
        <v>178</v>
      </c>
      <c r="B166" s="7">
        <f>30+30+160</f>
        <v>220</v>
      </c>
      <c r="C166" s="7">
        <v>32000</v>
      </c>
      <c r="D166" s="8">
        <f t="shared" si="2"/>
        <v>7040000</v>
      </c>
    </row>
    <row r="167" spans="1:4" ht="18" x14ac:dyDescent="0.3">
      <c r="A167" s="6" t="s">
        <v>179</v>
      </c>
      <c r="B167" s="7">
        <v>5</v>
      </c>
      <c r="C167" s="7">
        <v>25000</v>
      </c>
      <c r="D167" s="8">
        <f t="shared" si="2"/>
        <v>125000</v>
      </c>
    </row>
    <row r="168" spans="1:4" ht="18" hidden="1" x14ac:dyDescent="0.35">
      <c r="A168" s="6" t="s">
        <v>180</v>
      </c>
      <c r="B168" s="7"/>
      <c r="C168" s="7"/>
      <c r="D168" s="8">
        <f t="shared" si="2"/>
        <v>0</v>
      </c>
    </row>
    <row r="169" spans="1:4" ht="18" hidden="1" x14ac:dyDescent="0.35">
      <c r="A169" s="10" t="s">
        <v>181</v>
      </c>
      <c r="B169" s="7"/>
      <c r="C169" s="7"/>
      <c r="D169" s="8">
        <f t="shared" si="2"/>
        <v>0</v>
      </c>
    </row>
    <row r="170" spans="1:4" ht="18" x14ac:dyDescent="0.3">
      <c r="A170" s="6" t="s">
        <v>36</v>
      </c>
      <c r="B170" s="7">
        <v>20</v>
      </c>
      <c r="C170" s="7">
        <v>21000</v>
      </c>
      <c r="D170" s="8">
        <f t="shared" si="2"/>
        <v>420000</v>
      </c>
    </row>
    <row r="171" spans="1:4" ht="18" hidden="1" x14ac:dyDescent="0.35">
      <c r="A171" s="10" t="s">
        <v>54</v>
      </c>
      <c r="B171" s="7"/>
      <c r="C171" s="7"/>
      <c r="D171" s="8">
        <f t="shared" si="2"/>
        <v>0</v>
      </c>
    </row>
    <row r="172" spans="1:4" ht="18" hidden="1" x14ac:dyDescent="0.35">
      <c r="A172" s="17" t="s">
        <v>55</v>
      </c>
      <c r="B172" s="7"/>
      <c r="C172" s="7"/>
      <c r="D172" s="8">
        <f t="shared" si="2"/>
        <v>0</v>
      </c>
    </row>
    <row r="173" spans="1:4" ht="18" hidden="1" x14ac:dyDescent="0.35">
      <c r="A173" s="10" t="s">
        <v>56</v>
      </c>
      <c r="B173" s="7"/>
      <c r="C173" s="7"/>
      <c r="D173" s="8">
        <f t="shared" si="2"/>
        <v>0</v>
      </c>
    </row>
    <row r="174" spans="1:4" ht="18" hidden="1" x14ac:dyDescent="0.35">
      <c r="A174" s="10" t="s">
        <v>66</v>
      </c>
      <c r="B174" s="7"/>
      <c r="C174" s="7"/>
      <c r="D174" s="8">
        <f t="shared" si="2"/>
        <v>0</v>
      </c>
    </row>
    <row r="175" spans="1:4" ht="18" x14ac:dyDescent="0.3">
      <c r="A175" s="6" t="s">
        <v>67</v>
      </c>
      <c r="B175" s="7">
        <f>120+45+10+160</f>
        <v>335</v>
      </c>
      <c r="C175" s="7">
        <v>27000</v>
      </c>
      <c r="D175" s="8">
        <f t="shared" si="2"/>
        <v>9045000</v>
      </c>
    </row>
    <row r="176" spans="1:4" ht="18" hidden="1" x14ac:dyDescent="0.35">
      <c r="A176" s="10" t="s">
        <v>68</v>
      </c>
      <c r="B176" s="7"/>
      <c r="C176" s="7"/>
      <c r="D176" s="8">
        <f t="shared" si="2"/>
        <v>0</v>
      </c>
    </row>
    <row r="177" spans="1:4" ht="18" hidden="1" x14ac:dyDescent="0.35">
      <c r="A177" s="10" t="s">
        <v>69</v>
      </c>
      <c r="B177" s="7"/>
      <c r="C177" s="7"/>
      <c r="D177" s="8">
        <f t="shared" si="2"/>
        <v>0</v>
      </c>
    </row>
    <row r="178" spans="1:4" ht="18" x14ac:dyDescent="0.3">
      <c r="A178" s="10" t="s">
        <v>142</v>
      </c>
      <c r="B178" s="7">
        <f>40+140+20+20+100+140</f>
        <v>460</v>
      </c>
      <c r="C178" s="7">
        <v>28000</v>
      </c>
      <c r="D178" s="8">
        <f t="shared" si="2"/>
        <v>12880000</v>
      </c>
    </row>
    <row r="179" spans="1:4" ht="18" hidden="1" x14ac:dyDescent="0.35">
      <c r="A179" s="24" t="s">
        <v>143</v>
      </c>
      <c r="B179" s="7"/>
      <c r="C179" s="7"/>
      <c r="D179" s="8">
        <f t="shared" si="2"/>
        <v>0</v>
      </c>
    </row>
    <row r="180" spans="1:4" ht="18" hidden="1" x14ac:dyDescent="0.35">
      <c r="A180" s="24" t="s">
        <v>144</v>
      </c>
      <c r="B180" s="7"/>
      <c r="C180" s="7"/>
      <c r="D180" s="8">
        <f t="shared" si="2"/>
        <v>0</v>
      </c>
    </row>
    <row r="181" spans="1:4" ht="18" hidden="1" x14ac:dyDescent="0.35">
      <c r="A181" s="10" t="s">
        <v>212</v>
      </c>
      <c r="B181" s="7"/>
      <c r="C181" s="7"/>
      <c r="D181" s="8">
        <f t="shared" si="2"/>
        <v>0</v>
      </c>
    </row>
    <row r="182" spans="1:4" ht="18" hidden="1" x14ac:dyDescent="0.35">
      <c r="A182" s="11" t="s">
        <v>213</v>
      </c>
      <c r="B182" s="7"/>
      <c r="C182" s="7"/>
      <c r="D182" s="8">
        <f t="shared" si="2"/>
        <v>0</v>
      </c>
    </row>
    <row r="183" spans="1:4" ht="18" hidden="1" x14ac:dyDescent="0.35">
      <c r="A183" s="10" t="s">
        <v>214</v>
      </c>
      <c r="B183" s="7"/>
      <c r="C183" s="7"/>
      <c r="D183" s="8">
        <f t="shared" si="2"/>
        <v>0</v>
      </c>
    </row>
    <row r="184" spans="1:4" ht="18" hidden="1" x14ac:dyDescent="0.35">
      <c r="A184" s="11" t="s">
        <v>215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182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183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184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185</v>
      </c>
      <c r="B188" s="7"/>
      <c r="C188" s="7"/>
      <c r="D188" s="8">
        <f t="shared" si="2"/>
        <v>0</v>
      </c>
    </row>
    <row r="189" spans="1:4" ht="18" x14ac:dyDescent="0.3">
      <c r="A189" s="10" t="s">
        <v>38</v>
      </c>
      <c r="B189" s="7">
        <f>10+7</f>
        <v>17</v>
      </c>
      <c r="C189" s="7">
        <v>27000</v>
      </c>
      <c r="D189" s="8">
        <f t="shared" si="2"/>
        <v>459000</v>
      </c>
    </row>
    <row r="190" spans="1:4" ht="18" hidden="1" x14ac:dyDescent="0.35">
      <c r="A190" s="15" t="s">
        <v>39</v>
      </c>
      <c r="B190" s="7"/>
      <c r="C190" s="7"/>
      <c r="D190" s="8">
        <f t="shared" si="2"/>
        <v>0</v>
      </c>
    </row>
    <row r="191" spans="1:4" ht="18" x14ac:dyDescent="0.3">
      <c r="A191" s="10" t="s">
        <v>40</v>
      </c>
      <c r="B191" s="7">
        <v>160</v>
      </c>
      <c r="C191" s="7">
        <v>12500</v>
      </c>
      <c r="D191" s="8">
        <f t="shared" si="2"/>
        <v>2000000</v>
      </c>
    </row>
    <row r="192" spans="1:4" ht="18" hidden="1" x14ac:dyDescent="0.35">
      <c r="A192" s="10" t="s">
        <v>41</v>
      </c>
      <c r="B192" s="7"/>
      <c r="C192" s="7"/>
      <c r="D192" s="8">
        <f t="shared" si="2"/>
        <v>0</v>
      </c>
    </row>
    <row r="193" spans="1:4" ht="18" x14ac:dyDescent="0.3">
      <c r="A193" s="10" t="s">
        <v>42</v>
      </c>
      <c r="B193" s="7">
        <v>90</v>
      </c>
      <c r="C193" s="7">
        <v>17000</v>
      </c>
      <c r="D193" s="8">
        <f t="shared" si="2"/>
        <v>1530000</v>
      </c>
    </row>
    <row r="194" spans="1:4" ht="18" hidden="1" x14ac:dyDescent="0.35">
      <c r="A194" s="10" t="s">
        <v>43</v>
      </c>
      <c r="B194" s="7"/>
      <c r="C194" s="7"/>
      <c r="D194" s="8">
        <f t="shared" si="2"/>
        <v>0</v>
      </c>
    </row>
    <row r="195" spans="1:4" ht="18" hidden="1" x14ac:dyDescent="0.35">
      <c r="A195" s="10" t="s">
        <v>44</v>
      </c>
      <c r="B195" s="7"/>
      <c r="C195" s="7"/>
      <c r="D195" s="8">
        <f t="shared" si="2"/>
        <v>0</v>
      </c>
    </row>
    <row r="196" spans="1:4" ht="18" hidden="1" x14ac:dyDescent="0.35">
      <c r="A196" s="14" t="s">
        <v>132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4" t="s">
        <v>133</v>
      </c>
      <c r="B197" s="7"/>
      <c r="C197" s="7"/>
      <c r="D197" s="8">
        <f t="shared" si="3"/>
        <v>0</v>
      </c>
    </row>
    <row r="198" spans="1:4" ht="18" hidden="1" x14ac:dyDescent="0.35">
      <c r="A198" s="14" t="s">
        <v>134</v>
      </c>
      <c r="B198" s="7"/>
      <c r="C198" s="7"/>
      <c r="D198" s="8">
        <f t="shared" si="3"/>
        <v>0</v>
      </c>
    </row>
    <row r="199" spans="1:4" ht="18" hidden="1" x14ac:dyDescent="0.35">
      <c r="A199" s="10" t="s">
        <v>135</v>
      </c>
      <c r="B199" s="7"/>
      <c r="C199" s="7"/>
      <c r="D199" s="8">
        <f t="shared" si="3"/>
        <v>0</v>
      </c>
    </row>
    <row r="200" spans="1:4" ht="18" hidden="1" x14ac:dyDescent="0.35">
      <c r="A200" s="14" t="s">
        <v>136</v>
      </c>
      <c r="B200" s="7"/>
      <c r="C200" s="7"/>
      <c r="D200" s="8">
        <f t="shared" si="3"/>
        <v>0</v>
      </c>
    </row>
    <row r="201" spans="1:4" ht="18" hidden="1" x14ac:dyDescent="0.35">
      <c r="A201" s="6" t="s">
        <v>198</v>
      </c>
      <c r="B201" s="7"/>
      <c r="C201" s="7"/>
      <c r="D201" s="8">
        <f t="shared" si="3"/>
        <v>0</v>
      </c>
    </row>
    <row r="202" spans="1:4" ht="18" hidden="1" x14ac:dyDescent="0.35">
      <c r="A202" s="11" t="s">
        <v>285</v>
      </c>
      <c r="B202" s="7"/>
      <c r="C202" s="7"/>
      <c r="D202" s="8">
        <f t="shared" si="3"/>
        <v>0</v>
      </c>
    </row>
    <row r="203" spans="1:4" ht="18" hidden="1" x14ac:dyDescent="0.35">
      <c r="A203" s="11" t="s">
        <v>286</v>
      </c>
      <c r="B203" s="7"/>
      <c r="C203" s="7"/>
      <c r="D203" s="8">
        <f t="shared" si="3"/>
        <v>0</v>
      </c>
    </row>
    <row r="204" spans="1:4" ht="18" hidden="1" x14ac:dyDescent="0.35">
      <c r="A204" s="24" t="s">
        <v>87</v>
      </c>
      <c r="B204" s="7"/>
      <c r="C204" s="7"/>
      <c r="D204" s="8">
        <f t="shared" si="3"/>
        <v>0</v>
      </c>
    </row>
    <row r="205" spans="1:4" ht="18" hidden="1" x14ac:dyDescent="0.35">
      <c r="A205" s="10" t="s">
        <v>57</v>
      </c>
      <c r="B205" s="7"/>
      <c r="C205" s="7"/>
      <c r="D205" s="8">
        <f t="shared" si="3"/>
        <v>0</v>
      </c>
    </row>
    <row r="206" spans="1:4" ht="18" hidden="1" x14ac:dyDescent="0.35">
      <c r="A206" s="10" t="s">
        <v>58</v>
      </c>
      <c r="B206" s="7"/>
      <c r="C206" s="7"/>
      <c r="D206" s="8">
        <f t="shared" si="3"/>
        <v>0</v>
      </c>
    </row>
    <row r="207" spans="1:4" ht="18" hidden="1" x14ac:dyDescent="0.35">
      <c r="A207" s="10" t="s">
        <v>88</v>
      </c>
      <c r="B207" s="7"/>
      <c r="C207" s="7"/>
      <c r="D207" s="8">
        <f t="shared" si="3"/>
        <v>0</v>
      </c>
    </row>
    <row r="208" spans="1:4" ht="18" hidden="1" x14ac:dyDescent="0.35">
      <c r="A208" s="10" t="s">
        <v>89</v>
      </c>
      <c r="B208" s="7"/>
      <c r="C208" s="7"/>
      <c r="D208" s="8">
        <f t="shared" si="3"/>
        <v>0</v>
      </c>
    </row>
    <row r="209" spans="1:4" ht="18" hidden="1" x14ac:dyDescent="0.35">
      <c r="A209" s="10" t="s">
        <v>137</v>
      </c>
      <c r="B209" s="12"/>
      <c r="C209" s="12"/>
      <c r="D209" s="8">
        <f t="shared" si="3"/>
        <v>0</v>
      </c>
    </row>
    <row r="210" spans="1:4" ht="18" hidden="1" x14ac:dyDescent="0.35">
      <c r="A210" s="10" t="s">
        <v>216</v>
      </c>
      <c r="B210" s="7"/>
      <c r="C210" s="7"/>
      <c r="D210" s="8">
        <f t="shared" si="3"/>
        <v>0</v>
      </c>
    </row>
    <row r="211" spans="1:4" ht="18" hidden="1" x14ac:dyDescent="0.35">
      <c r="A211" s="11" t="s">
        <v>20</v>
      </c>
      <c r="B211" s="7"/>
      <c r="C211" s="7"/>
      <c r="D211" s="8">
        <f t="shared" si="3"/>
        <v>0</v>
      </c>
    </row>
    <row r="212" spans="1:4" ht="18" x14ac:dyDescent="0.3">
      <c r="A212" s="10" t="s">
        <v>21</v>
      </c>
      <c r="B212" s="7">
        <f>5+17+100-60</f>
        <v>62</v>
      </c>
      <c r="C212" s="7">
        <v>16000</v>
      </c>
      <c r="D212" s="8">
        <f t="shared" si="3"/>
        <v>992000</v>
      </c>
    </row>
    <row r="213" spans="1:4" ht="18" hidden="1" x14ac:dyDescent="0.35">
      <c r="A213" s="10" t="s">
        <v>22</v>
      </c>
      <c r="B213" s="7"/>
      <c r="C213" s="7"/>
      <c r="D213" s="8">
        <f t="shared" si="3"/>
        <v>0</v>
      </c>
    </row>
    <row r="214" spans="1:4" ht="18" hidden="1" x14ac:dyDescent="0.35">
      <c r="A214" s="10" t="s">
        <v>23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24</v>
      </c>
      <c r="B215" s="7"/>
      <c r="C215" s="7"/>
      <c r="D215" s="8">
        <f t="shared" si="3"/>
        <v>0</v>
      </c>
    </row>
    <row r="216" spans="1:4" ht="18" hidden="1" x14ac:dyDescent="0.35">
      <c r="A216" s="10" t="s">
        <v>25</v>
      </c>
      <c r="B216" s="7"/>
      <c r="C216" s="7"/>
      <c r="D216" s="8">
        <f t="shared" si="3"/>
        <v>0</v>
      </c>
    </row>
    <row r="217" spans="1:4" ht="18" hidden="1" x14ac:dyDescent="0.35">
      <c r="A217" s="14" t="s">
        <v>227</v>
      </c>
      <c r="B217" s="7"/>
      <c r="C217" s="7"/>
      <c r="D217" s="8">
        <f t="shared" si="3"/>
        <v>0</v>
      </c>
    </row>
    <row r="218" spans="1:4" ht="18" hidden="1" x14ac:dyDescent="0.35">
      <c r="A218" s="13" t="s">
        <v>228</v>
      </c>
      <c r="B218" s="7"/>
      <c r="C218" s="7"/>
      <c r="D218" s="8">
        <f t="shared" si="3"/>
        <v>0</v>
      </c>
    </row>
    <row r="219" spans="1:4" ht="18" hidden="1" x14ac:dyDescent="0.35">
      <c r="A219" s="13" t="s">
        <v>229</v>
      </c>
      <c r="B219" s="7"/>
      <c r="C219" s="7"/>
      <c r="D219" s="8">
        <f t="shared" si="3"/>
        <v>0</v>
      </c>
    </row>
    <row r="220" spans="1:4" ht="18" x14ac:dyDescent="0.3">
      <c r="A220" s="10" t="s">
        <v>26</v>
      </c>
      <c r="B220" s="7">
        <f>10+31</f>
        <v>41</v>
      </c>
      <c r="C220" s="7">
        <v>17000</v>
      </c>
      <c r="D220" s="8">
        <f t="shared" si="3"/>
        <v>697000</v>
      </c>
    </row>
    <row r="221" spans="1:4" ht="18" hidden="1" x14ac:dyDescent="0.35">
      <c r="A221" s="10" t="s">
        <v>27</v>
      </c>
      <c r="B221" s="7"/>
      <c r="C221" s="7"/>
      <c r="D221" s="8">
        <f t="shared" si="3"/>
        <v>0</v>
      </c>
    </row>
    <row r="222" spans="1:4" ht="18" hidden="1" x14ac:dyDescent="0.35">
      <c r="A222" s="10" t="s">
        <v>28</v>
      </c>
      <c r="B222" s="7"/>
      <c r="C222" s="7"/>
      <c r="D222" s="8">
        <f t="shared" si="3"/>
        <v>0</v>
      </c>
    </row>
    <row r="223" spans="1:4" ht="18" hidden="1" x14ac:dyDescent="0.35">
      <c r="A223" s="10" t="s">
        <v>29</v>
      </c>
      <c r="B223" s="7"/>
      <c r="C223" s="7"/>
      <c r="D223" s="8">
        <f t="shared" si="3"/>
        <v>0</v>
      </c>
    </row>
    <row r="224" spans="1:4" ht="18" x14ac:dyDescent="0.3">
      <c r="A224" s="10" t="s">
        <v>30</v>
      </c>
      <c r="B224" s="7">
        <v>50</v>
      </c>
      <c r="C224" s="7">
        <v>32000</v>
      </c>
      <c r="D224" s="8">
        <f t="shared" si="3"/>
        <v>1600000</v>
      </c>
    </row>
    <row r="225" spans="1:4" ht="18" hidden="1" x14ac:dyDescent="0.35">
      <c r="A225" s="10" t="s">
        <v>31</v>
      </c>
      <c r="B225" s="7"/>
      <c r="C225" s="7"/>
      <c r="D225" s="8">
        <f t="shared" si="3"/>
        <v>0</v>
      </c>
    </row>
    <row r="226" spans="1:4" ht="18" hidden="1" x14ac:dyDescent="0.35">
      <c r="A226" s="10" t="s">
        <v>32</v>
      </c>
      <c r="B226" s="7"/>
      <c r="C226" s="7"/>
      <c r="D226" s="8">
        <f t="shared" si="3"/>
        <v>0</v>
      </c>
    </row>
    <row r="227" spans="1:4" ht="18" hidden="1" x14ac:dyDescent="0.35">
      <c r="A227" s="10" t="s">
        <v>90</v>
      </c>
      <c r="B227" s="12"/>
      <c r="C227" s="7"/>
      <c r="D227" s="8">
        <f t="shared" si="3"/>
        <v>0</v>
      </c>
    </row>
    <row r="228" spans="1:4" ht="18" hidden="1" x14ac:dyDescent="0.35">
      <c r="A228" s="22" t="s">
        <v>91</v>
      </c>
      <c r="B228" s="7"/>
      <c r="C228" s="7"/>
      <c r="D228" s="8">
        <f t="shared" si="3"/>
        <v>0</v>
      </c>
    </row>
    <row r="229" spans="1:4" ht="18" hidden="1" x14ac:dyDescent="0.35">
      <c r="A229" s="10" t="s">
        <v>217</v>
      </c>
      <c r="B229" s="7"/>
      <c r="C229" s="7"/>
      <c r="D229" s="8">
        <f t="shared" si="3"/>
        <v>0</v>
      </c>
    </row>
    <row r="230" spans="1:4" ht="18" hidden="1" x14ac:dyDescent="0.35">
      <c r="A230" s="11" t="s">
        <v>230</v>
      </c>
      <c r="B230" s="7"/>
      <c r="C230" s="7"/>
      <c r="D230" s="8">
        <f t="shared" si="3"/>
        <v>0</v>
      </c>
    </row>
    <row r="231" spans="1:4" ht="18" hidden="1" x14ac:dyDescent="0.35">
      <c r="A231" s="10" t="s">
        <v>231</v>
      </c>
      <c r="B231" s="7"/>
      <c r="C231" s="7"/>
      <c r="D231" s="8">
        <f t="shared" si="3"/>
        <v>0</v>
      </c>
    </row>
    <row r="232" spans="1:4" ht="18" hidden="1" x14ac:dyDescent="0.35">
      <c r="A232" s="10" t="s">
        <v>218</v>
      </c>
      <c r="B232" s="7"/>
      <c r="C232" s="7"/>
      <c r="D232" s="8">
        <f t="shared" si="3"/>
        <v>0</v>
      </c>
    </row>
    <row r="233" spans="1:4" ht="18" hidden="1" x14ac:dyDescent="0.35">
      <c r="A233" s="10" t="s">
        <v>118</v>
      </c>
      <c r="B233" s="7"/>
      <c r="C233" s="7"/>
      <c r="D233" s="8">
        <f t="shared" si="3"/>
        <v>0</v>
      </c>
    </row>
    <row r="234" spans="1:4" ht="18" hidden="1" x14ac:dyDescent="0.35">
      <c r="A234" s="10" t="s">
        <v>232</v>
      </c>
      <c r="B234" s="7"/>
      <c r="C234" s="7"/>
      <c r="D234" s="8">
        <f t="shared" si="3"/>
        <v>0</v>
      </c>
    </row>
    <row r="235" spans="1:4" ht="18" hidden="1" x14ac:dyDescent="0.35">
      <c r="A235" s="10" t="s">
        <v>70</v>
      </c>
      <c r="B235" s="7"/>
      <c r="C235" s="7"/>
      <c r="D235" s="8">
        <f t="shared" si="3"/>
        <v>0</v>
      </c>
    </row>
    <row r="236" spans="1:4" ht="18" hidden="1" x14ac:dyDescent="0.35">
      <c r="A236" s="10" t="s">
        <v>71</v>
      </c>
      <c r="B236" s="7"/>
      <c r="C236" s="7"/>
      <c r="D236" s="8">
        <f t="shared" si="3"/>
        <v>0</v>
      </c>
    </row>
    <row r="237" spans="1:4" ht="18" hidden="1" x14ac:dyDescent="0.35">
      <c r="A237" s="10" t="s">
        <v>146</v>
      </c>
      <c r="B237" s="7"/>
      <c r="C237" s="7"/>
      <c r="D237" s="8">
        <f t="shared" si="3"/>
        <v>0</v>
      </c>
    </row>
    <row r="238" spans="1:4" ht="18" hidden="1" x14ac:dyDescent="0.35">
      <c r="A238" s="11" t="s">
        <v>287</v>
      </c>
      <c r="B238" s="7"/>
      <c r="C238" s="7"/>
      <c r="D238" s="8">
        <f t="shared" si="3"/>
        <v>0</v>
      </c>
    </row>
    <row r="239" spans="1:4" ht="18" hidden="1" x14ac:dyDescent="0.35">
      <c r="A239" s="6" t="s">
        <v>138</v>
      </c>
      <c r="B239" s="12"/>
      <c r="C239" s="12"/>
      <c r="D239" s="8">
        <f t="shared" si="3"/>
        <v>0</v>
      </c>
    </row>
    <row r="240" spans="1:4" ht="18" hidden="1" x14ac:dyDescent="0.35">
      <c r="A240" s="14" t="s">
        <v>233</v>
      </c>
      <c r="B240" s="7"/>
      <c r="C240" s="7"/>
      <c r="D240" s="8">
        <f t="shared" si="3"/>
        <v>0</v>
      </c>
    </row>
    <row r="241" spans="1:4" ht="18" hidden="1" x14ac:dyDescent="0.35">
      <c r="A241" s="14" t="s">
        <v>100</v>
      </c>
      <c r="B241" s="7"/>
      <c r="C241" s="7"/>
      <c r="D241" s="8">
        <f t="shared" si="3"/>
        <v>0</v>
      </c>
    </row>
    <row r="242" spans="1:4" ht="18" hidden="1" x14ac:dyDescent="0.35">
      <c r="A242" s="14" t="s">
        <v>101</v>
      </c>
      <c r="B242" s="7"/>
      <c r="C242" s="7"/>
      <c r="D242" s="8">
        <f t="shared" si="3"/>
        <v>0</v>
      </c>
    </row>
    <row r="243" spans="1:4" ht="18" x14ac:dyDescent="0.3">
      <c r="A243" s="10" t="s">
        <v>259</v>
      </c>
      <c r="B243" s="7">
        <v>19</v>
      </c>
      <c r="C243" s="7">
        <v>12000</v>
      </c>
      <c r="D243" s="8">
        <f t="shared" si="3"/>
        <v>228000</v>
      </c>
    </row>
    <row r="244" spans="1:4" ht="18" hidden="1" x14ac:dyDescent="0.35">
      <c r="A244" s="14" t="s">
        <v>260</v>
      </c>
      <c r="B244" s="7"/>
      <c r="C244" s="7"/>
      <c r="D244" s="8">
        <f t="shared" si="3"/>
        <v>0</v>
      </c>
    </row>
    <row r="245" spans="1:4" ht="18" hidden="1" x14ac:dyDescent="0.35">
      <c r="A245" s="10" t="s">
        <v>261</v>
      </c>
      <c r="B245" s="7"/>
      <c r="C245" s="7"/>
      <c r="D245" s="8">
        <f t="shared" si="3"/>
        <v>0</v>
      </c>
    </row>
    <row r="246" spans="1:4" ht="18" x14ac:dyDescent="0.3">
      <c r="A246" s="10" t="s">
        <v>275</v>
      </c>
      <c r="B246" s="7">
        <v>7</v>
      </c>
      <c r="C246" s="7">
        <v>4500</v>
      </c>
      <c r="D246" s="8">
        <f t="shared" si="3"/>
        <v>31500</v>
      </c>
    </row>
    <row r="247" spans="1:4" ht="18" hidden="1" x14ac:dyDescent="0.35">
      <c r="A247" s="14" t="s">
        <v>92</v>
      </c>
      <c r="B247" s="7"/>
      <c r="C247" s="7"/>
      <c r="D247" s="8">
        <f t="shared" si="3"/>
        <v>0</v>
      </c>
    </row>
    <row r="248" spans="1:4" ht="18" x14ac:dyDescent="0.3">
      <c r="A248" s="10" t="s">
        <v>139</v>
      </c>
      <c r="B248" s="7">
        <f>7+7+20</f>
        <v>34</v>
      </c>
      <c r="C248" s="7">
        <v>10000</v>
      </c>
      <c r="D248" s="8">
        <f t="shared" si="3"/>
        <v>340000</v>
      </c>
    </row>
    <row r="249" spans="1:4" ht="18" hidden="1" x14ac:dyDescent="0.35">
      <c r="A249" s="22" t="s">
        <v>140</v>
      </c>
      <c r="B249" s="7"/>
      <c r="C249" s="7"/>
      <c r="D249" s="8">
        <f t="shared" si="3"/>
        <v>0</v>
      </c>
    </row>
    <row r="250" spans="1:4" ht="18" hidden="1" x14ac:dyDescent="0.35">
      <c r="A250" s="6" t="s">
        <v>93</v>
      </c>
      <c r="B250" s="7"/>
      <c r="C250" s="7"/>
      <c r="D250" s="8">
        <f t="shared" si="3"/>
        <v>0</v>
      </c>
    </row>
    <row r="251" spans="1:4" ht="18" hidden="1" x14ac:dyDescent="0.35">
      <c r="A251" s="14" t="s">
        <v>94</v>
      </c>
      <c r="B251" s="7"/>
      <c r="C251" s="7"/>
      <c r="D251" s="8">
        <f t="shared" si="3"/>
        <v>0</v>
      </c>
    </row>
    <row r="252" spans="1:4" ht="18" hidden="1" x14ac:dyDescent="0.35">
      <c r="A252" s="22" t="s">
        <v>76</v>
      </c>
      <c r="B252" s="7"/>
      <c r="C252" s="7"/>
      <c r="D252" s="8">
        <f t="shared" si="3"/>
        <v>0</v>
      </c>
    </row>
    <row r="253" spans="1:4" ht="18" hidden="1" x14ac:dyDescent="0.35">
      <c r="A253" s="10" t="s">
        <v>219</v>
      </c>
      <c r="B253" s="7"/>
      <c r="C253" s="7"/>
      <c r="D253" s="8">
        <f t="shared" si="3"/>
        <v>0</v>
      </c>
    </row>
    <row r="254" spans="1:4" ht="18" hidden="1" x14ac:dyDescent="0.35">
      <c r="A254" s="14" t="s">
        <v>220</v>
      </c>
      <c r="B254" s="7"/>
      <c r="C254" s="7"/>
      <c r="D254" s="8">
        <f t="shared" si="3"/>
        <v>0</v>
      </c>
    </row>
    <row r="255" spans="1:4" ht="18" hidden="1" x14ac:dyDescent="0.35">
      <c r="A255" s="6" t="s">
        <v>221</v>
      </c>
      <c r="B255" s="7"/>
      <c r="C255" s="7"/>
      <c r="D255" s="8">
        <f t="shared" si="3"/>
        <v>0</v>
      </c>
    </row>
    <row r="256" spans="1:4" ht="18" hidden="1" x14ac:dyDescent="0.35">
      <c r="A256" s="10" t="s">
        <v>288</v>
      </c>
      <c r="B256" s="7"/>
      <c r="C256" s="7"/>
      <c r="D256" s="8">
        <f t="shared" si="3"/>
        <v>0</v>
      </c>
    </row>
    <row r="257" spans="1:4" ht="18" hidden="1" x14ac:dyDescent="0.35">
      <c r="A257" s="10" t="s">
        <v>119</v>
      </c>
      <c r="B257" s="7"/>
      <c r="C257" s="7"/>
      <c r="D257" s="8">
        <f t="shared" si="3"/>
        <v>0</v>
      </c>
    </row>
    <row r="258" spans="1:4" ht="18" hidden="1" x14ac:dyDescent="0.35">
      <c r="A258" s="6" t="s">
        <v>141</v>
      </c>
      <c r="B258" s="7"/>
      <c r="C258" s="7"/>
      <c r="D258" s="8">
        <f t="shared" si="3"/>
        <v>0</v>
      </c>
    </row>
    <row r="259" spans="1:4" ht="18" hidden="1" x14ac:dyDescent="0.35">
      <c r="A259" s="6" t="s">
        <v>95</v>
      </c>
      <c r="B259" s="7"/>
      <c r="C259" s="7"/>
      <c r="D259" s="8">
        <f t="shared" si="3"/>
        <v>0</v>
      </c>
    </row>
    <row r="260" spans="1:4" ht="18" hidden="1" x14ac:dyDescent="0.35">
      <c r="A260" s="10" t="s">
        <v>169</v>
      </c>
      <c r="B260" s="7"/>
      <c r="C260" s="7"/>
      <c r="D260" s="8">
        <f t="shared" ref="D260:D289" si="4">B260*C260</f>
        <v>0</v>
      </c>
    </row>
    <row r="261" spans="1:4" ht="18" hidden="1" x14ac:dyDescent="0.35">
      <c r="A261" s="22" t="s">
        <v>77</v>
      </c>
      <c r="B261" s="7"/>
      <c r="C261" s="7"/>
      <c r="D261" s="8">
        <f t="shared" si="4"/>
        <v>0</v>
      </c>
    </row>
    <row r="262" spans="1:4" ht="18" hidden="1" x14ac:dyDescent="0.35">
      <c r="A262" s="22" t="s">
        <v>78</v>
      </c>
      <c r="B262" s="7"/>
      <c r="C262" s="7"/>
      <c r="D262" s="8">
        <f t="shared" si="4"/>
        <v>0</v>
      </c>
    </row>
    <row r="263" spans="1:4" ht="18" hidden="1" x14ac:dyDescent="0.35">
      <c r="A263" s="13" t="s">
        <v>237</v>
      </c>
      <c r="B263" s="7"/>
      <c r="C263" s="7"/>
      <c r="D263" s="8">
        <f t="shared" si="4"/>
        <v>0</v>
      </c>
    </row>
    <row r="264" spans="1:4" ht="18" hidden="1" x14ac:dyDescent="0.35">
      <c r="A264" s="22" t="s">
        <v>79</v>
      </c>
      <c r="B264" s="7"/>
      <c r="C264" s="7"/>
      <c r="D264" s="8">
        <f t="shared" si="4"/>
        <v>0</v>
      </c>
    </row>
    <row r="265" spans="1:4" ht="18" hidden="1" x14ac:dyDescent="0.35">
      <c r="A265" s="10" t="s">
        <v>238</v>
      </c>
      <c r="B265" s="7"/>
      <c r="C265" s="7"/>
      <c r="D265" s="8">
        <f t="shared" si="4"/>
        <v>0</v>
      </c>
    </row>
    <row r="266" spans="1:4" ht="18" hidden="1" x14ac:dyDescent="0.35">
      <c r="A266" s="10" t="s">
        <v>239</v>
      </c>
      <c r="B266" s="7"/>
      <c r="C266" s="7"/>
      <c r="D266" s="8">
        <f t="shared" si="4"/>
        <v>0</v>
      </c>
    </row>
    <row r="267" spans="1:4" ht="18" hidden="1" x14ac:dyDescent="0.35">
      <c r="A267" s="10" t="s">
        <v>240</v>
      </c>
      <c r="B267" s="7"/>
      <c r="C267" s="7"/>
      <c r="D267" s="8">
        <f t="shared" si="4"/>
        <v>0</v>
      </c>
    </row>
    <row r="268" spans="1:4" ht="18" hidden="1" x14ac:dyDescent="0.35">
      <c r="A268" s="10" t="s">
        <v>241</v>
      </c>
      <c r="B268" s="7"/>
      <c r="C268" s="7"/>
      <c r="D268" s="8">
        <f t="shared" si="4"/>
        <v>0</v>
      </c>
    </row>
    <row r="269" spans="1:4" ht="18" hidden="1" x14ac:dyDescent="0.35">
      <c r="A269" s="13" t="s">
        <v>242</v>
      </c>
      <c r="B269" s="7"/>
      <c r="C269" s="7"/>
      <c r="D269" s="8">
        <f t="shared" si="4"/>
        <v>0</v>
      </c>
    </row>
    <row r="270" spans="1:4" ht="18" hidden="1" x14ac:dyDescent="0.35">
      <c r="A270" s="10" t="s">
        <v>243</v>
      </c>
      <c r="B270" s="7"/>
      <c r="C270" s="7"/>
      <c r="D270" s="8">
        <f t="shared" si="4"/>
        <v>0</v>
      </c>
    </row>
    <row r="271" spans="1:4" ht="18" hidden="1" x14ac:dyDescent="0.35">
      <c r="A271" s="10" t="s">
        <v>37</v>
      </c>
      <c r="B271" s="7"/>
      <c r="C271" s="7"/>
      <c r="D271" s="8">
        <f t="shared" si="4"/>
        <v>0</v>
      </c>
    </row>
    <row r="272" spans="1:4" ht="18" hidden="1" x14ac:dyDescent="0.35">
      <c r="A272" s="6" t="s">
        <v>170</v>
      </c>
      <c r="B272" s="7"/>
      <c r="C272" s="7"/>
      <c r="D272" s="8">
        <f t="shared" si="4"/>
        <v>0</v>
      </c>
    </row>
    <row r="273" spans="1:4" ht="18" hidden="1" x14ac:dyDescent="0.35">
      <c r="A273" s="10" t="s">
        <v>80</v>
      </c>
      <c r="B273" s="23"/>
      <c r="C273" s="23"/>
      <c r="D273" s="8">
        <f t="shared" si="4"/>
        <v>0</v>
      </c>
    </row>
    <row r="274" spans="1:4" ht="18" hidden="1" x14ac:dyDescent="0.35">
      <c r="A274" s="10" t="s">
        <v>244</v>
      </c>
      <c r="B274" s="7"/>
      <c r="C274" s="7"/>
      <c r="D274" s="8">
        <f t="shared" si="4"/>
        <v>0</v>
      </c>
    </row>
    <row r="275" spans="1:4" ht="18" hidden="1" x14ac:dyDescent="0.35">
      <c r="A275" s="10" t="s">
        <v>171</v>
      </c>
      <c r="B275" s="7"/>
      <c r="C275" s="7"/>
      <c r="D275" s="8">
        <f t="shared" si="4"/>
        <v>0</v>
      </c>
    </row>
    <row r="276" spans="1:4" ht="18" hidden="1" x14ac:dyDescent="0.35">
      <c r="A276" s="13" t="s">
        <v>245</v>
      </c>
      <c r="B276" s="7"/>
      <c r="C276" s="7"/>
      <c r="D276" s="8">
        <f t="shared" si="4"/>
        <v>0</v>
      </c>
    </row>
    <row r="277" spans="1:4" ht="18" hidden="1" x14ac:dyDescent="0.35">
      <c r="A277" s="13" t="s">
        <v>246</v>
      </c>
      <c r="B277" s="7"/>
      <c r="C277" s="7"/>
      <c r="D277" s="8">
        <f t="shared" si="4"/>
        <v>0</v>
      </c>
    </row>
    <row r="278" spans="1:4" ht="18" hidden="1" x14ac:dyDescent="0.35">
      <c r="A278" s="10" t="s">
        <v>247</v>
      </c>
      <c r="B278" s="7"/>
      <c r="C278" s="7"/>
      <c r="D278" s="8">
        <f t="shared" si="4"/>
        <v>0</v>
      </c>
    </row>
    <row r="279" spans="1:4" ht="18" hidden="1" x14ac:dyDescent="0.35">
      <c r="A279" s="10" t="s">
        <v>248</v>
      </c>
      <c r="B279" s="7"/>
      <c r="C279" s="7"/>
      <c r="D279" s="8">
        <f t="shared" si="4"/>
        <v>0</v>
      </c>
    </row>
    <row r="280" spans="1:4" ht="18" hidden="1" x14ac:dyDescent="0.35">
      <c r="A280" s="13" t="s">
        <v>249</v>
      </c>
      <c r="B280" s="7"/>
      <c r="C280" s="7"/>
      <c r="D280" s="8">
        <f t="shared" si="4"/>
        <v>0</v>
      </c>
    </row>
    <row r="281" spans="1:4" ht="18" hidden="1" x14ac:dyDescent="0.35">
      <c r="A281" s="10" t="s">
        <v>250</v>
      </c>
      <c r="B281" s="7"/>
      <c r="C281" s="7"/>
      <c r="D281" s="8">
        <f t="shared" si="4"/>
        <v>0</v>
      </c>
    </row>
    <row r="282" spans="1:4" ht="18" hidden="1" x14ac:dyDescent="0.35">
      <c r="A282" s="10" t="s">
        <v>251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252</v>
      </c>
      <c r="B283" s="7"/>
      <c r="C283" s="7"/>
      <c r="D283" s="8">
        <f t="shared" si="4"/>
        <v>0</v>
      </c>
    </row>
    <row r="284" spans="1:4" ht="18" hidden="1" x14ac:dyDescent="0.35">
      <c r="A284" s="10" t="s">
        <v>253</v>
      </c>
      <c r="B284" s="7"/>
      <c r="C284" s="7"/>
      <c r="D284" s="8">
        <f t="shared" si="4"/>
        <v>0</v>
      </c>
    </row>
    <row r="285" spans="1:4" ht="18" hidden="1" x14ac:dyDescent="0.35">
      <c r="A285" s="10" t="s">
        <v>254</v>
      </c>
      <c r="B285" s="7"/>
      <c r="C285" s="7"/>
      <c r="D285" s="8">
        <f t="shared" si="4"/>
        <v>0</v>
      </c>
    </row>
    <row r="286" spans="1:4" ht="18" x14ac:dyDescent="0.3">
      <c r="A286" s="10" t="s">
        <v>255</v>
      </c>
      <c r="B286" s="7">
        <f>9+3</f>
        <v>12</v>
      </c>
      <c r="C286" s="7">
        <v>30000</v>
      </c>
      <c r="D286" s="8">
        <f t="shared" si="4"/>
        <v>360000</v>
      </c>
    </row>
    <row r="287" spans="1:4" ht="18" hidden="1" x14ac:dyDescent="0.35">
      <c r="A287" s="10" t="s">
        <v>256</v>
      </c>
      <c r="B287" s="7"/>
      <c r="C287" s="7"/>
      <c r="D287" s="8">
        <f t="shared" si="4"/>
        <v>0</v>
      </c>
    </row>
    <row r="288" spans="1:4" ht="18" hidden="1" x14ac:dyDescent="0.35">
      <c r="A288" s="10" t="s">
        <v>257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258</v>
      </c>
      <c r="B289" s="7"/>
      <c r="C289" s="7"/>
      <c r="D289" s="8">
        <f t="shared" si="4"/>
        <v>0</v>
      </c>
    </row>
    <row r="290" spans="1:4" ht="17.399999999999999" x14ac:dyDescent="0.3">
      <c r="A290" s="31"/>
      <c r="B290" s="32">
        <f t="shared" ref="B290:D290" si="5">SUM(B3:B289)</f>
        <v>5249</v>
      </c>
      <c r="C290" s="32"/>
      <c r="D290" s="32">
        <f t="shared" si="5"/>
        <v>90585000</v>
      </c>
    </row>
  </sheetData>
  <protectedRanges>
    <protectedRange password="CF71" sqref="B1:D289" name="tho"/>
  </protectedRanges>
  <autoFilter ref="A2:D290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1"/>
  <sheetViews>
    <sheetView workbookViewId="0">
      <selection activeCell="I149" sqref="I149"/>
    </sheetView>
  </sheetViews>
  <sheetFormatPr defaultRowHeight="14.4" x14ac:dyDescent="0.3"/>
  <cols>
    <col min="1" max="1" width="33.109375" customWidth="1"/>
    <col min="3" max="3" width="12" customWidth="1"/>
    <col min="4" max="4" width="20" customWidth="1"/>
  </cols>
  <sheetData>
    <row r="1" spans="1:4" x14ac:dyDescent="0.3">
      <c r="A1" s="1" t="s">
        <v>309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hidden="1" x14ac:dyDescent="0.35">
      <c r="A6" s="20" t="s">
        <v>190</v>
      </c>
      <c r="B6" s="7"/>
      <c r="C6" s="7"/>
      <c r="D6" s="8">
        <f t="shared" si="0"/>
        <v>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20" t="s">
        <v>308</v>
      </c>
      <c r="B8" s="7"/>
      <c r="C8" s="7"/>
      <c r="D8" s="8">
        <f t="shared" si="0"/>
        <v>0</v>
      </c>
    </row>
    <row r="9" spans="1:4" ht="18" hidden="1" x14ac:dyDescent="0.35">
      <c r="A9" s="10" t="s">
        <v>49</v>
      </c>
      <c r="B9" s="7"/>
      <c r="C9" s="7"/>
      <c r="D9" s="8">
        <f t="shared" si="0"/>
        <v>0</v>
      </c>
    </row>
    <row r="10" spans="1:4" ht="18" hidden="1" x14ac:dyDescent="0.35">
      <c r="A10" s="10" t="s">
        <v>50</v>
      </c>
      <c r="B10" s="7"/>
      <c r="C10" s="7"/>
      <c r="D10" s="8">
        <f t="shared" si="0"/>
        <v>0</v>
      </c>
    </row>
    <row r="11" spans="1:4" ht="18" hidden="1" x14ac:dyDescent="0.35">
      <c r="A11" s="6" t="s">
        <v>51</v>
      </c>
      <c r="B11" s="7"/>
      <c r="C11" s="7"/>
      <c r="D11" s="8">
        <f t="shared" si="0"/>
        <v>0</v>
      </c>
    </row>
    <row r="12" spans="1:4" ht="18" x14ac:dyDescent="0.3">
      <c r="A12" s="6" t="s">
        <v>199</v>
      </c>
      <c r="B12" s="7">
        <v>8</v>
      </c>
      <c r="C12" s="7">
        <v>9500</v>
      </c>
      <c r="D12" s="8">
        <f t="shared" si="0"/>
        <v>76000</v>
      </c>
    </row>
    <row r="13" spans="1:4" ht="18" hidden="1" x14ac:dyDescent="0.35">
      <c r="A13" s="10" t="s">
        <v>117</v>
      </c>
      <c r="B13" s="7"/>
      <c r="C13" s="7"/>
      <c r="D13" s="8">
        <f t="shared" si="0"/>
        <v>0</v>
      </c>
    </row>
    <row r="14" spans="1:4" ht="18" hidden="1" x14ac:dyDescent="0.35">
      <c r="A14" s="10" t="s">
        <v>276</v>
      </c>
      <c r="B14" s="7"/>
      <c r="C14" s="7"/>
      <c r="D14" s="8">
        <f t="shared" si="0"/>
        <v>0</v>
      </c>
    </row>
    <row r="15" spans="1:4" ht="18" x14ac:dyDescent="0.3">
      <c r="A15" s="22" t="s">
        <v>277</v>
      </c>
      <c r="B15" s="7">
        <v>23</v>
      </c>
      <c r="C15" s="7">
        <v>3500</v>
      </c>
      <c r="D15" s="8">
        <f t="shared" si="0"/>
        <v>80500</v>
      </c>
    </row>
    <row r="16" spans="1:4" ht="18" hidden="1" x14ac:dyDescent="0.35">
      <c r="A16" s="11" t="s">
        <v>278</v>
      </c>
      <c r="B16" s="7"/>
      <c r="C16" s="7"/>
      <c r="D16" s="8">
        <f t="shared" si="0"/>
        <v>0</v>
      </c>
    </row>
    <row r="17" spans="1:4" ht="18" x14ac:dyDescent="0.3">
      <c r="A17" s="10" t="s">
        <v>120</v>
      </c>
      <c r="B17" s="7">
        <f>240+60</f>
        <v>300</v>
      </c>
      <c r="C17" s="7">
        <v>5000</v>
      </c>
      <c r="D17" s="8">
        <f t="shared" si="0"/>
        <v>1500000</v>
      </c>
    </row>
    <row r="18" spans="1:4" ht="18" hidden="1" x14ac:dyDescent="0.35">
      <c r="A18" s="6" t="s">
        <v>59</v>
      </c>
      <c r="B18" s="7"/>
      <c r="C18" s="7"/>
      <c r="D18" s="8">
        <f t="shared" si="0"/>
        <v>0</v>
      </c>
    </row>
    <row r="19" spans="1:4" ht="18" hidden="1" x14ac:dyDescent="0.35">
      <c r="A19" s="6" t="s">
        <v>60</v>
      </c>
      <c r="B19" s="7"/>
      <c r="C19" s="7"/>
      <c r="D19" s="8">
        <f t="shared" si="0"/>
        <v>0</v>
      </c>
    </row>
    <row r="20" spans="1:4" ht="18" x14ac:dyDescent="0.3">
      <c r="A20" s="10" t="s">
        <v>262</v>
      </c>
      <c r="B20" s="7">
        <v>8</v>
      </c>
      <c r="C20" s="7">
        <v>10000</v>
      </c>
      <c r="D20" s="8">
        <f t="shared" si="0"/>
        <v>80000</v>
      </c>
    </row>
    <row r="21" spans="1:4" ht="18" x14ac:dyDescent="0.3">
      <c r="A21" s="10" t="s">
        <v>263</v>
      </c>
      <c r="B21" s="7">
        <v>120</v>
      </c>
      <c r="C21" s="7">
        <v>6000</v>
      </c>
      <c r="D21" s="8">
        <f t="shared" si="0"/>
        <v>720000</v>
      </c>
    </row>
    <row r="22" spans="1:4" ht="18" hidden="1" x14ac:dyDescent="0.35">
      <c r="A22" s="10" t="s">
        <v>264</v>
      </c>
      <c r="B22" s="7"/>
      <c r="C22" s="7"/>
      <c r="D22" s="8">
        <f t="shared" si="0"/>
        <v>0</v>
      </c>
    </row>
    <row r="23" spans="1:4" ht="18" hidden="1" x14ac:dyDescent="0.35">
      <c r="A23" s="10" t="s">
        <v>265</v>
      </c>
      <c r="B23" s="7"/>
      <c r="C23" s="7"/>
      <c r="D23" s="8">
        <f t="shared" si="0"/>
        <v>0</v>
      </c>
    </row>
    <row r="24" spans="1:4" ht="18" hidden="1" x14ac:dyDescent="0.35">
      <c r="A24" s="10" t="s">
        <v>63</v>
      </c>
      <c r="B24" s="7"/>
      <c r="C24" s="7"/>
      <c r="D24" s="8">
        <f t="shared" si="0"/>
        <v>0</v>
      </c>
    </row>
    <row r="25" spans="1:4" ht="18" hidden="1" x14ac:dyDescent="0.35">
      <c r="A25" s="6" t="s">
        <v>64</v>
      </c>
      <c r="B25" s="7"/>
      <c r="C25" s="7"/>
      <c r="D25" s="8">
        <f t="shared" si="0"/>
        <v>0</v>
      </c>
    </row>
    <row r="26" spans="1:4" ht="18" hidden="1" x14ac:dyDescent="0.35">
      <c r="A26" s="6" t="s">
        <v>65</v>
      </c>
      <c r="B26" s="7"/>
      <c r="C26" s="7"/>
      <c r="D26" s="8">
        <f t="shared" si="0"/>
        <v>0</v>
      </c>
    </row>
    <row r="27" spans="1:4" ht="18" hidden="1" x14ac:dyDescent="0.35">
      <c r="A27" s="10" t="s">
        <v>222</v>
      </c>
      <c r="B27" s="7"/>
      <c r="C27" s="7"/>
      <c r="D27" s="8">
        <f t="shared" si="0"/>
        <v>0</v>
      </c>
    </row>
    <row r="28" spans="1:4" ht="18" hidden="1" x14ac:dyDescent="0.35">
      <c r="A28" s="10" t="s">
        <v>223</v>
      </c>
      <c r="B28" s="7"/>
      <c r="C28" s="7"/>
      <c r="D28" s="8">
        <f t="shared" si="0"/>
        <v>0</v>
      </c>
    </row>
    <row r="29" spans="1:4" ht="18" hidden="1" x14ac:dyDescent="0.35">
      <c r="A29" s="11" t="s">
        <v>224</v>
      </c>
      <c r="B29" s="12"/>
      <c r="C29" s="12"/>
      <c r="D29" s="8">
        <f t="shared" si="0"/>
        <v>0</v>
      </c>
    </row>
    <row r="30" spans="1:4" ht="18" hidden="1" x14ac:dyDescent="0.35">
      <c r="A30" s="11" t="s">
        <v>225</v>
      </c>
      <c r="B30" s="7"/>
      <c r="C30" s="7"/>
      <c r="D30" s="8">
        <f t="shared" si="0"/>
        <v>0</v>
      </c>
    </row>
    <row r="31" spans="1:4" ht="18" hidden="1" x14ac:dyDescent="0.35">
      <c r="A31" s="11" t="s">
        <v>226</v>
      </c>
      <c r="B31" s="12"/>
      <c r="C31" s="12"/>
      <c r="D31" s="8">
        <f t="shared" si="0"/>
        <v>0</v>
      </c>
    </row>
    <row r="32" spans="1:4" ht="18" hidden="1" x14ac:dyDescent="0.35">
      <c r="A32" s="10" t="s">
        <v>121</v>
      </c>
      <c r="B32" s="7"/>
      <c r="C32" s="7"/>
      <c r="D32" s="8">
        <f t="shared" si="0"/>
        <v>0</v>
      </c>
    </row>
    <row r="33" spans="1:4" ht="18" hidden="1" x14ac:dyDescent="0.35">
      <c r="A33" s="10" t="s">
        <v>145</v>
      </c>
      <c r="B33" s="7"/>
      <c r="C33" s="7"/>
      <c r="D33" s="8">
        <f t="shared" si="0"/>
        <v>0</v>
      </c>
    </row>
    <row r="34" spans="1:4" ht="18" hidden="1" x14ac:dyDescent="0.35">
      <c r="A34" s="14" t="s">
        <v>97</v>
      </c>
      <c r="B34" s="7"/>
      <c r="C34" s="7"/>
      <c r="D34" s="8">
        <f t="shared" si="0"/>
        <v>0</v>
      </c>
    </row>
    <row r="35" spans="1:4" ht="18" hidden="1" x14ac:dyDescent="0.35">
      <c r="A35" s="10" t="s">
        <v>98</v>
      </c>
      <c r="B35" s="7"/>
      <c r="C35" s="7"/>
      <c r="D35" s="8">
        <f t="shared" si="0"/>
        <v>0</v>
      </c>
    </row>
    <row r="36" spans="1:4" ht="18" hidden="1" x14ac:dyDescent="0.35">
      <c r="A36" s="10" t="s">
        <v>99</v>
      </c>
      <c r="B36" s="7"/>
      <c r="C36" s="7"/>
      <c r="D36" s="8">
        <f t="shared" si="0"/>
        <v>0</v>
      </c>
    </row>
    <row r="37" spans="1:4" ht="18" hidden="1" x14ac:dyDescent="0.35">
      <c r="A37" s="10" t="s">
        <v>266</v>
      </c>
      <c r="B37" s="7"/>
      <c r="C37" s="7"/>
      <c r="D37" s="8">
        <f t="shared" si="0"/>
        <v>0</v>
      </c>
    </row>
    <row r="38" spans="1:4" ht="18" hidden="1" x14ac:dyDescent="0.35">
      <c r="A38" s="10" t="s">
        <v>267</v>
      </c>
      <c r="B38" s="7"/>
      <c r="C38" s="7"/>
      <c r="D38" s="8">
        <f t="shared" si="0"/>
        <v>0</v>
      </c>
    </row>
    <row r="39" spans="1:4" ht="18" hidden="1" x14ac:dyDescent="0.35">
      <c r="A39" s="22" t="s">
        <v>268</v>
      </c>
      <c r="B39" s="7"/>
      <c r="C39" s="7"/>
      <c r="D39" s="8">
        <f t="shared" si="0"/>
        <v>0</v>
      </c>
    </row>
    <row r="40" spans="1:4" ht="18" hidden="1" x14ac:dyDescent="0.35">
      <c r="A40" s="11" t="s">
        <v>122</v>
      </c>
      <c r="B40" s="7"/>
      <c r="C40" s="7"/>
      <c r="D40" s="8">
        <f t="shared" si="0"/>
        <v>0</v>
      </c>
    </row>
    <row r="41" spans="1:4" ht="18" hidden="1" x14ac:dyDescent="0.35">
      <c r="A41" s="22" t="s">
        <v>123</v>
      </c>
      <c r="B41" s="7"/>
      <c r="C41" s="7"/>
      <c r="D41" s="8">
        <f t="shared" si="0"/>
        <v>0</v>
      </c>
    </row>
    <row r="42" spans="1:4" ht="18" x14ac:dyDescent="0.3">
      <c r="A42" s="10" t="s">
        <v>269</v>
      </c>
      <c r="B42" s="7">
        <v>27</v>
      </c>
      <c r="C42" s="7">
        <v>25000</v>
      </c>
      <c r="D42" s="8">
        <f t="shared" si="0"/>
        <v>675000</v>
      </c>
    </row>
    <row r="43" spans="1:4" ht="18" hidden="1" x14ac:dyDescent="0.35">
      <c r="A43" s="10" t="s">
        <v>270</v>
      </c>
      <c r="B43" s="7"/>
      <c r="C43" s="7"/>
      <c r="D43" s="8">
        <f t="shared" si="0"/>
        <v>0</v>
      </c>
    </row>
    <row r="44" spans="1:4" ht="18" x14ac:dyDescent="0.3">
      <c r="A44" s="6" t="s">
        <v>113</v>
      </c>
      <c r="B44" s="7">
        <f>140+360+200+60+160+140+440+160+60+300</f>
        <v>2020</v>
      </c>
      <c r="C44" s="7">
        <v>9000</v>
      </c>
      <c r="D44" s="8">
        <f t="shared" si="0"/>
        <v>18180000</v>
      </c>
    </row>
    <row r="45" spans="1:4" ht="18" hidden="1" x14ac:dyDescent="0.35">
      <c r="A45" s="10" t="s">
        <v>147</v>
      </c>
      <c r="B45" s="7"/>
      <c r="C45" s="7"/>
      <c r="D45" s="8">
        <f t="shared" si="0"/>
        <v>0</v>
      </c>
    </row>
    <row r="46" spans="1:4" ht="18" hidden="1" x14ac:dyDescent="0.35">
      <c r="A46" s="34" t="s">
        <v>148</v>
      </c>
      <c r="B46" s="7"/>
      <c r="C46" s="7"/>
      <c r="D46" s="8">
        <f t="shared" si="0"/>
        <v>0</v>
      </c>
    </row>
    <row r="47" spans="1:4" ht="18" hidden="1" x14ac:dyDescent="0.35">
      <c r="A47" s="14" t="s">
        <v>149</v>
      </c>
      <c r="B47" s="7"/>
      <c r="C47" s="7"/>
      <c r="D47" s="8">
        <f t="shared" si="0"/>
        <v>0</v>
      </c>
    </row>
    <row r="48" spans="1:4" ht="18" hidden="1" x14ac:dyDescent="0.35">
      <c r="A48" s="10" t="s">
        <v>150</v>
      </c>
      <c r="B48" s="7"/>
      <c r="C48" s="7"/>
      <c r="D48" s="8">
        <f t="shared" si="0"/>
        <v>0</v>
      </c>
    </row>
    <row r="49" spans="1:4" ht="18" hidden="1" x14ac:dyDescent="0.35">
      <c r="A49" s="11" t="s">
        <v>151</v>
      </c>
      <c r="B49" s="7"/>
      <c r="C49" s="7"/>
      <c r="D49" s="8">
        <f t="shared" si="0"/>
        <v>0</v>
      </c>
    </row>
    <row r="50" spans="1:4" ht="18" hidden="1" x14ac:dyDescent="0.35">
      <c r="A50" s="10" t="s">
        <v>152</v>
      </c>
      <c r="B50" s="7"/>
      <c r="C50" s="7"/>
      <c r="D50" s="8">
        <f t="shared" si="0"/>
        <v>0</v>
      </c>
    </row>
    <row r="51" spans="1:4" ht="18" hidden="1" x14ac:dyDescent="0.35">
      <c r="A51" s="10" t="s">
        <v>153</v>
      </c>
      <c r="B51" s="7"/>
      <c r="C51" s="7"/>
      <c r="D51" s="8">
        <f t="shared" si="0"/>
        <v>0</v>
      </c>
    </row>
    <row r="52" spans="1:4" ht="18" hidden="1" x14ac:dyDescent="0.35">
      <c r="A52" s="14" t="s">
        <v>75</v>
      </c>
      <c r="B52" s="7"/>
      <c r="C52" s="7"/>
      <c r="D52" s="8">
        <f t="shared" si="0"/>
        <v>0</v>
      </c>
    </row>
    <row r="53" spans="1:4" ht="18" x14ac:dyDescent="0.3">
      <c r="A53" s="10" t="s">
        <v>114</v>
      </c>
      <c r="B53" s="7">
        <v>206</v>
      </c>
      <c r="C53" s="7">
        <v>6000</v>
      </c>
      <c r="D53" s="8">
        <f t="shared" si="0"/>
        <v>1236000</v>
      </c>
    </row>
    <row r="54" spans="1:4" ht="18" hidden="1" x14ac:dyDescent="0.35">
      <c r="A54" s="10" t="s">
        <v>154</v>
      </c>
      <c r="B54" s="7"/>
      <c r="C54" s="7"/>
      <c r="D54" s="8">
        <f t="shared" si="0"/>
        <v>0</v>
      </c>
    </row>
    <row r="55" spans="1:4" ht="18" hidden="1" x14ac:dyDescent="0.35">
      <c r="A55" s="10" t="s">
        <v>155</v>
      </c>
      <c r="B55" s="7"/>
      <c r="C55" s="7"/>
      <c r="D55" s="8">
        <f t="shared" si="0"/>
        <v>0</v>
      </c>
    </row>
    <row r="56" spans="1:4" ht="18" hidden="1" x14ac:dyDescent="0.35">
      <c r="A56" s="9" t="s">
        <v>156</v>
      </c>
      <c r="B56" s="7"/>
      <c r="C56" s="7"/>
      <c r="D56" s="8">
        <f t="shared" si="0"/>
        <v>0</v>
      </c>
    </row>
    <row r="57" spans="1:4" ht="18" hidden="1" x14ac:dyDescent="0.35">
      <c r="A57" s="6" t="s">
        <v>283</v>
      </c>
      <c r="B57" s="7"/>
      <c r="C57" s="7"/>
      <c r="D57" s="8">
        <f t="shared" si="0"/>
        <v>0</v>
      </c>
    </row>
    <row r="58" spans="1:4" ht="18" x14ac:dyDescent="0.3">
      <c r="A58" s="6" t="s">
        <v>303</v>
      </c>
      <c r="B58" s="7">
        <v>3</v>
      </c>
      <c r="C58" s="7">
        <v>7000</v>
      </c>
      <c r="D58" s="8">
        <f t="shared" si="0"/>
        <v>21000</v>
      </c>
    </row>
    <row r="59" spans="1:4" ht="18" hidden="1" x14ac:dyDescent="0.35">
      <c r="A59" s="55" t="s">
        <v>304</v>
      </c>
      <c r="B59" s="7"/>
      <c r="C59" s="7"/>
      <c r="D59" s="8">
        <f t="shared" si="0"/>
        <v>0</v>
      </c>
    </row>
    <row r="60" spans="1:4" ht="18" hidden="1" x14ac:dyDescent="0.35">
      <c r="A60" s="6" t="s">
        <v>305</v>
      </c>
      <c r="B60" s="7"/>
      <c r="C60" s="7"/>
      <c r="D60" s="8">
        <f t="shared" si="0"/>
        <v>0</v>
      </c>
    </row>
    <row r="61" spans="1:4" ht="18" hidden="1" x14ac:dyDescent="0.35">
      <c r="A61" s="6" t="s">
        <v>306</v>
      </c>
      <c r="B61" s="7"/>
      <c r="C61" s="7"/>
      <c r="D61" s="8">
        <f t="shared" si="0"/>
        <v>0</v>
      </c>
    </row>
    <row r="62" spans="1:4" ht="18" hidden="1" x14ac:dyDescent="0.35">
      <c r="A62" s="6" t="s">
        <v>2</v>
      </c>
      <c r="B62" s="7"/>
      <c r="C62" s="7"/>
      <c r="D62" s="8">
        <f t="shared" si="0"/>
        <v>0</v>
      </c>
    </row>
    <row r="63" spans="1:4" ht="18" hidden="1" x14ac:dyDescent="0.35">
      <c r="A63" s="9" t="s">
        <v>3</v>
      </c>
      <c r="B63" s="7"/>
      <c r="C63" s="7"/>
      <c r="D63" s="8">
        <f t="shared" si="0"/>
        <v>0</v>
      </c>
    </row>
    <row r="64" spans="1:4" ht="18" hidden="1" x14ac:dyDescent="0.35">
      <c r="A64" s="10" t="s">
        <v>4</v>
      </c>
      <c r="B64" s="7"/>
      <c r="C64" s="7"/>
      <c r="D64" s="8">
        <f t="shared" si="0"/>
        <v>0</v>
      </c>
    </row>
    <row r="65" spans="1:4" ht="18" hidden="1" x14ac:dyDescent="0.35">
      <c r="A65" s="10" t="s">
        <v>115</v>
      </c>
      <c r="B65" s="7"/>
      <c r="C65" s="7"/>
      <c r="D65" s="8">
        <f t="shared" si="0"/>
        <v>0</v>
      </c>
    </row>
    <row r="66" spans="1:4" ht="18" hidden="1" x14ac:dyDescent="0.35">
      <c r="A66" s="6" t="s">
        <v>116</v>
      </c>
      <c r="B66" s="7"/>
      <c r="C66" s="7"/>
      <c r="D66" s="8">
        <f t="shared" si="0"/>
        <v>0</v>
      </c>
    </row>
    <row r="67" spans="1:4" ht="18" x14ac:dyDescent="0.3">
      <c r="A67" s="10" t="s">
        <v>163</v>
      </c>
      <c r="B67" s="7">
        <f>60+100+215-60</f>
        <v>315</v>
      </c>
      <c r="C67" s="7">
        <v>16000</v>
      </c>
      <c r="D67" s="8">
        <f t="shared" si="0"/>
        <v>5040000</v>
      </c>
    </row>
    <row r="68" spans="1:4" ht="18" hidden="1" x14ac:dyDescent="0.35">
      <c r="A68" s="22" t="s">
        <v>164</v>
      </c>
      <c r="B68" s="7"/>
      <c r="C68" s="7"/>
      <c r="D68" s="8">
        <f t="shared" ref="D68:D131" si="1">B68*C68</f>
        <v>0</v>
      </c>
    </row>
    <row r="69" spans="1:4" ht="18" hidden="1" x14ac:dyDescent="0.35">
      <c r="A69" s="10" t="s">
        <v>165</v>
      </c>
      <c r="B69" s="7"/>
      <c r="C69" s="7"/>
      <c r="D69" s="8">
        <f t="shared" si="1"/>
        <v>0</v>
      </c>
    </row>
    <row r="70" spans="1:4" ht="18" x14ac:dyDescent="0.3">
      <c r="A70" s="10" t="s">
        <v>166</v>
      </c>
      <c r="B70" s="7">
        <v>14</v>
      </c>
      <c r="C70" s="7">
        <v>15000</v>
      </c>
      <c r="D70" s="8">
        <f t="shared" si="1"/>
        <v>210000</v>
      </c>
    </row>
    <row r="71" spans="1:4" ht="18" hidden="1" x14ac:dyDescent="0.35">
      <c r="A71" s="10" t="s">
        <v>167</v>
      </c>
      <c r="B71" s="7"/>
      <c r="C71" s="7"/>
      <c r="D71" s="8">
        <f t="shared" si="1"/>
        <v>0</v>
      </c>
    </row>
    <row r="72" spans="1:4" ht="18" hidden="1" x14ac:dyDescent="0.35">
      <c r="A72" s="6" t="s">
        <v>9</v>
      </c>
      <c r="B72" s="12"/>
      <c r="C72" s="12"/>
      <c r="D72" s="8">
        <f t="shared" si="1"/>
        <v>0</v>
      </c>
    </row>
    <row r="73" spans="1:4" ht="18" hidden="1" x14ac:dyDescent="0.35">
      <c r="A73" s="6" t="s">
        <v>10</v>
      </c>
      <c r="B73" s="12"/>
      <c r="C73" s="12"/>
      <c r="D73" s="8">
        <f t="shared" si="1"/>
        <v>0</v>
      </c>
    </row>
    <row r="74" spans="1:4" ht="18" hidden="1" x14ac:dyDescent="0.35">
      <c r="A74" s="10" t="s">
        <v>81</v>
      </c>
      <c r="B74" s="7"/>
      <c r="C74" s="7"/>
      <c r="D74" s="8">
        <f t="shared" si="1"/>
        <v>0</v>
      </c>
    </row>
    <row r="75" spans="1:4" ht="18" x14ac:dyDescent="0.3">
      <c r="A75" s="10" t="s">
        <v>82</v>
      </c>
      <c r="B75" s="7">
        <v>31</v>
      </c>
      <c r="C75" s="7">
        <v>26000</v>
      </c>
      <c r="D75" s="8">
        <f t="shared" si="1"/>
        <v>806000</v>
      </c>
    </row>
    <row r="76" spans="1:4" ht="18" hidden="1" x14ac:dyDescent="0.35">
      <c r="A76" s="10" t="s">
        <v>83</v>
      </c>
      <c r="B76" s="7"/>
      <c r="C76" s="7"/>
      <c r="D76" s="8">
        <f t="shared" si="1"/>
        <v>0</v>
      </c>
    </row>
    <row r="77" spans="1:4" ht="18" hidden="1" x14ac:dyDescent="0.35">
      <c r="A77" s="10" t="s">
        <v>84</v>
      </c>
      <c r="B77" s="7"/>
      <c r="C77" s="7"/>
      <c r="D77" s="8">
        <f t="shared" si="1"/>
        <v>0</v>
      </c>
    </row>
    <row r="78" spans="1:4" ht="18" hidden="1" x14ac:dyDescent="0.35">
      <c r="A78" s="10" t="s">
        <v>85</v>
      </c>
      <c r="B78" s="7"/>
      <c r="C78" s="7"/>
      <c r="D78" s="8">
        <f t="shared" si="1"/>
        <v>0</v>
      </c>
    </row>
    <row r="79" spans="1:4" ht="18" x14ac:dyDescent="0.3">
      <c r="A79" s="10" t="s">
        <v>188</v>
      </c>
      <c r="B79" s="7">
        <v>15</v>
      </c>
      <c r="C79" s="7">
        <v>6000</v>
      </c>
      <c r="D79" s="8">
        <f t="shared" si="1"/>
        <v>90000</v>
      </c>
    </row>
    <row r="80" spans="1:4" ht="18" hidden="1" x14ac:dyDescent="0.35">
      <c r="A80" s="13" t="s">
        <v>189</v>
      </c>
      <c r="B80" s="7"/>
      <c r="C80" s="7"/>
      <c r="D80" s="8">
        <f t="shared" si="1"/>
        <v>0</v>
      </c>
    </row>
    <row r="81" spans="1:4" ht="18" hidden="1" x14ac:dyDescent="0.35">
      <c r="A81" s="13" t="s">
        <v>172</v>
      </c>
      <c r="B81" s="7"/>
      <c r="C81" s="7"/>
      <c r="D81" s="8">
        <f t="shared" si="1"/>
        <v>0</v>
      </c>
    </row>
    <row r="82" spans="1:4" ht="18" hidden="1" x14ac:dyDescent="0.35">
      <c r="A82" s="13" t="s">
        <v>173</v>
      </c>
      <c r="B82" s="7"/>
      <c r="C82" s="7"/>
      <c r="D82" s="8">
        <f t="shared" si="1"/>
        <v>0</v>
      </c>
    </row>
    <row r="83" spans="1:4" ht="18" hidden="1" x14ac:dyDescent="0.35">
      <c r="A83" s="11" t="s">
        <v>174</v>
      </c>
      <c r="B83" s="7"/>
      <c r="C83" s="7"/>
      <c r="D83" s="8">
        <f t="shared" si="1"/>
        <v>0</v>
      </c>
    </row>
    <row r="84" spans="1:4" ht="18" x14ac:dyDescent="0.3">
      <c r="A84" s="22" t="s">
        <v>168</v>
      </c>
      <c r="B84" s="7">
        <v>26</v>
      </c>
      <c r="C84" s="7">
        <v>20000</v>
      </c>
      <c r="D84" s="8">
        <f t="shared" si="1"/>
        <v>520000</v>
      </c>
    </row>
    <row r="85" spans="1:4" ht="18" hidden="1" x14ac:dyDescent="0.35">
      <c r="A85" s="11" t="s">
        <v>200</v>
      </c>
      <c r="B85" s="7"/>
      <c r="C85" s="7"/>
      <c r="D85" s="8">
        <f t="shared" si="1"/>
        <v>0</v>
      </c>
    </row>
    <row r="86" spans="1:4" ht="18" hidden="1" x14ac:dyDescent="0.35">
      <c r="A86" s="10" t="s">
        <v>11</v>
      </c>
      <c r="B86" s="7"/>
      <c r="C86" s="7"/>
      <c r="D86" s="8">
        <f t="shared" si="1"/>
        <v>0</v>
      </c>
    </row>
    <row r="87" spans="1:4" ht="18" hidden="1" x14ac:dyDescent="0.35">
      <c r="A87" s="10" t="s">
        <v>12</v>
      </c>
      <c r="B87" s="7"/>
      <c r="C87" s="7"/>
      <c r="D87" s="8">
        <f t="shared" si="1"/>
        <v>0</v>
      </c>
    </row>
    <row r="88" spans="1:4" ht="18" hidden="1" x14ac:dyDescent="0.35">
      <c r="A88" s="11" t="s">
        <v>201</v>
      </c>
      <c r="B88" s="7"/>
      <c r="C88" s="7"/>
      <c r="D88" s="8">
        <f t="shared" si="1"/>
        <v>0</v>
      </c>
    </row>
    <row r="89" spans="1:4" ht="18" hidden="1" x14ac:dyDescent="0.35">
      <c r="A89" s="11" t="s">
        <v>202</v>
      </c>
      <c r="B89" s="7"/>
      <c r="C89" s="7"/>
      <c r="D89" s="8">
        <f t="shared" si="1"/>
        <v>0</v>
      </c>
    </row>
    <row r="90" spans="1:4" ht="18" hidden="1" x14ac:dyDescent="0.35">
      <c r="A90" s="10" t="s">
        <v>13</v>
      </c>
      <c r="B90" s="12"/>
      <c r="C90" s="12"/>
      <c r="D90" s="8">
        <f t="shared" si="1"/>
        <v>0</v>
      </c>
    </row>
    <row r="91" spans="1:4" ht="18" hidden="1" x14ac:dyDescent="0.35">
      <c r="A91" s="13" t="s">
        <v>14</v>
      </c>
      <c r="B91" s="7"/>
      <c r="C91" s="7"/>
      <c r="D91" s="8">
        <f t="shared" si="1"/>
        <v>0</v>
      </c>
    </row>
    <row r="92" spans="1:4" ht="18" hidden="1" x14ac:dyDescent="0.35">
      <c r="A92" s="11" t="s">
        <v>203</v>
      </c>
      <c r="B92" s="7"/>
      <c r="C92" s="7"/>
      <c r="D92" s="8">
        <f t="shared" si="1"/>
        <v>0</v>
      </c>
    </row>
    <row r="93" spans="1:4" ht="18" hidden="1" x14ac:dyDescent="0.35">
      <c r="A93" s="10" t="s">
        <v>46</v>
      </c>
      <c r="B93" s="7"/>
      <c r="C93" s="7"/>
      <c r="D93" s="8">
        <f t="shared" si="1"/>
        <v>0</v>
      </c>
    </row>
    <row r="94" spans="1:4" ht="18" hidden="1" x14ac:dyDescent="0.35">
      <c r="A94" s="14" t="s">
        <v>47</v>
      </c>
      <c r="B94" s="7"/>
      <c r="C94" s="7"/>
      <c r="D94" s="8">
        <f t="shared" si="1"/>
        <v>0</v>
      </c>
    </row>
    <row r="95" spans="1:4" ht="18" hidden="1" x14ac:dyDescent="0.35">
      <c r="A95" s="10" t="s">
        <v>186</v>
      </c>
      <c r="B95" s="7"/>
      <c r="C95" s="7"/>
      <c r="D95" s="8">
        <f t="shared" si="1"/>
        <v>0</v>
      </c>
    </row>
    <row r="96" spans="1:4" ht="18" hidden="1" x14ac:dyDescent="0.35">
      <c r="A96" s="10" t="s">
        <v>187</v>
      </c>
      <c r="B96" s="7"/>
      <c r="C96" s="7"/>
      <c r="D96" s="8">
        <f t="shared" si="1"/>
        <v>0</v>
      </c>
    </row>
    <row r="97" spans="1:4" ht="18" hidden="1" x14ac:dyDescent="0.35">
      <c r="A97" s="56" t="s">
        <v>300</v>
      </c>
      <c r="B97" s="7"/>
      <c r="C97" s="7"/>
      <c r="D97" s="8">
        <f t="shared" si="1"/>
        <v>0</v>
      </c>
    </row>
    <row r="98" spans="1:4" ht="18" hidden="1" x14ac:dyDescent="0.35">
      <c r="A98" s="26" t="s">
        <v>48</v>
      </c>
      <c r="B98" s="7"/>
      <c r="C98" s="7"/>
      <c r="D98" s="8">
        <f t="shared" si="1"/>
        <v>0</v>
      </c>
    </row>
    <row r="99" spans="1:4" ht="18" hidden="1" x14ac:dyDescent="0.35">
      <c r="A99" s="26" t="s">
        <v>17</v>
      </c>
      <c r="B99" s="7"/>
      <c r="C99" s="7"/>
      <c r="D99" s="8">
        <f t="shared" si="1"/>
        <v>0</v>
      </c>
    </row>
    <row r="100" spans="1:4" ht="18" hidden="1" x14ac:dyDescent="0.35">
      <c r="A100" s="10" t="s">
        <v>18</v>
      </c>
      <c r="B100" s="7"/>
      <c r="C100" s="7"/>
      <c r="D100" s="8">
        <f t="shared" si="1"/>
        <v>0</v>
      </c>
    </row>
    <row r="101" spans="1:4" ht="18" hidden="1" x14ac:dyDescent="0.35">
      <c r="A101" s="10" t="s">
        <v>19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204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205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206</v>
      </c>
      <c r="B104" s="7"/>
      <c r="C104" s="7"/>
      <c r="D104" s="8">
        <f t="shared" si="1"/>
        <v>0</v>
      </c>
    </row>
    <row r="105" spans="1:4" ht="18" hidden="1" x14ac:dyDescent="0.35">
      <c r="A105" s="10" t="s">
        <v>207</v>
      </c>
      <c r="B105" s="7"/>
      <c r="C105" s="7"/>
      <c r="D105" s="8">
        <f t="shared" si="1"/>
        <v>0</v>
      </c>
    </row>
    <row r="106" spans="1:4" ht="18" hidden="1" x14ac:dyDescent="0.35">
      <c r="A106" s="11" t="s">
        <v>15</v>
      </c>
      <c r="B106" s="7"/>
      <c r="C106" s="7"/>
      <c r="D106" s="8">
        <f t="shared" si="1"/>
        <v>0</v>
      </c>
    </row>
    <row r="107" spans="1:4" ht="18" hidden="1" x14ac:dyDescent="0.35">
      <c r="A107" s="13" t="s">
        <v>16</v>
      </c>
      <c r="B107" s="7"/>
      <c r="C107" s="7"/>
      <c r="D107" s="8">
        <f t="shared" si="1"/>
        <v>0</v>
      </c>
    </row>
    <row r="108" spans="1:4" ht="18" hidden="1" x14ac:dyDescent="0.35">
      <c r="A108" s="10" t="s">
        <v>96</v>
      </c>
      <c r="B108" s="7"/>
      <c r="C108" s="7"/>
      <c r="D108" s="8">
        <f t="shared" si="1"/>
        <v>0</v>
      </c>
    </row>
    <row r="109" spans="1:4" ht="18" hidden="1" x14ac:dyDescent="0.35">
      <c r="A109" s="28" t="s">
        <v>124</v>
      </c>
      <c r="B109" s="7"/>
      <c r="C109" s="7"/>
      <c r="D109" s="8">
        <f t="shared" si="1"/>
        <v>0</v>
      </c>
    </row>
    <row r="110" spans="1:4" ht="18" hidden="1" x14ac:dyDescent="0.35">
      <c r="A110" s="22" t="s">
        <v>125</v>
      </c>
      <c r="B110" s="7"/>
      <c r="C110" s="7"/>
      <c r="D110" s="8">
        <f t="shared" si="1"/>
        <v>0</v>
      </c>
    </row>
    <row r="111" spans="1:4" ht="18" hidden="1" x14ac:dyDescent="0.35">
      <c r="A111" s="6" t="s">
        <v>126</v>
      </c>
      <c r="B111" s="12"/>
      <c r="C111" s="12"/>
      <c r="D111" s="8">
        <f t="shared" si="1"/>
        <v>0</v>
      </c>
    </row>
    <row r="112" spans="1:4" ht="18" hidden="1" x14ac:dyDescent="0.35">
      <c r="A112" s="6" t="s">
        <v>127</v>
      </c>
      <c r="B112" s="12"/>
      <c r="C112" s="12"/>
      <c r="D112" s="8">
        <f t="shared" si="1"/>
        <v>0</v>
      </c>
    </row>
    <row r="113" spans="1:4" ht="18" hidden="1" x14ac:dyDescent="0.35">
      <c r="A113" s="6" t="s">
        <v>128</v>
      </c>
      <c r="B113" s="12"/>
      <c r="C113" s="12"/>
      <c r="D113" s="8">
        <f t="shared" si="1"/>
        <v>0</v>
      </c>
    </row>
    <row r="114" spans="1:4" ht="18" hidden="1" x14ac:dyDescent="0.35">
      <c r="A114" s="6" t="s">
        <v>129</v>
      </c>
      <c r="B114" s="29"/>
      <c r="C114" s="29"/>
      <c r="D114" s="8">
        <f t="shared" si="1"/>
        <v>0</v>
      </c>
    </row>
    <row r="115" spans="1:4" ht="18" hidden="1" x14ac:dyDescent="0.35">
      <c r="A115" s="30" t="s">
        <v>271</v>
      </c>
      <c r="B115" s="7"/>
      <c r="C115" s="7"/>
      <c r="D115" s="8">
        <f t="shared" si="1"/>
        <v>0</v>
      </c>
    </row>
    <row r="116" spans="1:4" ht="18" x14ac:dyDescent="0.3">
      <c r="A116" s="6" t="s">
        <v>272</v>
      </c>
      <c r="B116" s="12">
        <v>1</v>
      </c>
      <c r="C116" s="7">
        <v>16000</v>
      </c>
      <c r="D116" s="8">
        <f t="shared" si="1"/>
        <v>16000</v>
      </c>
    </row>
    <row r="117" spans="1:4" ht="18" hidden="1" x14ac:dyDescent="0.35">
      <c r="A117" s="10" t="s">
        <v>273</v>
      </c>
      <c r="B117" s="7"/>
      <c r="C117" s="7"/>
      <c r="D117" s="8">
        <f t="shared" si="1"/>
        <v>0</v>
      </c>
    </row>
    <row r="118" spans="1:4" ht="18" hidden="1" x14ac:dyDescent="0.35">
      <c r="A118" s="10" t="s">
        <v>274</v>
      </c>
      <c r="B118" s="7"/>
      <c r="C118" s="7"/>
      <c r="D118" s="8">
        <f t="shared" si="1"/>
        <v>0</v>
      </c>
    </row>
    <row r="119" spans="1:4" ht="18" hidden="1" x14ac:dyDescent="0.35">
      <c r="A119" s="10" t="s">
        <v>33</v>
      </c>
      <c r="B119" s="7"/>
      <c r="C119" s="7"/>
      <c r="D119" s="8">
        <f t="shared" si="1"/>
        <v>0</v>
      </c>
    </row>
    <row r="120" spans="1:4" ht="18" hidden="1" x14ac:dyDescent="0.35">
      <c r="A120" s="14" t="s">
        <v>34</v>
      </c>
      <c r="B120" s="7"/>
      <c r="C120" s="7"/>
      <c r="D120" s="8">
        <f t="shared" si="1"/>
        <v>0</v>
      </c>
    </row>
    <row r="121" spans="1:4" ht="18" hidden="1" x14ac:dyDescent="0.35">
      <c r="A121" s="6" t="s">
        <v>208</v>
      </c>
      <c r="B121" s="7"/>
      <c r="C121" s="7"/>
      <c r="D121" s="8">
        <f t="shared" si="1"/>
        <v>0</v>
      </c>
    </row>
    <row r="122" spans="1:4" ht="18" hidden="1" x14ac:dyDescent="0.35">
      <c r="A122" s="6" t="s">
        <v>209</v>
      </c>
      <c r="B122" s="7"/>
      <c r="C122" s="7"/>
      <c r="D122" s="8">
        <f t="shared" si="1"/>
        <v>0</v>
      </c>
    </row>
    <row r="123" spans="1:4" ht="18" hidden="1" x14ac:dyDescent="0.35">
      <c r="A123" s="10" t="s">
        <v>210</v>
      </c>
      <c r="B123" s="7"/>
      <c r="C123" s="7"/>
      <c r="D123" s="8">
        <f t="shared" si="1"/>
        <v>0</v>
      </c>
    </row>
    <row r="124" spans="1:4" ht="18" hidden="1" x14ac:dyDescent="0.35">
      <c r="A124" s="10" t="s">
        <v>211</v>
      </c>
      <c r="B124" s="7"/>
      <c r="C124" s="7"/>
      <c r="D124" s="8">
        <f t="shared" si="1"/>
        <v>0</v>
      </c>
    </row>
    <row r="125" spans="1:4" ht="18" hidden="1" x14ac:dyDescent="0.35">
      <c r="A125" s="10" t="s">
        <v>284</v>
      </c>
      <c r="B125" s="7"/>
      <c r="C125" s="7"/>
      <c r="D125" s="8">
        <f t="shared" si="1"/>
        <v>0</v>
      </c>
    </row>
    <row r="126" spans="1:4" ht="18" hidden="1" x14ac:dyDescent="0.35">
      <c r="A126" s="10" t="s">
        <v>102</v>
      </c>
      <c r="B126" s="12"/>
      <c r="C126" s="12"/>
      <c r="D126" s="8">
        <f t="shared" si="1"/>
        <v>0</v>
      </c>
    </row>
    <row r="127" spans="1:4" ht="18" hidden="1" x14ac:dyDescent="0.35">
      <c r="A127" s="10" t="s">
        <v>103</v>
      </c>
      <c r="B127" s="12"/>
      <c r="C127" s="12"/>
      <c r="D127" s="8">
        <f t="shared" si="1"/>
        <v>0</v>
      </c>
    </row>
    <row r="128" spans="1:4" ht="18" hidden="1" x14ac:dyDescent="0.35">
      <c r="A128" s="10" t="s">
        <v>104</v>
      </c>
      <c r="B128" s="12"/>
      <c r="C128" s="12"/>
      <c r="D128" s="8">
        <f t="shared" si="1"/>
        <v>0</v>
      </c>
    </row>
    <row r="129" spans="1:4" ht="18" hidden="1" x14ac:dyDescent="0.35">
      <c r="A129" s="10" t="s">
        <v>105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106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107</v>
      </c>
      <c r="B131" s="12"/>
      <c r="C131" s="12"/>
      <c r="D131" s="8">
        <f t="shared" si="1"/>
        <v>0</v>
      </c>
    </row>
    <row r="132" spans="1:4" ht="18" x14ac:dyDescent="0.3">
      <c r="A132" s="10" t="s">
        <v>130</v>
      </c>
      <c r="B132" s="12">
        <v>1</v>
      </c>
      <c r="C132" s="12">
        <v>85000</v>
      </c>
      <c r="D132" s="8">
        <f t="shared" ref="D132:D195" si="2">B132*C132</f>
        <v>85000</v>
      </c>
    </row>
    <row r="133" spans="1:4" ht="18" hidden="1" x14ac:dyDescent="0.35">
      <c r="A133" s="10" t="s">
        <v>108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109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110</v>
      </c>
      <c r="B135" s="12"/>
      <c r="C135" s="12"/>
      <c r="D135" s="8">
        <f t="shared" si="2"/>
        <v>0</v>
      </c>
    </row>
    <row r="136" spans="1:4" ht="18" hidden="1" x14ac:dyDescent="0.35">
      <c r="A136" s="10" t="s">
        <v>157</v>
      </c>
      <c r="B136" s="7"/>
      <c r="C136" s="7"/>
      <c r="D136" s="8">
        <f t="shared" si="2"/>
        <v>0</v>
      </c>
    </row>
    <row r="137" spans="1:4" ht="18" hidden="1" x14ac:dyDescent="0.35">
      <c r="A137" s="10" t="s">
        <v>158</v>
      </c>
      <c r="B137" s="7"/>
      <c r="C137" s="7"/>
      <c r="D137" s="8">
        <f t="shared" si="2"/>
        <v>0</v>
      </c>
    </row>
    <row r="138" spans="1:4" ht="18" hidden="1" x14ac:dyDescent="0.35">
      <c r="A138" s="10" t="s">
        <v>159</v>
      </c>
      <c r="B138" s="7"/>
      <c r="C138" s="7"/>
      <c r="D138" s="8">
        <f t="shared" si="2"/>
        <v>0</v>
      </c>
    </row>
    <row r="139" spans="1:4" ht="18" hidden="1" x14ac:dyDescent="0.35">
      <c r="A139" s="14" t="s">
        <v>160</v>
      </c>
      <c r="B139" s="7"/>
      <c r="C139" s="7"/>
      <c r="D139" s="8">
        <f t="shared" si="2"/>
        <v>0</v>
      </c>
    </row>
    <row r="140" spans="1:4" ht="18" hidden="1" x14ac:dyDescent="0.35">
      <c r="A140" s="10" t="s">
        <v>161</v>
      </c>
      <c r="B140" s="7"/>
      <c r="C140" s="7"/>
      <c r="D140" s="8">
        <f t="shared" si="2"/>
        <v>0</v>
      </c>
    </row>
    <row r="141" spans="1:4" ht="18" hidden="1" x14ac:dyDescent="0.35">
      <c r="A141" s="10" t="s">
        <v>162</v>
      </c>
      <c r="B141" s="7"/>
      <c r="C141" s="7"/>
      <c r="D141" s="8">
        <f t="shared" si="2"/>
        <v>0</v>
      </c>
    </row>
    <row r="142" spans="1:4" ht="18" hidden="1" x14ac:dyDescent="0.35">
      <c r="A142" s="10" t="s">
        <v>279</v>
      </c>
      <c r="B142" s="7"/>
      <c r="C142" s="7"/>
      <c r="D142" s="8">
        <f t="shared" si="2"/>
        <v>0</v>
      </c>
    </row>
    <row r="143" spans="1:4" ht="18" hidden="1" x14ac:dyDescent="0.35">
      <c r="A143" s="10" t="s">
        <v>280</v>
      </c>
      <c r="B143" s="7"/>
      <c r="C143" s="7"/>
      <c r="D143" s="8">
        <f t="shared" si="2"/>
        <v>0</v>
      </c>
    </row>
    <row r="144" spans="1:4" ht="18" hidden="1" x14ac:dyDescent="0.35">
      <c r="A144" s="10" t="s">
        <v>281</v>
      </c>
      <c r="B144" s="7"/>
      <c r="C144" s="7"/>
      <c r="D144" s="8">
        <f t="shared" si="2"/>
        <v>0</v>
      </c>
    </row>
    <row r="145" spans="1:4" ht="18" hidden="1" x14ac:dyDescent="0.35">
      <c r="A145" s="10" t="s">
        <v>282</v>
      </c>
      <c r="B145" s="7"/>
      <c r="C145" s="7"/>
      <c r="D145" s="8">
        <f t="shared" si="2"/>
        <v>0</v>
      </c>
    </row>
    <row r="146" spans="1:4" ht="18" hidden="1" x14ac:dyDescent="0.35">
      <c r="A146" s="10" t="s">
        <v>111</v>
      </c>
      <c r="B146" s="12"/>
      <c r="C146" s="12"/>
      <c r="D146" s="8">
        <f t="shared" si="2"/>
        <v>0</v>
      </c>
    </row>
    <row r="147" spans="1:4" ht="18" hidden="1" x14ac:dyDescent="0.35">
      <c r="A147" s="10" t="s">
        <v>112</v>
      </c>
      <c r="B147" s="12"/>
      <c r="C147" s="12"/>
      <c r="D147" s="8">
        <f t="shared" si="2"/>
        <v>0</v>
      </c>
    </row>
    <row r="148" spans="1:4" ht="18" hidden="1" x14ac:dyDescent="0.35">
      <c r="A148" s="10" t="s">
        <v>131</v>
      </c>
      <c r="B148" s="12"/>
      <c r="C148" s="12"/>
      <c r="D148" s="8">
        <f t="shared" si="2"/>
        <v>0</v>
      </c>
    </row>
    <row r="149" spans="1:4" ht="18" x14ac:dyDescent="0.3">
      <c r="A149" s="10" t="s">
        <v>52</v>
      </c>
      <c r="B149" s="7">
        <f>14+80+60</f>
        <v>154</v>
      </c>
      <c r="C149" s="7">
        <v>6000</v>
      </c>
      <c r="D149" s="8">
        <f t="shared" si="2"/>
        <v>924000</v>
      </c>
    </row>
    <row r="150" spans="1:4" ht="18" hidden="1" x14ac:dyDescent="0.35">
      <c r="A150" s="14" t="s">
        <v>53</v>
      </c>
      <c r="B150" s="7"/>
      <c r="C150" s="7"/>
      <c r="D150" s="8">
        <f t="shared" si="2"/>
        <v>0</v>
      </c>
    </row>
    <row r="151" spans="1:4" ht="18" hidden="1" x14ac:dyDescent="0.35">
      <c r="A151" s="10" t="s">
        <v>192</v>
      </c>
      <c r="B151" s="7"/>
      <c r="C151" s="7"/>
      <c r="D151" s="8">
        <f t="shared" si="2"/>
        <v>0</v>
      </c>
    </row>
    <row r="152" spans="1:4" ht="18" hidden="1" x14ac:dyDescent="0.35">
      <c r="A152" s="36" t="s">
        <v>193</v>
      </c>
      <c r="B152" s="7"/>
      <c r="C152" s="7"/>
      <c r="D152" s="8">
        <f t="shared" si="2"/>
        <v>0</v>
      </c>
    </row>
    <row r="153" spans="1:4" ht="18" x14ac:dyDescent="0.3">
      <c r="A153" s="10" t="s">
        <v>194</v>
      </c>
      <c r="B153" s="7">
        <v>760</v>
      </c>
      <c r="C153" s="7">
        <v>8000</v>
      </c>
      <c r="D153" s="8">
        <f t="shared" si="2"/>
        <v>6080000</v>
      </c>
    </row>
    <row r="154" spans="1:4" ht="18" hidden="1" x14ac:dyDescent="0.35">
      <c r="A154" s="10" t="s">
        <v>195</v>
      </c>
      <c r="B154" s="7"/>
      <c r="C154" s="7"/>
      <c r="D154" s="8">
        <f t="shared" si="2"/>
        <v>0</v>
      </c>
    </row>
    <row r="155" spans="1:4" ht="18" hidden="1" x14ac:dyDescent="0.35">
      <c r="A155" s="10" t="s">
        <v>196</v>
      </c>
      <c r="B155" s="7"/>
      <c r="C155" s="7"/>
      <c r="D155" s="8">
        <f t="shared" si="2"/>
        <v>0</v>
      </c>
    </row>
    <row r="156" spans="1:4" ht="18" hidden="1" x14ac:dyDescent="0.35">
      <c r="A156" s="9" t="s">
        <v>197</v>
      </c>
      <c r="B156" s="7"/>
      <c r="C156" s="7"/>
      <c r="D156" s="8">
        <f t="shared" si="2"/>
        <v>0</v>
      </c>
    </row>
    <row r="157" spans="1:4" ht="18" hidden="1" x14ac:dyDescent="0.35">
      <c r="A157" s="10" t="s">
        <v>61</v>
      </c>
      <c r="B157" s="7"/>
      <c r="C157" s="7"/>
      <c r="D157" s="8">
        <f t="shared" si="2"/>
        <v>0</v>
      </c>
    </row>
    <row r="158" spans="1:4" ht="18" hidden="1" x14ac:dyDescent="0.35">
      <c r="A158" s="18" t="s">
        <v>62</v>
      </c>
      <c r="B158" s="19"/>
      <c r="C158" s="19"/>
      <c r="D158" s="8">
        <f t="shared" si="2"/>
        <v>0</v>
      </c>
    </row>
    <row r="159" spans="1:4" ht="18" hidden="1" x14ac:dyDescent="0.35">
      <c r="A159" s="10" t="s">
        <v>86</v>
      </c>
      <c r="B159" s="7"/>
      <c r="C159" s="7"/>
      <c r="D159" s="8">
        <f t="shared" si="2"/>
        <v>0</v>
      </c>
    </row>
    <row r="160" spans="1:4" ht="18" hidden="1" x14ac:dyDescent="0.35">
      <c r="A160" s="10" t="s">
        <v>35</v>
      </c>
      <c r="B160" s="7"/>
      <c r="C160" s="7"/>
      <c r="D160" s="8">
        <f t="shared" si="2"/>
        <v>0</v>
      </c>
    </row>
    <row r="161" spans="1:4" ht="18" hidden="1" x14ac:dyDescent="0.35">
      <c r="A161" s="6" t="s">
        <v>234</v>
      </c>
      <c r="B161" s="7"/>
      <c r="C161" s="7"/>
      <c r="D161" s="8">
        <f t="shared" si="2"/>
        <v>0</v>
      </c>
    </row>
    <row r="162" spans="1:4" ht="18" hidden="1" x14ac:dyDescent="0.35">
      <c r="A162" s="10" t="s">
        <v>235</v>
      </c>
      <c r="B162" s="7"/>
      <c r="C162" s="7"/>
      <c r="D162" s="8">
        <f t="shared" si="2"/>
        <v>0</v>
      </c>
    </row>
    <row r="163" spans="1:4" ht="18" hidden="1" x14ac:dyDescent="0.35">
      <c r="A163" s="10" t="s">
        <v>236</v>
      </c>
      <c r="B163" s="7"/>
      <c r="C163" s="7"/>
      <c r="D163" s="8">
        <f t="shared" si="2"/>
        <v>0</v>
      </c>
    </row>
    <row r="164" spans="1:4" ht="18" x14ac:dyDescent="0.3">
      <c r="A164" s="6" t="s">
        <v>175</v>
      </c>
      <c r="B164" s="7">
        <f>18+70+6</f>
        <v>94</v>
      </c>
      <c r="C164" s="7">
        <v>11000</v>
      </c>
      <c r="D164" s="8">
        <f t="shared" si="2"/>
        <v>1034000</v>
      </c>
    </row>
    <row r="165" spans="1:4" ht="18" x14ac:dyDescent="0.3">
      <c r="A165" s="6" t="s">
        <v>176</v>
      </c>
      <c r="B165" s="7">
        <v>380</v>
      </c>
      <c r="C165" s="7">
        <v>32000</v>
      </c>
      <c r="D165" s="8">
        <f t="shared" si="2"/>
        <v>12160000</v>
      </c>
    </row>
    <row r="166" spans="1:4" ht="18" hidden="1" x14ac:dyDescent="0.35">
      <c r="A166" s="10" t="s">
        <v>177</v>
      </c>
      <c r="B166" s="7"/>
      <c r="C166" s="7"/>
      <c r="D166" s="8">
        <f t="shared" si="2"/>
        <v>0</v>
      </c>
    </row>
    <row r="167" spans="1:4" ht="18" x14ac:dyDescent="0.3">
      <c r="A167" s="6" t="s">
        <v>178</v>
      </c>
      <c r="B167" s="7">
        <v>375</v>
      </c>
      <c r="C167" s="7">
        <v>32000</v>
      </c>
      <c r="D167" s="8">
        <f t="shared" si="2"/>
        <v>12000000</v>
      </c>
    </row>
    <row r="168" spans="1:4" ht="18" x14ac:dyDescent="0.3">
      <c r="A168" s="6" t="s">
        <v>179</v>
      </c>
      <c r="B168" s="7">
        <v>5</v>
      </c>
      <c r="C168" s="7">
        <v>25000</v>
      </c>
      <c r="D168" s="8">
        <f t="shared" si="2"/>
        <v>125000</v>
      </c>
    </row>
    <row r="169" spans="1:4" ht="18" hidden="1" x14ac:dyDescent="0.35">
      <c r="A169" s="6" t="s">
        <v>180</v>
      </c>
      <c r="B169" s="7"/>
      <c r="C169" s="7"/>
      <c r="D169" s="8">
        <f t="shared" si="2"/>
        <v>0</v>
      </c>
    </row>
    <row r="170" spans="1:4" ht="18" hidden="1" x14ac:dyDescent="0.35">
      <c r="A170" s="10" t="s">
        <v>181</v>
      </c>
      <c r="B170" s="7"/>
      <c r="C170" s="7"/>
      <c r="D170" s="8">
        <f t="shared" si="2"/>
        <v>0</v>
      </c>
    </row>
    <row r="171" spans="1:4" ht="18" x14ac:dyDescent="0.3">
      <c r="A171" s="6" t="s">
        <v>36</v>
      </c>
      <c r="B171" s="7">
        <v>49</v>
      </c>
      <c r="C171" s="7">
        <v>19000</v>
      </c>
      <c r="D171" s="8">
        <f t="shared" si="2"/>
        <v>931000</v>
      </c>
    </row>
    <row r="172" spans="1:4" ht="18" hidden="1" x14ac:dyDescent="0.35">
      <c r="A172" s="10" t="s">
        <v>54</v>
      </c>
      <c r="B172" s="7"/>
      <c r="C172" s="7"/>
      <c r="D172" s="8">
        <f t="shared" si="2"/>
        <v>0</v>
      </c>
    </row>
    <row r="173" spans="1:4" ht="18" hidden="1" x14ac:dyDescent="0.35">
      <c r="A173" s="17" t="s">
        <v>55</v>
      </c>
      <c r="B173" s="7"/>
      <c r="C173" s="7"/>
      <c r="D173" s="8">
        <f t="shared" si="2"/>
        <v>0</v>
      </c>
    </row>
    <row r="174" spans="1:4" ht="18" hidden="1" x14ac:dyDescent="0.35">
      <c r="A174" s="10" t="s">
        <v>56</v>
      </c>
      <c r="B174" s="7"/>
      <c r="C174" s="7"/>
      <c r="D174" s="8">
        <f t="shared" si="2"/>
        <v>0</v>
      </c>
    </row>
    <row r="175" spans="1:4" ht="18" hidden="1" x14ac:dyDescent="0.35">
      <c r="A175" s="10" t="s">
        <v>66</v>
      </c>
      <c r="B175" s="7"/>
      <c r="C175" s="7"/>
      <c r="D175" s="8">
        <f t="shared" si="2"/>
        <v>0</v>
      </c>
    </row>
    <row r="176" spans="1:4" ht="18" x14ac:dyDescent="0.3">
      <c r="A176" s="6" t="s">
        <v>67</v>
      </c>
      <c r="B176" s="7">
        <f>150+145</f>
        <v>295</v>
      </c>
      <c r="C176" s="7">
        <v>27000</v>
      </c>
      <c r="D176" s="8">
        <f t="shared" si="2"/>
        <v>7965000</v>
      </c>
    </row>
    <row r="177" spans="1:4" ht="18" hidden="1" x14ac:dyDescent="0.35">
      <c r="A177" s="10" t="s">
        <v>68</v>
      </c>
      <c r="B177" s="7"/>
      <c r="C177" s="7"/>
      <c r="D177" s="8">
        <f t="shared" si="2"/>
        <v>0</v>
      </c>
    </row>
    <row r="178" spans="1:4" ht="18" hidden="1" x14ac:dyDescent="0.35">
      <c r="A178" s="10" t="s">
        <v>69</v>
      </c>
      <c r="B178" s="7"/>
      <c r="C178" s="7"/>
      <c r="D178" s="8">
        <f t="shared" si="2"/>
        <v>0</v>
      </c>
    </row>
    <row r="179" spans="1:4" ht="18" x14ac:dyDescent="0.3">
      <c r="A179" s="10" t="s">
        <v>142</v>
      </c>
      <c r="B179" s="7">
        <f>50+240+30+130</f>
        <v>450</v>
      </c>
      <c r="C179" s="7">
        <v>28000</v>
      </c>
      <c r="D179" s="8">
        <f t="shared" si="2"/>
        <v>12600000</v>
      </c>
    </row>
    <row r="180" spans="1:4" ht="18" hidden="1" x14ac:dyDescent="0.35">
      <c r="A180" s="24" t="s">
        <v>143</v>
      </c>
      <c r="B180" s="7"/>
      <c r="C180" s="7"/>
      <c r="D180" s="8">
        <f t="shared" si="2"/>
        <v>0</v>
      </c>
    </row>
    <row r="181" spans="1:4" ht="18" hidden="1" x14ac:dyDescent="0.35">
      <c r="A181" s="24" t="s">
        <v>144</v>
      </c>
      <c r="B181" s="7"/>
      <c r="C181" s="7"/>
      <c r="D181" s="8">
        <f t="shared" si="2"/>
        <v>0</v>
      </c>
    </row>
    <row r="182" spans="1:4" ht="18" hidden="1" x14ac:dyDescent="0.35">
      <c r="A182" s="10" t="s">
        <v>212</v>
      </c>
      <c r="B182" s="7"/>
      <c r="C182" s="7"/>
      <c r="D182" s="8">
        <f t="shared" si="2"/>
        <v>0</v>
      </c>
    </row>
    <row r="183" spans="1:4" ht="18" hidden="1" x14ac:dyDescent="0.35">
      <c r="A183" s="11" t="s">
        <v>213</v>
      </c>
      <c r="B183" s="7"/>
      <c r="C183" s="7"/>
      <c r="D183" s="8">
        <f t="shared" si="2"/>
        <v>0</v>
      </c>
    </row>
    <row r="184" spans="1:4" ht="18" hidden="1" x14ac:dyDescent="0.35">
      <c r="A184" s="10" t="s">
        <v>214</v>
      </c>
      <c r="B184" s="7"/>
      <c r="C184" s="7"/>
      <c r="D184" s="8">
        <f t="shared" si="2"/>
        <v>0</v>
      </c>
    </row>
    <row r="185" spans="1:4" ht="18" hidden="1" x14ac:dyDescent="0.35">
      <c r="A185" s="11" t="s">
        <v>215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182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183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184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185</v>
      </c>
      <c r="B189" s="7"/>
      <c r="C189" s="7"/>
      <c r="D189" s="8">
        <f t="shared" si="2"/>
        <v>0</v>
      </c>
    </row>
    <row r="190" spans="1:4" ht="18" hidden="1" x14ac:dyDescent="0.35">
      <c r="A190" s="10" t="s">
        <v>38</v>
      </c>
      <c r="B190" s="7"/>
      <c r="C190" s="7"/>
      <c r="D190" s="8">
        <f t="shared" si="2"/>
        <v>0</v>
      </c>
    </row>
    <row r="191" spans="1:4" ht="18" hidden="1" x14ac:dyDescent="0.35">
      <c r="A191" s="15" t="s">
        <v>39</v>
      </c>
      <c r="B191" s="7"/>
      <c r="C191" s="7"/>
      <c r="D191" s="8">
        <f t="shared" si="2"/>
        <v>0</v>
      </c>
    </row>
    <row r="192" spans="1:4" ht="18" x14ac:dyDescent="0.3">
      <c r="A192" s="10" t="s">
        <v>40</v>
      </c>
      <c r="B192" s="7">
        <v>285</v>
      </c>
      <c r="C192" s="7">
        <v>12500</v>
      </c>
      <c r="D192" s="8">
        <f t="shared" si="2"/>
        <v>3562500</v>
      </c>
    </row>
    <row r="193" spans="1:4" ht="18" hidden="1" x14ac:dyDescent="0.35">
      <c r="A193" s="10" t="s">
        <v>41</v>
      </c>
      <c r="B193" s="7"/>
      <c r="C193" s="7"/>
      <c r="D193" s="8">
        <f t="shared" si="2"/>
        <v>0</v>
      </c>
    </row>
    <row r="194" spans="1:4" ht="18" x14ac:dyDescent="0.3">
      <c r="A194" s="10" t="s">
        <v>42</v>
      </c>
      <c r="B194" s="7">
        <f>50+72</f>
        <v>122</v>
      </c>
      <c r="C194" s="7">
        <v>17000</v>
      </c>
      <c r="D194" s="8">
        <f t="shared" si="2"/>
        <v>2074000</v>
      </c>
    </row>
    <row r="195" spans="1:4" ht="18" hidden="1" x14ac:dyDescent="0.35">
      <c r="A195" s="10" t="s">
        <v>43</v>
      </c>
      <c r="B195" s="7"/>
      <c r="C195" s="7"/>
      <c r="D195" s="8">
        <f t="shared" si="2"/>
        <v>0</v>
      </c>
    </row>
    <row r="196" spans="1:4" ht="18" hidden="1" x14ac:dyDescent="0.35">
      <c r="A196" s="10" t="s">
        <v>44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4" t="s">
        <v>132</v>
      </c>
      <c r="B197" s="7"/>
      <c r="C197" s="7"/>
      <c r="D197" s="8">
        <f t="shared" si="3"/>
        <v>0</v>
      </c>
    </row>
    <row r="198" spans="1:4" ht="18" hidden="1" x14ac:dyDescent="0.35">
      <c r="A198" s="14" t="s">
        <v>133</v>
      </c>
      <c r="B198" s="7"/>
      <c r="C198" s="7"/>
      <c r="D198" s="8">
        <f t="shared" si="3"/>
        <v>0</v>
      </c>
    </row>
    <row r="199" spans="1:4" ht="18" hidden="1" x14ac:dyDescent="0.35">
      <c r="A199" s="14" t="s">
        <v>134</v>
      </c>
      <c r="B199" s="7"/>
      <c r="C199" s="7"/>
      <c r="D199" s="8">
        <f t="shared" si="3"/>
        <v>0</v>
      </c>
    </row>
    <row r="200" spans="1:4" ht="18" hidden="1" x14ac:dyDescent="0.35">
      <c r="A200" s="10" t="s">
        <v>135</v>
      </c>
      <c r="B200" s="7"/>
      <c r="C200" s="7"/>
      <c r="D200" s="8">
        <f t="shared" si="3"/>
        <v>0</v>
      </c>
    </row>
    <row r="201" spans="1:4" ht="18" hidden="1" x14ac:dyDescent="0.35">
      <c r="A201" s="14" t="s">
        <v>136</v>
      </c>
      <c r="B201" s="7"/>
      <c r="C201" s="7"/>
      <c r="D201" s="8">
        <f t="shared" si="3"/>
        <v>0</v>
      </c>
    </row>
    <row r="202" spans="1:4" ht="18" hidden="1" x14ac:dyDescent="0.35">
      <c r="A202" s="6" t="s">
        <v>198</v>
      </c>
      <c r="B202" s="7"/>
      <c r="C202" s="7"/>
      <c r="D202" s="8">
        <f t="shared" si="3"/>
        <v>0</v>
      </c>
    </row>
    <row r="203" spans="1:4" ht="18" hidden="1" x14ac:dyDescent="0.35">
      <c r="A203" s="11" t="s">
        <v>285</v>
      </c>
      <c r="B203" s="7"/>
      <c r="C203" s="7"/>
      <c r="D203" s="8">
        <f t="shared" si="3"/>
        <v>0</v>
      </c>
    </row>
    <row r="204" spans="1:4" ht="18" hidden="1" x14ac:dyDescent="0.35">
      <c r="A204" s="11" t="s">
        <v>286</v>
      </c>
      <c r="B204" s="7"/>
      <c r="C204" s="7"/>
      <c r="D204" s="8">
        <f t="shared" si="3"/>
        <v>0</v>
      </c>
    </row>
    <row r="205" spans="1:4" ht="18" hidden="1" x14ac:dyDescent="0.35">
      <c r="A205" s="24" t="s">
        <v>87</v>
      </c>
      <c r="B205" s="7"/>
      <c r="C205" s="7"/>
      <c r="D205" s="8">
        <f t="shared" si="3"/>
        <v>0</v>
      </c>
    </row>
    <row r="206" spans="1:4" ht="18" hidden="1" x14ac:dyDescent="0.35">
      <c r="A206" s="10" t="s">
        <v>57</v>
      </c>
      <c r="B206" s="7"/>
      <c r="C206" s="7"/>
      <c r="D206" s="8">
        <f t="shared" si="3"/>
        <v>0</v>
      </c>
    </row>
    <row r="207" spans="1:4" ht="18" hidden="1" x14ac:dyDescent="0.35">
      <c r="A207" s="10" t="s">
        <v>58</v>
      </c>
      <c r="B207" s="7"/>
      <c r="C207" s="7"/>
      <c r="D207" s="8">
        <f t="shared" si="3"/>
        <v>0</v>
      </c>
    </row>
    <row r="208" spans="1:4" ht="18" hidden="1" x14ac:dyDescent="0.35">
      <c r="A208" s="10" t="s">
        <v>88</v>
      </c>
      <c r="B208" s="7"/>
      <c r="C208" s="7"/>
      <c r="D208" s="8">
        <f t="shared" si="3"/>
        <v>0</v>
      </c>
    </row>
    <row r="209" spans="1:4" ht="18" hidden="1" x14ac:dyDescent="0.35">
      <c r="A209" s="10" t="s">
        <v>89</v>
      </c>
      <c r="B209" s="7"/>
      <c r="C209" s="7"/>
      <c r="D209" s="8">
        <f t="shared" si="3"/>
        <v>0</v>
      </c>
    </row>
    <row r="210" spans="1:4" ht="18" hidden="1" x14ac:dyDescent="0.35">
      <c r="A210" s="10" t="s">
        <v>137</v>
      </c>
      <c r="B210" s="12"/>
      <c r="C210" s="12"/>
      <c r="D210" s="8">
        <f t="shared" si="3"/>
        <v>0</v>
      </c>
    </row>
    <row r="211" spans="1:4" ht="18" hidden="1" x14ac:dyDescent="0.35">
      <c r="A211" s="10" t="s">
        <v>216</v>
      </c>
      <c r="B211" s="7"/>
      <c r="C211" s="7"/>
      <c r="D211" s="8">
        <f t="shared" si="3"/>
        <v>0</v>
      </c>
    </row>
    <row r="212" spans="1:4" ht="18" hidden="1" x14ac:dyDescent="0.35">
      <c r="A212" s="11" t="s">
        <v>20</v>
      </c>
      <c r="B212" s="7"/>
      <c r="C212" s="7"/>
      <c r="D212" s="8">
        <f t="shared" si="3"/>
        <v>0</v>
      </c>
    </row>
    <row r="213" spans="1:4" ht="18" x14ac:dyDescent="0.3">
      <c r="A213" s="10" t="s">
        <v>21</v>
      </c>
      <c r="B213" s="7">
        <f>80+85+7+8</f>
        <v>180</v>
      </c>
      <c r="C213" s="7">
        <v>19000</v>
      </c>
      <c r="D213" s="8">
        <f t="shared" si="3"/>
        <v>3420000</v>
      </c>
    </row>
    <row r="214" spans="1:4" ht="18" hidden="1" x14ac:dyDescent="0.35">
      <c r="A214" s="10" t="s">
        <v>22</v>
      </c>
      <c r="B214" s="7"/>
      <c r="C214" s="7"/>
      <c r="D214" s="8">
        <f t="shared" si="3"/>
        <v>0</v>
      </c>
    </row>
    <row r="215" spans="1:4" ht="18" hidden="1" x14ac:dyDescent="0.35">
      <c r="A215" s="10" t="s">
        <v>23</v>
      </c>
      <c r="B215" s="7"/>
      <c r="C215" s="7"/>
      <c r="D215" s="8">
        <f t="shared" si="3"/>
        <v>0</v>
      </c>
    </row>
    <row r="216" spans="1:4" ht="18" hidden="1" x14ac:dyDescent="0.35">
      <c r="A216" s="10" t="s">
        <v>24</v>
      </c>
      <c r="B216" s="7"/>
      <c r="C216" s="7"/>
      <c r="D216" s="8">
        <f t="shared" si="3"/>
        <v>0</v>
      </c>
    </row>
    <row r="217" spans="1:4" ht="18" hidden="1" x14ac:dyDescent="0.35">
      <c r="A217" s="10" t="s">
        <v>25</v>
      </c>
      <c r="B217" s="7"/>
      <c r="C217" s="7"/>
      <c r="D217" s="8">
        <f t="shared" si="3"/>
        <v>0</v>
      </c>
    </row>
    <row r="218" spans="1:4" ht="18" hidden="1" x14ac:dyDescent="0.35">
      <c r="A218" s="14" t="s">
        <v>227</v>
      </c>
      <c r="B218" s="7"/>
      <c r="C218" s="7"/>
      <c r="D218" s="8">
        <f t="shared" si="3"/>
        <v>0</v>
      </c>
    </row>
    <row r="219" spans="1:4" ht="18" hidden="1" x14ac:dyDescent="0.35">
      <c r="A219" s="13" t="s">
        <v>228</v>
      </c>
      <c r="B219" s="7"/>
      <c r="C219" s="7"/>
      <c r="D219" s="8">
        <f t="shared" si="3"/>
        <v>0</v>
      </c>
    </row>
    <row r="220" spans="1:4" ht="18" hidden="1" x14ac:dyDescent="0.35">
      <c r="A220" s="13" t="s">
        <v>229</v>
      </c>
      <c r="B220" s="7"/>
      <c r="C220" s="7"/>
      <c r="D220" s="8">
        <f t="shared" si="3"/>
        <v>0</v>
      </c>
    </row>
    <row r="221" spans="1:4" ht="18" x14ac:dyDescent="0.3">
      <c r="A221" s="10" t="s">
        <v>26</v>
      </c>
      <c r="B221" s="7">
        <v>14</v>
      </c>
      <c r="C221" s="7">
        <v>19000</v>
      </c>
      <c r="D221" s="8">
        <f t="shared" si="3"/>
        <v>266000</v>
      </c>
    </row>
    <row r="222" spans="1:4" ht="18" hidden="1" x14ac:dyDescent="0.35">
      <c r="A222" s="10" t="s">
        <v>27</v>
      </c>
      <c r="B222" s="7"/>
      <c r="C222" s="7"/>
      <c r="D222" s="8">
        <f t="shared" si="3"/>
        <v>0</v>
      </c>
    </row>
    <row r="223" spans="1:4" ht="18" hidden="1" x14ac:dyDescent="0.35">
      <c r="A223" s="10" t="s">
        <v>28</v>
      </c>
      <c r="B223" s="7"/>
      <c r="C223" s="7"/>
      <c r="D223" s="8">
        <f t="shared" si="3"/>
        <v>0</v>
      </c>
    </row>
    <row r="224" spans="1:4" ht="18" hidden="1" x14ac:dyDescent="0.35">
      <c r="A224" s="10" t="s">
        <v>29</v>
      </c>
      <c r="B224" s="7"/>
      <c r="C224" s="7"/>
      <c r="D224" s="8">
        <f t="shared" si="3"/>
        <v>0</v>
      </c>
    </row>
    <row r="225" spans="1:4" ht="18" x14ac:dyDescent="0.3">
      <c r="A225" s="10" t="s">
        <v>30</v>
      </c>
      <c r="B225" s="7">
        <v>55</v>
      </c>
      <c r="C225" s="7">
        <v>32000</v>
      </c>
      <c r="D225" s="8">
        <f t="shared" si="3"/>
        <v>1760000</v>
      </c>
    </row>
    <row r="226" spans="1:4" ht="18" hidden="1" x14ac:dyDescent="0.35">
      <c r="A226" s="10" t="s">
        <v>31</v>
      </c>
      <c r="B226" s="7"/>
      <c r="C226" s="7"/>
      <c r="D226" s="8">
        <f t="shared" si="3"/>
        <v>0</v>
      </c>
    </row>
    <row r="227" spans="1:4" ht="18" hidden="1" x14ac:dyDescent="0.35">
      <c r="A227" s="10" t="s">
        <v>32</v>
      </c>
      <c r="B227" s="7"/>
      <c r="C227" s="7"/>
      <c r="D227" s="8">
        <f t="shared" si="3"/>
        <v>0</v>
      </c>
    </row>
    <row r="228" spans="1:4" ht="18" hidden="1" x14ac:dyDescent="0.35">
      <c r="A228" s="10" t="s">
        <v>90</v>
      </c>
      <c r="B228" s="12"/>
      <c r="C228" s="7"/>
      <c r="D228" s="8">
        <f t="shared" si="3"/>
        <v>0</v>
      </c>
    </row>
    <row r="229" spans="1:4" ht="18" hidden="1" x14ac:dyDescent="0.35">
      <c r="A229" s="22" t="s">
        <v>91</v>
      </c>
      <c r="B229" s="7"/>
      <c r="C229" s="7"/>
      <c r="D229" s="8">
        <f t="shared" si="3"/>
        <v>0</v>
      </c>
    </row>
    <row r="230" spans="1:4" ht="18" hidden="1" x14ac:dyDescent="0.35">
      <c r="A230" s="10" t="s">
        <v>217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x14ac:dyDescent="0.3">
      <c r="A232" s="10" t="s">
        <v>231</v>
      </c>
      <c r="B232" s="7">
        <f>17+28</f>
        <v>45</v>
      </c>
      <c r="C232" s="7">
        <v>17000</v>
      </c>
      <c r="D232" s="8">
        <f t="shared" si="3"/>
        <v>765000</v>
      </c>
    </row>
    <row r="233" spans="1:4" ht="18" hidden="1" x14ac:dyDescent="0.35">
      <c r="A233" s="10" t="s">
        <v>218</v>
      </c>
      <c r="B233" s="7"/>
      <c r="C233" s="7"/>
      <c r="D233" s="8">
        <f t="shared" si="3"/>
        <v>0</v>
      </c>
    </row>
    <row r="234" spans="1:4" ht="18" hidden="1" x14ac:dyDescent="0.35">
      <c r="A234" s="10" t="s">
        <v>118</v>
      </c>
      <c r="B234" s="7"/>
      <c r="C234" s="7"/>
      <c r="D234" s="8">
        <f t="shared" si="3"/>
        <v>0</v>
      </c>
    </row>
    <row r="235" spans="1:4" ht="18" hidden="1" x14ac:dyDescent="0.35">
      <c r="A235" s="10" t="s">
        <v>232</v>
      </c>
      <c r="B235" s="7"/>
      <c r="C235" s="7"/>
      <c r="D235" s="8">
        <f t="shared" si="3"/>
        <v>0</v>
      </c>
    </row>
    <row r="236" spans="1:4" ht="18" hidden="1" x14ac:dyDescent="0.35">
      <c r="A236" s="10" t="s">
        <v>70</v>
      </c>
      <c r="B236" s="7"/>
      <c r="C236" s="7"/>
      <c r="D236" s="8">
        <f t="shared" si="3"/>
        <v>0</v>
      </c>
    </row>
    <row r="237" spans="1:4" ht="18" hidden="1" x14ac:dyDescent="0.35">
      <c r="A237" s="10" t="s">
        <v>71</v>
      </c>
      <c r="B237" s="7"/>
      <c r="C237" s="7"/>
      <c r="D237" s="8">
        <f t="shared" si="3"/>
        <v>0</v>
      </c>
    </row>
    <row r="238" spans="1:4" ht="18" hidden="1" x14ac:dyDescent="0.35">
      <c r="A238" s="10" t="s">
        <v>146</v>
      </c>
      <c r="B238" s="7"/>
      <c r="C238" s="7"/>
      <c r="D238" s="8">
        <f t="shared" si="3"/>
        <v>0</v>
      </c>
    </row>
    <row r="239" spans="1:4" ht="18" hidden="1" x14ac:dyDescent="0.35">
      <c r="A239" s="11" t="s">
        <v>287</v>
      </c>
      <c r="B239" s="7"/>
      <c r="C239" s="7"/>
      <c r="D239" s="8">
        <f t="shared" si="3"/>
        <v>0</v>
      </c>
    </row>
    <row r="240" spans="1:4" ht="18" hidden="1" x14ac:dyDescent="0.35">
      <c r="A240" s="6" t="s">
        <v>138</v>
      </c>
      <c r="B240" s="12"/>
      <c r="C240" s="12"/>
      <c r="D240" s="8">
        <f t="shared" si="3"/>
        <v>0</v>
      </c>
    </row>
    <row r="241" spans="1:4" ht="18" hidden="1" x14ac:dyDescent="0.35">
      <c r="A241" s="14" t="s">
        <v>233</v>
      </c>
      <c r="B241" s="7"/>
      <c r="C241" s="7"/>
      <c r="D241" s="8">
        <f t="shared" si="3"/>
        <v>0</v>
      </c>
    </row>
    <row r="242" spans="1:4" ht="18" hidden="1" x14ac:dyDescent="0.35">
      <c r="A242" s="14" t="s">
        <v>100</v>
      </c>
      <c r="B242" s="7"/>
      <c r="C242" s="7"/>
      <c r="D242" s="8">
        <f t="shared" si="3"/>
        <v>0</v>
      </c>
    </row>
    <row r="243" spans="1:4" ht="18" hidden="1" x14ac:dyDescent="0.35">
      <c r="A243" s="14" t="s">
        <v>101</v>
      </c>
      <c r="B243" s="7"/>
      <c r="C243" s="7"/>
      <c r="D243" s="8">
        <f t="shared" si="3"/>
        <v>0</v>
      </c>
    </row>
    <row r="244" spans="1:4" ht="18" hidden="1" x14ac:dyDescent="0.35">
      <c r="A244" s="10" t="s">
        <v>259</v>
      </c>
      <c r="B244" s="7"/>
      <c r="C244" s="7"/>
      <c r="D244" s="8">
        <f t="shared" si="3"/>
        <v>0</v>
      </c>
    </row>
    <row r="245" spans="1:4" ht="18" hidden="1" x14ac:dyDescent="0.35">
      <c r="A245" s="14" t="s">
        <v>260</v>
      </c>
      <c r="B245" s="7"/>
      <c r="C245" s="7"/>
      <c r="D245" s="8">
        <f t="shared" si="3"/>
        <v>0</v>
      </c>
    </row>
    <row r="246" spans="1:4" ht="18" hidden="1" x14ac:dyDescent="0.35">
      <c r="A246" s="10" t="s">
        <v>261</v>
      </c>
      <c r="B246" s="7"/>
      <c r="C246" s="7"/>
      <c r="D246" s="8">
        <f t="shared" si="3"/>
        <v>0</v>
      </c>
    </row>
    <row r="247" spans="1:4" ht="18" x14ac:dyDescent="0.3">
      <c r="A247" s="10" t="s">
        <v>275</v>
      </c>
      <c r="B247" s="7">
        <v>6</v>
      </c>
      <c r="C247" s="7">
        <v>4500</v>
      </c>
      <c r="D247" s="8">
        <f t="shared" si="3"/>
        <v>27000</v>
      </c>
    </row>
    <row r="248" spans="1:4" ht="18" hidden="1" x14ac:dyDescent="0.35">
      <c r="A248" s="14" t="s">
        <v>92</v>
      </c>
      <c r="B248" s="7"/>
      <c r="C248" s="7"/>
      <c r="D248" s="8">
        <f t="shared" si="3"/>
        <v>0</v>
      </c>
    </row>
    <row r="249" spans="1:4" ht="18" hidden="1" x14ac:dyDescent="0.35">
      <c r="A249" s="10" t="s">
        <v>139</v>
      </c>
      <c r="B249" s="7"/>
      <c r="C249" s="7"/>
      <c r="D249" s="8">
        <f t="shared" si="3"/>
        <v>0</v>
      </c>
    </row>
    <row r="250" spans="1:4" ht="18" hidden="1" x14ac:dyDescent="0.35">
      <c r="A250" s="22" t="s">
        <v>140</v>
      </c>
      <c r="B250" s="7"/>
      <c r="C250" s="7"/>
      <c r="D250" s="8">
        <f t="shared" si="3"/>
        <v>0</v>
      </c>
    </row>
    <row r="251" spans="1:4" ht="18" hidden="1" x14ac:dyDescent="0.35">
      <c r="A251" s="6" t="s">
        <v>93</v>
      </c>
      <c r="B251" s="7"/>
      <c r="C251" s="7"/>
      <c r="D251" s="8">
        <f t="shared" si="3"/>
        <v>0</v>
      </c>
    </row>
    <row r="252" spans="1:4" ht="18" hidden="1" x14ac:dyDescent="0.35">
      <c r="A252" s="14" t="s">
        <v>94</v>
      </c>
      <c r="B252" s="7"/>
      <c r="C252" s="7"/>
      <c r="D252" s="8">
        <f t="shared" si="3"/>
        <v>0</v>
      </c>
    </row>
    <row r="253" spans="1:4" ht="18" hidden="1" x14ac:dyDescent="0.35">
      <c r="A253" s="22" t="s">
        <v>76</v>
      </c>
      <c r="B253" s="7"/>
      <c r="C253" s="7"/>
      <c r="D253" s="8">
        <f t="shared" si="3"/>
        <v>0</v>
      </c>
    </row>
    <row r="254" spans="1:4" ht="18" hidden="1" x14ac:dyDescent="0.35">
      <c r="A254" s="10" t="s">
        <v>219</v>
      </c>
      <c r="B254" s="7"/>
      <c r="C254" s="7"/>
      <c r="D254" s="8">
        <f t="shared" si="3"/>
        <v>0</v>
      </c>
    </row>
    <row r="255" spans="1:4" ht="18" hidden="1" x14ac:dyDescent="0.35">
      <c r="A255" s="14" t="s">
        <v>220</v>
      </c>
      <c r="B255" s="7"/>
      <c r="C255" s="7"/>
      <c r="D255" s="8">
        <f t="shared" si="3"/>
        <v>0</v>
      </c>
    </row>
    <row r="256" spans="1:4" ht="18" hidden="1" x14ac:dyDescent="0.35">
      <c r="A256" s="6" t="s">
        <v>221</v>
      </c>
      <c r="B256" s="7"/>
      <c r="C256" s="7"/>
      <c r="D256" s="8">
        <f t="shared" si="3"/>
        <v>0</v>
      </c>
    </row>
    <row r="257" spans="1:4" ht="18" hidden="1" x14ac:dyDescent="0.35">
      <c r="A257" s="10" t="s">
        <v>288</v>
      </c>
      <c r="B257" s="7"/>
      <c r="C257" s="7"/>
      <c r="D257" s="8">
        <f t="shared" si="3"/>
        <v>0</v>
      </c>
    </row>
    <row r="258" spans="1:4" ht="18" hidden="1" x14ac:dyDescent="0.35">
      <c r="A258" s="10" t="s">
        <v>119</v>
      </c>
      <c r="B258" s="7"/>
      <c r="C258" s="7"/>
      <c r="D258" s="8">
        <f t="shared" si="3"/>
        <v>0</v>
      </c>
    </row>
    <row r="259" spans="1:4" ht="18" hidden="1" x14ac:dyDescent="0.35">
      <c r="A259" s="6" t="s">
        <v>141</v>
      </c>
      <c r="B259" s="7"/>
      <c r="C259" s="7"/>
      <c r="D259" s="8">
        <f t="shared" si="3"/>
        <v>0</v>
      </c>
    </row>
    <row r="260" spans="1:4" ht="18" hidden="1" x14ac:dyDescent="0.35">
      <c r="A260" s="6" t="s">
        <v>95</v>
      </c>
      <c r="B260" s="7"/>
      <c r="C260" s="7"/>
      <c r="D260" s="8">
        <f t="shared" ref="D260:D290" si="4">B260*C260</f>
        <v>0</v>
      </c>
    </row>
    <row r="261" spans="1:4" ht="18" hidden="1" x14ac:dyDescent="0.35">
      <c r="A261" s="10" t="s">
        <v>169</v>
      </c>
      <c r="B261" s="7"/>
      <c r="C261" s="7"/>
      <c r="D261" s="8">
        <f t="shared" si="4"/>
        <v>0</v>
      </c>
    </row>
    <row r="262" spans="1:4" ht="18" hidden="1" x14ac:dyDescent="0.35">
      <c r="A262" s="22" t="s">
        <v>77</v>
      </c>
      <c r="B262" s="7"/>
      <c r="C262" s="7"/>
      <c r="D262" s="8">
        <f t="shared" si="4"/>
        <v>0</v>
      </c>
    </row>
    <row r="263" spans="1:4" ht="18" hidden="1" x14ac:dyDescent="0.35">
      <c r="A263" s="22" t="s">
        <v>78</v>
      </c>
      <c r="B263" s="7"/>
      <c r="C263" s="7"/>
      <c r="D263" s="8">
        <f t="shared" si="4"/>
        <v>0</v>
      </c>
    </row>
    <row r="264" spans="1:4" ht="18" hidden="1" x14ac:dyDescent="0.35">
      <c r="A264" s="13" t="s">
        <v>237</v>
      </c>
      <c r="B264" s="7"/>
      <c r="C264" s="7"/>
      <c r="D264" s="8">
        <f t="shared" si="4"/>
        <v>0</v>
      </c>
    </row>
    <row r="265" spans="1:4" ht="18" hidden="1" x14ac:dyDescent="0.35">
      <c r="A265" s="22" t="s">
        <v>79</v>
      </c>
      <c r="B265" s="7"/>
      <c r="C265" s="7"/>
      <c r="D265" s="8">
        <f t="shared" si="4"/>
        <v>0</v>
      </c>
    </row>
    <row r="266" spans="1:4" ht="18" hidden="1" x14ac:dyDescent="0.35">
      <c r="A266" s="10" t="s">
        <v>238</v>
      </c>
      <c r="B266" s="7"/>
      <c r="C266" s="7"/>
      <c r="D266" s="8">
        <f t="shared" si="4"/>
        <v>0</v>
      </c>
    </row>
    <row r="267" spans="1:4" ht="18" hidden="1" x14ac:dyDescent="0.35">
      <c r="A267" s="10" t="s">
        <v>239</v>
      </c>
      <c r="B267" s="7"/>
      <c r="C267" s="7"/>
      <c r="D267" s="8">
        <f t="shared" si="4"/>
        <v>0</v>
      </c>
    </row>
    <row r="268" spans="1:4" ht="18" hidden="1" x14ac:dyDescent="0.35">
      <c r="A268" s="10" t="s">
        <v>240</v>
      </c>
      <c r="B268" s="7"/>
      <c r="C268" s="7"/>
      <c r="D268" s="8">
        <f t="shared" si="4"/>
        <v>0</v>
      </c>
    </row>
    <row r="269" spans="1:4" ht="18" hidden="1" x14ac:dyDescent="0.35">
      <c r="A269" s="10" t="s">
        <v>241</v>
      </c>
      <c r="B269" s="7"/>
      <c r="C269" s="7"/>
      <c r="D269" s="8">
        <f t="shared" si="4"/>
        <v>0</v>
      </c>
    </row>
    <row r="270" spans="1:4" ht="18" hidden="1" x14ac:dyDescent="0.35">
      <c r="A270" s="13" t="s">
        <v>242</v>
      </c>
      <c r="B270" s="7"/>
      <c r="C270" s="7"/>
      <c r="D270" s="8">
        <f t="shared" si="4"/>
        <v>0</v>
      </c>
    </row>
    <row r="271" spans="1:4" ht="18" hidden="1" x14ac:dyDescent="0.35">
      <c r="A271" s="10" t="s">
        <v>243</v>
      </c>
      <c r="B271" s="7"/>
      <c r="C271" s="7"/>
      <c r="D271" s="8">
        <f t="shared" si="4"/>
        <v>0</v>
      </c>
    </row>
    <row r="272" spans="1:4" ht="18" hidden="1" x14ac:dyDescent="0.35">
      <c r="A272" s="10" t="s">
        <v>37</v>
      </c>
      <c r="B272" s="7"/>
      <c r="C272" s="7"/>
      <c r="D272" s="8">
        <f t="shared" si="4"/>
        <v>0</v>
      </c>
    </row>
    <row r="273" spans="1:4" ht="18" hidden="1" x14ac:dyDescent="0.35">
      <c r="A273" s="6" t="s">
        <v>170</v>
      </c>
      <c r="B273" s="7"/>
      <c r="C273" s="7"/>
      <c r="D273" s="8">
        <f t="shared" si="4"/>
        <v>0</v>
      </c>
    </row>
    <row r="274" spans="1:4" ht="18" hidden="1" x14ac:dyDescent="0.35">
      <c r="A274" s="10" t="s">
        <v>80</v>
      </c>
      <c r="B274" s="23"/>
      <c r="C274" s="23"/>
      <c r="D274" s="8">
        <f t="shared" si="4"/>
        <v>0</v>
      </c>
    </row>
    <row r="275" spans="1:4" ht="18" hidden="1" x14ac:dyDescent="0.35">
      <c r="A275" s="10" t="s">
        <v>244</v>
      </c>
      <c r="B275" s="7"/>
      <c r="C275" s="7"/>
      <c r="D275" s="8">
        <f t="shared" si="4"/>
        <v>0</v>
      </c>
    </row>
    <row r="276" spans="1:4" ht="18" hidden="1" x14ac:dyDescent="0.35">
      <c r="A276" s="10" t="s">
        <v>171</v>
      </c>
      <c r="B276" s="7"/>
      <c r="C276" s="7"/>
      <c r="D276" s="8">
        <f t="shared" si="4"/>
        <v>0</v>
      </c>
    </row>
    <row r="277" spans="1:4" ht="18" hidden="1" x14ac:dyDescent="0.35">
      <c r="A277" s="13" t="s">
        <v>245</v>
      </c>
      <c r="B277" s="7"/>
      <c r="C277" s="7"/>
      <c r="D277" s="8">
        <f t="shared" si="4"/>
        <v>0</v>
      </c>
    </row>
    <row r="278" spans="1:4" ht="18" hidden="1" x14ac:dyDescent="0.35">
      <c r="A278" s="13" t="s">
        <v>246</v>
      </c>
      <c r="B278" s="7"/>
      <c r="C278" s="7"/>
      <c r="D278" s="8">
        <f t="shared" si="4"/>
        <v>0</v>
      </c>
    </row>
    <row r="279" spans="1:4" ht="18" hidden="1" x14ac:dyDescent="0.35">
      <c r="A279" s="10" t="s">
        <v>247</v>
      </c>
      <c r="B279" s="7"/>
      <c r="C279" s="7"/>
      <c r="D279" s="8">
        <f t="shared" si="4"/>
        <v>0</v>
      </c>
    </row>
    <row r="280" spans="1:4" ht="18" hidden="1" x14ac:dyDescent="0.35">
      <c r="A280" s="10" t="s">
        <v>248</v>
      </c>
      <c r="B280" s="7"/>
      <c r="C280" s="7"/>
      <c r="D280" s="8">
        <f t="shared" si="4"/>
        <v>0</v>
      </c>
    </row>
    <row r="281" spans="1:4" ht="18" hidden="1" x14ac:dyDescent="0.35">
      <c r="A281" s="13" t="s">
        <v>249</v>
      </c>
      <c r="B281" s="7"/>
      <c r="C281" s="7"/>
      <c r="D281" s="8">
        <f t="shared" si="4"/>
        <v>0</v>
      </c>
    </row>
    <row r="282" spans="1:4" ht="18" hidden="1" x14ac:dyDescent="0.35">
      <c r="A282" s="10" t="s">
        <v>250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251</v>
      </c>
      <c r="B283" s="7"/>
      <c r="C283" s="7"/>
      <c r="D283" s="8">
        <f t="shared" si="4"/>
        <v>0</v>
      </c>
    </row>
    <row r="284" spans="1:4" ht="18" hidden="1" x14ac:dyDescent="0.35">
      <c r="A284" s="10" t="s">
        <v>252</v>
      </c>
      <c r="B284" s="7"/>
      <c r="C284" s="7"/>
      <c r="D284" s="8">
        <f t="shared" si="4"/>
        <v>0</v>
      </c>
    </row>
    <row r="285" spans="1:4" ht="18" hidden="1" x14ac:dyDescent="0.35">
      <c r="A285" s="10" t="s">
        <v>253</v>
      </c>
      <c r="B285" s="7"/>
      <c r="C285" s="7"/>
      <c r="D285" s="8">
        <f t="shared" si="4"/>
        <v>0</v>
      </c>
    </row>
    <row r="286" spans="1:4" ht="18" hidden="1" x14ac:dyDescent="0.35">
      <c r="A286" s="10" t="s">
        <v>254</v>
      </c>
      <c r="B286" s="7"/>
      <c r="C286" s="7"/>
      <c r="D286" s="8">
        <f t="shared" si="4"/>
        <v>0</v>
      </c>
    </row>
    <row r="287" spans="1:4" ht="18" x14ac:dyDescent="0.3">
      <c r="A287" s="10" t="s">
        <v>255</v>
      </c>
      <c r="B287" s="7">
        <v>5</v>
      </c>
      <c r="C287" s="7">
        <v>30000</v>
      </c>
      <c r="D287" s="8">
        <f t="shared" si="4"/>
        <v>150000</v>
      </c>
    </row>
    <row r="288" spans="1:4" ht="18" hidden="1" x14ac:dyDescent="0.35">
      <c r="A288" s="10" t="s">
        <v>256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257</v>
      </c>
      <c r="B289" s="7"/>
      <c r="C289" s="7"/>
      <c r="D289" s="8">
        <f t="shared" si="4"/>
        <v>0</v>
      </c>
    </row>
    <row r="290" spans="1:4" ht="18" hidden="1" x14ac:dyDescent="0.35">
      <c r="A290" s="10" t="s">
        <v>258</v>
      </c>
      <c r="B290" s="7"/>
      <c r="C290" s="7"/>
      <c r="D290" s="8">
        <f t="shared" si="4"/>
        <v>0</v>
      </c>
    </row>
    <row r="291" spans="1:4" ht="17.399999999999999" x14ac:dyDescent="0.3">
      <c r="A291" s="31"/>
      <c r="B291" s="32">
        <f t="shared" ref="B291:D291" si="5">SUM(B3:B290)</f>
        <v>6392</v>
      </c>
      <c r="C291" s="32"/>
      <c r="D291" s="32">
        <f t="shared" si="5"/>
        <v>95179000</v>
      </c>
    </row>
  </sheetData>
  <protectedRanges>
    <protectedRange password="CF71" sqref="B1:D290" name="tho"/>
  </protectedRanges>
  <autoFilter ref="A2:D291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1"/>
  <sheetViews>
    <sheetView topLeftCell="A149" workbookViewId="0">
      <selection activeCell="H70" sqref="H70"/>
    </sheetView>
  </sheetViews>
  <sheetFormatPr defaultRowHeight="14.4" x14ac:dyDescent="0.3"/>
  <cols>
    <col min="1" max="1" width="45.44140625" customWidth="1"/>
    <col min="3" max="3" width="12.88671875" customWidth="1"/>
    <col min="4" max="4" width="20.21875" customWidth="1"/>
  </cols>
  <sheetData>
    <row r="1" spans="1:4" x14ac:dyDescent="0.3">
      <c r="A1" s="1" t="s">
        <v>310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hidden="1" x14ac:dyDescent="0.35">
      <c r="A6" s="20" t="s">
        <v>190</v>
      </c>
      <c r="B6" s="7"/>
      <c r="C6" s="7"/>
      <c r="D6" s="8">
        <f t="shared" si="0"/>
        <v>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20" t="s">
        <v>308</v>
      </c>
      <c r="B8" s="7"/>
      <c r="C8" s="7"/>
      <c r="D8" s="8">
        <f t="shared" si="0"/>
        <v>0</v>
      </c>
    </row>
    <row r="9" spans="1:4" ht="18" hidden="1" x14ac:dyDescent="0.35">
      <c r="A9" s="10" t="s">
        <v>49</v>
      </c>
      <c r="B9" s="7"/>
      <c r="C9" s="7"/>
      <c r="D9" s="8">
        <f t="shared" si="0"/>
        <v>0</v>
      </c>
    </row>
    <row r="10" spans="1:4" ht="18" x14ac:dyDescent="0.3">
      <c r="A10" s="10" t="s">
        <v>50</v>
      </c>
      <c r="B10" s="7">
        <v>4</v>
      </c>
      <c r="C10" s="7">
        <v>80000</v>
      </c>
      <c r="D10" s="8">
        <f t="shared" si="0"/>
        <v>320000</v>
      </c>
    </row>
    <row r="11" spans="1:4" ht="18" hidden="1" x14ac:dyDescent="0.35">
      <c r="A11" s="6" t="s">
        <v>51</v>
      </c>
      <c r="B11" s="7"/>
      <c r="C11" s="7"/>
      <c r="D11" s="8">
        <f t="shared" si="0"/>
        <v>0</v>
      </c>
    </row>
    <row r="12" spans="1:4" ht="18" x14ac:dyDescent="0.3">
      <c r="A12" s="6" t="s">
        <v>199</v>
      </c>
      <c r="B12" s="7">
        <v>4</v>
      </c>
      <c r="C12" s="7">
        <v>9500</v>
      </c>
      <c r="D12" s="8">
        <f t="shared" si="0"/>
        <v>38000</v>
      </c>
    </row>
    <row r="13" spans="1:4" ht="18" hidden="1" x14ac:dyDescent="0.35">
      <c r="A13" s="10" t="s">
        <v>117</v>
      </c>
      <c r="B13" s="7"/>
      <c r="C13" s="7"/>
      <c r="D13" s="8">
        <f t="shared" si="0"/>
        <v>0</v>
      </c>
    </row>
    <row r="14" spans="1:4" ht="18" hidden="1" x14ac:dyDescent="0.35">
      <c r="A14" s="10" t="s">
        <v>276</v>
      </c>
      <c r="B14" s="7"/>
      <c r="C14" s="7"/>
      <c r="D14" s="8">
        <f t="shared" si="0"/>
        <v>0</v>
      </c>
    </row>
    <row r="15" spans="1:4" ht="18" x14ac:dyDescent="0.3">
      <c r="A15" s="22" t="s">
        <v>277</v>
      </c>
      <c r="B15" s="7">
        <v>29</v>
      </c>
      <c r="C15" s="7">
        <v>3500</v>
      </c>
      <c r="D15" s="8">
        <f t="shared" si="0"/>
        <v>101500</v>
      </c>
    </row>
    <row r="16" spans="1:4" ht="18" hidden="1" x14ac:dyDescent="0.35">
      <c r="A16" s="11" t="s">
        <v>278</v>
      </c>
      <c r="B16" s="7"/>
      <c r="C16" s="7"/>
      <c r="D16" s="8">
        <f t="shared" si="0"/>
        <v>0</v>
      </c>
    </row>
    <row r="17" spans="1:4" ht="18" x14ac:dyDescent="0.3">
      <c r="A17" s="10" t="s">
        <v>120</v>
      </c>
      <c r="B17" s="7">
        <f>135+175+30+400+435+60</f>
        <v>1235</v>
      </c>
      <c r="C17" s="7">
        <v>5000</v>
      </c>
      <c r="D17" s="8">
        <f t="shared" si="0"/>
        <v>6175000</v>
      </c>
    </row>
    <row r="18" spans="1:4" ht="18" hidden="1" x14ac:dyDescent="0.35">
      <c r="A18" s="6" t="s">
        <v>59</v>
      </c>
      <c r="B18" s="7"/>
      <c r="C18" s="7"/>
      <c r="D18" s="8">
        <f t="shared" si="0"/>
        <v>0</v>
      </c>
    </row>
    <row r="19" spans="1:4" ht="18" hidden="1" x14ac:dyDescent="0.35">
      <c r="A19" s="6" t="s">
        <v>60</v>
      </c>
      <c r="B19" s="7"/>
      <c r="C19" s="7"/>
      <c r="D19" s="8">
        <f t="shared" si="0"/>
        <v>0</v>
      </c>
    </row>
    <row r="20" spans="1:4" ht="18" x14ac:dyDescent="0.3">
      <c r="A20" s="10" t="s">
        <v>262</v>
      </c>
      <c r="B20" s="7">
        <v>5</v>
      </c>
      <c r="C20" s="7">
        <v>10000</v>
      </c>
      <c r="D20" s="8">
        <f t="shared" si="0"/>
        <v>50000</v>
      </c>
    </row>
    <row r="21" spans="1:4" ht="18" x14ac:dyDescent="0.3">
      <c r="A21" s="10" t="s">
        <v>263</v>
      </c>
      <c r="B21" s="7">
        <f>54+60-38</f>
        <v>76</v>
      </c>
      <c r="C21" s="7">
        <v>6000</v>
      </c>
      <c r="D21" s="8">
        <f t="shared" si="0"/>
        <v>456000</v>
      </c>
    </row>
    <row r="22" spans="1:4" ht="18" hidden="1" x14ac:dyDescent="0.35">
      <c r="A22" s="10" t="s">
        <v>264</v>
      </c>
      <c r="B22" s="7"/>
      <c r="C22" s="7"/>
      <c r="D22" s="8">
        <f t="shared" si="0"/>
        <v>0</v>
      </c>
    </row>
    <row r="23" spans="1:4" ht="18" hidden="1" x14ac:dyDescent="0.35">
      <c r="A23" s="10" t="s">
        <v>265</v>
      </c>
      <c r="B23" s="7"/>
      <c r="C23" s="7"/>
      <c r="D23" s="8">
        <f t="shared" si="0"/>
        <v>0</v>
      </c>
    </row>
    <row r="24" spans="1:4" ht="18" hidden="1" x14ac:dyDescent="0.35">
      <c r="A24" s="10" t="s">
        <v>63</v>
      </c>
      <c r="B24" s="7"/>
      <c r="C24" s="7"/>
      <c r="D24" s="8">
        <f t="shared" si="0"/>
        <v>0</v>
      </c>
    </row>
    <row r="25" spans="1:4" ht="18" hidden="1" x14ac:dyDescent="0.35">
      <c r="A25" s="6" t="s">
        <v>64</v>
      </c>
      <c r="B25" s="7"/>
      <c r="C25" s="7"/>
      <c r="D25" s="8">
        <f t="shared" si="0"/>
        <v>0</v>
      </c>
    </row>
    <row r="26" spans="1:4" ht="18" hidden="1" x14ac:dyDescent="0.35">
      <c r="A26" s="6" t="s">
        <v>65</v>
      </c>
      <c r="B26" s="7"/>
      <c r="C26" s="7"/>
      <c r="D26" s="8">
        <f t="shared" si="0"/>
        <v>0</v>
      </c>
    </row>
    <row r="27" spans="1:4" ht="18" hidden="1" x14ac:dyDescent="0.35">
      <c r="A27" s="10" t="s">
        <v>222</v>
      </c>
      <c r="B27" s="7"/>
      <c r="C27" s="7"/>
      <c r="D27" s="8">
        <f t="shared" si="0"/>
        <v>0</v>
      </c>
    </row>
    <row r="28" spans="1:4" ht="18" hidden="1" x14ac:dyDescent="0.35">
      <c r="A28" s="10" t="s">
        <v>223</v>
      </c>
      <c r="B28" s="7"/>
      <c r="C28" s="7"/>
      <c r="D28" s="8">
        <f t="shared" si="0"/>
        <v>0</v>
      </c>
    </row>
    <row r="29" spans="1:4" ht="18" hidden="1" x14ac:dyDescent="0.35">
      <c r="A29" s="11" t="s">
        <v>224</v>
      </c>
      <c r="B29" s="12"/>
      <c r="C29" s="12"/>
      <c r="D29" s="8">
        <f t="shared" si="0"/>
        <v>0</v>
      </c>
    </row>
    <row r="30" spans="1:4" ht="18" hidden="1" x14ac:dyDescent="0.35">
      <c r="A30" s="11" t="s">
        <v>225</v>
      </c>
      <c r="B30" s="7"/>
      <c r="C30" s="7"/>
      <c r="D30" s="8">
        <f t="shared" si="0"/>
        <v>0</v>
      </c>
    </row>
    <row r="31" spans="1:4" ht="18" hidden="1" x14ac:dyDescent="0.35">
      <c r="A31" s="11" t="s">
        <v>226</v>
      </c>
      <c r="B31" s="12"/>
      <c r="C31" s="12"/>
      <c r="D31" s="8">
        <f t="shared" si="0"/>
        <v>0</v>
      </c>
    </row>
    <row r="32" spans="1:4" ht="18" hidden="1" x14ac:dyDescent="0.35">
      <c r="A32" s="10" t="s">
        <v>121</v>
      </c>
      <c r="B32" s="7"/>
      <c r="C32" s="7"/>
      <c r="D32" s="8">
        <f t="shared" si="0"/>
        <v>0</v>
      </c>
    </row>
    <row r="33" spans="1:4" ht="18" hidden="1" x14ac:dyDescent="0.35">
      <c r="A33" s="10" t="s">
        <v>145</v>
      </c>
      <c r="B33" s="7"/>
      <c r="C33" s="7"/>
      <c r="D33" s="8">
        <f t="shared" si="0"/>
        <v>0</v>
      </c>
    </row>
    <row r="34" spans="1:4" ht="18" hidden="1" x14ac:dyDescent="0.35">
      <c r="A34" s="14" t="s">
        <v>97</v>
      </c>
      <c r="B34" s="7"/>
      <c r="C34" s="7"/>
      <c r="D34" s="8">
        <f t="shared" si="0"/>
        <v>0</v>
      </c>
    </row>
    <row r="35" spans="1:4" ht="18" x14ac:dyDescent="0.3">
      <c r="A35" s="10" t="s">
        <v>98</v>
      </c>
      <c r="B35" s="7">
        <v>40</v>
      </c>
      <c r="C35" s="7">
        <v>16000</v>
      </c>
      <c r="D35" s="8">
        <f t="shared" si="0"/>
        <v>640000</v>
      </c>
    </row>
    <row r="36" spans="1:4" ht="18" hidden="1" x14ac:dyDescent="0.35">
      <c r="A36" s="10" t="s">
        <v>99</v>
      </c>
      <c r="B36" s="7"/>
      <c r="C36" s="7"/>
      <c r="D36" s="8">
        <f t="shared" si="0"/>
        <v>0</v>
      </c>
    </row>
    <row r="37" spans="1:4" ht="18" hidden="1" x14ac:dyDescent="0.35">
      <c r="A37" s="10" t="s">
        <v>266</v>
      </c>
      <c r="B37" s="7"/>
      <c r="C37" s="7"/>
      <c r="D37" s="8">
        <f t="shared" si="0"/>
        <v>0</v>
      </c>
    </row>
    <row r="38" spans="1:4" ht="18" hidden="1" x14ac:dyDescent="0.35">
      <c r="A38" s="10" t="s">
        <v>267</v>
      </c>
      <c r="B38" s="7"/>
      <c r="C38" s="7"/>
      <c r="D38" s="8">
        <f t="shared" si="0"/>
        <v>0</v>
      </c>
    </row>
    <row r="39" spans="1:4" ht="18" hidden="1" x14ac:dyDescent="0.35">
      <c r="A39" s="22" t="s">
        <v>268</v>
      </c>
      <c r="B39" s="7"/>
      <c r="C39" s="7"/>
      <c r="D39" s="8">
        <f t="shared" si="0"/>
        <v>0</v>
      </c>
    </row>
    <row r="40" spans="1:4" ht="18" hidden="1" x14ac:dyDescent="0.35">
      <c r="A40" s="11" t="s">
        <v>122</v>
      </c>
      <c r="B40" s="7"/>
      <c r="C40" s="7"/>
      <c r="D40" s="8">
        <f t="shared" si="0"/>
        <v>0</v>
      </c>
    </row>
    <row r="41" spans="1:4" ht="18" hidden="1" x14ac:dyDescent="0.35">
      <c r="A41" s="22" t="s">
        <v>123</v>
      </c>
      <c r="B41" s="7"/>
      <c r="C41" s="7"/>
      <c r="D41" s="8">
        <f t="shared" si="0"/>
        <v>0</v>
      </c>
    </row>
    <row r="42" spans="1:4" ht="18" hidden="1" x14ac:dyDescent="0.35">
      <c r="A42" s="10" t="s">
        <v>269</v>
      </c>
      <c r="B42" s="7"/>
      <c r="C42" s="7"/>
      <c r="D42" s="8">
        <f t="shared" si="0"/>
        <v>0</v>
      </c>
    </row>
    <row r="43" spans="1:4" ht="18" hidden="1" x14ac:dyDescent="0.35">
      <c r="A43" s="10" t="s">
        <v>270</v>
      </c>
      <c r="B43" s="7"/>
      <c r="C43" s="7"/>
      <c r="D43" s="8">
        <f t="shared" si="0"/>
        <v>0</v>
      </c>
    </row>
    <row r="44" spans="1:4" ht="18" x14ac:dyDescent="0.3">
      <c r="A44" s="6" t="s">
        <v>113</v>
      </c>
      <c r="B44" s="7">
        <f>200+100+100+80+50+130</f>
        <v>660</v>
      </c>
      <c r="C44" s="7">
        <v>9000</v>
      </c>
      <c r="D44" s="8">
        <f t="shared" si="0"/>
        <v>5940000</v>
      </c>
    </row>
    <row r="45" spans="1:4" ht="18" hidden="1" x14ac:dyDescent="0.35">
      <c r="A45" s="10" t="s">
        <v>147</v>
      </c>
      <c r="B45" s="7"/>
      <c r="C45" s="7"/>
      <c r="D45" s="8">
        <f t="shared" si="0"/>
        <v>0</v>
      </c>
    </row>
    <row r="46" spans="1:4" ht="18" hidden="1" x14ac:dyDescent="0.35">
      <c r="A46" s="34" t="s">
        <v>148</v>
      </c>
      <c r="B46" s="7"/>
      <c r="C46" s="7"/>
      <c r="D46" s="8">
        <f t="shared" si="0"/>
        <v>0</v>
      </c>
    </row>
    <row r="47" spans="1:4" ht="18" hidden="1" x14ac:dyDescent="0.35">
      <c r="A47" s="14" t="s">
        <v>149</v>
      </c>
      <c r="B47" s="7"/>
      <c r="C47" s="7"/>
      <c r="D47" s="8">
        <f t="shared" si="0"/>
        <v>0</v>
      </c>
    </row>
    <row r="48" spans="1:4" ht="18" hidden="1" x14ac:dyDescent="0.35">
      <c r="A48" s="10" t="s">
        <v>150</v>
      </c>
      <c r="B48" s="7"/>
      <c r="C48" s="7"/>
      <c r="D48" s="8">
        <f t="shared" si="0"/>
        <v>0</v>
      </c>
    </row>
    <row r="49" spans="1:4" ht="18" hidden="1" x14ac:dyDescent="0.35">
      <c r="A49" s="11" t="s">
        <v>151</v>
      </c>
      <c r="B49" s="7"/>
      <c r="C49" s="7"/>
      <c r="D49" s="8">
        <f t="shared" si="0"/>
        <v>0</v>
      </c>
    </row>
    <row r="50" spans="1:4" ht="18" hidden="1" x14ac:dyDescent="0.35">
      <c r="A50" s="10" t="s">
        <v>152</v>
      </c>
      <c r="B50" s="7"/>
      <c r="C50" s="7"/>
      <c r="D50" s="8">
        <f t="shared" si="0"/>
        <v>0</v>
      </c>
    </row>
    <row r="51" spans="1:4" ht="18" hidden="1" x14ac:dyDescent="0.35">
      <c r="A51" s="10" t="s">
        <v>153</v>
      </c>
      <c r="B51" s="7"/>
      <c r="C51" s="7"/>
      <c r="D51" s="8">
        <f t="shared" si="0"/>
        <v>0</v>
      </c>
    </row>
    <row r="52" spans="1:4" ht="18" hidden="1" x14ac:dyDescent="0.35">
      <c r="A52" s="14" t="s">
        <v>75</v>
      </c>
      <c r="B52" s="7"/>
      <c r="C52" s="7"/>
      <c r="D52" s="8">
        <f t="shared" si="0"/>
        <v>0</v>
      </c>
    </row>
    <row r="53" spans="1:4" ht="18" x14ac:dyDescent="0.3">
      <c r="A53" s="10" t="s">
        <v>114</v>
      </c>
      <c r="B53" s="7">
        <f>300+60+4</f>
        <v>364</v>
      </c>
      <c r="C53" s="7">
        <v>6000</v>
      </c>
      <c r="D53" s="8">
        <f t="shared" si="0"/>
        <v>2184000</v>
      </c>
    </row>
    <row r="54" spans="1:4" ht="18" hidden="1" x14ac:dyDescent="0.35">
      <c r="A54" s="10" t="s">
        <v>154</v>
      </c>
      <c r="B54" s="7"/>
      <c r="C54" s="7"/>
      <c r="D54" s="8">
        <f t="shared" si="0"/>
        <v>0</v>
      </c>
    </row>
    <row r="55" spans="1:4" ht="18" hidden="1" x14ac:dyDescent="0.35">
      <c r="A55" s="10" t="s">
        <v>155</v>
      </c>
      <c r="B55" s="7"/>
      <c r="C55" s="7"/>
      <c r="D55" s="8">
        <f t="shared" si="0"/>
        <v>0</v>
      </c>
    </row>
    <row r="56" spans="1:4" ht="18" hidden="1" x14ac:dyDescent="0.35">
      <c r="A56" s="9" t="s">
        <v>156</v>
      </c>
      <c r="B56" s="7"/>
      <c r="C56" s="7"/>
      <c r="D56" s="8">
        <f t="shared" si="0"/>
        <v>0</v>
      </c>
    </row>
    <row r="57" spans="1:4" ht="18" hidden="1" x14ac:dyDescent="0.35">
      <c r="A57" s="6" t="s">
        <v>283</v>
      </c>
      <c r="B57" s="7"/>
      <c r="C57" s="7"/>
      <c r="D57" s="8">
        <f t="shared" si="0"/>
        <v>0</v>
      </c>
    </row>
    <row r="58" spans="1:4" ht="18" x14ac:dyDescent="0.3">
      <c r="A58" s="6" t="s">
        <v>303</v>
      </c>
      <c r="B58" s="7">
        <v>30</v>
      </c>
      <c r="C58" s="7">
        <v>6000</v>
      </c>
      <c r="D58" s="8">
        <f t="shared" si="0"/>
        <v>180000</v>
      </c>
    </row>
    <row r="59" spans="1:4" ht="18" hidden="1" x14ac:dyDescent="0.35">
      <c r="A59" s="55" t="s">
        <v>304</v>
      </c>
      <c r="B59" s="7"/>
      <c r="C59" s="7"/>
      <c r="D59" s="8">
        <f t="shared" si="0"/>
        <v>0</v>
      </c>
    </row>
    <row r="60" spans="1:4" ht="18" hidden="1" x14ac:dyDescent="0.35">
      <c r="A60" s="6" t="s">
        <v>305</v>
      </c>
      <c r="B60" s="7"/>
      <c r="C60" s="7"/>
      <c r="D60" s="8">
        <f t="shared" si="0"/>
        <v>0</v>
      </c>
    </row>
    <row r="61" spans="1:4" ht="18" hidden="1" x14ac:dyDescent="0.35">
      <c r="A61" s="6" t="s">
        <v>306</v>
      </c>
      <c r="B61" s="7"/>
      <c r="C61" s="7"/>
      <c r="D61" s="8">
        <f t="shared" si="0"/>
        <v>0</v>
      </c>
    </row>
    <row r="62" spans="1:4" ht="18" hidden="1" x14ac:dyDescent="0.35">
      <c r="A62" s="6" t="s">
        <v>2</v>
      </c>
      <c r="B62" s="7"/>
      <c r="C62" s="7"/>
      <c r="D62" s="8">
        <f t="shared" si="0"/>
        <v>0</v>
      </c>
    </row>
    <row r="63" spans="1:4" ht="18" hidden="1" x14ac:dyDescent="0.35">
      <c r="A63" s="9" t="s">
        <v>3</v>
      </c>
      <c r="B63" s="7"/>
      <c r="C63" s="7"/>
      <c r="D63" s="8">
        <f t="shared" si="0"/>
        <v>0</v>
      </c>
    </row>
    <row r="64" spans="1:4" ht="18" hidden="1" x14ac:dyDescent="0.35">
      <c r="A64" s="10" t="s">
        <v>4</v>
      </c>
      <c r="B64" s="7"/>
      <c r="C64" s="7"/>
      <c r="D64" s="8">
        <f t="shared" si="0"/>
        <v>0</v>
      </c>
    </row>
    <row r="65" spans="1:4" ht="18" hidden="1" x14ac:dyDescent="0.35">
      <c r="A65" s="10" t="s">
        <v>115</v>
      </c>
      <c r="B65" s="7"/>
      <c r="C65" s="7"/>
      <c r="D65" s="8">
        <f t="shared" si="0"/>
        <v>0</v>
      </c>
    </row>
    <row r="66" spans="1:4" ht="18" hidden="1" x14ac:dyDescent="0.35">
      <c r="A66" s="6" t="s">
        <v>116</v>
      </c>
      <c r="B66" s="7"/>
      <c r="C66" s="7"/>
      <c r="D66" s="8">
        <f t="shared" si="0"/>
        <v>0</v>
      </c>
    </row>
    <row r="67" spans="1:4" ht="18" x14ac:dyDescent="0.3">
      <c r="A67" s="10" t="s">
        <v>163</v>
      </c>
      <c r="B67" s="7">
        <f>180+70+50+10</f>
        <v>310</v>
      </c>
      <c r="C67" s="7">
        <v>16000</v>
      </c>
      <c r="D67" s="8">
        <f t="shared" si="0"/>
        <v>4960000</v>
      </c>
    </row>
    <row r="68" spans="1:4" ht="18" hidden="1" x14ac:dyDescent="0.35">
      <c r="A68" s="22" t="s">
        <v>164</v>
      </c>
      <c r="B68" s="7"/>
      <c r="C68" s="7"/>
      <c r="D68" s="8">
        <f t="shared" ref="D68:D131" si="1">B68*C68</f>
        <v>0</v>
      </c>
    </row>
    <row r="69" spans="1:4" ht="18" hidden="1" x14ac:dyDescent="0.35">
      <c r="A69" s="10" t="s">
        <v>165</v>
      </c>
      <c r="B69" s="7"/>
      <c r="C69" s="7"/>
      <c r="D69" s="8">
        <f t="shared" si="1"/>
        <v>0</v>
      </c>
    </row>
    <row r="70" spans="1:4" ht="18" x14ac:dyDescent="0.3">
      <c r="A70" s="10" t="s">
        <v>166</v>
      </c>
      <c r="B70" s="7">
        <f>25+22</f>
        <v>47</v>
      </c>
      <c r="C70" s="7">
        <v>15000</v>
      </c>
      <c r="D70" s="8">
        <f t="shared" si="1"/>
        <v>705000</v>
      </c>
    </row>
    <row r="71" spans="1:4" ht="18" hidden="1" x14ac:dyDescent="0.35">
      <c r="A71" s="10" t="s">
        <v>167</v>
      </c>
      <c r="B71" s="7"/>
      <c r="C71" s="7"/>
      <c r="D71" s="8">
        <f t="shared" si="1"/>
        <v>0</v>
      </c>
    </row>
    <row r="72" spans="1:4" ht="18" hidden="1" x14ac:dyDescent="0.35">
      <c r="A72" s="6" t="s">
        <v>9</v>
      </c>
      <c r="B72" s="12"/>
      <c r="C72" s="12"/>
      <c r="D72" s="8">
        <f t="shared" si="1"/>
        <v>0</v>
      </c>
    </row>
    <row r="73" spans="1:4" ht="18" hidden="1" x14ac:dyDescent="0.35">
      <c r="A73" s="6" t="s">
        <v>10</v>
      </c>
      <c r="B73" s="12"/>
      <c r="C73" s="12"/>
      <c r="D73" s="8">
        <f t="shared" si="1"/>
        <v>0</v>
      </c>
    </row>
    <row r="74" spans="1:4" ht="18" hidden="1" x14ac:dyDescent="0.35">
      <c r="A74" s="10" t="s">
        <v>81</v>
      </c>
      <c r="B74" s="7"/>
      <c r="C74" s="7"/>
      <c r="D74" s="8">
        <f t="shared" si="1"/>
        <v>0</v>
      </c>
    </row>
    <row r="75" spans="1:4" ht="18" x14ac:dyDescent="0.3">
      <c r="A75" s="10" t="s">
        <v>82</v>
      </c>
      <c r="B75" s="7">
        <v>30</v>
      </c>
      <c r="C75" s="7">
        <v>26000</v>
      </c>
      <c r="D75" s="8">
        <f t="shared" si="1"/>
        <v>780000</v>
      </c>
    </row>
    <row r="76" spans="1:4" ht="18" hidden="1" x14ac:dyDescent="0.35">
      <c r="A76" s="10" t="s">
        <v>83</v>
      </c>
      <c r="B76" s="7"/>
      <c r="C76" s="7"/>
      <c r="D76" s="8">
        <f t="shared" si="1"/>
        <v>0</v>
      </c>
    </row>
    <row r="77" spans="1:4" ht="18" x14ac:dyDescent="0.3">
      <c r="A77" s="10" t="s">
        <v>84</v>
      </c>
      <c r="B77" s="7">
        <v>15</v>
      </c>
      <c r="C77" s="7">
        <v>17000</v>
      </c>
      <c r="D77" s="8">
        <f t="shared" si="1"/>
        <v>255000</v>
      </c>
    </row>
    <row r="78" spans="1:4" ht="18" hidden="1" x14ac:dyDescent="0.35">
      <c r="A78" s="10" t="s">
        <v>85</v>
      </c>
      <c r="B78" s="7"/>
      <c r="C78" s="7"/>
      <c r="D78" s="8">
        <f t="shared" si="1"/>
        <v>0</v>
      </c>
    </row>
    <row r="79" spans="1:4" ht="18" hidden="1" x14ac:dyDescent="0.35">
      <c r="A79" s="10" t="s">
        <v>188</v>
      </c>
      <c r="B79" s="7"/>
      <c r="C79" s="7"/>
      <c r="D79" s="8">
        <f t="shared" si="1"/>
        <v>0</v>
      </c>
    </row>
    <row r="80" spans="1:4" ht="18" hidden="1" x14ac:dyDescent="0.35">
      <c r="A80" s="13" t="s">
        <v>189</v>
      </c>
      <c r="B80" s="7"/>
      <c r="C80" s="7"/>
      <c r="D80" s="8">
        <f t="shared" si="1"/>
        <v>0</v>
      </c>
    </row>
    <row r="81" spans="1:4" ht="18" hidden="1" x14ac:dyDescent="0.35">
      <c r="A81" s="13" t="s">
        <v>172</v>
      </c>
      <c r="B81" s="7"/>
      <c r="C81" s="7"/>
      <c r="D81" s="8">
        <f t="shared" si="1"/>
        <v>0</v>
      </c>
    </row>
    <row r="82" spans="1:4" ht="18" hidden="1" x14ac:dyDescent="0.35">
      <c r="A82" s="13" t="s">
        <v>173</v>
      </c>
      <c r="B82" s="7"/>
      <c r="C82" s="7"/>
      <c r="D82" s="8">
        <f t="shared" si="1"/>
        <v>0</v>
      </c>
    </row>
    <row r="83" spans="1:4" ht="18" hidden="1" x14ac:dyDescent="0.35">
      <c r="A83" s="11" t="s">
        <v>174</v>
      </c>
      <c r="B83" s="7"/>
      <c r="C83" s="7"/>
      <c r="D83" s="8">
        <f t="shared" si="1"/>
        <v>0</v>
      </c>
    </row>
    <row r="84" spans="1:4" ht="18" x14ac:dyDescent="0.3">
      <c r="A84" s="22" t="s">
        <v>168</v>
      </c>
      <c r="B84" s="7">
        <v>10</v>
      </c>
      <c r="C84" s="7">
        <v>18000</v>
      </c>
      <c r="D84" s="8">
        <f t="shared" si="1"/>
        <v>180000</v>
      </c>
    </row>
    <row r="85" spans="1:4" ht="18" hidden="1" x14ac:dyDescent="0.35">
      <c r="A85" s="11" t="s">
        <v>200</v>
      </c>
      <c r="B85" s="7"/>
      <c r="C85" s="7"/>
      <c r="D85" s="8">
        <f t="shared" si="1"/>
        <v>0</v>
      </c>
    </row>
    <row r="86" spans="1:4" ht="18" hidden="1" x14ac:dyDescent="0.35">
      <c r="A86" s="10" t="s">
        <v>11</v>
      </c>
      <c r="B86" s="7"/>
      <c r="C86" s="7"/>
      <c r="D86" s="8">
        <f t="shared" si="1"/>
        <v>0</v>
      </c>
    </row>
    <row r="87" spans="1:4" ht="18" hidden="1" x14ac:dyDescent="0.35">
      <c r="A87" s="10" t="s">
        <v>12</v>
      </c>
      <c r="B87" s="7"/>
      <c r="C87" s="7"/>
      <c r="D87" s="8">
        <f t="shared" si="1"/>
        <v>0</v>
      </c>
    </row>
    <row r="88" spans="1:4" ht="18" hidden="1" x14ac:dyDescent="0.35">
      <c r="A88" s="11" t="s">
        <v>201</v>
      </c>
      <c r="B88" s="7"/>
      <c r="C88" s="7"/>
      <c r="D88" s="8">
        <f t="shared" si="1"/>
        <v>0</v>
      </c>
    </row>
    <row r="89" spans="1:4" ht="18" hidden="1" x14ac:dyDescent="0.35">
      <c r="A89" s="11" t="s">
        <v>202</v>
      </c>
      <c r="B89" s="7"/>
      <c r="C89" s="7"/>
      <c r="D89" s="8">
        <f t="shared" si="1"/>
        <v>0</v>
      </c>
    </row>
    <row r="90" spans="1:4" ht="18" hidden="1" x14ac:dyDescent="0.35">
      <c r="A90" s="10" t="s">
        <v>13</v>
      </c>
      <c r="B90" s="12"/>
      <c r="C90" s="12"/>
      <c r="D90" s="8">
        <f t="shared" si="1"/>
        <v>0</v>
      </c>
    </row>
    <row r="91" spans="1:4" ht="18" hidden="1" x14ac:dyDescent="0.35">
      <c r="A91" s="13" t="s">
        <v>14</v>
      </c>
      <c r="B91" s="7"/>
      <c r="C91" s="7"/>
      <c r="D91" s="8">
        <f t="shared" si="1"/>
        <v>0</v>
      </c>
    </row>
    <row r="92" spans="1:4" ht="18" hidden="1" x14ac:dyDescent="0.35">
      <c r="A92" s="11" t="s">
        <v>203</v>
      </c>
      <c r="B92" s="7"/>
      <c r="C92" s="7"/>
      <c r="D92" s="8">
        <f t="shared" si="1"/>
        <v>0</v>
      </c>
    </row>
    <row r="93" spans="1:4" ht="18" x14ac:dyDescent="0.3">
      <c r="A93" s="10" t="s">
        <v>46</v>
      </c>
      <c r="B93" s="7">
        <v>200</v>
      </c>
      <c r="C93" s="7">
        <v>7500</v>
      </c>
      <c r="D93" s="8">
        <f t="shared" si="1"/>
        <v>1500000</v>
      </c>
    </row>
    <row r="94" spans="1:4" ht="18" hidden="1" x14ac:dyDescent="0.35">
      <c r="A94" s="14" t="s">
        <v>47</v>
      </c>
      <c r="B94" s="7"/>
      <c r="C94" s="7"/>
      <c r="D94" s="8">
        <f t="shared" si="1"/>
        <v>0</v>
      </c>
    </row>
    <row r="95" spans="1:4" ht="18" hidden="1" x14ac:dyDescent="0.35">
      <c r="A95" s="10" t="s">
        <v>186</v>
      </c>
      <c r="B95" s="7"/>
      <c r="C95" s="7"/>
      <c r="D95" s="8">
        <f t="shared" si="1"/>
        <v>0</v>
      </c>
    </row>
    <row r="96" spans="1:4" ht="18" hidden="1" x14ac:dyDescent="0.35">
      <c r="A96" s="10" t="s">
        <v>187</v>
      </c>
      <c r="B96" s="7"/>
      <c r="C96" s="7"/>
      <c r="D96" s="8">
        <f t="shared" si="1"/>
        <v>0</v>
      </c>
    </row>
    <row r="97" spans="1:4" ht="18" hidden="1" x14ac:dyDescent="0.35">
      <c r="A97" s="56" t="s">
        <v>300</v>
      </c>
      <c r="B97" s="7"/>
      <c r="C97" s="7"/>
      <c r="D97" s="8">
        <f t="shared" si="1"/>
        <v>0</v>
      </c>
    </row>
    <row r="98" spans="1:4" ht="18" hidden="1" x14ac:dyDescent="0.35">
      <c r="A98" s="26" t="s">
        <v>48</v>
      </c>
      <c r="B98" s="7"/>
      <c r="C98" s="7"/>
      <c r="D98" s="8">
        <f t="shared" si="1"/>
        <v>0</v>
      </c>
    </row>
    <row r="99" spans="1:4" ht="18" hidden="1" x14ac:dyDescent="0.35">
      <c r="A99" s="26" t="s">
        <v>17</v>
      </c>
      <c r="B99" s="7"/>
      <c r="C99" s="7"/>
      <c r="D99" s="8">
        <f t="shared" si="1"/>
        <v>0</v>
      </c>
    </row>
    <row r="100" spans="1:4" ht="18" hidden="1" x14ac:dyDescent="0.35">
      <c r="A100" s="10" t="s">
        <v>18</v>
      </c>
      <c r="B100" s="7"/>
      <c r="C100" s="7"/>
      <c r="D100" s="8">
        <f t="shared" si="1"/>
        <v>0</v>
      </c>
    </row>
    <row r="101" spans="1:4" ht="18" hidden="1" x14ac:dyDescent="0.35">
      <c r="A101" s="10" t="s">
        <v>19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204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205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206</v>
      </c>
      <c r="B104" s="7"/>
      <c r="C104" s="7"/>
      <c r="D104" s="8">
        <f t="shared" si="1"/>
        <v>0</v>
      </c>
    </row>
    <row r="105" spans="1:4" ht="18" hidden="1" x14ac:dyDescent="0.35">
      <c r="A105" s="10" t="s">
        <v>207</v>
      </c>
      <c r="B105" s="7"/>
      <c r="C105" s="7"/>
      <c r="D105" s="8">
        <f t="shared" si="1"/>
        <v>0</v>
      </c>
    </row>
    <row r="106" spans="1:4" ht="18" hidden="1" x14ac:dyDescent="0.35">
      <c r="A106" s="11" t="s">
        <v>15</v>
      </c>
      <c r="B106" s="7"/>
      <c r="C106" s="7"/>
      <c r="D106" s="8">
        <f t="shared" si="1"/>
        <v>0</v>
      </c>
    </row>
    <row r="107" spans="1:4" ht="18" hidden="1" x14ac:dyDescent="0.35">
      <c r="A107" s="13" t="s">
        <v>16</v>
      </c>
      <c r="B107" s="7"/>
      <c r="C107" s="7"/>
      <c r="D107" s="8">
        <f t="shared" si="1"/>
        <v>0</v>
      </c>
    </row>
    <row r="108" spans="1:4" ht="18" hidden="1" x14ac:dyDescent="0.35">
      <c r="A108" s="10" t="s">
        <v>96</v>
      </c>
      <c r="B108" s="7"/>
      <c r="C108" s="7"/>
      <c r="D108" s="8">
        <f t="shared" si="1"/>
        <v>0</v>
      </c>
    </row>
    <row r="109" spans="1:4" ht="18" hidden="1" x14ac:dyDescent="0.35">
      <c r="A109" s="28" t="s">
        <v>124</v>
      </c>
      <c r="B109" s="7"/>
      <c r="C109" s="7"/>
      <c r="D109" s="8">
        <f t="shared" si="1"/>
        <v>0</v>
      </c>
    </row>
    <row r="110" spans="1:4" ht="18" hidden="1" x14ac:dyDescent="0.35">
      <c r="A110" s="22" t="s">
        <v>125</v>
      </c>
      <c r="B110" s="7"/>
      <c r="C110" s="7"/>
      <c r="D110" s="8">
        <f t="shared" si="1"/>
        <v>0</v>
      </c>
    </row>
    <row r="111" spans="1:4" ht="18" hidden="1" x14ac:dyDescent="0.35">
      <c r="A111" s="6" t="s">
        <v>126</v>
      </c>
      <c r="B111" s="12"/>
      <c r="C111" s="12"/>
      <c r="D111" s="8">
        <f t="shared" si="1"/>
        <v>0</v>
      </c>
    </row>
    <row r="112" spans="1:4" ht="18" hidden="1" x14ac:dyDescent="0.35">
      <c r="A112" s="6" t="s">
        <v>127</v>
      </c>
      <c r="B112" s="12"/>
      <c r="C112" s="12"/>
      <c r="D112" s="8">
        <f t="shared" si="1"/>
        <v>0</v>
      </c>
    </row>
    <row r="113" spans="1:4" ht="18" hidden="1" x14ac:dyDescent="0.35">
      <c r="A113" s="6" t="s">
        <v>128</v>
      </c>
      <c r="B113" s="12"/>
      <c r="C113" s="12"/>
      <c r="D113" s="8">
        <f t="shared" si="1"/>
        <v>0</v>
      </c>
    </row>
    <row r="114" spans="1:4" ht="18" hidden="1" x14ac:dyDescent="0.35">
      <c r="A114" s="6" t="s">
        <v>129</v>
      </c>
      <c r="B114" s="29"/>
      <c r="C114" s="29"/>
      <c r="D114" s="8">
        <f t="shared" si="1"/>
        <v>0</v>
      </c>
    </row>
    <row r="115" spans="1:4" ht="18" hidden="1" x14ac:dyDescent="0.35">
      <c r="A115" s="30" t="s">
        <v>271</v>
      </c>
      <c r="B115" s="7"/>
      <c r="C115" s="7"/>
      <c r="D115" s="8">
        <f t="shared" si="1"/>
        <v>0</v>
      </c>
    </row>
    <row r="116" spans="1:4" ht="18" x14ac:dyDescent="0.3">
      <c r="A116" s="6" t="s">
        <v>272</v>
      </c>
      <c r="B116" s="12">
        <v>1</v>
      </c>
      <c r="C116" s="7">
        <v>16000</v>
      </c>
      <c r="D116" s="8">
        <f t="shared" si="1"/>
        <v>16000</v>
      </c>
    </row>
    <row r="117" spans="1:4" ht="18" x14ac:dyDescent="0.3">
      <c r="A117" s="10" t="s">
        <v>273</v>
      </c>
      <c r="B117" s="7">
        <v>10</v>
      </c>
      <c r="C117" s="7">
        <v>6000</v>
      </c>
      <c r="D117" s="8">
        <f t="shared" si="1"/>
        <v>60000</v>
      </c>
    </row>
    <row r="118" spans="1:4" ht="18" hidden="1" x14ac:dyDescent="0.35">
      <c r="A118" s="10" t="s">
        <v>274</v>
      </c>
      <c r="B118" s="7"/>
      <c r="C118" s="7"/>
      <c r="D118" s="8">
        <f t="shared" si="1"/>
        <v>0</v>
      </c>
    </row>
    <row r="119" spans="1:4" ht="18" x14ac:dyDescent="0.3">
      <c r="A119" s="10" t="s">
        <v>33</v>
      </c>
      <c r="B119" s="7">
        <v>35</v>
      </c>
      <c r="C119" s="7">
        <v>6000</v>
      </c>
      <c r="D119" s="8">
        <f t="shared" si="1"/>
        <v>210000</v>
      </c>
    </row>
    <row r="120" spans="1:4" ht="18" hidden="1" x14ac:dyDescent="0.35">
      <c r="A120" s="14" t="s">
        <v>34</v>
      </c>
      <c r="B120" s="7"/>
      <c r="C120" s="7"/>
      <c r="D120" s="8">
        <f t="shared" si="1"/>
        <v>0</v>
      </c>
    </row>
    <row r="121" spans="1:4" ht="18" x14ac:dyDescent="0.3">
      <c r="A121" s="6" t="s">
        <v>208</v>
      </c>
      <c r="B121" s="7">
        <v>0.3</v>
      </c>
      <c r="C121" s="7">
        <v>65000</v>
      </c>
      <c r="D121" s="8">
        <f t="shared" si="1"/>
        <v>19500</v>
      </c>
    </row>
    <row r="122" spans="1:4" ht="18" hidden="1" x14ac:dyDescent="0.35">
      <c r="A122" s="6" t="s">
        <v>209</v>
      </c>
      <c r="B122" s="7"/>
      <c r="C122" s="7"/>
      <c r="D122" s="8">
        <f t="shared" si="1"/>
        <v>0</v>
      </c>
    </row>
    <row r="123" spans="1:4" ht="18" hidden="1" x14ac:dyDescent="0.35">
      <c r="A123" s="10" t="s">
        <v>210</v>
      </c>
      <c r="B123" s="7"/>
      <c r="C123" s="7"/>
      <c r="D123" s="8">
        <f t="shared" si="1"/>
        <v>0</v>
      </c>
    </row>
    <row r="124" spans="1:4" ht="18" hidden="1" x14ac:dyDescent="0.35">
      <c r="A124" s="10" t="s">
        <v>211</v>
      </c>
      <c r="B124" s="7"/>
      <c r="C124" s="7"/>
      <c r="D124" s="8">
        <f t="shared" si="1"/>
        <v>0</v>
      </c>
    </row>
    <row r="125" spans="1:4" ht="18" hidden="1" x14ac:dyDescent="0.35">
      <c r="A125" s="10" t="s">
        <v>284</v>
      </c>
      <c r="B125" s="7"/>
      <c r="C125" s="7"/>
      <c r="D125" s="8">
        <f t="shared" si="1"/>
        <v>0</v>
      </c>
    </row>
    <row r="126" spans="1:4" ht="18" hidden="1" x14ac:dyDescent="0.35">
      <c r="A126" s="10" t="s">
        <v>102</v>
      </c>
      <c r="B126" s="12"/>
      <c r="C126" s="12"/>
      <c r="D126" s="8">
        <f t="shared" si="1"/>
        <v>0</v>
      </c>
    </row>
    <row r="127" spans="1:4" ht="18" hidden="1" x14ac:dyDescent="0.35">
      <c r="A127" s="10" t="s">
        <v>103</v>
      </c>
      <c r="B127" s="12"/>
      <c r="C127" s="12"/>
      <c r="D127" s="8">
        <f t="shared" si="1"/>
        <v>0</v>
      </c>
    </row>
    <row r="128" spans="1:4" ht="18" hidden="1" x14ac:dyDescent="0.35">
      <c r="A128" s="10" t="s">
        <v>104</v>
      </c>
      <c r="B128" s="12"/>
      <c r="C128" s="12"/>
      <c r="D128" s="8">
        <f t="shared" si="1"/>
        <v>0</v>
      </c>
    </row>
    <row r="129" spans="1:4" ht="18" hidden="1" x14ac:dyDescent="0.35">
      <c r="A129" s="10" t="s">
        <v>105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106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107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130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0" t="s">
        <v>108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109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110</v>
      </c>
      <c r="B135" s="12"/>
      <c r="C135" s="12"/>
      <c r="D135" s="8">
        <f t="shared" si="2"/>
        <v>0</v>
      </c>
    </row>
    <row r="136" spans="1:4" ht="18" hidden="1" x14ac:dyDescent="0.35">
      <c r="A136" s="10" t="s">
        <v>157</v>
      </c>
      <c r="B136" s="7"/>
      <c r="C136" s="7"/>
      <c r="D136" s="8">
        <f t="shared" si="2"/>
        <v>0</v>
      </c>
    </row>
    <row r="137" spans="1:4" ht="18" hidden="1" x14ac:dyDescent="0.35">
      <c r="A137" s="10" t="s">
        <v>158</v>
      </c>
      <c r="B137" s="7"/>
      <c r="C137" s="7"/>
      <c r="D137" s="8">
        <f t="shared" si="2"/>
        <v>0</v>
      </c>
    </row>
    <row r="138" spans="1:4" ht="18" hidden="1" x14ac:dyDescent="0.35">
      <c r="A138" s="10" t="s">
        <v>159</v>
      </c>
      <c r="B138" s="7"/>
      <c r="C138" s="7"/>
      <c r="D138" s="8">
        <f t="shared" si="2"/>
        <v>0</v>
      </c>
    </row>
    <row r="139" spans="1:4" ht="18" hidden="1" x14ac:dyDescent="0.35">
      <c r="A139" s="14" t="s">
        <v>160</v>
      </c>
      <c r="B139" s="7"/>
      <c r="C139" s="7"/>
      <c r="D139" s="8">
        <f t="shared" si="2"/>
        <v>0</v>
      </c>
    </row>
    <row r="140" spans="1:4" ht="18" x14ac:dyDescent="0.3">
      <c r="A140" s="10" t="s">
        <v>161</v>
      </c>
      <c r="B140" s="7">
        <f>38+13</f>
        <v>51</v>
      </c>
      <c r="C140" s="7">
        <v>7000</v>
      </c>
      <c r="D140" s="8">
        <f t="shared" si="2"/>
        <v>357000</v>
      </c>
    </row>
    <row r="141" spans="1:4" ht="18" hidden="1" x14ac:dyDescent="0.35">
      <c r="A141" s="10" t="s">
        <v>162</v>
      </c>
      <c r="B141" s="7"/>
      <c r="C141" s="7"/>
      <c r="D141" s="8">
        <f t="shared" si="2"/>
        <v>0</v>
      </c>
    </row>
    <row r="142" spans="1:4" ht="18" hidden="1" x14ac:dyDescent="0.35">
      <c r="A142" s="10" t="s">
        <v>279</v>
      </c>
      <c r="B142" s="7"/>
      <c r="C142" s="7"/>
      <c r="D142" s="8">
        <f t="shared" si="2"/>
        <v>0</v>
      </c>
    </row>
    <row r="143" spans="1:4" ht="18" hidden="1" x14ac:dyDescent="0.35">
      <c r="A143" s="10" t="s">
        <v>280</v>
      </c>
      <c r="B143" s="7"/>
      <c r="C143" s="7"/>
      <c r="D143" s="8">
        <f t="shared" si="2"/>
        <v>0</v>
      </c>
    </row>
    <row r="144" spans="1:4" ht="18" hidden="1" x14ac:dyDescent="0.35">
      <c r="A144" s="10" t="s">
        <v>281</v>
      </c>
      <c r="B144" s="7"/>
      <c r="C144" s="7"/>
      <c r="D144" s="8">
        <f t="shared" si="2"/>
        <v>0</v>
      </c>
    </row>
    <row r="145" spans="1:4" ht="18" hidden="1" x14ac:dyDescent="0.35">
      <c r="A145" s="10" t="s">
        <v>282</v>
      </c>
      <c r="B145" s="7"/>
      <c r="C145" s="7"/>
      <c r="D145" s="8">
        <f t="shared" si="2"/>
        <v>0</v>
      </c>
    </row>
    <row r="146" spans="1:4" ht="18" hidden="1" x14ac:dyDescent="0.35">
      <c r="A146" s="10" t="s">
        <v>111</v>
      </c>
      <c r="B146" s="12"/>
      <c r="C146" s="12"/>
      <c r="D146" s="8">
        <f t="shared" si="2"/>
        <v>0</v>
      </c>
    </row>
    <row r="147" spans="1:4" ht="18" hidden="1" x14ac:dyDescent="0.35">
      <c r="A147" s="10" t="s">
        <v>112</v>
      </c>
      <c r="B147" s="12"/>
      <c r="C147" s="12"/>
      <c r="D147" s="8">
        <f t="shared" si="2"/>
        <v>0</v>
      </c>
    </row>
    <row r="148" spans="1:4" ht="18" hidden="1" x14ac:dyDescent="0.35">
      <c r="A148" s="10" t="s">
        <v>131</v>
      </c>
      <c r="B148" s="12"/>
      <c r="C148" s="12"/>
      <c r="D148" s="8">
        <f t="shared" si="2"/>
        <v>0</v>
      </c>
    </row>
    <row r="149" spans="1:4" ht="18" x14ac:dyDescent="0.3">
      <c r="A149" s="10" t="s">
        <v>52</v>
      </c>
      <c r="B149" s="7">
        <v>75</v>
      </c>
      <c r="C149" s="7">
        <v>7000</v>
      </c>
      <c r="D149" s="8">
        <f t="shared" si="2"/>
        <v>525000</v>
      </c>
    </row>
    <row r="150" spans="1:4" ht="18" hidden="1" x14ac:dyDescent="0.35">
      <c r="A150" s="14" t="s">
        <v>53</v>
      </c>
      <c r="B150" s="7"/>
      <c r="C150" s="7"/>
      <c r="D150" s="8">
        <f t="shared" si="2"/>
        <v>0</v>
      </c>
    </row>
    <row r="151" spans="1:4" ht="18" hidden="1" x14ac:dyDescent="0.35">
      <c r="A151" s="10" t="s">
        <v>192</v>
      </c>
      <c r="B151" s="7"/>
      <c r="C151" s="7"/>
      <c r="D151" s="8">
        <f t="shared" si="2"/>
        <v>0</v>
      </c>
    </row>
    <row r="152" spans="1:4" ht="18" hidden="1" x14ac:dyDescent="0.35">
      <c r="A152" s="36" t="s">
        <v>193</v>
      </c>
      <c r="B152" s="7"/>
      <c r="C152" s="7"/>
      <c r="D152" s="8">
        <f t="shared" si="2"/>
        <v>0</v>
      </c>
    </row>
    <row r="153" spans="1:4" ht="18" x14ac:dyDescent="0.3">
      <c r="A153" s="10" t="s">
        <v>194</v>
      </c>
      <c r="B153" s="7">
        <f>780+10+15</f>
        <v>805</v>
      </c>
      <c r="C153" s="7">
        <v>9000</v>
      </c>
      <c r="D153" s="8">
        <f t="shared" si="2"/>
        <v>7245000</v>
      </c>
    </row>
    <row r="154" spans="1:4" ht="18" hidden="1" x14ac:dyDescent="0.35">
      <c r="A154" s="10" t="s">
        <v>195</v>
      </c>
      <c r="B154" s="7"/>
      <c r="C154" s="7"/>
      <c r="D154" s="8">
        <f t="shared" si="2"/>
        <v>0</v>
      </c>
    </row>
    <row r="155" spans="1:4" ht="18" hidden="1" x14ac:dyDescent="0.35">
      <c r="A155" s="10" t="s">
        <v>196</v>
      </c>
      <c r="B155" s="7"/>
      <c r="C155" s="7"/>
      <c r="D155" s="8">
        <f t="shared" si="2"/>
        <v>0</v>
      </c>
    </row>
    <row r="156" spans="1:4" ht="18" hidden="1" x14ac:dyDescent="0.35">
      <c r="A156" s="9" t="s">
        <v>197</v>
      </c>
      <c r="B156" s="7"/>
      <c r="C156" s="7"/>
      <c r="D156" s="8">
        <f t="shared" si="2"/>
        <v>0</v>
      </c>
    </row>
    <row r="157" spans="1:4" ht="18" hidden="1" x14ac:dyDescent="0.35">
      <c r="A157" s="10" t="s">
        <v>61</v>
      </c>
      <c r="B157" s="7"/>
      <c r="C157" s="7"/>
      <c r="D157" s="8">
        <f t="shared" si="2"/>
        <v>0</v>
      </c>
    </row>
    <row r="158" spans="1:4" ht="18" hidden="1" x14ac:dyDescent="0.35">
      <c r="A158" s="18" t="s">
        <v>62</v>
      </c>
      <c r="B158" s="19"/>
      <c r="C158" s="19"/>
      <c r="D158" s="8">
        <f t="shared" si="2"/>
        <v>0</v>
      </c>
    </row>
    <row r="159" spans="1:4" ht="18" hidden="1" x14ac:dyDescent="0.35">
      <c r="A159" s="10" t="s">
        <v>86</v>
      </c>
      <c r="B159" s="7"/>
      <c r="C159" s="7"/>
      <c r="D159" s="8">
        <f t="shared" si="2"/>
        <v>0</v>
      </c>
    </row>
    <row r="160" spans="1:4" ht="18" hidden="1" x14ac:dyDescent="0.35">
      <c r="A160" s="10" t="s">
        <v>35</v>
      </c>
      <c r="B160" s="7"/>
      <c r="C160" s="7"/>
      <c r="D160" s="8">
        <f t="shared" si="2"/>
        <v>0</v>
      </c>
    </row>
    <row r="161" spans="1:4" ht="18" hidden="1" x14ac:dyDescent="0.35">
      <c r="A161" s="6" t="s">
        <v>234</v>
      </c>
      <c r="B161" s="7"/>
      <c r="C161" s="7"/>
      <c r="D161" s="8">
        <f t="shared" si="2"/>
        <v>0</v>
      </c>
    </row>
    <row r="162" spans="1:4" ht="18" hidden="1" x14ac:dyDescent="0.35">
      <c r="A162" s="10" t="s">
        <v>235</v>
      </c>
      <c r="B162" s="7"/>
      <c r="C162" s="7"/>
      <c r="D162" s="8">
        <f t="shared" si="2"/>
        <v>0</v>
      </c>
    </row>
    <row r="163" spans="1:4" ht="18" hidden="1" x14ac:dyDescent="0.35">
      <c r="A163" s="10" t="s">
        <v>236</v>
      </c>
      <c r="B163" s="7"/>
      <c r="C163" s="7"/>
      <c r="D163" s="8">
        <f t="shared" si="2"/>
        <v>0</v>
      </c>
    </row>
    <row r="164" spans="1:4" ht="18" x14ac:dyDescent="0.3">
      <c r="A164" s="6" t="s">
        <v>175</v>
      </c>
      <c r="B164" s="7">
        <v>23</v>
      </c>
      <c r="C164" s="7">
        <v>11000</v>
      </c>
      <c r="D164" s="8">
        <f t="shared" si="2"/>
        <v>253000</v>
      </c>
    </row>
    <row r="165" spans="1:4" ht="18" x14ac:dyDescent="0.3">
      <c r="A165" s="6" t="s">
        <v>176</v>
      </c>
      <c r="B165" s="7">
        <f>200+340</f>
        <v>540</v>
      </c>
      <c r="C165" s="7">
        <v>32000</v>
      </c>
      <c r="D165" s="8">
        <f t="shared" si="2"/>
        <v>17280000</v>
      </c>
    </row>
    <row r="166" spans="1:4" ht="18" hidden="1" x14ac:dyDescent="0.35">
      <c r="A166" s="10" t="s">
        <v>177</v>
      </c>
      <c r="B166" s="7"/>
      <c r="C166" s="7"/>
      <c r="D166" s="8">
        <f t="shared" si="2"/>
        <v>0</v>
      </c>
    </row>
    <row r="167" spans="1:4" ht="18" x14ac:dyDescent="0.3">
      <c r="A167" s="6" t="s">
        <v>178</v>
      </c>
      <c r="B167" s="7">
        <v>400</v>
      </c>
      <c r="C167" s="7">
        <v>32000</v>
      </c>
      <c r="D167" s="8">
        <f t="shared" si="2"/>
        <v>12800000</v>
      </c>
    </row>
    <row r="168" spans="1:4" ht="18" x14ac:dyDescent="0.3">
      <c r="A168" s="6" t="s">
        <v>179</v>
      </c>
      <c r="B168" s="7">
        <v>5</v>
      </c>
      <c r="C168" s="7">
        <v>25000</v>
      </c>
      <c r="D168" s="8">
        <f t="shared" si="2"/>
        <v>125000</v>
      </c>
    </row>
    <row r="169" spans="1:4" ht="18" hidden="1" x14ac:dyDescent="0.35">
      <c r="A169" s="6" t="s">
        <v>180</v>
      </c>
      <c r="B169" s="7"/>
      <c r="C169" s="7"/>
      <c r="D169" s="8">
        <f t="shared" si="2"/>
        <v>0</v>
      </c>
    </row>
    <row r="170" spans="1:4" ht="18" hidden="1" x14ac:dyDescent="0.35">
      <c r="A170" s="10" t="s">
        <v>181</v>
      </c>
      <c r="B170" s="7"/>
      <c r="C170" s="7"/>
      <c r="D170" s="8">
        <f t="shared" si="2"/>
        <v>0</v>
      </c>
    </row>
    <row r="171" spans="1:4" ht="18" x14ac:dyDescent="0.3">
      <c r="A171" s="6" t="s">
        <v>36</v>
      </c>
      <c r="B171" s="7">
        <v>2</v>
      </c>
      <c r="C171" s="7">
        <v>20000</v>
      </c>
      <c r="D171" s="8">
        <f t="shared" si="2"/>
        <v>40000</v>
      </c>
    </row>
    <row r="172" spans="1:4" ht="18" hidden="1" x14ac:dyDescent="0.35">
      <c r="A172" s="10" t="s">
        <v>54</v>
      </c>
      <c r="B172" s="7"/>
      <c r="C172" s="7"/>
      <c r="D172" s="8">
        <f t="shared" si="2"/>
        <v>0</v>
      </c>
    </row>
    <row r="173" spans="1:4" ht="18" hidden="1" x14ac:dyDescent="0.35">
      <c r="A173" s="17" t="s">
        <v>55</v>
      </c>
      <c r="B173" s="7"/>
      <c r="C173" s="7"/>
      <c r="D173" s="8">
        <f t="shared" si="2"/>
        <v>0</v>
      </c>
    </row>
    <row r="174" spans="1:4" ht="18" hidden="1" x14ac:dyDescent="0.35">
      <c r="A174" s="10" t="s">
        <v>56</v>
      </c>
      <c r="B174" s="7"/>
      <c r="C174" s="7"/>
      <c r="D174" s="8">
        <f t="shared" si="2"/>
        <v>0</v>
      </c>
    </row>
    <row r="175" spans="1:4" ht="18" hidden="1" x14ac:dyDescent="0.35">
      <c r="A175" s="10" t="s">
        <v>66</v>
      </c>
      <c r="B175" s="7"/>
      <c r="C175" s="7"/>
      <c r="D175" s="8">
        <f t="shared" si="2"/>
        <v>0</v>
      </c>
    </row>
    <row r="176" spans="1:4" ht="18" x14ac:dyDescent="0.3">
      <c r="A176" s="6" t="s">
        <v>67</v>
      </c>
      <c r="B176" s="7">
        <f>45+35+200</f>
        <v>280</v>
      </c>
      <c r="C176" s="7">
        <v>27000</v>
      </c>
      <c r="D176" s="8">
        <f t="shared" si="2"/>
        <v>7560000</v>
      </c>
    </row>
    <row r="177" spans="1:4" ht="18" hidden="1" x14ac:dyDescent="0.35">
      <c r="A177" s="10" t="s">
        <v>68</v>
      </c>
      <c r="B177" s="7"/>
      <c r="C177" s="7"/>
      <c r="D177" s="8">
        <f t="shared" si="2"/>
        <v>0</v>
      </c>
    </row>
    <row r="178" spans="1:4" ht="18" hidden="1" x14ac:dyDescent="0.35">
      <c r="A178" s="10" t="s">
        <v>69</v>
      </c>
      <c r="B178" s="7"/>
      <c r="C178" s="7"/>
      <c r="D178" s="8">
        <f t="shared" si="2"/>
        <v>0</v>
      </c>
    </row>
    <row r="179" spans="1:4" ht="18" x14ac:dyDescent="0.3">
      <c r="A179" s="10" t="s">
        <v>142</v>
      </c>
      <c r="B179" s="7">
        <f>100+40+100+130+328</f>
        <v>698</v>
      </c>
      <c r="C179" s="7">
        <v>28000</v>
      </c>
      <c r="D179" s="8">
        <f t="shared" si="2"/>
        <v>19544000</v>
      </c>
    </row>
    <row r="180" spans="1:4" ht="18" hidden="1" x14ac:dyDescent="0.35">
      <c r="A180" s="24" t="s">
        <v>143</v>
      </c>
      <c r="B180" s="7"/>
      <c r="C180" s="7"/>
      <c r="D180" s="8">
        <f t="shared" si="2"/>
        <v>0</v>
      </c>
    </row>
    <row r="181" spans="1:4" ht="18" hidden="1" x14ac:dyDescent="0.35">
      <c r="A181" s="24" t="s">
        <v>144</v>
      </c>
      <c r="B181" s="7"/>
      <c r="C181" s="7"/>
      <c r="D181" s="8">
        <f t="shared" si="2"/>
        <v>0</v>
      </c>
    </row>
    <row r="182" spans="1:4" ht="18" hidden="1" x14ac:dyDescent="0.35">
      <c r="A182" s="10" t="s">
        <v>212</v>
      </c>
      <c r="B182" s="7"/>
      <c r="C182" s="7"/>
      <c r="D182" s="8">
        <f t="shared" si="2"/>
        <v>0</v>
      </c>
    </row>
    <row r="183" spans="1:4" ht="18" hidden="1" x14ac:dyDescent="0.35">
      <c r="A183" s="11" t="s">
        <v>213</v>
      </c>
      <c r="B183" s="7"/>
      <c r="C183" s="7"/>
      <c r="D183" s="8">
        <f t="shared" si="2"/>
        <v>0</v>
      </c>
    </row>
    <row r="184" spans="1:4" ht="18" hidden="1" x14ac:dyDescent="0.35">
      <c r="A184" s="10" t="s">
        <v>214</v>
      </c>
      <c r="B184" s="7"/>
      <c r="C184" s="7"/>
      <c r="D184" s="8">
        <f t="shared" si="2"/>
        <v>0</v>
      </c>
    </row>
    <row r="185" spans="1:4" ht="18" hidden="1" x14ac:dyDescent="0.35">
      <c r="A185" s="11" t="s">
        <v>215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182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183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184</v>
      </c>
      <c r="B188" s="7"/>
      <c r="C188" s="7"/>
      <c r="D188" s="8">
        <f t="shared" si="2"/>
        <v>0</v>
      </c>
    </row>
    <row r="189" spans="1:4" ht="18" hidden="1" x14ac:dyDescent="0.35">
      <c r="A189" s="10" t="s">
        <v>185</v>
      </c>
      <c r="B189" s="7"/>
      <c r="C189" s="7"/>
      <c r="D189" s="8">
        <f t="shared" si="2"/>
        <v>0</v>
      </c>
    </row>
    <row r="190" spans="1:4" ht="18" hidden="1" x14ac:dyDescent="0.35">
      <c r="A190" s="10" t="s">
        <v>38</v>
      </c>
      <c r="B190" s="7"/>
      <c r="C190" s="7"/>
      <c r="D190" s="8">
        <f t="shared" si="2"/>
        <v>0</v>
      </c>
    </row>
    <row r="191" spans="1:4" ht="18" hidden="1" x14ac:dyDescent="0.35">
      <c r="A191" s="15" t="s">
        <v>39</v>
      </c>
      <c r="B191" s="7"/>
      <c r="C191" s="7"/>
      <c r="D191" s="8">
        <f t="shared" si="2"/>
        <v>0</v>
      </c>
    </row>
    <row r="192" spans="1:4" ht="18" x14ac:dyDescent="0.3">
      <c r="A192" s="10" t="s">
        <v>40</v>
      </c>
      <c r="B192" s="7">
        <f>200+45+15</f>
        <v>260</v>
      </c>
      <c r="C192" s="7">
        <v>12500</v>
      </c>
      <c r="D192" s="8">
        <f t="shared" si="2"/>
        <v>3250000</v>
      </c>
    </row>
    <row r="193" spans="1:4" ht="18" hidden="1" x14ac:dyDescent="0.35">
      <c r="A193" s="10" t="s">
        <v>41</v>
      </c>
      <c r="B193" s="7"/>
      <c r="C193" s="7"/>
      <c r="D193" s="8">
        <f t="shared" si="2"/>
        <v>0</v>
      </c>
    </row>
    <row r="194" spans="1:4" ht="18" x14ac:dyDescent="0.3">
      <c r="A194" s="10" t="s">
        <v>42</v>
      </c>
      <c r="B194" s="7">
        <v>104</v>
      </c>
      <c r="C194" s="7">
        <v>17000</v>
      </c>
      <c r="D194" s="8">
        <f t="shared" si="2"/>
        <v>1768000</v>
      </c>
    </row>
    <row r="195" spans="1:4" ht="18" hidden="1" x14ac:dyDescent="0.35">
      <c r="A195" s="10" t="s">
        <v>43</v>
      </c>
      <c r="B195" s="7"/>
      <c r="C195" s="7"/>
      <c r="D195" s="8">
        <f t="shared" si="2"/>
        <v>0</v>
      </c>
    </row>
    <row r="196" spans="1:4" ht="18" hidden="1" x14ac:dyDescent="0.35">
      <c r="A196" s="10" t="s">
        <v>44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4" t="s">
        <v>132</v>
      </c>
      <c r="B197" s="7"/>
      <c r="C197" s="7"/>
      <c r="D197" s="8">
        <f t="shared" si="3"/>
        <v>0</v>
      </c>
    </row>
    <row r="198" spans="1:4" ht="18" hidden="1" x14ac:dyDescent="0.35">
      <c r="A198" s="14" t="s">
        <v>133</v>
      </c>
      <c r="B198" s="7"/>
      <c r="C198" s="7"/>
      <c r="D198" s="8">
        <f t="shared" si="3"/>
        <v>0</v>
      </c>
    </row>
    <row r="199" spans="1:4" ht="18" hidden="1" x14ac:dyDescent="0.35">
      <c r="A199" s="14" t="s">
        <v>134</v>
      </c>
      <c r="B199" s="7"/>
      <c r="C199" s="7"/>
      <c r="D199" s="8">
        <f t="shared" si="3"/>
        <v>0</v>
      </c>
    </row>
    <row r="200" spans="1:4" ht="18" hidden="1" x14ac:dyDescent="0.35">
      <c r="A200" s="10" t="s">
        <v>135</v>
      </c>
      <c r="B200" s="7"/>
      <c r="C200" s="7"/>
      <c r="D200" s="8">
        <f t="shared" si="3"/>
        <v>0</v>
      </c>
    </row>
    <row r="201" spans="1:4" ht="18" hidden="1" x14ac:dyDescent="0.35">
      <c r="A201" s="14" t="s">
        <v>136</v>
      </c>
      <c r="B201" s="7"/>
      <c r="C201" s="7"/>
      <c r="D201" s="8">
        <f t="shared" si="3"/>
        <v>0</v>
      </c>
    </row>
    <row r="202" spans="1:4" ht="18" hidden="1" x14ac:dyDescent="0.35">
      <c r="A202" s="6" t="s">
        <v>198</v>
      </c>
      <c r="B202" s="7"/>
      <c r="C202" s="7"/>
      <c r="D202" s="8">
        <f t="shared" si="3"/>
        <v>0</v>
      </c>
    </row>
    <row r="203" spans="1:4" ht="18" hidden="1" x14ac:dyDescent="0.35">
      <c r="A203" s="11" t="s">
        <v>285</v>
      </c>
      <c r="B203" s="7"/>
      <c r="C203" s="7"/>
      <c r="D203" s="8">
        <f t="shared" si="3"/>
        <v>0</v>
      </c>
    </row>
    <row r="204" spans="1:4" ht="18" hidden="1" x14ac:dyDescent="0.35">
      <c r="A204" s="11" t="s">
        <v>286</v>
      </c>
      <c r="B204" s="7"/>
      <c r="C204" s="7"/>
      <c r="D204" s="8">
        <f t="shared" si="3"/>
        <v>0</v>
      </c>
    </row>
    <row r="205" spans="1:4" ht="18" hidden="1" x14ac:dyDescent="0.35">
      <c r="A205" s="24" t="s">
        <v>87</v>
      </c>
      <c r="B205" s="7"/>
      <c r="C205" s="7"/>
      <c r="D205" s="8">
        <f t="shared" si="3"/>
        <v>0</v>
      </c>
    </row>
    <row r="206" spans="1:4" ht="18" hidden="1" x14ac:dyDescent="0.35">
      <c r="A206" s="10" t="s">
        <v>57</v>
      </c>
      <c r="B206" s="7"/>
      <c r="C206" s="7"/>
      <c r="D206" s="8">
        <f t="shared" si="3"/>
        <v>0</v>
      </c>
    </row>
    <row r="207" spans="1:4" ht="18" hidden="1" x14ac:dyDescent="0.35">
      <c r="A207" s="10" t="s">
        <v>58</v>
      </c>
      <c r="B207" s="7"/>
      <c r="C207" s="7"/>
      <c r="D207" s="8">
        <f t="shared" si="3"/>
        <v>0</v>
      </c>
    </row>
    <row r="208" spans="1:4" ht="18" hidden="1" x14ac:dyDescent="0.35">
      <c r="A208" s="10" t="s">
        <v>88</v>
      </c>
      <c r="B208" s="7"/>
      <c r="C208" s="7"/>
      <c r="D208" s="8">
        <f t="shared" si="3"/>
        <v>0</v>
      </c>
    </row>
    <row r="209" spans="1:4" ht="18" hidden="1" x14ac:dyDescent="0.35">
      <c r="A209" s="10" t="s">
        <v>89</v>
      </c>
      <c r="B209" s="7"/>
      <c r="C209" s="7"/>
      <c r="D209" s="8">
        <f t="shared" si="3"/>
        <v>0</v>
      </c>
    </row>
    <row r="210" spans="1:4" ht="18" hidden="1" x14ac:dyDescent="0.35">
      <c r="A210" s="10" t="s">
        <v>137</v>
      </c>
      <c r="B210" s="12"/>
      <c r="C210" s="12"/>
      <c r="D210" s="8">
        <f t="shared" si="3"/>
        <v>0</v>
      </c>
    </row>
    <row r="211" spans="1:4" ht="18" hidden="1" x14ac:dyDescent="0.35">
      <c r="A211" s="10" t="s">
        <v>216</v>
      </c>
      <c r="B211" s="7"/>
      <c r="C211" s="7"/>
      <c r="D211" s="8">
        <f t="shared" si="3"/>
        <v>0</v>
      </c>
    </row>
    <row r="212" spans="1:4" ht="18" x14ac:dyDescent="0.3">
      <c r="A212" s="11" t="s">
        <v>20</v>
      </c>
      <c r="B212" s="7">
        <v>7</v>
      </c>
      <c r="C212" s="7">
        <v>20000</v>
      </c>
      <c r="D212" s="8">
        <f t="shared" si="3"/>
        <v>140000</v>
      </c>
    </row>
    <row r="213" spans="1:4" ht="18" hidden="1" x14ac:dyDescent="0.35">
      <c r="A213" s="10" t="s">
        <v>21</v>
      </c>
      <c r="B213" s="7"/>
      <c r="C213" s="7"/>
      <c r="D213" s="8">
        <f t="shared" si="3"/>
        <v>0</v>
      </c>
    </row>
    <row r="214" spans="1:4" ht="18" hidden="1" x14ac:dyDescent="0.35">
      <c r="A214" s="10" t="s">
        <v>22</v>
      </c>
      <c r="B214" s="7"/>
      <c r="C214" s="7"/>
      <c r="D214" s="8">
        <f t="shared" si="3"/>
        <v>0</v>
      </c>
    </row>
    <row r="215" spans="1:4" ht="18" hidden="1" x14ac:dyDescent="0.35">
      <c r="A215" s="10" t="s">
        <v>23</v>
      </c>
      <c r="B215" s="7"/>
      <c r="C215" s="7"/>
      <c r="D215" s="8">
        <f t="shared" si="3"/>
        <v>0</v>
      </c>
    </row>
    <row r="216" spans="1:4" ht="18" hidden="1" x14ac:dyDescent="0.35">
      <c r="A216" s="10" t="s">
        <v>24</v>
      </c>
      <c r="B216" s="7"/>
      <c r="C216" s="7"/>
      <c r="D216" s="8">
        <f t="shared" si="3"/>
        <v>0</v>
      </c>
    </row>
    <row r="217" spans="1:4" ht="18" hidden="1" x14ac:dyDescent="0.35">
      <c r="A217" s="10" t="s">
        <v>25</v>
      </c>
      <c r="B217" s="7"/>
      <c r="C217" s="7"/>
      <c r="D217" s="8">
        <f t="shared" si="3"/>
        <v>0</v>
      </c>
    </row>
    <row r="218" spans="1:4" ht="18" hidden="1" x14ac:dyDescent="0.35">
      <c r="A218" s="14" t="s">
        <v>227</v>
      </c>
      <c r="B218" s="7"/>
      <c r="C218" s="7"/>
      <c r="D218" s="8">
        <f t="shared" si="3"/>
        <v>0</v>
      </c>
    </row>
    <row r="219" spans="1:4" ht="18" hidden="1" x14ac:dyDescent="0.35">
      <c r="A219" s="13" t="s">
        <v>228</v>
      </c>
      <c r="B219" s="7"/>
      <c r="C219" s="7"/>
      <c r="D219" s="8">
        <f t="shared" si="3"/>
        <v>0</v>
      </c>
    </row>
    <row r="220" spans="1:4" ht="18" hidden="1" x14ac:dyDescent="0.35">
      <c r="A220" s="13" t="s">
        <v>229</v>
      </c>
      <c r="B220" s="7"/>
      <c r="C220" s="7"/>
      <c r="D220" s="8">
        <f t="shared" si="3"/>
        <v>0</v>
      </c>
    </row>
    <row r="221" spans="1:4" ht="18" x14ac:dyDescent="0.3">
      <c r="A221" s="10" t="s">
        <v>26</v>
      </c>
      <c r="B221" s="7">
        <v>30</v>
      </c>
      <c r="C221" s="7">
        <v>19000</v>
      </c>
      <c r="D221" s="8">
        <f t="shared" si="3"/>
        <v>570000</v>
      </c>
    </row>
    <row r="222" spans="1:4" ht="18" hidden="1" x14ac:dyDescent="0.35">
      <c r="A222" s="10" t="s">
        <v>27</v>
      </c>
      <c r="B222" s="7"/>
      <c r="C222" s="7"/>
      <c r="D222" s="8">
        <f t="shared" si="3"/>
        <v>0</v>
      </c>
    </row>
    <row r="223" spans="1:4" ht="18" hidden="1" x14ac:dyDescent="0.35">
      <c r="A223" s="10" t="s">
        <v>28</v>
      </c>
      <c r="B223" s="7"/>
      <c r="C223" s="7"/>
      <c r="D223" s="8">
        <f t="shared" si="3"/>
        <v>0</v>
      </c>
    </row>
    <row r="224" spans="1:4" ht="18" hidden="1" x14ac:dyDescent="0.35">
      <c r="A224" s="10" t="s">
        <v>29</v>
      </c>
      <c r="B224" s="7"/>
      <c r="C224" s="7"/>
      <c r="D224" s="8">
        <f t="shared" si="3"/>
        <v>0</v>
      </c>
    </row>
    <row r="225" spans="1:4" ht="18" x14ac:dyDescent="0.3">
      <c r="A225" s="10" t="s">
        <v>30</v>
      </c>
      <c r="B225" s="7">
        <v>6</v>
      </c>
      <c r="C225" s="7">
        <v>32000</v>
      </c>
      <c r="D225" s="8">
        <f t="shared" si="3"/>
        <v>192000</v>
      </c>
    </row>
    <row r="226" spans="1:4" ht="18" hidden="1" x14ac:dyDescent="0.35">
      <c r="A226" s="10" t="s">
        <v>31</v>
      </c>
      <c r="B226" s="7"/>
      <c r="C226" s="7"/>
      <c r="D226" s="8">
        <f t="shared" si="3"/>
        <v>0</v>
      </c>
    </row>
    <row r="227" spans="1:4" ht="18" hidden="1" x14ac:dyDescent="0.35">
      <c r="A227" s="10" t="s">
        <v>32</v>
      </c>
      <c r="B227" s="7"/>
      <c r="C227" s="7"/>
      <c r="D227" s="8">
        <f t="shared" si="3"/>
        <v>0</v>
      </c>
    </row>
    <row r="228" spans="1:4" ht="18" x14ac:dyDescent="0.3">
      <c r="A228" s="10" t="s">
        <v>90</v>
      </c>
      <c r="B228" s="12">
        <v>0.5</v>
      </c>
      <c r="C228" s="7">
        <v>60000</v>
      </c>
      <c r="D228" s="8">
        <f t="shared" si="3"/>
        <v>30000</v>
      </c>
    </row>
    <row r="229" spans="1:4" ht="18" hidden="1" x14ac:dyDescent="0.35">
      <c r="A229" s="22" t="s">
        <v>91</v>
      </c>
      <c r="B229" s="7"/>
      <c r="C229" s="7"/>
      <c r="D229" s="8">
        <f t="shared" si="3"/>
        <v>0</v>
      </c>
    </row>
    <row r="230" spans="1:4" ht="18" hidden="1" x14ac:dyDescent="0.35">
      <c r="A230" s="10" t="s">
        <v>217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x14ac:dyDescent="0.3">
      <c r="A232" s="10" t="s">
        <v>231</v>
      </c>
      <c r="B232" s="7">
        <v>2</v>
      </c>
      <c r="C232" s="7">
        <v>17000</v>
      </c>
      <c r="D232" s="8">
        <f t="shared" si="3"/>
        <v>34000</v>
      </c>
    </row>
    <row r="233" spans="1:4" ht="18" hidden="1" x14ac:dyDescent="0.35">
      <c r="A233" s="10" t="s">
        <v>218</v>
      </c>
      <c r="B233" s="7"/>
      <c r="C233" s="7"/>
      <c r="D233" s="8">
        <f t="shared" si="3"/>
        <v>0</v>
      </c>
    </row>
    <row r="234" spans="1:4" ht="18" hidden="1" x14ac:dyDescent="0.35">
      <c r="A234" s="10" t="s">
        <v>118</v>
      </c>
      <c r="B234" s="7"/>
      <c r="C234" s="7"/>
      <c r="D234" s="8">
        <f t="shared" si="3"/>
        <v>0</v>
      </c>
    </row>
    <row r="235" spans="1:4" ht="18" hidden="1" x14ac:dyDescent="0.35">
      <c r="A235" s="10" t="s">
        <v>232</v>
      </c>
      <c r="B235" s="7"/>
      <c r="C235" s="7"/>
      <c r="D235" s="8">
        <f t="shared" si="3"/>
        <v>0</v>
      </c>
    </row>
    <row r="236" spans="1:4" ht="18" hidden="1" x14ac:dyDescent="0.35">
      <c r="A236" s="10" t="s">
        <v>70</v>
      </c>
      <c r="B236" s="7"/>
      <c r="C236" s="7"/>
      <c r="D236" s="8">
        <f t="shared" si="3"/>
        <v>0</v>
      </c>
    </row>
    <row r="237" spans="1:4" ht="18" hidden="1" x14ac:dyDescent="0.35">
      <c r="A237" s="10" t="s">
        <v>71</v>
      </c>
      <c r="B237" s="7"/>
      <c r="C237" s="7"/>
      <c r="D237" s="8">
        <f t="shared" si="3"/>
        <v>0</v>
      </c>
    </row>
    <row r="238" spans="1:4" ht="18" x14ac:dyDescent="0.3">
      <c r="A238" s="10" t="s">
        <v>146</v>
      </c>
      <c r="B238" s="7">
        <v>20</v>
      </c>
      <c r="C238" s="7">
        <v>6250</v>
      </c>
      <c r="D238" s="8">
        <f t="shared" si="3"/>
        <v>125000</v>
      </c>
    </row>
    <row r="239" spans="1:4" ht="18" hidden="1" x14ac:dyDescent="0.35">
      <c r="A239" s="11" t="s">
        <v>287</v>
      </c>
      <c r="B239" s="7"/>
      <c r="C239" s="7"/>
      <c r="D239" s="8">
        <f t="shared" si="3"/>
        <v>0</v>
      </c>
    </row>
    <row r="240" spans="1:4" ht="18" hidden="1" x14ac:dyDescent="0.35">
      <c r="A240" s="6" t="s">
        <v>138</v>
      </c>
      <c r="B240" s="12"/>
      <c r="C240" s="12"/>
      <c r="D240" s="8">
        <f t="shared" si="3"/>
        <v>0</v>
      </c>
    </row>
    <row r="241" spans="1:4" ht="18" hidden="1" x14ac:dyDescent="0.35">
      <c r="A241" s="14" t="s">
        <v>233</v>
      </c>
      <c r="B241" s="7"/>
      <c r="C241" s="7"/>
      <c r="D241" s="8">
        <f t="shared" si="3"/>
        <v>0</v>
      </c>
    </row>
    <row r="242" spans="1:4" ht="18" hidden="1" x14ac:dyDescent="0.35">
      <c r="A242" s="14" t="s">
        <v>100</v>
      </c>
      <c r="B242" s="7"/>
      <c r="C242" s="7"/>
      <c r="D242" s="8">
        <f t="shared" si="3"/>
        <v>0</v>
      </c>
    </row>
    <row r="243" spans="1:4" ht="18" hidden="1" x14ac:dyDescent="0.35">
      <c r="A243" s="14" t="s">
        <v>101</v>
      </c>
      <c r="B243" s="7"/>
      <c r="C243" s="7"/>
      <c r="D243" s="8">
        <f t="shared" si="3"/>
        <v>0</v>
      </c>
    </row>
    <row r="244" spans="1:4" ht="18" hidden="1" x14ac:dyDescent="0.35">
      <c r="A244" s="10" t="s">
        <v>259</v>
      </c>
      <c r="B244" s="7"/>
      <c r="C244" s="7"/>
      <c r="D244" s="8">
        <f t="shared" si="3"/>
        <v>0</v>
      </c>
    </row>
    <row r="245" spans="1:4" ht="18" hidden="1" x14ac:dyDescent="0.35">
      <c r="A245" s="14" t="s">
        <v>260</v>
      </c>
      <c r="B245" s="7"/>
      <c r="C245" s="7"/>
      <c r="D245" s="8">
        <f t="shared" si="3"/>
        <v>0</v>
      </c>
    </row>
    <row r="246" spans="1:4" ht="18" hidden="1" x14ac:dyDescent="0.35">
      <c r="A246" s="10" t="s">
        <v>261</v>
      </c>
      <c r="B246" s="7"/>
      <c r="C246" s="7"/>
      <c r="D246" s="8">
        <f t="shared" si="3"/>
        <v>0</v>
      </c>
    </row>
    <row r="247" spans="1:4" ht="18" x14ac:dyDescent="0.3">
      <c r="A247" s="10" t="s">
        <v>275</v>
      </c>
      <c r="B247" s="7">
        <f>10+60+10</f>
        <v>80</v>
      </c>
      <c r="C247" s="7">
        <v>4500</v>
      </c>
      <c r="D247" s="8">
        <f t="shared" si="3"/>
        <v>360000</v>
      </c>
    </row>
    <row r="248" spans="1:4" ht="18" hidden="1" x14ac:dyDescent="0.35">
      <c r="A248" s="14" t="s">
        <v>92</v>
      </c>
      <c r="B248" s="7"/>
      <c r="C248" s="7"/>
      <c r="D248" s="8">
        <f t="shared" si="3"/>
        <v>0</v>
      </c>
    </row>
    <row r="249" spans="1:4" ht="18" hidden="1" x14ac:dyDescent="0.35">
      <c r="A249" s="10" t="s">
        <v>139</v>
      </c>
      <c r="B249" s="7"/>
      <c r="C249" s="7"/>
      <c r="D249" s="8">
        <f t="shared" si="3"/>
        <v>0</v>
      </c>
    </row>
    <row r="250" spans="1:4" ht="18" hidden="1" x14ac:dyDescent="0.35">
      <c r="A250" s="22" t="s">
        <v>140</v>
      </c>
      <c r="B250" s="7"/>
      <c r="C250" s="7"/>
      <c r="D250" s="8">
        <f t="shared" si="3"/>
        <v>0</v>
      </c>
    </row>
    <row r="251" spans="1:4" ht="18" hidden="1" x14ac:dyDescent="0.35">
      <c r="A251" s="6" t="s">
        <v>93</v>
      </c>
      <c r="B251" s="7"/>
      <c r="C251" s="7"/>
      <c r="D251" s="8">
        <f t="shared" si="3"/>
        <v>0</v>
      </c>
    </row>
    <row r="252" spans="1:4" ht="18" hidden="1" x14ac:dyDescent="0.35">
      <c r="A252" s="14" t="s">
        <v>94</v>
      </c>
      <c r="B252" s="7"/>
      <c r="C252" s="7"/>
      <c r="D252" s="8">
        <f t="shared" si="3"/>
        <v>0</v>
      </c>
    </row>
    <row r="253" spans="1:4" ht="18" hidden="1" x14ac:dyDescent="0.35">
      <c r="A253" s="22" t="s">
        <v>76</v>
      </c>
      <c r="B253" s="7"/>
      <c r="C253" s="7"/>
      <c r="D253" s="8">
        <f t="shared" si="3"/>
        <v>0</v>
      </c>
    </row>
    <row r="254" spans="1:4" ht="18" hidden="1" x14ac:dyDescent="0.35">
      <c r="A254" s="10" t="s">
        <v>219</v>
      </c>
      <c r="B254" s="7"/>
      <c r="C254" s="7"/>
      <c r="D254" s="8">
        <f t="shared" si="3"/>
        <v>0</v>
      </c>
    </row>
    <row r="255" spans="1:4" ht="18" hidden="1" x14ac:dyDescent="0.35">
      <c r="A255" s="14" t="s">
        <v>220</v>
      </c>
      <c r="B255" s="7"/>
      <c r="C255" s="7"/>
      <c r="D255" s="8">
        <f t="shared" si="3"/>
        <v>0</v>
      </c>
    </row>
    <row r="256" spans="1:4" ht="18" hidden="1" x14ac:dyDescent="0.35">
      <c r="A256" s="6" t="s">
        <v>221</v>
      </c>
      <c r="B256" s="7"/>
      <c r="C256" s="7"/>
      <c r="D256" s="8">
        <f t="shared" si="3"/>
        <v>0</v>
      </c>
    </row>
    <row r="257" spans="1:4" ht="18" hidden="1" x14ac:dyDescent="0.35">
      <c r="A257" s="10" t="s">
        <v>288</v>
      </c>
      <c r="B257" s="7"/>
      <c r="C257" s="7"/>
      <c r="D257" s="8">
        <f t="shared" si="3"/>
        <v>0</v>
      </c>
    </row>
    <row r="258" spans="1:4" ht="18" hidden="1" x14ac:dyDescent="0.35">
      <c r="A258" s="10" t="s">
        <v>119</v>
      </c>
      <c r="B258" s="7"/>
      <c r="C258" s="7"/>
      <c r="D258" s="8">
        <f t="shared" si="3"/>
        <v>0</v>
      </c>
    </row>
    <row r="259" spans="1:4" ht="18" hidden="1" x14ac:dyDescent="0.35">
      <c r="A259" s="6" t="s">
        <v>141</v>
      </c>
      <c r="B259" s="7"/>
      <c r="C259" s="7"/>
      <c r="D259" s="8">
        <f t="shared" si="3"/>
        <v>0</v>
      </c>
    </row>
    <row r="260" spans="1:4" ht="18" hidden="1" x14ac:dyDescent="0.35">
      <c r="A260" s="6" t="s">
        <v>95</v>
      </c>
      <c r="B260" s="7"/>
      <c r="C260" s="7"/>
      <c r="D260" s="8">
        <f t="shared" ref="D260:D290" si="4">B260*C260</f>
        <v>0</v>
      </c>
    </row>
    <row r="261" spans="1:4" ht="18" hidden="1" x14ac:dyDescent="0.35">
      <c r="A261" s="10" t="s">
        <v>169</v>
      </c>
      <c r="B261" s="7"/>
      <c r="C261" s="7"/>
      <c r="D261" s="8">
        <f t="shared" si="4"/>
        <v>0</v>
      </c>
    </row>
    <row r="262" spans="1:4" ht="18" hidden="1" x14ac:dyDescent="0.35">
      <c r="A262" s="22" t="s">
        <v>77</v>
      </c>
      <c r="B262" s="7"/>
      <c r="C262" s="7"/>
      <c r="D262" s="8">
        <f t="shared" si="4"/>
        <v>0</v>
      </c>
    </row>
    <row r="263" spans="1:4" ht="18" hidden="1" x14ac:dyDescent="0.35">
      <c r="A263" s="22" t="s">
        <v>78</v>
      </c>
      <c r="B263" s="7"/>
      <c r="C263" s="7"/>
      <c r="D263" s="8">
        <f t="shared" si="4"/>
        <v>0</v>
      </c>
    </row>
    <row r="264" spans="1:4" ht="18" hidden="1" x14ac:dyDescent="0.35">
      <c r="A264" s="13" t="s">
        <v>237</v>
      </c>
      <c r="B264" s="7"/>
      <c r="C264" s="7"/>
      <c r="D264" s="8">
        <f t="shared" si="4"/>
        <v>0</v>
      </c>
    </row>
    <row r="265" spans="1:4" ht="18" hidden="1" x14ac:dyDescent="0.35">
      <c r="A265" s="22" t="s">
        <v>79</v>
      </c>
      <c r="B265" s="7"/>
      <c r="C265" s="7"/>
      <c r="D265" s="8">
        <f t="shared" si="4"/>
        <v>0</v>
      </c>
    </row>
    <row r="266" spans="1:4" ht="18" hidden="1" x14ac:dyDescent="0.35">
      <c r="A266" s="10" t="s">
        <v>238</v>
      </c>
      <c r="B266" s="7"/>
      <c r="C266" s="7"/>
      <c r="D266" s="8">
        <f t="shared" si="4"/>
        <v>0</v>
      </c>
    </row>
    <row r="267" spans="1:4" ht="18" hidden="1" x14ac:dyDescent="0.35">
      <c r="A267" s="10" t="s">
        <v>239</v>
      </c>
      <c r="B267" s="7"/>
      <c r="C267" s="7"/>
      <c r="D267" s="8">
        <f t="shared" si="4"/>
        <v>0</v>
      </c>
    </row>
    <row r="268" spans="1:4" ht="18" hidden="1" x14ac:dyDescent="0.35">
      <c r="A268" s="10" t="s">
        <v>240</v>
      </c>
      <c r="B268" s="7"/>
      <c r="C268" s="7"/>
      <c r="D268" s="8">
        <f t="shared" si="4"/>
        <v>0</v>
      </c>
    </row>
    <row r="269" spans="1:4" ht="18" hidden="1" x14ac:dyDescent="0.35">
      <c r="A269" s="10" t="s">
        <v>241</v>
      </c>
      <c r="B269" s="7"/>
      <c r="C269" s="7"/>
      <c r="D269" s="8">
        <f t="shared" si="4"/>
        <v>0</v>
      </c>
    </row>
    <row r="270" spans="1:4" ht="18" hidden="1" x14ac:dyDescent="0.35">
      <c r="A270" s="13" t="s">
        <v>242</v>
      </c>
      <c r="B270" s="7"/>
      <c r="C270" s="7"/>
      <c r="D270" s="8">
        <f t="shared" si="4"/>
        <v>0</v>
      </c>
    </row>
    <row r="271" spans="1:4" ht="18" hidden="1" x14ac:dyDescent="0.35">
      <c r="A271" s="10" t="s">
        <v>243</v>
      </c>
      <c r="B271" s="7"/>
      <c r="C271" s="7"/>
      <c r="D271" s="8">
        <f t="shared" si="4"/>
        <v>0</v>
      </c>
    </row>
    <row r="272" spans="1:4" ht="18" hidden="1" x14ac:dyDescent="0.35">
      <c r="A272" s="10" t="s">
        <v>37</v>
      </c>
      <c r="B272" s="7"/>
      <c r="C272" s="7"/>
      <c r="D272" s="8">
        <f t="shared" si="4"/>
        <v>0</v>
      </c>
    </row>
    <row r="273" spans="1:4" ht="18" hidden="1" x14ac:dyDescent="0.35">
      <c r="A273" s="6" t="s">
        <v>170</v>
      </c>
      <c r="B273" s="7"/>
      <c r="C273" s="7"/>
      <c r="D273" s="8">
        <f t="shared" si="4"/>
        <v>0</v>
      </c>
    </row>
    <row r="274" spans="1:4" ht="18" hidden="1" x14ac:dyDescent="0.35">
      <c r="A274" s="10" t="s">
        <v>80</v>
      </c>
      <c r="B274" s="23"/>
      <c r="C274" s="23"/>
      <c r="D274" s="8">
        <f t="shared" si="4"/>
        <v>0</v>
      </c>
    </row>
    <row r="275" spans="1:4" ht="18" hidden="1" x14ac:dyDescent="0.35">
      <c r="A275" s="10" t="s">
        <v>244</v>
      </c>
      <c r="B275" s="7"/>
      <c r="C275" s="7"/>
      <c r="D275" s="8">
        <f t="shared" si="4"/>
        <v>0</v>
      </c>
    </row>
    <row r="276" spans="1:4" ht="18" hidden="1" x14ac:dyDescent="0.35">
      <c r="A276" s="10" t="s">
        <v>171</v>
      </c>
      <c r="B276" s="7"/>
      <c r="C276" s="7"/>
      <c r="D276" s="8">
        <f t="shared" si="4"/>
        <v>0</v>
      </c>
    </row>
    <row r="277" spans="1:4" ht="18" hidden="1" x14ac:dyDescent="0.35">
      <c r="A277" s="13" t="s">
        <v>245</v>
      </c>
      <c r="B277" s="7"/>
      <c r="C277" s="7"/>
      <c r="D277" s="8">
        <f t="shared" si="4"/>
        <v>0</v>
      </c>
    </row>
    <row r="278" spans="1:4" ht="18" hidden="1" x14ac:dyDescent="0.35">
      <c r="A278" s="13" t="s">
        <v>246</v>
      </c>
      <c r="B278" s="7"/>
      <c r="C278" s="7"/>
      <c r="D278" s="8">
        <f t="shared" si="4"/>
        <v>0</v>
      </c>
    </row>
    <row r="279" spans="1:4" ht="18" hidden="1" x14ac:dyDescent="0.35">
      <c r="A279" s="10" t="s">
        <v>247</v>
      </c>
      <c r="B279" s="7"/>
      <c r="C279" s="7"/>
      <c r="D279" s="8">
        <f t="shared" si="4"/>
        <v>0</v>
      </c>
    </row>
    <row r="280" spans="1:4" ht="18" hidden="1" x14ac:dyDescent="0.35">
      <c r="A280" s="10" t="s">
        <v>248</v>
      </c>
      <c r="B280" s="7"/>
      <c r="C280" s="7"/>
      <c r="D280" s="8">
        <f t="shared" si="4"/>
        <v>0</v>
      </c>
    </row>
    <row r="281" spans="1:4" ht="18" hidden="1" x14ac:dyDescent="0.35">
      <c r="A281" s="13" t="s">
        <v>249</v>
      </c>
      <c r="B281" s="7"/>
      <c r="C281" s="7"/>
      <c r="D281" s="8">
        <f t="shared" si="4"/>
        <v>0</v>
      </c>
    </row>
    <row r="282" spans="1:4" ht="18" hidden="1" x14ac:dyDescent="0.35">
      <c r="A282" s="10" t="s">
        <v>250</v>
      </c>
      <c r="B282" s="7"/>
      <c r="C282" s="7"/>
      <c r="D282" s="8">
        <f t="shared" si="4"/>
        <v>0</v>
      </c>
    </row>
    <row r="283" spans="1:4" ht="18" hidden="1" x14ac:dyDescent="0.35">
      <c r="A283" s="10" t="s">
        <v>251</v>
      </c>
      <c r="B283" s="7"/>
      <c r="C283" s="7"/>
      <c r="D283" s="8">
        <f t="shared" si="4"/>
        <v>0</v>
      </c>
    </row>
    <row r="284" spans="1:4" ht="18" hidden="1" x14ac:dyDescent="0.35">
      <c r="A284" s="10" t="s">
        <v>252</v>
      </c>
      <c r="B284" s="7"/>
      <c r="C284" s="7"/>
      <c r="D284" s="8">
        <f t="shared" si="4"/>
        <v>0</v>
      </c>
    </row>
    <row r="285" spans="1:4" ht="18" hidden="1" x14ac:dyDescent="0.35">
      <c r="A285" s="10" t="s">
        <v>253</v>
      </c>
      <c r="B285" s="7"/>
      <c r="C285" s="7"/>
      <c r="D285" s="8">
        <f t="shared" si="4"/>
        <v>0</v>
      </c>
    </row>
    <row r="286" spans="1:4" ht="18" hidden="1" x14ac:dyDescent="0.35">
      <c r="A286" s="10" t="s">
        <v>254</v>
      </c>
      <c r="B286" s="7"/>
      <c r="C286" s="7"/>
      <c r="D286" s="8">
        <f t="shared" si="4"/>
        <v>0</v>
      </c>
    </row>
    <row r="287" spans="1:4" ht="18" hidden="1" x14ac:dyDescent="0.35">
      <c r="A287" s="10" t="s">
        <v>255</v>
      </c>
      <c r="B287" s="7"/>
      <c r="C287" s="7"/>
      <c r="D287" s="8">
        <f t="shared" si="4"/>
        <v>0</v>
      </c>
    </row>
    <row r="288" spans="1:4" ht="18" hidden="1" x14ac:dyDescent="0.35">
      <c r="A288" s="10" t="s">
        <v>256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257</v>
      </c>
      <c r="B289" s="7"/>
      <c r="C289" s="7"/>
      <c r="D289" s="8">
        <f t="shared" si="4"/>
        <v>0</v>
      </c>
    </row>
    <row r="290" spans="1:4" ht="18" hidden="1" x14ac:dyDescent="0.35">
      <c r="A290" s="10" t="s">
        <v>258</v>
      </c>
      <c r="B290" s="7"/>
      <c r="C290" s="7"/>
      <c r="D290" s="8">
        <f t="shared" si="4"/>
        <v>0</v>
      </c>
    </row>
    <row r="291" spans="1:4" ht="17.399999999999999" x14ac:dyDescent="0.3">
      <c r="A291" s="31"/>
      <c r="B291" s="32">
        <f t="shared" ref="B291:D291" si="5">SUM(B3:B290)</f>
        <v>6493.8</v>
      </c>
      <c r="C291" s="32"/>
      <c r="D291" s="32">
        <f t="shared" si="5"/>
        <v>96968000</v>
      </c>
    </row>
  </sheetData>
  <protectedRanges>
    <protectedRange password="CF71" sqref="B1:D290" name="tho"/>
  </protectedRanges>
  <autoFilter ref="A2:D291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1"/>
  <sheetViews>
    <sheetView topLeftCell="A97" workbookViewId="0">
      <selection activeCell="D291" sqref="D291"/>
    </sheetView>
  </sheetViews>
  <sheetFormatPr defaultRowHeight="14.4" x14ac:dyDescent="0.3"/>
  <cols>
    <col min="1" max="1" width="40.5546875" customWidth="1"/>
    <col min="3" max="3" width="11.33203125" customWidth="1"/>
    <col min="4" max="4" width="18.88671875" customWidth="1"/>
  </cols>
  <sheetData>
    <row r="1" spans="1:4" x14ac:dyDescent="0.3">
      <c r="A1" s="1" t="s">
        <v>311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303</v>
      </c>
      <c r="B3" s="7"/>
      <c r="C3" s="7"/>
      <c r="D3" s="8">
        <f>B3*C3</f>
        <v>0</v>
      </c>
    </row>
    <row r="4" spans="1:4" ht="18" hidden="1" x14ac:dyDescent="0.35">
      <c r="A4" s="11" t="s">
        <v>304</v>
      </c>
      <c r="B4" s="7"/>
      <c r="C4" s="7"/>
      <c r="D4" s="8">
        <f t="shared" ref="D4:D67" si="0">B4*C4</f>
        <v>0</v>
      </c>
    </row>
    <row r="5" spans="1:4" ht="18" hidden="1" x14ac:dyDescent="0.35">
      <c r="A5" s="6" t="s">
        <v>305</v>
      </c>
      <c r="B5" s="7"/>
      <c r="C5" s="7"/>
      <c r="D5" s="8">
        <f t="shared" si="0"/>
        <v>0</v>
      </c>
    </row>
    <row r="6" spans="1:4" ht="18" hidden="1" x14ac:dyDescent="0.35">
      <c r="A6" s="6" t="s">
        <v>306</v>
      </c>
      <c r="B6" s="7"/>
      <c r="C6" s="7"/>
      <c r="D6" s="8">
        <f t="shared" si="0"/>
        <v>0</v>
      </c>
    </row>
    <row r="7" spans="1:4" ht="18" hidden="1" x14ac:dyDescent="0.35">
      <c r="A7" s="6" t="s">
        <v>2</v>
      </c>
      <c r="B7" s="7"/>
      <c r="C7" s="7"/>
      <c r="D7" s="8">
        <f t="shared" si="0"/>
        <v>0</v>
      </c>
    </row>
    <row r="8" spans="1:4" ht="18" hidden="1" x14ac:dyDescent="0.35">
      <c r="A8" s="9" t="s">
        <v>3</v>
      </c>
      <c r="B8" s="7"/>
      <c r="C8" s="7"/>
      <c r="D8" s="8">
        <f t="shared" si="0"/>
        <v>0</v>
      </c>
    </row>
    <row r="9" spans="1:4" ht="18" hidden="1" x14ac:dyDescent="0.35">
      <c r="A9" s="10" t="s">
        <v>4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hidden="1" x14ac:dyDescent="0.35">
      <c r="A13" s="10" t="s">
        <v>12</v>
      </c>
      <c r="B13" s="7"/>
      <c r="C13" s="7"/>
      <c r="D13" s="8">
        <f t="shared" si="0"/>
        <v>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5+60+8</f>
        <v>73</v>
      </c>
      <c r="C22" s="7">
        <v>20000</v>
      </c>
      <c r="D22" s="8">
        <f t="shared" si="0"/>
        <v>1460000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v>5</v>
      </c>
      <c r="C27" s="7">
        <v>19000</v>
      </c>
      <c r="D27" s="8">
        <f t="shared" si="0"/>
        <v>95000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f>75+40</f>
        <v>115</v>
      </c>
      <c r="C31" s="7">
        <v>30000</v>
      </c>
      <c r="D31" s="8">
        <f t="shared" si="0"/>
        <v>3450000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v>18</v>
      </c>
      <c r="C34" s="7">
        <v>7000</v>
      </c>
      <c r="D34" s="8">
        <f t="shared" si="0"/>
        <v>126000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x14ac:dyDescent="0.3">
      <c r="A37" s="6" t="s">
        <v>36</v>
      </c>
      <c r="B37" s="7">
        <v>5</v>
      </c>
      <c r="C37" s="7">
        <v>20000</v>
      </c>
      <c r="D37" s="8">
        <f t="shared" si="0"/>
        <v>100000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hidden="1" x14ac:dyDescent="0.35">
      <c r="A39" s="10" t="s">
        <v>38</v>
      </c>
      <c r="B39" s="7"/>
      <c r="C39" s="7"/>
      <c r="D39" s="8">
        <f t="shared" si="0"/>
        <v>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v>280</v>
      </c>
      <c r="C41" s="7">
        <v>12500</v>
      </c>
      <c r="D41" s="8">
        <f t="shared" si="0"/>
        <v>3500000</v>
      </c>
    </row>
    <row r="42" spans="1:4" ht="18" hidden="1" x14ac:dyDescent="0.35">
      <c r="A42" s="10" t="s">
        <v>41</v>
      </c>
      <c r="B42" s="7"/>
      <c r="C42" s="7"/>
      <c r="D42" s="8">
        <f t="shared" si="0"/>
        <v>0</v>
      </c>
    </row>
    <row r="43" spans="1:4" ht="18" x14ac:dyDescent="0.3">
      <c r="A43" s="10" t="s">
        <v>42</v>
      </c>
      <c r="B43" s="7">
        <v>215</v>
      </c>
      <c r="C43" s="7">
        <v>17000</v>
      </c>
      <c r="D43" s="8">
        <f t="shared" si="0"/>
        <v>3655000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0" t="s">
        <v>44</v>
      </c>
      <c r="B45" s="7"/>
      <c r="C45" s="7"/>
      <c r="D45" s="8">
        <f t="shared" si="0"/>
        <v>0</v>
      </c>
    </row>
    <row r="46" spans="1:4" ht="18" x14ac:dyDescent="0.3">
      <c r="A46" s="16" t="s">
        <v>46</v>
      </c>
      <c r="B46" s="7">
        <f>100+10+30+40+30+50</f>
        <v>260</v>
      </c>
      <c r="C46" s="7">
        <v>9000</v>
      </c>
      <c r="D46" s="8">
        <f t="shared" si="0"/>
        <v>2340000</v>
      </c>
    </row>
    <row r="47" spans="1:4" ht="18" hidden="1" x14ac:dyDescent="0.35">
      <c r="A47" s="14" t="s">
        <v>47</v>
      </c>
      <c r="B47" s="7"/>
      <c r="C47" s="7"/>
      <c r="D47" s="8">
        <f t="shared" si="0"/>
        <v>0</v>
      </c>
    </row>
    <row r="48" spans="1:4" ht="18" hidden="1" x14ac:dyDescent="0.35">
      <c r="A48" s="11" t="s">
        <v>300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x14ac:dyDescent="0.3">
      <c r="A51" s="10" t="s">
        <v>50</v>
      </c>
      <c r="B51" s="7">
        <v>6</v>
      </c>
      <c r="C51" s="7">
        <v>8000</v>
      </c>
      <c r="D51" s="8">
        <f t="shared" si="0"/>
        <v>48000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f>50+25</f>
        <v>75</v>
      </c>
      <c r="C53" s="7">
        <v>6000</v>
      </c>
      <c r="D53" s="8">
        <f t="shared" si="0"/>
        <v>450000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hidden="1" x14ac:dyDescent="0.35">
      <c r="A55" s="10" t="s">
        <v>54</v>
      </c>
      <c r="B55" s="7"/>
      <c r="C55" s="7"/>
      <c r="D55" s="8">
        <f t="shared" si="0"/>
        <v>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x14ac:dyDescent="0.3">
      <c r="A58" s="10" t="s">
        <v>57</v>
      </c>
      <c r="B58" s="7">
        <v>2</v>
      </c>
      <c r="C58" s="7">
        <v>8000</v>
      </c>
      <c r="D58" s="8">
        <f t="shared" si="0"/>
        <v>16000</v>
      </c>
    </row>
    <row r="59" spans="1:4" ht="18" hidden="1" x14ac:dyDescent="0.35">
      <c r="A59" s="16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x14ac:dyDescent="0.3">
      <c r="A62" s="10" t="s">
        <v>61</v>
      </c>
      <c r="B62" s="7">
        <f>32+17</f>
        <v>49</v>
      </c>
      <c r="C62" s="7">
        <v>7200</v>
      </c>
      <c r="D62" s="8">
        <f t="shared" si="0"/>
        <v>352800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f>50+40+320</f>
        <v>410</v>
      </c>
      <c r="C68" s="7">
        <v>27000</v>
      </c>
      <c r="D68" s="8">
        <f t="shared" ref="D68:D131" si="1">B68*C68</f>
        <v>11070000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hidden="1" x14ac:dyDescent="0.35">
      <c r="A71" s="10" t="s">
        <v>70</v>
      </c>
      <c r="B71" s="7"/>
      <c r="C71" s="7"/>
      <c r="D71" s="8">
        <f t="shared" si="1"/>
        <v>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x14ac:dyDescent="0.3">
      <c r="A83" s="10" t="s">
        <v>82</v>
      </c>
      <c r="B83" s="7">
        <f>16+15+13</f>
        <v>44</v>
      </c>
      <c r="C83" s="7">
        <v>26000</v>
      </c>
      <c r="D83" s="8">
        <f t="shared" si="1"/>
        <v>1144000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x14ac:dyDescent="0.3">
      <c r="A85" s="10" t="s">
        <v>84</v>
      </c>
      <c r="B85" s="7">
        <v>36</v>
      </c>
      <c r="C85" s="7">
        <v>17000</v>
      </c>
      <c r="D85" s="8">
        <f t="shared" si="1"/>
        <v>612000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14" t="s">
        <v>92</v>
      </c>
      <c r="B93" s="7"/>
      <c r="C93" s="7"/>
      <c r="D93" s="8">
        <f t="shared" si="1"/>
        <v>0</v>
      </c>
    </row>
    <row r="94" spans="1:4" ht="18" hidden="1" x14ac:dyDescent="0.35">
      <c r="A94" s="6" t="s">
        <v>93</v>
      </c>
      <c r="B94" s="7"/>
      <c r="C94" s="7"/>
      <c r="D94" s="8">
        <f t="shared" si="1"/>
        <v>0</v>
      </c>
    </row>
    <row r="95" spans="1:4" ht="18" hidden="1" x14ac:dyDescent="0.35">
      <c r="A95" s="14" t="s">
        <v>94</v>
      </c>
      <c r="B95" s="7"/>
      <c r="C95" s="7"/>
      <c r="D95" s="8">
        <f t="shared" si="1"/>
        <v>0</v>
      </c>
    </row>
    <row r="96" spans="1:4" ht="18" hidden="1" x14ac:dyDescent="0.35">
      <c r="A96" s="6" t="s">
        <v>95</v>
      </c>
      <c r="B96" s="7"/>
      <c r="C96" s="7"/>
      <c r="D96" s="8">
        <f t="shared" si="1"/>
        <v>0</v>
      </c>
    </row>
    <row r="97" spans="1:4" ht="18" x14ac:dyDescent="0.3">
      <c r="A97" s="26" t="s">
        <v>96</v>
      </c>
      <c r="B97" s="7">
        <v>7</v>
      </c>
      <c r="C97" s="7">
        <v>10000</v>
      </c>
      <c r="D97" s="8">
        <f t="shared" si="1"/>
        <v>70000</v>
      </c>
    </row>
    <row r="98" spans="1:4" ht="18" hidden="1" x14ac:dyDescent="0.35">
      <c r="A98" s="27" t="s">
        <v>97</v>
      </c>
      <c r="B98" s="7"/>
      <c r="C98" s="7"/>
      <c r="D98" s="8">
        <f t="shared" si="1"/>
        <v>0</v>
      </c>
    </row>
    <row r="99" spans="1:4" ht="18" hidden="1" x14ac:dyDescent="0.35">
      <c r="A99" s="26" t="s">
        <v>98</v>
      </c>
      <c r="B99" s="7"/>
      <c r="C99" s="7"/>
      <c r="D99" s="8">
        <f t="shared" si="1"/>
        <v>0</v>
      </c>
    </row>
    <row r="100" spans="1:4" ht="18" hidden="1" x14ac:dyDescent="0.35">
      <c r="A100" s="10" t="s">
        <v>99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100</v>
      </c>
      <c r="B101" s="7"/>
      <c r="C101" s="7"/>
      <c r="D101" s="8">
        <f t="shared" si="1"/>
        <v>0</v>
      </c>
    </row>
    <row r="102" spans="1:4" ht="18" hidden="1" x14ac:dyDescent="0.35">
      <c r="A102" s="14" t="s">
        <v>101</v>
      </c>
      <c r="B102" s="7"/>
      <c r="C102" s="7"/>
      <c r="D102" s="8">
        <f t="shared" si="1"/>
        <v>0</v>
      </c>
    </row>
    <row r="103" spans="1:4" ht="18" hidden="1" x14ac:dyDescent="0.35">
      <c r="A103" s="10" t="s">
        <v>102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103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104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105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106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107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108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109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110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111</v>
      </c>
      <c r="B112" s="12"/>
      <c r="C112" s="12"/>
      <c r="D112" s="8">
        <f t="shared" si="1"/>
        <v>0</v>
      </c>
    </row>
    <row r="113" spans="1:4" ht="18" hidden="1" x14ac:dyDescent="0.35">
      <c r="A113" s="10" t="s">
        <v>112</v>
      </c>
      <c r="B113" s="12"/>
      <c r="C113" s="12"/>
      <c r="D113" s="8">
        <f t="shared" si="1"/>
        <v>0</v>
      </c>
    </row>
    <row r="114" spans="1:4" ht="18" x14ac:dyDescent="0.3">
      <c r="A114" s="6" t="s">
        <v>113</v>
      </c>
      <c r="B114" s="7">
        <f>190+30+140+280</f>
        <v>640</v>
      </c>
      <c r="C114" s="7">
        <v>14000</v>
      </c>
      <c r="D114" s="8">
        <f t="shared" si="1"/>
        <v>8960000</v>
      </c>
    </row>
    <row r="115" spans="1:4" ht="18" x14ac:dyDescent="0.3">
      <c r="A115" s="10" t="s">
        <v>114</v>
      </c>
      <c r="B115" s="7">
        <v>17</v>
      </c>
      <c r="C115" s="7">
        <v>6000</v>
      </c>
      <c r="D115" s="8">
        <f t="shared" si="1"/>
        <v>102000</v>
      </c>
    </row>
    <row r="116" spans="1:4" ht="18" hidden="1" x14ac:dyDescent="0.35">
      <c r="A116" s="10" t="s">
        <v>115</v>
      </c>
      <c r="B116" s="7"/>
      <c r="C116" s="7"/>
      <c r="D116" s="8">
        <f t="shared" si="1"/>
        <v>0</v>
      </c>
    </row>
    <row r="117" spans="1:4" ht="18" hidden="1" x14ac:dyDescent="0.35">
      <c r="A117" s="6" t="s">
        <v>116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117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118</v>
      </c>
      <c r="B119" s="7"/>
      <c r="C119" s="7"/>
      <c r="D119" s="8">
        <f t="shared" si="1"/>
        <v>0</v>
      </c>
    </row>
    <row r="120" spans="1:4" ht="18" hidden="1" x14ac:dyDescent="0.35">
      <c r="A120" s="10" t="s">
        <v>119</v>
      </c>
      <c r="B120" s="7"/>
      <c r="C120" s="7"/>
      <c r="D120" s="8">
        <f t="shared" si="1"/>
        <v>0</v>
      </c>
    </row>
    <row r="121" spans="1:4" ht="18" x14ac:dyDescent="0.3">
      <c r="A121" s="10" t="s">
        <v>120</v>
      </c>
      <c r="B121" s="7">
        <f>2480+450+800+460+45+180</f>
        <v>4415</v>
      </c>
      <c r="C121" s="7">
        <v>5000</v>
      </c>
      <c r="D121" s="8">
        <f t="shared" si="1"/>
        <v>22075000</v>
      </c>
    </row>
    <row r="122" spans="1:4" ht="18" hidden="1" x14ac:dyDescent="0.35">
      <c r="A122" s="10" t="s">
        <v>121</v>
      </c>
      <c r="B122" s="7"/>
      <c r="C122" s="7"/>
      <c r="D122" s="8">
        <f t="shared" si="1"/>
        <v>0</v>
      </c>
    </row>
    <row r="123" spans="1:4" ht="18" hidden="1" x14ac:dyDescent="0.35">
      <c r="A123" s="11" t="s">
        <v>122</v>
      </c>
      <c r="B123" s="7"/>
      <c r="C123" s="7"/>
      <c r="D123" s="8">
        <f t="shared" si="1"/>
        <v>0</v>
      </c>
    </row>
    <row r="124" spans="1:4" ht="18" hidden="1" x14ac:dyDescent="0.35">
      <c r="A124" s="22" t="s">
        <v>123</v>
      </c>
      <c r="B124" s="7"/>
      <c r="C124" s="7"/>
      <c r="D124" s="8">
        <f t="shared" si="1"/>
        <v>0</v>
      </c>
    </row>
    <row r="125" spans="1:4" ht="18" hidden="1" x14ac:dyDescent="0.35">
      <c r="A125" s="28" t="s">
        <v>124</v>
      </c>
      <c r="B125" s="7"/>
      <c r="C125" s="7"/>
      <c r="D125" s="8">
        <f t="shared" si="1"/>
        <v>0</v>
      </c>
    </row>
    <row r="126" spans="1:4" ht="18" hidden="1" x14ac:dyDescent="0.35">
      <c r="A126" s="22" t="s">
        <v>125</v>
      </c>
      <c r="B126" s="7"/>
      <c r="C126" s="7"/>
      <c r="D126" s="8">
        <f t="shared" si="1"/>
        <v>0</v>
      </c>
    </row>
    <row r="127" spans="1:4" ht="18" hidden="1" x14ac:dyDescent="0.35">
      <c r="A127" s="6" t="s">
        <v>126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127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128</v>
      </c>
      <c r="B129" s="12"/>
      <c r="C129" s="12"/>
      <c r="D129" s="8">
        <f t="shared" si="1"/>
        <v>0</v>
      </c>
    </row>
    <row r="130" spans="1:4" ht="18" hidden="1" x14ac:dyDescent="0.35">
      <c r="A130" s="6" t="s">
        <v>129</v>
      </c>
      <c r="B130" s="29"/>
      <c r="C130" s="29"/>
      <c r="D130" s="8">
        <f t="shared" si="1"/>
        <v>0</v>
      </c>
    </row>
    <row r="131" spans="1:4" ht="18" hidden="1" x14ac:dyDescent="0.35">
      <c r="A131" s="10" t="s">
        <v>130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131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4" t="s">
        <v>132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133</v>
      </c>
      <c r="B134" s="7"/>
      <c r="C134" s="7"/>
      <c r="D134" s="8">
        <f t="shared" si="2"/>
        <v>0</v>
      </c>
    </row>
    <row r="135" spans="1:4" ht="18" hidden="1" x14ac:dyDescent="0.35">
      <c r="A135" s="14" t="s">
        <v>134</v>
      </c>
      <c r="B135" s="7"/>
      <c r="C135" s="7"/>
      <c r="D135" s="8">
        <f t="shared" si="2"/>
        <v>0</v>
      </c>
    </row>
    <row r="136" spans="1:4" ht="18" hidden="1" x14ac:dyDescent="0.35">
      <c r="A136" s="10" t="s">
        <v>135</v>
      </c>
      <c r="B136" s="7"/>
      <c r="C136" s="7"/>
      <c r="D136" s="8">
        <f t="shared" si="2"/>
        <v>0</v>
      </c>
    </row>
    <row r="137" spans="1:4" ht="18" hidden="1" x14ac:dyDescent="0.35">
      <c r="A137" s="14" t="s">
        <v>136</v>
      </c>
      <c r="B137" s="7"/>
      <c r="C137" s="7"/>
      <c r="D137" s="8">
        <f t="shared" si="2"/>
        <v>0</v>
      </c>
    </row>
    <row r="138" spans="1:4" ht="18" hidden="1" x14ac:dyDescent="0.35">
      <c r="A138" s="10" t="s">
        <v>137</v>
      </c>
      <c r="B138" s="12"/>
      <c r="C138" s="12"/>
      <c r="D138" s="8">
        <f t="shared" si="2"/>
        <v>0</v>
      </c>
    </row>
    <row r="139" spans="1:4" ht="18" hidden="1" x14ac:dyDescent="0.35">
      <c r="A139" s="6" t="s">
        <v>138</v>
      </c>
      <c r="B139" s="12"/>
      <c r="C139" s="12"/>
      <c r="D139" s="8">
        <f t="shared" si="2"/>
        <v>0</v>
      </c>
    </row>
    <row r="140" spans="1:4" ht="18" hidden="1" x14ac:dyDescent="0.35">
      <c r="A140" s="10" t="s">
        <v>139</v>
      </c>
      <c r="B140" s="7"/>
      <c r="C140" s="7"/>
      <c r="D140" s="8">
        <f t="shared" si="2"/>
        <v>0</v>
      </c>
    </row>
    <row r="141" spans="1:4" ht="18" hidden="1" x14ac:dyDescent="0.35">
      <c r="A141" s="22" t="s">
        <v>140</v>
      </c>
      <c r="B141" s="7"/>
      <c r="C141" s="7"/>
      <c r="D141" s="8">
        <f t="shared" si="2"/>
        <v>0</v>
      </c>
    </row>
    <row r="142" spans="1:4" ht="18" hidden="1" x14ac:dyDescent="0.35">
      <c r="A142" s="6" t="s">
        <v>141</v>
      </c>
      <c r="B142" s="7"/>
      <c r="C142" s="7"/>
      <c r="D142" s="8">
        <f t="shared" si="2"/>
        <v>0</v>
      </c>
    </row>
    <row r="143" spans="1:4" ht="18" x14ac:dyDescent="0.3">
      <c r="A143" s="10" t="s">
        <v>142</v>
      </c>
      <c r="B143" s="7">
        <f>160+100+160</f>
        <v>420</v>
      </c>
      <c r="C143" s="7">
        <v>28000</v>
      </c>
      <c r="D143" s="8">
        <f t="shared" si="2"/>
        <v>11760000</v>
      </c>
    </row>
    <row r="144" spans="1:4" ht="18" hidden="1" x14ac:dyDescent="0.35">
      <c r="A144" s="24" t="s">
        <v>143</v>
      </c>
      <c r="B144" s="7"/>
      <c r="C144" s="7"/>
      <c r="D144" s="8">
        <f t="shared" si="2"/>
        <v>0</v>
      </c>
    </row>
    <row r="145" spans="1:4" ht="18" hidden="1" x14ac:dyDescent="0.35">
      <c r="A145" s="24" t="s">
        <v>144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145</v>
      </c>
      <c r="B146" s="7"/>
      <c r="C146" s="7"/>
      <c r="D146" s="8">
        <f t="shared" si="2"/>
        <v>0</v>
      </c>
    </row>
    <row r="147" spans="1:4" ht="18" x14ac:dyDescent="0.3">
      <c r="A147" s="10" t="s">
        <v>146</v>
      </c>
      <c r="B147" s="7">
        <f>2/0.25</f>
        <v>8</v>
      </c>
      <c r="C147" s="7">
        <v>6250</v>
      </c>
      <c r="D147" s="8">
        <f t="shared" si="2"/>
        <v>50000</v>
      </c>
    </row>
    <row r="148" spans="1:4" ht="18" hidden="1" x14ac:dyDescent="0.35">
      <c r="A148" s="10" t="s">
        <v>147</v>
      </c>
      <c r="B148" s="7"/>
      <c r="C148" s="7"/>
      <c r="D148" s="8">
        <f t="shared" si="2"/>
        <v>0</v>
      </c>
    </row>
    <row r="149" spans="1:4" ht="18" hidden="1" x14ac:dyDescent="0.35">
      <c r="A149" s="14" t="s">
        <v>148</v>
      </c>
      <c r="B149" s="7"/>
      <c r="C149" s="7"/>
      <c r="D149" s="8">
        <f t="shared" si="2"/>
        <v>0</v>
      </c>
    </row>
    <row r="150" spans="1:4" ht="18" hidden="1" x14ac:dyDescent="0.35">
      <c r="A150" s="14" t="s">
        <v>149</v>
      </c>
      <c r="B150" s="7"/>
      <c r="C150" s="7"/>
      <c r="D150" s="8">
        <f t="shared" si="2"/>
        <v>0</v>
      </c>
    </row>
    <row r="151" spans="1:4" ht="18" hidden="1" x14ac:dyDescent="0.35">
      <c r="A151" s="10" t="s">
        <v>150</v>
      </c>
      <c r="B151" s="7"/>
      <c r="C151" s="7"/>
      <c r="D151" s="8">
        <f t="shared" si="2"/>
        <v>0</v>
      </c>
    </row>
    <row r="152" spans="1:4" ht="18" hidden="1" x14ac:dyDescent="0.35">
      <c r="A152" s="55" t="s">
        <v>151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152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153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154</v>
      </c>
      <c r="B155" s="7"/>
      <c r="C155" s="7"/>
      <c r="D155" s="8">
        <f t="shared" si="2"/>
        <v>0</v>
      </c>
    </row>
    <row r="156" spans="1:4" ht="18" hidden="1" x14ac:dyDescent="0.35">
      <c r="A156" s="10" t="s">
        <v>155</v>
      </c>
      <c r="B156" s="7"/>
      <c r="C156" s="7"/>
      <c r="D156" s="8">
        <f t="shared" si="2"/>
        <v>0</v>
      </c>
    </row>
    <row r="157" spans="1:4" ht="18" hidden="1" x14ac:dyDescent="0.35">
      <c r="A157" s="9" t="s">
        <v>156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157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158</v>
      </c>
      <c r="B159" s="7"/>
      <c r="C159" s="7"/>
      <c r="D159" s="8">
        <f t="shared" si="2"/>
        <v>0</v>
      </c>
    </row>
    <row r="160" spans="1:4" ht="18" hidden="1" x14ac:dyDescent="0.35">
      <c r="A160" s="10" t="s">
        <v>159</v>
      </c>
      <c r="B160" s="7"/>
      <c r="C160" s="7"/>
      <c r="D160" s="8">
        <f t="shared" si="2"/>
        <v>0</v>
      </c>
    </row>
    <row r="161" spans="1:4" ht="18" hidden="1" x14ac:dyDescent="0.35">
      <c r="A161" s="14" t="s">
        <v>160</v>
      </c>
      <c r="B161" s="7"/>
      <c r="C161" s="7"/>
      <c r="D161" s="8">
        <f t="shared" si="2"/>
        <v>0</v>
      </c>
    </row>
    <row r="162" spans="1:4" ht="18" x14ac:dyDescent="0.3">
      <c r="A162" s="10" t="s">
        <v>161</v>
      </c>
      <c r="B162" s="7">
        <v>9</v>
      </c>
      <c r="C162" s="7">
        <v>7000</v>
      </c>
      <c r="D162" s="8">
        <f t="shared" si="2"/>
        <v>63000</v>
      </c>
    </row>
    <row r="163" spans="1:4" ht="18" hidden="1" x14ac:dyDescent="0.35">
      <c r="A163" s="10" t="s">
        <v>162</v>
      </c>
      <c r="B163" s="7"/>
      <c r="C163" s="7"/>
      <c r="D163" s="8">
        <f t="shared" si="2"/>
        <v>0</v>
      </c>
    </row>
    <row r="164" spans="1:4" ht="18" x14ac:dyDescent="0.3">
      <c r="A164" s="10" t="s">
        <v>163</v>
      </c>
      <c r="B164" s="7">
        <f>60+20+180+80</f>
        <v>340</v>
      </c>
      <c r="C164" s="7">
        <v>15000</v>
      </c>
      <c r="D164" s="8">
        <f t="shared" si="2"/>
        <v>5100000</v>
      </c>
    </row>
    <row r="165" spans="1:4" ht="18" hidden="1" x14ac:dyDescent="0.35">
      <c r="A165" s="22" t="s">
        <v>164</v>
      </c>
      <c r="B165" s="7"/>
      <c r="C165" s="7"/>
      <c r="D165" s="8">
        <f t="shared" si="2"/>
        <v>0</v>
      </c>
    </row>
    <row r="166" spans="1:4" ht="18" hidden="1" x14ac:dyDescent="0.35">
      <c r="A166" s="10" t="s">
        <v>165</v>
      </c>
      <c r="B166" s="7"/>
      <c r="C166" s="7"/>
      <c r="D166" s="8">
        <f t="shared" si="2"/>
        <v>0</v>
      </c>
    </row>
    <row r="167" spans="1:4" ht="18" x14ac:dyDescent="0.3">
      <c r="A167" s="10" t="s">
        <v>166</v>
      </c>
      <c r="B167" s="7">
        <f>12+12+13</f>
        <v>37</v>
      </c>
      <c r="C167" s="7">
        <v>18000</v>
      </c>
      <c r="D167" s="8">
        <f t="shared" si="2"/>
        <v>666000</v>
      </c>
    </row>
    <row r="168" spans="1:4" ht="18" hidden="1" x14ac:dyDescent="0.35">
      <c r="A168" s="10" t="s">
        <v>167</v>
      </c>
      <c r="B168" s="7"/>
      <c r="C168" s="7"/>
      <c r="D168" s="8">
        <f t="shared" si="2"/>
        <v>0</v>
      </c>
    </row>
    <row r="169" spans="1:4" ht="18" hidden="1" x14ac:dyDescent="0.35">
      <c r="A169" s="22" t="s">
        <v>168</v>
      </c>
      <c r="B169" s="7"/>
      <c r="C169" s="7"/>
      <c r="D169" s="8">
        <f t="shared" si="2"/>
        <v>0</v>
      </c>
    </row>
    <row r="170" spans="1:4" ht="18" hidden="1" x14ac:dyDescent="0.35">
      <c r="A170" s="10" t="s">
        <v>169</v>
      </c>
      <c r="B170" s="7"/>
      <c r="C170" s="7"/>
      <c r="D170" s="8">
        <f t="shared" si="2"/>
        <v>0</v>
      </c>
    </row>
    <row r="171" spans="1:4" ht="18" hidden="1" x14ac:dyDescent="0.35">
      <c r="A171" s="6" t="s">
        <v>170</v>
      </c>
      <c r="B171" s="7"/>
      <c r="C171" s="7"/>
      <c r="D171" s="8">
        <f t="shared" si="2"/>
        <v>0</v>
      </c>
    </row>
    <row r="172" spans="1:4" ht="18" hidden="1" x14ac:dyDescent="0.35">
      <c r="A172" s="10" t="s">
        <v>171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172</v>
      </c>
      <c r="B173" s="7"/>
      <c r="C173" s="7"/>
      <c r="D173" s="8">
        <f t="shared" si="2"/>
        <v>0</v>
      </c>
    </row>
    <row r="174" spans="1:4" ht="18" hidden="1" x14ac:dyDescent="0.35">
      <c r="A174" s="13" t="s">
        <v>173</v>
      </c>
      <c r="B174" s="7"/>
      <c r="C174" s="7"/>
      <c r="D174" s="8">
        <f t="shared" si="2"/>
        <v>0</v>
      </c>
    </row>
    <row r="175" spans="1:4" ht="18" hidden="1" x14ac:dyDescent="0.35">
      <c r="A175" s="11" t="s">
        <v>174</v>
      </c>
      <c r="B175" s="7"/>
      <c r="C175" s="7"/>
      <c r="D175" s="8">
        <f t="shared" si="2"/>
        <v>0</v>
      </c>
    </row>
    <row r="176" spans="1:4" ht="18" x14ac:dyDescent="0.3">
      <c r="A176" s="6" t="s">
        <v>175</v>
      </c>
      <c r="B176" s="7">
        <v>50</v>
      </c>
      <c r="C176" s="7">
        <v>11000</v>
      </c>
      <c r="D176" s="8">
        <f t="shared" si="2"/>
        <v>550000</v>
      </c>
    </row>
    <row r="177" spans="1:4" ht="18" x14ac:dyDescent="0.3">
      <c r="A177" s="6" t="s">
        <v>176</v>
      </c>
      <c r="B177" s="7">
        <v>400</v>
      </c>
      <c r="C177" s="7">
        <v>32000</v>
      </c>
      <c r="D177" s="8">
        <f t="shared" si="2"/>
        <v>12800000</v>
      </c>
    </row>
    <row r="178" spans="1:4" ht="18" hidden="1" x14ac:dyDescent="0.35">
      <c r="A178" s="10" t="s">
        <v>177</v>
      </c>
      <c r="B178" s="7"/>
      <c r="C178" s="7"/>
      <c r="D178" s="8">
        <f t="shared" si="2"/>
        <v>0</v>
      </c>
    </row>
    <row r="179" spans="1:4" ht="18" x14ac:dyDescent="0.3">
      <c r="A179" s="6" t="s">
        <v>178</v>
      </c>
      <c r="B179" s="7">
        <v>280</v>
      </c>
      <c r="C179" s="7">
        <v>32000</v>
      </c>
      <c r="D179" s="8">
        <f t="shared" si="2"/>
        <v>8960000</v>
      </c>
    </row>
    <row r="180" spans="1:4" ht="18" hidden="1" x14ac:dyDescent="0.35">
      <c r="A180" s="6" t="s">
        <v>179</v>
      </c>
      <c r="B180" s="7"/>
      <c r="C180" s="7"/>
      <c r="D180" s="8">
        <f t="shared" si="2"/>
        <v>0</v>
      </c>
    </row>
    <row r="181" spans="1:4" ht="18" hidden="1" x14ac:dyDescent="0.35">
      <c r="A181" s="6" t="s">
        <v>180</v>
      </c>
      <c r="B181" s="7"/>
      <c r="C181" s="7"/>
      <c r="D181" s="8">
        <f t="shared" si="2"/>
        <v>0</v>
      </c>
    </row>
    <row r="182" spans="1:4" ht="18" hidden="1" x14ac:dyDescent="0.35">
      <c r="A182" s="10" t="s">
        <v>181</v>
      </c>
      <c r="B182" s="7"/>
      <c r="C182" s="7"/>
      <c r="D182" s="8">
        <f t="shared" si="2"/>
        <v>0</v>
      </c>
    </row>
    <row r="183" spans="1:4" ht="18" hidden="1" x14ac:dyDescent="0.35">
      <c r="A183" s="10" t="s">
        <v>182</v>
      </c>
      <c r="B183" s="7"/>
      <c r="C183" s="7"/>
      <c r="D183" s="8">
        <f t="shared" si="2"/>
        <v>0</v>
      </c>
    </row>
    <row r="184" spans="1:4" ht="18" hidden="1" x14ac:dyDescent="0.35">
      <c r="A184" s="10" t="s">
        <v>183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184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185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186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187</v>
      </c>
      <c r="B188" s="7"/>
      <c r="C188" s="7"/>
      <c r="D188" s="8">
        <f t="shared" si="2"/>
        <v>0</v>
      </c>
    </row>
    <row r="189" spans="1:4" ht="18" x14ac:dyDescent="0.3">
      <c r="A189" s="10" t="s">
        <v>188</v>
      </c>
      <c r="B189" s="7">
        <f>18+15</f>
        <v>33</v>
      </c>
      <c r="C189" s="7">
        <v>6000</v>
      </c>
      <c r="D189" s="8">
        <f t="shared" si="2"/>
        <v>198000</v>
      </c>
    </row>
    <row r="190" spans="1:4" ht="18" hidden="1" x14ac:dyDescent="0.35">
      <c r="A190" s="13" t="s">
        <v>189</v>
      </c>
      <c r="B190" s="7"/>
      <c r="C190" s="7"/>
      <c r="D190" s="8">
        <f t="shared" si="2"/>
        <v>0</v>
      </c>
    </row>
    <row r="191" spans="1:4" ht="18" hidden="1" x14ac:dyDescent="0.35">
      <c r="A191" s="20" t="s">
        <v>190</v>
      </c>
      <c r="B191" s="7"/>
      <c r="C191" s="7"/>
      <c r="D191" s="8">
        <f t="shared" si="2"/>
        <v>0</v>
      </c>
    </row>
    <row r="192" spans="1:4" ht="18" hidden="1" x14ac:dyDescent="0.35">
      <c r="A192" s="10" t="s">
        <v>191</v>
      </c>
      <c r="B192" s="7"/>
      <c r="C192" s="7"/>
      <c r="D192" s="8">
        <f t="shared" si="2"/>
        <v>0</v>
      </c>
    </row>
    <row r="193" spans="1:4" ht="18" hidden="1" x14ac:dyDescent="0.35">
      <c r="A193" s="20" t="s">
        <v>308</v>
      </c>
      <c r="B193" s="7"/>
      <c r="C193" s="7"/>
      <c r="D193" s="8">
        <f t="shared" si="2"/>
        <v>0</v>
      </c>
    </row>
    <row r="194" spans="1:4" ht="18" hidden="1" x14ac:dyDescent="0.35">
      <c r="A194" s="10" t="s">
        <v>192</v>
      </c>
      <c r="B194" s="7"/>
      <c r="C194" s="7"/>
      <c r="D194" s="8">
        <f t="shared" si="2"/>
        <v>0</v>
      </c>
    </row>
    <row r="195" spans="1:4" ht="18" hidden="1" x14ac:dyDescent="0.35">
      <c r="A195" s="6" t="s">
        <v>193</v>
      </c>
      <c r="B195" s="7"/>
      <c r="C195" s="7"/>
      <c r="D195" s="8">
        <f t="shared" si="2"/>
        <v>0</v>
      </c>
    </row>
    <row r="196" spans="1:4" ht="18" hidden="1" x14ac:dyDescent="0.35">
      <c r="A196" s="10" t="s">
        <v>194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195</v>
      </c>
      <c r="B197" s="7"/>
      <c r="C197" s="7"/>
      <c r="D197" s="8">
        <f t="shared" si="3"/>
        <v>0</v>
      </c>
    </row>
    <row r="198" spans="1:4" ht="18" hidden="1" x14ac:dyDescent="0.35">
      <c r="A198" s="10" t="s">
        <v>196</v>
      </c>
      <c r="B198" s="7"/>
      <c r="C198" s="7"/>
      <c r="D198" s="8">
        <f t="shared" si="3"/>
        <v>0</v>
      </c>
    </row>
    <row r="199" spans="1:4" ht="18" hidden="1" x14ac:dyDescent="0.35">
      <c r="A199" s="9" t="s">
        <v>197</v>
      </c>
      <c r="B199" s="7"/>
      <c r="C199" s="7"/>
      <c r="D199" s="8">
        <f t="shared" si="3"/>
        <v>0</v>
      </c>
    </row>
    <row r="200" spans="1:4" ht="18" hidden="1" x14ac:dyDescent="0.35">
      <c r="A200" s="6" t="s">
        <v>198</v>
      </c>
      <c r="B200" s="7"/>
      <c r="C200" s="7"/>
      <c r="D200" s="8">
        <f t="shared" si="3"/>
        <v>0</v>
      </c>
    </row>
    <row r="201" spans="1:4" ht="18" hidden="1" x14ac:dyDescent="0.35">
      <c r="A201" s="6" t="s">
        <v>199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200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201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202</v>
      </c>
      <c r="B204" s="7"/>
      <c r="C204" s="7"/>
      <c r="D204" s="8">
        <f t="shared" si="3"/>
        <v>0</v>
      </c>
    </row>
    <row r="205" spans="1:4" ht="18" hidden="1" x14ac:dyDescent="0.35">
      <c r="A205" s="11" t="s">
        <v>203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204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205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206</v>
      </c>
      <c r="B208" s="7"/>
      <c r="C208" s="7"/>
      <c r="D208" s="8">
        <f t="shared" si="3"/>
        <v>0</v>
      </c>
    </row>
    <row r="209" spans="1:4" ht="18" hidden="1" x14ac:dyDescent="0.35">
      <c r="A209" s="10" t="s">
        <v>207</v>
      </c>
      <c r="B209" s="7"/>
      <c r="C209" s="7"/>
      <c r="D209" s="8">
        <f t="shared" si="3"/>
        <v>0</v>
      </c>
    </row>
    <row r="210" spans="1:4" ht="18" x14ac:dyDescent="0.3">
      <c r="A210" s="6" t="s">
        <v>208</v>
      </c>
      <c r="B210" s="7">
        <v>1</v>
      </c>
      <c r="C210" s="7">
        <v>65000</v>
      </c>
      <c r="D210" s="8">
        <f t="shared" si="3"/>
        <v>65000</v>
      </c>
    </row>
    <row r="211" spans="1:4" ht="18" hidden="1" x14ac:dyDescent="0.35">
      <c r="A211" s="6" t="s">
        <v>209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210</v>
      </c>
      <c r="B212" s="7"/>
      <c r="C212" s="7"/>
      <c r="D212" s="8">
        <f t="shared" si="3"/>
        <v>0</v>
      </c>
    </row>
    <row r="213" spans="1:4" ht="18" hidden="1" x14ac:dyDescent="0.35">
      <c r="A213" s="10" t="s">
        <v>211</v>
      </c>
      <c r="B213" s="7"/>
      <c r="C213" s="7"/>
      <c r="D213" s="8">
        <f t="shared" si="3"/>
        <v>0</v>
      </c>
    </row>
    <row r="214" spans="1:4" ht="18" hidden="1" x14ac:dyDescent="0.35">
      <c r="A214" s="10" t="s">
        <v>212</v>
      </c>
      <c r="B214" s="7"/>
      <c r="C214" s="7"/>
      <c r="D214" s="8">
        <f t="shared" si="3"/>
        <v>0</v>
      </c>
    </row>
    <row r="215" spans="1:4" ht="18" hidden="1" x14ac:dyDescent="0.35">
      <c r="A215" s="11" t="s">
        <v>213</v>
      </c>
      <c r="B215" s="7"/>
      <c r="C215" s="7"/>
      <c r="D215" s="8">
        <f t="shared" si="3"/>
        <v>0</v>
      </c>
    </row>
    <row r="216" spans="1:4" ht="18" hidden="1" x14ac:dyDescent="0.35">
      <c r="A216" s="10" t="s">
        <v>214</v>
      </c>
      <c r="B216" s="7"/>
      <c r="C216" s="7"/>
      <c r="D216" s="8">
        <f t="shared" si="3"/>
        <v>0</v>
      </c>
    </row>
    <row r="217" spans="1:4" ht="18" hidden="1" x14ac:dyDescent="0.35">
      <c r="A217" s="11" t="s">
        <v>215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216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217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218</v>
      </c>
      <c r="B220" s="7"/>
      <c r="C220" s="7"/>
      <c r="D220" s="8">
        <f t="shared" si="3"/>
        <v>0</v>
      </c>
    </row>
    <row r="221" spans="1:4" ht="18" hidden="1" x14ac:dyDescent="0.35">
      <c r="A221" s="10" t="s">
        <v>219</v>
      </c>
      <c r="B221" s="7"/>
      <c r="C221" s="7"/>
      <c r="D221" s="8">
        <f t="shared" si="3"/>
        <v>0</v>
      </c>
    </row>
    <row r="222" spans="1:4" ht="18" hidden="1" x14ac:dyDescent="0.35">
      <c r="A222" s="14" t="s">
        <v>220</v>
      </c>
      <c r="B222" s="7"/>
      <c r="C222" s="7"/>
      <c r="D222" s="8">
        <f t="shared" si="3"/>
        <v>0</v>
      </c>
    </row>
    <row r="223" spans="1:4" ht="18" hidden="1" x14ac:dyDescent="0.35">
      <c r="A223" s="6" t="s">
        <v>221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222</v>
      </c>
      <c r="B224" s="7"/>
      <c r="C224" s="7"/>
      <c r="D224" s="8">
        <f t="shared" si="3"/>
        <v>0</v>
      </c>
    </row>
    <row r="225" spans="1:4" ht="18" hidden="1" x14ac:dyDescent="0.35">
      <c r="A225" s="10" t="s">
        <v>223</v>
      </c>
      <c r="B225" s="7"/>
      <c r="C225" s="7"/>
      <c r="D225" s="8">
        <f t="shared" si="3"/>
        <v>0</v>
      </c>
    </row>
    <row r="226" spans="1:4" ht="18" hidden="1" x14ac:dyDescent="0.35">
      <c r="A226" s="11" t="s">
        <v>224</v>
      </c>
      <c r="B226" s="12"/>
      <c r="C226" s="12"/>
      <c r="D226" s="8">
        <f t="shared" si="3"/>
        <v>0</v>
      </c>
    </row>
    <row r="227" spans="1:4" ht="18" hidden="1" x14ac:dyDescent="0.35">
      <c r="A227" s="11" t="s">
        <v>225</v>
      </c>
      <c r="B227" s="7"/>
      <c r="C227" s="7"/>
      <c r="D227" s="8">
        <f t="shared" si="3"/>
        <v>0</v>
      </c>
    </row>
    <row r="228" spans="1:4" ht="18" hidden="1" x14ac:dyDescent="0.35">
      <c r="A228" s="11" t="s">
        <v>226</v>
      </c>
      <c r="B228" s="12"/>
      <c r="C228" s="12"/>
      <c r="D228" s="8">
        <f t="shared" si="3"/>
        <v>0</v>
      </c>
    </row>
    <row r="229" spans="1:4" ht="18" hidden="1" x14ac:dyDescent="0.35">
      <c r="A229" s="14" t="s">
        <v>227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228</v>
      </c>
      <c r="B230" s="7"/>
      <c r="C230" s="7"/>
      <c r="D230" s="8">
        <f t="shared" si="3"/>
        <v>0</v>
      </c>
    </row>
    <row r="231" spans="1:4" ht="18" hidden="1" x14ac:dyDescent="0.35">
      <c r="A231" s="13" t="s">
        <v>229</v>
      </c>
      <c r="B231" s="7"/>
      <c r="C231" s="7"/>
      <c r="D231" s="8">
        <f t="shared" si="3"/>
        <v>0</v>
      </c>
    </row>
    <row r="232" spans="1:4" ht="18" hidden="1" x14ac:dyDescent="0.35">
      <c r="A232" s="11" t="s">
        <v>230</v>
      </c>
      <c r="B232" s="7"/>
      <c r="C232" s="7"/>
      <c r="D232" s="8">
        <f t="shared" si="3"/>
        <v>0</v>
      </c>
    </row>
    <row r="233" spans="1:4" ht="18" hidden="1" x14ac:dyDescent="0.35">
      <c r="A233" s="10" t="s">
        <v>231</v>
      </c>
      <c r="B233" s="7"/>
      <c r="C233" s="7"/>
      <c r="D233" s="8">
        <f t="shared" si="3"/>
        <v>0</v>
      </c>
    </row>
    <row r="234" spans="1:4" ht="18" hidden="1" x14ac:dyDescent="0.35">
      <c r="A234" s="10" t="s">
        <v>232</v>
      </c>
      <c r="B234" s="7"/>
      <c r="C234" s="7"/>
      <c r="D234" s="8">
        <f t="shared" si="3"/>
        <v>0</v>
      </c>
    </row>
    <row r="235" spans="1:4" ht="18" hidden="1" x14ac:dyDescent="0.35">
      <c r="A235" s="14" t="s">
        <v>233</v>
      </c>
      <c r="B235" s="7"/>
      <c r="C235" s="7"/>
      <c r="D235" s="8">
        <f t="shared" si="3"/>
        <v>0</v>
      </c>
    </row>
    <row r="236" spans="1:4" ht="18" hidden="1" x14ac:dyDescent="0.35">
      <c r="A236" s="6" t="s">
        <v>234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235</v>
      </c>
      <c r="B237" s="7"/>
      <c r="C237" s="7"/>
      <c r="D237" s="8">
        <f t="shared" si="3"/>
        <v>0</v>
      </c>
    </row>
    <row r="238" spans="1:4" ht="18" hidden="1" x14ac:dyDescent="0.35">
      <c r="A238" s="10" t="s">
        <v>236</v>
      </c>
      <c r="B238" s="7"/>
      <c r="C238" s="7"/>
      <c r="D238" s="8">
        <f t="shared" si="3"/>
        <v>0</v>
      </c>
    </row>
    <row r="239" spans="1:4" ht="18" hidden="1" x14ac:dyDescent="0.35">
      <c r="A239" s="13" t="s">
        <v>237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238</v>
      </c>
      <c r="B240" s="7"/>
      <c r="C240" s="7"/>
      <c r="D240" s="8">
        <f t="shared" si="3"/>
        <v>0</v>
      </c>
    </row>
    <row r="241" spans="1:4" ht="18" hidden="1" x14ac:dyDescent="0.35">
      <c r="A241" s="10" t="s">
        <v>239</v>
      </c>
      <c r="B241" s="7"/>
      <c r="C241" s="7"/>
      <c r="D241" s="8">
        <f t="shared" si="3"/>
        <v>0</v>
      </c>
    </row>
    <row r="242" spans="1:4" ht="18" hidden="1" x14ac:dyDescent="0.35">
      <c r="A242" s="10" t="s">
        <v>240</v>
      </c>
      <c r="B242" s="7"/>
      <c r="C242" s="7"/>
      <c r="D242" s="8">
        <f t="shared" si="3"/>
        <v>0</v>
      </c>
    </row>
    <row r="243" spans="1:4" ht="18" hidden="1" x14ac:dyDescent="0.35">
      <c r="A243" s="10" t="s">
        <v>241</v>
      </c>
      <c r="B243" s="7"/>
      <c r="C243" s="7"/>
      <c r="D243" s="8">
        <f t="shared" si="3"/>
        <v>0</v>
      </c>
    </row>
    <row r="244" spans="1:4" ht="18" hidden="1" x14ac:dyDescent="0.35">
      <c r="A244" s="13" t="s">
        <v>242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243</v>
      </c>
      <c r="B245" s="7"/>
      <c r="C245" s="7"/>
      <c r="D245" s="8">
        <f t="shared" si="3"/>
        <v>0</v>
      </c>
    </row>
    <row r="246" spans="1:4" ht="18" hidden="1" x14ac:dyDescent="0.35">
      <c r="A246" s="10" t="s">
        <v>244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245</v>
      </c>
      <c r="B247" s="7"/>
      <c r="C247" s="7"/>
      <c r="D247" s="8">
        <f t="shared" si="3"/>
        <v>0</v>
      </c>
    </row>
    <row r="248" spans="1:4" ht="18" hidden="1" x14ac:dyDescent="0.35">
      <c r="A248" s="13" t="s">
        <v>246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247</v>
      </c>
      <c r="B249" s="7"/>
      <c r="C249" s="7"/>
      <c r="D249" s="8">
        <f t="shared" si="3"/>
        <v>0</v>
      </c>
    </row>
    <row r="250" spans="1:4" ht="18" hidden="1" x14ac:dyDescent="0.35">
      <c r="A250" s="10" t="s">
        <v>248</v>
      </c>
      <c r="B250" s="7"/>
      <c r="C250" s="7"/>
      <c r="D250" s="8">
        <f t="shared" si="3"/>
        <v>0</v>
      </c>
    </row>
    <row r="251" spans="1:4" ht="18" hidden="1" x14ac:dyDescent="0.35">
      <c r="A251" s="13" t="s">
        <v>249</v>
      </c>
      <c r="B251" s="7"/>
      <c r="C251" s="7"/>
      <c r="D251" s="8">
        <f t="shared" si="3"/>
        <v>0</v>
      </c>
    </row>
    <row r="252" spans="1:4" ht="18" hidden="1" x14ac:dyDescent="0.35">
      <c r="A252" s="10" t="s">
        <v>250</v>
      </c>
      <c r="B252" s="7"/>
      <c r="C252" s="7"/>
      <c r="D252" s="8">
        <f t="shared" si="3"/>
        <v>0</v>
      </c>
    </row>
    <row r="253" spans="1:4" ht="18" hidden="1" x14ac:dyDescent="0.35">
      <c r="A253" s="10" t="s">
        <v>251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252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253</v>
      </c>
      <c r="B255" s="7"/>
      <c r="C255" s="7"/>
      <c r="D255" s="8">
        <f t="shared" si="3"/>
        <v>0</v>
      </c>
    </row>
    <row r="256" spans="1:4" ht="18" hidden="1" x14ac:dyDescent="0.35">
      <c r="A256" s="10" t="s">
        <v>254</v>
      </c>
      <c r="B256" s="7"/>
      <c r="C256" s="7"/>
      <c r="D256" s="8">
        <f t="shared" si="3"/>
        <v>0</v>
      </c>
    </row>
    <row r="257" spans="1:4" ht="18" hidden="1" x14ac:dyDescent="0.35">
      <c r="A257" s="10" t="s">
        <v>255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256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257</v>
      </c>
      <c r="B259" s="7"/>
      <c r="C259" s="7"/>
      <c r="D259" s="8">
        <f t="shared" si="3"/>
        <v>0</v>
      </c>
    </row>
    <row r="260" spans="1:4" ht="18" hidden="1" x14ac:dyDescent="0.35">
      <c r="A260" s="10" t="s">
        <v>258</v>
      </c>
      <c r="B260" s="7"/>
      <c r="C260" s="7"/>
      <c r="D260" s="8">
        <f t="shared" ref="D260:D290" si="4">B260*C260</f>
        <v>0</v>
      </c>
    </row>
    <row r="261" spans="1:4" ht="18" hidden="1" x14ac:dyDescent="0.35">
      <c r="A261" s="10" t="s">
        <v>259</v>
      </c>
      <c r="B261" s="7"/>
      <c r="C261" s="7"/>
      <c r="D261" s="8">
        <f t="shared" si="4"/>
        <v>0</v>
      </c>
    </row>
    <row r="262" spans="1:4" ht="18" hidden="1" x14ac:dyDescent="0.35">
      <c r="A262" s="14" t="s">
        <v>260</v>
      </c>
      <c r="B262" s="7"/>
      <c r="C262" s="7"/>
      <c r="D262" s="8">
        <f t="shared" si="4"/>
        <v>0</v>
      </c>
    </row>
    <row r="263" spans="1:4" ht="18" hidden="1" x14ac:dyDescent="0.35">
      <c r="A263" s="10" t="s">
        <v>261</v>
      </c>
      <c r="B263" s="7"/>
      <c r="C263" s="7"/>
      <c r="D263" s="8">
        <f t="shared" si="4"/>
        <v>0</v>
      </c>
    </row>
    <row r="264" spans="1:4" ht="18" hidden="1" x14ac:dyDescent="0.35">
      <c r="A264" s="10" t="s">
        <v>262</v>
      </c>
      <c r="B264" s="7"/>
      <c r="C264" s="7"/>
      <c r="D264" s="8">
        <f t="shared" si="4"/>
        <v>0</v>
      </c>
    </row>
    <row r="265" spans="1:4" ht="18" x14ac:dyDescent="0.3">
      <c r="A265" s="10" t="s">
        <v>263</v>
      </c>
      <c r="B265" s="7">
        <f>65+7</f>
        <v>72</v>
      </c>
      <c r="C265" s="7">
        <v>6000</v>
      </c>
      <c r="D265" s="8">
        <f t="shared" si="4"/>
        <v>432000</v>
      </c>
    </row>
    <row r="266" spans="1:4" ht="18" hidden="1" x14ac:dyDescent="0.35">
      <c r="A266" s="10" t="s">
        <v>264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265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266</v>
      </c>
      <c r="B268" s="7"/>
      <c r="C268" s="7"/>
      <c r="D268" s="8">
        <f t="shared" si="4"/>
        <v>0</v>
      </c>
    </row>
    <row r="269" spans="1:4" ht="18" x14ac:dyDescent="0.3">
      <c r="A269" s="10" t="s">
        <v>267</v>
      </c>
      <c r="B269" s="7">
        <v>40</v>
      </c>
      <c r="C269" s="7">
        <v>34000</v>
      </c>
      <c r="D269" s="8">
        <f t="shared" si="4"/>
        <v>1360000</v>
      </c>
    </row>
    <row r="270" spans="1:4" ht="18" hidden="1" x14ac:dyDescent="0.35">
      <c r="A270" s="22" t="s">
        <v>268</v>
      </c>
      <c r="B270" s="7"/>
      <c r="C270" s="7"/>
      <c r="D270" s="8">
        <f t="shared" si="4"/>
        <v>0</v>
      </c>
    </row>
    <row r="271" spans="1:4" ht="18" x14ac:dyDescent="0.3">
      <c r="A271" s="10" t="s">
        <v>269</v>
      </c>
      <c r="B271" s="7">
        <f>23+10+10</f>
        <v>43</v>
      </c>
      <c r="C271" s="7">
        <v>25000</v>
      </c>
      <c r="D271" s="8">
        <f t="shared" si="4"/>
        <v>1075000</v>
      </c>
    </row>
    <row r="272" spans="1:4" ht="18" hidden="1" x14ac:dyDescent="0.35">
      <c r="A272" s="10" t="s">
        <v>270</v>
      </c>
      <c r="B272" s="7"/>
      <c r="C272" s="7"/>
      <c r="D272" s="8">
        <f t="shared" si="4"/>
        <v>0</v>
      </c>
    </row>
    <row r="273" spans="1:4" ht="18" hidden="1" x14ac:dyDescent="0.35">
      <c r="A273" s="30" t="s">
        <v>271</v>
      </c>
      <c r="B273" s="7"/>
      <c r="C273" s="7"/>
      <c r="D273" s="8">
        <f t="shared" si="4"/>
        <v>0</v>
      </c>
    </row>
    <row r="274" spans="1:4" ht="18" hidden="1" x14ac:dyDescent="0.35">
      <c r="A274" s="6" t="s">
        <v>272</v>
      </c>
      <c r="B274" s="12"/>
      <c r="C274" s="7"/>
      <c r="D274" s="8">
        <f t="shared" si="4"/>
        <v>0</v>
      </c>
    </row>
    <row r="275" spans="1:4" ht="18" x14ac:dyDescent="0.3">
      <c r="A275" s="10" t="s">
        <v>273</v>
      </c>
      <c r="B275" s="7">
        <f>10+5</f>
        <v>15</v>
      </c>
      <c r="C275" s="7">
        <v>6000</v>
      </c>
      <c r="D275" s="8">
        <f t="shared" si="4"/>
        <v>90000</v>
      </c>
    </row>
    <row r="276" spans="1:4" ht="18" hidden="1" x14ac:dyDescent="0.35">
      <c r="A276" s="10" t="s">
        <v>274</v>
      </c>
      <c r="B276" s="7"/>
      <c r="C276" s="7"/>
      <c r="D276" s="8">
        <f t="shared" si="4"/>
        <v>0</v>
      </c>
    </row>
    <row r="277" spans="1:4" ht="18" x14ac:dyDescent="0.3">
      <c r="A277" s="10" t="s">
        <v>275</v>
      </c>
      <c r="B277" s="7">
        <v>10</v>
      </c>
      <c r="C277" s="7">
        <v>4500</v>
      </c>
      <c r="D277" s="8">
        <f t="shared" si="4"/>
        <v>45000</v>
      </c>
    </row>
    <row r="278" spans="1:4" ht="18" hidden="1" x14ac:dyDescent="0.35">
      <c r="A278" s="10" t="s">
        <v>276</v>
      </c>
      <c r="B278" s="7"/>
      <c r="C278" s="7"/>
      <c r="D278" s="8">
        <f t="shared" si="4"/>
        <v>0</v>
      </c>
    </row>
    <row r="279" spans="1:4" ht="18" x14ac:dyDescent="0.3">
      <c r="A279" s="22" t="s">
        <v>277</v>
      </c>
      <c r="B279" s="7">
        <v>18</v>
      </c>
      <c r="C279" s="7">
        <v>3500</v>
      </c>
      <c r="D279" s="8">
        <f t="shared" si="4"/>
        <v>63000</v>
      </c>
    </row>
    <row r="280" spans="1:4" ht="18" hidden="1" x14ac:dyDescent="0.35">
      <c r="A280" s="11" t="s">
        <v>278</v>
      </c>
      <c r="B280" s="7"/>
      <c r="C280" s="7"/>
      <c r="D280" s="8">
        <f t="shared" si="4"/>
        <v>0</v>
      </c>
    </row>
    <row r="281" spans="1:4" ht="18" hidden="1" x14ac:dyDescent="0.35">
      <c r="A281" s="10" t="s">
        <v>279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280</v>
      </c>
      <c r="B282" s="7"/>
      <c r="C282" s="7"/>
      <c r="D282" s="8">
        <f t="shared" si="4"/>
        <v>0</v>
      </c>
    </row>
    <row r="283" spans="1:4" ht="18" x14ac:dyDescent="0.3">
      <c r="A283" s="10" t="s">
        <v>281</v>
      </c>
      <c r="B283" s="7">
        <v>3</v>
      </c>
      <c r="C283" s="7">
        <v>6000</v>
      </c>
      <c r="D283" s="8">
        <f t="shared" si="4"/>
        <v>18000</v>
      </c>
    </row>
    <row r="284" spans="1:4" ht="18" hidden="1" x14ac:dyDescent="0.35">
      <c r="A284" s="10" t="s">
        <v>282</v>
      </c>
      <c r="B284" s="7"/>
      <c r="C284" s="7"/>
      <c r="D284" s="8">
        <f t="shared" si="4"/>
        <v>0</v>
      </c>
    </row>
    <row r="285" spans="1:4" ht="18" hidden="1" x14ac:dyDescent="0.35">
      <c r="A285" s="6" t="s">
        <v>283</v>
      </c>
      <c r="B285" s="7"/>
      <c r="C285" s="7"/>
      <c r="D285" s="8">
        <f t="shared" si="4"/>
        <v>0</v>
      </c>
    </row>
    <row r="286" spans="1:4" ht="18" hidden="1" x14ac:dyDescent="0.35">
      <c r="A286" s="10" t="s">
        <v>284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285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286</v>
      </c>
      <c r="B288" s="7"/>
      <c r="C288" s="7"/>
      <c r="D288" s="8">
        <f t="shared" si="4"/>
        <v>0</v>
      </c>
    </row>
    <row r="289" spans="1:4" ht="18" hidden="1" x14ac:dyDescent="0.35">
      <c r="A289" s="11" t="s">
        <v>287</v>
      </c>
      <c r="B289" s="7"/>
      <c r="C289" s="7"/>
      <c r="D289" s="8">
        <f t="shared" si="4"/>
        <v>0</v>
      </c>
    </row>
    <row r="290" spans="1:4" ht="18" hidden="1" x14ac:dyDescent="0.35">
      <c r="A290" s="10" t="s">
        <v>288</v>
      </c>
      <c r="B290" s="7"/>
      <c r="C290" s="7"/>
      <c r="D290" s="8">
        <f t="shared" si="4"/>
        <v>0</v>
      </c>
    </row>
    <row r="291" spans="1:4" ht="17.399999999999999" x14ac:dyDescent="0.3">
      <c r="A291" s="31"/>
      <c r="B291" s="32">
        <f t="shared" ref="B291:D291" si="5">SUM(B3:B290)</f>
        <v>8451</v>
      </c>
      <c r="C291" s="32"/>
      <c r="D291" s="32">
        <f t="shared" si="5"/>
        <v>102920800</v>
      </c>
    </row>
  </sheetData>
  <protectedRanges>
    <protectedRange password="CF71" sqref="B1:D290" name="tho"/>
  </protectedRanges>
  <autoFilter ref="A2:D291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1"/>
  <sheetViews>
    <sheetView topLeftCell="A113" workbookViewId="0">
      <selection activeCell="D291" sqref="D291"/>
    </sheetView>
  </sheetViews>
  <sheetFormatPr defaultRowHeight="14.4" x14ac:dyDescent="0.3"/>
  <cols>
    <col min="1" max="1" width="41" customWidth="1"/>
    <col min="3" max="3" width="14.21875" customWidth="1"/>
    <col min="4" max="4" width="22.6640625" customWidth="1"/>
  </cols>
  <sheetData>
    <row r="1" spans="1:4" x14ac:dyDescent="0.3">
      <c r="A1" s="1" t="s">
        <v>312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5">
      <c r="A3" s="6" t="s">
        <v>303</v>
      </c>
      <c r="B3" s="7"/>
      <c r="C3" s="7"/>
      <c r="D3" s="8">
        <f>B3*C3</f>
        <v>0</v>
      </c>
    </row>
    <row r="4" spans="1:4" ht="18" hidden="1" x14ac:dyDescent="0.35">
      <c r="A4" s="11" t="s">
        <v>304</v>
      </c>
      <c r="B4" s="7"/>
      <c r="C4" s="7"/>
      <c r="D4" s="8">
        <f t="shared" ref="D4:D67" si="0">B4*C4</f>
        <v>0</v>
      </c>
    </row>
    <row r="5" spans="1:4" ht="18" hidden="1" x14ac:dyDescent="0.35">
      <c r="A5" s="6" t="s">
        <v>305</v>
      </c>
      <c r="B5" s="7"/>
      <c r="C5" s="7"/>
      <c r="D5" s="8">
        <f t="shared" si="0"/>
        <v>0</v>
      </c>
    </row>
    <row r="6" spans="1:4" ht="18" hidden="1" x14ac:dyDescent="0.35">
      <c r="A6" s="6" t="s">
        <v>306</v>
      </c>
      <c r="B6" s="7"/>
      <c r="C6" s="7"/>
      <c r="D6" s="8">
        <f t="shared" si="0"/>
        <v>0</v>
      </c>
    </row>
    <row r="7" spans="1:4" ht="18" hidden="1" x14ac:dyDescent="0.35">
      <c r="A7" s="6" t="s">
        <v>2</v>
      </c>
      <c r="B7" s="7"/>
      <c r="C7" s="7"/>
      <c r="D7" s="8">
        <f t="shared" si="0"/>
        <v>0</v>
      </c>
    </row>
    <row r="8" spans="1:4" ht="18" hidden="1" x14ac:dyDescent="0.35">
      <c r="A8" s="9" t="s">
        <v>3</v>
      </c>
      <c r="B8" s="7"/>
      <c r="C8" s="7"/>
      <c r="D8" s="8">
        <f t="shared" si="0"/>
        <v>0</v>
      </c>
    </row>
    <row r="9" spans="1:4" ht="18" hidden="1" x14ac:dyDescent="0.35">
      <c r="A9" s="10" t="s">
        <v>4</v>
      </c>
      <c r="B9" s="7"/>
      <c r="C9" s="7"/>
      <c r="D9" s="8">
        <f t="shared" si="0"/>
        <v>0</v>
      </c>
    </row>
    <row r="10" spans="1:4" ht="18" hidden="1" x14ac:dyDescent="0.35">
      <c r="A10" s="6" t="s">
        <v>9</v>
      </c>
      <c r="B10" s="12"/>
      <c r="C10" s="12"/>
      <c r="D10" s="8">
        <f t="shared" si="0"/>
        <v>0</v>
      </c>
    </row>
    <row r="11" spans="1:4" ht="18" hidden="1" x14ac:dyDescent="0.35">
      <c r="A11" s="6" t="s">
        <v>10</v>
      </c>
      <c r="B11" s="12"/>
      <c r="C11" s="12"/>
      <c r="D11" s="8">
        <f t="shared" si="0"/>
        <v>0</v>
      </c>
    </row>
    <row r="12" spans="1:4" ht="18" hidden="1" x14ac:dyDescent="0.35">
      <c r="A12" s="10" t="s">
        <v>11</v>
      </c>
      <c r="B12" s="7"/>
      <c r="C12" s="7"/>
      <c r="D12" s="8">
        <f t="shared" si="0"/>
        <v>0</v>
      </c>
    </row>
    <row r="13" spans="1:4" ht="18" x14ac:dyDescent="0.3">
      <c r="A13" s="10" t="s">
        <v>12</v>
      </c>
      <c r="B13" s="7">
        <v>5</v>
      </c>
      <c r="C13" s="7">
        <v>7000</v>
      </c>
      <c r="D13" s="8">
        <f t="shared" si="0"/>
        <v>35000</v>
      </c>
    </row>
    <row r="14" spans="1:4" ht="18" hidden="1" x14ac:dyDescent="0.35">
      <c r="A14" s="10" t="s">
        <v>13</v>
      </c>
      <c r="B14" s="12"/>
      <c r="C14" s="12"/>
      <c r="D14" s="8">
        <f t="shared" si="0"/>
        <v>0</v>
      </c>
    </row>
    <row r="15" spans="1:4" ht="18" hidden="1" x14ac:dyDescent="0.35">
      <c r="A15" s="13" t="s">
        <v>14</v>
      </c>
      <c r="B15" s="7"/>
      <c r="C15" s="7"/>
      <c r="D15" s="8">
        <f t="shared" si="0"/>
        <v>0</v>
      </c>
    </row>
    <row r="16" spans="1:4" ht="18" hidden="1" x14ac:dyDescent="0.35">
      <c r="A16" s="11" t="s">
        <v>15</v>
      </c>
      <c r="B16" s="7"/>
      <c r="C16" s="7"/>
      <c r="D16" s="8">
        <f t="shared" si="0"/>
        <v>0</v>
      </c>
    </row>
    <row r="17" spans="1:4" ht="18" hidden="1" x14ac:dyDescent="0.35">
      <c r="A17" s="13" t="s">
        <v>16</v>
      </c>
      <c r="B17" s="7"/>
      <c r="C17" s="7"/>
      <c r="D17" s="8">
        <f t="shared" si="0"/>
        <v>0</v>
      </c>
    </row>
    <row r="18" spans="1:4" ht="18" hidden="1" x14ac:dyDescent="0.35">
      <c r="A18" s="10" t="s">
        <v>17</v>
      </c>
      <c r="B18" s="7"/>
      <c r="C18" s="7"/>
      <c r="D18" s="8">
        <f t="shared" si="0"/>
        <v>0</v>
      </c>
    </row>
    <row r="19" spans="1:4" ht="18" hidden="1" x14ac:dyDescent="0.35">
      <c r="A19" s="10" t="s">
        <v>18</v>
      </c>
      <c r="B19" s="7"/>
      <c r="C19" s="7"/>
      <c r="D19" s="8">
        <f t="shared" si="0"/>
        <v>0</v>
      </c>
    </row>
    <row r="20" spans="1:4" ht="18" hidden="1" x14ac:dyDescent="0.35">
      <c r="A20" s="10" t="s">
        <v>19</v>
      </c>
      <c r="B20" s="7"/>
      <c r="C20" s="7"/>
      <c r="D20" s="8">
        <f t="shared" si="0"/>
        <v>0</v>
      </c>
    </row>
    <row r="21" spans="1:4" ht="18" hidden="1" x14ac:dyDescent="0.35">
      <c r="A21" s="11" t="s">
        <v>20</v>
      </c>
      <c r="B21" s="7"/>
      <c r="C21" s="7"/>
      <c r="D21" s="8">
        <f t="shared" si="0"/>
        <v>0</v>
      </c>
    </row>
    <row r="22" spans="1:4" ht="18" x14ac:dyDescent="0.3">
      <c r="A22" s="10" t="s">
        <v>21</v>
      </c>
      <c r="B22" s="7">
        <f>60+15+30</f>
        <v>105</v>
      </c>
      <c r="C22" s="7">
        <v>22000</v>
      </c>
      <c r="D22" s="8">
        <f t="shared" si="0"/>
        <v>2310000</v>
      </c>
    </row>
    <row r="23" spans="1:4" ht="18" hidden="1" x14ac:dyDescent="0.35">
      <c r="A23" s="10" t="s">
        <v>22</v>
      </c>
      <c r="B23" s="7"/>
      <c r="C23" s="7"/>
      <c r="D23" s="8">
        <f t="shared" si="0"/>
        <v>0</v>
      </c>
    </row>
    <row r="24" spans="1:4" ht="18" hidden="1" x14ac:dyDescent="0.35">
      <c r="A24" s="10" t="s">
        <v>23</v>
      </c>
      <c r="B24" s="7"/>
      <c r="C24" s="7"/>
      <c r="D24" s="8">
        <f t="shared" si="0"/>
        <v>0</v>
      </c>
    </row>
    <row r="25" spans="1:4" ht="18" hidden="1" x14ac:dyDescent="0.35">
      <c r="A25" s="10" t="s">
        <v>24</v>
      </c>
      <c r="B25" s="7"/>
      <c r="C25" s="7"/>
      <c r="D25" s="8">
        <f t="shared" si="0"/>
        <v>0</v>
      </c>
    </row>
    <row r="26" spans="1:4" ht="18" hidden="1" x14ac:dyDescent="0.35">
      <c r="A26" s="10" t="s">
        <v>25</v>
      </c>
      <c r="B26" s="7"/>
      <c r="C26" s="7"/>
      <c r="D26" s="8">
        <f t="shared" si="0"/>
        <v>0</v>
      </c>
    </row>
    <row r="27" spans="1:4" ht="18" x14ac:dyDescent="0.3">
      <c r="A27" s="10" t="s">
        <v>26</v>
      </c>
      <c r="B27" s="7">
        <v>5</v>
      </c>
      <c r="C27" s="7">
        <v>19000</v>
      </c>
      <c r="D27" s="8">
        <f t="shared" si="0"/>
        <v>95000</v>
      </c>
    </row>
    <row r="28" spans="1:4" ht="18" hidden="1" x14ac:dyDescent="0.35">
      <c r="A28" s="10" t="s">
        <v>27</v>
      </c>
      <c r="B28" s="7"/>
      <c r="C28" s="7"/>
      <c r="D28" s="8">
        <f t="shared" si="0"/>
        <v>0</v>
      </c>
    </row>
    <row r="29" spans="1:4" ht="18" hidden="1" x14ac:dyDescent="0.35">
      <c r="A29" s="10" t="s">
        <v>28</v>
      </c>
      <c r="B29" s="7"/>
      <c r="C29" s="7"/>
      <c r="D29" s="8">
        <f t="shared" si="0"/>
        <v>0</v>
      </c>
    </row>
    <row r="30" spans="1:4" ht="18" hidden="1" x14ac:dyDescent="0.35">
      <c r="A30" s="10" t="s">
        <v>29</v>
      </c>
      <c r="B30" s="7"/>
      <c r="C30" s="7"/>
      <c r="D30" s="8">
        <f t="shared" si="0"/>
        <v>0</v>
      </c>
    </row>
    <row r="31" spans="1:4" ht="18" x14ac:dyDescent="0.3">
      <c r="A31" s="10" t="s">
        <v>30</v>
      </c>
      <c r="B31" s="7">
        <f>31+12</f>
        <v>43</v>
      </c>
      <c r="C31" s="7">
        <v>30000</v>
      </c>
      <c r="D31" s="8">
        <f t="shared" si="0"/>
        <v>1290000</v>
      </c>
    </row>
    <row r="32" spans="1:4" ht="18" hidden="1" x14ac:dyDescent="0.35">
      <c r="A32" s="10" t="s">
        <v>31</v>
      </c>
      <c r="B32" s="7"/>
      <c r="C32" s="7"/>
      <c r="D32" s="8">
        <f t="shared" si="0"/>
        <v>0</v>
      </c>
    </row>
    <row r="33" spans="1:4" ht="18" hidden="1" x14ac:dyDescent="0.35">
      <c r="A33" s="10" t="s">
        <v>32</v>
      </c>
      <c r="B33" s="7"/>
      <c r="C33" s="7"/>
      <c r="D33" s="8">
        <f t="shared" si="0"/>
        <v>0</v>
      </c>
    </row>
    <row r="34" spans="1:4" ht="18" x14ac:dyDescent="0.3">
      <c r="A34" s="10" t="s">
        <v>33</v>
      </c>
      <c r="B34" s="7">
        <v>15</v>
      </c>
      <c r="C34" s="7">
        <v>8000</v>
      </c>
      <c r="D34" s="8">
        <f t="shared" si="0"/>
        <v>120000</v>
      </c>
    </row>
    <row r="35" spans="1:4" ht="18" hidden="1" x14ac:dyDescent="0.35">
      <c r="A35" s="14" t="s">
        <v>34</v>
      </c>
      <c r="B35" s="7"/>
      <c r="C35" s="7"/>
      <c r="D35" s="8">
        <f t="shared" si="0"/>
        <v>0</v>
      </c>
    </row>
    <row r="36" spans="1:4" ht="18" hidden="1" x14ac:dyDescent="0.35">
      <c r="A36" s="10" t="s">
        <v>35</v>
      </c>
      <c r="B36" s="7"/>
      <c r="C36" s="7"/>
      <c r="D36" s="8">
        <f t="shared" si="0"/>
        <v>0</v>
      </c>
    </row>
    <row r="37" spans="1:4" ht="18" x14ac:dyDescent="0.3">
      <c r="A37" s="6" t="s">
        <v>36</v>
      </c>
      <c r="B37" s="7">
        <v>12</v>
      </c>
      <c r="C37" s="7">
        <v>20000</v>
      </c>
      <c r="D37" s="8">
        <f t="shared" si="0"/>
        <v>240000</v>
      </c>
    </row>
    <row r="38" spans="1:4" ht="18" hidden="1" x14ac:dyDescent="0.35">
      <c r="A38" s="10" t="s">
        <v>37</v>
      </c>
      <c r="B38" s="7"/>
      <c r="C38" s="7"/>
      <c r="D38" s="8">
        <f t="shared" si="0"/>
        <v>0</v>
      </c>
    </row>
    <row r="39" spans="1:4" ht="18" hidden="1" x14ac:dyDescent="0.35">
      <c r="A39" s="10" t="s">
        <v>38</v>
      </c>
      <c r="B39" s="7"/>
      <c r="C39" s="7"/>
      <c r="D39" s="8">
        <f t="shared" si="0"/>
        <v>0</v>
      </c>
    </row>
    <row r="40" spans="1:4" ht="18" hidden="1" x14ac:dyDescent="0.35">
      <c r="A40" s="15" t="s">
        <v>39</v>
      </c>
      <c r="B40" s="7"/>
      <c r="C40" s="7"/>
      <c r="D40" s="8">
        <f t="shared" si="0"/>
        <v>0</v>
      </c>
    </row>
    <row r="41" spans="1:4" ht="18" x14ac:dyDescent="0.3">
      <c r="A41" s="10" t="s">
        <v>40</v>
      </c>
      <c r="B41" s="7">
        <v>340</v>
      </c>
      <c r="C41" s="7">
        <v>12500</v>
      </c>
      <c r="D41" s="8">
        <f t="shared" si="0"/>
        <v>4250000</v>
      </c>
    </row>
    <row r="42" spans="1:4" ht="18" x14ac:dyDescent="0.3">
      <c r="A42" s="10" t="s">
        <v>41</v>
      </c>
      <c r="B42" s="7">
        <v>85</v>
      </c>
      <c r="C42" s="7">
        <v>22000</v>
      </c>
      <c r="D42" s="8">
        <f t="shared" si="0"/>
        <v>1870000</v>
      </c>
    </row>
    <row r="43" spans="1:4" ht="18" hidden="1" x14ac:dyDescent="0.35">
      <c r="A43" s="10" t="s">
        <v>42</v>
      </c>
      <c r="B43" s="7"/>
      <c r="C43" s="7"/>
      <c r="D43" s="8">
        <f t="shared" si="0"/>
        <v>0</v>
      </c>
    </row>
    <row r="44" spans="1:4" ht="18" hidden="1" x14ac:dyDescent="0.35">
      <c r="A44" s="10" t="s">
        <v>43</v>
      </c>
      <c r="B44" s="7"/>
      <c r="C44" s="7"/>
      <c r="D44" s="8">
        <f t="shared" si="0"/>
        <v>0</v>
      </c>
    </row>
    <row r="45" spans="1:4" ht="18" hidden="1" x14ac:dyDescent="0.35">
      <c r="A45" s="10" t="s">
        <v>44</v>
      </c>
      <c r="B45" s="7"/>
      <c r="C45" s="7"/>
      <c r="D45" s="8">
        <f t="shared" si="0"/>
        <v>0</v>
      </c>
    </row>
    <row r="46" spans="1:4" ht="18" x14ac:dyDescent="0.3">
      <c r="A46" s="16" t="s">
        <v>46</v>
      </c>
      <c r="B46" s="7">
        <v>110</v>
      </c>
      <c r="C46" s="7">
        <v>9000</v>
      </c>
      <c r="D46" s="8">
        <f t="shared" si="0"/>
        <v>990000</v>
      </c>
    </row>
    <row r="47" spans="1:4" ht="18" hidden="1" x14ac:dyDescent="0.35">
      <c r="A47" s="14" t="s">
        <v>47</v>
      </c>
      <c r="B47" s="7"/>
      <c r="C47" s="7"/>
      <c r="D47" s="8">
        <f t="shared" si="0"/>
        <v>0</v>
      </c>
    </row>
    <row r="48" spans="1:4" ht="18" hidden="1" x14ac:dyDescent="0.35">
      <c r="A48" s="11" t="s">
        <v>300</v>
      </c>
      <c r="B48" s="7"/>
      <c r="C48" s="7"/>
      <c r="D48" s="8">
        <f t="shared" si="0"/>
        <v>0</v>
      </c>
    </row>
    <row r="49" spans="1:4" ht="18" hidden="1" x14ac:dyDescent="0.35">
      <c r="A49" s="10" t="s">
        <v>48</v>
      </c>
      <c r="B49" s="7"/>
      <c r="C49" s="7"/>
      <c r="D49" s="8">
        <f t="shared" si="0"/>
        <v>0</v>
      </c>
    </row>
    <row r="50" spans="1:4" ht="18" hidden="1" x14ac:dyDescent="0.35">
      <c r="A50" s="10" t="s">
        <v>49</v>
      </c>
      <c r="B50" s="7"/>
      <c r="C50" s="7"/>
      <c r="D50" s="8">
        <f t="shared" si="0"/>
        <v>0</v>
      </c>
    </row>
    <row r="51" spans="1:4" ht="18" hidden="1" x14ac:dyDescent="0.35">
      <c r="A51" s="10" t="s">
        <v>50</v>
      </c>
      <c r="B51" s="7"/>
      <c r="C51" s="7"/>
      <c r="D51" s="8">
        <f t="shared" si="0"/>
        <v>0</v>
      </c>
    </row>
    <row r="52" spans="1:4" ht="18" hidden="1" x14ac:dyDescent="0.35">
      <c r="A52" s="6" t="s">
        <v>51</v>
      </c>
      <c r="B52" s="7"/>
      <c r="C52" s="7"/>
      <c r="D52" s="8">
        <f t="shared" si="0"/>
        <v>0</v>
      </c>
    </row>
    <row r="53" spans="1:4" ht="18" x14ac:dyDescent="0.3">
      <c r="A53" s="10" t="s">
        <v>52</v>
      </c>
      <c r="B53" s="7">
        <v>30</v>
      </c>
      <c r="C53" s="7">
        <v>6000</v>
      </c>
      <c r="D53" s="8">
        <f t="shared" si="0"/>
        <v>180000</v>
      </c>
    </row>
    <row r="54" spans="1:4" ht="18" hidden="1" x14ac:dyDescent="0.35">
      <c r="A54" s="14" t="s">
        <v>53</v>
      </c>
      <c r="B54" s="7"/>
      <c r="C54" s="7"/>
      <c r="D54" s="8">
        <f t="shared" si="0"/>
        <v>0</v>
      </c>
    </row>
    <row r="55" spans="1:4" ht="18" x14ac:dyDescent="0.3">
      <c r="A55" s="10" t="s">
        <v>54</v>
      </c>
      <c r="B55" s="7">
        <v>1</v>
      </c>
      <c r="C55" s="7">
        <v>20000</v>
      </c>
      <c r="D55" s="8">
        <f t="shared" si="0"/>
        <v>20000</v>
      </c>
    </row>
    <row r="56" spans="1:4" ht="18" hidden="1" x14ac:dyDescent="0.35">
      <c r="A56" s="17" t="s">
        <v>55</v>
      </c>
      <c r="B56" s="7"/>
      <c r="C56" s="7"/>
      <c r="D56" s="8">
        <f t="shared" si="0"/>
        <v>0</v>
      </c>
    </row>
    <row r="57" spans="1:4" ht="18" hidden="1" x14ac:dyDescent="0.35">
      <c r="A57" s="10" t="s">
        <v>56</v>
      </c>
      <c r="B57" s="7"/>
      <c r="C57" s="7"/>
      <c r="D57" s="8">
        <f t="shared" si="0"/>
        <v>0</v>
      </c>
    </row>
    <row r="58" spans="1:4" ht="18" hidden="1" x14ac:dyDescent="0.35">
      <c r="A58" s="10" t="s">
        <v>57</v>
      </c>
      <c r="B58" s="7"/>
      <c r="C58" s="7"/>
      <c r="D58" s="8">
        <f t="shared" si="0"/>
        <v>0</v>
      </c>
    </row>
    <row r="59" spans="1:4" ht="18" hidden="1" x14ac:dyDescent="0.35">
      <c r="A59" s="16" t="s">
        <v>58</v>
      </c>
      <c r="B59" s="7"/>
      <c r="C59" s="7"/>
      <c r="D59" s="8">
        <f t="shared" si="0"/>
        <v>0</v>
      </c>
    </row>
    <row r="60" spans="1:4" ht="18" hidden="1" x14ac:dyDescent="0.35">
      <c r="A60" s="6" t="s">
        <v>59</v>
      </c>
      <c r="B60" s="7"/>
      <c r="C60" s="7"/>
      <c r="D60" s="8">
        <f t="shared" si="0"/>
        <v>0</v>
      </c>
    </row>
    <row r="61" spans="1:4" ht="18" hidden="1" x14ac:dyDescent="0.35">
      <c r="A61" s="6" t="s">
        <v>60</v>
      </c>
      <c r="B61" s="7"/>
      <c r="C61" s="7"/>
      <c r="D61" s="8">
        <f t="shared" si="0"/>
        <v>0</v>
      </c>
    </row>
    <row r="62" spans="1:4" ht="18" hidden="1" x14ac:dyDescent="0.35">
      <c r="A62" s="10" t="s">
        <v>61</v>
      </c>
      <c r="B62" s="7"/>
      <c r="C62" s="7"/>
      <c r="D62" s="8">
        <f t="shared" si="0"/>
        <v>0</v>
      </c>
    </row>
    <row r="63" spans="1:4" ht="18" hidden="1" x14ac:dyDescent="0.35">
      <c r="A63" s="18" t="s">
        <v>62</v>
      </c>
      <c r="B63" s="19"/>
      <c r="C63" s="19"/>
      <c r="D63" s="8">
        <f t="shared" si="0"/>
        <v>0</v>
      </c>
    </row>
    <row r="64" spans="1:4" ht="18" hidden="1" x14ac:dyDescent="0.35">
      <c r="A64" s="10" t="s">
        <v>63</v>
      </c>
      <c r="B64" s="7"/>
      <c r="C64" s="7"/>
      <c r="D64" s="8">
        <f t="shared" si="0"/>
        <v>0</v>
      </c>
    </row>
    <row r="65" spans="1:4" ht="18" hidden="1" x14ac:dyDescent="0.35">
      <c r="A65" s="6" t="s">
        <v>64</v>
      </c>
      <c r="B65" s="7"/>
      <c r="C65" s="7"/>
      <c r="D65" s="8">
        <f t="shared" si="0"/>
        <v>0</v>
      </c>
    </row>
    <row r="66" spans="1:4" ht="18" hidden="1" x14ac:dyDescent="0.35">
      <c r="A66" s="6" t="s">
        <v>65</v>
      </c>
      <c r="B66" s="7"/>
      <c r="C66" s="7"/>
      <c r="D66" s="8">
        <f t="shared" si="0"/>
        <v>0</v>
      </c>
    </row>
    <row r="67" spans="1:4" ht="18" hidden="1" x14ac:dyDescent="0.35">
      <c r="A67" s="10" t="s">
        <v>66</v>
      </c>
      <c r="B67" s="7"/>
      <c r="C67" s="7"/>
      <c r="D67" s="8">
        <f t="shared" si="0"/>
        <v>0</v>
      </c>
    </row>
    <row r="68" spans="1:4" ht="18" x14ac:dyDescent="0.3">
      <c r="A68" s="6" t="s">
        <v>67</v>
      </c>
      <c r="B68" s="7">
        <f>40+25+40+30+100+15+45</f>
        <v>295</v>
      </c>
      <c r="C68" s="7">
        <v>25000</v>
      </c>
      <c r="D68" s="8">
        <f t="shared" ref="D68:D131" si="1">B68*C68</f>
        <v>7375000</v>
      </c>
    </row>
    <row r="69" spans="1:4" ht="18" hidden="1" x14ac:dyDescent="0.35">
      <c r="A69" s="10" t="s">
        <v>68</v>
      </c>
      <c r="B69" s="7"/>
      <c r="C69" s="7"/>
      <c r="D69" s="8">
        <f t="shared" si="1"/>
        <v>0</v>
      </c>
    </row>
    <row r="70" spans="1:4" ht="18" hidden="1" x14ac:dyDescent="0.35">
      <c r="A70" s="10" t="s">
        <v>69</v>
      </c>
      <c r="B70" s="7"/>
      <c r="C70" s="7"/>
      <c r="D70" s="8">
        <f t="shared" si="1"/>
        <v>0</v>
      </c>
    </row>
    <row r="71" spans="1:4" ht="18" x14ac:dyDescent="0.35">
      <c r="A71" s="10" t="s">
        <v>70</v>
      </c>
      <c r="B71" s="7">
        <v>7</v>
      </c>
      <c r="C71" s="7">
        <v>12000</v>
      </c>
      <c r="D71" s="8">
        <f t="shared" si="1"/>
        <v>84000</v>
      </c>
    </row>
    <row r="72" spans="1:4" ht="18" hidden="1" x14ac:dyDescent="0.35">
      <c r="A72" s="10" t="s">
        <v>71</v>
      </c>
      <c r="B72" s="7"/>
      <c r="C72" s="7"/>
      <c r="D72" s="8">
        <f t="shared" si="1"/>
        <v>0</v>
      </c>
    </row>
    <row r="73" spans="1:4" ht="18" hidden="1" x14ac:dyDescent="0.35">
      <c r="A73" s="20" t="s">
        <v>72</v>
      </c>
      <c r="B73" s="7"/>
      <c r="C73" s="7"/>
      <c r="D73" s="8">
        <f t="shared" si="1"/>
        <v>0</v>
      </c>
    </row>
    <row r="74" spans="1:4" ht="18" hidden="1" x14ac:dyDescent="0.35">
      <c r="A74" s="21" t="s">
        <v>73</v>
      </c>
      <c r="B74" s="7"/>
      <c r="C74" s="7"/>
      <c r="D74" s="8">
        <f t="shared" si="1"/>
        <v>0</v>
      </c>
    </row>
    <row r="75" spans="1:4" ht="18" hidden="1" x14ac:dyDescent="0.35">
      <c r="A75" s="20" t="s">
        <v>74</v>
      </c>
      <c r="B75" s="7"/>
      <c r="C75" s="7"/>
      <c r="D75" s="8">
        <f t="shared" si="1"/>
        <v>0</v>
      </c>
    </row>
    <row r="76" spans="1:4" ht="18" hidden="1" x14ac:dyDescent="0.35">
      <c r="A76" s="14" t="s">
        <v>75</v>
      </c>
      <c r="B76" s="7"/>
      <c r="C76" s="7"/>
      <c r="D76" s="8">
        <f t="shared" si="1"/>
        <v>0</v>
      </c>
    </row>
    <row r="77" spans="1:4" ht="18" hidden="1" x14ac:dyDescent="0.35">
      <c r="A77" s="22" t="s">
        <v>76</v>
      </c>
      <c r="B77" s="7"/>
      <c r="C77" s="7"/>
      <c r="D77" s="8">
        <f t="shared" si="1"/>
        <v>0</v>
      </c>
    </row>
    <row r="78" spans="1:4" ht="18" hidden="1" x14ac:dyDescent="0.35">
      <c r="A78" s="22" t="s">
        <v>77</v>
      </c>
      <c r="B78" s="7"/>
      <c r="C78" s="7"/>
      <c r="D78" s="8">
        <f t="shared" si="1"/>
        <v>0</v>
      </c>
    </row>
    <row r="79" spans="1:4" ht="18" hidden="1" x14ac:dyDescent="0.35">
      <c r="A79" s="22" t="s">
        <v>78</v>
      </c>
      <c r="B79" s="7"/>
      <c r="C79" s="7"/>
      <c r="D79" s="8">
        <f t="shared" si="1"/>
        <v>0</v>
      </c>
    </row>
    <row r="80" spans="1:4" ht="18" hidden="1" x14ac:dyDescent="0.35">
      <c r="A80" s="22" t="s">
        <v>79</v>
      </c>
      <c r="B80" s="7"/>
      <c r="C80" s="7"/>
      <c r="D80" s="8">
        <f t="shared" si="1"/>
        <v>0</v>
      </c>
    </row>
    <row r="81" spans="1:4" ht="18" hidden="1" x14ac:dyDescent="0.35">
      <c r="A81" s="10" t="s">
        <v>80</v>
      </c>
      <c r="B81" s="23"/>
      <c r="C81" s="23"/>
      <c r="D81" s="8">
        <f t="shared" si="1"/>
        <v>0</v>
      </c>
    </row>
    <row r="82" spans="1:4" ht="18" hidden="1" x14ac:dyDescent="0.35">
      <c r="A82" s="10" t="s">
        <v>81</v>
      </c>
      <c r="B82" s="7"/>
      <c r="C82" s="7"/>
      <c r="D82" s="8">
        <f t="shared" si="1"/>
        <v>0</v>
      </c>
    </row>
    <row r="83" spans="1:4" ht="18" x14ac:dyDescent="0.3">
      <c r="A83" s="10" t="s">
        <v>82</v>
      </c>
      <c r="B83" s="7">
        <f>35+72+40+10</f>
        <v>157</v>
      </c>
      <c r="C83" s="7">
        <v>25500</v>
      </c>
      <c r="D83" s="8">
        <f t="shared" si="1"/>
        <v>4003500</v>
      </c>
    </row>
    <row r="84" spans="1:4" ht="18" hidden="1" x14ac:dyDescent="0.35">
      <c r="A84" s="10" t="s">
        <v>83</v>
      </c>
      <c r="B84" s="7"/>
      <c r="C84" s="7"/>
      <c r="D84" s="8">
        <f t="shared" si="1"/>
        <v>0</v>
      </c>
    </row>
    <row r="85" spans="1:4" ht="18" hidden="1" x14ac:dyDescent="0.35">
      <c r="A85" s="10" t="s">
        <v>84</v>
      </c>
      <c r="B85" s="7"/>
      <c r="C85" s="7"/>
      <c r="D85" s="8">
        <f t="shared" si="1"/>
        <v>0</v>
      </c>
    </row>
    <row r="86" spans="1:4" ht="18" hidden="1" x14ac:dyDescent="0.35">
      <c r="A86" s="10" t="s">
        <v>85</v>
      </c>
      <c r="B86" s="7"/>
      <c r="C86" s="7"/>
      <c r="D86" s="8">
        <f t="shared" si="1"/>
        <v>0</v>
      </c>
    </row>
    <row r="87" spans="1:4" ht="18" hidden="1" x14ac:dyDescent="0.35">
      <c r="A87" s="10" t="s">
        <v>86</v>
      </c>
      <c r="B87" s="7"/>
      <c r="C87" s="7"/>
      <c r="D87" s="8">
        <f t="shared" si="1"/>
        <v>0</v>
      </c>
    </row>
    <row r="88" spans="1:4" ht="18" hidden="1" x14ac:dyDescent="0.35">
      <c r="A88" s="24" t="s">
        <v>87</v>
      </c>
      <c r="B88" s="7"/>
      <c r="C88" s="7"/>
      <c r="D88" s="8">
        <f t="shared" si="1"/>
        <v>0</v>
      </c>
    </row>
    <row r="89" spans="1:4" ht="18" hidden="1" x14ac:dyDescent="0.35">
      <c r="A89" s="10" t="s">
        <v>88</v>
      </c>
      <c r="B89" s="7"/>
      <c r="C89" s="7"/>
      <c r="D89" s="8">
        <f t="shared" si="1"/>
        <v>0</v>
      </c>
    </row>
    <row r="90" spans="1:4" ht="18" hidden="1" x14ac:dyDescent="0.35">
      <c r="A90" s="10" t="s">
        <v>89</v>
      </c>
      <c r="B90" s="7"/>
      <c r="C90" s="7"/>
      <c r="D90" s="8">
        <f t="shared" si="1"/>
        <v>0</v>
      </c>
    </row>
    <row r="91" spans="1:4" ht="18" hidden="1" x14ac:dyDescent="0.35">
      <c r="A91" s="10" t="s">
        <v>90</v>
      </c>
      <c r="B91" s="12"/>
      <c r="C91" s="7"/>
      <c r="D91" s="8">
        <f t="shared" si="1"/>
        <v>0</v>
      </c>
    </row>
    <row r="92" spans="1:4" ht="18" hidden="1" x14ac:dyDescent="0.35">
      <c r="A92" s="22" t="s">
        <v>91</v>
      </c>
      <c r="B92" s="7"/>
      <c r="C92" s="7"/>
      <c r="D92" s="8">
        <f t="shared" si="1"/>
        <v>0</v>
      </c>
    </row>
    <row r="93" spans="1:4" ht="18" hidden="1" x14ac:dyDescent="0.35">
      <c r="A93" s="6" t="s">
        <v>93</v>
      </c>
      <c r="B93" s="7"/>
      <c r="C93" s="7"/>
      <c r="D93" s="8">
        <f t="shared" si="1"/>
        <v>0</v>
      </c>
    </row>
    <row r="94" spans="1:4" ht="18" hidden="1" x14ac:dyDescent="0.35">
      <c r="A94" s="14" t="s">
        <v>94</v>
      </c>
      <c r="B94" s="7"/>
      <c r="C94" s="7"/>
      <c r="D94" s="8">
        <f t="shared" si="1"/>
        <v>0</v>
      </c>
    </row>
    <row r="95" spans="1:4" ht="18" hidden="1" x14ac:dyDescent="0.35">
      <c r="A95" s="6" t="s">
        <v>95</v>
      </c>
      <c r="B95" s="7"/>
      <c r="C95" s="7"/>
      <c r="D95" s="8">
        <f t="shared" si="1"/>
        <v>0</v>
      </c>
    </row>
    <row r="96" spans="1:4" ht="18" hidden="1" x14ac:dyDescent="0.35">
      <c r="A96" s="10" t="s">
        <v>96</v>
      </c>
      <c r="B96" s="7"/>
      <c r="C96" s="7"/>
      <c r="D96" s="8">
        <f t="shared" si="1"/>
        <v>0</v>
      </c>
    </row>
    <row r="97" spans="1:4" ht="18" hidden="1" x14ac:dyDescent="0.35">
      <c r="A97" s="27" t="s">
        <v>97</v>
      </c>
      <c r="B97" s="7"/>
      <c r="C97" s="7"/>
      <c r="D97" s="8">
        <f t="shared" si="1"/>
        <v>0</v>
      </c>
    </row>
    <row r="98" spans="1:4" ht="18" x14ac:dyDescent="0.3">
      <c r="A98" s="26" t="s">
        <v>98</v>
      </c>
      <c r="B98" s="7">
        <v>60</v>
      </c>
      <c r="C98" s="7">
        <v>16000</v>
      </c>
      <c r="D98" s="8">
        <f t="shared" si="1"/>
        <v>960000</v>
      </c>
    </row>
    <row r="99" spans="1:4" ht="18" hidden="1" x14ac:dyDescent="0.35">
      <c r="A99" s="26" t="s">
        <v>99</v>
      </c>
      <c r="B99" s="7"/>
      <c r="C99" s="7"/>
      <c r="D99" s="8">
        <f t="shared" si="1"/>
        <v>0</v>
      </c>
    </row>
    <row r="100" spans="1:4" ht="18" hidden="1" x14ac:dyDescent="0.35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5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5">
      <c r="A102" s="10" t="s">
        <v>102</v>
      </c>
      <c r="B102" s="12"/>
      <c r="C102" s="12"/>
      <c r="D102" s="8">
        <f t="shared" si="1"/>
        <v>0</v>
      </c>
    </row>
    <row r="103" spans="1:4" ht="18" hidden="1" x14ac:dyDescent="0.35">
      <c r="A103" s="10" t="s">
        <v>103</v>
      </c>
      <c r="B103" s="12"/>
      <c r="C103" s="12"/>
      <c r="D103" s="8">
        <f t="shared" si="1"/>
        <v>0</v>
      </c>
    </row>
    <row r="104" spans="1:4" ht="18" hidden="1" x14ac:dyDescent="0.35">
      <c r="A104" s="10" t="s">
        <v>104</v>
      </c>
      <c r="B104" s="12"/>
      <c r="C104" s="12"/>
      <c r="D104" s="8">
        <f t="shared" si="1"/>
        <v>0</v>
      </c>
    </row>
    <row r="105" spans="1:4" ht="18" hidden="1" x14ac:dyDescent="0.35">
      <c r="A105" s="10" t="s">
        <v>105</v>
      </c>
      <c r="B105" s="12"/>
      <c r="C105" s="12"/>
      <c r="D105" s="8">
        <f t="shared" si="1"/>
        <v>0</v>
      </c>
    </row>
    <row r="106" spans="1:4" ht="18" hidden="1" x14ac:dyDescent="0.35">
      <c r="A106" s="10" t="s">
        <v>106</v>
      </c>
      <c r="B106" s="12"/>
      <c r="C106" s="12"/>
      <c r="D106" s="8">
        <f t="shared" si="1"/>
        <v>0</v>
      </c>
    </row>
    <row r="107" spans="1:4" ht="18" hidden="1" x14ac:dyDescent="0.35">
      <c r="A107" s="10" t="s">
        <v>107</v>
      </c>
      <c r="B107" s="12"/>
      <c r="C107" s="12"/>
      <c r="D107" s="8">
        <f t="shared" si="1"/>
        <v>0</v>
      </c>
    </row>
    <row r="108" spans="1:4" ht="18" hidden="1" x14ac:dyDescent="0.35">
      <c r="A108" s="10" t="s">
        <v>108</v>
      </c>
      <c r="B108" s="12"/>
      <c r="C108" s="12"/>
      <c r="D108" s="8">
        <f t="shared" si="1"/>
        <v>0</v>
      </c>
    </row>
    <row r="109" spans="1:4" ht="18" hidden="1" x14ac:dyDescent="0.35">
      <c r="A109" s="10" t="s">
        <v>109</v>
      </c>
      <c r="B109" s="12"/>
      <c r="C109" s="12"/>
      <c r="D109" s="8">
        <f t="shared" si="1"/>
        <v>0</v>
      </c>
    </row>
    <row r="110" spans="1:4" ht="18" hidden="1" x14ac:dyDescent="0.35">
      <c r="A110" s="10" t="s">
        <v>110</v>
      </c>
      <c r="B110" s="12"/>
      <c r="C110" s="12"/>
      <c r="D110" s="8">
        <f t="shared" si="1"/>
        <v>0</v>
      </c>
    </row>
    <row r="111" spans="1:4" ht="18" hidden="1" x14ac:dyDescent="0.35">
      <c r="A111" s="10" t="s">
        <v>111</v>
      </c>
      <c r="B111" s="12"/>
      <c r="C111" s="12"/>
      <c r="D111" s="8">
        <f t="shared" si="1"/>
        <v>0</v>
      </c>
    </row>
    <row r="112" spans="1:4" ht="18" hidden="1" x14ac:dyDescent="0.35">
      <c r="A112" s="10" t="s">
        <v>112</v>
      </c>
      <c r="B112" s="12"/>
      <c r="C112" s="12"/>
      <c r="D112" s="8">
        <f t="shared" si="1"/>
        <v>0</v>
      </c>
    </row>
    <row r="113" spans="1:4" ht="18" x14ac:dyDescent="0.3">
      <c r="A113" s="6" t="s">
        <v>113</v>
      </c>
      <c r="B113" s="7">
        <f>50+180+25+150</f>
        <v>405</v>
      </c>
      <c r="C113" s="7">
        <v>10000</v>
      </c>
      <c r="D113" s="8">
        <f t="shared" si="1"/>
        <v>4050000</v>
      </c>
    </row>
    <row r="114" spans="1:4" ht="18" x14ac:dyDescent="0.3">
      <c r="A114" s="10" t="s">
        <v>114</v>
      </c>
      <c r="B114" s="7">
        <v>35</v>
      </c>
      <c r="C114" s="7">
        <v>6000</v>
      </c>
      <c r="D114" s="8">
        <f t="shared" si="1"/>
        <v>210000</v>
      </c>
    </row>
    <row r="115" spans="1:4" ht="18" hidden="1" x14ac:dyDescent="0.35">
      <c r="A115" s="10" t="s">
        <v>115</v>
      </c>
      <c r="B115" s="7"/>
      <c r="C115" s="7"/>
      <c r="D115" s="8">
        <f t="shared" si="1"/>
        <v>0</v>
      </c>
    </row>
    <row r="116" spans="1:4" ht="18" hidden="1" x14ac:dyDescent="0.35">
      <c r="A116" s="6" t="s">
        <v>116</v>
      </c>
      <c r="B116" s="7"/>
      <c r="C116" s="7"/>
      <c r="D116" s="8">
        <f t="shared" si="1"/>
        <v>0</v>
      </c>
    </row>
    <row r="117" spans="1:4" ht="18" hidden="1" x14ac:dyDescent="0.35">
      <c r="A117" s="10" t="s">
        <v>117</v>
      </c>
      <c r="B117" s="7"/>
      <c r="C117" s="7"/>
      <c r="D117" s="8">
        <f t="shared" si="1"/>
        <v>0</v>
      </c>
    </row>
    <row r="118" spans="1:4" ht="18" hidden="1" x14ac:dyDescent="0.35">
      <c r="A118" s="10" t="s">
        <v>118</v>
      </c>
      <c r="B118" s="7"/>
      <c r="C118" s="7"/>
      <c r="D118" s="8">
        <f t="shared" si="1"/>
        <v>0</v>
      </c>
    </row>
    <row r="119" spans="1:4" ht="18" hidden="1" x14ac:dyDescent="0.35">
      <c r="A119" s="10" t="s">
        <v>119</v>
      </c>
      <c r="B119" s="7"/>
      <c r="C119" s="7"/>
      <c r="D119" s="8">
        <f t="shared" si="1"/>
        <v>0</v>
      </c>
    </row>
    <row r="120" spans="1:4" ht="18" x14ac:dyDescent="0.3">
      <c r="A120" s="10" t="s">
        <v>120</v>
      </c>
      <c r="B120" s="7">
        <f>2480+315+315+675+30+405+170</f>
        <v>4390</v>
      </c>
      <c r="C120" s="7">
        <v>5000</v>
      </c>
      <c r="D120" s="8">
        <f t="shared" si="1"/>
        <v>21950000</v>
      </c>
    </row>
    <row r="121" spans="1:4" ht="18" hidden="1" x14ac:dyDescent="0.35">
      <c r="A121" s="10" t="s">
        <v>121</v>
      </c>
      <c r="B121" s="7"/>
      <c r="C121" s="7"/>
      <c r="D121" s="8">
        <f t="shared" si="1"/>
        <v>0</v>
      </c>
    </row>
    <row r="122" spans="1:4" ht="18" hidden="1" x14ac:dyDescent="0.35">
      <c r="A122" s="11" t="s">
        <v>122</v>
      </c>
      <c r="B122" s="7"/>
      <c r="C122" s="7"/>
      <c r="D122" s="8">
        <f t="shared" si="1"/>
        <v>0</v>
      </c>
    </row>
    <row r="123" spans="1:4" ht="18" hidden="1" x14ac:dyDescent="0.35">
      <c r="A123" s="22" t="s">
        <v>123</v>
      </c>
      <c r="B123" s="7"/>
      <c r="C123" s="7"/>
      <c r="D123" s="8">
        <f t="shared" si="1"/>
        <v>0</v>
      </c>
    </row>
    <row r="124" spans="1:4" ht="18" hidden="1" x14ac:dyDescent="0.35">
      <c r="A124" s="28" t="s">
        <v>124</v>
      </c>
      <c r="B124" s="7"/>
      <c r="C124" s="7"/>
      <c r="D124" s="8">
        <f t="shared" si="1"/>
        <v>0</v>
      </c>
    </row>
    <row r="125" spans="1:4" ht="18" hidden="1" x14ac:dyDescent="0.35">
      <c r="A125" s="22" t="s">
        <v>125</v>
      </c>
      <c r="B125" s="7"/>
      <c r="C125" s="7"/>
      <c r="D125" s="8">
        <f t="shared" si="1"/>
        <v>0</v>
      </c>
    </row>
    <row r="126" spans="1:4" ht="18" hidden="1" x14ac:dyDescent="0.35">
      <c r="A126" s="6" t="s">
        <v>126</v>
      </c>
      <c r="B126" s="12"/>
      <c r="C126" s="12"/>
      <c r="D126" s="8">
        <f t="shared" si="1"/>
        <v>0</v>
      </c>
    </row>
    <row r="127" spans="1:4" ht="18" hidden="1" x14ac:dyDescent="0.35">
      <c r="A127" s="6" t="s">
        <v>127</v>
      </c>
      <c r="B127" s="12"/>
      <c r="C127" s="12"/>
      <c r="D127" s="8">
        <f t="shared" si="1"/>
        <v>0</v>
      </c>
    </row>
    <row r="128" spans="1:4" ht="18" hidden="1" x14ac:dyDescent="0.35">
      <c r="A128" s="6" t="s">
        <v>128</v>
      </c>
      <c r="B128" s="12"/>
      <c r="C128" s="12"/>
      <c r="D128" s="8">
        <f t="shared" si="1"/>
        <v>0</v>
      </c>
    </row>
    <row r="129" spans="1:4" ht="18" hidden="1" x14ac:dyDescent="0.35">
      <c r="A129" s="6" t="s">
        <v>129</v>
      </c>
      <c r="B129" s="29"/>
      <c r="C129" s="29"/>
      <c r="D129" s="8">
        <f t="shared" si="1"/>
        <v>0</v>
      </c>
    </row>
    <row r="130" spans="1:4" ht="18" hidden="1" x14ac:dyDescent="0.35">
      <c r="A130" s="10" t="s">
        <v>130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131</v>
      </c>
      <c r="B131" s="12"/>
      <c r="C131" s="12"/>
      <c r="D131" s="8">
        <f t="shared" si="1"/>
        <v>0</v>
      </c>
    </row>
    <row r="132" spans="1:4" ht="18" hidden="1" x14ac:dyDescent="0.35">
      <c r="A132" s="14" t="s">
        <v>132</v>
      </c>
      <c r="B132" s="7"/>
      <c r="C132" s="7"/>
      <c r="D132" s="8">
        <f t="shared" ref="D132:D195" si="2">B132*C132</f>
        <v>0</v>
      </c>
    </row>
    <row r="133" spans="1:4" ht="18" hidden="1" x14ac:dyDescent="0.35">
      <c r="A133" s="14" t="s">
        <v>133</v>
      </c>
      <c r="B133" s="7"/>
      <c r="C133" s="7"/>
      <c r="D133" s="8">
        <f t="shared" si="2"/>
        <v>0</v>
      </c>
    </row>
    <row r="134" spans="1:4" ht="18" hidden="1" x14ac:dyDescent="0.35">
      <c r="A134" s="14" t="s">
        <v>134</v>
      </c>
      <c r="B134" s="7"/>
      <c r="C134" s="7"/>
      <c r="D134" s="8">
        <f t="shared" si="2"/>
        <v>0</v>
      </c>
    </row>
    <row r="135" spans="1:4" ht="18" hidden="1" x14ac:dyDescent="0.35">
      <c r="A135" s="10" t="s">
        <v>135</v>
      </c>
      <c r="B135" s="7"/>
      <c r="C135" s="7"/>
      <c r="D135" s="8">
        <f t="shared" si="2"/>
        <v>0</v>
      </c>
    </row>
    <row r="136" spans="1:4" ht="18" hidden="1" x14ac:dyDescent="0.35">
      <c r="A136" s="14" t="s">
        <v>136</v>
      </c>
      <c r="B136" s="7"/>
      <c r="C136" s="7"/>
      <c r="D136" s="8">
        <f t="shared" si="2"/>
        <v>0</v>
      </c>
    </row>
    <row r="137" spans="1:4" ht="18" hidden="1" x14ac:dyDescent="0.35">
      <c r="A137" s="10" t="s">
        <v>137</v>
      </c>
      <c r="B137" s="12"/>
      <c r="C137" s="12"/>
      <c r="D137" s="8">
        <f t="shared" si="2"/>
        <v>0</v>
      </c>
    </row>
    <row r="138" spans="1:4" ht="18" hidden="1" x14ac:dyDescent="0.35">
      <c r="A138" s="6" t="s">
        <v>138</v>
      </c>
      <c r="B138" s="12"/>
      <c r="C138" s="12"/>
      <c r="D138" s="8">
        <f t="shared" si="2"/>
        <v>0</v>
      </c>
    </row>
    <row r="139" spans="1:4" ht="18" x14ac:dyDescent="0.3">
      <c r="A139" s="10" t="s">
        <v>139</v>
      </c>
      <c r="B139" s="7">
        <f>45+68</f>
        <v>113</v>
      </c>
      <c r="C139" s="7">
        <v>12000</v>
      </c>
      <c r="D139" s="8">
        <f t="shared" si="2"/>
        <v>1356000</v>
      </c>
    </row>
    <row r="140" spans="1:4" ht="18" hidden="1" x14ac:dyDescent="0.35">
      <c r="A140" s="22" t="s">
        <v>140</v>
      </c>
      <c r="B140" s="7"/>
      <c r="C140" s="7"/>
      <c r="D140" s="8">
        <f t="shared" si="2"/>
        <v>0</v>
      </c>
    </row>
    <row r="141" spans="1:4" ht="18" hidden="1" x14ac:dyDescent="0.35">
      <c r="A141" s="6" t="s">
        <v>141</v>
      </c>
      <c r="B141" s="7"/>
      <c r="C141" s="7"/>
      <c r="D141" s="8">
        <f t="shared" si="2"/>
        <v>0</v>
      </c>
    </row>
    <row r="142" spans="1:4" ht="18" x14ac:dyDescent="0.3">
      <c r="A142" s="10" t="s">
        <v>142</v>
      </c>
      <c r="B142" s="7">
        <f>150+310+60+90+70</f>
        <v>680</v>
      </c>
      <c r="C142" s="7">
        <v>27500</v>
      </c>
      <c r="D142" s="8">
        <f t="shared" si="2"/>
        <v>18700000</v>
      </c>
    </row>
    <row r="143" spans="1:4" ht="18" hidden="1" x14ac:dyDescent="0.35">
      <c r="A143" s="24" t="s">
        <v>143</v>
      </c>
      <c r="B143" s="7"/>
      <c r="C143" s="7"/>
      <c r="D143" s="8">
        <f t="shared" si="2"/>
        <v>0</v>
      </c>
    </row>
    <row r="144" spans="1:4" ht="18" hidden="1" x14ac:dyDescent="0.35">
      <c r="A144" s="24" t="s">
        <v>144</v>
      </c>
      <c r="B144" s="7"/>
      <c r="C144" s="7"/>
      <c r="D144" s="8">
        <f t="shared" si="2"/>
        <v>0</v>
      </c>
    </row>
    <row r="145" spans="1:4" ht="18" hidden="1" x14ac:dyDescent="0.35">
      <c r="A145" s="10" t="s">
        <v>145</v>
      </c>
      <c r="B145" s="7"/>
      <c r="C145" s="7"/>
      <c r="D145" s="8">
        <f t="shared" si="2"/>
        <v>0</v>
      </c>
    </row>
    <row r="146" spans="1:4" ht="18" hidden="1" x14ac:dyDescent="0.35">
      <c r="A146" s="10" t="s">
        <v>146</v>
      </c>
      <c r="B146" s="7"/>
      <c r="C146" s="7"/>
      <c r="D146" s="8">
        <f t="shared" si="2"/>
        <v>0</v>
      </c>
    </row>
    <row r="147" spans="1:4" ht="18" hidden="1" x14ac:dyDescent="0.35">
      <c r="A147" s="10" t="s">
        <v>147</v>
      </c>
      <c r="B147" s="7"/>
      <c r="C147" s="7"/>
      <c r="D147" s="8">
        <f t="shared" si="2"/>
        <v>0</v>
      </c>
    </row>
    <row r="148" spans="1:4" ht="18" hidden="1" x14ac:dyDescent="0.35">
      <c r="A148" s="14" t="s">
        <v>148</v>
      </c>
      <c r="B148" s="7"/>
      <c r="C148" s="7"/>
      <c r="D148" s="8">
        <f t="shared" si="2"/>
        <v>0</v>
      </c>
    </row>
    <row r="149" spans="1:4" ht="18" hidden="1" x14ac:dyDescent="0.35">
      <c r="A149" s="14" t="s">
        <v>149</v>
      </c>
      <c r="B149" s="7"/>
      <c r="C149" s="7"/>
      <c r="D149" s="8">
        <f t="shared" si="2"/>
        <v>0</v>
      </c>
    </row>
    <row r="150" spans="1:4" ht="18" hidden="1" x14ac:dyDescent="0.35">
      <c r="A150" s="10" t="s">
        <v>150</v>
      </c>
      <c r="B150" s="7"/>
      <c r="C150" s="7"/>
      <c r="D150" s="8">
        <f t="shared" si="2"/>
        <v>0</v>
      </c>
    </row>
    <row r="151" spans="1:4" ht="18" hidden="1" x14ac:dyDescent="0.35">
      <c r="A151" s="11" t="s">
        <v>151</v>
      </c>
      <c r="B151" s="7"/>
      <c r="C151" s="7"/>
      <c r="D151" s="8">
        <f t="shared" si="2"/>
        <v>0</v>
      </c>
    </row>
    <row r="152" spans="1:4" ht="18" hidden="1" x14ac:dyDescent="0.35">
      <c r="A152" s="16" t="s">
        <v>152</v>
      </c>
      <c r="B152" s="7"/>
      <c r="C152" s="7"/>
      <c r="D152" s="8">
        <f t="shared" si="2"/>
        <v>0</v>
      </c>
    </row>
    <row r="153" spans="1:4" ht="18" hidden="1" x14ac:dyDescent="0.35">
      <c r="A153" s="10" t="s">
        <v>153</v>
      </c>
      <c r="B153" s="7"/>
      <c r="C153" s="7"/>
      <c r="D153" s="8">
        <f t="shared" si="2"/>
        <v>0</v>
      </c>
    </row>
    <row r="154" spans="1:4" ht="18" hidden="1" x14ac:dyDescent="0.35">
      <c r="A154" s="10" t="s">
        <v>154</v>
      </c>
      <c r="B154" s="7"/>
      <c r="C154" s="7"/>
      <c r="D154" s="8">
        <f t="shared" si="2"/>
        <v>0</v>
      </c>
    </row>
    <row r="155" spans="1:4" ht="18" hidden="1" x14ac:dyDescent="0.35">
      <c r="A155" s="10" t="s">
        <v>155</v>
      </c>
      <c r="B155" s="7"/>
      <c r="C155" s="7"/>
      <c r="D155" s="8">
        <f t="shared" si="2"/>
        <v>0</v>
      </c>
    </row>
    <row r="156" spans="1:4" ht="18" hidden="1" x14ac:dyDescent="0.35">
      <c r="A156" s="9" t="s">
        <v>156</v>
      </c>
      <c r="B156" s="7"/>
      <c r="C156" s="7"/>
      <c r="D156" s="8">
        <f t="shared" si="2"/>
        <v>0</v>
      </c>
    </row>
    <row r="157" spans="1:4" ht="18" hidden="1" x14ac:dyDescent="0.35">
      <c r="A157" s="10" t="s">
        <v>157</v>
      </c>
      <c r="B157" s="7"/>
      <c r="C157" s="7"/>
      <c r="D157" s="8">
        <f t="shared" si="2"/>
        <v>0</v>
      </c>
    </row>
    <row r="158" spans="1:4" ht="18" hidden="1" x14ac:dyDescent="0.35">
      <c r="A158" s="10" t="s">
        <v>158</v>
      </c>
      <c r="B158" s="7"/>
      <c r="C158" s="7"/>
      <c r="D158" s="8">
        <f t="shared" si="2"/>
        <v>0</v>
      </c>
    </row>
    <row r="159" spans="1:4" ht="18" hidden="1" x14ac:dyDescent="0.35">
      <c r="A159" s="10" t="s">
        <v>159</v>
      </c>
      <c r="B159" s="7"/>
      <c r="C159" s="7"/>
      <c r="D159" s="8">
        <f t="shared" si="2"/>
        <v>0</v>
      </c>
    </row>
    <row r="160" spans="1:4" ht="18" hidden="1" x14ac:dyDescent="0.35">
      <c r="A160" s="14" t="s">
        <v>160</v>
      </c>
      <c r="B160" s="7"/>
      <c r="C160" s="7"/>
      <c r="D160" s="8">
        <f t="shared" si="2"/>
        <v>0</v>
      </c>
    </row>
    <row r="161" spans="1:4" ht="18" hidden="1" x14ac:dyDescent="0.35">
      <c r="A161" s="10" t="s">
        <v>161</v>
      </c>
      <c r="B161" s="7"/>
      <c r="C161" s="7"/>
      <c r="D161" s="8">
        <f t="shared" si="2"/>
        <v>0</v>
      </c>
    </row>
    <row r="162" spans="1:4" ht="18" hidden="1" x14ac:dyDescent="0.35">
      <c r="A162" s="10" t="s">
        <v>162</v>
      </c>
      <c r="B162" s="7"/>
      <c r="C162" s="7"/>
      <c r="D162" s="8">
        <f t="shared" si="2"/>
        <v>0</v>
      </c>
    </row>
    <row r="163" spans="1:4" ht="18" x14ac:dyDescent="0.3">
      <c r="A163" s="10" t="s">
        <v>163</v>
      </c>
      <c r="B163" s="7">
        <f>50+240+75+60</f>
        <v>425</v>
      </c>
      <c r="C163" s="7">
        <v>15000</v>
      </c>
      <c r="D163" s="8">
        <f t="shared" si="2"/>
        <v>6375000</v>
      </c>
    </row>
    <row r="164" spans="1:4" ht="18" hidden="1" x14ac:dyDescent="0.35">
      <c r="A164" s="22" t="s">
        <v>164</v>
      </c>
      <c r="B164" s="7"/>
      <c r="C164" s="7"/>
      <c r="D164" s="8">
        <f t="shared" si="2"/>
        <v>0</v>
      </c>
    </row>
    <row r="165" spans="1:4" ht="18" hidden="1" x14ac:dyDescent="0.35">
      <c r="A165" s="10" t="s">
        <v>165</v>
      </c>
      <c r="B165" s="7"/>
      <c r="C165" s="7"/>
      <c r="D165" s="8">
        <f t="shared" si="2"/>
        <v>0</v>
      </c>
    </row>
    <row r="166" spans="1:4" ht="18" x14ac:dyDescent="0.3">
      <c r="A166" s="10" t="s">
        <v>166</v>
      </c>
      <c r="B166" s="7">
        <v>14</v>
      </c>
      <c r="C166" s="7">
        <v>15000</v>
      </c>
      <c r="D166" s="8">
        <f t="shared" si="2"/>
        <v>210000</v>
      </c>
    </row>
    <row r="167" spans="1:4" ht="18" hidden="1" x14ac:dyDescent="0.35">
      <c r="A167" s="10" t="s">
        <v>167</v>
      </c>
      <c r="B167" s="7"/>
      <c r="C167" s="7"/>
      <c r="D167" s="8">
        <f t="shared" si="2"/>
        <v>0</v>
      </c>
    </row>
    <row r="168" spans="1:4" ht="18" hidden="1" x14ac:dyDescent="0.35">
      <c r="A168" s="22" t="s">
        <v>168</v>
      </c>
      <c r="B168" s="7"/>
      <c r="C168" s="7"/>
      <c r="D168" s="8">
        <f t="shared" si="2"/>
        <v>0</v>
      </c>
    </row>
    <row r="169" spans="1:4" ht="18" hidden="1" x14ac:dyDescent="0.35">
      <c r="A169" s="10" t="s">
        <v>169</v>
      </c>
      <c r="B169" s="7"/>
      <c r="C169" s="7"/>
      <c r="D169" s="8">
        <f t="shared" si="2"/>
        <v>0</v>
      </c>
    </row>
    <row r="170" spans="1:4" ht="18" hidden="1" x14ac:dyDescent="0.35">
      <c r="A170" s="6" t="s">
        <v>170</v>
      </c>
      <c r="B170" s="7"/>
      <c r="C170" s="7"/>
      <c r="D170" s="8">
        <f t="shared" si="2"/>
        <v>0</v>
      </c>
    </row>
    <row r="171" spans="1:4" ht="18" hidden="1" x14ac:dyDescent="0.35">
      <c r="A171" s="10" t="s">
        <v>171</v>
      </c>
      <c r="B171" s="7"/>
      <c r="C171" s="7"/>
      <c r="D171" s="8">
        <f t="shared" si="2"/>
        <v>0</v>
      </c>
    </row>
    <row r="172" spans="1:4" ht="18" hidden="1" x14ac:dyDescent="0.35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5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5">
      <c r="A174" s="11" t="s">
        <v>174</v>
      </c>
      <c r="B174" s="7"/>
      <c r="C174" s="7"/>
      <c r="D174" s="8">
        <f t="shared" si="2"/>
        <v>0</v>
      </c>
    </row>
    <row r="175" spans="1:4" ht="18" hidden="1" x14ac:dyDescent="0.35">
      <c r="A175" s="6" t="s">
        <v>175</v>
      </c>
      <c r="B175" s="7"/>
      <c r="C175" s="7"/>
      <c r="D175" s="8">
        <f t="shared" si="2"/>
        <v>0</v>
      </c>
    </row>
    <row r="176" spans="1:4" ht="18" x14ac:dyDescent="0.3">
      <c r="A176" s="6" t="s">
        <v>176</v>
      </c>
      <c r="B176" s="7">
        <v>510</v>
      </c>
      <c r="C176" s="7">
        <v>32000</v>
      </c>
      <c r="D176" s="8">
        <f t="shared" si="2"/>
        <v>16320000</v>
      </c>
    </row>
    <row r="177" spans="1:4" ht="18" hidden="1" x14ac:dyDescent="0.35">
      <c r="A177" s="10" t="s">
        <v>177</v>
      </c>
      <c r="B177" s="7"/>
      <c r="C177" s="7"/>
      <c r="D177" s="8">
        <f t="shared" si="2"/>
        <v>0</v>
      </c>
    </row>
    <row r="178" spans="1:4" ht="18" x14ac:dyDescent="0.3">
      <c r="A178" s="6" t="s">
        <v>178</v>
      </c>
      <c r="B178" s="7">
        <f>160+70+80</f>
        <v>310</v>
      </c>
      <c r="C178" s="7">
        <v>32000</v>
      </c>
      <c r="D178" s="8">
        <f t="shared" si="2"/>
        <v>9920000</v>
      </c>
    </row>
    <row r="179" spans="1:4" ht="18" x14ac:dyDescent="0.3">
      <c r="A179" s="6" t="s">
        <v>179</v>
      </c>
      <c r="B179" s="7">
        <v>18</v>
      </c>
      <c r="C179" s="7">
        <v>25000</v>
      </c>
      <c r="D179" s="8">
        <f t="shared" si="2"/>
        <v>450000</v>
      </c>
    </row>
    <row r="180" spans="1:4" ht="18" hidden="1" x14ac:dyDescent="0.35">
      <c r="A180" s="6" t="s">
        <v>180</v>
      </c>
      <c r="B180" s="7"/>
      <c r="C180" s="7"/>
      <c r="D180" s="8">
        <f t="shared" si="2"/>
        <v>0</v>
      </c>
    </row>
    <row r="181" spans="1:4" ht="18" hidden="1" x14ac:dyDescent="0.35">
      <c r="A181" s="10" t="s">
        <v>181</v>
      </c>
      <c r="B181" s="7"/>
      <c r="C181" s="7"/>
      <c r="D181" s="8">
        <f t="shared" si="2"/>
        <v>0</v>
      </c>
    </row>
    <row r="182" spans="1:4" ht="18" x14ac:dyDescent="0.3">
      <c r="A182" s="10" t="s">
        <v>182</v>
      </c>
      <c r="B182" s="7">
        <v>32</v>
      </c>
      <c r="C182" s="7">
        <v>17000</v>
      </c>
      <c r="D182" s="8">
        <f t="shared" si="2"/>
        <v>544000</v>
      </c>
    </row>
    <row r="183" spans="1:4" ht="18" hidden="1" x14ac:dyDescent="0.35">
      <c r="A183" s="10" t="s">
        <v>183</v>
      </c>
      <c r="B183" s="7"/>
      <c r="C183" s="7"/>
      <c r="D183" s="8">
        <f t="shared" si="2"/>
        <v>0</v>
      </c>
    </row>
    <row r="184" spans="1:4" ht="18" hidden="1" x14ac:dyDescent="0.35">
      <c r="A184" s="10" t="s">
        <v>184</v>
      </c>
      <c r="B184" s="7"/>
      <c r="C184" s="7"/>
      <c r="D184" s="8">
        <f t="shared" si="2"/>
        <v>0</v>
      </c>
    </row>
    <row r="185" spans="1:4" ht="18" hidden="1" x14ac:dyDescent="0.35">
      <c r="A185" s="10" t="s">
        <v>185</v>
      </c>
      <c r="B185" s="7"/>
      <c r="C185" s="7"/>
      <c r="D185" s="8">
        <f t="shared" si="2"/>
        <v>0</v>
      </c>
    </row>
    <row r="186" spans="1:4" ht="18" hidden="1" x14ac:dyDescent="0.35">
      <c r="A186" s="10" t="s">
        <v>186</v>
      </c>
      <c r="B186" s="7"/>
      <c r="C186" s="7"/>
      <c r="D186" s="8">
        <f t="shared" si="2"/>
        <v>0</v>
      </c>
    </row>
    <row r="187" spans="1:4" ht="18" hidden="1" x14ac:dyDescent="0.35">
      <c r="A187" s="10" t="s">
        <v>187</v>
      </c>
      <c r="B187" s="7"/>
      <c r="C187" s="7"/>
      <c r="D187" s="8">
        <f t="shared" si="2"/>
        <v>0</v>
      </c>
    </row>
    <row r="188" spans="1:4" ht="18" hidden="1" x14ac:dyDescent="0.35">
      <c r="A188" s="10" t="s">
        <v>188</v>
      </c>
      <c r="B188" s="7"/>
      <c r="C188" s="7"/>
      <c r="D188" s="8">
        <f t="shared" si="2"/>
        <v>0</v>
      </c>
    </row>
    <row r="189" spans="1:4" ht="18" hidden="1" x14ac:dyDescent="0.35">
      <c r="A189" s="13" t="s">
        <v>189</v>
      </c>
      <c r="B189" s="7"/>
      <c r="C189" s="7"/>
      <c r="D189" s="8">
        <f t="shared" si="2"/>
        <v>0</v>
      </c>
    </row>
    <row r="190" spans="1:4" ht="18" hidden="1" x14ac:dyDescent="0.35">
      <c r="A190" s="20" t="s">
        <v>190</v>
      </c>
      <c r="B190" s="7"/>
      <c r="C190" s="7"/>
      <c r="D190" s="8">
        <f t="shared" si="2"/>
        <v>0</v>
      </c>
    </row>
    <row r="191" spans="1:4" ht="18" hidden="1" x14ac:dyDescent="0.35">
      <c r="A191" s="10" t="s">
        <v>191</v>
      </c>
      <c r="B191" s="7"/>
      <c r="C191" s="7"/>
      <c r="D191" s="8">
        <f t="shared" si="2"/>
        <v>0</v>
      </c>
    </row>
    <row r="192" spans="1:4" ht="18" hidden="1" x14ac:dyDescent="0.35">
      <c r="A192" s="20" t="s">
        <v>308</v>
      </c>
      <c r="B192" s="7"/>
      <c r="C192" s="7"/>
      <c r="D192" s="8">
        <f t="shared" si="2"/>
        <v>0</v>
      </c>
    </row>
    <row r="193" spans="1:4" ht="18" hidden="1" x14ac:dyDescent="0.35">
      <c r="A193" s="10" t="s">
        <v>192</v>
      </c>
      <c r="B193" s="7"/>
      <c r="C193" s="7"/>
      <c r="D193" s="8">
        <f t="shared" si="2"/>
        <v>0</v>
      </c>
    </row>
    <row r="194" spans="1:4" ht="18" hidden="1" x14ac:dyDescent="0.35">
      <c r="A194" s="6" t="s">
        <v>193</v>
      </c>
      <c r="B194" s="7"/>
      <c r="C194" s="7"/>
      <c r="D194" s="8">
        <f t="shared" si="2"/>
        <v>0</v>
      </c>
    </row>
    <row r="195" spans="1:4" ht="18" x14ac:dyDescent="0.3">
      <c r="A195" s="10" t="s">
        <v>194</v>
      </c>
      <c r="B195" s="7">
        <f>136+14</f>
        <v>150</v>
      </c>
      <c r="C195" s="7">
        <v>9000</v>
      </c>
      <c r="D195" s="8">
        <f t="shared" si="2"/>
        <v>1350000</v>
      </c>
    </row>
    <row r="196" spans="1:4" ht="18" hidden="1" x14ac:dyDescent="0.35">
      <c r="A196" s="10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5">
      <c r="A197" s="10" t="s">
        <v>196</v>
      </c>
      <c r="B197" s="7"/>
      <c r="C197" s="7"/>
      <c r="D197" s="8">
        <f t="shared" si="3"/>
        <v>0</v>
      </c>
    </row>
    <row r="198" spans="1:4" ht="18" hidden="1" x14ac:dyDescent="0.35">
      <c r="A198" s="9" t="s">
        <v>197</v>
      </c>
      <c r="B198" s="7"/>
      <c r="C198" s="7"/>
      <c r="D198" s="8">
        <f t="shared" si="3"/>
        <v>0</v>
      </c>
    </row>
    <row r="199" spans="1:4" ht="18" hidden="1" x14ac:dyDescent="0.35">
      <c r="A199" s="6" t="s">
        <v>198</v>
      </c>
      <c r="B199" s="7"/>
      <c r="C199" s="7"/>
      <c r="D199" s="8">
        <f t="shared" si="3"/>
        <v>0</v>
      </c>
    </row>
    <row r="200" spans="1:4" ht="18" hidden="1" x14ac:dyDescent="0.35">
      <c r="A200" s="6" t="s">
        <v>199</v>
      </c>
      <c r="B200" s="7"/>
      <c r="C200" s="7"/>
      <c r="D200" s="8">
        <f t="shared" si="3"/>
        <v>0</v>
      </c>
    </row>
    <row r="201" spans="1:4" ht="18" hidden="1" x14ac:dyDescent="0.35">
      <c r="A201" s="11" t="s">
        <v>200</v>
      </c>
      <c r="B201" s="7"/>
      <c r="C201" s="7"/>
      <c r="D201" s="8">
        <f t="shared" si="3"/>
        <v>0</v>
      </c>
    </row>
    <row r="202" spans="1:4" ht="18" hidden="1" x14ac:dyDescent="0.35">
      <c r="A202" s="11" t="s">
        <v>201</v>
      </c>
      <c r="B202" s="7"/>
      <c r="C202" s="7"/>
      <c r="D202" s="8">
        <f t="shared" si="3"/>
        <v>0</v>
      </c>
    </row>
    <row r="203" spans="1:4" ht="18" hidden="1" x14ac:dyDescent="0.35">
      <c r="A203" s="11" t="s">
        <v>202</v>
      </c>
      <c r="B203" s="7"/>
      <c r="C203" s="7"/>
      <c r="D203" s="8">
        <f t="shared" si="3"/>
        <v>0</v>
      </c>
    </row>
    <row r="204" spans="1:4" ht="18" hidden="1" x14ac:dyDescent="0.35">
      <c r="A204" s="11" t="s">
        <v>203</v>
      </c>
      <c r="B204" s="7"/>
      <c r="C204" s="7"/>
      <c r="D204" s="8">
        <f t="shared" si="3"/>
        <v>0</v>
      </c>
    </row>
    <row r="205" spans="1:4" ht="18" hidden="1" x14ac:dyDescent="0.35">
      <c r="A205" s="10" t="s">
        <v>204</v>
      </c>
      <c r="B205" s="7"/>
      <c r="C205" s="7"/>
      <c r="D205" s="8">
        <f t="shared" si="3"/>
        <v>0</v>
      </c>
    </row>
    <row r="206" spans="1:4" ht="18" hidden="1" x14ac:dyDescent="0.35">
      <c r="A206" s="10" t="s">
        <v>205</v>
      </c>
      <c r="B206" s="7"/>
      <c r="C206" s="7"/>
      <c r="D206" s="8">
        <f t="shared" si="3"/>
        <v>0</v>
      </c>
    </row>
    <row r="207" spans="1:4" ht="18" hidden="1" x14ac:dyDescent="0.35">
      <c r="A207" s="10" t="s">
        <v>206</v>
      </c>
      <c r="B207" s="7"/>
      <c r="C207" s="7"/>
      <c r="D207" s="8">
        <f t="shared" si="3"/>
        <v>0</v>
      </c>
    </row>
    <row r="208" spans="1:4" ht="18" hidden="1" x14ac:dyDescent="0.35">
      <c r="A208" s="10" t="s">
        <v>207</v>
      </c>
      <c r="B208" s="7"/>
      <c r="C208" s="7"/>
      <c r="D208" s="8">
        <f t="shared" si="3"/>
        <v>0</v>
      </c>
    </row>
    <row r="209" spans="1:4" ht="18" hidden="1" x14ac:dyDescent="0.35">
      <c r="A209" s="6" t="s">
        <v>208</v>
      </c>
      <c r="B209" s="7"/>
      <c r="C209" s="7"/>
      <c r="D209" s="8">
        <f t="shared" si="3"/>
        <v>0</v>
      </c>
    </row>
    <row r="210" spans="1:4" ht="18" hidden="1" x14ac:dyDescent="0.35">
      <c r="A210" s="6" t="s">
        <v>209</v>
      </c>
      <c r="B210" s="7"/>
      <c r="C210" s="7"/>
      <c r="D210" s="8">
        <f t="shared" si="3"/>
        <v>0</v>
      </c>
    </row>
    <row r="211" spans="1:4" ht="18" hidden="1" x14ac:dyDescent="0.35">
      <c r="A211" s="10" t="s">
        <v>210</v>
      </c>
      <c r="B211" s="7"/>
      <c r="C211" s="7"/>
      <c r="D211" s="8">
        <f t="shared" si="3"/>
        <v>0</v>
      </c>
    </row>
    <row r="212" spans="1:4" ht="18" hidden="1" x14ac:dyDescent="0.35">
      <c r="A212" s="10" t="s">
        <v>211</v>
      </c>
      <c r="B212" s="7"/>
      <c r="C212" s="7"/>
      <c r="D212" s="8">
        <f t="shared" si="3"/>
        <v>0</v>
      </c>
    </row>
    <row r="213" spans="1:4" ht="18" hidden="1" x14ac:dyDescent="0.35">
      <c r="A213" s="10" t="s">
        <v>212</v>
      </c>
      <c r="B213" s="7"/>
      <c r="C213" s="7"/>
      <c r="D213" s="8">
        <f t="shared" si="3"/>
        <v>0</v>
      </c>
    </row>
    <row r="214" spans="1:4" ht="18" hidden="1" x14ac:dyDescent="0.35">
      <c r="A214" s="11" t="s">
        <v>213</v>
      </c>
      <c r="B214" s="7"/>
      <c r="C214" s="7"/>
      <c r="D214" s="8">
        <f t="shared" si="3"/>
        <v>0</v>
      </c>
    </row>
    <row r="215" spans="1:4" ht="18" hidden="1" x14ac:dyDescent="0.35">
      <c r="A215" s="10" t="s">
        <v>214</v>
      </c>
      <c r="B215" s="7"/>
      <c r="C215" s="7"/>
      <c r="D215" s="8">
        <f t="shared" si="3"/>
        <v>0</v>
      </c>
    </row>
    <row r="216" spans="1:4" ht="18" hidden="1" x14ac:dyDescent="0.35">
      <c r="A216" s="11" t="s">
        <v>215</v>
      </c>
      <c r="B216" s="7"/>
      <c r="C216" s="7"/>
      <c r="D216" s="8">
        <f t="shared" si="3"/>
        <v>0</v>
      </c>
    </row>
    <row r="217" spans="1:4" ht="18" hidden="1" x14ac:dyDescent="0.35">
      <c r="A217" s="10" t="s">
        <v>216</v>
      </c>
      <c r="B217" s="7"/>
      <c r="C217" s="7"/>
      <c r="D217" s="8">
        <f t="shared" si="3"/>
        <v>0</v>
      </c>
    </row>
    <row r="218" spans="1:4" ht="18" hidden="1" x14ac:dyDescent="0.35">
      <c r="A218" s="10" t="s">
        <v>217</v>
      </c>
      <c r="B218" s="7"/>
      <c r="C218" s="7"/>
      <c r="D218" s="8">
        <f t="shared" si="3"/>
        <v>0</v>
      </c>
    </row>
    <row r="219" spans="1:4" ht="18" hidden="1" x14ac:dyDescent="0.35">
      <c r="A219" s="10" t="s">
        <v>218</v>
      </c>
      <c r="B219" s="7"/>
      <c r="C219" s="7"/>
      <c r="D219" s="8">
        <f t="shared" si="3"/>
        <v>0</v>
      </c>
    </row>
    <row r="220" spans="1:4" ht="18" hidden="1" x14ac:dyDescent="0.35">
      <c r="A220" s="10" t="s">
        <v>219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220</v>
      </c>
      <c r="B221" s="7"/>
      <c r="C221" s="7"/>
      <c r="D221" s="8">
        <f t="shared" si="3"/>
        <v>0</v>
      </c>
    </row>
    <row r="222" spans="1:4" ht="18" hidden="1" x14ac:dyDescent="0.35">
      <c r="A222" s="6" t="s">
        <v>221</v>
      </c>
      <c r="B222" s="7"/>
      <c r="C222" s="7"/>
      <c r="D222" s="8">
        <f t="shared" si="3"/>
        <v>0</v>
      </c>
    </row>
    <row r="223" spans="1:4" ht="18" hidden="1" x14ac:dyDescent="0.35">
      <c r="A223" s="10" t="s">
        <v>222</v>
      </c>
      <c r="B223" s="7"/>
      <c r="C223" s="7"/>
      <c r="D223" s="8">
        <f t="shared" si="3"/>
        <v>0</v>
      </c>
    </row>
    <row r="224" spans="1:4" ht="18" hidden="1" x14ac:dyDescent="0.35">
      <c r="A224" s="10" t="s">
        <v>223</v>
      </c>
      <c r="B224" s="7"/>
      <c r="C224" s="7"/>
      <c r="D224" s="8">
        <f t="shared" si="3"/>
        <v>0</v>
      </c>
    </row>
    <row r="225" spans="1:4" ht="18" hidden="1" x14ac:dyDescent="0.35">
      <c r="A225" s="11" t="s">
        <v>224</v>
      </c>
      <c r="B225" s="12"/>
      <c r="C225" s="12"/>
      <c r="D225" s="8">
        <f t="shared" si="3"/>
        <v>0</v>
      </c>
    </row>
    <row r="226" spans="1:4" ht="18" hidden="1" x14ac:dyDescent="0.35">
      <c r="A226" s="11" t="s">
        <v>225</v>
      </c>
      <c r="B226" s="7"/>
      <c r="C226" s="7"/>
      <c r="D226" s="8">
        <f t="shared" si="3"/>
        <v>0</v>
      </c>
    </row>
    <row r="227" spans="1:4" ht="18" hidden="1" x14ac:dyDescent="0.35">
      <c r="A227" s="11" t="s">
        <v>226</v>
      </c>
      <c r="B227" s="12"/>
      <c r="C227" s="12"/>
      <c r="D227" s="8">
        <f t="shared" si="3"/>
        <v>0</v>
      </c>
    </row>
    <row r="228" spans="1:4" ht="18" hidden="1" x14ac:dyDescent="0.35">
      <c r="A228" s="14" t="s">
        <v>227</v>
      </c>
      <c r="B228" s="7"/>
      <c r="C228" s="7"/>
      <c r="D228" s="8">
        <f t="shared" si="3"/>
        <v>0</v>
      </c>
    </row>
    <row r="229" spans="1:4" ht="18" hidden="1" x14ac:dyDescent="0.35">
      <c r="A229" s="13" t="s">
        <v>228</v>
      </c>
      <c r="B229" s="7"/>
      <c r="C229" s="7"/>
      <c r="D229" s="8">
        <f t="shared" si="3"/>
        <v>0</v>
      </c>
    </row>
    <row r="230" spans="1:4" ht="18" hidden="1" x14ac:dyDescent="0.35">
      <c r="A230" s="13" t="s">
        <v>229</v>
      </c>
      <c r="B230" s="7"/>
      <c r="C230" s="7"/>
      <c r="D230" s="8">
        <f t="shared" si="3"/>
        <v>0</v>
      </c>
    </row>
    <row r="231" spans="1:4" ht="18" hidden="1" x14ac:dyDescent="0.35">
      <c r="A231" s="11" t="s">
        <v>230</v>
      </c>
      <c r="B231" s="7"/>
      <c r="C231" s="7"/>
      <c r="D231" s="8">
        <f t="shared" si="3"/>
        <v>0</v>
      </c>
    </row>
    <row r="232" spans="1:4" ht="18" x14ac:dyDescent="0.3">
      <c r="A232" s="10" t="s">
        <v>231</v>
      </c>
      <c r="B232" s="7">
        <v>29</v>
      </c>
      <c r="C232" s="7">
        <v>17000</v>
      </c>
      <c r="D232" s="8">
        <f t="shared" si="3"/>
        <v>493000</v>
      </c>
    </row>
    <row r="233" spans="1:4" ht="18" hidden="1" x14ac:dyDescent="0.35">
      <c r="A233" s="10" t="s">
        <v>232</v>
      </c>
      <c r="B233" s="7"/>
      <c r="C233" s="7"/>
      <c r="D233" s="8">
        <f t="shared" si="3"/>
        <v>0</v>
      </c>
    </row>
    <row r="234" spans="1:4" ht="18" hidden="1" x14ac:dyDescent="0.35">
      <c r="A234" s="14" t="s">
        <v>233</v>
      </c>
      <c r="B234" s="7"/>
      <c r="C234" s="7"/>
      <c r="D234" s="8">
        <f t="shared" si="3"/>
        <v>0</v>
      </c>
    </row>
    <row r="235" spans="1:4" ht="18" hidden="1" x14ac:dyDescent="0.35">
      <c r="A235" s="6" t="s">
        <v>234</v>
      </c>
      <c r="B235" s="7"/>
      <c r="C235" s="7"/>
      <c r="D235" s="8">
        <f t="shared" si="3"/>
        <v>0</v>
      </c>
    </row>
    <row r="236" spans="1:4" ht="18" hidden="1" x14ac:dyDescent="0.35">
      <c r="A236" s="10" t="s">
        <v>235</v>
      </c>
      <c r="B236" s="7"/>
      <c r="C236" s="7"/>
      <c r="D236" s="8">
        <f t="shared" si="3"/>
        <v>0</v>
      </c>
    </row>
    <row r="237" spans="1:4" ht="18" hidden="1" x14ac:dyDescent="0.35">
      <c r="A237" s="10" t="s">
        <v>236</v>
      </c>
      <c r="B237" s="7"/>
      <c r="C237" s="7"/>
      <c r="D237" s="8">
        <f t="shared" si="3"/>
        <v>0</v>
      </c>
    </row>
    <row r="238" spans="1:4" ht="18" hidden="1" x14ac:dyDescent="0.35">
      <c r="A238" s="13" t="s">
        <v>237</v>
      </c>
      <c r="B238" s="7"/>
      <c r="C238" s="7"/>
      <c r="D238" s="8">
        <f t="shared" si="3"/>
        <v>0</v>
      </c>
    </row>
    <row r="239" spans="1:4" ht="18" hidden="1" x14ac:dyDescent="0.35">
      <c r="A239" s="10" t="s">
        <v>238</v>
      </c>
      <c r="B239" s="7"/>
      <c r="C239" s="7"/>
      <c r="D239" s="8">
        <f t="shared" si="3"/>
        <v>0</v>
      </c>
    </row>
    <row r="240" spans="1:4" ht="18" hidden="1" x14ac:dyDescent="0.35">
      <c r="A240" s="10" t="s">
        <v>239</v>
      </c>
      <c r="B240" s="7"/>
      <c r="C240" s="7"/>
      <c r="D240" s="8">
        <f t="shared" si="3"/>
        <v>0</v>
      </c>
    </row>
    <row r="241" spans="1:4" ht="18" x14ac:dyDescent="0.3">
      <c r="A241" s="10" t="s">
        <v>240</v>
      </c>
      <c r="B241" s="7">
        <v>5</v>
      </c>
      <c r="C241" s="7">
        <v>28000</v>
      </c>
      <c r="D241" s="8">
        <f t="shared" si="3"/>
        <v>140000</v>
      </c>
    </row>
    <row r="242" spans="1:4" ht="18" hidden="1" x14ac:dyDescent="0.35">
      <c r="A242" s="10" t="s">
        <v>241</v>
      </c>
      <c r="B242" s="7"/>
      <c r="C242" s="7"/>
      <c r="D242" s="8">
        <f t="shared" si="3"/>
        <v>0</v>
      </c>
    </row>
    <row r="243" spans="1:4" ht="18" hidden="1" x14ac:dyDescent="0.35">
      <c r="A243" s="13" t="s">
        <v>242</v>
      </c>
      <c r="B243" s="7"/>
      <c r="C243" s="7"/>
      <c r="D243" s="8">
        <f t="shared" si="3"/>
        <v>0</v>
      </c>
    </row>
    <row r="244" spans="1:4" ht="18" hidden="1" x14ac:dyDescent="0.35">
      <c r="A244" s="10" t="s">
        <v>243</v>
      </c>
      <c r="B244" s="7"/>
      <c r="C244" s="7"/>
      <c r="D244" s="8">
        <f t="shared" si="3"/>
        <v>0</v>
      </c>
    </row>
    <row r="245" spans="1:4" ht="18" hidden="1" x14ac:dyDescent="0.35">
      <c r="A245" s="10" t="s">
        <v>244</v>
      </c>
      <c r="B245" s="7"/>
      <c r="C245" s="7"/>
      <c r="D245" s="8">
        <f t="shared" si="3"/>
        <v>0</v>
      </c>
    </row>
    <row r="246" spans="1:4" ht="18" hidden="1" x14ac:dyDescent="0.35">
      <c r="A246" s="13" t="s">
        <v>245</v>
      </c>
      <c r="B246" s="7"/>
      <c r="C246" s="7"/>
      <c r="D246" s="8">
        <f t="shared" si="3"/>
        <v>0</v>
      </c>
    </row>
    <row r="247" spans="1:4" ht="18" hidden="1" x14ac:dyDescent="0.35">
      <c r="A247" s="13" t="s">
        <v>246</v>
      </c>
      <c r="B247" s="7"/>
      <c r="C247" s="7"/>
      <c r="D247" s="8">
        <f t="shared" si="3"/>
        <v>0</v>
      </c>
    </row>
    <row r="248" spans="1:4" ht="18" hidden="1" x14ac:dyDescent="0.35">
      <c r="A248" s="10" t="s">
        <v>247</v>
      </c>
      <c r="B248" s="7"/>
      <c r="C248" s="7"/>
      <c r="D248" s="8">
        <f t="shared" si="3"/>
        <v>0</v>
      </c>
    </row>
    <row r="249" spans="1:4" ht="18" hidden="1" x14ac:dyDescent="0.35">
      <c r="A249" s="10" t="s">
        <v>248</v>
      </c>
      <c r="B249" s="7"/>
      <c r="C249" s="7"/>
      <c r="D249" s="8">
        <f t="shared" si="3"/>
        <v>0</v>
      </c>
    </row>
    <row r="250" spans="1:4" ht="18" hidden="1" x14ac:dyDescent="0.35">
      <c r="A250" s="13" t="s">
        <v>249</v>
      </c>
      <c r="B250" s="7"/>
      <c r="C250" s="7"/>
      <c r="D250" s="8">
        <f t="shared" si="3"/>
        <v>0</v>
      </c>
    </row>
    <row r="251" spans="1:4" ht="18" hidden="1" x14ac:dyDescent="0.35">
      <c r="A251" s="10" t="s">
        <v>250</v>
      </c>
      <c r="B251" s="7"/>
      <c r="C251" s="7"/>
      <c r="D251" s="8">
        <f t="shared" si="3"/>
        <v>0</v>
      </c>
    </row>
    <row r="252" spans="1:4" ht="18" x14ac:dyDescent="0.3">
      <c r="A252" s="10" t="s">
        <v>251</v>
      </c>
      <c r="B252" s="7">
        <v>45</v>
      </c>
      <c r="C252" s="7">
        <v>8500</v>
      </c>
      <c r="D252" s="8">
        <f t="shared" si="3"/>
        <v>382500</v>
      </c>
    </row>
    <row r="253" spans="1:4" ht="18" hidden="1" x14ac:dyDescent="0.35">
      <c r="A253" s="10" t="s">
        <v>252</v>
      </c>
      <c r="B253" s="7"/>
      <c r="C253" s="7"/>
      <c r="D253" s="8">
        <f t="shared" si="3"/>
        <v>0</v>
      </c>
    </row>
    <row r="254" spans="1:4" ht="18" hidden="1" x14ac:dyDescent="0.35">
      <c r="A254" s="10" t="s">
        <v>253</v>
      </c>
      <c r="B254" s="7"/>
      <c r="C254" s="7"/>
      <c r="D254" s="8">
        <f t="shared" si="3"/>
        <v>0</v>
      </c>
    </row>
    <row r="255" spans="1:4" ht="18" hidden="1" x14ac:dyDescent="0.35">
      <c r="A255" s="10" t="s">
        <v>254</v>
      </c>
      <c r="B255" s="7"/>
      <c r="C255" s="7"/>
      <c r="D255" s="8">
        <f t="shared" si="3"/>
        <v>0</v>
      </c>
    </row>
    <row r="256" spans="1:4" ht="18" x14ac:dyDescent="0.3">
      <c r="A256" s="10" t="s">
        <v>255</v>
      </c>
      <c r="B256" s="7">
        <v>3</v>
      </c>
      <c r="C256" s="7">
        <v>28000</v>
      </c>
      <c r="D256" s="8">
        <f t="shared" si="3"/>
        <v>84000</v>
      </c>
    </row>
    <row r="257" spans="1:4" ht="18" hidden="1" x14ac:dyDescent="0.35">
      <c r="A257" s="10" t="s">
        <v>256</v>
      </c>
      <c r="B257" s="7"/>
      <c r="C257" s="7"/>
      <c r="D257" s="8">
        <f t="shared" si="3"/>
        <v>0</v>
      </c>
    </row>
    <row r="258" spans="1:4" ht="18" hidden="1" x14ac:dyDescent="0.35">
      <c r="A258" s="10" t="s">
        <v>257</v>
      </c>
      <c r="B258" s="7"/>
      <c r="C258" s="7"/>
      <c r="D258" s="8">
        <f t="shared" si="3"/>
        <v>0</v>
      </c>
    </row>
    <row r="259" spans="1:4" ht="18" hidden="1" x14ac:dyDescent="0.35">
      <c r="A259" s="10" t="s">
        <v>258</v>
      </c>
      <c r="B259" s="7"/>
      <c r="C259" s="7"/>
      <c r="D259" s="8">
        <f t="shared" si="3"/>
        <v>0</v>
      </c>
    </row>
    <row r="260" spans="1:4" ht="18" hidden="1" x14ac:dyDescent="0.35">
      <c r="A260" s="10" t="s">
        <v>259</v>
      </c>
      <c r="B260" s="7"/>
      <c r="C260" s="7"/>
      <c r="D260" s="8">
        <f t="shared" ref="D260:D290" si="4">B260*C260</f>
        <v>0</v>
      </c>
    </row>
    <row r="261" spans="1:4" ht="18" hidden="1" x14ac:dyDescent="0.35">
      <c r="A261" s="14" t="s">
        <v>260</v>
      </c>
      <c r="B261" s="7"/>
      <c r="C261" s="7"/>
      <c r="D261" s="8">
        <f t="shared" si="4"/>
        <v>0</v>
      </c>
    </row>
    <row r="262" spans="1:4" ht="18" hidden="1" x14ac:dyDescent="0.35">
      <c r="A262" s="10" t="s">
        <v>261</v>
      </c>
      <c r="B262" s="7"/>
      <c r="C262" s="7"/>
      <c r="D262" s="8">
        <f t="shared" si="4"/>
        <v>0</v>
      </c>
    </row>
    <row r="263" spans="1:4" ht="18" x14ac:dyDescent="0.3">
      <c r="A263" s="10" t="s">
        <v>262</v>
      </c>
      <c r="B263" s="7">
        <v>12</v>
      </c>
      <c r="C263" s="7">
        <v>10000</v>
      </c>
      <c r="D263" s="8">
        <f t="shared" si="4"/>
        <v>120000</v>
      </c>
    </row>
    <row r="264" spans="1:4" ht="18" x14ac:dyDescent="0.3">
      <c r="A264" s="10" t="s">
        <v>263</v>
      </c>
      <c r="B264" s="7">
        <f>12+10+10</f>
        <v>32</v>
      </c>
      <c r="C264" s="7">
        <v>8000</v>
      </c>
      <c r="D264" s="8">
        <f t="shared" si="4"/>
        <v>256000</v>
      </c>
    </row>
    <row r="265" spans="1:4" ht="18" hidden="1" x14ac:dyDescent="0.35">
      <c r="A265" s="10" t="s">
        <v>264</v>
      </c>
      <c r="B265" s="7"/>
      <c r="C265" s="7"/>
      <c r="D265" s="8">
        <f t="shared" si="4"/>
        <v>0</v>
      </c>
    </row>
    <row r="266" spans="1:4" ht="18" hidden="1" x14ac:dyDescent="0.35">
      <c r="A266" s="10" t="s">
        <v>265</v>
      </c>
      <c r="B266" s="7"/>
      <c r="C266" s="7"/>
      <c r="D266" s="8">
        <f t="shared" si="4"/>
        <v>0</v>
      </c>
    </row>
    <row r="267" spans="1:4" ht="18" hidden="1" x14ac:dyDescent="0.35">
      <c r="A267" s="10" t="s">
        <v>266</v>
      </c>
      <c r="B267" s="7"/>
      <c r="C267" s="7"/>
      <c r="D267" s="8">
        <f t="shared" si="4"/>
        <v>0</v>
      </c>
    </row>
    <row r="268" spans="1:4" ht="18" hidden="1" x14ac:dyDescent="0.35">
      <c r="A268" s="10" t="s">
        <v>267</v>
      </c>
      <c r="B268" s="7"/>
      <c r="C268" s="7"/>
      <c r="D268" s="8">
        <f t="shared" si="4"/>
        <v>0</v>
      </c>
    </row>
    <row r="269" spans="1:4" ht="18" hidden="1" x14ac:dyDescent="0.35">
      <c r="A269" s="22" t="s">
        <v>268</v>
      </c>
      <c r="B269" s="7"/>
      <c r="C269" s="7"/>
      <c r="D269" s="8">
        <f t="shared" si="4"/>
        <v>0</v>
      </c>
    </row>
    <row r="270" spans="1:4" ht="18" x14ac:dyDescent="0.3">
      <c r="A270" s="10" t="s">
        <v>269</v>
      </c>
      <c r="B270" s="7">
        <v>19</v>
      </c>
      <c r="C270" s="7">
        <v>23000</v>
      </c>
      <c r="D270" s="8">
        <f t="shared" si="4"/>
        <v>437000</v>
      </c>
    </row>
    <row r="271" spans="1:4" ht="18" hidden="1" x14ac:dyDescent="0.35">
      <c r="A271" s="10" t="s">
        <v>270</v>
      </c>
      <c r="B271" s="7"/>
      <c r="C271" s="7"/>
      <c r="D271" s="8">
        <f t="shared" si="4"/>
        <v>0</v>
      </c>
    </row>
    <row r="272" spans="1:4" ht="18" hidden="1" x14ac:dyDescent="0.35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5">
      <c r="A273" s="6" t="s">
        <v>272</v>
      </c>
      <c r="B273" s="12"/>
      <c r="C273" s="7"/>
      <c r="D273" s="8">
        <f t="shared" si="4"/>
        <v>0</v>
      </c>
    </row>
    <row r="274" spans="1:4" ht="18" hidden="1" x14ac:dyDescent="0.35">
      <c r="A274" s="10" t="s">
        <v>273</v>
      </c>
      <c r="B274" s="7"/>
      <c r="C274" s="7"/>
      <c r="D274" s="8">
        <f t="shared" si="4"/>
        <v>0</v>
      </c>
    </row>
    <row r="275" spans="1:4" ht="18" hidden="1" x14ac:dyDescent="0.35">
      <c r="A275" s="10" t="s">
        <v>274</v>
      </c>
      <c r="B275" s="7"/>
      <c r="C275" s="7"/>
      <c r="D275" s="8">
        <f t="shared" si="4"/>
        <v>0</v>
      </c>
    </row>
    <row r="276" spans="1:4" ht="18" x14ac:dyDescent="0.3">
      <c r="A276" s="10" t="s">
        <v>275</v>
      </c>
      <c r="B276" s="7">
        <v>12</v>
      </c>
      <c r="C276" s="7">
        <v>4500</v>
      </c>
      <c r="D276" s="8">
        <f t="shared" si="4"/>
        <v>54000</v>
      </c>
    </row>
    <row r="277" spans="1:4" ht="18" hidden="1" x14ac:dyDescent="0.35">
      <c r="A277" s="14" t="s">
        <v>92</v>
      </c>
      <c r="B277" s="7"/>
      <c r="C277" s="7"/>
      <c r="D277" s="8">
        <f t="shared" si="4"/>
        <v>0</v>
      </c>
    </row>
    <row r="278" spans="1:4" ht="18" hidden="1" x14ac:dyDescent="0.35">
      <c r="A278" s="10" t="s">
        <v>276</v>
      </c>
      <c r="B278" s="7"/>
      <c r="C278" s="7"/>
      <c r="D278" s="8">
        <f t="shared" si="4"/>
        <v>0</v>
      </c>
    </row>
    <row r="279" spans="1:4" ht="18" x14ac:dyDescent="0.3">
      <c r="A279" s="22" t="s">
        <v>277</v>
      </c>
      <c r="B279" s="7">
        <v>17</v>
      </c>
      <c r="C279" s="7">
        <v>3500</v>
      </c>
      <c r="D279" s="8">
        <f t="shared" si="4"/>
        <v>59500</v>
      </c>
    </row>
    <row r="280" spans="1:4" ht="18" hidden="1" x14ac:dyDescent="0.35">
      <c r="A280" s="11" t="s">
        <v>278</v>
      </c>
      <c r="B280" s="7"/>
      <c r="C280" s="7"/>
      <c r="D280" s="8">
        <f t="shared" si="4"/>
        <v>0</v>
      </c>
    </row>
    <row r="281" spans="1:4" ht="18" hidden="1" x14ac:dyDescent="0.35">
      <c r="A281" s="10" t="s">
        <v>279</v>
      </c>
      <c r="B281" s="7"/>
      <c r="C281" s="7"/>
      <c r="D281" s="8">
        <f t="shared" si="4"/>
        <v>0</v>
      </c>
    </row>
    <row r="282" spans="1:4" ht="18" hidden="1" x14ac:dyDescent="0.35">
      <c r="A282" s="10" t="s">
        <v>280</v>
      </c>
      <c r="B282" s="7"/>
      <c r="C282" s="7"/>
      <c r="D282" s="8">
        <f t="shared" si="4"/>
        <v>0</v>
      </c>
    </row>
    <row r="283" spans="1:4" ht="18" hidden="1" x14ac:dyDescent="0.35">
      <c r="A283" s="10" t="s">
        <v>281</v>
      </c>
      <c r="B283" s="7"/>
      <c r="C283" s="7"/>
      <c r="D283" s="8">
        <f t="shared" si="4"/>
        <v>0</v>
      </c>
    </row>
    <row r="284" spans="1:4" ht="18" hidden="1" x14ac:dyDescent="0.35">
      <c r="A284" s="10" t="s">
        <v>282</v>
      </c>
      <c r="B284" s="7"/>
      <c r="C284" s="7"/>
      <c r="D284" s="8">
        <f t="shared" si="4"/>
        <v>0</v>
      </c>
    </row>
    <row r="285" spans="1:4" ht="18" hidden="1" x14ac:dyDescent="0.35">
      <c r="A285" s="6" t="s">
        <v>283</v>
      </c>
      <c r="B285" s="7"/>
      <c r="C285" s="7"/>
      <c r="D285" s="8">
        <f t="shared" si="4"/>
        <v>0</v>
      </c>
    </row>
    <row r="286" spans="1:4" ht="18" hidden="1" x14ac:dyDescent="0.35">
      <c r="A286" s="10" t="s">
        <v>284</v>
      </c>
      <c r="B286" s="7"/>
      <c r="C286" s="7"/>
      <c r="D286" s="8">
        <f t="shared" si="4"/>
        <v>0</v>
      </c>
    </row>
    <row r="287" spans="1:4" ht="18" hidden="1" x14ac:dyDescent="0.35">
      <c r="A287" s="11" t="s">
        <v>285</v>
      </c>
      <c r="B287" s="7"/>
      <c r="C287" s="7"/>
      <c r="D287" s="8">
        <f t="shared" si="4"/>
        <v>0</v>
      </c>
    </row>
    <row r="288" spans="1:4" ht="18" hidden="1" x14ac:dyDescent="0.35">
      <c r="A288" s="11" t="s">
        <v>286</v>
      </c>
      <c r="B288" s="7"/>
      <c r="C288" s="7"/>
      <c r="D288" s="8">
        <f t="shared" si="4"/>
        <v>0</v>
      </c>
    </row>
    <row r="289" spans="1:4" ht="18" hidden="1" x14ac:dyDescent="0.35">
      <c r="A289" s="11" t="s">
        <v>287</v>
      </c>
      <c r="B289" s="7"/>
      <c r="C289" s="7"/>
      <c r="D289" s="8">
        <f t="shared" si="4"/>
        <v>0</v>
      </c>
    </row>
    <row r="290" spans="1:4" ht="18" hidden="1" x14ac:dyDescent="0.35">
      <c r="A290" s="10" t="s">
        <v>288</v>
      </c>
      <c r="B290" s="7"/>
      <c r="C290" s="7"/>
      <c r="D290" s="8">
        <f t="shared" si="4"/>
        <v>0</v>
      </c>
    </row>
    <row r="291" spans="1:4" ht="17.399999999999999" x14ac:dyDescent="0.3">
      <c r="A291" s="31"/>
      <c r="B291" s="32">
        <f t="shared" ref="B291:D291" si="5">SUM(B3:B290)</f>
        <v>8526</v>
      </c>
      <c r="C291" s="32"/>
      <c r="D291" s="32">
        <f t="shared" si="5"/>
        <v>107283500</v>
      </c>
    </row>
  </sheetData>
  <protectedRanges>
    <protectedRange password="CF71" sqref="B1:D290" name="tho"/>
  </protectedRanges>
  <autoFilter ref="A2:D291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topLeftCell="A167" workbookViewId="0">
      <selection activeCell="D294" sqref="D294"/>
    </sheetView>
  </sheetViews>
  <sheetFormatPr defaultRowHeight="14.4" x14ac:dyDescent="0.3"/>
  <cols>
    <col min="1" max="1" width="35.6640625" customWidth="1"/>
    <col min="2" max="2" width="10.88671875" customWidth="1"/>
    <col min="3" max="3" width="12.5546875" customWidth="1"/>
    <col min="4" max="4" width="23.44140625" customWidth="1"/>
  </cols>
  <sheetData>
    <row r="1" spans="1:4" x14ac:dyDescent="0.3">
      <c r="A1" s="1" t="s">
        <v>316</v>
      </c>
      <c r="B1" s="2"/>
      <c r="C1" s="2"/>
      <c r="D1" s="3"/>
    </row>
    <row r="2" spans="1:4" ht="26.4" x14ac:dyDescent="0.3">
      <c r="A2" s="33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5">
      <c r="A3" s="20" t="s">
        <v>72</v>
      </c>
      <c r="B3" s="7"/>
      <c r="C3" s="7"/>
      <c r="D3" s="8">
        <f>B3*C3</f>
        <v>0</v>
      </c>
    </row>
    <row r="4" spans="1:4" ht="18" hidden="1" x14ac:dyDescent="0.35">
      <c r="A4" s="21" t="s">
        <v>73</v>
      </c>
      <c r="B4" s="7"/>
      <c r="C4" s="7"/>
      <c r="D4" s="8">
        <f t="shared" ref="D4:D67" si="0">B4*C4</f>
        <v>0</v>
      </c>
    </row>
    <row r="5" spans="1:4" ht="18" hidden="1" x14ac:dyDescent="0.35">
      <c r="A5" s="20" t="s">
        <v>74</v>
      </c>
      <c r="B5" s="7"/>
      <c r="C5" s="7"/>
      <c r="D5" s="8">
        <f t="shared" si="0"/>
        <v>0</v>
      </c>
    </row>
    <row r="6" spans="1:4" ht="18" x14ac:dyDescent="0.3">
      <c r="A6" s="20" t="s">
        <v>190</v>
      </c>
      <c r="B6" s="7">
        <v>60</v>
      </c>
      <c r="C6" s="7">
        <v>16000</v>
      </c>
      <c r="D6" s="8">
        <f t="shared" si="0"/>
        <v>960000</v>
      </c>
    </row>
    <row r="7" spans="1:4" ht="18" hidden="1" x14ac:dyDescent="0.35">
      <c r="A7" s="10" t="s">
        <v>191</v>
      </c>
      <c r="B7" s="7"/>
      <c r="C7" s="7"/>
      <c r="D7" s="8">
        <f t="shared" si="0"/>
        <v>0</v>
      </c>
    </row>
    <row r="8" spans="1:4" ht="18" hidden="1" x14ac:dyDescent="0.35">
      <c r="A8" s="20" t="s">
        <v>308</v>
      </c>
      <c r="B8" s="7"/>
      <c r="C8" s="7"/>
      <c r="D8" s="8">
        <f t="shared" si="0"/>
        <v>0</v>
      </c>
    </row>
    <row r="9" spans="1:4" ht="18" hidden="1" x14ac:dyDescent="0.35">
      <c r="A9" s="10" t="s">
        <v>49</v>
      </c>
      <c r="B9" s="7"/>
      <c r="C9" s="7"/>
      <c r="D9" s="8">
        <f t="shared" si="0"/>
        <v>0</v>
      </c>
    </row>
    <row r="10" spans="1:4" ht="18" x14ac:dyDescent="0.3">
      <c r="A10" s="10" t="s">
        <v>50</v>
      </c>
      <c r="B10" s="7">
        <v>20</v>
      </c>
      <c r="C10" s="7">
        <v>8000</v>
      </c>
      <c r="D10" s="8">
        <f t="shared" si="0"/>
        <v>160000</v>
      </c>
    </row>
    <row r="11" spans="1:4" ht="18" hidden="1" x14ac:dyDescent="0.35">
      <c r="A11" s="6" t="s">
        <v>51</v>
      </c>
      <c r="B11" s="7"/>
      <c r="C11" s="7"/>
      <c r="D11" s="8">
        <f t="shared" si="0"/>
        <v>0</v>
      </c>
    </row>
    <row r="12" spans="1:4" ht="18" hidden="1" x14ac:dyDescent="0.35">
      <c r="A12" s="6" t="s">
        <v>199</v>
      </c>
      <c r="B12" s="7"/>
      <c r="C12" s="7"/>
      <c r="D12" s="8">
        <f t="shared" si="0"/>
        <v>0</v>
      </c>
    </row>
    <row r="13" spans="1:4" ht="18" hidden="1" x14ac:dyDescent="0.35">
      <c r="A13" s="10" t="s">
        <v>117</v>
      </c>
      <c r="B13" s="7"/>
      <c r="C13" s="7"/>
      <c r="D13" s="8">
        <f t="shared" si="0"/>
        <v>0</v>
      </c>
    </row>
    <row r="14" spans="1:4" ht="18" hidden="1" x14ac:dyDescent="0.35">
      <c r="A14" s="10" t="s">
        <v>276</v>
      </c>
      <c r="B14" s="7"/>
      <c r="C14" s="7"/>
      <c r="D14" s="8">
        <f t="shared" si="0"/>
        <v>0</v>
      </c>
    </row>
    <row r="15" spans="1:4" ht="18" x14ac:dyDescent="0.3">
      <c r="A15" s="22" t="s">
        <v>277</v>
      </c>
      <c r="B15" s="7">
        <v>20</v>
      </c>
      <c r="C15" s="7">
        <v>3500</v>
      </c>
      <c r="D15" s="8">
        <f t="shared" si="0"/>
        <v>70000</v>
      </c>
    </row>
    <row r="16" spans="1:4" ht="18" hidden="1" x14ac:dyDescent="0.35">
      <c r="A16" s="11" t="s">
        <v>278</v>
      </c>
      <c r="B16" s="7"/>
      <c r="C16" s="7"/>
      <c r="D16" s="8">
        <f t="shared" si="0"/>
        <v>0</v>
      </c>
    </row>
    <row r="17" spans="1:4" ht="18" x14ac:dyDescent="0.3">
      <c r="A17" s="10" t="s">
        <v>120</v>
      </c>
      <c r="B17" s="7">
        <f>2480+195+300+75+600+600</f>
        <v>4250</v>
      </c>
      <c r="C17" s="7">
        <v>5000</v>
      </c>
      <c r="D17" s="8">
        <f t="shared" si="0"/>
        <v>21250000</v>
      </c>
    </row>
    <row r="18" spans="1:4" ht="18" hidden="1" x14ac:dyDescent="0.35">
      <c r="A18" s="6" t="s">
        <v>59</v>
      </c>
      <c r="B18" s="7"/>
      <c r="C18" s="7"/>
      <c r="D18" s="8">
        <f t="shared" si="0"/>
        <v>0</v>
      </c>
    </row>
    <row r="19" spans="1:4" ht="18" hidden="1" x14ac:dyDescent="0.35">
      <c r="A19" s="6" t="s">
        <v>60</v>
      </c>
      <c r="B19" s="7"/>
      <c r="C19" s="7"/>
      <c r="D19" s="8">
        <f t="shared" si="0"/>
        <v>0</v>
      </c>
    </row>
    <row r="20" spans="1:4" ht="18" x14ac:dyDescent="0.3">
      <c r="A20" s="10" t="s">
        <v>262</v>
      </c>
      <c r="B20" s="7">
        <v>5</v>
      </c>
      <c r="C20" s="7">
        <v>11000</v>
      </c>
      <c r="D20" s="8">
        <f t="shared" si="0"/>
        <v>55000</v>
      </c>
    </row>
    <row r="21" spans="1:4" ht="18" x14ac:dyDescent="0.3">
      <c r="A21" s="10" t="s">
        <v>263</v>
      </c>
      <c r="B21" s="7">
        <v>80</v>
      </c>
      <c r="C21" s="7">
        <v>8000</v>
      </c>
      <c r="D21" s="8">
        <f t="shared" si="0"/>
        <v>640000</v>
      </c>
    </row>
    <row r="22" spans="1:4" ht="18" hidden="1" x14ac:dyDescent="0.35">
      <c r="A22" s="10" t="s">
        <v>264</v>
      </c>
      <c r="B22" s="7"/>
      <c r="C22" s="7"/>
      <c r="D22" s="8">
        <f t="shared" si="0"/>
        <v>0</v>
      </c>
    </row>
    <row r="23" spans="1:4" ht="18" hidden="1" x14ac:dyDescent="0.35">
      <c r="A23" s="10" t="s">
        <v>265</v>
      </c>
      <c r="B23" s="7"/>
      <c r="C23" s="7"/>
      <c r="D23" s="8">
        <f t="shared" si="0"/>
        <v>0</v>
      </c>
    </row>
    <row r="24" spans="1:4" ht="18" hidden="1" x14ac:dyDescent="0.35">
      <c r="A24" s="10" t="s">
        <v>63</v>
      </c>
      <c r="B24" s="7"/>
      <c r="C24" s="7"/>
      <c r="D24" s="8">
        <f t="shared" si="0"/>
        <v>0</v>
      </c>
    </row>
    <row r="25" spans="1:4" ht="18" hidden="1" x14ac:dyDescent="0.35">
      <c r="A25" s="6" t="s">
        <v>64</v>
      </c>
      <c r="B25" s="7"/>
      <c r="C25" s="7"/>
      <c r="D25" s="8">
        <f t="shared" si="0"/>
        <v>0</v>
      </c>
    </row>
    <row r="26" spans="1:4" ht="18" hidden="1" x14ac:dyDescent="0.35">
      <c r="A26" s="6" t="s">
        <v>65</v>
      </c>
      <c r="B26" s="7"/>
      <c r="C26" s="7"/>
      <c r="D26" s="8">
        <f t="shared" si="0"/>
        <v>0</v>
      </c>
    </row>
    <row r="27" spans="1:4" ht="18" hidden="1" x14ac:dyDescent="0.35">
      <c r="A27" s="10" t="s">
        <v>222</v>
      </c>
      <c r="B27" s="7"/>
      <c r="C27" s="7"/>
      <c r="D27" s="8">
        <f t="shared" si="0"/>
        <v>0</v>
      </c>
    </row>
    <row r="28" spans="1:4" ht="18" hidden="1" x14ac:dyDescent="0.35">
      <c r="A28" s="10" t="s">
        <v>223</v>
      </c>
      <c r="B28" s="7"/>
      <c r="C28" s="7"/>
      <c r="D28" s="8">
        <f t="shared" si="0"/>
        <v>0</v>
      </c>
    </row>
    <row r="29" spans="1:4" ht="18" hidden="1" x14ac:dyDescent="0.35">
      <c r="A29" s="11" t="s">
        <v>224</v>
      </c>
      <c r="B29" s="12"/>
      <c r="C29" s="12"/>
      <c r="D29" s="8">
        <f t="shared" si="0"/>
        <v>0</v>
      </c>
    </row>
    <row r="30" spans="1:4" ht="18" hidden="1" x14ac:dyDescent="0.35">
      <c r="A30" s="11" t="s">
        <v>225</v>
      </c>
      <c r="B30" s="7"/>
      <c r="C30" s="7"/>
      <c r="D30" s="8">
        <f t="shared" si="0"/>
        <v>0</v>
      </c>
    </row>
    <row r="31" spans="1:4" ht="18" hidden="1" x14ac:dyDescent="0.35">
      <c r="A31" s="11" t="s">
        <v>226</v>
      </c>
      <c r="B31" s="12"/>
      <c r="C31" s="12"/>
      <c r="D31" s="8">
        <f t="shared" si="0"/>
        <v>0</v>
      </c>
    </row>
    <row r="32" spans="1:4" ht="18" hidden="1" x14ac:dyDescent="0.35">
      <c r="A32" s="10" t="s">
        <v>121</v>
      </c>
      <c r="B32" s="7"/>
      <c r="C32" s="7"/>
      <c r="D32" s="8">
        <f t="shared" si="0"/>
        <v>0</v>
      </c>
    </row>
    <row r="33" spans="1:4" ht="18" hidden="1" x14ac:dyDescent="0.35">
      <c r="A33" s="10" t="s">
        <v>145</v>
      </c>
      <c r="B33" s="7"/>
      <c r="C33" s="7"/>
      <c r="D33" s="8">
        <f t="shared" si="0"/>
        <v>0</v>
      </c>
    </row>
    <row r="34" spans="1:4" ht="18" hidden="1" x14ac:dyDescent="0.35">
      <c r="A34" s="14" t="s">
        <v>97</v>
      </c>
      <c r="B34" s="7"/>
      <c r="C34" s="7"/>
      <c r="D34" s="8">
        <f t="shared" si="0"/>
        <v>0</v>
      </c>
    </row>
    <row r="35" spans="1:4" ht="18" hidden="1" x14ac:dyDescent="0.35">
      <c r="A35" s="10" t="s">
        <v>98</v>
      </c>
      <c r="B35" s="7"/>
      <c r="C35" s="7"/>
      <c r="D35" s="8">
        <f t="shared" si="0"/>
        <v>0</v>
      </c>
    </row>
    <row r="36" spans="1:4" ht="18" hidden="1" x14ac:dyDescent="0.35">
      <c r="A36" s="10" t="s">
        <v>99</v>
      </c>
      <c r="B36" s="7"/>
      <c r="C36" s="7"/>
      <c r="D36" s="8">
        <f t="shared" si="0"/>
        <v>0</v>
      </c>
    </row>
    <row r="37" spans="1:4" ht="18" hidden="1" x14ac:dyDescent="0.35">
      <c r="A37" s="10" t="s">
        <v>266</v>
      </c>
      <c r="B37" s="7"/>
      <c r="C37" s="7"/>
      <c r="D37" s="8">
        <f t="shared" si="0"/>
        <v>0</v>
      </c>
    </row>
    <row r="38" spans="1:4" ht="18" hidden="1" x14ac:dyDescent="0.35">
      <c r="A38" s="10" t="s">
        <v>267</v>
      </c>
      <c r="B38" s="7"/>
      <c r="C38" s="7"/>
      <c r="D38" s="8">
        <f t="shared" si="0"/>
        <v>0</v>
      </c>
    </row>
    <row r="39" spans="1:4" ht="18" hidden="1" x14ac:dyDescent="0.35">
      <c r="A39" s="22" t="s">
        <v>268</v>
      </c>
      <c r="B39" s="7"/>
      <c r="C39" s="7"/>
      <c r="D39" s="8">
        <f t="shared" si="0"/>
        <v>0</v>
      </c>
    </row>
    <row r="40" spans="1:4" ht="18" hidden="1" x14ac:dyDescent="0.35">
      <c r="A40" s="11" t="s">
        <v>122</v>
      </c>
      <c r="B40" s="7"/>
      <c r="C40" s="7"/>
      <c r="D40" s="8">
        <f t="shared" si="0"/>
        <v>0</v>
      </c>
    </row>
    <row r="41" spans="1:4" ht="18" hidden="1" x14ac:dyDescent="0.35">
      <c r="A41" s="22" t="s">
        <v>123</v>
      </c>
      <c r="B41" s="7"/>
      <c r="C41" s="7"/>
      <c r="D41" s="8">
        <f t="shared" si="0"/>
        <v>0</v>
      </c>
    </row>
    <row r="42" spans="1:4" ht="18" x14ac:dyDescent="0.3">
      <c r="A42" s="10" t="s">
        <v>269</v>
      </c>
      <c r="B42" s="7">
        <f>16+14+20</f>
        <v>50</v>
      </c>
      <c r="C42" s="7">
        <v>23000</v>
      </c>
      <c r="D42" s="8">
        <f t="shared" si="0"/>
        <v>1150000</v>
      </c>
    </row>
    <row r="43" spans="1:4" ht="18" hidden="1" x14ac:dyDescent="0.35">
      <c r="A43" s="10" t="s">
        <v>270</v>
      </c>
      <c r="B43" s="7"/>
      <c r="C43" s="7"/>
      <c r="D43" s="8">
        <f t="shared" si="0"/>
        <v>0</v>
      </c>
    </row>
    <row r="44" spans="1:4" ht="18" x14ac:dyDescent="0.3">
      <c r="A44" s="6" t="s">
        <v>113</v>
      </c>
      <c r="B44" s="7">
        <f>200+100+60</f>
        <v>360</v>
      </c>
      <c r="C44" s="7">
        <v>12000</v>
      </c>
      <c r="D44" s="8">
        <f t="shared" si="0"/>
        <v>4320000</v>
      </c>
    </row>
    <row r="45" spans="1:4" ht="18" hidden="1" x14ac:dyDescent="0.35">
      <c r="A45" s="10" t="s">
        <v>147</v>
      </c>
      <c r="B45" s="7"/>
      <c r="C45" s="7"/>
      <c r="D45" s="8">
        <f t="shared" si="0"/>
        <v>0</v>
      </c>
    </row>
    <row r="46" spans="1:4" ht="18" hidden="1" x14ac:dyDescent="0.35">
      <c r="A46" s="34" t="s">
        <v>148</v>
      </c>
      <c r="B46" s="7"/>
      <c r="C46" s="7"/>
      <c r="D46" s="8">
        <f t="shared" si="0"/>
        <v>0</v>
      </c>
    </row>
    <row r="47" spans="1:4" ht="18" hidden="1" x14ac:dyDescent="0.35">
      <c r="A47" s="14" t="s">
        <v>149</v>
      </c>
      <c r="B47" s="7"/>
      <c r="C47" s="7"/>
      <c r="D47" s="8">
        <f t="shared" si="0"/>
        <v>0</v>
      </c>
    </row>
    <row r="48" spans="1:4" ht="18" hidden="1" x14ac:dyDescent="0.35">
      <c r="A48" s="10" t="s">
        <v>150</v>
      </c>
      <c r="B48" s="7"/>
      <c r="C48" s="7"/>
      <c r="D48" s="8">
        <f t="shared" si="0"/>
        <v>0</v>
      </c>
    </row>
    <row r="49" spans="1:4" ht="18" hidden="1" x14ac:dyDescent="0.35">
      <c r="A49" s="11" t="s">
        <v>151</v>
      </c>
      <c r="B49" s="7"/>
      <c r="C49" s="7"/>
      <c r="D49" s="8">
        <f t="shared" si="0"/>
        <v>0</v>
      </c>
    </row>
    <row r="50" spans="1:4" ht="18" hidden="1" x14ac:dyDescent="0.35">
      <c r="A50" s="10" t="s">
        <v>152</v>
      </c>
      <c r="B50" s="7"/>
      <c r="C50" s="7"/>
      <c r="D50" s="8">
        <f t="shared" si="0"/>
        <v>0</v>
      </c>
    </row>
    <row r="51" spans="1:4" ht="18" hidden="1" x14ac:dyDescent="0.35">
      <c r="A51" s="10" t="s">
        <v>153</v>
      </c>
      <c r="B51" s="7"/>
      <c r="C51" s="7"/>
      <c r="D51" s="8">
        <f t="shared" si="0"/>
        <v>0</v>
      </c>
    </row>
    <row r="52" spans="1:4" ht="18" hidden="1" x14ac:dyDescent="0.35">
      <c r="A52" s="14" t="s">
        <v>75</v>
      </c>
      <c r="B52" s="7"/>
      <c r="C52" s="7"/>
      <c r="D52" s="8">
        <f t="shared" si="0"/>
        <v>0</v>
      </c>
    </row>
    <row r="53" spans="1:4" ht="18" x14ac:dyDescent="0.3">
      <c r="A53" s="10" t="s">
        <v>114</v>
      </c>
      <c r="B53" s="7">
        <v>100</v>
      </c>
      <c r="C53" s="7">
        <v>9000</v>
      </c>
      <c r="D53" s="8">
        <f t="shared" si="0"/>
        <v>900000</v>
      </c>
    </row>
    <row r="54" spans="1:4" ht="18" hidden="1" x14ac:dyDescent="0.35">
      <c r="A54" s="10" t="s">
        <v>154</v>
      </c>
      <c r="B54" s="7"/>
      <c r="C54" s="7"/>
      <c r="D54" s="8">
        <f t="shared" si="0"/>
        <v>0</v>
      </c>
    </row>
    <row r="55" spans="1:4" ht="18" hidden="1" x14ac:dyDescent="0.35">
      <c r="A55" s="10" t="s">
        <v>155</v>
      </c>
      <c r="B55" s="7"/>
      <c r="C55" s="7"/>
      <c r="D55" s="8">
        <f t="shared" si="0"/>
        <v>0</v>
      </c>
    </row>
    <row r="56" spans="1:4" ht="18" hidden="1" x14ac:dyDescent="0.35">
      <c r="A56" s="9" t="s">
        <v>156</v>
      </c>
      <c r="B56" s="7"/>
      <c r="C56" s="7"/>
      <c r="D56" s="8">
        <f t="shared" si="0"/>
        <v>0</v>
      </c>
    </row>
    <row r="57" spans="1:4" ht="18" hidden="1" x14ac:dyDescent="0.35">
      <c r="A57" s="6" t="s">
        <v>283</v>
      </c>
      <c r="B57" s="7"/>
      <c r="C57" s="7"/>
      <c r="D57" s="8">
        <f t="shared" si="0"/>
        <v>0</v>
      </c>
    </row>
    <row r="58" spans="1:4" ht="18" x14ac:dyDescent="0.3">
      <c r="A58" s="6" t="s">
        <v>303</v>
      </c>
      <c r="B58" s="7">
        <v>10</v>
      </c>
      <c r="C58" s="7">
        <v>7000</v>
      </c>
      <c r="D58" s="8">
        <f t="shared" si="0"/>
        <v>70000</v>
      </c>
    </row>
    <row r="59" spans="1:4" ht="18" hidden="1" x14ac:dyDescent="0.35">
      <c r="A59" s="55" t="s">
        <v>304</v>
      </c>
      <c r="B59" s="7"/>
      <c r="C59" s="7"/>
      <c r="D59" s="8">
        <f t="shared" si="0"/>
        <v>0</v>
      </c>
    </row>
    <row r="60" spans="1:4" ht="18" hidden="1" x14ac:dyDescent="0.35">
      <c r="A60" s="6" t="s">
        <v>305</v>
      </c>
      <c r="B60" s="7"/>
      <c r="C60" s="7"/>
      <c r="D60" s="8">
        <f t="shared" si="0"/>
        <v>0</v>
      </c>
    </row>
    <row r="61" spans="1:4" ht="18" hidden="1" x14ac:dyDescent="0.35">
      <c r="A61" s="6" t="s">
        <v>306</v>
      </c>
      <c r="B61" s="7"/>
      <c r="C61" s="7"/>
      <c r="D61" s="8">
        <f t="shared" si="0"/>
        <v>0</v>
      </c>
    </row>
    <row r="62" spans="1:4" ht="18" hidden="1" x14ac:dyDescent="0.35">
      <c r="A62" s="6" t="s">
        <v>2</v>
      </c>
      <c r="B62" s="7"/>
      <c r="C62" s="7"/>
      <c r="D62" s="8">
        <f t="shared" si="0"/>
        <v>0</v>
      </c>
    </row>
    <row r="63" spans="1:4" ht="18" hidden="1" x14ac:dyDescent="0.35">
      <c r="A63" s="9" t="s">
        <v>3</v>
      </c>
      <c r="B63" s="7"/>
      <c r="C63" s="7"/>
      <c r="D63" s="8">
        <f t="shared" si="0"/>
        <v>0</v>
      </c>
    </row>
    <row r="64" spans="1:4" ht="18" hidden="1" x14ac:dyDescent="0.35">
      <c r="A64" s="10" t="s">
        <v>4</v>
      </c>
      <c r="B64" s="7"/>
      <c r="C64" s="7"/>
      <c r="D64" s="8">
        <f t="shared" si="0"/>
        <v>0</v>
      </c>
    </row>
    <row r="65" spans="1:4" ht="18" hidden="1" x14ac:dyDescent="0.35">
      <c r="A65" s="10" t="s">
        <v>115</v>
      </c>
      <c r="B65" s="7"/>
      <c r="C65" s="7"/>
      <c r="D65" s="8">
        <f t="shared" si="0"/>
        <v>0</v>
      </c>
    </row>
    <row r="66" spans="1:4" ht="18" hidden="1" x14ac:dyDescent="0.35">
      <c r="A66" s="6" t="s">
        <v>116</v>
      </c>
      <c r="B66" s="7"/>
      <c r="C66" s="7"/>
      <c r="D66" s="8">
        <f t="shared" si="0"/>
        <v>0</v>
      </c>
    </row>
    <row r="67" spans="1:4" ht="18" x14ac:dyDescent="0.3">
      <c r="A67" s="10" t="s">
        <v>163</v>
      </c>
      <c r="B67" s="7">
        <f>200+150+30</f>
        <v>380</v>
      </c>
      <c r="C67" s="7">
        <v>16000</v>
      </c>
      <c r="D67" s="8">
        <f t="shared" si="0"/>
        <v>6080000</v>
      </c>
    </row>
    <row r="68" spans="1:4" ht="18" hidden="1" x14ac:dyDescent="0.35">
      <c r="A68" s="22" t="s">
        <v>164</v>
      </c>
      <c r="B68" s="7"/>
      <c r="C68" s="7"/>
      <c r="D68" s="8">
        <f t="shared" ref="D68:D131" si="1">B68*C68</f>
        <v>0</v>
      </c>
    </row>
    <row r="69" spans="1:4" ht="18" hidden="1" x14ac:dyDescent="0.35">
      <c r="A69" s="10" t="s">
        <v>165</v>
      </c>
      <c r="B69" s="7"/>
      <c r="C69" s="7"/>
      <c r="D69" s="8">
        <f t="shared" si="1"/>
        <v>0</v>
      </c>
    </row>
    <row r="70" spans="1:4" ht="18" x14ac:dyDescent="0.3">
      <c r="A70" s="10" t="s">
        <v>166</v>
      </c>
      <c r="B70" s="7">
        <v>18</v>
      </c>
      <c r="C70" s="7">
        <v>15000</v>
      </c>
      <c r="D70" s="8">
        <f t="shared" si="1"/>
        <v>270000</v>
      </c>
    </row>
    <row r="71" spans="1:4" ht="18" hidden="1" x14ac:dyDescent="0.35">
      <c r="A71" s="10" t="s">
        <v>167</v>
      </c>
      <c r="B71" s="7"/>
      <c r="C71" s="7"/>
      <c r="D71" s="8">
        <f t="shared" si="1"/>
        <v>0</v>
      </c>
    </row>
    <row r="72" spans="1:4" ht="18" hidden="1" x14ac:dyDescent="0.35">
      <c r="A72" s="6" t="s">
        <v>9</v>
      </c>
      <c r="B72" s="12"/>
      <c r="C72" s="12"/>
      <c r="D72" s="8">
        <f t="shared" si="1"/>
        <v>0</v>
      </c>
    </row>
    <row r="73" spans="1:4" ht="18" hidden="1" x14ac:dyDescent="0.35">
      <c r="A73" s="6" t="s">
        <v>10</v>
      </c>
      <c r="B73" s="12"/>
      <c r="C73" s="12"/>
      <c r="D73" s="8">
        <f t="shared" si="1"/>
        <v>0</v>
      </c>
    </row>
    <row r="74" spans="1:4" ht="18" hidden="1" x14ac:dyDescent="0.35">
      <c r="A74" s="10" t="s">
        <v>81</v>
      </c>
      <c r="B74" s="7"/>
      <c r="C74" s="7"/>
      <c r="D74" s="8">
        <f t="shared" si="1"/>
        <v>0</v>
      </c>
    </row>
    <row r="75" spans="1:4" ht="18" x14ac:dyDescent="0.3">
      <c r="A75" s="10" t="s">
        <v>82</v>
      </c>
      <c r="B75" s="7">
        <v>40</v>
      </c>
      <c r="C75" s="7">
        <v>25500</v>
      </c>
      <c r="D75" s="8">
        <f t="shared" si="1"/>
        <v>1020000</v>
      </c>
    </row>
    <row r="76" spans="1:4" ht="18" hidden="1" x14ac:dyDescent="0.35">
      <c r="A76" s="10" t="s">
        <v>83</v>
      </c>
      <c r="B76" s="7"/>
      <c r="C76" s="7"/>
      <c r="D76" s="8">
        <f t="shared" si="1"/>
        <v>0</v>
      </c>
    </row>
    <row r="77" spans="1:4" ht="18" hidden="1" x14ac:dyDescent="0.35">
      <c r="A77" s="10" t="s">
        <v>84</v>
      </c>
      <c r="B77" s="7"/>
      <c r="C77" s="7"/>
      <c r="D77" s="8">
        <f t="shared" si="1"/>
        <v>0</v>
      </c>
    </row>
    <row r="78" spans="1:4" ht="18" hidden="1" x14ac:dyDescent="0.35">
      <c r="A78" s="10" t="s">
        <v>85</v>
      </c>
      <c r="B78" s="7"/>
      <c r="C78" s="7"/>
      <c r="D78" s="8">
        <f t="shared" si="1"/>
        <v>0</v>
      </c>
    </row>
    <row r="79" spans="1:4" ht="18" x14ac:dyDescent="0.3">
      <c r="A79" s="10" t="s">
        <v>188</v>
      </c>
      <c r="B79" s="7">
        <v>10</v>
      </c>
      <c r="C79" s="7">
        <v>6000</v>
      </c>
      <c r="D79" s="8">
        <f t="shared" si="1"/>
        <v>60000</v>
      </c>
    </row>
    <row r="80" spans="1:4" ht="18" hidden="1" x14ac:dyDescent="0.35">
      <c r="A80" s="13" t="s">
        <v>189</v>
      </c>
      <c r="B80" s="7"/>
      <c r="C80" s="7"/>
      <c r="D80" s="8">
        <f t="shared" si="1"/>
        <v>0</v>
      </c>
    </row>
    <row r="81" spans="1:4" ht="18" hidden="1" x14ac:dyDescent="0.35">
      <c r="A81" s="13" t="s">
        <v>172</v>
      </c>
      <c r="B81" s="7"/>
      <c r="C81" s="7"/>
      <c r="D81" s="8">
        <f t="shared" si="1"/>
        <v>0</v>
      </c>
    </row>
    <row r="82" spans="1:4" ht="18" hidden="1" x14ac:dyDescent="0.35">
      <c r="A82" s="13" t="s">
        <v>173</v>
      </c>
      <c r="B82" s="7"/>
      <c r="C82" s="7"/>
      <c r="D82" s="8">
        <f t="shared" si="1"/>
        <v>0</v>
      </c>
    </row>
    <row r="83" spans="1:4" ht="18" hidden="1" x14ac:dyDescent="0.35">
      <c r="A83" s="11" t="s">
        <v>174</v>
      </c>
      <c r="B83" s="7"/>
      <c r="C83" s="7"/>
      <c r="D83" s="8">
        <f t="shared" si="1"/>
        <v>0</v>
      </c>
    </row>
    <row r="84" spans="1:4" ht="18" hidden="1" x14ac:dyDescent="0.35">
      <c r="A84" s="22" t="s">
        <v>168</v>
      </c>
      <c r="B84" s="7"/>
      <c r="C84" s="7"/>
      <c r="D84" s="8">
        <f t="shared" si="1"/>
        <v>0</v>
      </c>
    </row>
    <row r="85" spans="1:4" ht="18" hidden="1" x14ac:dyDescent="0.35">
      <c r="A85" s="11" t="s">
        <v>200</v>
      </c>
      <c r="B85" s="7"/>
      <c r="C85" s="7"/>
      <c r="D85" s="8">
        <f t="shared" si="1"/>
        <v>0</v>
      </c>
    </row>
    <row r="86" spans="1:4" ht="18" hidden="1" x14ac:dyDescent="0.35">
      <c r="A86" s="10" t="s">
        <v>11</v>
      </c>
      <c r="B86" s="7"/>
      <c r="C86" s="7"/>
      <c r="D86" s="8">
        <f t="shared" si="1"/>
        <v>0</v>
      </c>
    </row>
    <row r="87" spans="1:4" ht="18" hidden="1" x14ac:dyDescent="0.35">
      <c r="A87" s="10" t="s">
        <v>12</v>
      </c>
      <c r="B87" s="7"/>
      <c r="C87" s="7"/>
      <c r="D87" s="8">
        <f t="shared" si="1"/>
        <v>0</v>
      </c>
    </row>
    <row r="88" spans="1:4" ht="18" hidden="1" x14ac:dyDescent="0.35">
      <c r="A88" s="11" t="s">
        <v>201</v>
      </c>
      <c r="B88" s="7"/>
      <c r="C88" s="7"/>
      <c r="D88" s="8">
        <f t="shared" si="1"/>
        <v>0</v>
      </c>
    </row>
    <row r="89" spans="1:4" ht="18" hidden="1" x14ac:dyDescent="0.35">
      <c r="A89" s="11" t="s">
        <v>202</v>
      </c>
      <c r="B89" s="7"/>
      <c r="C89" s="7"/>
      <c r="D89" s="8">
        <f t="shared" si="1"/>
        <v>0</v>
      </c>
    </row>
    <row r="90" spans="1:4" ht="18" hidden="1" x14ac:dyDescent="0.35">
      <c r="A90" s="10" t="s">
        <v>13</v>
      </c>
      <c r="B90" s="12"/>
      <c r="C90" s="12"/>
      <c r="D90" s="8">
        <f t="shared" si="1"/>
        <v>0</v>
      </c>
    </row>
    <row r="91" spans="1:4" ht="18" hidden="1" x14ac:dyDescent="0.35">
      <c r="A91" s="13" t="s">
        <v>14</v>
      </c>
      <c r="B91" s="7"/>
      <c r="C91" s="7"/>
      <c r="D91" s="8">
        <f t="shared" si="1"/>
        <v>0</v>
      </c>
    </row>
    <row r="92" spans="1:4" ht="18" hidden="1" x14ac:dyDescent="0.35">
      <c r="A92" s="11" t="s">
        <v>203</v>
      </c>
      <c r="B92" s="7"/>
      <c r="C92" s="7"/>
      <c r="D92" s="8">
        <f t="shared" si="1"/>
        <v>0</v>
      </c>
    </row>
    <row r="93" spans="1:4" ht="18" x14ac:dyDescent="0.3">
      <c r="A93" s="10" t="s">
        <v>46</v>
      </c>
      <c r="B93" s="7">
        <v>140</v>
      </c>
      <c r="C93" s="7">
        <v>9000</v>
      </c>
      <c r="D93" s="8">
        <f t="shared" si="1"/>
        <v>1260000</v>
      </c>
    </row>
    <row r="94" spans="1:4" ht="18" hidden="1" x14ac:dyDescent="0.35">
      <c r="A94" s="14" t="s">
        <v>47</v>
      </c>
      <c r="B94" s="7"/>
      <c r="C94" s="7"/>
      <c r="D94" s="8">
        <f t="shared" si="1"/>
        <v>0</v>
      </c>
    </row>
    <row r="95" spans="1:4" ht="18" hidden="1" x14ac:dyDescent="0.35">
      <c r="A95" s="10" t="s">
        <v>186</v>
      </c>
      <c r="B95" s="7"/>
      <c r="C95" s="7"/>
      <c r="D95" s="8">
        <f t="shared" si="1"/>
        <v>0</v>
      </c>
    </row>
    <row r="96" spans="1:4" ht="18" hidden="1" x14ac:dyDescent="0.35">
      <c r="A96" s="10" t="s">
        <v>187</v>
      </c>
      <c r="B96" s="7"/>
      <c r="C96" s="7"/>
      <c r="D96" s="8">
        <f t="shared" si="1"/>
        <v>0</v>
      </c>
    </row>
    <row r="97" spans="1:4" ht="18" x14ac:dyDescent="0.3">
      <c r="A97" s="56" t="s">
        <v>300</v>
      </c>
      <c r="B97" s="7">
        <v>90</v>
      </c>
      <c r="C97" s="7">
        <v>6500</v>
      </c>
      <c r="D97" s="8">
        <f t="shared" si="1"/>
        <v>585000</v>
      </c>
    </row>
    <row r="98" spans="1:4" ht="18" hidden="1" x14ac:dyDescent="0.35">
      <c r="A98" s="26" t="s">
        <v>48</v>
      </c>
      <c r="B98" s="7"/>
      <c r="C98" s="7"/>
      <c r="D98" s="8">
        <f t="shared" si="1"/>
        <v>0</v>
      </c>
    </row>
    <row r="99" spans="1:4" ht="18" hidden="1" x14ac:dyDescent="0.35">
      <c r="A99" s="26" t="s">
        <v>17</v>
      </c>
      <c r="B99" s="7"/>
      <c r="C99" s="7"/>
      <c r="D99" s="8">
        <f t="shared" si="1"/>
        <v>0</v>
      </c>
    </row>
    <row r="100" spans="1:4" ht="18" hidden="1" x14ac:dyDescent="0.35">
      <c r="A100" s="10" t="s">
        <v>18</v>
      </c>
      <c r="B100" s="7"/>
      <c r="C100" s="7"/>
      <c r="D100" s="8">
        <f t="shared" si="1"/>
        <v>0</v>
      </c>
    </row>
    <row r="101" spans="1:4" ht="18" hidden="1" x14ac:dyDescent="0.35">
      <c r="A101" s="10" t="s">
        <v>19</v>
      </c>
      <c r="B101" s="7"/>
      <c r="C101" s="7"/>
      <c r="D101" s="8">
        <f t="shared" si="1"/>
        <v>0</v>
      </c>
    </row>
    <row r="102" spans="1:4" ht="18" hidden="1" x14ac:dyDescent="0.35">
      <c r="A102" s="10" t="s">
        <v>204</v>
      </c>
      <c r="B102" s="7"/>
      <c r="C102" s="7"/>
      <c r="D102" s="8">
        <f t="shared" si="1"/>
        <v>0</v>
      </c>
    </row>
    <row r="103" spans="1:4" ht="18" hidden="1" x14ac:dyDescent="0.35">
      <c r="A103" s="10" t="s">
        <v>205</v>
      </c>
      <c r="B103" s="7"/>
      <c r="C103" s="7"/>
      <c r="D103" s="8">
        <f t="shared" si="1"/>
        <v>0</v>
      </c>
    </row>
    <row r="104" spans="1:4" ht="18" hidden="1" x14ac:dyDescent="0.35">
      <c r="A104" s="10" t="s">
        <v>206</v>
      </c>
      <c r="B104" s="7"/>
      <c r="C104" s="7"/>
      <c r="D104" s="8">
        <f t="shared" si="1"/>
        <v>0</v>
      </c>
    </row>
    <row r="105" spans="1:4" ht="18" hidden="1" x14ac:dyDescent="0.35">
      <c r="A105" s="10" t="s">
        <v>207</v>
      </c>
      <c r="B105" s="7"/>
      <c r="C105" s="7"/>
      <c r="D105" s="8">
        <f t="shared" si="1"/>
        <v>0</v>
      </c>
    </row>
    <row r="106" spans="1:4" ht="18" hidden="1" x14ac:dyDescent="0.35">
      <c r="A106" s="11" t="s">
        <v>15</v>
      </c>
      <c r="B106" s="7"/>
      <c r="C106" s="7"/>
      <c r="D106" s="8">
        <f t="shared" si="1"/>
        <v>0</v>
      </c>
    </row>
    <row r="107" spans="1:4" ht="18" hidden="1" x14ac:dyDescent="0.35">
      <c r="A107" s="13" t="s">
        <v>16</v>
      </c>
      <c r="B107" s="7"/>
      <c r="C107" s="7"/>
      <c r="D107" s="8">
        <f t="shared" si="1"/>
        <v>0</v>
      </c>
    </row>
    <row r="108" spans="1:4" ht="18" hidden="1" x14ac:dyDescent="0.35">
      <c r="A108" s="22" t="s">
        <v>313</v>
      </c>
      <c r="B108" s="7"/>
      <c r="C108" s="7"/>
      <c r="D108" s="8">
        <f t="shared" si="1"/>
        <v>0</v>
      </c>
    </row>
    <row r="109" spans="1:4" ht="18" hidden="1" x14ac:dyDescent="0.35">
      <c r="A109" s="22" t="s">
        <v>314</v>
      </c>
      <c r="B109" s="7"/>
      <c r="C109" s="7"/>
      <c r="D109" s="8">
        <f t="shared" si="1"/>
        <v>0</v>
      </c>
    </row>
    <row r="110" spans="1:4" ht="18" hidden="1" x14ac:dyDescent="0.35">
      <c r="A110" s="22" t="s">
        <v>315</v>
      </c>
      <c r="B110" s="7"/>
      <c r="C110" s="7"/>
      <c r="D110" s="8">
        <f t="shared" si="1"/>
        <v>0</v>
      </c>
    </row>
    <row r="111" spans="1:4" ht="18" hidden="1" x14ac:dyDescent="0.35">
      <c r="A111" s="10" t="s">
        <v>96</v>
      </c>
      <c r="B111" s="7"/>
      <c r="C111" s="7"/>
      <c r="D111" s="8">
        <f t="shared" si="1"/>
        <v>0</v>
      </c>
    </row>
    <row r="112" spans="1:4" ht="18" hidden="1" x14ac:dyDescent="0.35">
      <c r="A112" s="28" t="s">
        <v>124</v>
      </c>
      <c r="B112" s="7"/>
      <c r="C112" s="7"/>
      <c r="D112" s="8">
        <f t="shared" si="1"/>
        <v>0</v>
      </c>
    </row>
    <row r="113" spans="1:4" ht="18" hidden="1" x14ac:dyDescent="0.35">
      <c r="A113" s="22" t="s">
        <v>125</v>
      </c>
      <c r="B113" s="7"/>
      <c r="C113" s="7"/>
      <c r="D113" s="8">
        <f t="shared" si="1"/>
        <v>0</v>
      </c>
    </row>
    <row r="114" spans="1:4" ht="18" hidden="1" x14ac:dyDescent="0.35">
      <c r="A114" s="6" t="s">
        <v>126</v>
      </c>
      <c r="B114" s="12"/>
      <c r="C114" s="12"/>
      <c r="D114" s="8">
        <f t="shared" si="1"/>
        <v>0</v>
      </c>
    </row>
    <row r="115" spans="1:4" ht="18" hidden="1" x14ac:dyDescent="0.35">
      <c r="A115" s="6" t="s">
        <v>127</v>
      </c>
      <c r="B115" s="12"/>
      <c r="C115" s="12"/>
      <c r="D115" s="8">
        <f t="shared" si="1"/>
        <v>0</v>
      </c>
    </row>
    <row r="116" spans="1:4" ht="18" hidden="1" x14ac:dyDescent="0.35">
      <c r="A116" s="6" t="s">
        <v>128</v>
      </c>
      <c r="B116" s="12"/>
      <c r="C116" s="12"/>
      <c r="D116" s="8">
        <f t="shared" si="1"/>
        <v>0</v>
      </c>
    </row>
    <row r="117" spans="1:4" ht="18" hidden="1" x14ac:dyDescent="0.35">
      <c r="A117" s="6" t="s">
        <v>129</v>
      </c>
      <c r="B117" s="29"/>
      <c r="C117" s="29"/>
      <c r="D117" s="8">
        <f t="shared" si="1"/>
        <v>0</v>
      </c>
    </row>
    <row r="118" spans="1:4" ht="18" hidden="1" x14ac:dyDescent="0.35">
      <c r="A118" s="30" t="s">
        <v>271</v>
      </c>
      <c r="B118" s="7"/>
      <c r="C118" s="7"/>
      <c r="D118" s="8">
        <f t="shared" si="1"/>
        <v>0</v>
      </c>
    </row>
    <row r="119" spans="1:4" ht="18" hidden="1" x14ac:dyDescent="0.35">
      <c r="A119" s="6" t="s">
        <v>272</v>
      </c>
      <c r="B119" s="12"/>
      <c r="C119" s="7"/>
      <c r="D119" s="8">
        <f t="shared" si="1"/>
        <v>0</v>
      </c>
    </row>
    <row r="120" spans="1:4" ht="18" hidden="1" x14ac:dyDescent="0.35">
      <c r="A120" s="10" t="s">
        <v>273</v>
      </c>
      <c r="B120" s="7"/>
      <c r="C120" s="7"/>
      <c r="D120" s="8">
        <f t="shared" si="1"/>
        <v>0</v>
      </c>
    </row>
    <row r="121" spans="1:4" ht="18" hidden="1" x14ac:dyDescent="0.35">
      <c r="A121" s="10" t="s">
        <v>274</v>
      </c>
      <c r="B121" s="7"/>
      <c r="C121" s="7"/>
      <c r="D121" s="8">
        <f t="shared" si="1"/>
        <v>0</v>
      </c>
    </row>
    <row r="122" spans="1:4" ht="18" x14ac:dyDescent="0.3">
      <c r="A122" s="10" t="s">
        <v>33</v>
      </c>
      <c r="B122" s="7">
        <v>20</v>
      </c>
      <c r="C122" s="7">
        <v>9000</v>
      </c>
      <c r="D122" s="8">
        <f t="shared" si="1"/>
        <v>180000</v>
      </c>
    </row>
    <row r="123" spans="1:4" ht="18" hidden="1" x14ac:dyDescent="0.35">
      <c r="A123" s="14" t="s">
        <v>34</v>
      </c>
      <c r="B123" s="7"/>
      <c r="C123" s="7"/>
      <c r="D123" s="8">
        <f t="shared" si="1"/>
        <v>0</v>
      </c>
    </row>
    <row r="124" spans="1:4" ht="18" hidden="1" x14ac:dyDescent="0.35">
      <c r="A124" s="6" t="s">
        <v>208</v>
      </c>
      <c r="B124" s="7"/>
      <c r="C124" s="7"/>
      <c r="D124" s="8">
        <f t="shared" si="1"/>
        <v>0</v>
      </c>
    </row>
    <row r="125" spans="1:4" ht="18" hidden="1" x14ac:dyDescent="0.35">
      <c r="A125" s="6" t="s">
        <v>209</v>
      </c>
      <c r="B125" s="7"/>
      <c r="C125" s="7"/>
      <c r="D125" s="8">
        <f t="shared" si="1"/>
        <v>0</v>
      </c>
    </row>
    <row r="126" spans="1:4" ht="18" hidden="1" x14ac:dyDescent="0.35">
      <c r="A126" s="10" t="s">
        <v>210</v>
      </c>
      <c r="B126" s="7"/>
      <c r="C126" s="7"/>
      <c r="D126" s="8">
        <f t="shared" si="1"/>
        <v>0</v>
      </c>
    </row>
    <row r="127" spans="1:4" ht="18" hidden="1" x14ac:dyDescent="0.35">
      <c r="A127" s="10" t="s">
        <v>211</v>
      </c>
      <c r="B127" s="7"/>
      <c r="C127" s="7"/>
      <c r="D127" s="8">
        <f t="shared" si="1"/>
        <v>0</v>
      </c>
    </row>
    <row r="128" spans="1:4" ht="18" hidden="1" x14ac:dyDescent="0.35">
      <c r="A128" s="10" t="s">
        <v>284</v>
      </c>
      <c r="B128" s="7"/>
      <c r="C128" s="7"/>
      <c r="D128" s="8">
        <f t="shared" si="1"/>
        <v>0</v>
      </c>
    </row>
    <row r="129" spans="1:4" ht="18" hidden="1" x14ac:dyDescent="0.35">
      <c r="A129" s="10" t="s">
        <v>102</v>
      </c>
      <c r="B129" s="12"/>
      <c r="C129" s="12"/>
      <c r="D129" s="8">
        <f t="shared" si="1"/>
        <v>0</v>
      </c>
    </row>
    <row r="130" spans="1:4" ht="18" hidden="1" x14ac:dyDescent="0.35">
      <c r="A130" s="10" t="s">
        <v>103</v>
      </c>
      <c r="B130" s="12"/>
      <c r="C130" s="12"/>
      <c r="D130" s="8">
        <f t="shared" si="1"/>
        <v>0</v>
      </c>
    </row>
    <row r="131" spans="1:4" ht="18" hidden="1" x14ac:dyDescent="0.35">
      <c r="A131" s="10" t="s">
        <v>104</v>
      </c>
      <c r="B131" s="12"/>
      <c r="C131" s="12"/>
      <c r="D131" s="8">
        <f t="shared" si="1"/>
        <v>0</v>
      </c>
    </row>
    <row r="132" spans="1:4" ht="18" hidden="1" x14ac:dyDescent="0.35">
      <c r="A132" s="10" t="s">
        <v>105</v>
      </c>
      <c r="B132" s="12"/>
      <c r="C132" s="12"/>
      <c r="D132" s="8">
        <f t="shared" ref="D132:D195" si="2">B132*C132</f>
        <v>0</v>
      </c>
    </row>
    <row r="133" spans="1:4" ht="18" hidden="1" x14ac:dyDescent="0.35">
      <c r="A133" s="10" t="s">
        <v>106</v>
      </c>
      <c r="B133" s="12"/>
      <c r="C133" s="12"/>
      <c r="D133" s="8">
        <f t="shared" si="2"/>
        <v>0</v>
      </c>
    </row>
    <row r="134" spans="1:4" ht="18" hidden="1" x14ac:dyDescent="0.35">
      <c r="A134" s="10" t="s">
        <v>107</v>
      </c>
      <c r="B134" s="12"/>
      <c r="C134" s="12"/>
      <c r="D134" s="8">
        <f t="shared" si="2"/>
        <v>0</v>
      </c>
    </row>
    <row r="135" spans="1:4" ht="18" hidden="1" x14ac:dyDescent="0.35">
      <c r="A135" s="10" t="s">
        <v>130</v>
      </c>
      <c r="B135" s="12"/>
      <c r="C135" s="12"/>
      <c r="D135" s="8">
        <f t="shared" si="2"/>
        <v>0</v>
      </c>
    </row>
    <row r="136" spans="1:4" ht="18" hidden="1" x14ac:dyDescent="0.35">
      <c r="A136" s="10" t="s">
        <v>108</v>
      </c>
      <c r="B136" s="12"/>
      <c r="C136" s="12"/>
      <c r="D136" s="8">
        <f t="shared" si="2"/>
        <v>0</v>
      </c>
    </row>
    <row r="137" spans="1:4" ht="18" hidden="1" x14ac:dyDescent="0.35">
      <c r="A137" s="10" t="s">
        <v>109</v>
      </c>
      <c r="B137" s="12"/>
      <c r="C137" s="12"/>
      <c r="D137" s="8">
        <f t="shared" si="2"/>
        <v>0</v>
      </c>
    </row>
    <row r="138" spans="1:4" ht="18" hidden="1" x14ac:dyDescent="0.35">
      <c r="A138" s="10" t="s">
        <v>110</v>
      </c>
      <c r="B138" s="12"/>
      <c r="C138" s="12"/>
      <c r="D138" s="8">
        <f t="shared" si="2"/>
        <v>0</v>
      </c>
    </row>
    <row r="139" spans="1:4" ht="18" hidden="1" x14ac:dyDescent="0.35">
      <c r="A139" s="10" t="s">
        <v>157</v>
      </c>
      <c r="B139" s="7"/>
      <c r="C139" s="7"/>
      <c r="D139" s="8">
        <f t="shared" si="2"/>
        <v>0</v>
      </c>
    </row>
    <row r="140" spans="1:4" ht="18" hidden="1" x14ac:dyDescent="0.35">
      <c r="A140" s="10" t="s">
        <v>158</v>
      </c>
      <c r="B140" s="7"/>
      <c r="C140" s="7"/>
      <c r="D140" s="8">
        <f t="shared" si="2"/>
        <v>0</v>
      </c>
    </row>
    <row r="141" spans="1:4" ht="18" hidden="1" x14ac:dyDescent="0.35">
      <c r="A141" s="10" t="s">
        <v>159</v>
      </c>
      <c r="B141" s="7"/>
      <c r="C141" s="7"/>
      <c r="D141" s="8">
        <f t="shared" si="2"/>
        <v>0</v>
      </c>
    </row>
    <row r="142" spans="1:4" ht="18" hidden="1" x14ac:dyDescent="0.35">
      <c r="A142" s="14" t="s">
        <v>160</v>
      </c>
      <c r="B142" s="7"/>
      <c r="C142" s="7"/>
      <c r="D142" s="8">
        <f t="shared" si="2"/>
        <v>0</v>
      </c>
    </row>
    <row r="143" spans="1:4" ht="18" x14ac:dyDescent="0.3">
      <c r="A143" s="10" t="s">
        <v>161</v>
      </c>
      <c r="B143" s="7">
        <v>8</v>
      </c>
      <c r="C143" s="7">
        <v>7000</v>
      </c>
      <c r="D143" s="8">
        <f t="shared" si="2"/>
        <v>56000</v>
      </c>
    </row>
    <row r="144" spans="1:4" ht="18" x14ac:dyDescent="0.3">
      <c r="A144" s="10" t="s">
        <v>162</v>
      </c>
      <c r="B144" s="7">
        <v>15</v>
      </c>
      <c r="C144" s="7">
        <v>7000</v>
      </c>
      <c r="D144" s="8">
        <f t="shared" si="2"/>
        <v>105000</v>
      </c>
    </row>
    <row r="145" spans="1:4" ht="18" hidden="1" x14ac:dyDescent="0.35">
      <c r="A145" s="10" t="s">
        <v>279</v>
      </c>
      <c r="B145" s="7"/>
      <c r="C145" s="7"/>
      <c r="D145" s="8">
        <f t="shared" si="2"/>
        <v>0</v>
      </c>
    </row>
    <row r="146" spans="1:4" ht="18" hidden="1" x14ac:dyDescent="0.35">
      <c r="A146" s="10" t="s">
        <v>280</v>
      </c>
      <c r="B146" s="7"/>
      <c r="C146" s="7"/>
      <c r="D146" s="8">
        <f t="shared" si="2"/>
        <v>0</v>
      </c>
    </row>
    <row r="147" spans="1:4" ht="18" hidden="1" x14ac:dyDescent="0.35">
      <c r="A147" s="10" t="s">
        <v>281</v>
      </c>
      <c r="B147" s="7"/>
      <c r="C147" s="7"/>
      <c r="D147" s="8">
        <f t="shared" si="2"/>
        <v>0</v>
      </c>
    </row>
    <row r="148" spans="1:4" ht="18" hidden="1" x14ac:dyDescent="0.35">
      <c r="A148" s="10" t="s">
        <v>282</v>
      </c>
      <c r="B148" s="7"/>
      <c r="C148" s="7"/>
      <c r="D148" s="8">
        <f t="shared" si="2"/>
        <v>0</v>
      </c>
    </row>
    <row r="149" spans="1:4" ht="18" hidden="1" x14ac:dyDescent="0.35">
      <c r="A149" s="10" t="s">
        <v>111</v>
      </c>
      <c r="B149" s="12"/>
      <c r="C149" s="12"/>
      <c r="D149" s="8">
        <f t="shared" si="2"/>
        <v>0</v>
      </c>
    </row>
    <row r="150" spans="1:4" ht="18" hidden="1" x14ac:dyDescent="0.35">
      <c r="A150" s="10" t="s">
        <v>112</v>
      </c>
      <c r="B150" s="12"/>
      <c r="C150" s="12"/>
      <c r="D150" s="8">
        <f t="shared" si="2"/>
        <v>0</v>
      </c>
    </row>
    <row r="151" spans="1:4" ht="18" hidden="1" x14ac:dyDescent="0.35">
      <c r="A151" s="10" t="s">
        <v>131</v>
      </c>
      <c r="B151" s="12"/>
      <c r="C151" s="12"/>
      <c r="D151" s="8">
        <f t="shared" si="2"/>
        <v>0</v>
      </c>
    </row>
    <row r="152" spans="1:4" ht="18" x14ac:dyDescent="0.3">
      <c r="A152" s="16" t="s">
        <v>52</v>
      </c>
      <c r="B152" s="7">
        <v>20</v>
      </c>
      <c r="C152" s="7">
        <v>6000</v>
      </c>
      <c r="D152" s="8">
        <f t="shared" si="2"/>
        <v>120000</v>
      </c>
    </row>
    <row r="153" spans="1:4" ht="18" hidden="1" x14ac:dyDescent="0.35">
      <c r="A153" s="14" t="s">
        <v>53</v>
      </c>
      <c r="B153" s="7"/>
      <c r="C153" s="7"/>
      <c r="D153" s="8">
        <f t="shared" si="2"/>
        <v>0</v>
      </c>
    </row>
    <row r="154" spans="1:4" ht="18" x14ac:dyDescent="0.3">
      <c r="A154" s="10" t="s">
        <v>192</v>
      </c>
      <c r="B154" s="7">
        <v>210</v>
      </c>
      <c r="C154" s="7">
        <v>9000</v>
      </c>
      <c r="D154" s="8">
        <f t="shared" si="2"/>
        <v>1890000</v>
      </c>
    </row>
    <row r="155" spans="1:4" ht="18" hidden="1" x14ac:dyDescent="0.35">
      <c r="A155" s="6" t="s">
        <v>193</v>
      </c>
      <c r="B155" s="7"/>
      <c r="C155" s="7"/>
      <c r="D155" s="8">
        <f t="shared" si="2"/>
        <v>0</v>
      </c>
    </row>
    <row r="156" spans="1:4" ht="18" x14ac:dyDescent="0.3">
      <c r="A156" s="10" t="s">
        <v>194</v>
      </c>
      <c r="B156" s="7">
        <v>284</v>
      </c>
      <c r="C156" s="7">
        <v>9000</v>
      </c>
      <c r="D156" s="8">
        <f t="shared" si="2"/>
        <v>2556000</v>
      </c>
    </row>
    <row r="157" spans="1:4" ht="18" hidden="1" x14ac:dyDescent="0.35">
      <c r="A157" s="10" t="s">
        <v>195</v>
      </c>
      <c r="B157" s="7"/>
      <c r="C157" s="7"/>
      <c r="D157" s="8">
        <f t="shared" si="2"/>
        <v>0</v>
      </c>
    </row>
    <row r="158" spans="1:4" ht="18" hidden="1" x14ac:dyDescent="0.35">
      <c r="A158" s="10" t="s">
        <v>196</v>
      </c>
      <c r="B158" s="7"/>
      <c r="C158" s="7"/>
      <c r="D158" s="8">
        <f t="shared" si="2"/>
        <v>0</v>
      </c>
    </row>
    <row r="159" spans="1:4" ht="18" hidden="1" x14ac:dyDescent="0.35">
      <c r="A159" s="9" t="s">
        <v>197</v>
      </c>
      <c r="B159" s="7"/>
      <c r="C159" s="7"/>
      <c r="D159" s="8">
        <f t="shared" si="2"/>
        <v>0</v>
      </c>
    </row>
    <row r="160" spans="1:4" ht="18" hidden="1" x14ac:dyDescent="0.35">
      <c r="A160" s="10" t="s">
        <v>61</v>
      </c>
      <c r="B160" s="7"/>
      <c r="C160" s="7"/>
      <c r="D160" s="8">
        <f t="shared" si="2"/>
        <v>0</v>
      </c>
    </row>
    <row r="161" spans="1:4" ht="18" hidden="1" x14ac:dyDescent="0.35">
      <c r="A161" s="18" t="s">
        <v>62</v>
      </c>
      <c r="B161" s="19"/>
      <c r="C161" s="19"/>
      <c r="D161" s="8">
        <f t="shared" si="2"/>
        <v>0</v>
      </c>
    </row>
    <row r="162" spans="1:4" ht="18" hidden="1" x14ac:dyDescent="0.35">
      <c r="A162" s="10" t="s">
        <v>86</v>
      </c>
      <c r="B162" s="7"/>
      <c r="C162" s="7"/>
      <c r="D162" s="8">
        <f t="shared" si="2"/>
        <v>0</v>
      </c>
    </row>
    <row r="163" spans="1:4" ht="18" hidden="1" x14ac:dyDescent="0.35">
      <c r="A163" s="10" t="s">
        <v>35</v>
      </c>
      <c r="B163" s="7"/>
      <c r="C163" s="7"/>
      <c r="D163" s="8">
        <f t="shared" si="2"/>
        <v>0</v>
      </c>
    </row>
    <row r="164" spans="1:4" ht="18" hidden="1" x14ac:dyDescent="0.35">
      <c r="A164" s="6" t="s">
        <v>234</v>
      </c>
      <c r="B164" s="7"/>
      <c r="C164" s="7"/>
      <c r="D164" s="8">
        <f t="shared" si="2"/>
        <v>0</v>
      </c>
    </row>
    <row r="165" spans="1:4" ht="18" hidden="1" x14ac:dyDescent="0.35">
      <c r="A165" s="10" t="s">
        <v>235</v>
      </c>
      <c r="B165" s="7"/>
      <c r="C165" s="7"/>
      <c r="D165" s="8">
        <f t="shared" si="2"/>
        <v>0</v>
      </c>
    </row>
    <row r="166" spans="1:4" ht="18" hidden="1" x14ac:dyDescent="0.35">
      <c r="A166" s="10" t="s">
        <v>236</v>
      </c>
      <c r="B166" s="7"/>
      <c r="C166" s="7"/>
      <c r="D166" s="8">
        <f t="shared" si="2"/>
        <v>0</v>
      </c>
    </row>
    <row r="167" spans="1:4" ht="18" x14ac:dyDescent="0.3">
      <c r="A167" s="6" t="s">
        <v>175</v>
      </c>
      <c r="B167" s="7">
        <v>50</v>
      </c>
      <c r="C167" s="7">
        <v>11000</v>
      </c>
      <c r="D167" s="8">
        <f t="shared" si="2"/>
        <v>550000</v>
      </c>
    </row>
    <row r="168" spans="1:4" ht="18" x14ac:dyDescent="0.3">
      <c r="A168" s="6" t="s">
        <v>176</v>
      </c>
      <c r="B168" s="7">
        <f>300+15+55+230</f>
        <v>600</v>
      </c>
      <c r="C168" s="7">
        <v>32000</v>
      </c>
      <c r="D168" s="8">
        <f t="shared" si="2"/>
        <v>19200000</v>
      </c>
    </row>
    <row r="169" spans="1:4" ht="18" hidden="1" x14ac:dyDescent="0.35">
      <c r="A169" s="10" t="s">
        <v>177</v>
      </c>
      <c r="B169" s="7"/>
      <c r="C169" s="7"/>
      <c r="D169" s="8">
        <f t="shared" si="2"/>
        <v>0</v>
      </c>
    </row>
    <row r="170" spans="1:4" ht="18" x14ac:dyDescent="0.3">
      <c r="A170" s="6" t="s">
        <v>178</v>
      </c>
      <c r="B170" s="7">
        <f>160+60+80</f>
        <v>300</v>
      </c>
      <c r="C170" s="7">
        <v>32000</v>
      </c>
      <c r="D170" s="8">
        <f t="shared" si="2"/>
        <v>9600000</v>
      </c>
    </row>
    <row r="171" spans="1:4" ht="18" x14ac:dyDescent="0.3">
      <c r="A171" s="6" t="s">
        <v>179</v>
      </c>
      <c r="B171" s="7">
        <v>10</v>
      </c>
      <c r="C171" s="7">
        <v>25000</v>
      </c>
      <c r="D171" s="8">
        <f t="shared" si="2"/>
        <v>250000</v>
      </c>
    </row>
    <row r="172" spans="1:4" ht="18" hidden="1" x14ac:dyDescent="0.35">
      <c r="A172" s="6" t="s">
        <v>180</v>
      </c>
      <c r="B172" s="7"/>
      <c r="C172" s="7"/>
      <c r="D172" s="8">
        <f t="shared" si="2"/>
        <v>0</v>
      </c>
    </row>
    <row r="173" spans="1:4" ht="18" hidden="1" x14ac:dyDescent="0.35">
      <c r="A173" s="10" t="s">
        <v>181</v>
      </c>
      <c r="B173" s="7"/>
      <c r="C173" s="7"/>
      <c r="D173" s="8">
        <f t="shared" si="2"/>
        <v>0</v>
      </c>
    </row>
    <row r="174" spans="1:4" ht="18" x14ac:dyDescent="0.3">
      <c r="A174" s="6" t="s">
        <v>36</v>
      </c>
      <c r="B174" s="7">
        <v>12</v>
      </c>
      <c r="C174" s="7">
        <v>21000</v>
      </c>
      <c r="D174" s="8">
        <f t="shared" si="2"/>
        <v>252000</v>
      </c>
    </row>
    <row r="175" spans="1:4" ht="18" hidden="1" x14ac:dyDescent="0.35">
      <c r="A175" s="10" t="s">
        <v>54</v>
      </c>
      <c r="B175" s="7"/>
      <c r="C175" s="7"/>
      <c r="D175" s="8">
        <f t="shared" si="2"/>
        <v>0</v>
      </c>
    </row>
    <row r="176" spans="1:4" ht="18" hidden="1" x14ac:dyDescent="0.35">
      <c r="A176" s="17" t="s">
        <v>55</v>
      </c>
      <c r="B176" s="7"/>
      <c r="C176" s="7"/>
      <c r="D176" s="8">
        <f t="shared" si="2"/>
        <v>0</v>
      </c>
    </row>
    <row r="177" spans="1:4" ht="18" hidden="1" x14ac:dyDescent="0.35">
      <c r="A177" s="10" t="s">
        <v>56</v>
      </c>
      <c r="B177" s="7"/>
      <c r="C177" s="7"/>
      <c r="D177" s="8">
        <f t="shared" si="2"/>
        <v>0</v>
      </c>
    </row>
    <row r="178" spans="1:4" ht="18" hidden="1" x14ac:dyDescent="0.35">
      <c r="A178" s="10" t="s">
        <v>66</v>
      </c>
      <c r="B178" s="7"/>
      <c r="C178" s="7"/>
      <c r="D178" s="8">
        <f t="shared" si="2"/>
        <v>0</v>
      </c>
    </row>
    <row r="179" spans="1:4" ht="18" x14ac:dyDescent="0.3">
      <c r="A179" s="6" t="s">
        <v>67</v>
      </c>
      <c r="B179" s="7">
        <v>300</v>
      </c>
      <c r="C179" s="7">
        <v>26000</v>
      </c>
      <c r="D179" s="8">
        <f t="shared" si="2"/>
        <v>7800000</v>
      </c>
    </row>
    <row r="180" spans="1:4" ht="18" hidden="1" x14ac:dyDescent="0.35">
      <c r="A180" s="10" t="s">
        <v>68</v>
      </c>
      <c r="B180" s="7"/>
      <c r="C180" s="7"/>
      <c r="D180" s="8">
        <f t="shared" si="2"/>
        <v>0</v>
      </c>
    </row>
    <row r="181" spans="1:4" ht="18" hidden="1" x14ac:dyDescent="0.35">
      <c r="A181" s="10" t="s">
        <v>69</v>
      </c>
      <c r="B181" s="7"/>
      <c r="C181" s="7"/>
      <c r="D181" s="8">
        <f t="shared" si="2"/>
        <v>0</v>
      </c>
    </row>
    <row r="182" spans="1:4" ht="18" x14ac:dyDescent="0.3">
      <c r="A182" s="10" t="s">
        <v>142</v>
      </c>
      <c r="B182" s="7">
        <f>50+20+30+60+20</f>
        <v>180</v>
      </c>
      <c r="C182" s="7">
        <v>27000</v>
      </c>
      <c r="D182" s="8">
        <f t="shared" si="2"/>
        <v>4860000</v>
      </c>
    </row>
    <row r="183" spans="1:4" ht="18" hidden="1" x14ac:dyDescent="0.35">
      <c r="A183" s="24" t="s">
        <v>143</v>
      </c>
      <c r="B183" s="7"/>
      <c r="C183" s="7"/>
      <c r="D183" s="8">
        <f t="shared" si="2"/>
        <v>0</v>
      </c>
    </row>
    <row r="184" spans="1:4" ht="18" hidden="1" x14ac:dyDescent="0.35">
      <c r="A184" s="24" t="s">
        <v>144</v>
      </c>
      <c r="B184" s="7"/>
      <c r="C184" s="7"/>
      <c r="D184" s="8">
        <f t="shared" si="2"/>
        <v>0</v>
      </c>
    </row>
    <row r="185" spans="1:4" ht="18" x14ac:dyDescent="0.3">
      <c r="A185" s="10" t="s">
        <v>212</v>
      </c>
      <c r="B185" s="7">
        <v>3</v>
      </c>
      <c r="C185" s="7">
        <v>26000</v>
      </c>
      <c r="D185" s="8">
        <f t="shared" si="2"/>
        <v>78000</v>
      </c>
    </row>
    <row r="186" spans="1:4" ht="18" hidden="1" x14ac:dyDescent="0.35">
      <c r="A186" s="11" t="s">
        <v>213</v>
      </c>
      <c r="B186" s="7"/>
      <c r="C186" s="7"/>
      <c r="D186" s="8">
        <f t="shared" si="2"/>
        <v>0</v>
      </c>
    </row>
    <row r="187" spans="1:4" ht="18" hidden="1" x14ac:dyDescent="0.35">
      <c r="A187" s="10" t="s">
        <v>214</v>
      </c>
      <c r="B187" s="7"/>
      <c r="C187" s="7"/>
      <c r="D187" s="8">
        <f t="shared" si="2"/>
        <v>0</v>
      </c>
    </row>
    <row r="188" spans="1:4" ht="18" hidden="1" x14ac:dyDescent="0.35">
      <c r="A188" s="11" t="s">
        <v>215</v>
      </c>
      <c r="B188" s="7"/>
      <c r="C188" s="7"/>
      <c r="D188" s="8">
        <f t="shared" si="2"/>
        <v>0</v>
      </c>
    </row>
    <row r="189" spans="1:4" ht="18" x14ac:dyDescent="0.3">
      <c r="A189" s="10" t="s">
        <v>182</v>
      </c>
      <c r="B189" s="7">
        <v>20</v>
      </c>
      <c r="C189" s="7">
        <v>17000</v>
      </c>
      <c r="D189" s="8">
        <f t="shared" si="2"/>
        <v>340000</v>
      </c>
    </row>
    <row r="190" spans="1:4" ht="18" hidden="1" x14ac:dyDescent="0.35">
      <c r="A190" s="10" t="s">
        <v>183</v>
      </c>
      <c r="B190" s="7"/>
      <c r="C190" s="7"/>
      <c r="D190" s="8">
        <f t="shared" si="2"/>
        <v>0</v>
      </c>
    </row>
    <row r="191" spans="1:4" ht="18" hidden="1" x14ac:dyDescent="0.35">
      <c r="A191" s="10" t="s">
        <v>184</v>
      </c>
      <c r="B191" s="7"/>
      <c r="C191" s="7"/>
      <c r="D191" s="8">
        <f t="shared" si="2"/>
        <v>0</v>
      </c>
    </row>
    <row r="192" spans="1:4" ht="18" hidden="1" x14ac:dyDescent="0.35">
      <c r="A192" s="10" t="s">
        <v>185</v>
      </c>
      <c r="B192" s="7"/>
      <c r="C192" s="7"/>
      <c r="D192" s="8">
        <f t="shared" si="2"/>
        <v>0</v>
      </c>
    </row>
    <row r="193" spans="1:4" ht="18" hidden="1" x14ac:dyDescent="0.35">
      <c r="A193" s="10" t="s">
        <v>38</v>
      </c>
      <c r="B193" s="7"/>
      <c r="C193" s="7"/>
      <c r="D193" s="8">
        <f t="shared" si="2"/>
        <v>0</v>
      </c>
    </row>
    <row r="194" spans="1:4" ht="18" hidden="1" x14ac:dyDescent="0.35">
      <c r="A194" s="15" t="s">
        <v>39</v>
      </c>
      <c r="B194" s="7"/>
      <c r="C194" s="7"/>
      <c r="D194" s="8">
        <f t="shared" si="2"/>
        <v>0</v>
      </c>
    </row>
    <row r="195" spans="1:4" ht="18" x14ac:dyDescent="0.3">
      <c r="A195" s="10" t="s">
        <v>40</v>
      </c>
      <c r="B195" s="7">
        <f>40+10+20</f>
        <v>70</v>
      </c>
      <c r="C195" s="7">
        <v>12500</v>
      </c>
      <c r="D195" s="8">
        <f t="shared" si="2"/>
        <v>875000</v>
      </c>
    </row>
    <row r="196" spans="1:4" ht="18" hidden="1" x14ac:dyDescent="0.35">
      <c r="A196" s="10" t="s">
        <v>41</v>
      </c>
      <c r="B196" s="7"/>
      <c r="C196" s="7"/>
      <c r="D196" s="8">
        <f t="shared" ref="D196:D259" si="3">B196*C196</f>
        <v>0</v>
      </c>
    </row>
    <row r="197" spans="1:4" ht="18" x14ac:dyDescent="0.3">
      <c r="A197" s="10" t="s">
        <v>42</v>
      </c>
      <c r="B197" s="7">
        <f>40+38+40</f>
        <v>118</v>
      </c>
      <c r="C197" s="7">
        <v>17000</v>
      </c>
      <c r="D197" s="8">
        <f t="shared" si="3"/>
        <v>2006000</v>
      </c>
    </row>
    <row r="198" spans="1:4" ht="18" hidden="1" x14ac:dyDescent="0.35">
      <c r="A198" s="10" t="s">
        <v>43</v>
      </c>
      <c r="B198" s="7"/>
      <c r="C198" s="7"/>
      <c r="D198" s="8">
        <f t="shared" si="3"/>
        <v>0</v>
      </c>
    </row>
    <row r="199" spans="1:4" ht="18" hidden="1" x14ac:dyDescent="0.35">
      <c r="A199" s="10" t="s">
        <v>44</v>
      </c>
      <c r="B199" s="7"/>
      <c r="C199" s="7"/>
      <c r="D199" s="8">
        <f t="shared" si="3"/>
        <v>0</v>
      </c>
    </row>
    <row r="200" spans="1:4" ht="18" hidden="1" x14ac:dyDescent="0.35">
      <c r="A200" s="14" t="s">
        <v>132</v>
      </c>
      <c r="B200" s="7"/>
      <c r="C200" s="7"/>
      <c r="D200" s="8">
        <f t="shared" si="3"/>
        <v>0</v>
      </c>
    </row>
    <row r="201" spans="1:4" ht="18" hidden="1" x14ac:dyDescent="0.35">
      <c r="A201" s="14" t="s">
        <v>133</v>
      </c>
      <c r="B201" s="7"/>
      <c r="C201" s="7"/>
      <c r="D201" s="8">
        <f t="shared" si="3"/>
        <v>0</v>
      </c>
    </row>
    <row r="202" spans="1:4" ht="18" hidden="1" x14ac:dyDescent="0.35">
      <c r="A202" s="14" t="s">
        <v>134</v>
      </c>
      <c r="B202" s="7"/>
      <c r="C202" s="7"/>
      <c r="D202" s="8">
        <f t="shared" si="3"/>
        <v>0</v>
      </c>
    </row>
    <row r="203" spans="1:4" ht="18" hidden="1" x14ac:dyDescent="0.35">
      <c r="A203" s="10" t="s">
        <v>135</v>
      </c>
      <c r="B203" s="7"/>
      <c r="C203" s="7"/>
      <c r="D203" s="8">
        <f t="shared" si="3"/>
        <v>0</v>
      </c>
    </row>
    <row r="204" spans="1:4" ht="18" hidden="1" x14ac:dyDescent="0.35">
      <c r="A204" s="14" t="s">
        <v>136</v>
      </c>
      <c r="B204" s="7"/>
      <c r="C204" s="7"/>
      <c r="D204" s="8">
        <f t="shared" si="3"/>
        <v>0</v>
      </c>
    </row>
    <row r="205" spans="1:4" ht="18" hidden="1" x14ac:dyDescent="0.35">
      <c r="A205" s="6" t="s">
        <v>198</v>
      </c>
      <c r="B205" s="7"/>
      <c r="C205" s="7"/>
      <c r="D205" s="8">
        <f t="shared" si="3"/>
        <v>0</v>
      </c>
    </row>
    <row r="206" spans="1:4" ht="18" hidden="1" x14ac:dyDescent="0.35">
      <c r="A206" s="11" t="s">
        <v>285</v>
      </c>
      <c r="B206" s="7"/>
      <c r="C206" s="7"/>
      <c r="D206" s="8">
        <f t="shared" si="3"/>
        <v>0</v>
      </c>
    </row>
    <row r="207" spans="1:4" ht="18" hidden="1" x14ac:dyDescent="0.35">
      <c r="A207" s="11" t="s">
        <v>286</v>
      </c>
      <c r="B207" s="7"/>
      <c r="C207" s="7"/>
      <c r="D207" s="8">
        <f t="shared" si="3"/>
        <v>0</v>
      </c>
    </row>
    <row r="208" spans="1:4" ht="18" hidden="1" x14ac:dyDescent="0.35">
      <c r="A208" s="24" t="s">
        <v>87</v>
      </c>
      <c r="B208" s="7"/>
      <c r="C208" s="7"/>
      <c r="D208" s="8">
        <f t="shared" si="3"/>
        <v>0</v>
      </c>
    </row>
    <row r="209" spans="1:4" ht="18" hidden="1" x14ac:dyDescent="0.35">
      <c r="A209" s="10" t="s">
        <v>57</v>
      </c>
      <c r="B209" s="7"/>
      <c r="C209" s="7"/>
      <c r="D209" s="8">
        <f t="shared" si="3"/>
        <v>0</v>
      </c>
    </row>
    <row r="210" spans="1:4" ht="18" hidden="1" x14ac:dyDescent="0.35">
      <c r="A210" s="10" t="s">
        <v>58</v>
      </c>
      <c r="B210" s="7"/>
      <c r="C210" s="7"/>
      <c r="D210" s="8">
        <f t="shared" si="3"/>
        <v>0</v>
      </c>
    </row>
    <row r="211" spans="1:4" ht="18" hidden="1" x14ac:dyDescent="0.35">
      <c r="A211" s="10" t="s">
        <v>88</v>
      </c>
      <c r="B211" s="7"/>
      <c r="C211" s="7"/>
      <c r="D211" s="8">
        <f t="shared" si="3"/>
        <v>0</v>
      </c>
    </row>
    <row r="212" spans="1:4" ht="18" hidden="1" x14ac:dyDescent="0.35">
      <c r="A212" s="10" t="s">
        <v>89</v>
      </c>
      <c r="B212" s="7"/>
      <c r="C212" s="7"/>
      <c r="D212" s="8">
        <f t="shared" si="3"/>
        <v>0</v>
      </c>
    </row>
    <row r="213" spans="1:4" ht="18" hidden="1" x14ac:dyDescent="0.35">
      <c r="A213" s="10" t="s">
        <v>137</v>
      </c>
      <c r="B213" s="12"/>
      <c r="C213" s="12"/>
      <c r="D213" s="8">
        <f t="shared" si="3"/>
        <v>0</v>
      </c>
    </row>
    <row r="214" spans="1:4" ht="18" hidden="1" x14ac:dyDescent="0.35">
      <c r="A214" s="10" t="s">
        <v>216</v>
      </c>
      <c r="B214" s="7"/>
      <c r="C214" s="7"/>
      <c r="D214" s="8">
        <f t="shared" si="3"/>
        <v>0</v>
      </c>
    </row>
    <row r="215" spans="1:4" ht="18" hidden="1" x14ac:dyDescent="0.35">
      <c r="A215" s="11" t="s">
        <v>20</v>
      </c>
      <c r="B215" s="7"/>
      <c r="C215" s="7"/>
      <c r="D215" s="8">
        <f t="shared" si="3"/>
        <v>0</v>
      </c>
    </row>
    <row r="216" spans="1:4" ht="18" x14ac:dyDescent="0.3">
      <c r="A216" s="10" t="s">
        <v>21</v>
      </c>
      <c r="B216" s="7">
        <f>35+15</f>
        <v>50</v>
      </c>
      <c r="C216" s="7">
        <v>22000</v>
      </c>
      <c r="D216" s="8">
        <f t="shared" si="3"/>
        <v>1100000</v>
      </c>
    </row>
    <row r="217" spans="1:4" ht="18" hidden="1" x14ac:dyDescent="0.35">
      <c r="A217" s="10" t="s">
        <v>22</v>
      </c>
      <c r="B217" s="7"/>
      <c r="C217" s="7"/>
      <c r="D217" s="8">
        <f t="shared" si="3"/>
        <v>0</v>
      </c>
    </row>
    <row r="218" spans="1:4" ht="18" hidden="1" x14ac:dyDescent="0.35">
      <c r="A218" s="10" t="s">
        <v>23</v>
      </c>
      <c r="B218" s="7"/>
      <c r="C218" s="7"/>
      <c r="D218" s="8">
        <f t="shared" si="3"/>
        <v>0</v>
      </c>
    </row>
    <row r="219" spans="1:4" ht="18" hidden="1" x14ac:dyDescent="0.35">
      <c r="A219" s="10" t="s">
        <v>24</v>
      </c>
      <c r="B219" s="7"/>
      <c r="C219" s="7"/>
      <c r="D219" s="8">
        <f t="shared" si="3"/>
        <v>0</v>
      </c>
    </row>
    <row r="220" spans="1:4" ht="18" hidden="1" x14ac:dyDescent="0.35">
      <c r="A220" s="10" t="s">
        <v>25</v>
      </c>
      <c r="B220" s="7"/>
      <c r="C220" s="7"/>
      <c r="D220" s="8">
        <f t="shared" si="3"/>
        <v>0</v>
      </c>
    </row>
    <row r="221" spans="1:4" ht="18" hidden="1" x14ac:dyDescent="0.35">
      <c r="A221" s="14" t="s">
        <v>227</v>
      </c>
      <c r="B221" s="7"/>
      <c r="C221" s="7"/>
      <c r="D221" s="8">
        <f t="shared" si="3"/>
        <v>0</v>
      </c>
    </row>
    <row r="222" spans="1:4" ht="18" hidden="1" x14ac:dyDescent="0.35">
      <c r="A222" s="13" t="s">
        <v>228</v>
      </c>
      <c r="B222" s="7"/>
      <c r="C222" s="7"/>
      <c r="D222" s="8">
        <f t="shared" si="3"/>
        <v>0</v>
      </c>
    </row>
    <row r="223" spans="1:4" ht="18" hidden="1" x14ac:dyDescent="0.35">
      <c r="A223" s="13" t="s">
        <v>229</v>
      </c>
      <c r="B223" s="7"/>
      <c r="C223" s="7"/>
      <c r="D223" s="8">
        <f t="shared" si="3"/>
        <v>0</v>
      </c>
    </row>
    <row r="224" spans="1:4" ht="18" x14ac:dyDescent="0.3">
      <c r="A224" s="10" t="s">
        <v>26</v>
      </c>
      <c r="B224" s="7">
        <v>12</v>
      </c>
      <c r="C224" s="7">
        <v>19000</v>
      </c>
      <c r="D224" s="8">
        <f t="shared" si="3"/>
        <v>228000</v>
      </c>
    </row>
    <row r="225" spans="1:4" ht="18" hidden="1" x14ac:dyDescent="0.35">
      <c r="A225" s="10" t="s">
        <v>27</v>
      </c>
      <c r="B225" s="7"/>
      <c r="C225" s="7"/>
      <c r="D225" s="8">
        <f t="shared" si="3"/>
        <v>0</v>
      </c>
    </row>
    <row r="226" spans="1:4" ht="18" hidden="1" x14ac:dyDescent="0.35">
      <c r="A226" s="10" t="s">
        <v>28</v>
      </c>
      <c r="B226" s="7"/>
      <c r="C226" s="7"/>
      <c r="D226" s="8">
        <f t="shared" si="3"/>
        <v>0</v>
      </c>
    </row>
    <row r="227" spans="1:4" ht="18" hidden="1" x14ac:dyDescent="0.35">
      <c r="A227" s="10" t="s">
        <v>29</v>
      </c>
      <c r="B227" s="7"/>
      <c r="C227" s="7"/>
      <c r="D227" s="8">
        <f t="shared" si="3"/>
        <v>0</v>
      </c>
    </row>
    <row r="228" spans="1:4" ht="18" x14ac:dyDescent="0.3">
      <c r="A228" s="10" t="s">
        <v>30</v>
      </c>
      <c r="B228" s="7">
        <v>14</v>
      </c>
      <c r="C228" s="7">
        <v>32000</v>
      </c>
      <c r="D228" s="8">
        <f t="shared" si="3"/>
        <v>448000</v>
      </c>
    </row>
    <row r="229" spans="1:4" ht="18" hidden="1" x14ac:dyDescent="0.35">
      <c r="A229" s="10" t="s">
        <v>31</v>
      </c>
      <c r="B229" s="7"/>
      <c r="C229" s="7"/>
      <c r="D229" s="8">
        <f t="shared" si="3"/>
        <v>0</v>
      </c>
    </row>
    <row r="230" spans="1:4" ht="18" hidden="1" x14ac:dyDescent="0.35">
      <c r="A230" s="10" t="s">
        <v>32</v>
      </c>
      <c r="B230" s="7"/>
      <c r="C230" s="7"/>
      <c r="D230" s="8">
        <f t="shared" si="3"/>
        <v>0</v>
      </c>
    </row>
    <row r="231" spans="1:4" ht="18" hidden="1" x14ac:dyDescent="0.35">
      <c r="A231" s="10" t="s">
        <v>90</v>
      </c>
      <c r="B231" s="12"/>
      <c r="C231" s="7"/>
      <c r="D231" s="8">
        <f t="shared" si="3"/>
        <v>0</v>
      </c>
    </row>
    <row r="232" spans="1:4" ht="18" hidden="1" x14ac:dyDescent="0.35">
      <c r="A232" s="22" t="s">
        <v>91</v>
      </c>
      <c r="B232" s="7"/>
      <c r="C232" s="7"/>
      <c r="D232" s="8">
        <f t="shared" si="3"/>
        <v>0</v>
      </c>
    </row>
    <row r="233" spans="1:4" ht="18" hidden="1" x14ac:dyDescent="0.35">
      <c r="A233" s="10" t="s">
        <v>217</v>
      </c>
      <c r="B233" s="7"/>
      <c r="C233" s="7"/>
      <c r="D233" s="8">
        <f t="shared" si="3"/>
        <v>0</v>
      </c>
    </row>
    <row r="234" spans="1:4" ht="18" hidden="1" x14ac:dyDescent="0.35">
      <c r="A234" s="11" t="s">
        <v>230</v>
      </c>
      <c r="B234" s="7"/>
      <c r="C234" s="7"/>
      <c r="D234" s="8">
        <f t="shared" si="3"/>
        <v>0</v>
      </c>
    </row>
    <row r="235" spans="1:4" ht="18" x14ac:dyDescent="0.3">
      <c r="A235" s="10" t="s">
        <v>231</v>
      </c>
      <c r="B235" s="7">
        <v>7</v>
      </c>
      <c r="C235" s="7">
        <v>17000</v>
      </c>
      <c r="D235" s="8">
        <f t="shared" si="3"/>
        <v>119000</v>
      </c>
    </row>
    <row r="236" spans="1:4" ht="18" hidden="1" x14ac:dyDescent="0.35">
      <c r="A236" s="10" t="s">
        <v>218</v>
      </c>
      <c r="B236" s="7"/>
      <c r="C236" s="7"/>
      <c r="D236" s="8">
        <f t="shared" si="3"/>
        <v>0</v>
      </c>
    </row>
    <row r="237" spans="1:4" ht="18" hidden="1" x14ac:dyDescent="0.35">
      <c r="A237" s="10" t="s">
        <v>118</v>
      </c>
      <c r="B237" s="7"/>
      <c r="C237" s="7"/>
      <c r="D237" s="8">
        <f t="shared" si="3"/>
        <v>0</v>
      </c>
    </row>
    <row r="238" spans="1:4" ht="18" hidden="1" x14ac:dyDescent="0.35">
      <c r="A238" s="10" t="s">
        <v>232</v>
      </c>
      <c r="B238" s="7"/>
      <c r="C238" s="7"/>
      <c r="D238" s="8">
        <f t="shared" si="3"/>
        <v>0</v>
      </c>
    </row>
    <row r="239" spans="1:4" ht="18" x14ac:dyDescent="0.3">
      <c r="A239" s="10" t="s">
        <v>70</v>
      </c>
      <c r="B239" s="7">
        <v>18</v>
      </c>
      <c r="C239" s="7">
        <v>12000</v>
      </c>
      <c r="D239" s="8">
        <f t="shared" si="3"/>
        <v>216000</v>
      </c>
    </row>
    <row r="240" spans="1:4" ht="18" hidden="1" x14ac:dyDescent="0.35">
      <c r="A240" s="10" t="s">
        <v>71</v>
      </c>
      <c r="B240" s="7"/>
      <c r="C240" s="7"/>
      <c r="D240" s="8">
        <f t="shared" si="3"/>
        <v>0</v>
      </c>
    </row>
    <row r="241" spans="1:4" ht="18" hidden="1" x14ac:dyDescent="0.35">
      <c r="A241" s="10" t="s">
        <v>146</v>
      </c>
      <c r="B241" s="7"/>
      <c r="C241" s="7"/>
      <c r="D241" s="8">
        <f t="shared" si="3"/>
        <v>0</v>
      </c>
    </row>
    <row r="242" spans="1:4" ht="18" hidden="1" x14ac:dyDescent="0.35">
      <c r="A242" s="11" t="s">
        <v>287</v>
      </c>
      <c r="B242" s="7"/>
      <c r="C242" s="7"/>
      <c r="D242" s="8">
        <f t="shared" si="3"/>
        <v>0</v>
      </c>
    </row>
    <row r="243" spans="1:4" ht="18" hidden="1" x14ac:dyDescent="0.35">
      <c r="A243" s="6" t="s">
        <v>138</v>
      </c>
      <c r="B243" s="12"/>
      <c r="C243" s="12"/>
      <c r="D243" s="8">
        <f t="shared" si="3"/>
        <v>0</v>
      </c>
    </row>
    <row r="244" spans="1:4" ht="18" hidden="1" x14ac:dyDescent="0.35">
      <c r="A244" s="14" t="s">
        <v>233</v>
      </c>
      <c r="B244" s="7"/>
      <c r="C244" s="7"/>
      <c r="D244" s="8">
        <f t="shared" si="3"/>
        <v>0</v>
      </c>
    </row>
    <row r="245" spans="1:4" ht="18" hidden="1" x14ac:dyDescent="0.35">
      <c r="A245" s="14" t="s">
        <v>100</v>
      </c>
      <c r="B245" s="7"/>
      <c r="C245" s="7"/>
      <c r="D245" s="8">
        <f t="shared" si="3"/>
        <v>0</v>
      </c>
    </row>
    <row r="246" spans="1:4" ht="18" hidden="1" x14ac:dyDescent="0.35">
      <c r="A246" s="14" t="s">
        <v>101</v>
      </c>
      <c r="B246" s="7"/>
      <c r="C246" s="7"/>
      <c r="D246" s="8">
        <f t="shared" si="3"/>
        <v>0</v>
      </c>
    </row>
    <row r="247" spans="1:4" ht="18" hidden="1" x14ac:dyDescent="0.35">
      <c r="A247" s="10" t="s">
        <v>259</v>
      </c>
      <c r="B247" s="7"/>
      <c r="C247" s="7"/>
      <c r="D247" s="8">
        <f t="shared" si="3"/>
        <v>0</v>
      </c>
    </row>
    <row r="248" spans="1:4" ht="18" hidden="1" x14ac:dyDescent="0.35">
      <c r="A248" s="14" t="s">
        <v>260</v>
      </c>
      <c r="B248" s="7"/>
      <c r="C248" s="7"/>
      <c r="D248" s="8">
        <f t="shared" si="3"/>
        <v>0</v>
      </c>
    </row>
    <row r="249" spans="1:4" ht="18" hidden="1" x14ac:dyDescent="0.35">
      <c r="A249" s="10" t="s">
        <v>261</v>
      </c>
      <c r="B249" s="7"/>
      <c r="C249" s="7"/>
      <c r="D249" s="8">
        <f t="shared" si="3"/>
        <v>0</v>
      </c>
    </row>
    <row r="250" spans="1:4" ht="18" x14ac:dyDescent="0.3">
      <c r="A250" s="10" t="s">
        <v>275</v>
      </c>
      <c r="B250" s="7">
        <v>10</v>
      </c>
      <c r="C250" s="7">
        <v>4000</v>
      </c>
      <c r="D250" s="8">
        <f t="shared" si="3"/>
        <v>40000</v>
      </c>
    </row>
    <row r="251" spans="1:4" ht="18" hidden="1" x14ac:dyDescent="0.35">
      <c r="A251" s="14" t="s">
        <v>92</v>
      </c>
      <c r="B251" s="7"/>
      <c r="C251" s="7"/>
      <c r="D251" s="8">
        <f t="shared" si="3"/>
        <v>0</v>
      </c>
    </row>
    <row r="252" spans="1:4" ht="18" hidden="1" x14ac:dyDescent="0.35">
      <c r="A252" s="10" t="s">
        <v>139</v>
      </c>
      <c r="B252" s="7"/>
      <c r="C252" s="7"/>
      <c r="D252" s="8">
        <f t="shared" si="3"/>
        <v>0</v>
      </c>
    </row>
    <row r="253" spans="1:4" ht="18" hidden="1" x14ac:dyDescent="0.35">
      <c r="A253" s="22" t="s">
        <v>140</v>
      </c>
      <c r="B253" s="7"/>
      <c r="C253" s="7"/>
      <c r="D253" s="8">
        <f t="shared" si="3"/>
        <v>0</v>
      </c>
    </row>
    <row r="254" spans="1:4" ht="18" hidden="1" x14ac:dyDescent="0.35">
      <c r="A254" s="6" t="s">
        <v>93</v>
      </c>
      <c r="B254" s="7"/>
      <c r="C254" s="7"/>
      <c r="D254" s="8">
        <f t="shared" si="3"/>
        <v>0</v>
      </c>
    </row>
    <row r="255" spans="1:4" ht="18" hidden="1" x14ac:dyDescent="0.35">
      <c r="A255" s="14" t="s">
        <v>94</v>
      </c>
      <c r="B255" s="7"/>
      <c r="C255" s="7"/>
      <c r="D255" s="8">
        <f t="shared" si="3"/>
        <v>0</v>
      </c>
    </row>
    <row r="256" spans="1:4" ht="18" hidden="1" x14ac:dyDescent="0.35">
      <c r="A256" s="22" t="s">
        <v>76</v>
      </c>
      <c r="B256" s="7"/>
      <c r="C256" s="7"/>
      <c r="D256" s="8">
        <f t="shared" si="3"/>
        <v>0</v>
      </c>
    </row>
    <row r="257" spans="1:4" ht="18" hidden="1" x14ac:dyDescent="0.35">
      <c r="A257" s="10" t="s">
        <v>219</v>
      </c>
      <c r="B257" s="7"/>
      <c r="C257" s="7"/>
      <c r="D257" s="8">
        <f t="shared" si="3"/>
        <v>0</v>
      </c>
    </row>
    <row r="258" spans="1:4" ht="18" hidden="1" x14ac:dyDescent="0.35">
      <c r="A258" s="14" t="s">
        <v>220</v>
      </c>
      <c r="B258" s="7"/>
      <c r="C258" s="7"/>
      <c r="D258" s="8">
        <f t="shared" si="3"/>
        <v>0</v>
      </c>
    </row>
    <row r="259" spans="1:4" ht="18" hidden="1" x14ac:dyDescent="0.35">
      <c r="A259" s="6" t="s">
        <v>221</v>
      </c>
      <c r="B259" s="7"/>
      <c r="C259" s="7"/>
      <c r="D259" s="8">
        <f t="shared" si="3"/>
        <v>0</v>
      </c>
    </row>
    <row r="260" spans="1:4" ht="18" hidden="1" x14ac:dyDescent="0.35">
      <c r="A260" s="10" t="s">
        <v>288</v>
      </c>
      <c r="B260" s="7"/>
      <c r="C260" s="7"/>
      <c r="D260" s="8">
        <f t="shared" ref="D260:D293" si="4">B260*C260</f>
        <v>0</v>
      </c>
    </row>
    <row r="261" spans="1:4" ht="18" hidden="1" x14ac:dyDescent="0.35">
      <c r="A261" s="10" t="s">
        <v>119</v>
      </c>
      <c r="B261" s="7"/>
      <c r="C261" s="7"/>
      <c r="D261" s="8">
        <f t="shared" si="4"/>
        <v>0</v>
      </c>
    </row>
    <row r="262" spans="1:4" ht="18" hidden="1" x14ac:dyDescent="0.35">
      <c r="A262" s="6" t="s">
        <v>141</v>
      </c>
      <c r="B262" s="7"/>
      <c r="C262" s="7"/>
      <c r="D262" s="8">
        <f t="shared" si="4"/>
        <v>0</v>
      </c>
    </row>
    <row r="263" spans="1:4" ht="18" hidden="1" x14ac:dyDescent="0.35">
      <c r="A263" s="6" t="s">
        <v>95</v>
      </c>
      <c r="B263" s="7"/>
      <c r="C263" s="7"/>
      <c r="D263" s="8">
        <f t="shared" si="4"/>
        <v>0</v>
      </c>
    </row>
    <row r="264" spans="1:4" ht="18" hidden="1" x14ac:dyDescent="0.35">
      <c r="A264" s="10" t="s">
        <v>169</v>
      </c>
      <c r="B264" s="7"/>
      <c r="C264" s="7"/>
      <c r="D264" s="8">
        <f t="shared" si="4"/>
        <v>0</v>
      </c>
    </row>
    <row r="265" spans="1:4" ht="18" hidden="1" x14ac:dyDescent="0.35">
      <c r="A265" s="22" t="s">
        <v>77</v>
      </c>
      <c r="B265" s="7"/>
      <c r="C265" s="7"/>
      <c r="D265" s="8">
        <f t="shared" si="4"/>
        <v>0</v>
      </c>
    </row>
    <row r="266" spans="1:4" ht="18" hidden="1" x14ac:dyDescent="0.35">
      <c r="A266" s="22" t="s">
        <v>78</v>
      </c>
      <c r="B266" s="7"/>
      <c r="C266" s="7"/>
      <c r="D266" s="8">
        <f t="shared" si="4"/>
        <v>0</v>
      </c>
    </row>
    <row r="267" spans="1:4" ht="18" hidden="1" x14ac:dyDescent="0.35">
      <c r="A267" s="13" t="s">
        <v>237</v>
      </c>
      <c r="B267" s="7"/>
      <c r="C267" s="7"/>
      <c r="D267" s="8">
        <f t="shared" si="4"/>
        <v>0</v>
      </c>
    </row>
    <row r="268" spans="1:4" ht="18" hidden="1" x14ac:dyDescent="0.35">
      <c r="A268" s="22" t="s">
        <v>79</v>
      </c>
      <c r="B268" s="7"/>
      <c r="C268" s="7"/>
      <c r="D268" s="8">
        <f t="shared" si="4"/>
        <v>0</v>
      </c>
    </row>
    <row r="269" spans="1:4" ht="18" hidden="1" x14ac:dyDescent="0.35">
      <c r="A269" s="10" t="s">
        <v>238</v>
      </c>
      <c r="B269" s="7"/>
      <c r="C269" s="7"/>
      <c r="D269" s="8">
        <f t="shared" si="4"/>
        <v>0</v>
      </c>
    </row>
    <row r="270" spans="1:4" ht="18" hidden="1" x14ac:dyDescent="0.35">
      <c r="A270" s="10" t="s">
        <v>239</v>
      </c>
      <c r="B270" s="7"/>
      <c r="C270" s="7"/>
      <c r="D270" s="8">
        <f t="shared" si="4"/>
        <v>0</v>
      </c>
    </row>
    <row r="271" spans="1:4" ht="18" x14ac:dyDescent="0.3">
      <c r="A271" s="10" t="s">
        <v>240</v>
      </c>
      <c r="B271" s="7">
        <v>1</v>
      </c>
      <c r="C271" s="7">
        <v>28000</v>
      </c>
      <c r="D271" s="8">
        <f t="shared" si="4"/>
        <v>28000</v>
      </c>
    </row>
    <row r="272" spans="1:4" ht="18" hidden="1" x14ac:dyDescent="0.35">
      <c r="A272" s="10" t="s">
        <v>241</v>
      </c>
      <c r="B272" s="7"/>
      <c r="C272" s="7"/>
      <c r="D272" s="8">
        <f t="shared" si="4"/>
        <v>0</v>
      </c>
    </row>
    <row r="273" spans="1:4" ht="18" hidden="1" x14ac:dyDescent="0.35">
      <c r="A273" s="13" t="s">
        <v>242</v>
      </c>
      <c r="B273" s="7"/>
      <c r="C273" s="7"/>
      <c r="D273" s="8">
        <f t="shared" si="4"/>
        <v>0</v>
      </c>
    </row>
    <row r="274" spans="1:4" ht="18" hidden="1" x14ac:dyDescent="0.35">
      <c r="A274" s="10" t="s">
        <v>243</v>
      </c>
      <c r="B274" s="7"/>
      <c r="C274" s="7"/>
      <c r="D274" s="8">
        <f t="shared" si="4"/>
        <v>0</v>
      </c>
    </row>
    <row r="275" spans="1:4" ht="18" hidden="1" x14ac:dyDescent="0.35">
      <c r="A275" s="10" t="s">
        <v>37</v>
      </c>
      <c r="B275" s="7"/>
      <c r="C275" s="7"/>
      <c r="D275" s="8">
        <f t="shared" si="4"/>
        <v>0</v>
      </c>
    </row>
    <row r="276" spans="1:4" ht="18" hidden="1" x14ac:dyDescent="0.35">
      <c r="A276" s="6" t="s">
        <v>170</v>
      </c>
      <c r="B276" s="7"/>
      <c r="C276" s="7"/>
      <c r="D276" s="8">
        <f t="shared" si="4"/>
        <v>0</v>
      </c>
    </row>
    <row r="277" spans="1:4" ht="18" hidden="1" x14ac:dyDescent="0.35">
      <c r="A277" s="10" t="s">
        <v>80</v>
      </c>
      <c r="B277" s="23"/>
      <c r="C277" s="23"/>
      <c r="D277" s="8">
        <f t="shared" si="4"/>
        <v>0</v>
      </c>
    </row>
    <row r="278" spans="1:4" ht="18" hidden="1" x14ac:dyDescent="0.35">
      <c r="A278" s="10" t="s">
        <v>244</v>
      </c>
      <c r="B278" s="7"/>
      <c r="C278" s="7"/>
      <c r="D278" s="8">
        <f t="shared" si="4"/>
        <v>0</v>
      </c>
    </row>
    <row r="279" spans="1:4" ht="18" hidden="1" x14ac:dyDescent="0.35">
      <c r="A279" s="10" t="s">
        <v>171</v>
      </c>
      <c r="B279" s="7"/>
      <c r="C279" s="7"/>
      <c r="D279" s="8">
        <f t="shared" si="4"/>
        <v>0</v>
      </c>
    </row>
    <row r="280" spans="1:4" ht="18" hidden="1" x14ac:dyDescent="0.35">
      <c r="A280" s="13" t="s">
        <v>245</v>
      </c>
      <c r="B280" s="7"/>
      <c r="C280" s="7"/>
      <c r="D280" s="8">
        <f t="shared" si="4"/>
        <v>0</v>
      </c>
    </row>
    <row r="281" spans="1:4" ht="18" hidden="1" x14ac:dyDescent="0.35">
      <c r="A281" s="13" t="s">
        <v>246</v>
      </c>
      <c r="B281" s="7"/>
      <c r="C281" s="7"/>
      <c r="D281" s="8">
        <f t="shared" si="4"/>
        <v>0</v>
      </c>
    </row>
    <row r="282" spans="1:4" ht="18" hidden="1" x14ac:dyDescent="0.35">
      <c r="A282" s="10" t="s">
        <v>247</v>
      </c>
      <c r="B282" s="7"/>
      <c r="C282" s="7"/>
      <c r="D282" s="8">
        <f t="shared" si="4"/>
        <v>0</v>
      </c>
    </row>
    <row r="283" spans="1:4" ht="18" hidden="1" x14ac:dyDescent="0.35">
      <c r="A283" s="10" t="s">
        <v>248</v>
      </c>
      <c r="B283" s="7"/>
      <c r="C283" s="7"/>
      <c r="D283" s="8">
        <f t="shared" si="4"/>
        <v>0</v>
      </c>
    </row>
    <row r="284" spans="1:4" ht="18" hidden="1" x14ac:dyDescent="0.35">
      <c r="A284" s="13" t="s">
        <v>249</v>
      </c>
      <c r="B284" s="7"/>
      <c r="C284" s="7"/>
      <c r="D284" s="8">
        <f t="shared" si="4"/>
        <v>0</v>
      </c>
    </row>
    <row r="285" spans="1:4" ht="18" x14ac:dyDescent="0.3">
      <c r="A285" s="10" t="s">
        <v>250</v>
      </c>
      <c r="B285" s="7">
        <v>12</v>
      </c>
      <c r="C285" s="7">
        <v>6800</v>
      </c>
      <c r="D285" s="8">
        <f t="shared" si="4"/>
        <v>81600</v>
      </c>
    </row>
    <row r="286" spans="1:4" ht="18" hidden="1" x14ac:dyDescent="0.35">
      <c r="A286" s="10" t="s">
        <v>251</v>
      </c>
      <c r="B286" s="7"/>
      <c r="C286" s="7"/>
      <c r="D286" s="8">
        <f t="shared" si="4"/>
        <v>0</v>
      </c>
    </row>
    <row r="287" spans="1:4" ht="18" hidden="1" x14ac:dyDescent="0.35">
      <c r="A287" s="10" t="s">
        <v>252</v>
      </c>
      <c r="B287" s="7"/>
      <c r="C287" s="7"/>
      <c r="D287" s="8">
        <f t="shared" si="4"/>
        <v>0</v>
      </c>
    </row>
    <row r="288" spans="1:4" ht="18" hidden="1" x14ac:dyDescent="0.35">
      <c r="A288" s="10" t="s">
        <v>253</v>
      </c>
      <c r="B288" s="7"/>
      <c r="C288" s="7"/>
      <c r="D288" s="8">
        <f t="shared" si="4"/>
        <v>0</v>
      </c>
    </row>
    <row r="289" spans="1:4" ht="18" hidden="1" x14ac:dyDescent="0.35">
      <c r="A289" s="10" t="s">
        <v>254</v>
      </c>
      <c r="B289" s="7"/>
      <c r="C289" s="7"/>
      <c r="D289" s="8">
        <f t="shared" si="4"/>
        <v>0</v>
      </c>
    </row>
    <row r="290" spans="1:4" ht="18" hidden="1" x14ac:dyDescent="0.35">
      <c r="A290" s="10" t="s">
        <v>255</v>
      </c>
      <c r="B290" s="7"/>
      <c r="C290" s="7"/>
      <c r="D290" s="8">
        <f t="shared" si="4"/>
        <v>0</v>
      </c>
    </row>
    <row r="291" spans="1:4" ht="18" hidden="1" x14ac:dyDescent="0.35">
      <c r="A291" s="10" t="s">
        <v>256</v>
      </c>
      <c r="B291" s="7"/>
      <c r="C291" s="7"/>
      <c r="D291" s="8">
        <f t="shared" si="4"/>
        <v>0</v>
      </c>
    </row>
    <row r="292" spans="1:4" ht="18" hidden="1" x14ac:dyDescent="0.35">
      <c r="A292" s="10" t="s">
        <v>257</v>
      </c>
      <c r="B292" s="7"/>
      <c r="C292" s="7"/>
      <c r="D292" s="8">
        <f t="shared" si="4"/>
        <v>0</v>
      </c>
    </row>
    <row r="293" spans="1:4" ht="18" hidden="1" x14ac:dyDescent="0.35">
      <c r="A293" s="10" t="s">
        <v>258</v>
      </c>
      <c r="B293" s="7"/>
      <c r="C293" s="7"/>
      <c r="D293" s="8">
        <f t="shared" si="4"/>
        <v>0</v>
      </c>
    </row>
    <row r="294" spans="1:4" ht="17.399999999999999" x14ac:dyDescent="0.3">
      <c r="A294" s="31"/>
      <c r="B294" s="32">
        <f t="shared" ref="B294:D294" si="5">SUM(B3:B293)</f>
        <v>7977</v>
      </c>
      <c r="C294" s="32"/>
      <c r="D294" s="32">
        <f t="shared" si="5"/>
        <v>91828600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F274" sqref="F274"/>
    </sheetView>
  </sheetViews>
  <sheetFormatPr defaultRowHeight="14.4" x14ac:dyDescent="0.3"/>
  <cols>
    <col min="1" max="1" width="33.88671875" customWidth="1"/>
    <col min="3" max="3" width="12.88671875" customWidth="1"/>
    <col min="4" max="4" width="20.5546875" customWidth="1"/>
  </cols>
  <sheetData>
    <row r="1" spans="1:4" x14ac:dyDescent="0.3">
      <c r="A1" s="57" t="s">
        <v>317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297</v>
      </c>
      <c r="D2" s="5" t="s">
        <v>291</v>
      </c>
    </row>
    <row r="3" spans="1:4" ht="18" x14ac:dyDescent="0.3">
      <c r="A3" s="60" t="s">
        <v>303</v>
      </c>
      <c r="B3" s="7">
        <f>28+50</f>
        <v>78</v>
      </c>
      <c r="C3" s="7">
        <v>7000</v>
      </c>
      <c r="D3" s="8">
        <f>B3*C3</f>
        <v>546000</v>
      </c>
    </row>
    <row r="4" spans="1:4" ht="18" hidden="1" x14ac:dyDescent="0.3">
      <c r="A4" s="61" t="s">
        <v>304</v>
      </c>
      <c r="B4" s="7"/>
      <c r="C4" s="7"/>
      <c r="D4" s="8">
        <f t="shared" ref="D4:D67" si="0">B4*C4</f>
        <v>0</v>
      </c>
    </row>
    <row r="5" spans="1:4" ht="18" hidden="1" x14ac:dyDescent="0.3">
      <c r="A5" s="60" t="s">
        <v>305</v>
      </c>
      <c r="B5" s="7"/>
      <c r="C5" s="7"/>
      <c r="D5" s="8">
        <f t="shared" si="0"/>
        <v>0</v>
      </c>
    </row>
    <row r="6" spans="1:4" ht="18" hidden="1" x14ac:dyDescent="0.3">
      <c r="A6" s="60" t="s">
        <v>306</v>
      </c>
      <c r="B6" s="7"/>
      <c r="C6" s="7"/>
      <c r="D6" s="8">
        <f t="shared" si="0"/>
        <v>0</v>
      </c>
    </row>
    <row r="7" spans="1:4" ht="18" hidden="1" x14ac:dyDescent="0.3">
      <c r="A7" s="60" t="s">
        <v>2</v>
      </c>
      <c r="B7" s="7"/>
      <c r="C7" s="7"/>
      <c r="D7" s="8">
        <f t="shared" si="0"/>
        <v>0</v>
      </c>
    </row>
    <row r="8" spans="1:4" ht="18" hidden="1" x14ac:dyDescent="0.3">
      <c r="A8" s="62" t="s">
        <v>3</v>
      </c>
      <c r="B8" s="7"/>
      <c r="C8" s="7"/>
      <c r="D8" s="8">
        <f t="shared" si="0"/>
        <v>0</v>
      </c>
    </row>
    <row r="9" spans="1:4" ht="18" hidden="1" x14ac:dyDescent="0.3">
      <c r="A9" s="63" t="s">
        <v>4</v>
      </c>
      <c r="B9" s="7"/>
      <c r="C9" s="7"/>
      <c r="D9" s="8">
        <f t="shared" si="0"/>
        <v>0</v>
      </c>
    </row>
    <row r="10" spans="1:4" ht="18" hidden="1" x14ac:dyDescent="0.3">
      <c r="A10" s="60" t="s">
        <v>9</v>
      </c>
      <c r="B10" s="12"/>
      <c r="C10" s="12"/>
      <c r="D10" s="8">
        <f t="shared" si="0"/>
        <v>0</v>
      </c>
    </row>
    <row r="11" spans="1:4" ht="18" hidden="1" x14ac:dyDescent="0.3">
      <c r="A11" s="60" t="s">
        <v>10</v>
      </c>
      <c r="B11" s="12"/>
      <c r="C11" s="12"/>
      <c r="D11" s="8">
        <f t="shared" si="0"/>
        <v>0</v>
      </c>
    </row>
    <row r="12" spans="1:4" ht="18" hidden="1" x14ac:dyDescent="0.3">
      <c r="A12" s="63" t="s">
        <v>11</v>
      </c>
      <c r="B12" s="7"/>
      <c r="C12" s="7"/>
      <c r="D12" s="8">
        <f t="shared" si="0"/>
        <v>0</v>
      </c>
    </row>
    <row r="13" spans="1:4" ht="18" x14ac:dyDescent="0.3">
      <c r="A13" s="63" t="s">
        <v>12</v>
      </c>
      <c r="B13" s="7">
        <v>2</v>
      </c>
      <c r="C13" s="7">
        <v>6000</v>
      </c>
      <c r="D13" s="8">
        <f t="shared" si="0"/>
        <v>12000</v>
      </c>
    </row>
    <row r="14" spans="1:4" ht="18" hidden="1" x14ac:dyDescent="0.3">
      <c r="A14" s="63" t="s">
        <v>13</v>
      </c>
      <c r="B14" s="12"/>
      <c r="C14" s="12"/>
      <c r="D14" s="8">
        <f t="shared" si="0"/>
        <v>0</v>
      </c>
    </row>
    <row r="15" spans="1:4" ht="18" hidden="1" x14ac:dyDescent="0.3">
      <c r="A15" s="64" t="s">
        <v>14</v>
      </c>
      <c r="B15" s="7"/>
      <c r="C15" s="7"/>
      <c r="D15" s="8">
        <f t="shared" si="0"/>
        <v>0</v>
      </c>
    </row>
    <row r="16" spans="1:4" ht="18" hidden="1" x14ac:dyDescent="0.3">
      <c r="A16" s="61" t="s">
        <v>15</v>
      </c>
      <c r="B16" s="7"/>
      <c r="C16" s="7"/>
      <c r="D16" s="8">
        <f t="shared" si="0"/>
        <v>0</v>
      </c>
    </row>
    <row r="17" spans="1:4" ht="18" hidden="1" x14ac:dyDescent="0.3">
      <c r="A17" s="13" t="s">
        <v>16</v>
      </c>
      <c r="B17" s="7"/>
      <c r="C17" s="7"/>
      <c r="D17" s="8">
        <f t="shared" si="0"/>
        <v>0</v>
      </c>
    </row>
    <row r="18" spans="1:4" ht="18" hidden="1" x14ac:dyDescent="0.3">
      <c r="A18" s="63" t="s">
        <v>17</v>
      </c>
      <c r="B18" s="7"/>
      <c r="C18" s="7"/>
      <c r="D18" s="8">
        <f t="shared" si="0"/>
        <v>0</v>
      </c>
    </row>
    <row r="19" spans="1:4" ht="18" hidden="1" x14ac:dyDescent="0.3">
      <c r="A19" s="63" t="s">
        <v>18</v>
      </c>
      <c r="B19" s="7"/>
      <c r="C19" s="7"/>
      <c r="D19" s="8">
        <f t="shared" si="0"/>
        <v>0</v>
      </c>
    </row>
    <row r="20" spans="1:4" ht="18" hidden="1" x14ac:dyDescent="0.3">
      <c r="A20" s="63" t="s">
        <v>19</v>
      </c>
      <c r="B20" s="7"/>
      <c r="C20" s="7"/>
      <c r="D20" s="8">
        <f t="shared" si="0"/>
        <v>0</v>
      </c>
    </row>
    <row r="21" spans="1:4" ht="18" hidden="1" x14ac:dyDescent="0.3">
      <c r="A21" s="61" t="s">
        <v>20</v>
      </c>
      <c r="B21" s="7"/>
      <c r="C21" s="7"/>
      <c r="D21" s="8">
        <f t="shared" si="0"/>
        <v>0</v>
      </c>
    </row>
    <row r="22" spans="1:4" ht="18" x14ac:dyDescent="0.3">
      <c r="A22" s="63" t="s">
        <v>21</v>
      </c>
      <c r="B22" s="7">
        <v>70</v>
      </c>
      <c r="C22" s="7">
        <v>25000</v>
      </c>
      <c r="D22" s="8">
        <f t="shared" si="0"/>
        <v>1750000</v>
      </c>
    </row>
    <row r="23" spans="1:4" ht="18" hidden="1" x14ac:dyDescent="0.3">
      <c r="A23" s="63" t="s">
        <v>22</v>
      </c>
      <c r="B23" s="7"/>
      <c r="C23" s="7"/>
      <c r="D23" s="8">
        <f t="shared" si="0"/>
        <v>0</v>
      </c>
    </row>
    <row r="24" spans="1:4" ht="18" hidden="1" x14ac:dyDescent="0.3">
      <c r="A24" s="63" t="s">
        <v>23</v>
      </c>
      <c r="B24" s="7"/>
      <c r="C24" s="7"/>
      <c r="D24" s="8">
        <f t="shared" si="0"/>
        <v>0</v>
      </c>
    </row>
    <row r="25" spans="1:4" ht="18" hidden="1" x14ac:dyDescent="0.3">
      <c r="A25" s="63" t="s">
        <v>24</v>
      </c>
      <c r="B25" s="7"/>
      <c r="C25" s="7"/>
      <c r="D25" s="8">
        <f t="shared" si="0"/>
        <v>0</v>
      </c>
    </row>
    <row r="26" spans="1:4" ht="18" hidden="1" x14ac:dyDescent="0.3">
      <c r="A26" s="63" t="s">
        <v>25</v>
      </c>
      <c r="B26" s="7"/>
      <c r="C26" s="7"/>
      <c r="D26" s="8">
        <f t="shared" si="0"/>
        <v>0</v>
      </c>
    </row>
    <row r="27" spans="1:4" ht="18" x14ac:dyDescent="0.3">
      <c r="A27" s="63" t="s">
        <v>26</v>
      </c>
      <c r="B27" s="7">
        <v>7</v>
      </c>
      <c r="C27" s="7">
        <v>25000</v>
      </c>
      <c r="D27" s="8">
        <f t="shared" si="0"/>
        <v>175000</v>
      </c>
    </row>
    <row r="28" spans="1:4" ht="18" hidden="1" x14ac:dyDescent="0.3">
      <c r="A28" s="63" t="s">
        <v>27</v>
      </c>
      <c r="B28" s="7"/>
      <c r="C28" s="7"/>
      <c r="D28" s="8">
        <f t="shared" si="0"/>
        <v>0</v>
      </c>
    </row>
    <row r="29" spans="1:4" ht="18" hidden="1" x14ac:dyDescent="0.3">
      <c r="A29" s="63" t="s">
        <v>28</v>
      </c>
      <c r="B29" s="7"/>
      <c r="C29" s="7"/>
      <c r="D29" s="8">
        <f t="shared" si="0"/>
        <v>0</v>
      </c>
    </row>
    <row r="30" spans="1:4" ht="18" hidden="1" x14ac:dyDescent="0.3">
      <c r="A30" s="63" t="s">
        <v>29</v>
      </c>
      <c r="B30" s="7"/>
      <c r="C30" s="7"/>
      <c r="D30" s="8">
        <f t="shared" si="0"/>
        <v>0</v>
      </c>
    </row>
    <row r="31" spans="1:4" ht="18" x14ac:dyDescent="0.3">
      <c r="A31" s="63" t="s">
        <v>30</v>
      </c>
      <c r="B31" s="7">
        <f>10+20+7+15</f>
        <v>52</v>
      </c>
      <c r="C31" s="7">
        <v>28000</v>
      </c>
      <c r="D31" s="8">
        <f t="shared" si="0"/>
        <v>1456000</v>
      </c>
    </row>
    <row r="32" spans="1:4" ht="18" hidden="1" x14ac:dyDescent="0.3">
      <c r="A32" s="63" t="s">
        <v>31</v>
      </c>
      <c r="B32" s="7"/>
      <c r="C32" s="7"/>
      <c r="D32" s="8">
        <f t="shared" si="0"/>
        <v>0</v>
      </c>
    </row>
    <row r="33" spans="1:4" ht="18" hidden="1" x14ac:dyDescent="0.3">
      <c r="A33" s="63" t="s">
        <v>32</v>
      </c>
      <c r="B33" s="7"/>
      <c r="C33" s="7"/>
      <c r="D33" s="8">
        <f t="shared" si="0"/>
        <v>0</v>
      </c>
    </row>
    <row r="34" spans="1:4" ht="18" x14ac:dyDescent="0.3">
      <c r="A34" s="63" t="s">
        <v>33</v>
      </c>
      <c r="B34" s="7">
        <f>35+37+130</f>
        <v>202</v>
      </c>
      <c r="C34" s="7">
        <v>10000</v>
      </c>
      <c r="D34" s="8">
        <f t="shared" si="0"/>
        <v>2020000</v>
      </c>
    </row>
    <row r="35" spans="1:4" ht="18" hidden="1" x14ac:dyDescent="0.3">
      <c r="A35" s="65" t="s">
        <v>34</v>
      </c>
      <c r="B35" s="7"/>
      <c r="C35" s="7"/>
      <c r="D35" s="8">
        <f t="shared" si="0"/>
        <v>0</v>
      </c>
    </row>
    <row r="36" spans="1:4" ht="18" hidden="1" x14ac:dyDescent="0.3">
      <c r="A36" s="63" t="s">
        <v>35</v>
      </c>
      <c r="B36" s="7"/>
      <c r="C36" s="7"/>
      <c r="D36" s="8">
        <f t="shared" si="0"/>
        <v>0</v>
      </c>
    </row>
    <row r="37" spans="1:4" ht="18" x14ac:dyDescent="0.3">
      <c r="A37" s="60" t="s">
        <v>36</v>
      </c>
      <c r="B37" s="7">
        <v>10</v>
      </c>
      <c r="C37" s="7">
        <v>21000</v>
      </c>
      <c r="D37" s="8">
        <f t="shared" si="0"/>
        <v>210000</v>
      </c>
    </row>
    <row r="38" spans="1:4" ht="18" hidden="1" x14ac:dyDescent="0.3">
      <c r="A38" s="63" t="s">
        <v>37</v>
      </c>
      <c r="B38" s="7"/>
      <c r="C38" s="7"/>
      <c r="D38" s="8">
        <f t="shared" si="0"/>
        <v>0</v>
      </c>
    </row>
    <row r="39" spans="1:4" ht="18" x14ac:dyDescent="0.3">
      <c r="A39" s="63" t="s">
        <v>38</v>
      </c>
      <c r="B39" s="7">
        <f>15+3</f>
        <v>18</v>
      </c>
      <c r="C39" s="7">
        <v>27000</v>
      </c>
      <c r="D39" s="8">
        <f t="shared" si="0"/>
        <v>486000</v>
      </c>
    </row>
    <row r="40" spans="1:4" ht="18" hidden="1" x14ac:dyDescent="0.3">
      <c r="A40" s="66" t="s">
        <v>39</v>
      </c>
      <c r="B40" s="7"/>
      <c r="C40" s="7"/>
      <c r="D40" s="8">
        <f t="shared" si="0"/>
        <v>0</v>
      </c>
    </row>
    <row r="41" spans="1:4" ht="18" x14ac:dyDescent="0.3">
      <c r="A41" s="63" t="s">
        <v>40</v>
      </c>
      <c r="B41" s="7">
        <f>8+20+30+200</f>
        <v>258</v>
      </c>
      <c r="C41" s="7">
        <v>12500</v>
      </c>
      <c r="D41" s="8">
        <f t="shared" si="0"/>
        <v>3225000</v>
      </c>
    </row>
    <row r="42" spans="1:4" ht="18" hidden="1" x14ac:dyDescent="0.3">
      <c r="A42" s="63" t="s">
        <v>41</v>
      </c>
      <c r="B42" s="7"/>
      <c r="C42" s="7"/>
      <c r="D42" s="8">
        <f t="shared" si="0"/>
        <v>0</v>
      </c>
    </row>
    <row r="43" spans="1:4" ht="18" x14ac:dyDescent="0.3">
      <c r="A43" s="63" t="s">
        <v>42</v>
      </c>
      <c r="B43" s="7">
        <f>48+24</f>
        <v>72</v>
      </c>
      <c r="C43" s="7">
        <v>17000</v>
      </c>
      <c r="D43" s="8">
        <f t="shared" si="0"/>
        <v>1224000</v>
      </c>
    </row>
    <row r="44" spans="1:4" ht="18" hidden="1" x14ac:dyDescent="0.3">
      <c r="A44" s="63" t="s">
        <v>43</v>
      </c>
      <c r="B44" s="7"/>
      <c r="C44" s="7"/>
      <c r="D44" s="8">
        <f t="shared" si="0"/>
        <v>0</v>
      </c>
    </row>
    <row r="45" spans="1:4" ht="18" hidden="1" x14ac:dyDescent="0.3">
      <c r="A45" s="63" t="s">
        <v>44</v>
      </c>
      <c r="B45" s="7"/>
      <c r="C45" s="7"/>
      <c r="D45" s="8">
        <f t="shared" si="0"/>
        <v>0</v>
      </c>
    </row>
    <row r="46" spans="1:4" ht="18" x14ac:dyDescent="0.3">
      <c r="A46" s="67" t="s">
        <v>46</v>
      </c>
      <c r="B46" s="7">
        <v>50</v>
      </c>
      <c r="C46" s="7">
        <v>9000</v>
      </c>
      <c r="D46" s="8">
        <f t="shared" si="0"/>
        <v>450000</v>
      </c>
    </row>
    <row r="47" spans="1:4" ht="18" hidden="1" x14ac:dyDescent="0.3">
      <c r="A47" s="65" t="s">
        <v>47</v>
      </c>
      <c r="B47" s="7"/>
      <c r="C47" s="7"/>
      <c r="D47" s="8">
        <f t="shared" si="0"/>
        <v>0</v>
      </c>
    </row>
    <row r="48" spans="1:4" ht="18" hidden="1" x14ac:dyDescent="0.3">
      <c r="A48" s="61" t="s">
        <v>300</v>
      </c>
      <c r="B48" s="7"/>
      <c r="C48" s="7"/>
      <c r="D48" s="8">
        <f t="shared" si="0"/>
        <v>0</v>
      </c>
    </row>
    <row r="49" spans="1:4" ht="18" hidden="1" x14ac:dyDescent="0.3">
      <c r="A49" s="63" t="s">
        <v>48</v>
      </c>
      <c r="B49" s="7"/>
      <c r="C49" s="7"/>
      <c r="D49" s="8">
        <f t="shared" si="0"/>
        <v>0</v>
      </c>
    </row>
    <row r="50" spans="1:4" ht="18" hidden="1" x14ac:dyDescent="0.3">
      <c r="A50" s="63" t="s">
        <v>49</v>
      </c>
      <c r="B50" s="7"/>
      <c r="C50" s="7"/>
      <c r="D50" s="8">
        <f t="shared" si="0"/>
        <v>0</v>
      </c>
    </row>
    <row r="51" spans="1:4" ht="18" x14ac:dyDescent="0.3">
      <c r="A51" s="63" t="s">
        <v>50</v>
      </c>
      <c r="B51" s="7">
        <f>3+25</f>
        <v>28</v>
      </c>
      <c r="C51" s="7">
        <v>6000</v>
      </c>
      <c r="D51" s="8">
        <f t="shared" si="0"/>
        <v>168000</v>
      </c>
    </row>
    <row r="52" spans="1:4" ht="18" hidden="1" x14ac:dyDescent="0.3">
      <c r="A52" s="60" t="s">
        <v>51</v>
      </c>
      <c r="B52" s="7"/>
      <c r="C52" s="7"/>
      <c r="D52" s="8">
        <f t="shared" si="0"/>
        <v>0</v>
      </c>
    </row>
    <row r="53" spans="1:4" ht="18" x14ac:dyDescent="0.3">
      <c r="A53" s="63" t="s">
        <v>52</v>
      </c>
      <c r="B53" s="7">
        <f>30+25+8</f>
        <v>63</v>
      </c>
      <c r="C53" s="7">
        <v>6000</v>
      </c>
      <c r="D53" s="8">
        <f t="shared" si="0"/>
        <v>378000</v>
      </c>
    </row>
    <row r="54" spans="1:4" ht="18" hidden="1" x14ac:dyDescent="0.3">
      <c r="A54" s="68" t="s">
        <v>53</v>
      </c>
      <c r="B54" s="7"/>
      <c r="C54" s="7"/>
      <c r="D54" s="8">
        <f t="shared" si="0"/>
        <v>0</v>
      </c>
    </row>
    <row r="55" spans="1:4" ht="18" hidden="1" x14ac:dyDescent="0.3">
      <c r="A55" s="63" t="s">
        <v>54</v>
      </c>
      <c r="B55" s="7"/>
      <c r="C55" s="7"/>
      <c r="D55" s="8">
        <f t="shared" si="0"/>
        <v>0</v>
      </c>
    </row>
    <row r="56" spans="1:4" ht="18" hidden="1" x14ac:dyDescent="0.3">
      <c r="A56" s="17" t="s">
        <v>55</v>
      </c>
      <c r="B56" s="7"/>
      <c r="C56" s="7"/>
      <c r="D56" s="8">
        <f t="shared" si="0"/>
        <v>0</v>
      </c>
    </row>
    <row r="57" spans="1:4" ht="18" hidden="1" x14ac:dyDescent="0.3">
      <c r="A57" s="63" t="s">
        <v>56</v>
      </c>
      <c r="B57" s="7"/>
      <c r="C57" s="7"/>
      <c r="D57" s="8">
        <f t="shared" si="0"/>
        <v>0</v>
      </c>
    </row>
    <row r="58" spans="1:4" ht="18" x14ac:dyDescent="0.3">
      <c r="A58" s="63" t="s">
        <v>57</v>
      </c>
      <c r="B58" s="7">
        <v>28</v>
      </c>
      <c r="C58" s="7">
        <v>8000</v>
      </c>
      <c r="D58" s="8">
        <f t="shared" si="0"/>
        <v>224000</v>
      </c>
    </row>
    <row r="59" spans="1:4" ht="18" hidden="1" x14ac:dyDescent="0.3">
      <c r="A59" s="67" t="s">
        <v>58</v>
      </c>
      <c r="B59" s="7"/>
      <c r="C59" s="7"/>
      <c r="D59" s="8">
        <f t="shared" si="0"/>
        <v>0</v>
      </c>
    </row>
    <row r="60" spans="1:4" ht="18" hidden="1" x14ac:dyDescent="0.3">
      <c r="A60" s="60" t="s">
        <v>59</v>
      </c>
      <c r="B60" s="7"/>
      <c r="C60" s="7"/>
      <c r="D60" s="8">
        <f t="shared" si="0"/>
        <v>0</v>
      </c>
    </row>
    <row r="61" spans="1:4" ht="18" hidden="1" x14ac:dyDescent="0.3">
      <c r="A61" s="60" t="s">
        <v>60</v>
      </c>
      <c r="B61" s="7"/>
      <c r="C61" s="7"/>
      <c r="D61" s="8">
        <f t="shared" si="0"/>
        <v>0</v>
      </c>
    </row>
    <row r="62" spans="1:4" ht="18" hidden="1" x14ac:dyDescent="0.3">
      <c r="A62" s="63" t="s">
        <v>61</v>
      </c>
      <c r="B62" s="7"/>
      <c r="C62" s="7"/>
      <c r="D62" s="8">
        <f t="shared" si="0"/>
        <v>0</v>
      </c>
    </row>
    <row r="63" spans="1:4" ht="18" hidden="1" x14ac:dyDescent="0.3">
      <c r="A63" s="69" t="s">
        <v>62</v>
      </c>
      <c r="B63" s="19"/>
      <c r="C63" s="19"/>
      <c r="D63" s="8">
        <f t="shared" si="0"/>
        <v>0</v>
      </c>
    </row>
    <row r="64" spans="1:4" ht="18" hidden="1" x14ac:dyDescent="0.3">
      <c r="A64" s="63" t="s">
        <v>63</v>
      </c>
      <c r="B64" s="7"/>
      <c r="C64" s="7"/>
      <c r="D64" s="8">
        <f t="shared" si="0"/>
        <v>0</v>
      </c>
    </row>
    <row r="65" spans="1:4" ht="18" hidden="1" x14ac:dyDescent="0.3">
      <c r="A65" s="60" t="s">
        <v>64</v>
      </c>
      <c r="B65" s="7"/>
      <c r="C65" s="7"/>
      <c r="D65" s="8">
        <f t="shared" si="0"/>
        <v>0</v>
      </c>
    </row>
    <row r="66" spans="1:4" ht="18" hidden="1" x14ac:dyDescent="0.3">
      <c r="A66" s="60" t="s">
        <v>65</v>
      </c>
      <c r="B66" s="7"/>
      <c r="C66" s="7"/>
      <c r="D66" s="8">
        <f t="shared" si="0"/>
        <v>0</v>
      </c>
    </row>
    <row r="67" spans="1:4" ht="18" hidden="1" x14ac:dyDescent="0.3">
      <c r="A67" s="63" t="s">
        <v>66</v>
      </c>
      <c r="B67" s="7"/>
      <c r="C67" s="7"/>
      <c r="D67" s="8">
        <f t="shared" si="0"/>
        <v>0</v>
      </c>
    </row>
    <row r="68" spans="1:4" ht="18" x14ac:dyDescent="0.3">
      <c r="A68" s="60" t="s">
        <v>67</v>
      </c>
      <c r="B68" s="7">
        <f>25+22+400+55+35</f>
        <v>537</v>
      </c>
      <c r="C68" s="7">
        <v>26000</v>
      </c>
      <c r="D68" s="8">
        <f t="shared" ref="D68:D131" si="1">B68*C68</f>
        <v>13962000</v>
      </c>
    </row>
    <row r="69" spans="1:4" ht="18" hidden="1" x14ac:dyDescent="0.3">
      <c r="A69" s="63" t="s">
        <v>68</v>
      </c>
      <c r="B69" s="7"/>
      <c r="C69" s="7"/>
      <c r="D69" s="8">
        <f t="shared" si="1"/>
        <v>0</v>
      </c>
    </row>
    <row r="70" spans="1:4" ht="18" hidden="1" x14ac:dyDescent="0.3">
      <c r="A70" s="63" t="s">
        <v>69</v>
      </c>
      <c r="B70" s="7"/>
      <c r="C70" s="7"/>
      <c r="D70" s="8">
        <f t="shared" si="1"/>
        <v>0</v>
      </c>
    </row>
    <row r="71" spans="1:4" ht="18" x14ac:dyDescent="0.3">
      <c r="A71" s="63" t="s">
        <v>70</v>
      </c>
      <c r="B71" s="7">
        <v>22</v>
      </c>
      <c r="C71" s="7">
        <v>12000</v>
      </c>
      <c r="D71" s="8">
        <f t="shared" si="1"/>
        <v>264000</v>
      </c>
    </row>
    <row r="72" spans="1:4" ht="18" hidden="1" x14ac:dyDescent="0.3">
      <c r="A72" s="63" t="s">
        <v>71</v>
      </c>
      <c r="B72" s="7"/>
      <c r="C72" s="7"/>
      <c r="D72" s="8">
        <f t="shared" si="1"/>
        <v>0</v>
      </c>
    </row>
    <row r="73" spans="1:4" ht="18" hidden="1" x14ac:dyDescent="0.3">
      <c r="A73" s="70" t="s">
        <v>72</v>
      </c>
      <c r="B73" s="7"/>
      <c r="C73" s="7"/>
      <c r="D73" s="8">
        <f t="shared" si="1"/>
        <v>0</v>
      </c>
    </row>
    <row r="74" spans="1:4" ht="18" hidden="1" x14ac:dyDescent="0.3">
      <c r="A74" s="71" t="s">
        <v>73</v>
      </c>
      <c r="B74" s="7"/>
      <c r="C74" s="7"/>
      <c r="D74" s="8">
        <f t="shared" si="1"/>
        <v>0</v>
      </c>
    </row>
    <row r="75" spans="1:4" ht="18" hidden="1" x14ac:dyDescent="0.3">
      <c r="A75" s="70" t="s">
        <v>74</v>
      </c>
      <c r="B75" s="7"/>
      <c r="C75" s="7"/>
      <c r="D75" s="8">
        <f t="shared" si="1"/>
        <v>0</v>
      </c>
    </row>
    <row r="76" spans="1:4" ht="18" hidden="1" x14ac:dyDescent="0.3">
      <c r="A76" s="68" t="s">
        <v>75</v>
      </c>
      <c r="B76" s="7"/>
      <c r="C76" s="7"/>
      <c r="D76" s="8">
        <f t="shared" si="1"/>
        <v>0</v>
      </c>
    </row>
    <row r="77" spans="1:4" ht="18" hidden="1" x14ac:dyDescent="0.3">
      <c r="A77" s="72" t="s">
        <v>76</v>
      </c>
      <c r="B77" s="7"/>
      <c r="C77" s="7"/>
      <c r="D77" s="8">
        <f t="shared" si="1"/>
        <v>0</v>
      </c>
    </row>
    <row r="78" spans="1:4" ht="18" hidden="1" x14ac:dyDescent="0.3">
      <c r="A78" s="72" t="s">
        <v>77</v>
      </c>
      <c r="B78" s="7"/>
      <c r="C78" s="7"/>
      <c r="D78" s="8">
        <f t="shared" si="1"/>
        <v>0</v>
      </c>
    </row>
    <row r="79" spans="1:4" ht="18" hidden="1" x14ac:dyDescent="0.3">
      <c r="A79" s="22" t="s">
        <v>78</v>
      </c>
      <c r="B79" s="7"/>
      <c r="C79" s="7"/>
      <c r="D79" s="8">
        <f t="shared" si="1"/>
        <v>0</v>
      </c>
    </row>
    <row r="80" spans="1:4" ht="18" hidden="1" x14ac:dyDescent="0.3">
      <c r="A80" s="72" t="s">
        <v>79</v>
      </c>
      <c r="B80" s="7"/>
      <c r="C80" s="7"/>
      <c r="D80" s="8">
        <f t="shared" si="1"/>
        <v>0</v>
      </c>
    </row>
    <row r="81" spans="1:4" ht="18" hidden="1" x14ac:dyDescent="0.3">
      <c r="A81" s="63" t="s">
        <v>80</v>
      </c>
      <c r="B81" s="23"/>
      <c r="C81" s="23"/>
      <c r="D81" s="8">
        <f t="shared" si="1"/>
        <v>0</v>
      </c>
    </row>
    <row r="82" spans="1:4" ht="18" hidden="1" x14ac:dyDescent="0.3">
      <c r="A82" s="63" t="s">
        <v>81</v>
      </c>
      <c r="B82" s="7"/>
      <c r="C82" s="7"/>
      <c r="D82" s="8">
        <f t="shared" si="1"/>
        <v>0</v>
      </c>
    </row>
    <row r="83" spans="1:4" ht="18" x14ac:dyDescent="0.3">
      <c r="A83" s="63" t="s">
        <v>82</v>
      </c>
      <c r="B83" s="7">
        <f>6+10+10</f>
        <v>26</v>
      </c>
      <c r="C83" s="7">
        <v>25500</v>
      </c>
      <c r="D83" s="8">
        <f t="shared" si="1"/>
        <v>663000</v>
      </c>
    </row>
    <row r="84" spans="1:4" ht="18" x14ac:dyDescent="0.3">
      <c r="A84" s="63" t="s">
        <v>83</v>
      </c>
      <c r="B84" s="7">
        <f>15/0.5</f>
        <v>30</v>
      </c>
      <c r="C84" s="7">
        <v>17000</v>
      </c>
      <c r="D84" s="8">
        <f t="shared" si="1"/>
        <v>510000</v>
      </c>
    </row>
    <row r="85" spans="1:4" ht="18" hidden="1" x14ac:dyDescent="0.3">
      <c r="A85" s="63" t="s">
        <v>84</v>
      </c>
      <c r="B85" s="7"/>
      <c r="C85" s="7"/>
      <c r="D85" s="8">
        <f t="shared" si="1"/>
        <v>0</v>
      </c>
    </row>
    <row r="86" spans="1:4" ht="18" hidden="1" x14ac:dyDescent="0.3">
      <c r="A86" s="63" t="s">
        <v>85</v>
      </c>
      <c r="B86" s="7"/>
      <c r="C86" s="7"/>
      <c r="D86" s="8">
        <f t="shared" si="1"/>
        <v>0</v>
      </c>
    </row>
    <row r="87" spans="1:4" ht="18" hidden="1" x14ac:dyDescent="0.3">
      <c r="A87" s="63" t="s">
        <v>86</v>
      </c>
      <c r="B87" s="7"/>
      <c r="C87" s="7"/>
      <c r="D87" s="8">
        <f t="shared" si="1"/>
        <v>0</v>
      </c>
    </row>
    <row r="88" spans="1:4" ht="18" hidden="1" x14ac:dyDescent="0.3">
      <c r="A88" s="73" t="s">
        <v>87</v>
      </c>
      <c r="B88" s="7"/>
      <c r="C88" s="7"/>
      <c r="D88" s="8">
        <f t="shared" si="1"/>
        <v>0</v>
      </c>
    </row>
    <row r="89" spans="1:4" ht="18" hidden="1" x14ac:dyDescent="0.3">
      <c r="A89" s="63" t="s">
        <v>88</v>
      </c>
      <c r="B89" s="7"/>
      <c r="C89" s="7"/>
      <c r="D89" s="8">
        <f t="shared" si="1"/>
        <v>0</v>
      </c>
    </row>
    <row r="90" spans="1:4" ht="18" hidden="1" x14ac:dyDescent="0.3">
      <c r="A90" s="63" t="s">
        <v>89</v>
      </c>
      <c r="B90" s="7"/>
      <c r="C90" s="7"/>
      <c r="D90" s="8">
        <f t="shared" si="1"/>
        <v>0</v>
      </c>
    </row>
    <row r="91" spans="1:4" ht="18" hidden="1" x14ac:dyDescent="0.3">
      <c r="A91" s="63" t="s">
        <v>90</v>
      </c>
      <c r="B91" s="12"/>
      <c r="C91" s="7"/>
      <c r="D91" s="8">
        <f t="shared" si="1"/>
        <v>0</v>
      </c>
    </row>
    <row r="92" spans="1:4" ht="18" hidden="1" x14ac:dyDescent="0.3">
      <c r="A92" s="74" t="s">
        <v>91</v>
      </c>
      <c r="B92" s="7"/>
      <c r="C92" s="7"/>
      <c r="D92" s="8">
        <f t="shared" si="1"/>
        <v>0</v>
      </c>
    </row>
    <row r="93" spans="1:4" ht="18" hidden="1" x14ac:dyDescent="0.3">
      <c r="A93" s="60" t="s">
        <v>93</v>
      </c>
      <c r="B93" s="7"/>
      <c r="C93" s="7"/>
      <c r="D93" s="8">
        <f t="shared" si="1"/>
        <v>0</v>
      </c>
    </row>
    <row r="94" spans="1:4" ht="18" hidden="1" x14ac:dyDescent="0.3">
      <c r="A94" s="65" t="s">
        <v>94</v>
      </c>
      <c r="B94" s="7"/>
      <c r="C94" s="7"/>
      <c r="D94" s="8">
        <f t="shared" si="1"/>
        <v>0</v>
      </c>
    </row>
    <row r="95" spans="1:4" ht="18" hidden="1" x14ac:dyDescent="0.3">
      <c r="A95" s="60" t="s">
        <v>95</v>
      </c>
      <c r="B95" s="7"/>
      <c r="C95" s="7"/>
      <c r="D95" s="8">
        <f t="shared" si="1"/>
        <v>0</v>
      </c>
    </row>
    <row r="96" spans="1:4" ht="18" hidden="1" x14ac:dyDescent="0.3">
      <c r="A96" s="63" t="s">
        <v>96</v>
      </c>
      <c r="B96" s="7"/>
      <c r="C96" s="7"/>
      <c r="D96" s="8">
        <f t="shared" si="1"/>
        <v>0</v>
      </c>
    </row>
    <row r="97" spans="1:4" ht="18" hidden="1" x14ac:dyDescent="0.3">
      <c r="A97" s="75" t="s">
        <v>97</v>
      </c>
      <c r="B97" s="7"/>
      <c r="C97" s="7"/>
      <c r="D97" s="8">
        <f t="shared" si="1"/>
        <v>0</v>
      </c>
    </row>
    <row r="98" spans="1:4" ht="18" x14ac:dyDescent="0.3">
      <c r="A98" s="76" t="s">
        <v>98</v>
      </c>
      <c r="B98" s="7">
        <v>7</v>
      </c>
      <c r="C98" s="7">
        <v>28000</v>
      </c>
      <c r="D98" s="8">
        <f t="shared" si="1"/>
        <v>196000</v>
      </c>
    </row>
    <row r="99" spans="1:4" ht="18" hidden="1" x14ac:dyDescent="0.3">
      <c r="A99" s="76" t="s">
        <v>99</v>
      </c>
      <c r="B99" s="7"/>
      <c r="C99" s="7"/>
      <c r="D99" s="8">
        <f t="shared" si="1"/>
        <v>0</v>
      </c>
    </row>
    <row r="100" spans="1:4" ht="18" hidden="1" x14ac:dyDescent="0.3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">
      <c r="A102" s="63" t="s">
        <v>102</v>
      </c>
      <c r="B102" s="12"/>
      <c r="C102" s="12"/>
      <c r="D102" s="8">
        <f t="shared" si="1"/>
        <v>0</v>
      </c>
    </row>
    <row r="103" spans="1:4" ht="18" hidden="1" x14ac:dyDescent="0.3">
      <c r="A103" s="63" t="s">
        <v>103</v>
      </c>
      <c r="B103" s="12"/>
      <c r="C103" s="12"/>
      <c r="D103" s="8">
        <f t="shared" si="1"/>
        <v>0</v>
      </c>
    </row>
    <row r="104" spans="1:4" ht="18" hidden="1" x14ac:dyDescent="0.3">
      <c r="A104" s="63" t="s">
        <v>104</v>
      </c>
      <c r="B104" s="12"/>
      <c r="C104" s="12"/>
      <c r="D104" s="8">
        <f t="shared" si="1"/>
        <v>0</v>
      </c>
    </row>
    <row r="105" spans="1:4" ht="18" hidden="1" x14ac:dyDescent="0.3">
      <c r="A105" s="63" t="s">
        <v>105</v>
      </c>
      <c r="B105" s="12"/>
      <c r="C105" s="12"/>
      <c r="D105" s="8">
        <f t="shared" si="1"/>
        <v>0</v>
      </c>
    </row>
    <row r="106" spans="1:4" ht="18" hidden="1" x14ac:dyDescent="0.3">
      <c r="A106" s="63" t="s">
        <v>106</v>
      </c>
      <c r="B106" s="12"/>
      <c r="C106" s="12"/>
      <c r="D106" s="8">
        <f t="shared" si="1"/>
        <v>0</v>
      </c>
    </row>
    <row r="107" spans="1:4" ht="18" hidden="1" x14ac:dyDescent="0.3">
      <c r="A107" s="63" t="s">
        <v>107</v>
      </c>
      <c r="B107" s="12"/>
      <c r="C107" s="12"/>
      <c r="D107" s="8">
        <f t="shared" si="1"/>
        <v>0</v>
      </c>
    </row>
    <row r="108" spans="1:4" ht="18" hidden="1" x14ac:dyDescent="0.3">
      <c r="A108" s="63" t="s">
        <v>108</v>
      </c>
      <c r="B108" s="12"/>
      <c r="C108" s="12"/>
      <c r="D108" s="8">
        <f t="shared" si="1"/>
        <v>0</v>
      </c>
    </row>
    <row r="109" spans="1:4" ht="18" hidden="1" x14ac:dyDescent="0.3">
      <c r="A109" s="63" t="s">
        <v>109</v>
      </c>
      <c r="B109" s="12"/>
      <c r="C109" s="12"/>
      <c r="D109" s="8">
        <f t="shared" si="1"/>
        <v>0</v>
      </c>
    </row>
    <row r="110" spans="1:4" ht="18" hidden="1" x14ac:dyDescent="0.3">
      <c r="A110" s="63" t="s">
        <v>110</v>
      </c>
      <c r="B110" s="12"/>
      <c r="C110" s="12"/>
      <c r="D110" s="8">
        <f t="shared" si="1"/>
        <v>0</v>
      </c>
    </row>
    <row r="111" spans="1:4" ht="18" hidden="1" x14ac:dyDescent="0.3">
      <c r="A111" s="63" t="s">
        <v>111</v>
      </c>
      <c r="B111" s="12"/>
      <c r="C111" s="12"/>
      <c r="D111" s="8">
        <f t="shared" si="1"/>
        <v>0</v>
      </c>
    </row>
    <row r="112" spans="1:4" ht="18" hidden="1" x14ac:dyDescent="0.3">
      <c r="A112" s="63" t="s">
        <v>112</v>
      </c>
      <c r="B112" s="12"/>
      <c r="C112" s="12"/>
      <c r="D112" s="8">
        <f t="shared" si="1"/>
        <v>0</v>
      </c>
    </row>
    <row r="113" spans="1:4" ht="18" x14ac:dyDescent="0.3">
      <c r="A113" s="60" t="s">
        <v>113</v>
      </c>
      <c r="B113" s="7">
        <f>140+400</f>
        <v>540</v>
      </c>
      <c r="C113" s="7">
        <v>15000</v>
      </c>
      <c r="D113" s="8">
        <f t="shared" si="1"/>
        <v>8100000</v>
      </c>
    </row>
    <row r="114" spans="1:4" ht="18" x14ac:dyDescent="0.3">
      <c r="A114" s="63" t="s">
        <v>114</v>
      </c>
      <c r="B114" s="7">
        <v>25</v>
      </c>
      <c r="C114" s="7">
        <v>11000</v>
      </c>
      <c r="D114" s="8">
        <f t="shared" si="1"/>
        <v>275000</v>
      </c>
    </row>
    <row r="115" spans="1:4" ht="18" hidden="1" x14ac:dyDescent="0.3">
      <c r="A115" s="63" t="s">
        <v>115</v>
      </c>
      <c r="B115" s="7"/>
      <c r="C115" s="7"/>
      <c r="D115" s="8">
        <f t="shared" si="1"/>
        <v>0</v>
      </c>
    </row>
    <row r="116" spans="1:4" ht="18" hidden="1" x14ac:dyDescent="0.3">
      <c r="A116" s="60" t="s">
        <v>116</v>
      </c>
      <c r="B116" s="7"/>
      <c r="C116" s="7"/>
      <c r="D116" s="8">
        <f t="shared" si="1"/>
        <v>0</v>
      </c>
    </row>
    <row r="117" spans="1:4" ht="18" hidden="1" x14ac:dyDescent="0.3">
      <c r="A117" s="63" t="s">
        <v>117</v>
      </c>
      <c r="B117" s="7"/>
      <c r="C117" s="7"/>
      <c r="D117" s="8">
        <f t="shared" si="1"/>
        <v>0</v>
      </c>
    </row>
    <row r="118" spans="1:4" ht="18" hidden="1" x14ac:dyDescent="0.3">
      <c r="A118" s="63" t="s">
        <v>118</v>
      </c>
      <c r="B118" s="7"/>
      <c r="C118" s="7"/>
      <c r="D118" s="8">
        <f t="shared" si="1"/>
        <v>0</v>
      </c>
    </row>
    <row r="119" spans="1:4" ht="18" hidden="1" x14ac:dyDescent="0.3">
      <c r="A119" s="63" t="s">
        <v>119</v>
      </c>
      <c r="B119" s="7"/>
      <c r="C119" s="7"/>
      <c r="D119" s="8">
        <f t="shared" si="1"/>
        <v>0</v>
      </c>
    </row>
    <row r="120" spans="1:4" ht="18" x14ac:dyDescent="0.3">
      <c r="A120" s="63" t="s">
        <v>120</v>
      </c>
      <c r="B120" s="7">
        <f>2326+825+90+45+120+120+135</f>
        <v>3661</v>
      </c>
      <c r="C120" s="7">
        <v>5000</v>
      </c>
      <c r="D120" s="8">
        <f t="shared" si="1"/>
        <v>18305000</v>
      </c>
    </row>
    <row r="121" spans="1:4" ht="18" hidden="1" x14ac:dyDescent="0.3">
      <c r="A121" s="63" t="s">
        <v>121</v>
      </c>
      <c r="B121" s="7"/>
      <c r="C121" s="7"/>
      <c r="D121" s="8">
        <f t="shared" si="1"/>
        <v>0</v>
      </c>
    </row>
    <row r="122" spans="1:4" ht="18" hidden="1" x14ac:dyDescent="0.3">
      <c r="A122" s="61" t="s">
        <v>122</v>
      </c>
      <c r="B122" s="7"/>
      <c r="C122" s="7"/>
      <c r="D122" s="8">
        <f t="shared" si="1"/>
        <v>0</v>
      </c>
    </row>
    <row r="123" spans="1:4" ht="18" hidden="1" x14ac:dyDescent="0.3">
      <c r="A123" s="74" t="s">
        <v>123</v>
      </c>
      <c r="B123" s="7"/>
      <c r="C123" s="7"/>
      <c r="D123" s="8">
        <f t="shared" si="1"/>
        <v>0</v>
      </c>
    </row>
    <row r="124" spans="1:4" ht="78" hidden="1" x14ac:dyDescent="0.3">
      <c r="A124" s="77" t="s">
        <v>124</v>
      </c>
      <c r="B124" s="7"/>
      <c r="C124" s="7"/>
      <c r="D124" s="8">
        <f t="shared" si="1"/>
        <v>0</v>
      </c>
    </row>
    <row r="125" spans="1:4" ht="18" x14ac:dyDescent="0.3">
      <c r="A125" s="72" t="s">
        <v>125</v>
      </c>
      <c r="B125" s="7">
        <v>6</v>
      </c>
      <c r="C125" s="7">
        <v>9000</v>
      </c>
      <c r="D125" s="8">
        <f t="shared" si="1"/>
        <v>54000</v>
      </c>
    </row>
    <row r="126" spans="1:4" ht="18" hidden="1" x14ac:dyDescent="0.3">
      <c r="A126" s="60" t="s">
        <v>126</v>
      </c>
      <c r="B126" s="12"/>
      <c r="C126" s="12"/>
      <c r="D126" s="8">
        <f t="shared" si="1"/>
        <v>0</v>
      </c>
    </row>
    <row r="127" spans="1:4" ht="18" hidden="1" x14ac:dyDescent="0.3">
      <c r="A127" s="60" t="s">
        <v>127</v>
      </c>
      <c r="B127" s="12"/>
      <c r="C127" s="12"/>
      <c r="D127" s="8">
        <f t="shared" si="1"/>
        <v>0</v>
      </c>
    </row>
    <row r="128" spans="1:4" ht="18" hidden="1" x14ac:dyDescent="0.3">
      <c r="A128" s="60" t="s">
        <v>128</v>
      </c>
      <c r="B128" s="12"/>
      <c r="C128" s="12"/>
      <c r="D128" s="8">
        <f t="shared" si="1"/>
        <v>0</v>
      </c>
    </row>
    <row r="129" spans="1:4" ht="18" hidden="1" x14ac:dyDescent="0.3">
      <c r="A129" s="60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63" t="s">
        <v>130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131</v>
      </c>
      <c r="B131" s="12"/>
      <c r="C131" s="12"/>
      <c r="D131" s="8">
        <f t="shared" si="1"/>
        <v>0</v>
      </c>
    </row>
    <row r="132" spans="1:4" ht="18" hidden="1" x14ac:dyDescent="0.3">
      <c r="A132" s="65" t="s">
        <v>132</v>
      </c>
      <c r="B132" s="7"/>
      <c r="C132" s="7"/>
      <c r="D132" s="8">
        <f t="shared" ref="D132:D195" si="2">B132*C132</f>
        <v>0</v>
      </c>
    </row>
    <row r="133" spans="1:4" ht="18" x14ac:dyDescent="0.3">
      <c r="A133" s="65" t="s">
        <v>133</v>
      </c>
      <c r="B133" s="12">
        <v>0.8</v>
      </c>
      <c r="C133" s="7">
        <v>60000</v>
      </c>
      <c r="D133" s="8">
        <f t="shared" si="2"/>
        <v>48000</v>
      </c>
    </row>
    <row r="134" spans="1:4" ht="18" hidden="1" x14ac:dyDescent="0.3">
      <c r="A134" s="65" t="s">
        <v>134</v>
      </c>
      <c r="B134" s="7"/>
      <c r="C134" s="7"/>
      <c r="D134" s="8">
        <f t="shared" si="2"/>
        <v>0</v>
      </c>
    </row>
    <row r="135" spans="1:4" ht="18" hidden="1" x14ac:dyDescent="0.3">
      <c r="A135" s="63" t="s">
        <v>135</v>
      </c>
      <c r="B135" s="7"/>
      <c r="C135" s="7"/>
      <c r="D135" s="8">
        <f t="shared" si="2"/>
        <v>0</v>
      </c>
    </row>
    <row r="136" spans="1:4" ht="18" hidden="1" x14ac:dyDescent="0.3">
      <c r="A136" s="65" t="s">
        <v>136</v>
      </c>
      <c r="B136" s="7"/>
      <c r="C136" s="7"/>
      <c r="D136" s="8">
        <f t="shared" si="2"/>
        <v>0</v>
      </c>
    </row>
    <row r="137" spans="1:4" ht="18" hidden="1" x14ac:dyDescent="0.3">
      <c r="A137" s="63" t="s">
        <v>137</v>
      </c>
      <c r="B137" s="12"/>
      <c r="C137" s="12"/>
      <c r="D137" s="8">
        <f t="shared" si="2"/>
        <v>0</v>
      </c>
    </row>
    <row r="138" spans="1:4" ht="18" hidden="1" x14ac:dyDescent="0.3">
      <c r="A138" s="60" t="s">
        <v>138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139</v>
      </c>
      <c r="B139" s="7"/>
      <c r="C139" s="7"/>
      <c r="D139" s="8">
        <f t="shared" si="2"/>
        <v>0</v>
      </c>
    </row>
    <row r="140" spans="1:4" ht="18" hidden="1" x14ac:dyDescent="0.3">
      <c r="A140" s="72" t="s">
        <v>140</v>
      </c>
      <c r="B140" s="7"/>
      <c r="C140" s="7"/>
      <c r="D140" s="8">
        <f t="shared" si="2"/>
        <v>0</v>
      </c>
    </row>
    <row r="141" spans="1:4" ht="18" hidden="1" x14ac:dyDescent="0.3">
      <c r="A141" s="60" t="s">
        <v>141</v>
      </c>
      <c r="B141" s="7"/>
      <c r="C141" s="7"/>
      <c r="D141" s="8">
        <f t="shared" si="2"/>
        <v>0</v>
      </c>
    </row>
    <row r="142" spans="1:4" ht="18" x14ac:dyDescent="0.3">
      <c r="A142" s="63" t="s">
        <v>142</v>
      </c>
      <c r="B142" s="7">
        <f>300+50</f>
        <v>350</v>
      </c>
      <c r="C142" s="7">
        <v>27000</v>
      </c>
      <c r="D142" s="8">
        <f t="shared" si="2"/>
        <v>9450000</v>
      </c>
    </row>
    <row r="143" spans="1:4" ht="18" x14ac:dyDescent="0.3">
      <c r="A143" s="73" t="s">
        <v>143</v>
      </c>
      <c r="B143" s="7">
        <f>40+50</f>
        <v>90</v>
      </c>
      <c r="C143" s="7">
        <v>22000</v>
      </c>
      <c r="D143" s="8">
        <f t="shared" si="2"/>
        <v>1980000</v>
      </c>
    </row>
    <row r="144" spans="1:4" ht="18" hidden="1" x14ac:dyDescent="0.3">
      <c r="A144" s="73" t="s">
        <v>144</v>
      </c>
      <c r="B144" s="7"/>
      <c r="C144" s="7"/>
      <c r="D144" s="8">
        <f t="shared" si="2"/>
        <v>0</v>
      </c>
    </row>
    <row r="145" spans="1:4" ht="18" hidden="1" x14ac:dyDescent="0.3">
      <c r="A145" s="63" t="s">
        <v>145</v>
      </c>
      <c r="B145" s="7"/>
      <c r="C145" s="7"/>
      <c r="D145" s="8">
        <f t="shared" si="2"/>
        <v>0</v>
      </c>
    </row>
    <row r="146" spans="1:4" ht="18" x14ac:dyDescent="0.3">
      <c r="A146" s="63" t="s">
        <v>146</v>
      </c>
      <c r="B146" s="7">
        <f>0.8/0.25</f>
        <v>3.2</v>
      </c>
      <c r="C146" s="7">
        <v>7500</v>
      </c>
      <c r="D146" s="8">
        <f t="shared" si="2"/>
        <v>24000</v>
      </c>
    </row>
    <row r="147" spans="1:4" ht="18" hidden="1" x14ac:dyDescent="0.3">
      <c r="A147" s="63" t="s">
        <v>147</v>
      </c>
      <c r="B147" s="7"/>
      <c r="C147" s="7"/>
      <c r="D147" s="8">
        <f t="shared" si="2"/>
        <v>0</v>
      </c>
    </row>
    <row r="148" spans="1:4" ht="18" hidden="1" x14ac:dyDescent="0.3">
      <c r="A148" s="68" t="s">
        <v>148</v>
      </c>
      <c r="B148" s="7"/>
      <c r="C148" s="7"/>
      <c r="D148" s="8">
        <f t="shared" si="2"/>
        <v>0</v>
      </c>
    </row>
    <row r="149" spans="1:4" ht="18" hidden="1" x14ac:dyDescent="0.3">
      <c r="A149" s="68" t="s">
        <v>149</v>
      </c>
      <c r="B149" s="7"/>
      <c r="C149" s="7"/>
      <c r="D149" s="8">
        <f t="shared" si="2"/>
        <v>0</v>
      </c>
    </row>
    <row r="150" spans="1:4" ht="18" hidden="1" x14ac:dyDescent="0.3">
      <c r="A150" s="63" t="s">
        <v>150</v>
      </c>
      <c r="B150" s="7"/>
      <c r="C150" s="7"/>
      <c r="D150" s="8">
        <f t="shared" si="2"/>
        <v>0</v>
      </c>
    </row>
    <row r="151" spans="1:4" ht="18" hidden="1" x14ac:dyDescent="0.3">
      <c r="A151" s="61" t="s">
        <v>151</v>
      </c>
      <c r="B151" s="7"/>
      <c r="C151" s="7"/>
      <c r="D151" s="8">
        <f t="shared" si="2"/>
        <v>0</v>
      </c>
    </row>
    <row r="152" spans="1:4" ht="18" hidden="1" x14ac:dyDescent="0.3">
      <c r="A152" s="67" t="s">
        <v>152</v>
      </c>
      <c r="B152" s="7"/>
      <c r="C152" s="7"/>
      <c r="D152" s="8">
        <f t="shared" si="2"/>
        <v>0</v>
      </c>
    </row>
    <row r="153" spans="1:4" ht="18" hidden="1" x14ac:dyDescent="0.3">
      <c r="A153" s="63" t="s">
        <v>153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154</v>
      </c>
      <c r="B154" s="7"/>
      <c r="C154" s="7"/>
      <c r="D154" s="8">
        <f t="shared" si="2"/>
        <v>0</v>
      </c>
    </row>
    <row r="155" spans="1:4" ht="18" hidden="1" x14ac:dyDescent="0.3">
      <c r="A155" s="63" t="s">
        <v>155</v>
      </c>
      <c r="B155" s="7"/>
      <c r="C155" s="7"/>
      <c r="D155" s="8">
        <f t="shared" si="2"/>
        <v>0</v>
      </c>
    </row>
    <row r="156" spans="1:4" ht="18" hidden="1" x14ac:dyDescent="0.3">
      <c r="A156" s="62" t="s">
        <v>156</v>
      </c>
      <c r="B156" s="7"/>
      <c r="C156" s="7"/>
      <c r="D156" s="8">
        <f t="shared" si="2"/>
        <v>0</v>
      </c>
    </row>
    <row r="157" spans="1:4" ht="18" hidden="1" x14ac:dyDescent="0.3">
      <c r="A157" s="63" t="s">
        <v>157</v>
      </c>
      <c r="B157" s="7"/>
      <c r="C157" s="7"/>
      <c r="D157" s="8">
        <f t="shared" si="2"/>
        <v>0</v>
      </c>
    </row>
    <row r="158" spans="1:4" ht="18" hidden="1" x14ac:dyDescent="0.3">
      <c r="A158" s="63" t="s">
        <v>158</v>
      </c>
      <c r="B158" s="7"/>
      <c r="C158" s="7"/>
      <c r="D158" s="8">
        <f t="shared" si="2"/>
        <v>0</v>
      </c>
    </row>
    <row r="159" spans="1:4" ht="18" hidden="1" x14ac:dyDescent="0.3">
      <c r="A159" s="63" t="s">
        <v>159</v>
      </c>
      <c r="B159" s="7"/>
      <c r="C159" s="7"/>
      <c r="D159" s="8">
        <f t="shared" si="2"/>
        <v>0</v>
      </c>
    </row>
    <row r="160" spans="1:4" ht="18" hidden="1" x14ac:dyDescent="0.3">
      <c r="A160" s="14" t="s">
        <v>160</v>
      </c>
      <c r="B160" s="7"/>
      <c r="C160" s="7"/>
      <c r="D160" s="8">
        <f t="shared" si="2"/>
        <v>0</v>
      </c>
    </row>
    <row r="161" spans="1:4" ht="18" x14ac:dyDescent="0.3">
      <c r="A161" s="63" t="s">
        <v>161</v>
      </c>
      <c r="B161" s="7">
        <v>38</v>
      </c>
      <c r="C161" s="7">
        <v>7000</v>
      </c>
      <c r="D161" s="8">
        <f t="shared" si="2"/>
        <v>266000</v>
      </c>
    </row>
    <row r="162" spans="1:4" ht="18" hidden="1" x14ac:dyDescent="0.3">
      <c r="A162" s="63" t="s">
        <v>162</v>
      </c>
      <c r="B162" s="7"/>
      <c r="C162" s="7"/>
      <c r="D162" s="8">
        <f t="shared" si="2"/>
        <v>0</v>
      </c>
    </row>
    <row r="163" spans="1:4" ht="18" x14ac:dyDescent="0.3">
      <c r="A163" s="63" t="s">
        <v>163</v>
      </c>
      <c r="B163" s="7">
        <f>110+30</f>
        <v>140</v>
      </c>
      <c r="C163" s="7">
        <v>16000</v>
      </c>
      <c r="D163" s="8">
        <f t="shared" si="2"/>
        <v>2240000</v>
      </c>
    </row>
    <row r="164" spans="1:4" ht="18" hidden="1" x14ac:dyDescent="0.3">
      <c r="A164" s="74" t="s">
        <v>164</v>
      </c>
      <c r="B164" s="7"/>
      <c r="C164" s="7"/>
      <c r="D164" s="8">
        <f t="shared" si="2"/>
        <v>0</v>
      </c>
    </row>
    <row r="165" spans="1:4" ht="18" hidden="1" x14ac:dyDescent="0.3">
      <c r="A165" s="63" t="s">
        <v>165</v>
      </c>
      <c r="B165" s="7"/>
      <c r="C165" s="7"/>
      <c r="D165" s="8">
        <f t="shared" si="2"/>
        <v>0</v>
      </c>
    </row>
    <row r="166" spans="1:4" ht="18" hidden="1" x14ac:dyDescent="0.3">
      <c r="A166" s="63" t="s">
        <v>166</v>
      </c>
      <c r="B166" s="7"/>
      <c r="C166" s="7"/>
      <c r="D166" s="8">
        <f t="shared" si="2"/>
        <v>0</v>
      </c>
    </row>
    <row r="167" spans="1:4" ht="18" hidden="1" x14ac:dyDescent="0.3">
      <c r="A167" s="63" t="s">
        <v>167</v>
      </c>
      <c r="B167" s="7"/>
      <c r="C167" s="7"/>
      <c r="D167" s="8">
        <f t="shared" si="2"/>
        <v>0</v>
      </c>
    </row>
    <row r="168" spans="1:4" ht="18" hidden="1" x14ac:dyDescent="0.3">
      <c r="A168" s="74" t="s">
        <v>168</v>
      </c>
      <c r="B168" s="7"/>
      <c r="C168" s="7"/>
      <c r="D168" s="8">
        <f t="shared" si="2"/>
        <v>0</v>
      </c>
    </row>
    <row r="169" spans="1:4" ht="18" hidden="1" x14ac:dyDescent="0.3">
      <c r="A169" s="63" t="s">
        <v>169</v>
      </c>
      <c r="B169" s="7"/>
      <c r="C169" s="7"/>
      <c r="D169" s="8">
        <f t="shared" si="2"/>
        <v>0</v>
      </c>
    </row>
    <row r="170" spans="1:4" ht="18" hidden="1" x14ac:dyDescent="0.3">
      <c r="A170" s="60" t="s">
        <v>170</v>
      </c>
      <c r="B170" s="7"/>
      <c r="C170" s="7"/>
      <c r="D170" s="8">
        <f t="shared" si="2"/>
        <v>0</v>
      </c>
    </row>
    <row r="171" spans="1:4" ht="18" hidden="1" x14ac:dyDescent="0.3">
      <c r="A171" s="63" t="s">
        <v>171</v>
      </c>
      <c r="B171" s="7"/>
      <c r="C171" s="7"/>
      <c r="D171" s="8">
        <f t="shared" si="2"/>
        <v>0</v>
      </c>
    </row>
    <row r="172" spans="1:4" ht="18" hidden="1" x14ac:dyDescent="0.3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">
      <c r="A174" s="61" t="s">
        <v>174</v>
      </c>
      <c r="B174" s="7"/>
      <c r="C174" s="7"/>
      <c r="D174" s="8">
        <f t="shared" si="2"/>
        <v>0</v>
      </c>
    </row>
    <row r="175" spans="1:4" ht="18" x14ac:dyDescent="0.3">
      <c r="A175" s="60" t="s">
        <v>175</v>
      </c>
      <c r="B175" s="7">
        <f>8+7+20</f>
        <v>35</v>
      </c>
      <c r="C175" s="7">
        <v>11000</v>
      </c>
      <c r="D175" s="8">
        <f t="shared" si="2"/>
        <v>385000</v>
      </c>
    </row>
    <row r="176" spans="1:4" ht="18" x14ac:dyDescent="0.3">
      <c r="A176" s="60" t="s">
        <v>176</v>
      </c>
      <c r="B176" s="7">
        <f>200+240</f>
        <v>440</v>
      </c>
      <c r="C176" s="7">
        <v>32000</v>
      </c>
      <c r="D176" s="8">
        <f t="shared" si="2"/>
        <v>14080000</v>
      </c>
    </row>
    <row r="177" spans="1:4" ht="18" hidden="1" x14ac:dyDescent="0.3">
      <c r="A177" s="63" t="s">
        <v>177</v>
      </c>
      <c r="B177" s="7"/>
      <c r="C177" s="7"/>
      <c r="D177" s="8">
        <f t="shared" si="2"/>
        <v>0</v>
      </c>
    </row>
    <row r="178" spans="1:4" ht="18" x14ac:dyDescent="0.3">
      <c r="A178" s="60" t="s">
        <v>178</v>
      </c>
      <c r="B178" s="7">
        <f>150+36+80+15</f>
        <v>281</v>
      </c>
      <c r="C178" s="7">
        <v>32000</v>
      </c>
      <c r="D178" s="8">
        <f t="shared" si="2"/>
        <v>8992000</v>
      </c>
    </row>
    <row r="179" spans="1:4" ht="18" x14ac:dyDescent="0.3">
      <c r="A179" s="60" t="s">
        <v>179</v>
      </c>
      <c r="B179" s="7">
        <f>7+15</f>
        <v>22</v>
      </c>
      <c r="C179" s="7">
        <v>25000</v>
      </c>
      <c r="D179" s="8">
        <f t="shared" si="2"/>
        <v>550000</v>
      </c>
    </row>
    <row r="180" spans="1:4" ht="18" hidden="1" x14ac:dyDescent="0.3">
      <c r="A180" s="60" t="s">
        <v>180</v>
      </c>
      <c r="B180" s="7"/>
      <c r="C180" s="7"/>
      <c r="D180" s="8">
        <f t="shared" si="2"/>
        <v>0</v>
      </c>
    </row>
    <row r="181" spans="1:4" ht="18" hidden="1" x14ac:dyDescent="0.3">
      <c r="A181" s="63" t="s">
        <v>181</v>
      </c>
      <c r="B181" s="7"/>
      <c r="C181" s="7"/>
      <c r="D181" s="8">
        <f t="shared" si="2"/>
        <v>0</v>
      </c>
    </row>
    <row r="182" spans="1:4" ht="18" x14ac:dyDescent="0.3">
      <c r="A182" s="63" t="s">
        <v>182</v>
      </c>
      <c r="B182" s="7">
        <f>12+40</f>
        <v>52</v>
      </c>
      <c r="C182" s="7">
        <v>17000</v>
      </c>
      <c r="D182" s="8">
        <f t="shared" si="2"/>
        <v>884000</v>
      </c>
    </row>
    <row r="183" spans="1:4" ht="18" hidden="1" x14ac:dyDescent="0.3">
      <c r="A183" s="63" t="s">
        <v>183</v>
      </c>
      <c r="B183" s="7"/>
      <c r="C183" s="7"/>
      <c r="D183" s="8">
        <f t="shared" si="2"/>
        <v>0</v>
      </c>
    </row>
    <row r="184" spans="1:4" ht="18" hidden="1" x14ac:dyDescent="0.3">
      <c r="A184" s="63" t="s">
        <v>184</v>
      </c>
      <c r="B184" s="7"/>
      <c r="C184" s="7"/>
      <c r="D184" s="8">
        <f t="shared" si="2"/>
        <v>0</v>
      </c>
    </row>
    <row r="185" spans="1:4" ht="18" hidden="1" x14ac:dyDescent="0.3">
      <c r="A185" s="63" t="s">
        <v>185</v>
      </c>
      <c r="B185" s="7"/>
      <c r="C185" s="7"/>
      <c r="D185" s="8">
        <f t="shared" si="2"/>
        <v>0</v>
      </c>
    </row>
    <row r="186" spans="1:4" ht="18" hidden="1" x14ac:dyDescent="0.3">
      <c r="A186" s="63" t="s">
        <v>186</v>
      </c>
      <c r="B186" s="7"/>
      <c r="C186" s="7"/>
      <c r="D186" s="8">
        <f t="shared" si="2"/>
        <v>0</v>
      </c>
    </row>
    <row r="187" spans="1:4" ht="18" hidden="1" x14ac:dyDescent="0.3">
      <c r="A187" s="63" t="s">
        <v>187</v>
      </c>
      <c r="B187" s="7"/>
      <c r="C187" s="7"/>
      <c r="D187" s="8">
        <f t="shared" si="2"/>
        <v>0</v>
      </c>
    </row>
    <row r="188" spans="1:4" ht="18" x14ac:dyDescent="0.3">
      <c r="A188" s="63" t="s">
        <v>188</v>
      </c>
      <c r="B188" s="7">
        <f>10+4+6</f>
        <v>20</v>
      </c>
      <c r="C188" s="7">
        <v>6000</v>
      </c>
      <c r="D188" s="8">
        <f t="shared" si="2"/>
        <v>120000</v>
      </c>
    </row>
    <row r="189" spans="1:4" ht="18" hidden="1" x14ac:dyDescent="0.3">
      <c r="A189" s="64" t="s">
        <v>189</v>
      </c>
      <c r="B189" s="7"/>
      <c r="C189" s="7"/>
      <c r="D189" s="8">
        <f t="shared" si="2"/>
        <v>0</v>
      </c>
    </row>
    <row r="190" spans="1:4" ht="18" hidden="1" x14ac:dyDescent="0.3">
      <c r="A190" s="70" t="s">
        <v>190</v>
      </c>
      <c r="B190" s="7"/>
      <c r="C190" s="7"/>
      <c r="D190" s="8">
        <f t="shared" si="2"/>
        <v>0</v>
      </c>
    </row>
    <row r="191" spans="1:4" ht="18" hidden="1" x14ac:dyDescent="0.3">
      <c r="A191" s="63" t="s">
        <v>191</v>
      </c>
      <c r="B191" s="7"/>
      <c r="C191" s="7"/>
      <c r="D191" s="8">
        <f t="shared" si="2"/>
        <v>0</v>
      </c>
    </row>
    <row r="192" spans="1:4" ht="18" hidden="1" x14ac:dyDescent="0.3">
      <c r="A192" s="70" t="s">
        <v>308</v>
      </c>
      <c r="B192" s="7"/>
      <c r="C192" s="7"/>
      <c r="D192" s="8">
        <f t="shared" si="2"/>
        <v>0</v>
      </c>
    </row>
    <row r="193" spans="1:4" ht="18" hidden="1" x14ac:dyDescent="0.3">
      <c r="A193" s="63" t="s">
        <v>192</v>
      </c>
      <c r="B193" s="7"/>
      <c r="C193" s="7"/>
      <c r="D193" s="8">
        <f t="shared" si="2"/>
        <v>0</v>
      </c>
    </row>
    <row r="194" spans="1:4" ht="18" hidden="1" x14ac:dyDescent="0.3">
      <c r="A194" s="60" t="s">
        <v>193</v>
      </c>
      <c r="B194" s="7"/>
      <c r="C194" s="7"/>
      <c r="D194" s="8">
        <f t="shared" si="2"/>
        <v>0</v>
      </c>
    </row>
    <row r="195" spans="1:4" ht="18" x14ac:dyDescent="0.3">
      <c r="A195" s="63" t="s">
        <v>194</v>
      </c>
      <c r="B195" s="7">
        <v>16</v>
      </c>
      <c r="C195" s="7">
        <v>9000</v>
      </c>
      <c r="D195" s="8">
        <f t="shared" si="2"/>
        <v>144000</v>
      </c>
    </row>
    <row r="196" spans="1:4" ht="18" hidden="1" x14ac:dyDescent="0.3">
      <c r="A196" s="63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63" t="s">
        <v>196</v>
      </c>
      <c r="B197" s="7"/>
      <c r="C197" s="7"/>
      <c r="D197" s="8">
        <f t="shared" si="3"/>
        <v>0</v>
      </c>
    </row>
    <row r="198" spans="1:4" ht="18" hidden="1" x14ac:dyDescent="0.3">
      <c r="A198" s="62" t="s">
        <v>197</v>
      </c>
      <c r="B198" s="7"/>
      <c r="C198" s="7"/>
      <c r="D198" s="8">
        <f t="shared" si="3"/>
        <v>0</v>
      </c>
    </row>
    <row r="199" spans="1:4" ht="18" hidden="1" x14ac:dyDescent="0.3">
      <c r="A199" s="78" t="s">
        <v>198</v>
      </c>
      <c r="B199" s="7"/>
      <c r="C199" s="7"/>
      <c r="D199" s="8">
        <f t="shared" si="3"/>
        <v>0</v>
      </c>
    </row>
    <row r="200" spans="1:4" ht="18" x14ac:dyDescent="0.3">
      <c r="A200" s="60" t="s">
        <v>199</v>
      </c>
      <c r="B200" s="7">
        <v>7</v>
      </c>
      <c r="C200" s="7">
        <v>9500</v>
      </c>
      <c r="D200" s="8">
        <f t="shared" si="3"/>
        <v>66500</v>
      </c>
    </row>
    <row r="201" spans="1:4" ht="18" hidden="1" x14ac:dyDescent="0.3">
      <c r="A201" s="61" t="s">
        <v>200</v>
      </c>
      <c r="B201" s="7"/>
      <c r="C201" s="7"/>
      <c r="D201" s="8">
        <f t="shared" si="3"/>
        <v>0</v>
      </c>
    </row>
    <row r="202" spans="1:4" ht="18" hidden="1" x14ac:dyDescent="0.3">
      <c r="A202" s="61" t="s">
        <v>201</v>
      </c>
      <c r="B202" s="7"/>
      <c r="C202" s="7"/>
      <c r="D202" s="8">
        <f t="shared" si="3"/>
        <v>0</v>
      </c>
    </row>
    <row r="203" spans="1:4" ht="18" hidden="1" x14ac:dyDescent="0.3">
      <c r="A203" s="61" t="s">
        <v>202</v>
      </c>
      <c r="B203" s="7"/>
      <c r="C203" s="7"/>
      <c r="D203" s="8">
        <f t="shared" si="3"/>
        <v>0</v>
      </c>
    </row>
    <row r="204" spans="1:4" ht="18" hidden="1" x14ac:dyDescent="0.3">
      <c r="A204" s="61" t="s">
        <v>203</v>
      </c>
      <c r="B204" s="7"/>
      <c r="C204" s="7"/>
      <c r="D204" s="8">
        <f t="shared" si="3"/>
        <v>0</v>
      </c>
    </row>
    <row r="205" spans="1:4" ht="18" hidden="1" x14ac:dyDescent="0.3">
      <c r="A205" s="63" t="s">
        <v>204</v>
      </c>
      <c r="B205" s="7"/>
      <c r="C205" s="7"/>
      <c r="D205" s="8">
        <f t="shared" si="3"/>
        <v>0</v>
      </c>
    </row>
    <row r="206" spans="1:4" ht="18" hidden="1" x14ac:dyDescent="0.3">
      <c r="A206" s="63" t="s">
        <v>205</v>
      </c>
      <c r="B206" s="7"/>
      <c r="C206" s="7"/>
      <c r="D206" s="8">
        <f t="shared" si="3"/>
        <v>0</v>
      </c>
    </row>
    <row r="207" spans="1:4" ht="18" hidden="1" x14ac:dyDescent="0.3">
      <c r="A207" s="63" t="s">
        <v>206</v>
      </c>
      <c r="B207" s="7"/>
      <c r="C207" s="7"/>
      <c r="D207" s="8">
        <f t="shared" si="3"/>
        <v>0</v>
      </c>
    </row>
    <row r="208" spans="1:4" ht="18" hidden="1" x14ac:dyDescent="0.3">
      <c r="A208" s="63" t="s">
        <v>207</v>
      </c>
      <c r="B208" s="7"/>
      <c r="C208" s="7"/>
      <c r="D208" s="8">
        <f t="shared" si="3"/>
        <v>0</v>
      </c>
    </row>
    <row r="209" spans="1:4" ht="18" x14ac:dyDescent="0.3">
      <c r="A209" s="60" t="s">
        <v>208</v>
      </c>
      <c r="B209" s="12">
        <v>1.8</v>
      </c>
      <c r="C209" s="7">
        <v>65000</v>
      </c>
      <c r="D209" s="8">
        <f t="shared" si="3"/>
        <v>117000</v>
      </c>
    </row>
    <row r="210" spans="1:4" ht="18" hidden="1" x14ac:dyDescent="0.3">
      <c r="A210" s="60" t="s">
        <v>209</v>
      </c>
      <c r="B210" s="7"/>
      <c r="C210" s="7"/>
      <c r="D210" s="8">
        <f t="shared" si="3"/>
        <v>0</v>
      </c>
    </row>
    <row r="211" spans="1:4" ht="18" hidden="1" x14ac:dyDescent="0.3">
      <c r="A211" s="63" t="s">
        <v>210</v>
      </c>
      <c r="B211" s="7"/>
      <c r="C211" s="7"/>
      <c r="D211" s="8">
        <f t="shared" si="3"/>
        <v>0</v>
      </c>
    </row>
    <row r="212" spans="1:4" ht="18" hidden="1" x14ac:dyDescent="0.3">
      <c r="A212" s="63" t="s">
        <v>211</v>
      </c>
      <c r="B212" s="7"/>
      <c r="C212" s="7"/>
      <c r="D212" s="8">
        <f t="shared" si="3"/>
        <v>0</v>
      </c>
    </row>
    <row r="213" spans="1:4" ht="18" x14ac:dyDescent="0.3">
      <c r="A213" s="63" t="s">
        <v>212</v>
      </c>
      <c r="B213" s="7">
        <v>2</v>
      </c>
      <c r="C213" s="7">
        <v>25000</v>
      </c>
      <c r="D213" s="8">
        <f t="shared" si="3"/>
        <v>50000</v>
      </c>
    </row>
    <row r="214" spans="1:4" ht="18" x14ac:dyDescent="0.3">
      <c r="A214" s="61" t="s">
        <v>213</v>
      </c>
      <c r="B214" s="7">
        <v>3</v>
      </c>
      <c r="C214" s="7">
        <v>28000</v>
      </c>
      <c r="D214" s="8">
        <f t="shared" si="3"/>
        <v>84000</v>
      </c>
    </row>
    <row r="215" spans="1:4" ht="18" hidden="1" x14ac:dyDescent="0.3">
      <c r="A215" s="63" t="s">
        <v>214</v>
      </c>
      <c r="B215" s="7"/>
      <c r="C215" s="7"/>
      <c r="D215" s="8">
        <f t="shared" si="3"/>
        <v>0</v>
      </c>
    </row>
    <row r="216" spans="1:4" ht="18" hidden="1" x14ac:dyDescent="0.3">
      <c r="A216" s="61" t="s">
        <v>215</v>
      </c>
      <c r="B216" s="7"/>
      <c r="C216" s="7"/>
      <c r="D216" s="8">
        <f t="shared" si="3"/>
        <v>0</v>
      </c>
    </row>
    <row r="217" spans="1:4" ht="18" hidden="1" x14ac:dyDescent="0.3">
      <c r="A217" s="63" t="s">
        <v>216</v>
      </c>
      <c r="B217" s="7"/>
      <c r="C217" s="7"/>
      <c r="D217" s="8">
        <f t="shared" si="3"/>
        <v>0</v>
      </c>
    </row>
    <row r="218" spans="1:4" ht="18" hidden="1" x14ac:dyDescent="0.3">
      <c r="A218" s="63" t="s">
        <v>217</v>
      </c>
      <c r="B218" s="7"/>
      <c r="C218" s="7"/>
      <c r="D218" s="8">
        <f t="shared" si="3"/>
        <v>0</v>
      </c>
    </row>
    <row r="219" spans="1:4" ht="18" hidden="1" x14ac:dyDescent="0.3">
      <c r="A219" s="63" t="s">
        <v>218</v>
      </c>
      <c r="B219" s="7"/>
      <c r="C219" s="7"/>
      <c r="D219" s="8">
        <f t="shared" si="3"/>
        <v>0</v>
      </c>
    </row>
    <row r="220" spans="1:4" ht="18" hidden="1" x14ac:dyDescent="0.3">
      <c r="A220" s="63" t="s">
        <v>219</v>
      </c>
      <c r="B220" s="7"/>
      <c r="C220" s="7"/>
      <c r="D220" s="8">
        <f t="shared" si="3"/>
        <v>0</v>
      </c>
    </row>
    <row r="221" spans="1:4" ht="18" hidden="1" x14ac:dyDescent="0.3">
      <c r="A221" s="65" t="s">
        <v>220</v>
      </c>
      <c r="B221" s="7"/>
      <c r="C221" s="7"/>
      <c r="D221" s="8">
        <f t="shared" si="3"/>
        <v>0</v>
      </c>
    </row>
    <row r="222" spans="1:4" ht="18" hidden="1" x14ac:dyDescent="0.3">
      <c r="A222" s="60" t="s">
        <v>221</v>
      </c>
      <c r="B222" s="7"/>
      <c r="C222" s="7"/>
      <c r="D222" s="8">
        <f t="shared" si="3"/>
        <v>0</v>
      </c>
    </row>
    <row r="223" spans="1:4" ht="18" hidden="1" x14ac:dyDescent="0.3">
      <c r="A223" s="63" t="s">
        <v>222</v>
      </c>
      <c r="B223" s="7"/>
      <c r="C223" s="7"/>
      <c r="D223" s="8">
        <f t="shared" si="3"/>
        <v>0</v>
      </c>
    </row>
    <row r="224" spans="1:4" ht="18" hidden="1" x14ac:dyDescent="0.3">
      <c r="A224" s="63" t="s">
        <v>223</v>
      </c>
      <c r="B224" s="7"/>
      <c r="C224" s="7"/>
      <c r="D224" s="8">
        <f t="shared" si="3"/>
        <v>0</v>
      </c>
    </row>
    <row r="225" spans="1:4" ht="18" hidden="1" x14ac:dyDescent="0.3">
      <c r="A225" s="61" t="s">
        <v>224</v>
      </c>
      <c r="B225" s="12"/>
      <c r="C225" s="12"/>
      <c r="D225" s="8">
        <f t="shared" si="3"/>
        <v>0</v>
      </c>
    </row>
    <row r="226" spans="1:4" ht="18" hidden="1" x14ac:dyDescent="0.3">
      <c r="A226" s="61" t="s">
        <v>225</v>
      </c>
      <c r="B226" s="7"/>
      <c r="C226" s="7"/>
      <c r="D226" s="8">
        <f t="shared" si="3"/>
        <v>0</v>
      </c>
    </row>
    <row r="227" spans="1:4" ht="18" hidden="1" x14ac:dyDescent="0.3">
      <c r="A227" s="61" t="s">
        <v>226</v>
      </c>
      <c r="B227" s="12"/>
      <c r="C227" s="12"/>
      <c r="D227" s="8">
        <f t="shared" si="3"/>
        <v>0</v>
      </c>
    </row>
    <row r="228" spans="1:4" ht="18" hidden="1" x14ac:dyDescent="0.3">
      <c r="A228" s="65" t="s">
        <v>227</v>
      </c>
      <c r="B228" s="7"/>
      <c r="C228" s="7"/>
      <c r="D228" s="8">
        <f t="shared" si="3"/>
        <v>0</v>
      </c>
    </row>
    <row r="229" spans="1:4" ht="18" hidden="1" x14ac:dyDescent="0.3">
      <c r="A229" s="64" t="s">
        <v>228</v>
      </c>
      <c r="B229" s="7"/>
      <c r="C229" s="7"/>
      <c r="D229" s="8">
        <f t="shared" si="3"/>
        <v>0</v>
      </c>
    </row>
    <row r="230" spans="1:4" ht="18" hidden="1" x14ac:dyDescent="0.3">
      <c r="A230" s="64" t="s">
        <v>229</v>
      </c>
      <c r="B230" s="7"/>
      <c r="C230" s="7"/>
      <c r="D230" s="8">
        <f t="shared" si="3"/>
        <v>0</v>
      </c>
    </row>
    <row r="231" spans="1:4" ht="18" hidden="1" x14ac:dyDescent="0.3">
      <c r="A231" s="61" t="s">
        <v>230</v>
      </c>
      <c r="B231" s="7"/>
      <c r="C231" s="7"/>
      <c r="D231" s="8">
        <f t="shared" si="3"/>
        <v>0</v>
      </c>
    </row>
    <row r="232" spans="1:4" ht="18" x14ac:dyDescent="0.3">
      <c r="A232" s="63" t="s">
        <v>231</v>
      </c>
      <c r="B232" s="7">
        <f>5+9</f>
        <v>14</v>
      </c>
      <c r="C232" s="7">
        <v>17000</v>
      </c>
      <c r="D232" s="8">
        <f t="shared" si="3"/>
        <v>238000</v>
      </c>
    </row>
    <row r="233" spans="1:4" ht="18" hidden="1" x14ac:dyDescent="0.3">
      <c r="A233" s="63" t="s">
        <v>232</v>
      </c>
      <c r="B233" s="7"/>
      <c r="C233" s="7"/>
      <c r="D233" s="8">
        <f t="shared" si="3"/>
        <v>0</v>
      </c>
    </row>
    <row r="234" spans="1:4" ht="18" hidden="1" x14ac:dyDescent="0.3">
      <c r="A234" s="65" t="s">
        <v>233</v>
      </c>
      <c r="B234" s="7"/>
      <c r="C234" s="7"/>
      <c r="D234" s="8">
        <f t="shared" si="3"/>
        <v>0</v>
      </c>
    </row>
    <row r="235" spans="1:4" ht="18" hidden="1" x14ac:dyDescent="0.3">
      <c r="A235" s="60" t="s">
        <v>234</v>
      </c>
      <c r="B235" s="7"/>
      <c r="C235" s="7"/>
      <c r="D235" s="8">
        <f t="shared" si="3"/>
        <v>0</v>
      </c>
    </row>
    <row r="236" spans="1:4" ht="18" hidden="1" x14ac:dyDescent="0.3">
      <c r="A236" s="63" t="s">
        <v>235</v>
      </c>
      <c r="B236" s="7"/>
      <c r="C236" s="7"/>
      <c r="D236" s="8">
        <f t="shared" si="3"/>
        <v>0</v>
      </c>
    </row>
    <row r="237" spans="1:4" ht="18" hidden="1" x14ac:dyDescent="0.3">
      <c r="A237" s="63" t="s">
        <v>236</v>
      </c>
      <c r="B237" s="7"/>
      <c r="C237" s="7"/>
      <c r="D237" s="8">
        <f t="shared" si="3"/>
        <v>0</v>
      </c>
    </row>
    <row r="238" spans="1:4" ht="18" hidden="1" x14ac:dyDescent="0.3">
      <c r="A238" s="64" t="s">
        <v>237</v>
      </c>
      <c r="B238" s="7"/>
      <c r="C238" s="7"/>
      <c r="D238" s="8">
        <f t="shared" si="3"/>
        <v>0</v>
      </c>
    </row>
    <row r="239" spans="1:4" ht="18" hidden="1" x14ac:dyDescent="0.3">
      <c r="A239" s="63" t="s">
        <v>238</v>
      </c>
      <c r="B239" s="7"/>
      <c r="C239" s="7"/>
      <c r="D239" s="8">
        <f t="shared" si="3"/>
        <v>0</v>
      </c>
    </row>
    <row r="240" spans="1:4" ht="18" hidden="1" x14ac:dyDescent="0.3">
      <c r="A240" s="63" t="s">
        <v>239</v>
      </c>
      <c r="B240" s="7"/>
      <c r="C240" s="7"/>
      <c r="D240" s="8">
        <f t="shared" si="3"/>
        <v>0</v>
      </c>
    </row>
    <row r="241" spans="1:4" ht="18" hidden="1" x14ac:dyDescent="0.3">
      <c r="A241" s="63" t="s">
        <v>240</v>
      </c>
      <c r="B241" s="7"/>
      <c r="C241" s="7"/>
      <c r="D241" s="8">
        <f t="shared" si="3"/>
        <v>0</v>
      </c>
    </row>
    <row r="242" spans="1:4" ht="18" hidden="1" x14ac:dyDescent="0.3">
      <c r="A242" s="63" t="s">
        <v>241</v>
      </c>
      <c r="B242" s="7"/>
      <c r="C242" s="7"/>
      <c r="D242" s="8">
        <f t="shared" si="3"/>
        <v>0</v>
      </c>
    </row>
    <row r="243" spans="1:4" ht="18" hidden="1" x14ac:dyDescent="0.3">
      <c r="A243" s="64" t="s">
        <v>242</v>
      </c>
      <c r="B243" s="7"/>
      <c r="C243" s="7"/>
      <c r="D243" s="8">
        <f t="shared" si="3"/>
        <v>0</v>
      </c>
    </row>
    <row r="244" spans="1:4" ht="18" hidden="1" x14ac:dyDescent="0.3">
      <c r="A244" s="63" t="s">
        <v>243</v>
      </c>
      <c r="B244" s="7"/>
      <c r="C244" s="7"/>
      <c r="D244" s="8">
        <f t="shared" si="3"/>
        <v>0</v>
      </c>
    </row>
    <row r="245" spans="1:4" ht="18" hidden="1" x14ac:dyDescent="0.3">
      <c r="A245" s="63" t="s">
        <v>244</v>
      </c>
      <c r="B245" s="7"/>
      <c r="C245" s="7"/>
      <c r="D245" s="8">
        <f t="shared" si="3"/>
        <v>0</v>
      </c>
    </row>
    <row r="246" spans="1:4" ht="18" hidden="1" x14ac:dyDescent="0.3">
      <c r="A246" s="64" t="s">
        <v>245</v>
      </c>
      <c r="B246" s="7"/>
      <c r="C246" s="7"/>
      <c r="D246" s="8">
        <f t="shared" si="3"/>
        <v>0</v>
      </c>
    </row>
    <row r="247" spans="1:4" ht="18" hidden="1" x14ac:dyDescent="0.3">
      <c r="A247" s="64" t="s">
        <v>246</v>
      </c>
      <c r="B247" s="7"/>
      <c r="C247" s="7"/>
      <c r="D247" s="8">
        <f t="shared" si="3"/>
        <v>0</v>
      </c>
    </row>
    <row r="248" spans="1:4" ht="18" hidden="1" x14ac:dyDescent="0.3">
      <c r="A248" s="79" t="s">
        <v>247</v>
      </c>
      <c r="B248" s="7"/>
      <c r="C248" s="7"/>
      <c r="D248" s="8">
        <f t="shared" si="3"/>
        <v>0</v>
      </c>
    </row>
    <row r="249" spans="1:4" ht="18" hidden="1" x14ac:dyDescent="0.3">
      <c r="A249" s="79" t="s">
        <v>248</v>
      </c>
      <c r="B249" s="7"/>
      <c r="C249" s="7"/>
      <c r="D249" s="8">
        <f t="shared" si="3"/>
        <v>0</v>
      </c>
    </row>
    <row r="250" spans="1:4" ht="18" hidden="1" x14ac:dyDescent="0.3">
      <c r="A250" s="64" t="s">
        <v>249</v>
      </c>
      <c r="B250" s="7"/>
      <c r="C250" s="7"/>
      <c r="D250" s="8">
        <f t="shared" si="3"/>
        <v>0</v>
      </c>
    </row>
    <row r="251" spans="1:4" ht="18" hidden="1" x14ac:dyDescent="0.3">
      <c r="A251" s="79" t="s">
        <v>250</v>
      </c>
      <c r="B251" s="7"/>
      <c r="C251" s="7"/>
      <c r="D251" s="8">
        <f t="shared" si="3"/>
        <v>0</v>
      </c>
    </row>
    <row r="252" spans="1:4" ht="18" hidden="1" x14ac:dyDescent="0.3">
      <c r="A252" s="79" t="s">
        <v>251</v>
      </c>
      <c r="B252" s="7"/>
      <c r="C252" s="7"/>
      <c r="D252" s="8">
        <f t="shared" si="3"/>
        <v>0</v>
      </c>
    </row>
    <row r="253" spans="1:4" ht="18" hidden="1" x14ac:dyDescent="0.3">
      <c r="A253" s="79" t="s">
        <v>252</v>
      </c>
      <c r="B253" s="7"/>
      <c r="C253" s="7"/>
      <c r="D253" s="8">
        <f t="shared" si="3"/>
        <v>0</v>
      </c>
    </row>
    <row r="254" spans="1:4" ht="18" hidden="1" x14ac:dyDescent="0.3">
      <c r="A254" s="63" t="s">
        <v>253</v>
      </c>
      <c r="B254" s="7"/>
      <c r="C254" s="7"/>
      <c r="D254" s="8">
        <f t="shared" si="3"/>
        <v>0</v>
      </c>
    </row>
    <row r="255" spans="1:4" ht="18" hidden="1" x14ac:dyDescent="0.3">
      <c r="A255" s="63" t="s">
        <v>254</v>
      </c>
      <c r="B255" s="7"/>
      <c r="C255" s="7"/>
      <c r="D255" s="8">
        <f t="shared" si="3"/>
        <v>0</v>
      </c>
    </row>
    <row r="256" spans="1:4" ht="18" hidden="1" x14ac:dyDescent="0.3">
      <c r="A256" s="63" t="s">
        <v>255</v>
      </c>
      <c r="B256" s="7"/>
      <c r="C256" s="7"/>
      <c r="D256" s="8">
        <f t="shared" si="3"/>
        <v>0</v>
      </c>
    </row>
    <row r="257" spans="1:4" ht="18" hidden="1" x14ac:dyDescent="0.3">
      <c r="A257" s="63" t="s">
        <v>256</v>
      </c>
      <c r="B257" s="7"/>
      <c r="C257" s="7"/>
      <c r="D257" s="8">
        <f t="shared" si="3"/>
        <v>0</v>
      </c>
    </row>
    <row r="258" spans="1:4" ht="18" hidden="1" x14ac:dyDescent="0.3">
      <c r="A258" s="63" t="s">
        <v>257</v>
      </c>
      <c r="B258" s="7"/>
      <c r="C258" s="7"/>
      <c r="D258" s="8">
        <f t="shared" si="3"/>
        <v>0</v>
      </c>
    </row>
    <row r="259" spans="1:4" ht="18" hidden="1" x14ac:dyDescent="0.3">
      <c r="A259" s="63" t="s">
        <v>258</v>
      </c>
      <c r="B259" s="7"/>
      <c r="C259" s="7"/>
      <c r="D259" s="8">
        <f t="shared" si="3"/>
        <v>0</v>
      </c>
    </row>
    <row r="260" spans="1:4" ht="18" hidden="1" x14ac:dyDescent="0.3">
      <c r="A260" s="63" t="s">
        <v>259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5" t="s">
        <v>260</v>
      </c>
      <c r="B261" s="7"/>
      <c r="C261" s="7"/>
      <c r="D261" s="8">
        <f t="shared" si="4"/>
        <v>0</v>
      </c>
    </row>
    <row r="262" spans="1:4" ht="18" hidden="1" x14ac:dyDescent="0.3">
      <c r="A262" s="63" t="s">
        <v>261</v>
      </c>
      <c r="B262" s="7"/>
      <c r="C262" s="7"/>
      <c r="D262" s="8">
        <f t="shared" si="4"/>
        <v>0</v>
      </c>
    </row>
    <row r="263" spans="1:4" ht="18" hidden="1" x14ac:dyDescent="0.3">
      <c r="A263" s="63" t="s">
        <v>262</v>
      </c>
      <c r="B263" s="7"/>
      <c r="C263" s="7"/>
      <c r="D263" s="8">
        <f t="shared" si="4"/>
        <v>0</v>
      </c>
    </row>
    <row r="264" spans="1:4" ht="18" x14ac:dyDescent="0.3">
      <c r="A264" s="63" t="s">
        <v>263</v>
      </c>
      <c r="B264" s="7">
        <f>90+34+25</f>
        <v>149</v>
      </c>
      <c r="C264" s="7">
        <v>8000</v>
      </c>
      <c r="D264" s="8">
        <f t="shared" si="4"/>
        <v>1192000</v>
      </c>
    </row>
    <row r="265" spans="1:4" ht="18" hidden="1" x14ac:dyDescent="0.3">
      <c r="A265" s="63" t="s">
        <v>264</v>
      </c>
      <c r="B265" s="7"/>
      <c r="C265" s="7"/>
      <c r="D265" s="8">
        <f t="shared" si="4"/>
        <v>0</v>
      </c>
    </row>
    <row r="266" spans="1:4" ht="18" hidden="1" x14ac:dyDescent="0.3">
      <c r="A266" s="63" t="s">
        <v>265</v>
      </c>
      <c r="B266" s="7"/>
      <c r="C266" s="7"/>
      <c r="D266" s="8">
        <f t="shared" si="4"/>
        <v>0</v>
      </c>
    </row>
    <row r="267" spans="1:4" ht="18" hidden="1" x14ac:dyDescent="0.3">
      <c r="A267" s="63" t="s">
        <v>266</v>
      </c>
      <c r="B267" s="7"/>
      <c r="C267" s="7"/>
      <c r="D267" s="8">
        <f t="shared" si="4"/>
        <v>0</v>
      </c>
    </row>
    <row r="268" spans="1:4" ht="18" hidden="1" x14ac:dyDescent="0.3">
      <c r="A268" s="63" t="s">
        <v>267</v>
      </c>
      <c r="B268" s="7"/>
      <c r="C268" s="7"/>
      <c r="D268" s="8">
        <f t="shared" si="4"/>
        <v>0</v>
      </c>
    </row>
    <row r="269" spans="1:4" ht="18" hidden="1" x14ac:dyDescent="0.3">
      <c r="A269" s="74" t="s">
        <v>268</v>
      </c>
      <c r="B269" s="7"/>
      <c r="C269" s="7"/>
      <c r="D269" s="8">
        <f t="shared" si="4"/>
        <v>0</v>
      </c>
    </row>
    <row r="270" spans="1:4" ht="18" x14ac:dyDescent="0.3">
      <c r="A270" s="63" t="s">
        <v>269</v>
      </c>
      <c r="B270" s="7">
        <v>27</v>
      </c>
      <c r="C270" s="7">
        <v>23000</v>
      </c>
      <c r="D270" s="8">
        <f t="shared" si="4"/>
        <v>621000</v>
      </c>
    </row>
    <row r="271" spans="1:4" ht="18" hidden="1" x14ac:dyDescent="0.3">
      <c r="A271" s="63" t="s">
        <v>270</v>
      </c>
      <c r="B271" s="7"/>
      <c r="C271" s="7"/>
      <c r="D271" s="8">
        <f t="shared" si="4"/>
        <v>0</v>
      </c>
    </row>
    <row r="272" spans="1:4" ht="18" hidden="1" x14ac:dyDescent="0.3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">
      <c r="A273" s="60" t="s">
        <v>272</v>
      </c>
      <c r="B273" s="12"/>
      <c r="C273" s="7"/>
      <c r="D273" s="8">
        <f t="shared" si="4"/>
        <v>0</v>
      </c>
    </row>
    <row r="274" spans="1:4" ht="18" x14ac:dyDescent="0.3">
      <c r="A274" s="63" t="s">
        <v>273</v>
      </c>
      <c r="B274" s="7">
        <v>7</v>
      </c>
      <c r="C274" s="7">
        <v>6000</v>
      </c>
      <c r="D274" s="8">
        <f t="shared" si="4"/>
        <v>42000</v>
      </c>
    </row>
    <row r="275" spans="1:4" ht="18" hidden="1" x14ac:dyDescent="0.3">
      <c r="A275" s="63" t="s">
        <v>274</v>
      </c>
      <c r="B275" s="7"/>
      <c r="C275" s="7"/>
      <c r="D275" s="8">
        <f t="shared" si="4"/>
        <v>0</v>
      </c>
    </row>
    <row r="276" spans="1:4" ht="18" hidden="1" x14ac:dyDescent="0.3">
      <c r="A276" s="63" t="s">
        <v>275</v>
      </c>
      <c r="B276" s="7"/>
      <c r="C276" s="7"/>
      <c r="D276" s="8">
        <f t="shared" si="4"/>
        <v>0</v>
      </c>
    </row>
    <row r="277" spans="1:4" ht="18" hidden="1" x14ac:dyDescent="0.3">
      <c r="A277" s="65" t="s">
        <v>92</v>
      </c>
      <c r="B277" s="7"/>
      <c r="C277" s="7"/>
      <c r="D277" s="8">
        <f t="shared" si="4"/>
        <v>0</v>
      </c>
    </row>
    <row r="278" spans="1:4" ht="18" hidden="1" x14ac:dyDescent="0.3">
      <c r="A278" s="63" t="s">
        <v>276</v>
      </c>
      <c r="B278" s="7"/>
      <c r="C278" s="7"/>
      <c r="D278" s="8">
        <f t="shared" si="4"/>
        <v>0</v>
      </c>
    </row>
    <row r="279" spans="1:4" ht="18" x14ac:dyDescent="0.3">
      <c r="A279" s="72" t="s">
        <v>277</v>
      </c>
      <c r="B279" s="7">
        <v>5</v>
      </c>
      <c r="C279" s="7">
        <v>3500</v>
      </c>
      <c r="D279" s="8">
        <f t="shared" si="4"/>
        <v>17500</v>
      </c>
    </row>
    <row r="280" spans="1:4" ht="18" hidden="1" x14ac:dyDescent="0.3">
      <c r="A280" s="61" t="s">
        <v>278</v>
      </c>
      <c r="B280" s="7"/>
      <c r="C280" s="7"/>
      <c r="D280" s="8">
        <f t="shared" si="4"/>
        <v>0</v>
      </c>
    </row>
    <row r="281" spans="1:4" ht="18" hidden="1" x14ac:dyDescent="0.3">
      <c r="A281" s="63" t="s">
        <v>279</v>
      </c>
      <c r="B281" s="7"/>
      <c r="C281" s="7"/>
      <c r="D281" s="8">
        <f t="shared" si="4"/>
        <v>0</v>
      </c>
    </row>
    <row r="282" spans="1:4" ht="18" hidden="1" x14ac:dyDescent="0.3">
      <c r="A282" s="63" t="s">
        <v>280</v>
      </c>
      <c r="B282" s="7"/>
      <c r="C282" s="7"/>
      <c r="D282" s="8">
        <f t="shared" si="4"/>
        <v>0</v>
      </c>
    </row>
    <row r="283" spans="1:4" ht="18" hidden="1" x14ac:dyDescent="0.3">
      <c r="A283" s="63" t="s">
        <v>281</v>
      </c>
      <c r="B283" s="7"/>
      <c r="C283" s="7"/>
      <c r="D283" s="8">
        <f t="shared" si="4"/>
        <v>0</v>
      </c>
    </row>
    <row r="284" spans="1:4" ht="18" x14ac:dyDescent="0.3">
      <c r="A284" s="63" t="s">
        <v>282</v>
      </c>
      <c r="B284" s="7">
        <v>10</v>
      </c>
      <c r="C284" s="7">
        <v>6500</v>
      </c>
      <c r="D284" s="8">
        <f t="shared" si="4"/>
        <v>65000</v>
      </c>
    </row>
    <row r="285" spans="1:4" ht="18" hidden="1" x14ac:dyDescent="0.3">
      <c r="A285" s="60" t="s">
        <v>283</v>
      </c>
      <c r="B285" s="7"/>
      <c r="C285" s="7"/>
      <c r="D285" s="8">
        <f t="shared" si="4"/>
        <v>0</v>
      </c>
    </row>
    <row r="286" spans="1:4" ht="18" hidden="1" x14ac:dyDescent="0.3">
      <c r="A286" s="63" t="s">
        <v>313</v>
      </c>
      <c r="B286" s="7"/>
      <c r="C286" s="7"/>
      <c r="D286" s="8">
        <f t="shared" si="4"/>
        <v>0</v>
      </c>
    </row>
    <row r="287" spans="1:4" ht="18" hidden="1" x14ac:dyDescent="0.3">
      <c r="A287" s="61" t="s">
        <v>314</v>
      </c>
      <c r="B287" s="7"/>
      <c r="C287" s="7"/>
      <c r="D287" s="8">
        <f t="shared" si="4"/>
        <v>0</v>
      </c>
    </row>
    <row r="288" spans="1:4" ht="18" hidden="1" x14ac:dyDescent="0.3">
      <c r="A288" s="61" t="s">
        <v>315</v>
      </c>
      <c r="B288" s="7"/>
      <c r="C288" s="7"/>
      <c r="D288" s="8">
        <f t="shared" si="4"/>
        <v>0</v>
      </c>
    </row>
    <row r="289" spans="1:4" ht="18" hidden="1" x14ac:dyDescent="0.3">
      <c r="A289" s="63" t="s">
        <v>284</v>
      </c>
      <c r="B289" s="7"/>
      <c r="C289" s="7"/>
      <c r="D289" s="8">
        <f t="shared" si="4"/>
        <v>0</v>
      </c>
    </row>
    <row r="290" spans="1:4" ht="18" hidden="1" x14ac:dyDescent="0.3">
      <c r="A290" s="61" t="s">
        <v>285</v>
      </c>
      <c r="B290" s="7"/>
      <c r="C290" s="7"/>
      <c r="D290" s="8">
        <f t="shared" si="4"/>
        <v>0</v>
      </c>
    </row>
    <row r="291" spans="1:4" ht="18" hidden="1" x14ac:dyDescent="0.3">
      <c r="A291" s="61" t="s">
        <v>286</v>
      </c>
      <c r="B291" s="7"/>
      <c r="C291" s="7"/>
      <c r="D291" s="8">
        <f t="shared" si="4"/>
        <v>0</v>
      </c>
    </row>
    <row r="292" spans="1:4" ht="18" hidden="1" x14ac:dyDescent="0.3">
      <c r="A292" s="61" t="s">
        <v>287</v>
      </c>
      <c r="B292" s="7"/>
      <c r="C292" s="7"/>
      <c r="D292" s="8">
        <f t="shared" si="4"/>
        <v>0</v>
      </c>
    </row>
    <row r="293" spans="1:4" ht="18" hidden="1" x14ac:dyDescent="0.3">
      <c r="A293" s="63" t="s">
        <v>288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7505.8</v>
      </c>
      <c r="C294" s="32"/>
      <c r="D294" s="32">
        <f t="shared" si="5"/>
        <v>96309000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G58" sqref="G58"/>
    </sheetView>
  </sheetViews>
  <sheetFormatPr defaultRowHeight="14.4" x14ac:dyDescent="0.3"/>
  <cols>
    <col min="1" max="1" width="31.6640625" customWidth="1"/>
    <col min="2" max="2" width="10" customWidth="1"/>
    <col min="3" max="3" width="14.6640625" customWidth="1"/>
    <col min="4" max="4" width="18.5546875" customWidth="1"/>
  </cols>
  <sheetData>
    <row r="1" spans="1:4" x14ac:dyDescent="0.3">
      <c r="A1" s="57" t="s">
        <v>318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">
      <c r="A3" s="70" t="s">
        <v>72</v>
      </c>
      <c r="B3" s="7"/>
      <c r="C3" s="7"/>
      <c r="D3" s="8">
        <f>B3*C3</f>
        <v>0</v>
      </c>
    </row>
    <row r="4" spans="1:4" ht="18" hidden="1" x14ac:dyDescent="0.3">
      <c r="A4" s="71" t="s">
        <v>73</v>
      </c>
      <c r="B4" s="7"/>
      <c r="C4" s="7"/>
      <c r="D4" s="8">
        <f t="shared" ref="D4:D67" si="0">B4*C4</f>
        <v>0</v>
      </c>
    </row>
    <row r="5" spans="1:4" ht="18" hidden="1" x14ac:dyDescent="0.3">
      <c r="A5" s="70" t="s">
        <v>74</v>
      </c>
      <c r="B5" s="7"/>
      <c r="C5" s="7"/>
      <c r="D5" s="8">
        <f t="shared" si="0"/>
        <v>0</v>
      </c>
    </row>
    <row r="6" spans="1:4" ht="18" hidden="1" x14ac:dyDescent="0.3">
      <c r="A6" s="70" t="s">
        <v>190</v>
      </c>
      <c r="B6" s="7"/>
      <c r="C6" s="7"/>
      <c r="D6" s="8">
        <f t="shared" si="0"/>
        <v>0</v>
      </c>
    </row>
    <row r="7" spans="1:4" ht="18" hidden="1" x14ac:dyDescent="0.3">
      <c r="A7" s="63" t="s">
        <v>191</v>
      </c>
      <c r="B7" s="7"/>
      <c r="C7" s="7"/>
      <c r="D7" s="8">
        <f t="shared" si="0"/>
        <v>0</v>
      </c>
    </row>
    <row r="8" spans="1:4" ht="18" hidden="1" x14ac:dyDescent="0.3">
      <c r="A8" s="70" t="s">
        <v>308</v>
      </c>
      <c r="B8" s="7"/>
      <c r="C8" s="7"/>
      <c r="D8" s="8">
        <f t="shared" si="0"/>
        <v>0</v>
      </c>
    </row>
    <row r="9" spans="1:4" ht="18" hidden="1" x14ac:dyDescent="0.3">
      <c r="A9" s="63" t="s">
        <v>49</v>
      </c>
      <c r="B9" s="7"/>
      <c r="C9" s="7"/>
      <c r="D9" s="8">
        <f t="shared" si="0"/>
        <v>0</v>
      </c>
    </row>
    <row r="10" spans="1:4" ht="18" hidden="1" x14ac:dyDescent="0.3">
      <c r="A10" s="63" t="s">
        <v>50</v>
      </c>
      <c r="B10" s="7"/>
      <c r="C10" s="7"/>
      <c r="D10" s="8">
        <f t="shared" si="0"/>
        <v>0</v>
      </c>
    </row>
    <row r="11" spans="1:4" ht="18" hidden="1" x14ac:dyDescent="0.3">
      <c r="A11" s="60" t="s">
        <v>51</v>
      </c>
      <c r="B11" s="7"/>
      <c r="C11" s="7"/>
      <c r="D11" s="8">
        <f t="shared" si="0"/>
        <v>0</v>
      </c>
    </row>
    <row r="12" spans="1:4" ht="18" x14ac:dyDescent="0.3">
      <c r="A12" s="60" t="s">
        <v>199</v>
      </c>
      <c r="B12" s="7">
        <v>6</v>
      </c>
      <c r="C12" s="7">
        <v>9500</v>
      </c>
      <c r="D12" s="8">
        <f t="shared" si="0"/>
        <v>57000</v>
      </c>
    </row>
    <row r="13" spans="1:4" ht="18" hidden="1" x14ac:dyDescent="0.3">
      <c r="A13" s="63" t="s">
        <v>117</v>
      </c>
      <c r="B13" s="7"/>
      <c r="C13" s="7"/>
      <c r="D13" s="8">
        <f t="shared" si="0"/>
        <v>0</v>
      </c>
    </row>
    <row r="14" spans="1:4" ht="18" hidden="1" x14ac:dyDescent="0.3">
      <c r="A14" s="63" t="s">
        <v>276</v>
      </c>
      <c r="B14" s="7"/>
      <c r="C14" s="7"/>
      <c r="D14" s="8">
        <f t="shared" si="0"/>
        <v>0</v>
      </c>
    </row>
    <row r="15" spans="1:4" ht="18" x14ac:dyDescent="0.3">
      <c r="A15" s="72" t="s">
        <v>277</v>
      </c>
      <c r="B15" s="7">
        <v>20</v>
      </c>
      <c r="C15" s="7">
        <v>3500</v>
      </c>
      <c r="D15" s="8">
        <f t="shared" si="0"/>
        <v>70000</v>
      </c>
    </row>
    <row r="16" spans="1:4" ht="18" hidden="1" x14ac:dyDescent="0.3">
      <c r="A16" s="61" t="s">
        <v>278</v>
      </c>
      <c r="B16" s="7"/>
      <c r="C16" s="7"/>
      <c r="D16" s="8">
        <f t="shared" si="0"/>
        <v>0</v>
      </c>
    </row>
    <row r="17" spans="1:4" ht="18" x14ac:dyDescent="0.3">
      <c r="A17" s="63" t="s">
        <v>120</v>
      </c>
      <c r="B17" s="7">
        <f>360+75+460</f>
        <v>895</v>
      </c>
      <c r="C17" s="7">
        <v>5000</v>
      </c>
      <c r="D17" s="8">
        <f t="shared" si="0"/>
        <v>4475000</v>
      </c>
    </row>
    <row r="18" spans="1:4" ht="18" hidden="1" x14ac:dyDescent="0.3">
      <c r="A18" s="60" t="s">
        <v>59</v>
      </c>
      <c r="B18" s="7"/>
      <c r="C18" s="7"/>
      <c r="D18" s="8">
        <f t="shared" si="0"/>
        <v>0</v>
      </c>
    </row>
    <row r="19" spans="1:4" ht="18" hidden="1" x14ac:dyDescent="0.3">
      <c r="A19" s="60" t="s">
        <v>60</v>
      </c>
      <c r="B19" s="7"/>
      <c r="C19" s="7"/>
      <c r="D19" s="8">
        <f t="shared" si="0"/>
        <v>0</v>
      </c>
    </row>
    <row r="20" spans="1:4" ht="18" x14ac:dyDescent="0.3">
      <c r="A20" s="63" t="s">
        <v>262</v>
      </c>
      <c r="B20" s="7">
        <v>5</v>
      </c>
      <c r="C20" s="7">
        <v>10000</v>
      </c>
      <c r="D20" s="8">
        <f t="shared" si="0"/>
        <v>50000</v>
      </c>
    </row>
    <row r="21" spans="1:4" ht="18" x14ac:dyDescent="0.3">
      <c r="A21" s="63" t="s">
        <v>263</v>
      </c>
      <c r="B21" s="7">
        <f>60+30+40</f>
        <v>130</v>
      </c>
      <c r="C21" s="7">
        <v>8000</v>
      </c>
      <c r="D21" s="8">
        <f t="shared" si="0"/>
        <v>1040000</v>
      </c>
    </row>
    <row r="22" spans="1:4" ht="18" hidden="1" x14ac:dyDescent="0.3">
      <c r="A22" s="63" t="s">
        <v>264</v>
      </c>
      <c r="B22" s="7"/>
      <c r="C22" s="7"/>
      <c r="D22" s="8">
        <f t="shared" si="0"/>
        <v>0</v>
      </c>
    </row>
    <row r="23" spans="1:4" ht="18" hidden="1" x14ac:dyDescent="0.3">
      <c r="A23" s="63" t="s">
        <v>265</v>
      </c>
      <c r="B23" s="7"/>
      <c r="C23" s="7"/>
      <c r="D23" s="8">
        <f t="shared" si="0"/>
        <v>0</v>
      </c>
    </row>
    <row r="24" spans="1:4" ht="18" hidden="1" x14ac:dyDescent="0.3">
      <c r="A24" s="63" t="s">
        <v>63</v>
      </c>
      <c r="B24" s="7"/>
      <c r="C24" s="7"/>
      <c r="D24" s="8">
        <f t="shared" si="0"/>
        <v>0</v>
      </c>
    </row>
    <row r="25" spans="1:4" ht="18" x14ac:dyDescent="0.3">
      <c r="A25" s="60" t="s">
        <v>64</v>
      </c>
      <c r="B25" s="7">
        <v>20</v>
      </c>
      <c r="C25" s="7">
        <v>12000</v>
      </c>
      <c r="D25" s="8">
        <f t="shared" si="0"/>
        <v>240000</v>
      </c>
    </row>
    <row r="26" spans="1:4" ht="18" hidden="1" x14ac:dyDescent="0.3">
      <c r="A26" s="60" t="s">
        <v>65</v>
      </c>
      <c r="B26" s="7"/>
      <c r="C26" s="7"/>
      <c r="D26" s="8">
        <f t="shared" si="0"/>
        <v>0</v>
      </c>
    </row>
    <row r="27" spans="1:4" ht="18" hidden="1" x14ac:dyDescent="0.3">
      <c r="A27" s="63" t="s">
        <v>222</v>
      </c>
      <c r="B27" s="7"/>
      <c r="C27" s="7"/>
      <c r="D27" s="8">
        <f t="shared" si="0"/>
        <v>0</v>
      </c>
    </row>
    <row r="28" spans="1:4" ht="18" hidden="1" x14ac:dyDescent="0.3">
      <c r="A28" s="63" t="s">
        <v>223</v>
      </c>
      <c r="B28" s="7"/>
      <c r="C28" s="7"/>
      <c r="D28" s="8">
        <f t="shared" si="0"/>
        <v>0</v>
      </c>
    </row>
    <row r="29" spans="1:4" ht="18" hidden="1" x14ac:dyDescent="0.3">
      <c r="A29" s="61" t="s">
        <v>224</v>
      </c>
      <c r="B29" s="12"/>
      <c r="C29" s="12"/>
      <c r="D29" s="8">
        <f t="shared" si="0"/>
        <v>0</v>
      </c>
    </row>
    <row r="30" spans="1:4" ht="18" hidden="1" x14ac:dyDescent="0.3">
      <c r="A30" s="61" t="s">
        <v>225</v>
      </c>
      <c r="B30" s="7"/>
      <c r="C30" s="7"/>
      <c r="D30" s="8">
        <f t="shared" si="0"/>
        <v>0</v>
      </c>
    </row>
    <row r="31" spans="1:4" ht="18" hidden="1" x14ac:dyDescent="0.3">
      <c r="A31" s="61" t="s">
        <v>226</v>
      </c>
      <c r="B31" s="12"/>
      <c r="C31" s="12"/>
      <c r="D31" s="8">
        <f t="shared" si="0"/>
        <v>0</v>
      </c>
    </row>
    <row r="32" spans="1:4" ht="18" hidden="1" x14ac:dyDescent="0.3">
      <c r="A32" s="63" t="s">
        <v>121</v>
      </c>
      <c r="B32" s="7"/>
      <c r="C32" s="7"/>
      <c r="D32" s="8">
        <f t="shared" si="0"/>
        <v>0</v>
      </c>
    </row>
    <row r="33" spans="1:4" ht="18" hidden="1" x14ac:dyDescent="0.3">
      <c r="A33" s="63" t="s">
        <v>145</v>
      </c>
      <c r="B33" s="7"/>
      <c r="C33" s="7"/>
      <c r="D33" s="8">
        <f t="shared" si="0"/>
        <v>0</v>
      </c>
    </row>
    <row r="34" spans="1:4" ht="18" hidden="1" x14ac:dyDescent="0.3">
      <c r="A34" s="65" t="s">
        <v>97</v>
      </c>
      <c r="B34" s="7"/>
      <c r="C34" s="7"/>
      <c r="D34" s="8">
        <f t="shared" si="0"/>
        <v>0</v>
      </c>
    </row>
    <row r="35" spans="1:4" ht="18" hidden="1" x14ac:dyDescent="0.3">
      <c r="A35" s="63" t="s">
        <v>98</v>
      </c>
      <c r="B35" s="7"/>
      <c r="C35" s="7"/>
      <c r="D35" s="8">
        <f t="shared" si="0"/>
        <v>0</v>
      </c>
    </row>
    <row r="36" spans="1:4" ht="18" hidden="1" x14ac:dyDescent="0.3">
      <c r="A36" s="63" t="s">
        <v>99</v>
      </c>
      <c r="B36" s="7"/>
      <c r="C36" s="7"/>
      <c r="D36" s="8">
        <f t="shared" si="0"/>
        <v>0</v>
      </c>
    </row>
    <row r="37" spans="1:4" ht="18" hidden="1" x14ac:dyDescent="0.3">
      <c r="A37" s="63" t="s">
        <v>266</v>
      </c>
      <c r="B37" s="7"/>
      <c r="C37" s="7"/>
      <c r="D37" s="8">
        <f t="shared" si="0"/>
        <v>0</v>
      </c>
    </row>
    <row r="38" spans="1:4" ht="18" hidden="1" x14ac:dyDescent="0.3">
      <c r="A38" s="63" t="s">
        <v>267</v>
      </c>
      <c r="B38" s="7"/>
      <c r="C38" s="7"/>
      <c r="D38" s="8">
        <f t="shared" si="0"/>
        <v>0</v>
      </c>
    </row>
    <row r="39" spans="1:4" ht="18" hidden="1" x14ac:dyDescent="0.3">
      <c r="A39" s="74" t="s">
        <v>268</v>
      </c>
      <c r="B39" s="7"/>
      <c r="C39" s="7"/>
      <c r="D39" s="8">
        <f t="shared" si="0"/>
        <v>0</v>
      </c>
    </row>
    <row r="40" spans="1:4" ht="18" hidden="1" x14ac:dyDescent="0.3">
      <c r="A40" s="61" t="s">
        <v>122</v>
      </c>
      <c r="B40" s="7"/>
      <c r="C40" s="7"/>
      <c r="D40" s="8">
        <f t="shared" si="0"/>
        <v>0</v>
      </c>
    </row>
    <row r="41" spans="1:4" ht="18" hidden="1" x14ac:dyDescent="0.3">
      <c r="A41" s="74" t="s">
        <v>123</v>
      </c>
      <c r="B41" s="7"/>
      <c r="C41" s="7"/>
      <c r="D41" s="8">
        <f t="shared" si="0"/>
        <v>0</v>
      </c>
    </row>
    <row r="42" spans="1:4" ht="18" hidden="1" x14ac:dyDescent="0.3">
      <c r="A42" s="63" t="s">
        <v>269</v>
      </c>
      <c r="B42" s="7"/>
      <c r="C42" s="7"/>
      <c r="D42" s="8">
        <f t="shared" si="0"/>
        <v>0</v>
      </c>
    </row>
    <row r="43" spans="1:4" ht="18" hidden="1" x14ac:dyDescent="0.3">
      <c r="A43" s="63" t="s">
        <v>270</v>
      </c>
      <c r="B43" s="7"/>
      <c r="C43" s="7"/>
      <c r="D43" s="8">
        <f t="shared" si="0"/>
        <v>0</v>
      </c>
    </row>
    <row r="44" spans="1:4" ht="18" x14ac:dyDescent="0.3">
      <c r="A44" s="60" t="s">
        <v>113</v>
      </c>
      <c r="B44" s="7">
        <f>20+135+120+35</f>
        <v>310</v>
      </c>
      <c r="C44" s="7">
        <v>15000</v>
      </c>
      <c r="D44" s="8">
        <f t="shared" si="0"/>
        <v>4650000</v>
      </c>
    </row>
    <row r="45" spans="1:4" ht="18" hidden="1" x14ac:dyDescent="0.3">
      <c r="A45" s="63" t="s">
        <v>147</v>
      </c>
      <c r="B45" s="7"/>
      <c r="C45" s="7"/>
      <c r="D45" s="8">
        <f t="shared" si="0"/>
        <v>0</v>
      </c>
    </row>
    <row r="46" spans="1:4" ht="18" hidden="1" x14ac:dyDescent="0.3">
      <c r="A46" s="81" t="s">
        <v>148</v>
      </c>
      <c r="B46" s="7"/>
      <c r="C46" s="7"/>
      <c r="D46" s="8">
        <f t="shared" si="0"/>
        <v>0</v>
      </c>
    </row>
    <row r="47" spans="1:4" ht="18" hidden="1" x14ac:dyDescent="0.3">
      <c r="A47" s="68" t="s">
        <v>149</v>
      </c>
      <c r="B47" s="7"/>
      <c r="C47" s="7"/>
      <c r="D47" s="8">
        <f t="shared" si="0"/>
        <v>0</v>
      </c>
    </row>
    <row r="48" spans="1:4" ht="18" hidden="1" x14ac:dyDescent="0.3">
      <c r="A48" s="63" t="s">
        <v>150</v>
      </c>
      <c r="B48" s="7"/>
      <c r="C48" s="7"/>
      <c r="D48" s="8">
        <f t="shared" si="0"/>
        <v>0</v>
      </c>
    </row>
    <row r="49" spans="1:4" ht="18" hidden="1" x14ac:dyDescent="0.3">
      <c r="A49" s="61" t="s">
        <v>151</v>
      </c>
      <c r="B49" s="7"/>
      <c r="C49" s="7"/>
      <c r="D49" s="8">
        <f t="shared" si="0"/>
        <v>0</v>
      </c>
    </row>
    <row r="50" spans="1:4" ht="18" hidden="1" x14ac:dyDescent="0.3">
      <c r="A50" s="63" t="s">
        <v>152</v>
      </c>
      <c r="B50" s="7"/>
      <c r="C50" s="7"/>
      <c r="D50" s="8">
        <f t="shared" si="0"/>
        <v>0</v>
      </c>
    </row>
    <row r="51" spans="1:4" ht="18" hidden="1" x14ac:dyDescent="0.3">
      <c r="A51" s="63" t="s">
        <v>153</v>
      </c>
      <c r="B51" s="7"/>
      <c r="C51" s="7"/>
      <c r="D51" s="8">
        <f t="shared" si="0"/>
        <v>0</v>
      </c>
    </row>
    <row r="52" spans="1:4" ht="18" hidden="1" x14ac:dyDescent="0.3">
      <c r="A52" s="68" t="s">
        <v>75</v>
      </c>
      <c r="B52" s="7"/>
      <c r="C52" s="7"/>
      <c r="D52" s="8">
        <f t="shared" si="0"/>
        <v>0</v>
      </c>
    </row>
    <row r="53" spans="1:4" ht="18" hidden="1" x14ac:dyDescent="0.3">
      <c r="A53" s="63" t="s">
        <v>114</v>
      </c>
      <c r="B53" s="7"/>
      <c r="C53" s="7"/>
      <c r="D53" s="8">
        <f t="shared" si="0"/>
        <v>0</v>
      </c>
    </row>
    <row r="54" spans="1:4" ht="18" hidden="1" x14ac:dyDescent="0.3">
      <c r="A54" s="63" t="s">
        <v>154</v>
      </c>
      <c r="B54" s="7"/>
      <c r="C54" s="7"/>
      <c r="D54" s="8">
        <f t="shared" si="0"/>
        <v>0</v>
      </c>
    </row>
    <row r="55" spans="1:4" ht="18" hidden="1" x14ac:dyDescent="0.3">
      <c r="A55" s="63" t="s">
        <v>155</v>
      </c>
      <c r="B55" s="7"/>
      <c r="C55" s="7"/>
      <c r="D55" s="8">
        <f t="shared" si="0"/>
        <v>0</v>
      </c>
    </row>
    <row r="56" spans="1:4" ht="18" hidden="1" x14ac:dyDescent="0.3">
      <c r="A56" s="62" t="s">
        <v>156</v>
      </c>
      <c r="B56" s="7"/>
      <c r="C56" s="7"/>
      <c r="D56" s="8">
        <f t="shared" si="0"/>
        <v>0</v>
      </c>
    </row>
    <row r="57" spans="1:4" ht="18" hidden="1" x14ac:dyDescent="0.3">
      <c r="A57" s="60" t="s">
        <v>283</v>
      </c>
      <c r="B57" s="7"/>
      <c r="C57" s="7"/>
      <c r="D57" s="8">
        <f t="shared" si="0"/>
        <v>0</v>
      </c>
    </row>
    <row r="58" spans="1:4" ht="18" x14ac:dyDescent="0.3">
      <c r="A58" s="60" t="s">
        <v>303</v>
      </c>
      <c r="B58" s="7">
        <v>35</v>
      </c>
      <c r="C58" s="7">
        <v>7000</v>
      </c>
      <c r="D58" s="8">
        <f t="shared" si="0"/>
        <v>245000</v>
      </c>
    </row>
    <row r="59" spans="1:4" ht="18" hidden="1" x14ac:dyDescent="0.3">
      <c r="A59" s="82" t="s">
        <v>304</v>
      </c>
      <c r="B59" s="7"/>
      <c r="C59" s="7"/>
      <c r="D59" s="8">
        <f t="shared" si="0"/>
        <v>0</v>
      </c>
    </row>
    <row r="60" spans="1:4" ht="18" hidden="1" x14ac:dyDescent="0.3">
      <c r="A60" s="60" t="s">
        <v>305</v>
      </c>
      <c r="B60" s="7"/>
      <c r="C60" s="7"/>
      <c r="D60" s="8">
        <f t="shared" si="0"/>
        <v>0</v>
      </c>
    </row>
    <row r="61" spans="1:4" ht="18" hidden="1" x14ac:dyDescent="0.3">
      <c r="A61" s="60" t="s">
        <v>306</v>
      </c>
      <c r="B61" s="7"/>
      <c r="C61" s="7"/>
      <c r="D61" s="8">
        <f t="shared" si="0"/>
        <v>0</v>
      </c>
    </row>
    <row r="62" spans="1:4" ht="18" hidden="1" x14ac:dyDescent="0.3">
      <c r="A62" s="60" t="s">
        <v>2</v>
      </c>
      <c r="B62" s="7"/>
      <c r="C62" s="7"/>
      <c r="D62" s="8">
        <f t="shared" si="0"/>
        <v>0</v>
      </c>
    </row>
    <row r="63" spans="1:4" ht="18" hidden="1" x14ac:dyDescent="0.3">
      <c r="A63" s="62" t="s">
        <v>3</v>
      </c>
      <c r="B63" s="7"/>
      <c r="C63" s="7"/>
      <c r="D63" s="8">
        <f t="shared" si="0"/>
        <v>0</v>
      </c>
    </row>
    <row r="64" spans="1:4" ht="18" hidden="1" x14ac:dyDescent="0.3">
      <c r="A64" s="63" t="s">
        <v>4</v>
      </c>
      <c r="B64" s="7"/>
      <c r="C64" s="7"/>
      <c r="D64" s="8">
        <f t="shared" si="0"/>
        <v>0</v>
      </c>
    </row>
    <row r="65" spans="1:4" ht="18" hidden="1" x14ac:dyDescent="0.3">
      <c r="A65" s="63" t="s">
        <v>115</v>
      </c>
      <c r="B65" s="7"/>
      <c r="C65" s="7"/>
      <c r="D65" s="8">
        <f t="shared" si="0"/>
        <v>0</v>
      </c>
    </row>
    <row r="66" spans="1:4" ht="18" hidden="1" x14ac:dyDescent="0.3">
      <c r="A66" s="60" t="s">
        <v>116</v>
      </c>
      <c r="B66" s="7"/>
      <c r="C66" s="7"/>
      <c r="D66" s="8">
        <f t="shared" si="0"/>
        <v>0</v>
      </c>
    </row>
    <row r="67" spans="1:4" ht="18" x14ac:dyDescent="0.3">
      <c r="A67" s="63" t="s">
        <v>163</v>
      </c>
      <c r="B67" s="7">
        <f>100+10+50+20+40</f>
        <v>220</v>
      </c>
      <c r="C67" s="7">
        <v>16000</v>
      </c>
      <c r="D67" s="8">
        <f t="shared" si="0"/>
        <v>3520000</v>
      </c>
    </row>
    <row r="68" spans="1:4" ht="18" hidden="1" x14ac:dyDescent="0.3">
      <c r="A68" s="74" t="s">
        <v>164</v>
      </c>
      <c r="B68" s="7"/>
      <c r="C68" s="7"/>
      <c r="D68" s="8">
        <f t="shared" ref="D68:D131" si="1">B68*C68</f>
        <v>0</v>
      </c>
    </row>
    <row r="69" spans="1:4" ht="18" hidden="1" x14ac:dyDescent="0.3">
      <c r="A69" s="63" t="s">
        <v>165</v>
      </c>
      <c r="B69" s="7"/>
      <c r="C69" s="7"/>
      <c r="D69" s="8">
        <f t="shared" si="1"/>
        <v>0</v>
      </c>
    </row>
    <row r="70" spans="1:4" ht="18" x14ac:dyDescent="0.3">
      <c r="A70" s="63" t="s">
        <v>166</v>
      </c>
      <c r="B70" s="7">
        <v>8</v>
      </c>
      <c r="C70" s="7">
        <v>15000</v>
      </c>
      <c r="D70" s="8">
        <f t="shared" si="1"/>
        <v>120000</v>
      </c>
    </row>
    <row r="71" spans="1:4" ht="18" hidden="1" x14ac:dyDescent="0.3">
      <c r="A71" s="63" t="s">
        <v>167</v>
      </c>
      <c r="B71" s="7"/>
      <c r="C71" s="7"/>
      <c r="D71" s="8">
        <f t="shared" si="1"/>
        <v>0</v>
      </c>
    </row>
    <row r="72" spans="1:4" ht="18" hidden="1" x14ac:dyDescent="0.3">
      <c r="A72" s="60" t="s">
        <v>9</v>
      </c>
      <c r="B72" s="12"/>
      <c r="C72" s="12"/>
      <c r="D72" s="8">
        <f t="shared" si="1"/>
        <v>0</v>
      </c>
    </row>
    <row r="73" spans="1:4" ht="18" hidden="1" x14ac:dyDescent="0.3">
      <c r="A73" s="60" t="s">
        <v>10</v>
      </c>
      <c r="B73" s="12"/>
      <c r="C73" s="12"/>
      <c r="D73" s="8">
        <f t="shared" si="1"/>
        <v>0</v>
      </c>
    </row>
    <row r="74" spans="1:4" ht="18" hidden="1" x14ac:dyDescent="0.3">
      <c r="A74" s="63" t="s">
        <v>81</v>
      </c>
      <c r="B74" s="7"/>
      <c r="C74" s="7"/>
      <c r="D74" s="8">
        <f t="shared" si="1"/>
        <v>0</v>
      </c>
    </row>
    <row r="75" spans="1:4" ht="18" x14ac:dyDescent="0.3">
      <c r="A75" s="63" t="s">
        <v>82</v>
      </c>
      <c r="B75" s="7">
        <v>18</v>
      </c>
      <c r="C75" s="7">
        <v>26000</v>
      </c>
      <c r="D75" s="8">
        <f t="shared" si="1"/>
        <v>468000</v>
      </c>
    </row>
    <row r="76" spans="1:4" ht="18" hidden="1" x14ac:dyDescent="0.3">
      <c r="A76" s="63" t="s">
        <v>83</v>
      </c>
      <c r="B76" s="7"/>
      <c r="C76" s="7"/>
      <c r="D76" s="8">
        <f t="shared" si="1"/>
        <v>0</v>
      </c>
    </row>
    <row r="77" spans="1:4" ht="18" x14ac:dyDescent="0.3">
      <c r="A77" s="63" t="s">
        <v>84</v>
      </c>
      <c r="B77" s="7">
        <v>20</v>
      </c>
      <c r="C77" s="7">
        <v>19000</v>
      </c>
      <c r="D77" s="8">
        <f t="shared" si="1"/>
        <v>380000</v>
      </c>
    </row>
    <row r="78" spans="1:4" ht="18" hidden="1" x14ac:dyDescent="0.3">
      <c r="A78" s="63" t="s">
        <v>85</v>
      </c>
      <c r="B78" s="7"/>
      <c r="C78" s="7"/>
      <c r="D78" s="8">
        <f t="shared" si="1"/>
        <v>0</v>
      </c>
    </row>
    <row r="79" spans="1:4" ht="18" hidden="1" x14ac:dyDescent="0.3">
      <c r="A79" s="63" t="s">
        <v>188</v>
      </c>
      <c r="B79" s="7"/>
      <c r="C79" s="7"/>
      <c r="D79" s="8">
        <f t="shared" si="1"/>
        <v>0</v>
      </c>
    </row>
    <row r="80" spans="1:4" ht="18" hidden="1" x14ac:dyDescent="0.3">
      <c r="A80" s="64" t="s">
        <v>189</v>
      </c>
      <c r="B80" s="7"/>
      <c r="C80" s="7"/>
      <c r="D80" s="8">
        <f t="shared" si="1"/>
        <v>0</v>
      </c>
    </row>
    <row r="81" spans="1:4" ht="18" hidden="1" x14ac:dyDescent="0.3">
      <c r="A81" s="13" t="s">
        <v>172</v>
      </c>
      <c r="B81" s="7"/>
      <c r="C81" s="7"/>
      <c r="D81" s="8">
        <f t="shared" si="1"/>
        <v>0</v>
      </c>
    </row>
    <row r="82" spans="1:4" ht="18" hidden="1" x14ac:dyDescent="0.3">
      <c r="A82" s="13" t="s">
        <v>173</v>
      </c>
      <c r="B82" s="7"/>
      <c r="C82" s="7"/>
      <c r="D82" s="8">
        <f t="shared" si="1"/>
        <v>0</v>
      </c>
    </row>
    <row r="83" spans="1:4" ht="18" hidden="1" x14ac:dyDescent="0.3">
      <c r="A83" s="61" t="s">
        <v>174</v>
      </c>
      <c r="B83" s="7"/>
      <c r="C83" s="7"/>
      <c r="D83" s="8">
        <f t="shared" si="1"/>
        <v>0</v>
      </c>
    </row>
    <row r="84" spans="1:4" ht="18" hidden="1" x14ac:dyDescent="0.3">
      <c r="A84" s="74" t="s">
        <v>168</v>
      </c>
      <c r="B84" s="7"/>
      <c r="C84" s="7"/>
      <c r="D84" s="8">
        <f t="shared" si="1"/>
        <v>0</v>
      </c>
    </row>
    <row r="85" spans="1:4" ht="18" hidden="1" x14ac:dyDescent="0.3">
      <c r="A85" s="61" t="s">
        <v>200</v>
      </c>
      <c r="B85" s="7"/>
      <c r="C85" s="7"/>
      <c r="D85" s="8">
        <f t="shared" si="1"/>
        <v>0</v>
      </c>
    </row>
    <row r="86" spans="1:4" ht="18" hidden="1" x14ac:dyDescent="0.3">
      <c r="A86" s="63" t="s">
        <v>11</v>
      </c>
      <c r="B86" s="7"/>
      <c r="C86" s="7"/>
      <c r="D86" s="8">
        <f t="shared" si="1"/>
        <v>0</v>
      </c>
    </row>
    <row r="87" spans="1:4" ht="18" hidden="1" x14ac:dyDescent="0.3">
      <c r="A87" s="63" t="s">
        <v>12</v>
      </c>
      <c r="B87" s="7"/>
      <c r="C87" s="7"/>
      <c r="D87" s="8">
        <f t="shared" si="1"/>
        <v>0</v>
      </c>
    </row>
    <row r="88" spans="1:4" ht="18" hidden="1" x14ac:dyDescent="0.3">
      <c r="A88" s="61" t="s">
        <v>201</v>
      </c>
      <c r="B88" s="7"/>
      <c r="C88" s="7"/>
      <c r="D88" s="8">
        <f t="shared" si="1"/>
        <v>0</v>
      </c>
    </row>
    <row r="89" spans="1:4" ht="18" hidden="1" x14ac:dyDescent="0.3">
      <c r="A89" s="61" t="s">
        <v>202</v>
      </c>
      <c r="B89" s="7"/>
      <c r="C89" s="7"/>
      <c r="D89" s="8">
        <f t="shared" si="1"/>
        <v>0</v>
      </c>
    </row>
    <row r="90" spans="1:4" ht="18" hidden="1" x14ac:dyDescent="0.3">
      <c r="A90" s="63" t="s">
        <v>13</v>
      </c>
      <c r="B90" s="12"/>
      <c r="C90" s="12"/>
      <c r="D90" s="8">
        <f t="shared" si="1"/>
        <v>0</v>
      </c>
    </row>
    <row r="91" spans="1:4" ht="18" hidden="1" x14ac:dyDescent="0.3">
      <c r="A91" s="64" t="s">
        <v>14</v>
      </c>
      <c r="B91" s="7"/>
      <c r="C91" s="7"/>
      <c r="D91" s="8">
        <f t="shared" si="1"/>
        <v>0</v>
      </c>
    </row>
    <row r="92" spans="1:4" ht="18" hidden="1" x14ac:dyDescent="0.3">
      <c r="A92" s="61" t="s">
        <v>203</v>
      </c>
      <c r="B92" s="7"/>
      <c r="C92" s="7"/>
      <c r="D92" s="8">
        <f t="shared" si="1"/>
        <v>0</v>
      </c>
    </row>
    <row r="93" spans="1:4" ht="18" x14ac:dyDescent="0.3">
      <c r="A93" s="63" t="s">
        <v>46</v>
      </c>
      <c r="B93" s="7">
        <v>40</v>
      </c>
      <c r="C93" s="7">
        <v>9000</v>
      </c>
      <c r="D93" s="8">
        <f t="shared" si="1"/>
        <v>360000</v>
      </c>
    </row>
    <row r="94" spans="1:4" ht="18" hidden="1" x14ac:dyDescent="0.3">
      <c r="A94" s="65" t="s">
        <v>47</v>
      </c>
      <c r="B94" s="7"/>
      <c r="C94" s="7"/>
      <c r="D94" s="8">
        <f t="shared" si="1"/>
        <v>0</v>
      </c>
    </row>
    <row r="95" spans="1:4" ht="18" hidden="1" x14ac:dyDescent="0.3">
      <c r="A95" s="63" t="s">
        <v>186</v>
      </c>
      <c r="B95" s="7"/>
      <c r="C95" s="7"/>
      <c r="D95" s="8">
        <f t="shared" si="1"/>
        <v>0</v>
      </c>
    </row>
    <row r="96" spans="1:4" ht="18" hidden="1" x14ac:dyDescent="0.3">
      <c r="A96" s="63" t="s">
        <v>187</v>
      </c>
      <c r="B96" s="7"/>
      <c r="C96" s="7"/>
      <c r="D96" s="8">
        <f t="shared" si="1"/>
        <v>0</v>
      </c>
    </row>
    <row r="97" spans="1:4" ht="18" hidden="1" x14ac:dyDescent="0.3">
      <c r="A97" s="83" t="s">
        <v>300</v>
      </c>
      <c r="B97" s="7"/>
      <c r="C97" s="7"/>
      <c r="D97" s="8">
        <f t="shared" si="1"/>
        <v>0</v>
      </c>
    </row>
    <row r="98" spans="1:4" ht="18" hidden="1" x14ac:dyDescent="0.3">
      <c r="A98" s="76" t="s">
        <v>48</v>
      </c>
      <c r="B98" s="7"/>
      <c r="C98" s="7"/>
      <c r="D98" s="8">
        <f t="shared" si="1"/>
        <v>0</v>
      </c>
    </row>
    <row r="99" spans="1:4" ht="18" hidden="1" x14ac:dyDescent="0.3">
      <c r="A99" s="76" t="s">
        <v>17</v>
      </c>
      <c r="B99" s="7"/>
      <c r="C99" s="7"/>
      <c r="D99" s="8">
        <f t="shared" si="1"/>
        <v>0</v>
      </c>
    </row>
    <row r="100" spans="1:4" ht="18" hidden="1" x14ac:dyDescent="0.3">
      <c r="A100" s="63" t="s">
        <v>18</v>
      </c>
      <c r="B100" s="7"/>
      <c r="C100" s="7"/>
      <c r="D100" s="8">
        <f t="shared" si="1"/>
        <v>0</v>
      </c>
    </row>
    <row r="101" spans="1:4" ht="18" hidden="1" x14ac:dyDescent="0.3">
      <c r="A101" s="63" t="s">
        <v>19</v>
      </c>
      <c r="B101" s="7"/>
      <c r="C101" s="7"/>
      <c r="D101" s="8">
        <f t="shared" si="1"/>
        <v>0</v>
      </c>
    </row>
    <row r="102" spans="1:4" ht="18" hidden="1" x14ac:dyDescent="0.3">
      <c r="A102" s="63" t="s">
        <v>204</v>
      </c>
      <c r="B102" s="7"/>
      <c r="C102" s="7"/>
      <c r="D102" s="8">
        <f t="shared" si="1"/>
        <v>0</v>
      </c>
    </row>
    <row r="103" spans="1:4" ht="18" hidden="1" x14ac:dyDescent="0.3">
      <c r="A103" s="63" t="s">
        <v>205</v>
      </c>
      <c r="B103" s="7"/>
      <c r="C103" s="7"/>
      <c r="D103" s="8">
        <f t="shared" si="1"/>
        <v>0</v>
      </c>
    </row>
    <row r="104" spans="1:4" ht="18" hidden="1" x14ac:dyDescent="0.3">
      <c r="A104" s="63" t="s">
        <v>206</v>
      </c>
      <c r="B104" s="7"/>
      <c r="C104" s="7"/>
      <c r="D104" s="8">
        <f t="shared" si="1"/>
        <v>0</v>
      </c>
    </row>
    <row r="105" spans="1:4" ht="18" hidden="1" x14ac:dyDescent="0.3">
      <c r="A105" s="63" t="s">
        <v>207</v>
      </c>
      <c r="B105" s="7"/>
      <c r="C105" s="7"/>
      <c r="D105" s="8">
        <f t="shared" si="1"/>
        <v>0</v>
      </c>
    </row>
    <row r="106" spans="1:4" ht="18" hidden="1" x14ac:dyDescent="0.3">
      <c r="A106" s="61" t="s">
        <v>15</v>
      </c>
      <c r="B106" s="7"/>
      <c r="C106" s="7"/>
      <c r="D106" s="8">
        <f t="shared" si="1"/>
        <v>0</v>
      </c>
    </row>
    <row r="107" spans="1:4" ht="18" hidden="1" x14ac:dyDescent="0.3">
      <c r="A107" s="13" t="s">
        <v>16</v>
      </c>
      <c r="B107" s="7"/>
      <c r="C107" s="7"/>
      <c r="D107" s="8">
        <f t="shared" si="1"/>
        <v>0</v>
      </c>
    </row>
    <row r="108" spans="1:4" ht="18" hidden="1" x14ac:dyDescent="0.3">
      <c r="A108" s="63" t="s">
        <v>313</v>
      </c>
      <c r="B108" s="7"/>
      <c r="C108" s="7"/>
      <c r="D108" s="8">
        <f t="shared" si="1"/>
        <v>0</v>
      </c>
    </row>
    <row r="109" spans="1:4" ht="18" hidden="1" x14ac:dyDescent="0.3">
      <c r="A109" s="61" t="s">
        <v>314</v>
      </c>
      <c r="B109" s="7"/>
      <c r="C109" s="7"/>
      <c r="D109" s="8">
        <f t="shared" si="1"/>
        <v>0</v>
      </c>
    </row>
    <row r="110" spans="1:4" ht="18" hidden="1" x14ac:dyDescent="0.3">
      <c r="A110" s="61" t="s">
        <v>315</v>
      </c>
      <c r="B110" s="7"/>
      <c r="C110" s="7"/>
      <c r="D110" s="8">
        <f t="shared" si="1"/>
        <v>0</v>
      </c>
    </row>
    <row r="111" spans="1:4" ht="18" x14ac:dyDescent="0.3">
      <c r="A111" s="63" t="s">
        <v>96</v>
      </c>
      <c r="B111" s="7">
        <v>60</v>
      </c>
      <c r="C111" s="7">
        <v>10000</v>
      </c>
      <c r="D111" s="8">
        <f t="shared" si="1"/>
        <v>600000</v>
      </c>
    </row>
    <row r="112" spans="1:4" ht="78" hidden="1" x14ac:dyDescent="0.3">
      <c r="A112" s="77" t="s">
        <v>124</v>
      </c>
      <c r="B112" s="7"/>
      <c r="C112" s="7"/>
      <c r="D112" s="8">
        <f t="shared" si="1"/>
        <v>0</v>
      </c>
    </row>
    <row r="113" spans="1:4" ht="18" hidden="1" x14ac:dyDescent="0.3">
      <c r="A113" s="72" t="s">
        <v>125</v>
      </c>
      <c r="B113" s="7"/>
      <c r="C113" s="7"/>
      <c r="D113" s="8">
        <f t="shared" si="1"/>
        <v>0</v>
      </c>
    </row>
    <row r="114" spans="1:4" ht="18" hidden="1" x14ac:dyDescent="0.3">
      <c r="A114" s="60" t="s">
        <v>126</v>
      </c>
      <c r="B114" s="12"/>
      <c r="C114" s="12"/>
      <c r="D114" s="8">
        <f t="shared" si="1"/>
        <v>0</v>
      </c>
    </row>
    <row r="115" spans="1:4" ht="18" hidden="1" x14ac:dyDescent="0.3">
      <c r="A115" s="60" t="s">
        <v>127</v>
      </c>
      <c r="B115" s="12"/>
      <c r="C115" s="12"/>
      <c r="D115" s="8">
        <f t="shared" si="1"/>
        <v>0</v>
      </c>
    </row>
    <row r="116" spans="1:4" ht="18" hidden="1" x14ac:dyDescent="0.3">
      <c r="A116" s="60" t="s">
        <v>128</v>
      </c>
      <c r="B116" s="12"/>
      <c r="C116" s="12"/>
      <c r="D116" s="8">
        <f t="shared" si="1"/>
        <v>0</v>
      </c>
    </row>
    <row r="117" spans="1:4" ht="18" hidden="1" x14ac:dyDescent="0.3">
      <c r="A117" s="60" t="s">
        <v>129</v>
      </c>
      <c r="B117" s="29"/>
      <c r="C117" s="29"/>
      <c r="D117" s="8">
        <f t="shared" si="1"/>
        <v>0</v>
      </c>
    </row>
    <row r="118" spans="1:4" ht="18" hidden="1" x14ac:dyDescent="0.3">
      <c r="A118" s="30" t="s">
        <v>271</v>
      </c>
      <c r="B118" s="7"/>
      <c r="C118" s="7"/>
      <c r="D118" s="8">
        <f t="shared" si="1"/>
        <v>0</v>
      </c>
    </row>
    <row r="119" spans="1:4" ht="18" hidden="1" x14ac:dyDescent="0.3">
      <c r="A119" s="60" t="s">
        <v>272</v>
      </c>
      <c r="B119" s="12"/>
      <c r="C119" s="7"/>
      <c r="D119" s="8">
        <f t="shared" si="1"/>
        <v>0</v>
      </c>
    </row>
    <row r="120" spans="1:4" ht="18" hidden="1" x14ac:dyDescent="0.3">
      <c r="A120" s="63" t="s">
        <v>273</v>
      </c>
      <c r="B120" s="7"/>
      <c r="C120" s="7"/>
      <c r="D120" s="8">
        <f t="shared" si="1"/>
        <v>0</v>
      </c>
    </row>
    <row r="121" spans="1:4" ht="18" hidden="1" x14ac:dyDescent="0.3">
      <c r="A121" s="63" t="s">
        <v>274</v>
      </c>
      <c r="B121" s="7"/>
      <c r="C121" s="7"/>
      <c r="D121" s="8">
        <f t="shared" si="1"/>
        <v>0</v>
      </c>
    </row>
    <row r="122" spans="1:4" ht="18" x14ac:dyDescent="0.3">
      <c r="A122" s="63" t="s">
        <v>33</v>
      </c>
      <c r="B122" s="7">
        <f>6+34+85</f>
        <v>125</v>
      </c>
      <c r="C122" s="7">
        <v>10000</v>
      </c>
      <c r="D122" s="8">
        <f t="shared" si="1"/>
        <v>1250000</v>
      </c>
    </row>
    <row r="123" spans="1:4" ht="18" hidden="1" x14ac:dyDescent="0.3">
      <c r="A123" s="65" t="s">
        <v>34</v>
      </c>
      <c r="B123" s="7"/>
      <c r="C123" s="7"/>
      <c r="D123" s="8">
        <f t="shared" si="1"/>
        <v>0</v>
      </c>
    </row>
    <row r="124" spans="1:4" ht="18" hidden="1" x14ac:dyDescent="0.3">
      <c r="A124" s="60" t="s">
        <v>208</v>
      </c>
      <c r="B124" s="7"/>
      <c r="C124" s="7"/>
      <c r="D124" s="8">
        <f t="shared" si="1"/>
        <v>0</v>
      </c>
    </row>
    <row r="125" spans="1:4" ht="18" hidden="1" x14ac:dyDescent="0.3">
      <c r="A125" s="60" t="s">
        <v>209</v>
      </c>
      <c r="B125" s="7"/>
      <c r="C125" s="7"/>
      <c r="D125" s="8">
        <f t="shared" si="1"/>
        <v>0</v>
      </c>
    </row>
    <row r="126" spans="1:4" ht="18" hidden="1" x14ac:dyDescent="0.3">
      <c r="A126" s="63" t="s">
        <v>210</v>
      </c>
      <c r="B126" s="7"/>
      <c r="C126" s="7"/>
      <c r="D126" s="8">
        <f t="shared" si="1"/>
        <v>0</v>
      </c>
    </row>
    <row r="127" spans="1:4" ht="18" hidden="1" x14ac:dyDescent="0.3">
      <c r="A127" s="63" t="s">
        <v>211</v>
      </c>
      <c r="B127" s="7"/>
      <c r="C127" s="7"/>
      <c r="D127" s="8">
        <f t="shared" si="1"/>
        <v>0</v>
      </c>
    </row>
    <row r="128" spans="1:4" ht="18" hidden="1" x14ac:dyDescent="0.3">
      <c r="A128" s="63" t="s">
        <v>284</v>
      </c>
      <c r="B128" s="7"/>
      <c r="C128" s="7"/>
      <c r="D128" s="8">
        <f t="shared" si="1"/>
        <v>0</v>
      </c>
    </row>
    <row r="129" spans="1:4" ht="18" hidden="1" x14ac:dyDescent="0.3">
      <c r="A129" s="63" t="s">
        <v>102</v>
      </c>
      <c r="B129" s="12"/>
      <c r="C129" s="12"/>
      <c r="D129" s="8">
        <f t="shared" si="1"/>
        <v>0</v>
      </c>
    </row>
    <row r="130" spans="1:4" ht="18" hidden="1" x14ac:dyDescent="0.3">
      <c r="A130" s="63" t="s">
        <v>103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104</v>
      </c>
      <c r="B131" s="12"/>
      <c r="C131" s="12"/>
      <c r="D131" s="8">
        <f t="shared" si="1"/>
        <v>0</v>
      </c>
    </row>
    <row r="132" spans="1:4" ht="18" hidden="1" x14ac:dyDescent="0.3">
      <c r="A132" s="63" t="s">
        <v>105</v>
      </c>
      <c r="B132" s="12"/>
      <c r="C132" s="12"/>
      <c r="D132" s="8">
        <f t="shared" ref="D132:D195" si="2">B132*C132</f>
        <v>0</v>
      </c>
    </row>
    <row r="133" spans="1:4" ht="18" hidden="1" x14ac:dyDescent="0.3">
      <c r="A133" s="63" t="s">
        <v>106</v>
      </c>
      <c r="B133" s="12"/>
      <c r="C133" s="12"/>
      <c r="D133" s="8">
        <f t="shared" si="2"/>
        <v>0</v>
      </c>
    </row>
    <row r="134" spans="1:4" ht="18" hidden="1" x14ac:dyDescent="0.3">
      <c r="A134" s="63" t="s">
        <v>107</v>
      </c>
      <c r="B134" s="12"/>
      <c r="C134" s="12"/>
      <c r="D134" s="8">
        <f t="shared" si="2"/>
        <v>0</v>
      </c>
    </row>
    <row r="135" spans="1:4" ht="18" hidden="1" x14ac:dyDescent="0.3">
      <c r="A135" s="63" t="s">
        <v>130</v>
      </c>
      <c r="B135" s="12"/>
      <c r="C135" s="12"/>
      <c r="D135" s="8">
        <f t="shared" si="2"/>
        <v>0</v>
      </c>
    </row>
    <row r="136" spans="1:4" ht="18" hidden="1" x14ac:dyDescent="0.3">
      <c r="A136" s="63" t="s">
        <v>108</v>
      </c>
      <c r="B136" s="12"/>
      <c r="C136" s="12"/>
      <c r="D136" s="8">
        <f t="shared" si="2"/>
        <v>0</v>
      </c>
    </row>
    <row r="137" spans="1:4" ht="18" hidden="1" x14ac:dyDescent="0.3">
      <c r="A137" s="63" t="s">
        <v>109</v>
      </c>
      <c r="B137" s="12"/>
      <c r="C137" s="12"/>
      <c r="D137" s="8">
        <f t="shared" si="2"/>
        <v>0</v>
      </c>
    </row>
    <row r="138" spans="1:4" ht="18" hidden="1" x14ac:dyDescent="0.3">
      <c r="A138" s="63" t="s">
        <v>110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157</v>
      </c>
      <c r="B139" s="7"/>
      <c r="C139" s="7"/>
      <c r="D139" s="8">
        <f t="shared" si="2"/>
        <v>0</v>
      </c>
    </row>
    <row r="140" spans="1:4" ht="18" hidden="1" x14ac:dyDescent="0.3">
      <c r="A140" s="63" t="s">
        <v>158</v>
      </c>
      <c r="B140" s="7"/>
      <c r="C140" s="7"/>
      <c r="D140" s="8">
        <f t="shared" si="2"/>
        <v>0</v>
      </c>
    </row>
    <row r="141" spans="1:4" ht="18" hidden="1" x14ac:dyDescent="0.3">
      <c r="A141" s="63" t="s">
        <v>159</v>
      </c>
      <c r="B141" s="7"/>
      <c r="C141" s="7"/>
      <c r="D141" s="8">
        <f t="shared" si="2"/>
        <v>0</v>
      </c>
    </row>
    <row r="142" spans="1:4" ht="18" hidden="1" x14ac:dyDescent="0.3">
      <c r="A142" s="14" t="s">
        <v>160</v>
      </c>
      <c r="B142" s="7"/>
      <c r="C142" s="7"/>
      <c r="D142" s="8">
        <f t="shared" si="2"/>
        <v>0</v>
      </c>
    </row>
    <row r="143" spans="1:4" ht="18" hidden="1" x14ac:dyDescent="0.3">
      <c r="A143" s="63" t="s">
        <v>161</v>
      </c>
      <c r="B143" s="7"/>
      <c r="C143" s="7"/>
      <c r="D143" s="8">
        <f t="shared" si="2"/>
        <v>0</v>
      </c>
    </row>
    <row r="144" spans="1:4" ht="18" x14ac:dyDescent="0.3">
      <c r="A144" s="63" t="s">
        <v>162</v>
      </c>
      <c r="B144" s="7">
        <v>58</v>
      </c>
      <c r="C144" s="7">
        <v>7000</v>
      </c>
      <c r="D144" s="8">
        <f t="shared" si="2"/>
        <v>406000</v>
      </c>
    </row>
    <row r="145" spans="1:4" ht="18" hidden="1" x14ac:dyDescent="0.3">
      <c r="A145" s="63" t="s">
        <v>279</v>
      </c>
      <c r="B145" s="7"/>
      <c r="C145" s="7"/>
      <c r="D145" s="8">
        <f t="shared" si="2"/>
        <v>0</v>
      </c>
    </row>
    <row r="146" spans="1:4" ht="18" hidden="1" x14ac:dyDescent="0.3">
      <c r="A146" s="63" t="s">
        <v>280</v>
      </c>
      <c r="B146" s="7"/>
      <c r="C146" s="7"/>
      <c r="D146" s="8">
        <f t="shared" si="2"/>
        <v>0</v>
      </c>
    </row>
    <row r="147" spans="1:4" ht="18" hidden="1" x14ac:dyDescent="0.3">
      <c r="A147" s="63" t="s">
        <v>281</v>
      </c>
      <c r="B147" s="7"/>
      <c r="C147" s="7"/>
      <c r="D147" s="8">
        <f t="shared" si="2"/>
        <v>0</v>
      </c>
    </row>
    <row r="148" spans="1:4" ht="18" hidden="1" x14ac:dyDescent="0.3">
      <c r="A148" s="63" t="s">
        <v>282</v>
      </c>
      <c r="B148" s="7"/>
      <c r="C148" s="7"/>
      <c r="D148" s="8">
        <f t="shared" si="2"/>
        <v>0</v>
      </c>
    </row>
    <row r="149" spans="1:4" ht="18" hidden="1" x14ac:dyDescent="0.3">
      <c r="A149" s="63" t="s">
        <v>111</v>
      </c>
      <c r="B149" s="12"/>
      <c r="C149" s="12"/>
      <c r="D149" s="8">
        <f t="shared" si="2"/>
        <v>0</v>
      </c>
    </row>
    <row r="150" spans="1:4" ht="18" hidden="1" x14ac:dyDescent="0.3">
      <c r="A150" s="63" t="s">
        <v>112</v>
      </c>
      <c r="B150" s="12"/>
      <c r="C150" s="12"/>
      <c r="D150" s="8">
        <f t="shared" si="2"/>
        <v>0</v>
      </c>
    </row>
    <row r="151" spans="1:4" ht="18" hidden="1" x14ac:dyDescent="0.3">
      <c r="A151" s="63" t="s">
        <v>131</v>
      </c>
      <c r="B151" s="12"/>
      <c r="C151" s="12"/>
      <c r="D151" s="8">
        <f t="shared" si="2"/>
        <v>0</v>
      </c>
    </row>
    <row r="152" spans="1:4" ht="18" x14ac:dyDescent="0.3">
      <c r="A152" s="67" t="s">
        <v>52</v>
      </c>
      <c r="B152" s="7">
        <f>20+16+50</f>
        <v>86</v>
      </c>
      <c r="C152" s="7">
        <v>6000</v>
      </c>
      <c r="D152" s="8">
        <f t="shared" si="2"/>
        <v>516000</v>
      </c>
    </row>
    <row r="153" spans="1:4" ht="18" hidden="1" x14ac:dyDescent="0.3">
      <c r="A153" s="68" t="s">
        <v>53</v>
      </c>
      <c r="B153" s="7"/>
      <c r="C153" s="7"/>
      <c r="D153" s="8">
        <f t="shared" si="2"/>
        <v>0</v>
      </c>
    </row>
    <row r="154" spans="1:4" ht="18" x14ac:dyDescent="0.3">
      <c r="A154" s="63" t="s">
        <v>192</v>
      </c>
      <c r="B154" s="7">
        <f>35+50-10</f>
        <v>75</v>
      </c>
      <c r="C154" s="7">
        <v>9000</v>
      </c>
      <c r="D154" s="8">
        <f t="shared" si="2"/>
        <v>675000</v>
      </c>
    </row>
    <row r="155" spans="1:4" ht="18" hidden="1" x14ac:dyDescent="0.3">
      <c r="A155" s="60" t="s">
        <v>193</v>
      </c>
      <c r="B155" s="7"/>
      <c r="C155" s="7"/>
      <c r="D155" s="8">
        <f t="shared" si="2"/>
        <v>0</v>
      </c>
    </row>
    <row r="156" spans="1:4" ht="18" hidden="1" x14ac:dyDescent="0.3">
      <c r="A156" s="63" t="s">
        <v>194</v>
      </c>
      <c r="B156" s="7"/>
      <c r="C156" s="7"/>
      <c r="D156" s="8">
        <f t="shared" si="2"/>
        <v>0</v>
      </c>
    </row>
    <row r="157" spans="1:4" ht="18" hidden="1" x14ac:dyDescent="0.3">
      <c r="A157" s="63" t="s">
        <v>195</v>
      </c>
      <c r="B157" s="7"/>
      <c r="C157" s="7"/>
      <c r="D157" s="8">
        <f t="shared" si="2"/>
        <v>0</v>
      </c>
    </row>
    <row r="158" spans="1:4" ht="18" hidden="1" x14ac:dyDescent="0.3">
      <c r="A158" s="63" t="s">
        <v>196</v>
      </c>
      <c r="B158" s="7"/>
      <c r="C158" s="7"/>
      <c r="D158" s="8">
        <f t="shared" si="2"/>
        <v>0</v>
      </c>
    </row>
    <row r="159" spans="1:4" ht="18" hidden="1" x14ac:dyDescent="0.3">
      <c r="A159" s="62" t="s">
        <v>197</v>
      </c>
      <c r="B159" s="7"/>
      <c r="C159" s="7"/>
      <c r="D159" s="8">
        <f t="shared" si="2"/>
        <v>0</v>
      </c>
    </row>
    <row r="160" spans="1:4" ht="18" hidden="1" x14ac:dyDescent="0.3">
      <c r="A160" s="63" t="s">
        <v>61</v>
      </c>
      <c r="B160" s="7"/>
      <c r="C160" s="7"/>
      <c r="D160" s="8">
        <f t="shared" si="2"/>
        <v>0</v>
      </c>
    </row>
    <row r="161" spans="1:4" ht="18" x14ac:dyDescent="0.3">
      <c r="A161" s="69" t="s">
        <v>62</v>
      </c>
      <c r="B161" s="19">
        <v>5</v>
      </c>
      <c r="C161" s="19">
        <v>12000</v>
      </c>
      <c r="D161" s="8">
        <f t="shared" si="2"/>
        <v>60000</v>
      </c>
    </row>
    <row r="162" spans="1:4" ht="18" hidden="1" x14ac:dyDescent="0.3">
      <c r="A162" s="63" t="s">
        <v>86</v>
      </c>
      <c r="B162" s="7"/>
      <c r="C162" s="7"/>
      <c r="D162" s="8">
        <f t="shared" si="2"/>
        <v>0</v>
      </c>
    </row>
    <row r="163" spans="1:4" ht="18" hidden="1" x14ac:dyDescent="0.3">
      <c r="A163" s="63" t="s">
        <v>35</v>
      </c>
      <c r="B163" s="7"/>
      <c r="C163" s="7"/>
      <c r="D163" s="8">
        <f t="shared" si="2"/>
        <v>0</v>
      </c>
    </row>
    <row r="164" spans="1:4" ht="18" hidden="1" x14ac:dyDescent="0.3">
      <c r="A164" s="60" t="s">
        <v>234</v>
      </c>
      <c r="B164" s="7"/>
      <c r="C164" s="7"/>
      <c r="D164" s="8">
        <f t="shared" si="2"/>
        <v>0</v>
      </c>
    </row>
    <row r="165" spans="1:4" ht="18" hidden="1" x14ac:dyDescent="0.3">
      <c r="A165" s="63" t="s">
        <v>235</v>
      </c>
      <c r="B165" s="7"/>
      <c r="C165" s="7"/>
      <c r="D165" s="8">
        <f t="shared" si="2"/>
        <v>0</v>
      </c>
    </row>
    <row r="166" spans="1:4" ht="18" hidden="1" x14ac:dyDescent="0.3">
      <c r="A166" s="63" t="s">
        <v>236</v>
      </c>
      <c r="B166" s="7"/>
      <c r="C166" s="7"/>
      <c r="D166" s="8">
        <f t="shared" si="2"/>
        <v>0</v>
      </c>
    </row>
    <row r="167" spans="1:4" ht="18" x14ac:dyDescent="0.3">
      <c r="A167" s="60" t="s">
        <v>175</v>
      </c>
      <c r="B167" s="7">
        <f>38+20+20</f>
        <v>78</v>
      </c>
      <c r="C167" s="7">
        <v>11000</v>
      </c>
      <c r="D167" s="8">
        <f t="shared" si="2"/>
        <v>858000</v>
      </c>
    </row>
    <row r="168" spans="1:4" ht="18" x14ac:dyDescent="0.3">
      <c r="A168" s="60" t="s">
        <v>176</v>
      </c>
      <c r="B168" s="7">
        <f>20+180+200+300</f>
        <v>700</v>
      </c>
      <c r="C168" s="7">
        <v>31000</v>
      </c>
      <c r="D168" s="8">
        <f t="shared" si="2"/>
        <v>21700000</v>
      </c>
    </row>
    <row r="169" spans="1:4" ht="18" hidden="1" x14ac:dyDescent="0.3">
      <c r="A169" s="63" t="s">
        <v>177</v>
      </c>
      <c r="B169" s="7"/>
      <c r="C169" s="7"/>
      <c r="D169" s="8">
        <f t="shared" si="2"/>
        <v>0</v>
      </c>
    </row>
    <row r="170" spans="1:4" ht="18" x14ac:dyDescent="0.3">
      <c r="A170" s="60" t="s">
        <v>178</v>
      </c>
      <c r="B170" s="7">
        <v>300</v>
      </c>
      <c r="C170" s="7">
        <v>32000</v>
      </c>
      <c r="D170" s="8">
        <f t="shared" si="2"/>
        <v>9600000</v>
      </c>
    </row>
    <row r="171" spans="1:4" ht="18" x14ac:dyDescent="0.3">
      <c r="A171" s="60" t="s">
        <v>179</v>
      </c>
      <c r="B171" s="7">
        <v>15</v>
      </c>
      <c r="C171" s="7">
        <v>25000</v>
      </c>
      <c r="D171" s="8">
        <f t="shared" si="2"/>
        <v>375000</v>
      </c>
    </row>
    <row r="172" spans="1:4" ht="18" hidden="1" x14ac:dyDescent="0.3">
      <c r="A172" s="60" t="s">
        <v>180</v>
      </c>
      <c r="B172" s="7"/>
      <c r="C172" s="7"/>
      <c r="D172" s="8">
        <f t="shared" si="2"/>
        <v>0</v>
      </c>
    </row>
    <row r="173" spans="1:4" ht="18" hidden="1" x14ac:dyDescent="0.3">
      <c r="A173" s="63" t="s">
        <v>181</v>
      </c>
      <c r="B173" s="7"/>
      <c r="C173" s="7"/>
      <c r="D173" s="8">
        <f t="shared" si="2"/>
        <v>0</v>
      </c>
    </row>
    <row r="174" spans="1:4" ht="18" hidden="1" x14ac:dyDescent="0.3">
      <c r="A174" s="60" t="s">
        <v>36</v>
      </c>
      <c r="B174" s="7"/>
      <c r="C174" s="7"/>
      <c r="D174" s="8">
        <f t="shared" si="2"/>
        <v>0</v>
      </c>
    </row>
    <row r="175" spans="1:4" ht="18" hidden="1" x14ac:dyDescent="0.3">
      <c r="A175" s="63" t="s">
        <v>54</v>
      </c>
      <c r="B175" s="7"/>
      <c r="C175" s="7"/>
      <c r="D175" s="8">
        <f t="shared" si="2"/>
        <v>0</v>
      </c>
    </row>
    <row r="176" spans="1:4" ht="18" hidden="1" x14ac:dyDescent="0.3">
      <c r="A176" s="17" t="s">
        <v>55</v>
      </c>
      <c r="B176" s="7"/>
      <c r="C176" s="7"/>
      <c r="D176" s="8">
        <f t="shared" si="2"/>
        <v>0</v>
      </c>
    </row>
    <row r="177" spans="1:4" ht="18" hidden="1" x14ac:dyDescent="0.3">
      <c r="A177" s="63" t="s">
        <v>56</v>
      </c>
      <c r="B177" s="7"/>
      <c r="C177" s="7"/>
      <c r="D177" s="8">
        <f t="shared" si="2"/>
        <v>0</v>
      </c>
    </row>
    <row r="178" spans="1:4" ht="18" hidden="1" x14ac:dyDescent="0.3">
      <c r="A178" s="63" t="s">
        <v>66</v>
      </c>
      <c r="B178" s="7"/>
      <c r="C178" s="7"/>
      <c r="D178" s="8">
        <f t="shared" si="2"/>
        <v>0</v>
      </c>
    </row>
    <row r="179" spans="1:4" ht="18" x14ac:dyDescent="0.3">
      <c r="A179" s="60" t="s">
        <v>67</v>
      </c>
      <c r="B179" s="7">
        <f>10+250+60+280+20+25+36</f>
        <v>681</v>
      </c>
      <c r="C179" s="7">
        <v>26000</v>
      </c>
      <c r="D179" s="8">
        <f t="shared" si="2"/>
        <v>17706000</v>
      </c>
    </row>
    <row r="180" spans="1:4" ht="18" hidden="1" x14ac:dyDescent="0.3">
      <c r="A180" s="63" t="s">
        <v>68</v>
      </c>
      <c r="B180" s="7"/>
      <c r="C180" s="7"/>
      <c r="D180" s="8">
        <f t="shared" si="2"/>
        <v>0</v>
      </c>
    </row>
    <row r="181" spans="1:4" ht="18" hidden="1" x14ac:dyDescent="0.3">
      <c r="A181" s="63" t="s">
        <v>69</v>
      </c>
      <c r="B181" s="7"/>
      <c r="C181" s="7"/>
      <c r="D181" s="8">
        <f t="shared" si="2"/>
        <v>0</v>
      </c>
    </row>
    <row r="182" spans="1:4" ht="18" x14ac:dyDescent="0.3">
      <c r="A182" s="63" t="s">
        <v>142</v>
      </c>
      <c r="B182" s="7">
        <f>360+15+300</f>
        <v>675</v>
      </c>
      <c r="C182" s="7">
        <v>27000</v>
      </c>
      <c r="D182" s="8">
        <f t="shared" si="2"/>
        <v>18225000</v>
      </c>
    </row>
    <row r="183" spans="1:4" ht="18" hidden="1" x14ac:dyDescent="0.3">
      <c r="A183" s="73" t="s">
        <v>143</v>
      </c>
      <c r="B183" s="7"/>
      <c r="C183" s="7"/>
      <c r="D183" s="8">
        <f t="shared" si="2"/>
        <v>0</v>
      </c>
    </row>
    <row r="184" spans="1:4" ht="18" hidden="1" x14ac:dyDescent="0.3">
      <c r="A184" s="73" t="s">
        <v>144</v>
      </c>
      <c r="B184" s="7"/>
      <c r="C184" s="7"/>
      <c r="D184" s="8">
        <f t="shared" si="2"/>
        <v>0</v>
      </c>
    </row>
    <row r="185" spans="1:4" ht="18" hidden="1" x14ac:dyDescent="0.3">
      <c r="A185" s="63" t="s">
        <v>212</v>
      </c>
      <c r="B185" s="7"/>
      <c r="C185" s="7"/>
      <c r="D185" s="8">
        <f t="shared" si="2"/>
        <v>0</v>
      </c>
    </row>
    <row r="186" spans="1:4" ht="18" hidden="1" x14ac:dyDescent="0.3">
      <c r="A186" s="61" t="s">
        <v>213</v>
      </c>
      <c r="B186" s="7"/>
      <c r="C186" s="7"/>
      <c r="D186" s="8">
        <f t="shared" si="2"/>
        <v>0</v>
      </c>
    </row>
    <row r="187" spans="1:4" ht="18" hidden="1" x14ac:dyDescent="0.3">
      <c r="A187" s="63" t="s">
        <v>214</v>
      </c>
      <c r="B187" s="7"/>
      <c r="C187" s="7"/>
      <c r="D187" s="8">
        <f t="shared" si="2"/>
        <v>0</v>
      </c>
    </row>
    <row r="188" spans="1:4" ht="18" hidden="1" x14ac:dyDescent="0.3">
      <c r="A188" s="61" t="s">
        <v>215</v>
      </c>
      <c r="B188" s="7"/>
      <c r="C188" s="7"/>
      <c r="D188" s="8">
        <f t="shared" si="2"/>
        <v>0</v>
      </c>
    </row>
    <row r="189" spans="1:4" ht="18" x14ac:dyDescent="0.3">
      <c r="A189" s="63" t="s">
        <v>182</v>
      </c>
      <c r="B189" s="7">
        <v>5</v>
      </c>
      <c r="C189" s="7">
        <v>17000</v>
      </c>
      <c r="D189" s="8">
        <f t="shared" si="2"/>
        <v>85000</v>
      </c>
    </row>
    <row r="190" spans="1:4" ht="18" hidden="1" x14ac:dyDescent="0.3">
      <c r="A190" s="63" t="s">
        <v>183</v>
      </c>
      <c r="B190" s="7"/>
      <c r="C190" s="7"/>
      <c r="D190" s="8">
        <f t="shared" si="2"/>
        <v>0</v>
      </c>
    </row>
    <row r="191" spans="1:4" ht="18" hidden="1" x14ac:dyDescent="0.3">
      <c r="A191" s="63" t="s">
        <v>184</v>
      </c>
      <c r="B191" s="7"/>
      <c r="C191" s="7"/>
      <c r="D191" s="8">
        <f t="shared" si="2"/>
        <v>0</v>
      </c>
    </row>
    <row r="192" spans="1:4" ht="18" hidden="1" x14ac:dyDescent="0.3">
      <c r="A192" s="63" t="s">
        <v>185</v>
      </c>
      <c r="B192" s="7"/>
      <c r="C192" s="7"/>
      <c r="D192" s="8">
        <f t="shared" si="2"/>
        <v>0</v>
      </c>
    </row>
    <row r="193" spans="1:4" ht="18" hidden="1" x14ac:dyDescent="0.3">
      <c r="A193" s="63" t="s">
        <v>38</v>
      </c>
      <c r="B193" s="7"/>
      <c r="C193" s="7"/>
      <c r="D193" s="8">
        <f t="shared" si="2"/>
        <v>0</v>
      </c>
    </row>
    <row r="194" spans="1:4" ht="18" hidden="1" x14ac:dyDescent="0.3">
      <c r="A194" s="66" t="s">
        <v>39</v>
      </c>
      <c r="B194" s="7"/>
      <c r="C194" s="7"/>
      <c r="D194" s="8">
        <f t="shared" si="2"/>
        <v>0</v>
      </c>
    </row>
    <row r="195" spans="1:4" ht="18" x14ac:dyDescent="0.3">
      <c r="A195" s="63" t="s">
        <v>40</v>
      </c>
      <c r="B195" s="7">
        <f>60+140+10</f>
        <v>210</v>
      </c>
      <c r="C195" s="7">
        <v>12500</v>
      </c>
      <c r="D195" s="8">
        <f t="shared" si="2"/>
        <v>2625000</v>
      </c>
    </row>
    <row r="196" spans="1:4" ht="18" hidden="1" x14ac:dyDescent="0.3">
      <c r="A196" s="63" t="s">
        <v>41</v>
      </c>
      <c r="B196" s="7"/>
      <c r="C196" s="7"/>
      <c r="D196" s="8">
        <f t="shared" ref="D196:D259" si="3">B196*C196</f>
        <v>0</v>
      </c>
    </row>
    <row r="197" spans="1:4" ht="18" x14ac:dyDescent="0.3">
      <c r="A197" s="63" t="s">
        <v>42</v>
      </c>
      <c r="B197" s="7">
        <v>70</v>
      </c>
      <c r="C197" s="7">
        <v>17000</v>
      </c>
      <c r="D197" s="8">
        <f t="shared" si="3"/>
        <v>1190000</v>
      </c>
    </row>
    <row r="198" spans="1:4" ht="18" hidden="1" x14ac:dyDescent="0.3">
      <c r="A198" s="63" t="s">
        <v>43</v>
      </c>
      <c r="B198" s="7"/>
      <c r="C198" s="7"/>
      <c r="D198" s="8">
        <f t="shared" si="3"/>
        <v>0</v>
      </c>
    </row>
    <row r="199" spans="1:4" ht="18" hidden="1" x14ac:dyDescent="0.3">
      <c r="A199" s="63" t="s">
        <v>44</v>
      </c>
      <c r="B199" s="7"/>
      <c r="C199" s="7"/>
      <c r="D199" s="8">
        <f t="shared" si="3"/>
        <v>0</v>
      </c>
    </row>
    <row r="200" spans="1:4" ht="18" hidden="1" x14ac:dyDescent="0.3">
      <c r="A200" s="65" t="s">
        <v>132</v>
      </c>
      <c r="B200" s="7"/>
      <c r="C200" s="7"/>
      <c r="D200" s="8">
        <f t="shared" si="3"/>
        <v>0</v>
      </c>
    </row>
    <row r="201" spans="1:4" ht="18" hidden="1" x14ac:dyDescent="0.3">
      <c r="A201" s="65" t="s">
        <v>133</v>
      </c>
      <c r="B201" s="7"/>
      <c r="C201" s="7"/>
      <c r="D201" s="8">
        <f t="shared" si="3"/>
        <v>0</v>
      </c>
    </row>
    <row r="202" spans="1:4" ht="18" hidden="1" x14ac:dyDescent="0.3">
      <c r="A202" s="65" t="s">
        <v>134</v>
      </c>
      <c r="B202" s="7"/>
      <c r="C202" s="7"/>
      <c r="D202" s="8">
        <f t="shared" si="3"/>
        <v>0</v>
      </c>
    </row>
    <row r="203" spans="1:4" ht="18" hidden="1" x14ac:dyDescent="0.3">
      <c r="A203" s="63" t="s">
        <v>135</v>
      </c>
      <c r="B203" s="7"/>
      <c r="C203" s="7"/>
      <c r="D203" s="8">
        <f t="shared" si="3"/>
        <v>0</v>
      </c>
    </row>
    <row r="204" spans="1:4" ht="18" hidden="1" x14ac:dyDescent="0.3">
      <c r="A204" s="65" t="s">
        <v>136</v>
      </c>
      <c r="B204" s="7"/>
      <c r="C204" s="7"/>
      <c r="D204" s="8">
        <f t="shared" si="3"/>
        <v>0</v>
      </c>
    </row>
    <row r="205" spans="1:4" ht="18" hidden="1" x14ac:dyDescent="0.3">
      <c r="A205" s="78" t="s">
        <v>198</v>
      </c>
      <c r="B205" s="7"/>
      <c r="C205" s="7"/>
      <c r="D205" s="8">
        <f t="shared" si="3"/>
        <v>0</v>
      </c>
    </row>
    <row r="206" spans="1:4" ht="18" hidden="1" x14ac:dyDescent="0.3">
      <c r="A206" s="61" t="s">
        <v>285</v>
      </c>
      <c r="B206" s="7"/>
      <c r="C206" s="7"/>
      <c r="D206" s="8">
        <f t="shared" si="3"/>
        <v>0</v>
      </c>
    </row>
    <row r="207" spans="1:4" ht="18" hidden="1" x14ac:dyDescent="0.3">
      <c r="A207" s="61" t="s">
        <v>286</v>
      </c>
      <c r="B207" s="7"/>
      <c r="C207" s="7"/>
      <c r="D207" s="8">
        <f t="shared" si="3"/>
        <v>0</v>
      </c>
    </row>
    <row r="208" spans="1:4" ht="18" hidden="1" x14ac:dyDescent="0.3">
      <c r="A208" s="73" t="s">
        <v>87</v>
      </c>
      <c r="B208" s="7"/>
      <c r="C208" s="7"/>
      <c r="D208" s="8">
        <f t="shared" si="3"/>
        <v>0</v>
      </c>
    </row>
    <row r="209" spans="1:4" ht="18" x14ac:dyDescent="0.3">
      <c r="A209" s="63" t="s">
        <v>57</v>
      </c>
      <c r="B209" s="7">
        <v>7</v>
      </c>
      <c r="C209" s="7">
        <v>10000</v>
      </c>
      <c r="D209" s="8">
        <f t="shared" si="3"/>
        <v>70000</v>
      </c>
    </row>
    <row r="210" spans="1:4" ht="18" hidden="1" x14ac:dyDescent="0.3">
      <c r="A210" s="63" t="s">
        <v>58</v>
      </c>
      <c r="B210" s="7"/>
      <c r="C210" s="7"/>
      <c r="D210" s="8">
        <f t="shared" si="3"/>
        <v>0</v>
      </c>
    </row>
    <row r="211" spans="1:4" ht="18" hidden="1" x14ac:dyDescent="0.3">
      <c r="A211" s="63" t="s">
        <v>88</v>
      </c>
      <c r="B211" s="7"/>
      <c r="C211" s="7"/>
      <c r="D211" s="8">
        <f t="shared" si="3"/>
        <v>0</v>
      </c>
    </row>
    <row r="212" spans="1:4" ht="18" hidden="1" x14ac:dyDescent="0.3">
      <c r="A212" s="63" t="s">
        <v>89</v>
      </c>
      <c r="B212" s="7"/>
      <c r="C212" s="7"/>
      <c r="D212" s="8">
        <f t="shared" si="3"/>
        <v>0</v>
      </c>
    </row>
    <row r="213" spans="1:4" ht="18" hidden="1" x14ac:dyDescent="0.3">
      <c r="A213" s="63" t="s">
        <v>137</v>
      </c>
      <c r="B213" s="12"/>
      <c r="C213" s="12"/>
      <c r="D213" s="8">
        <f t="shared" si="3"/>
        <v>0</v>
      </c>
    </row>
    <row r="214" spans="1:4" ht="18" hidden="1" x14ac:dyDescent="0.3">
      <c r="A214" s="63" t="s">
        <v>216</v>
      </c>
      <c r="B214" s="7"/>
      <c r="C214" s="7"/>
      <c r="D214" s="8">
        <f t="shared" si="3"/>
        <v>0</v>
      </c>
    </row>
    <row r="215" spans="1:4" ht="18" hidden="1" x14ac:dyDescent="0.3">
      <c r="A215" s="61" t="s">
        <v>20</v>
      </c>
      <c r="B215" s="7"/>
      <c r="C215" s="7"/>
      <c r="D215" s="8">
        <f t="shared" si="3"/>
        <v>0</v>
      </c>
    </row>
    <row r="216" spans="1:4" ht="18" x14ac:dyDescent="0.3">
      <c r="A216" s="63" t="s">
        <v>21</v>
      </c>
      <c r="B216" s="7">
        <f>35+10+10+43+36+60</f>
        <v>194</v>
      </c>
      <c r="C216" s="7">
        <v>25000</v>
      </c>
      <c r="D216" s="8">
        <f t="shared" si="3"/>
        <v>4850000</v>
      </c>
    </row>
    <row r="217" spans="1:4" ht="18" hidden="1" x14ac:dyDescent="0.3">
      <c r="A217" s="63" t="s">
        <v>22</v>
      </c>
      <c r="B217" s="7"/>
      <c r="C217" s="7"/>
      <c r="D217" s="8">
        <f t="shared" si="3"/>
        <v>0</v>
      </c>
    </row>
    <row r="218" spans="1:4" ht="18" hidden="1" x14ac:dyDescent="0.3">
      <c r="A218" s="63" t="s">
        <v>23</v>
      </c>
      <c r="B218" s="7"/>
      <c r="C218" s="7"/>
      <c r="D218" s="8">
        <f t="shared" si="3"/>
        <v>0</v>
      </c>
    </row>
    <row r="219" spans="1:4" ht="18" hidden="1" x14ac:dyDescent="0.3">
      <c r="A219" s="63" t="s">
        <v>24</v>
      </c>
      <c r="B219" s="7"/>
      <c r="C219" s="7"/>
      <c r="D219" s="8">
        <f t="shared" si="3"/>
        <v>0</v>
      </c>
    </row>
    <row r="220" spans="1:4" ht="18" hidden="1" x14ac:dyDescent="0.3">
      <c r="A220" s="63" t="s">
        <v>25</v>
      </c>
      <c r="B220" s="7"/>
      <c r="C220" s="7"/>
      <c r="D220" s="8">
        <f t="shared" si="3"/>
        <v>0</v>
      </c>
    </row>
    <row r="221" spans="1:4" ht="18" hidden="1" x14ac:dyDescent="0.3">
      <c r="A221" s="65" t="s">
        <v>227</v>
      </c>
      <c r="B221" s="7"/>
      <c r="C221" s="7"/>
      <c r="D221" s="8">
        <f t="shared" si="3"/>
        <v>0</v>
      </c>
    </row>
    <row r="222" spans="1:4" ht="18" hidden="1" x14ac:dyDescent="0.3">
      <c r="A222" s="64" t="s">
        <v>228</v>
      </c>
      <c r="B222" s="7"/>
      <c r="C222" s="7"/>
      <c r="D222" s="8">
        <f t="shared" si="3"/>
        <v>0</v>
      </c>
    </row>
    <row r="223" spans="1:4" ht="18" hidden="1" x14ac:dyDescent="0.3">
      <c r="A223" s="64" t="s">
        <v>229</v>
      </c>
      <c r="B223" s="7"/>
      <c r="C223" s="7"/>
      <c r="D223" s="8">
        <f t="shared" si="3"/>
        <v>0</v>
      </c>
    </row>
    <row r="224" spans="1:4" ht="18" x14ac:dyDescent="0.3">
      <c r="A224" s="63" t="s">
        <v>26</v>
      </c>
      <c r="B224" s="7">
        <v>30</v>
      </c>
      <c r="C224" s="7">
        <v>25000</v>
      </c>
      <c r="D224" s="8">
        <f t="shared" si="3"/>
        <v>750000</v>
      </c>
    </row>
    <row r="225" spans="1:4" ht="18" hidden="1" x14ac:dyDescent="0.3">
      <c r="A225" s="63" t="s">
        <v>27</v>
      </c>
      <c r="B225" s="7"/>
      <c r="C225" s="7"/>
      <c r="D225" s="8">
        <f t="shared" si="3"/>
        <v>0</v>
      </c>
    </row>
    <row r="226" spans="1:4" ht="18" hidden="1" x14ac:dyDescent="0.3">
      <c r="A226" s="63" t="s">
        <v>28</v>
      </c>
      <c r="B226" s="7"/>
      <c r="C226" s="7"/>
      <c r="D226" s="8">
        <f t="shared" si="3"/>
        <v>0</v>
      </c>
    </row>
    <row r="227" spans="1:4" ht="18" hidden="1" x14ac:dyDescent="0.3">
      <c r="A227" s="63" t="s">
        <v>29</v>
      </c>
      <c r="B227" s="7"/>
      <c r="C227" s="7"/>
      <c r="D227" s="8">
        <f t="shared" si="3"/>
        <v>0</v>
      </c>
    </row>
    <row r="228" spans="1:4" ht="18" x14ac:dyDescent="0.3">
      <c r="A228" s="63" t="s">
        <v>30</v>
      </c>
      <c r="B228" s="7">
        <f>35+30</f>
        <v>65</v>
      </c>
      <c r="C228" s="7">
        <v>20000</v>
      </c>
      <c r="D228" s="8">
        <f t="shared" si="3"/>
        <v>1300000</v>
      </c>
    </row>
    <row r="229" spans="1:4" ht="18" hidden="1" x14ac:dyDescent="0.3">
      <c r="A229" s="63" t="s">
        <v>31</v>
      </c>
      <c r="B229" s="7"/>
      <c r="C229" s="7"/>
      <c r="D229" s="8">
        <f t="shared" si="3"/>
        <v>0</v>
      </c>
    </row>
    <row r="230" spans="1:4" ht="18" hidden="1" x14ac:dyDescent="0.3">
      <c r="A230" s="63" t="s">
        <v>32</v>
      </c>
      <c r="B230" s="7"/>
      <c r="C230" s="7"/>
      <c r="D230" s="8">
        <f t="shared" si="3"/>
        <v>0</v>
      </c>
    </row>
    <row r="231" spans="1:4" ht="18" hidden="1" x14ac:dyDescent="0.3">
      <c r="A231" s="63" t="s">
        <v>90</v>
      </c>
      <c r="B231" s="12"/>
      <c r="C231" s="7"/>
      <c r="D231" s="8">
        <f t="shared" si="3"/>
        <v>0</v>
      </c>
    </row>
    <row r="232" spans="1:4" ht="18" hidden="1" x14ac:dyDescent="0.3">
      <c r="A232" s="74" t="s">
        <v>91</v>
      </c>
      <c r="B232" s="7"/>
      <c r="C232" s="7"/>
      <c r="D232" s="8">
        <f t="shared" si="3"/>
        <v>0</v>
      </c>
    </row>
    <row r="233" spans="1:4" ht="18" hidden="1" x14ac:dyDescent="0.3">
      <c r="A233" s="63" t="s">
        <v>217</v>
      </c>
      <c r="B233" s="7"/>
      <c r="C233" s="7"/>
      <c r="D233" s="8">
        <f t="shared" si="3"/>
        <v>0</v>
      </c>
    </row>
    <row r="234" spans="1:4" ht="18" hidden="1" x14ac:dyDescent="0.3">
      <c r="A234" s="61" t="s">
        <v>230</v>
      </c>
      <c r="B234" s="7"/>
      <c r="C234" s="7"/>
      <c r="D234" s="8">
        <f t="shared" si="3"/>
        <v>0</v>
      </c>
    </row>
    <row r="235" spans="1:4" ht="18" hidden="1" x14ac:dyDescent="0.3">
      <c r="A235" s="63" t="s">
        <v>231</v>
      </c>
      <c r="B235" s="7"/>
      <c r="C235" s="7"/>
      <c r="D235" s="8">
        <f t="shared" si="3"/>
        <v>0</v>
      </c>
    </row>
    <row r="236" spans="1:4" ht="18" hidden="1" x14ac:dyDescent="0.3">
      <c r="A236" s="63" t="s">
        <v>218</v>
      </c>
      <c r="B236" s="7"/>
      <c r="C236" s="7"/>
      <c r="D236" s="8">
        <f t="shared" si="3"/>
        <v>0</v>
      </c>
    </row>
    <row r="237" spans="1:4" ht="18" hidden="1" x14ac:dyDescent="0.3">
      <c r="A237" s="63" t="s">
        <v>118</v>
      </c>
      <c r="B237" s="7"/>
      <c r="C237" s="7"/>
      <c r="D237" s="8">
        <f t="shared" si="3"/>
        <v>0</v>
      </c>
    </row>
    <row r="238" spans="1:4" ht="18" hidden="1" x14ac:dyDescent="0.3">
      <c r="A238" s="63" t="s">
        <v>232</v>
      </c>
      <c r="B238" s="7"/>
      <c r="C238" s="7"/>
      <c r="D238" s="8">
        <f t="shared" si="3"/>
        <v>0</v>
      </c>
    </row>
    <row r="239" spans="1:4" ht="18" hidden="1" x14ac:dyDescent="0.3">
      <c r="A239" s="63" t="s">
        <v>70</v>
      </c>
      <c r="B239" s="7"/>
      <c r="C239" s="7"/>
      <c r="D239" s="8">
        <f t="shared" si="3"/>
        <v>0</v>
      </c>
    </row>
    <row r="240" spans="1:4" ht="18" hidden="1" x14ac:dyDescent="0.3">
      <c r="A240" s="63" t="s">
        <v>71</v>
      </c>
      <c r="B240" s="7"/>
      <c r="C240" s="7"/>
      <c r="D240" s="8">
        <f t="shared" si="3"/>
        <v>0</v>
      </c>
    </row>
    <row r="241" spans="1:4" ht="18" hidden="1" x14ac:dyDescent="0.3">
      <c r="A241" s="63" t="s">
        <v>146</v>
      </c>
      <c r="B241" s="7"/>
      <c r="C241" s="7"/>
      <c r="D241" s="8">
        <f t="shared" si="3"/>
        <v>0</v>
      </c>
    </row>
    <row r="242" spans="1:4" ht="18" hidden="1" x14ac:dyDescent="0.3">
      <c r="A242" s="61" t="s">
        <v>287</v>
      </c>
      <c r="B242" s="7"/>
      <c r="C242" s="7"/>
      <c r="D242" s="8">
        <f t="shared" si="3"/>
        <v>0</v>
      </c>
    </row>
    <row r="243" spans="1:4" ht="18" hidden="1" x14ac:dyDescent="0.3">
      <c r="A243" s="60" t="s">
        <v>138</v>
      </c>
      <c r="B243" s="12"/>
      <c r="C243" s="12"/>
      <c r="D243" s="8">
        <f t="shared" si="3"/>
        <v>0</v>
      </c>
    </row>
    <row r="244" spans="1:4" ht="18" hidden="1" x14ac:dyDescent="0.3">
      <c r="A244" s="65" t="s">
        <v>233</v>
      </c>
      <c r="B244" s="7"/>
      <c r="C244" s="7"/>
      <c r="D244" s="8">
        <f t="shared" si="3"/>
        <v>0</v>
      </c>
    </row>
    <row r="245" spans="1:4" ht="18" hidden="1" x14ac:dyDescent="0.3">
      <c r="A245" s="14" t="s">
        <v>100</v>
      </c>
      <c r="B245" s="7"/>
      <c r="C245" s="7"/>
      <c r="D245" s="8">
        <f t="shared" si="3"/>
        <v>0</v>
      </c>
    </row>
    <row r="246" spans="1:4" ht="18" hidden="1" x14ac:dyDescent="0.3">
      <c r="A246" s="14" t="s">
        <v>101</v>
      </c>
      <c r="B246" s="7"/>
      <c r="C246" s="7"/>
      <c r="D246" s="8">
        <f t="shared" si="3"/>
        <v>0</v>
      </c>
    </row>
    <row r="247" spans="1:4" ht="18" x14ac:dyDescent="0.3">
      <c r="A247" s="63" t="s">
        <v>259</v>
      </c>
      <c r="B247" s="7">
        <f>7+5+4</f>
        <v>16</v>
      </c>
      <c r="C247" s="7">
        <v>12000</v>
      </c>
      <c r="D247" s="8">
        <f t="shared" si="3"/>
        <v>192000</v>
      </c>
    </row>
    <row r="248" spans="1:4" ht="18" hidden="1" x14ac:dyDescent="0.3">
      <c r="A248" s="65" t="s">
        <v>260</v>
      </c>
      <c r="B248" s="7"/>
      <c r="C248" s="7"/>
      <c r="D248" s="8">
        <f t="shared" si="3"/>
        <v>0</v>
      </c>
    </row>
    <row r="249" spans="1:4" ht="18" hidden="1" x14ac:dyDescent="0.3">
      <c r="A249" s="63" t="s">
        <v>261</v>
      </c>
      <c r="B249" s="7"/>
      <c r="C249" s="7"/>
      <c r="D249" s="8">
        <f t="shared" si="3"/>
        <v>0</v>
      </c>
    </row>
    <row r="250" spans="1:4" ht="18" x14ac:dyDescent="0.3">
      <c r="A250" s="63" t="s">
        <v>275</v>
      </c>
      <c r="B250" s="7">
        <v>15</v>
      </c>
      <c r="C250" s="7">
        <v>4000</v>
      </c>
      <c r="D250" s="8">
        <f t="shared" si="3"/>
        <v>60000</v>
      </c>
    </row>
    <row r="251" spans="1:4" ht="18" hidden="1" x14ac:dyDescent="0.3">
      <c r="A251" s="65" t="s">
        <v>92</v>
      </c>
      <c r="B251" s="7"/>
      <c r="C251" s="7"/>
      <c r="D251" s="8">
        <f t="shared" si="3"/>
        <v>0</v>
      </c>
    </row>
    <row r="252" spans="1:4" ht="18" x14ac:dyDescent="0.3">
      <c r="A252" s="63" t="s">
        <v>139</v>
      </c>
      <c r="B252" s="7">
        <v>15</v>
      </c>
      <c r="C252" s="7">
        <v>10000</v>
      </c>
      <c r="D252" s="8">
        <f t="shared" si="3"/>
        <v>150000</v>
      </c>
    </row>
    <row r="253" spans="1:4" ht="18" hidden="1" x14ac:dyDescent="0.3">
      <c r="A253" s="72" t="s">
        <v>140</v>
      </c>
      <c r="B253" s="7"/>
      <c r="C253" s="7"/>
      <c r="D253" s="8">
        <f t="shared" si="3"/>
        <v>0</v>
      </c>
    </row>
    <row r="254" spans="1:4" ht="18" hidden="1" x14ac:dyDescent="0.3">
      <c r="A254" s="60" t="s">
        <v>93</v>
      </c>
      <c r="B254" s="7"/>
      <c r="C254" s="7"/>
      <c r="D254" s="8">
        <f t="shared" si="3"/>
        <v>0</v>
      </c>
    </row>
    <row r="255" spans="1:4" ht="18" hidden="1" x14ac:dyDescent="0.3">
      <c r="A255" s="65" t="s">
        <v>94</v>
      </c>
      <c r="B255" s="7"/>
      <c r="C255" s="7"/>
      <c r="D255" s="8">
        <f t="shared" si="3"/>
        <v>0</v>
      </c>
    </row>
    <row r="256" spans="1:4" ht="18" hidden="1" x14ac:dyDescent="0.3">
      <c r="A256" s="72" t="s">
        <v>76</v>
      </c>
      <c r="B256" s="7"/>
      <c r="C256" s="7"/>
      <c r="D256" s="8">
        <f t="shared" si="3"/>
        <v>0</v>
      </c>
    </row>
    <row r="257" spans="1:4" ht="18" hidden="1" x14ac:dyDescent="0.3">
      <c r="A257" s="63" t="s">
        <v>219</v>
      </c>
      <c r="B257" s="7"/>
      <c r="C257" s="7"/>
      <c r="D257" s="8">
        <f t="shared" si="3"/>
        <v>0</v>
      </c>
    </row>
    <row r="258" spans="1:4" ht="18" hidden="1" x14ac:dyDescent="0.3">
      <c r="A258" s="65" t="s">
        <v>220</v>
      </c>
      <c r="B258" s="7"/>
      <c r="C258" s="7"/>
      <c r="D258" s="8">
        <f t="shared" si="3"/>
        <v>0</v>
      </c>
    </row>
    <row r="259" spans="1:4" ht="18" hidden="1" x14ac:dyDescent="0.3">
      <c r="A259" s="60" t="s">
        <v>221</v>
      </c>
      <c r="B259" s="7"/>
      <c r="C259" s="7"/>
      <c r="D259" s="8">
        <f t="shared" si="3"/>
        <v>0</v>
      </c>
    </row>
    <row r="260" spans="1:4" ht="18" hidden="1" x14ac:dyDescent="0.3">
      <c r="A260" s="63" t="s">
        <v>288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3" t="s">
        <v>119</v>
      </c>
      <c r="B261" s="7"/>
      <c r="C261" s="7"/>
      <c r="D261" s="8">
        <f t="shared" si="4"/>
        <v>0</v>
      </c>
    </row>
    <row r="262" spans="1:4" ht="18" hidden="1" x14ac:dyDescent="0.3">
      <c r="A262" s="60" t="s">
        <v>141</v>
      </c>
      <c r="B262" s="7"/>
      <c r="C262" s="7"/>
      <c r="D262" s="8">
        <f t="shared" si="4"/>
        <v>0</v>
      </c>
    </row>
    <row r="263" spans="1:4" ht="18" hidden="1" x14ac:dyDescent="0.3">
      <c r="A263" s="60" t="s">
        <v>95</v>
      </c>
      <c r="B263" s="7"/>
      <c r="C263" s="7"/>
      <c r="D263" s="8">
        <f t="shared" si="4"/>
        <v>0</v>
      </c>
    </row>
    <row r="264" spans="1:4" ht="18" hidden="1" x14ac:dyDescent="0.3">
      <c r="A264" s="63" t="s">
        <v>169</v>
      </c>
      <c r="B264" s="7"/>
      <c r="C264" s="7"/>
      <c r="D264" s="8">
        <f t="shared" si="4"/>
        <v>0</v>
      </c>
    </row>
    <row r="265" spans="1:4" ht="18" hidden="1" x14ac:dyDescent="0.3">
      <c r="A265" s="72" t="s">
        <v>77</v>
      </c>
      <c r="B265" s="7"/>
      <c r="C265" s="7"/>
      <c r="D265" s="8">
        <f t="shared" si="4"/>
        <v>0</v>
      </c>
    </row>
    <row r="266" spans="1:4" ht="18" hidden="1" x14ac:dyDescent="0.3">
      <c r="A266" s="22" t="s">
        <v>78</v>
      </c>
      <c r="B266" s="7"/>
      <c r="C266" s="7"/>
      <c r="D266" s="8">
        <f t="shared" si="4"/>
        <v>0</v>
      </c>
    </row>
    <row r="267" spans="1:4" ht="18" hidden="1" x14ac:dyDescent="0.3">
      <c r="A267" s="64" t="s">
        <v>237</v>
      </c>
      <c r="B267" s="7"/>
      <c r="C267" s="7"/>
      <c r="D267" s="8">
        <f t="shared" si="4"/>
        <v>0</v>
      </c>
    </row>
    <row r="268" spans="1:4" ht="18" hidden="1" x14ac:dyDescent="0.3">
      <c r="A268" s="72" t="s">
        <v>79</v>
      </c>
      <c r="B268" s="7"/>
      <c r="C268" s="7"/>
      <c r="D268" s="8">
        <f t="shared" si="4"/>
        <v>0</v>
      </c>
    </row>
    <row r="269" spans="1:4" ht="18" hidden="1" x14ac:dyDescent="0.3">
      <c r="A269" s="63" t="s">
        <v>238</v>
      </c>
      <c r="B269" s="7"/>
      <c r="C269" s="7"/>
      <c r="D269" s="8">
        <f t="shared" si="4"/>
        <v>0</v>
      </c>
    </row>
    <row r="270" spans="1:4" ht="18" hidden="1" x14ac:dyDescent="0.3">
      <c r="A270" s="63" t="s">
        <v>239</v>
      </c>
      <c r="B270" s="7"/>
      <c r="C270" s="7"/>
      <c r="D270" s="8">
        <f t="shared" si="4"/>
        <v>0</v>
      </c>
    </row>
    <row r="271" spans="1:4" ht="18" hidden="1" x14ac:dyDescent="0.3">
      <c r="A271" s="63" t="s">
        <v>240</v>
      </c>
      <c r="B271" s="7"/>
      <c r="C271" s="7"/>
      <c r="D271" s="8">
        <f t="shared" si="4"/>
        <v>0</v>
      </c>
    </row>
    <row r="272" spans="1:4" ht="18" hidden="1" x14ac:dyDescent="0.3">
      <c r="A272" s="63" t="s">
        <v>241</v>
      </c>
      <c r="B272" s="7"/>
      <c r="C272" s="7"/>
      <c r="D272" s="8">
        <f t="shared" si="4"/>
        <v>0</v>
      </c>
    </row>
    <row r="273" spans="1:4" ht="18" hidden="1" x14ac:dyDescent="0.3">
      <c r="A273" s="64" t="s">
        <v>242</v>
      </c>
      <c r="B273" s="7"/>
      <c r="C273" s="7"/>
      <c r="D273" s="8">
        <f t="shared" si="4"/>
        <v>0</v>
      </c>
    </row>
    <row r="274" spans="1:4" ht="18" hidden="1" x14ac:dyDescent="0.3">
      <c r="A274" s="63" t="s">
        <v>243</v>
      </c>
      <c r="B274" s="7"/>
      <c r="C274" s="7"/>
      <c r="D274" s="8">
        <f t="shared" si="4"/>
        <v>0</v>
      </c>
    </row>
    <row r="275" spans="1:4" ht="18" hidden="1" x14ac:dyDescent="0.3">
      <c r="A275" s="63" t="s">
        <v>37</v>
      </c>
      <c r="B275" s="7"/>
      <c r="C275" s="7"/>
      <c r="D275" s="8">
        <f t="shared" si="4"/>
        <v>0</v>
      </c>
    </row>
    <row r="276" spans="1:4" ht="18" hidden="1" x14ac:dyDescent="0.3">
      <c r="A276" s="60" t="s">
        <v>170</v>
      </c>
      <c r="B276" s="7"/>
      <c r="C276" s="7"/>
      <c r="D276" s="8">
        <f t="shared" si="4"/>
        <v>0</v>
      </c>
    </row>
    <row r="277" spans="1:4" ht="18" hidden="1" x14ac:dyDescent="0.3">
      <c r="A277" s="63" t="s">
        <v>80</v>
      </c>
      <c r="B277" s="23"/>
      <c r="C277" s="23"/>
      <c r="D277" s="8">
        <f t="shared" si="4"/>
        <v>0</v>
      </c>
    </row>
    <row r="278" spans="1:4" ht="18" hidden="1" x14ac:dyDescent="0.3">
      <c r="A278" s="63" t="s">
        <v>244</v>
      </c>
      <c r="B278" s="7"/>
      <c r="C278" s="7"/>
      <c r="D278" s="8">
        <f t="shared" si="4"/>
        <v>0</v>
      </c>
    </row>
    <row r="279" spans="1:4" ht="18" hidden="1" x14ac:dyDescent="0.3">
      <c r="A279" s="63" t="s">
        <v>171</v>
      </c>
      <c r="B279" s="7"/>
      <c r="C279" s="7"/>
      <c r="D279" s="8">
        <f t="shared" si="4"/>
        <v>0</v>
      </c>
    </row>
    <row r="280" spans="1:4" ht="18" hidden="1" x14ac:dyDescent="0.3">
      <c r="A280" s="64" t="s">
        <v>245</v>
      </c>
      <c r="B280" s="7"/>
      <c r="C280" s="7"/>
      <c r="D280" s="8">
        <f t="shared" si="4"/>
        <v>0</v>
      </c>
    </row>
    <row r="281" spans="1:4" ht="18" hidden="1" x14ac:dyDescent="0.3">
      <c r="A281" s="64" t="s">
        <v>246</v>
      </c>
      <c r="B281" s="7"/>
      <c r="C281" s="7"/>
      <c r="D281" s="8">
        <f t="shared" si="4"/>
        <v>0</v>
      </c>
    </row>
    <row r="282" spans="1:4" ht="18" x14ac:dyDescent="0.3">
      <c r="A282" s="79" t="s">
        <v>247</v>
      </c>
      <c r="B282" s="7">
        <v>12</v>
      </c>
      <c r="C282" s="7">
        <v>30000</v>
      </c>
      <c r="D282" s="8">
        <f t="shared" si="4"/>
        <v>360000</v>
      </c>
    </row>
    <row r="283" spans="1:4" ht="18" hidden="1" x14ac:dyDescent="0.3">
      <c r="A283" s="79" t="s">
        <v>248</v>
      </c>
      <c r="B283" s="7"/>
      <c r="C283" s="7"/>
      <c r="D283" s="8">
        <f t="shared" si="4"/>
        <v>0</v>
      </c>
    </row>
    <row r="284" spans="1:4" ht="18" hidden="1" x14ac:dyDescent="0.3">
      <c r="A284" s="64" t="s">
        <v>249</v>
      </c>
      <c r="B284" s="7"/>
      <c r="C284" s="7"/>
      <c r="D284" s="8">
        <f t="shared" si="4"/>
        <v>0</v>
      </c>
    </row>
    <row r="285" spans="1:4" ht="18" hidden="1" x14ac:dyDescent="0.3">
      <c r="A285" s="79" t="s">
        <v>250</v>
      </c>
      <c r="B285" s="7"/>
      <c r="C285" s="7"/>
      <c r="D285" s="8">
        <f t="shared" si="4"/>
        <v>0</v>
      </c>
    </row>
    <row r="286" spans="1:4" ht="18" hidden="1" x14ac:dyDescent="0.3">
      <c r="A286" s="79" t="s">
        <v>251</v>
      </c>
      <c r="B286" s="7"/>
      <c r="C286" s="7"/>
      <c r="D286" s="8">
        <f t="shared" si="4"/>
        <v>0</v>
      </c>
    </row>
    <row r="287" spans="1:4" ht="18" hidden="1" x14ac:dyDescent="0.3">
      <c r="A287" s="79" t="s">
        <v>252</v>
      </c>
      <c r="B287" s="7"/>
      <c r="C287" s="7"/>
      <c r="D287" s="8">
        <f t="shared" si="4"/>
        <v>0</v>
      </c>
    </row>
    <row r="288" spans="1:4" ht="18" hidden="1" x14ac:dyDescent="0.3">
      <c r="A288" s="63" t="s">
        <v>253</v>
      </c>
      <c r="B288" s="7"/>
      <c r="C288" s="7"/>
      <c r="D288" s="8">
        <f t="shared" si="4"/>
        <v>0</v>
      </c>
    </row>
    <row r="289" spans="1:4" ht="18" hidden="1" x14ac:dyDescent="0.3">
      <c r="A289" s="63" t="s">
        <v>254</v>
      </c>
      <c r="B289" s="7"/>
      <c r="C289" s="7"/>
      <c r="D289" s="8">
        <f t="shared" si="4"/>
        <v>0</v>
      </c>
    </row>
    <row r="290" spans="1:4" ht="18" x14ac:dyDescent="0.3">
      <c r="A290" s="63" t="s">
        <v>255</v>
      </c>
      <c r="B290" s="7">
        <v>15</v>
      </c>
      <c r="C290" s="7">
        <v>28000</v>
      </c>
      <c r="D290" s="8">
        <f t="shared" si="4"/>
        <v>420000</v>
      </c>
    </row>
    <row r="291" spans="1:4" ht="18" hidden="1" x14ac:dyDescent="0.3">
      <c r="A291" s="63" t="s">
        <v>256</v>
      </c>
      <c r="B291" s="7"/>
      <c r="C291" s="7"/>
      <c r="D291" s="8">
        <f t="shared" si="4"/>
        <v>0</v>
      </c>
    </row>
    <row r="292" spans="1:4" ht="18" hidden="1" x14ac:dyDescent="0.3">
      <c r="A292" s="63" t="s">
        <v>257</v>
      </c>
      <c r="B292" s="7"/>
      <c r="C292" s="7"/>
      <c r="D292" s="8">
        <f t="shared" si="4"/>
        <v>0</v>
      </c>
    </row>
    <row r="293" spans="1:4" ht="18" hidden="1" x14ac:dyDescent="0.3">
      <c r="A293" s="63" t="s">
        <v>258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5239</v>
      </c>
      <c r="C294" s="32"/>
      <c r="D294" s="32">
        <f t="shared" si="5"/>
        <v>99698000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F53" sqref="F53"/>
    </sheetView>
  </sheetViews>
  <sheetFormatPr defaultRowHeight="14.4" x14ac:dyDescent="0.3"/>
  <cols>
    <col min="1" max="1" width="34.109375" customWidth="1"/>
    <col min="3" max="3" width="13" customWidth="1"/>
    <col min="4" max="4" width="17.77734375" customWidth="1"/>
  </cols>
  <sheetData>
    <row r="1" spans="1:4" x14ac:dyDescent="0.3">
      <c r="A1" s="57" t="s">
        <v>320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70" t="s">
        <v>72</v>
      </c>
      <c r="B3" s="7"/>
      <c r="C3" s="7"/>
      <c r="D3" s="8">
        <f>B3*C3</f>
        <v>0</v>
      </c>
    </row>
    <row r="4" spans="1:4" ht="18" hidden="1" x14ac:dyDescent="0.3">
      <c r="A4" s="71" t="s">
        <v>73</v>
      </c>
      <c r="B4" s="7"/>
      <c r="C4" s="7"/>
      <c r="D4" s="8">
        <f t="shared" ref="D4:D67" si="0">B4*C4</f>
        <v>0</v>
      </c>
    </row>
    <row r="5" spans="1:4" ht="18" hidden="1" x14ac:dyDescent="0.3">
      <c r="A5" s="70" t="s">
        <v>74</v>
      </c>
      <c r="B5" s="7"/>
      <c r="C5" s="7"/>
      <c r="D5" s="8">
        <f t="shared" si="0"/>
        <v>0</v>
      </c>
    </row>
    <row r="6" spans="1:4" ht="18" x14ac:dyDescent="0.3">
      <c r="A6" s="70" t="s">
        <v>190</v>
      </c>
      <c r="B6" s="7">
        <v>27</v>
      </c>
      <c r="C6" s="7">
        <v>6500</v>
      </c>
      <c r="D6" s="8">
        <f t="shared" si="0"/>
        <v>175500</v>
      </c>
    </row>
    <row r="7" spans="1:4" ht="18" hidden="1" x14ac:dyDescent="0.3">
      <c r="A7" s="63" t="s">
        <v>191</v>
      </c>
      <c r="B7" s="7"/>
      <c r="C7" s="7"/>
      <c r="D7" s="8">
        <f t="shared" si="0"/>
        <v>0</v>
      </c>
    </row>
    <row r="8" spans="1:4" ht="18" hidden="1" x14ac:dyDescent="0.3">
      <c r="A8" s="70" t="s">
        <v>308</v>
      </c>
      <c r="B8" s="7"/>
      <c r="C8" s="7"/>
      <c r="D8" s="8">
        <f t="shared" si="0"/>
        <v>0</v>
      </c>
    </row>
    <row r="9" spans="1:4" ht="18" hidden="1" x14ac:dyDescent="0.3">
      <c r="A9" s="63" t="s">
        <v>49</v>
      </c>
      <c r="B9" s="7"/>
      <c r="C9" s="7"/>
      <c r="D9" s="8">
        <f t="shared" si="0"/>
        <v>0</v>
      </c>
    </row>
    <row r="10" spans="1:4" ht="18" x14ac:dyDescent="0.3">
      <c r="A10" s="63" t="s">
        <v>50</v>
      </c>
      <c r="B10" s="7">
        <v>80</v>
      </c>
      <c r="C10" s="7">
        <v>6000</v>
      </c>
      <c r="D10" s="8">
        <f t="shared" si="0"/>
        <v>480000</v>
      </c>
    </row>
    <row r="11" spans="1:4" ht="18" hidden="1" x14ac:dyDescent="0.3">
      <c r="A11" s="60" t="s">
        <v>51</v>
      </c>
      <c r="B11" s="7"/>
      <c r="C11" s="7"/>
      <c r="D11" s="8">
        <f t="shared" si="0"/>
        <v>0</v>
      </c>
    </row>
    <row r="12" spans="1:4" ht="18" hidden="1" x14ac:dyDescent="0.3">
      <c r="A12" s="60" t="s">
        <v>199</v>
      </c>
      <c r="B12" s="7"/>
      <c r="C12" s="7"/>
      <c r="D12" s="8">
        <f t="shared" si="0"/>
        <v>0</v>
      </c>
    </row>
    <row r="13" spans="1:4" ht="18" hidden="1" x14ac:dyDescent="0.3">
      <c r="A13" s="63" t="s">
        <v>117</v>
      </c>
      <c r="B13" s="7"/>
      <c r="C13" s="7"/>
      <c r="D13" s="8">
        <f t="shared" si="0"/>
        <v>0</v>
      </c>
    </row>
    <row r="14" spans="1:4" ht="18" hidden="1" x14ac:dyDescent="0.3">
      <c r="A14" s="63" t="s">
        <v>276</v>
      </c>
      <c r="B14" s="7"/>
      <c r="C14" s="7"/>
      <c r="D14" s="8">
        <f t="shared" si="0"/>
        <v>0</v>
      </c>
    </row>
    <row r="15" spans="1:4" ht="18" x14ac:dyDescent="0.3">
      <c r="A15" s="72" t="s">
        <v>277</v>
      </c>
      <c r="B15" s="7">
        <v>22</v>
      </c>
      <c r="C15" s="7">
        <v>3500</v>
      </c>
      <c r="D15" s="8">
        <f t="shared" si="0"/>
        <v>77000</v>
      </c>
    </row>
    <row r="16" spans="1:4" ht="18" hidden="1" x14ac:dyDescent="0.3">
      <c r="A16" s="61" t="s">
        <v>278</v>
      </c>
      <c r="B16" s="7"/>
      <c r="C16" s="7"/>
      <c r="D16" s="8">
        <f t="shared" si="0"/>
        <v>0</v>
      </c>
    </row>
    <row r="17" spans="1:4" ht="18" x14ac:dyDescent="0.3">
      <c r="A17" s="63" t="s">
        <v>120</v>
      </c>
      <c r="B17" s="7">
        <f>2326+105+45+30+45+400</f>
        <v>2951</v>
      </c>
      <c r="C17" s="7">
        <v>5000</v>
      </c>
      <c r="D17" s="8">
        <f t="shared" si="0"/>
        <v>14755000</v>
      </c>
    </row>
    <row r="18" spans="1:4" ht="18" hidden="1" x14ac:dyDescent="0.3">
      <c r="A18" s="60" t="s">
        <v>59</v>
      </c>
      <c r="B18" s="7"/>
      <c r="C18" s="7"/>
      <c r="D18" s="8">
        <f t="shared" si="0"/>
        <v>0</v>
      </c>
    </row>
    <row r="19" spans="1:4" ht="18" hidden="1" x14ac:dyDescent="0.3">
      <c r="A19" s="60" t="s">
        <v>60</v>
      </c>
      <c r="B19" s="7"/>
      <c r="C19" s="7"/>
      <c r="D19" s="8">
        <f t="shared" si="0"/>
        <v>0</v>
      </c>
    </row>
    <row r="20" spans="1:4" ht="18" x14ac:dyDescent="0.3">
      <c r="A20" s="63" t="s">
        <v>262</v>
      </c>
      <c r="B20" s="7">
        <v>20</v>
      </c>
      <c r="C20" s="7">
        <v>11000</v>
      </c>
      <c r="D20" s="8">
        <f t="shared" si="0"/>
        <v>220000</v>
      </c>
    </row>
    <row r="21" spans="1:4" ht="18" x14ac:dyDescent="0.3">
      <c r="A21" s="63" t="s">
        <v>263</v>
      </c>
      <c r="B21" s="7">
        <f>12+45</f>
        <v>57</v>
      </c>
      <c r="C21" s="7">
        <v>8000</v>
      </c>
      <c r="D21" s="8">
        <f t="shared" si="0"/>
        <v>456000</v>
      </c>
    </row>
    <row r="22" spans="1:4" ht="18" hidden="1" x14ac:dyDescent="0.3">
      <c r="A22" s="63" t="s">
        <v>264</v>
      </c>
      <c r="B22" s="7"/>
      <c r="C22" s="7"/>
      <c r="D22" s="8">
        <f t="shared" si="0"/>
        <v>0</v>
      </c>
    </row>
    <row r="23" spans="1:4" ht="18" hidden="1" x14ac:dyDescent="0.3">
      <c r="A23" s="63" t="s">
        <v>265</v>
      </c>
      <c r="B23" s="7"/>
      <c r="C23" s="7"/>
      <c r="D23" s="8">
        <f t="shared" si="0"/>
        <v>0</v>
      </c>
    </row>
    <row r="24" spans="1:4" ht="18" hidden="1" x14ac:dyDescent="0.3">
      <c r="A24" s="63" t="s">
        <v>63</v>
      </c>
      <c r="B24" s="7"/>
      <c r="C24" s="7"/>
      <c r="D24" s="8">
        <f t="shared" si="0"/>
        <v>0</v>
      </c>
    </row>
    <row r="25" spans="1:4" ht="18" hidden="1" x14ac:dyDescent="0.3">
      <c r="A25" s="60" t="s">
        <v>64</v>
      </c>
      <c r="B25" s="7"/>
      <c r="C25" s="7"/>
      <c r="D25" s="8">
        <f t="shared" si="0"/>
        <v>0</v>
      </c>
    </row>
    <row r="26" spans="1:4" ht="18" hidden="1" x14ac:dyDescent="0.3">
      <c r="A26" s="60" t="s">
        <v>65</v>
      </c>
      <c r="B26" s="7"/>
      <c r="C26" s="7"/>
      <c r="D26" s="8">
        <f t="shared" si="0"/>
        <v>0</v>
      </c>
    </row>
    <row r="27" spans="1:4" ht="18" hidden="1" x14ac:dyDescent="0.3">
      <c r="A27" s="63" t="s">
        <v>222</v>
      </c>
      <c r="B27" s="7"/>
      <c r="C27" s="7"/>
      <c r="D27" s="8">
        <f t="shared" si="0"/>
        <v>0</v>
      </c>
    </row>
    <row r="28" spans="1:4" ht="18" hidden="1" x14ac:dyDescent="0.3">
      <c r="A28" s="63" t="s">
        <v>223</v>
      </c>
      <c r="B28" s="7"/>
      <c r="C28" s="7"/>
      <c r="D28" s="8">
        <f t="shared" si="0"/>
        <v>0</v>
      </c>
    </row>
    <row r="29" spans="1:4" ht="18" hidden="1" x14ac:dyDescent="0.3">
      <c r="A29" s="61" t="s">
        <v>224</v>
      </c>
      <c r="B29" s="12"/>
      <c r="C29" s="12"/>
      <c r="D29" s="8">
        <f t="shared" si="0"/>
        <v>0</v>
      </c>
    </row>
    <row r="30" spans="1:4" ht="18" hidden="1" x14ac:dyDescent="0.3">
      <c r="A30" s="61" t="s">
        <v>225</v>
      </c>
      <c r="B30" s="7"/>
      <c r="C30" s="7"/>
      <c r="D30" s="8">
        <f t="shared" si="0"/>
        <v>0</v>
      </c>
    </row>
    <row r="31" spans="1:4" ht="18" hidden="1" x14ac:dyDescent="0.3">
      <c r="A31" s="61" t="s">
        <v>226</v>
      </c>
      <c r="B31" s="12"/>
      <c r="C31" s="12"/>
      <c r="D31" s="8">
        <f t="shared" si="0"/>
        <v>0</v>
      </c>
    </row>
    <row r="32" spans="1:4" ht="18" hidden="1" x14ac:dyDescent="0.3">
      <c r="A32" s="63" t="s">
        <v>121</v>
      </c>
      <c r="B32" s="7"/>
      <c r="C32" s="7"/>
      <c r="D32" s="8">
        <f t="shared" si="0"/>
        <v>0</v>
      </c>
    </row>
    <row r="33" spans="1:4" ht="18" x14ac:dyDescent="0.3">
      <c r="A33" s="63" t="s">
        <v>145</v>
      </c>
      <c r="B33" s="7">
        <v>5</v>
      </c>
      <c r="C33" s="7">
        <v>5000</v>
      </c>
      <c r="D33" s="8">
        <f t="shared" si="0"/>
        <v>25000</v>
      </c>
    </row>
    <row r="34" spans="1:4" ht="18" hidden="1" x14ac:dyDescent="0.3">
      <c r="A34" s="65" t="s">
        <v>97</v>
      </c>
      <c r="B34" s="7"/>
      <c r="C34" s="7"/>
      <c r="D34" s="8">
        <f t="shared" si="0"/>
        <v>0</v>
      </c>
    </row>
    <row r="35" spans="1:4" ht="18" hidden="1" x14ac:dyDescent="0.3">
      <c r="A35" s="63" t="s">
        <v>98</v>
      </c>
      <c r="B35" s="7"/>
      <c r="C35" s="7"/>
      <c r="D35" s="8">
        <f t="shared" si="0"/>
        <v>0</v>
      </c>
    </row>
    <row r="36" spans="1:4" ht="18" hidden="1" x14ac:dyDescent="0.3">
      <c r="A36" s="63" t="s">
        <v>99</v>
      </c>
      <c r="B36" s="7"/>
      <c r="C36" s="7"/>
      <c r="D36" s="8">
        <f t="shared" si="0"/>
        <v>0</v>
      </c>
    </row>
    <row r="37" spans="1:4" ht="18" hidden="1" x14ac:dyDescent="0.3">
      <c r="A37" s="63" t="s">
        <v>266</v>
      </c>
      <c r="B37" s="7"/>
      <c r="C37" s="7"/>
      <c r="D37" s="8">
        <f t="shared" si="0"/>
        <v>0</v>
      </c>
    </row>
    <row r="38" spans="1:4" ht="18" hidden="1" x14ac:dyDescent="0.3">
      <c r="A38" s="63" t="s">
        <v>267</v>
      </c>
      <c r="B38" s="7"/>
      <c r="C38" s="7"/>
      <c r="D38" s="8">
        <f t="shared" si="0"/>
        <v>0</v>
      </c>
    </row>
    <row r="39" spans="1:4" ht="18" hidden="1" x14ac:dyDescent="0.3">
      <c r="A39" s="74" t="s">
        <v>268</v>
      </c>
      <c r="B39" s="7"/>
      <c r="C39" s="7"/>
      <c r="D39" s="8">
        <f t="shared" si="0"/>
        <v>0</v>
      </c>
    </row>
    <row r="40" spans="1:4" ht="18" hidden="1" x14ac:dyDescent="0.3">
      <c r="A40" s="61" t="s">
        <v>122</v>
      </c>
      <c r="B40" s="7"/>
      <c r="C40" s="7"/>
      <c r="D40" s="8">
        <f t="shared" si="0"/>
        <v>0</v>
      </c>
    </row>
    <row r="41" spans="1:4" ht="18" hidden="1" x14ac:dyDescent="0.3">
      <c r="A41" s="74" t="s">
        <v>123</v>
      </c>
      <c r="B41" s="7"/>
      <c r="C41" s="7"/>
      <c r="D41" s="8">
        <f t="shared" si="0"/>
        <v>0</v>
      </c>
    </row>
    <row r="42" spans="1:4" ht="18" hidden="1" x14ac:dyDescent="0.3">
      <c r="A42" s="63" t="s">
        <v>269</v>
      </c>
      <c r="B42" s="7"/>
      <c r="C42" s="7"/>
      <c r="D42" s="8">
        <f t="shared" si="0"/>
        <v>0</v>
      </c>
    </row>
    <row r="43" spans="1:4" ht="18" hidden="1" x14ac:dyDescent="0.3">
      <c r="A43" s="63" t="s">
        <v>270</v>
      </c>
      <c r="B43" s="7"/>
      <c r="C43" s="7"/>
      <c r="D43" s="8">
        <f t="shared" si="0"/>
        <v>0</v>
      </c>
    </row>
    <row r="44" spans="1:4" ht="18" x14ac:dyDescent="0.3">
      <c r="A44" s="60" t="s">
        <v>113</v>
      </c>
      <c r="B44" s="7">
        <v>300</v>
      </c>
      <c r="C44" s="7">
        <v>15000</v>
      </c>
      <c r="D44" s="8">
        <f t="shared" si="0"/>
        <v>4500000</v>
      </c>
    </row>
    <row r="45" spans="1:4" ht="18" hidden="1" x14ac:dyDescent="0.3">
      <c r="A45" s="63" t="s">
        <v>147</v>
      </c>
      <c r="B45" s="7"/>
      <c r="C45" s="7"/>
      <c r="D45" s="8">
        <f t="shared" si="0"/>
        <v>0</v>
      </c>
    </row>
    <row r="46" spans="1:4" ht="18" hidden="1" x14ac:dyDescent="0.3">
      <c r="A46" s="81" t="s">
        <v>148</v>
      </c>
      <c r="B46" s="7"/>
      <c r="C46" s="7"/>
      <c r="D46" s="8">
        <f t="shared" si="0"/>
        <v>0</v>
      </c>
    </row>
    <row r="47" spans="1:4" ht="18" hidden="1" x14ac:dyDescent="0.3">
      <c r="A47" s="68" t="s">
        <v>149</v>
      </c>
      <c r="B47" s="7"/>
      <c r="C47" s="7"/>
      <c r="D47" s="8">
        <f t="shared" si="0"/>
        <v>0</v>
      </c>
    </row>
    <row r="48" spans="1:4" ht="18" hidden="1" x14ac:dyDescent="0.3">
      <c r="A48" s="63" t="s">
        <v>150</v>
      </c>
      <c r="B48" s="7"/>
      <c r="C48" s="7"/>
      <c r="D48" s="8">
        <f t="shared" si="0"/>
        <v>0</v>
      </c>
    </row>
    <row r="49" spans="1:4" ht="18" hidden="1" x14ac:dyDescent="0.3">
      <c r="A49" s="61" t="s">
        <v>151</v>
      </c>
      <c r="B49" s="7"/>
      <c r="C49" s="7"/>
      <c r="D49" s="8">
        <f t="shared" si="0"/>
        <v>0</v>
      </c>
    </row>
    <row r="50" spans="1:4" ht="18" hidden="1" x14ac:dyDescent="0.3">
      <c r="A50" s="63" t="s">
        <v>152</v>
      </c>
      <c r="B50" s="7"/>
      <c r="C50" s="7"/>
      <c r="D50" s="8">
        <f t="shared" si="0"/>
        <v>0</v>
      </c>
    </row>
    <row r="51" spans="1:4" ht="18" hidden="1" x14ac:dyDescent="0.3">
      <c r="A51" s="63" t="s">
        <v>153</v>
      </c>
      <c r="B51" s="7"/>
      <c r="C51" s="7"/>
      <c r="D51" s="8">
        <f t="shared" si="0"/>
        <v>0</v>
      </c>
    </row>
    <row r="52" spans="1:4" ht="18" hidden="1" x14ac:dyDescent="0.3">
      <c r="A52" s="68" t="s">
        <v>75</v>
      </c>
      <c r="B52" s="7"/>
      <c r="C52" s="7"/>
      <c r="D52" s="8">
        <f t="shared" si="0"/>
        <v>0</v>
      </c>
    </row>
    <row r="53" spans="1:4" ht="18" x14ac:dyDescent="0.3">
      <c r="A53" s="63" t="s">
        <v>114</v>
      </c>
      <c r="B53" s="7">
        <f>200+65</f>
        <v>265</v>
      </c>
      <c r="C53" s="7">
        <v>12000</v>
      </c>
      <c r="D53" s="8">
        <f t="shared" si="0"/>
        <v>3180000</v>
      </c>
    </row>
    <row r="54" spans="1:4" ht="18" hidden="1" x14ac:dyDescent="0.3">
      <c r="A54" s="63" t="s">
        <v>154</v>
      </c>
      <c r="B54" s="7"/>
      <c r="C54" s="7"/>
      <c r="D54" s="8">
        <f t="shared" si="0"/>
        <v>0</v>
      </c>
    </row>
    <row r="55" spans="1:4" ht="18" hidden="1" x14ac:dyDescent="0.3">
      <c r="A55" s="63" t="s">
        <v>155</v>
      </c>
      <c r="B55" s="7"/>
      <c r="C55" s="7"/>
      <c r="D55" s="8">
        <f t="shared" si="0"/>
        <v>0</v>
      </c>
    </row>
    <row r="56" spans="1:4" ht="18" hidden="1" x14ac:dyDescent="0.3">
      <c r="A56" s="62" t="s">
        <v>156</v>
      </c>
      <c r="B56" s="7"/>
      <c r="C56" s="7"/>
      <c r="D56" s="8">
        <f t="shared" si="0"/>
        <v>0</v>
      </c>
    </row>
    <row r="57" spans="1:4" ht="18" hidden="1" x14ac:dyDescent="0.3">
      <c r="A57" s="60" t="s">
        <v>283</v>
      </c>
      <c r="B57" s="7"/>
      <c r="C57" s="7"/>
      <c r="D57" s="8">
        <f t="shared" si="0"/>
        <v>0</v>
      </c>
    </row>
    <row r="58" spans="1:4" ht="18" x14ac:dyDescent="0.3">
      <c r="A58" s="60" t="s">
        <v>303</v>
      </c>
      <c r="B58" s="7">
        <v>44</v>
      </c>
      <c r="C58" s="7">
        <v>7000</v>
      </c>
      <c r="D58" s="8">
        <f t="shared" si="0"/>
        <v>308000</v>
      </c>
    </row>
    <row r="59" spans="1:4" ht="18" hidden="1" x14ac:dyDescent="0.3">
      <c r="A59" s="82" t="s">
        <v>304</v>
      </c>
      <c r="B59" s="7"/>
      <c r="C59" s="7"/>
      <c r="D59" s="8">
        <f t="shared" si="0"/>
        <v>0</v>
      </c>
    </row>
    <row r="60" spans="1:4" ht="18" hidden="1" x14ac:dyDescent="0.3">
      <c r="A60" s="60" t="s">
        <v>305</v>
      </c>
      <c r="B60" s="7"/>
      <c r="C60" s="7"/>
      <c r="D60" s="8">
        <f t="shared" si="0"/>
        <v>0</v>
      </c>
    </row>
    <row r="61" spans="1:4" ht="18" hidden="1" x14ac:dyDescent="0.3">
      <c r="A61" s="60" t="s">
        <v>306</v>
      </c>
      <c r="B61" s="7"/>
      <c r="C61" s="7"/>
      <c r="D61" s="8">
        <f t="shared" si="0"/>
        <v>0</v>
      </c>
    </row>
    <row r="62" spans="1:4" ht="18" hidden="1" x14ac:dyDescent="0.3">
      <c r="A62" s="60" t="s">
        <v>2</v>
      </c>
      <c r="B62" s="7"/>
      <c r="C62" s="7"/>
      <c r="D62" s="8">
        <f t="shared" si="0"/>
        <v>0</v>
      </c>
    </row>
    <row r="63" spans="1:4" ht="18" hidden="1" x14ac:dyDescent="0.3">
      <c r="A63" s="62" t="s">
        <v>3</v>
      </c>
      <c r="B63" s="7"/>
      <c r="C63" s="7"/>
      <c r="D63" s="8">
        <f t="shared" si="0"/>
        <v>0</v>
      </c>
    </row>
    <row r="64" spans="1:4" ht="18" hidden="1" x14ac:dyDescent="0.3">
      <c r="A64" s="63" t="s">
        <v>4</v>
      </c>
      <c r="B64" s="7"/>
      <c r="C64" s="7"/>
      <c r="D64" s="8">
        <f t="shared" si="0"/>
        <v>0</v>
      </c>
    </row>
    <row r="65" spans="1:4" ht="18" hidden="1" x14ac:dyDescent="0.3">
      <c r="A65" s="63" t="s">
        <v>115</v>
      </c>
      <c r="B65" s="7"/>
      <c r="C65" s="7"/>
      <c r="D65" s="8">
        <f t="shared" si="0"/>
        <v>0</v>
      </c>
    </row>
    <row r="66" spans="1:4" ht="18" hidden="1" x14ac:dyDescent="0.3">
      <c r="A66" s="60" t="s">
        <v>116</v>
      </c>
      <c r="B66" s="7"/>
      <c r="C66" s="7"/>
      <c r="D66" s="8">
        <f t="shared" si="0"/>
        <v>0</v>
      </c>
    </row>
    <row r="67" spans="1:4" ht="18" x14ac:dyDescent="0.3">
      <c r="A67" s="63" t="s">
        <v>163</v>
      </c>
      <c r="B67" s="7">
        <v>90</v>
      </c>
      <c r="C67" s="7">
        <v>15000</v>
      </c>
      <c r="D67" s="8">
        <f t="shared" si="0"/>
        <v>1350000</v>
      </c>
    </row>
    <row r="68" spans="1:4" ht="18" hidden="1" x14ac:dyDescent="0.3">
      <c r="A68" s="74" t="s">
        <v>164</v>
      </c>
      <c r="B68" s="7"/>
      <c r="C68" s="7"/>
      <c r="D68" s="8">
        <f t="shared" ref="D68:D131" si="1">B68*C68</f>
        <v>0</v>
      </c>
    </row>
    <row r="69" spans="1:4" ht="18" x14ac:dyDescent="0.3">
      <c r="A69" s="63" t="s">
        <v>319</v>
      </c>
      <c r="B69" s="7">
        <v>60</v>
      </c>
      <c r="C69" s="7">
        <v>18000</v>
      </c>
      <c r="D69" s="8">
        <f t="shared" si="1"/>
        <v>1080000</v>
      </c>
    </row>
    <row r="70" spans="1:4" ht="18" hidden="1" x14ac:dyDescent="0.3">
      <c r="A70" s="63" t="s">
        <v>166</v>
      </c>
      <c r="B70" s="7"/>
      <c r="C70" s="7"/>
      <c r="D70" s="8">
        <f t="shared" si="1"/>
        <v>0</v>
      </c>
    </row>
    <row r="71" spans="1:4" ht="18" hidden="1" x14ac:dyDescent="0.3">
      <c r="A71" s="63" t="s">
        <v>167</v>
      </c>
      <c r="B71" s="7"/>
      <c r="C71" s="7"/>
      <c r="D71" s="8">
        <f t="shared" si="1"/>
        <v>0</v>
      </c>
    </row>
    <row r="72" spans="1:4" ht="18" hidden="1" x14ac:dyDescent="0.3">
      <c r="A72" s="60" t="s">
        <v>9</v>
      </c>
      <c r="B72" s="12"/>
      <c r="C72" s="12"/>
      <c r="D72" s="8">
        <f t="shared" si="1"/>
        <v>0</v>
      </c>
    </row>
    <row r="73" spans="1:4" ht="18" hidden="1" x14ac:dyDescent="0.3">
      <c r="A73" s="60" t="s">
        <v>10</v>
      </c>
      <c r="B73" s="12"/>
      <c r="C73" s="12"/>
      <c r="D73" s="8">
        <f t="shared" si="1"/>
        <v>0</v>
      </c>
    </row>
    <row r="74" spans="1:4" ht="18" hidden="1" x14ac:dyDescent="0.3">
      <c r="A74" s="63" t="s">
        <v>81</v>
      </c>
      <c r="B74" s="7"/>
      <c r="C74" s="7"/>
      <c r="D74" s="8">
        <f t="shared" si="1"/>
        <v>0</v>
      </c>
    </row>
    <row r="75" spans="1:4" ht="18" hidden="1" x14ac:dyDescent="0.3">
      <c r="A75" s="63" t="s">
        <v>82</v>
      </c>
      <c r="B75" s="7"/>
      <c r="C75" s="7"/>
      <c r="D75" s="8">
        <f t="shared" si="1"/>
        <v>0</v>
      </c>
    </row>
    <row r="76" spans="1:4" ht="18" hidden="1" x14ac:dyDescent="0.3">
      <c r="A76" s="63" t="s">
        <v>83</v>
      </c>
      <c r="B76" s="7"/>
      <c r="C76" s="7"/>
      <c r="D76" s="8">
        <f t="shared" si="1"/>
        <v>0</v>
      </c>
    </row>
    <row r="77" spans="1:4" ht="18" hidden="1" x14ac:dyDescent="0.3">
      <c r="A77" s="63" t="s">
        <v>84</v>
      </c>
      <c r="B77" s="7"/>
      <c r="C77" s="7"/>
      <c r="D77" s="8">
        <f t="shared" si="1"/>
        <v>0</v>
      </c>
    </row>
    <row r="78" spans="1:4" ht="18" hidden="1" x14ac:dyDescent="0.3">
      <c r="A78" s="63" t="s">
        <v>85</v>
      </c>
      <c r="B78" s="7"/>
      <c r="C78" s="7"/>
      <c r="D78" s="8">
        <f t="shared" si="1"/>
        <v>0</v>
      </c>
    </row>
    <row r="79" spans="1:4" ht="18" hidden="1" x14ac:dyDescent="0.3">
      <c r="A79" s="63" t="s">
        <v>188</v>
      </c>
      <c r="B79" s="7"/>
      <c r="C79" s="7"/>
      <c r="D79" s="8">
        <f t="shared" si="1"/>
        <v>0</v>
      </c>
    </row>
    <row r="80" spans="1:4" ht="18" hidden="1" x14ac:dyDescent="0.3">
      <c r="A80" s="64" t="s">
        <v>189</v>
      </c>
      <c r="B80" s="7"/>
      <c r="C80" s="7"/>
      <c r="D80" s="8">
        <f t="shared" si="1"/>
        <v>0</v>
      </c>
    </row>
    <row r="81" spans="1:4" ht="18" hidden="1" x14ac:dyDescent="0.3">
      <c r="A81" s="13" t="s">
        <v>172</v>
      </c>
      <c r="B81" s="7"/>
      <c r="C81" s="7"/>
      <c r="D81" s="8">
        <f t="shared" si="1"/>
        <v>0</v>
      </c>
    </row>
    <row r="82" spans="1:4" ht="18" hidden="1" x14ac:dyDescent="0.3">
      <c r="A82" s="13" t="s">
        <v>173</v>
      </c>
      <c r="B82" s="7"/>
      <c r="C82" s="7"/>
      <c r="D82" s="8">
        <f t="shared" si="1"/>
        <v>0</v>
      </c>
    </row>
    <row r="83" spans="1:4" ht="18" hidden="1" x14ac:dyDescent="0.3">
      <c r="A83" s="61" t="s">
        <v>174</v>
      </c>
      <c r="B83" s="7"/>
      <c r="C83" s="7"/>
      <c r="D83" s="8">
        <f t="shared" si="1"/>
        <v>0</v>
      </c>
    </row>
    <row r="84" spans="1:4" ht="18" hidden="1" x14ac:dyDescent="0.3">
      <c r="A84" s="74" t="s">
        <v>168</v>
      </c>
      <c r="B84" s="7"/>
      <c r="C84" s="7"/>
      <c r="D84" s="8">
        <f t="shared" si="1"/>
        <v>0</v>
      </c>
    </row>
    <row r="85" spans="1:4" ht="18" hidden="1" x14ac:dyDescent="0.3">
      <c r="A85" s="61" t="s">
        <v>200</v>
      </c>
      <c r="B85" s="7"/>
      <c r="C85" s="7"/>
      <c r="D85" s="8">
        <f t="shared" si="1"/>
        <v>0</v>
      </c>
    </row>
    <row r="86" spans="1:4" ht="18" hidden="1" x14ac:dyDescent="0.3">
      <c r="A86" s="63" t="s">
        <v>11</v>
      </c>
      <c r="B86" s="7"/>
      <c r="C86" s="7"/>
      <c r="D86" s="8">
        <f t="shared" si="1"/>
        <v>0</v>
      </c>
    </row>
    <row r="87" spans="1:4" ht="18" hidden="1" x14ac:dyDescent="0.3">
      <c r="A87" s="63" t="s">
        <v>12</v>
      </c>
      <c r="B87" s="7"/>
      <c r="C87" s="7"/>
      <c r="D87" s="8">
        <f t="shared" si="1"/>
        <v>0</v>
      </c>
    </row>
    <row r="88" spans="1:4" ht="18" hidden="1" x14ac:dyDescent="0.3">
      <c r="A88" s="61" t="s">
        <v>201</v>
      </c>
      <c r="B88" s="7"/>
      <c r="C88" s="7"/>
      <c r="D88" s="8">
        <f t="shared" si="1"/>
        <v>0</v>
      </c>
    </row>
    <row r="89" spans="1:4" ht="18" hidden="1" x14ac:dyDescent="0.3">
      <c r="A89" s="61" t="s">
        <v>202</v>
      </c>
      <c r="B89" s="7"/>
      <c r="C89" s="7"/>
      <c r="D89" s="8">
        <f t="shared" si="1"/>
        <v>0</v>
      </c>
    </row>
    <row r="90" spans="1:4" ht="18" hidden="1" x14ac:dyDescent="0.3">
      <c r="A90" s="63" t="s">
        <v>13</v>
      </c>
      <c r="B90" s="12"/>
      <c r="C90" s="12"/>
      <c r="D90" s="8">
        <f t="shared" si="1"/>
        <v>0</v>
      </c>
    </row>
    <row r="91" spans="1:4" ht="18" hidden="1" x14ac:dyDescent="0.3">
      <c r="A91" s="64" t="s">
        <v>14</v>
      </c>
      <c r="B91" s="7"/>
      <c r="C91" s="7"/>
      <c r="D91" s="8">
        <f t="shared" si="1"/>
        <v>0</v>
      </c>
    </row>
    <row r="92" spans="1:4" ht="18" hidden="1" x14ac:dyDescent="0.3">
      <c r="A92" s="61" t="s">
        <v>203</v>
      </c>
      <c r="B92" s="7"/>
      <c r="C92" s="7"/>
      <c r="D92" s="8">
        <f t="shared" si="1"/>
        <v>0</v>
      </c>
    </row>
    <row r="93" spans="1:4" ht="18" hidden="1" x14ac:dyDescent="0.3">
      <c r="A93" s="63" t="s">
        <v>46</v>
      </c>
      <c r="B93" s="7"/>
      <c r="C93" s="7"/>
      <c r="D93" s="8">
        <f t="shared" si="1"/>
        <v>0</v>
      </c>
    </row>
    <row r="94" spans="1:4" ht="18" hidden="1" x14ac:dyDescent="0.3">
      <c r="A94" s="65" t="s">
        <v>47</v>
      </c>
      <c r="B94" s="7"/>
      <c r="C94" s="7"/>
      <c r="D94" s="8">
        <f t="shared" si="1"/>
        <v>0</v>
      </c>
    </row>
    <row r="95" spans="1:4" ht="18" hidden="1" x14ac:dyDescent="0.3">
      <c r="A95" s="63" t="s">
        <v>186</v>
      </c>
      <c r="B95" s="7"/>
      <c r="C95" s="7"/>
      <c r="D95" s="8">
        <f t="shared" si="1"/>
        <v>0</v>
      </c>
    </row>
    <row r="96" spans="1:4" ht="18" hidden="1" x14ac:dyDescent="0.3">
      <c r="A96" s="63" t="s">
        <v>187</v>
      </c>
      <c r="B96" s="7"/>
      <c r="C96" s="7"/>
      <c r="D96" s="8">
        <f t="shared" si="1"/>
        <v>0</v>
      </c>
    </row>
    <row r="97" spans="1:4" ht="18" hidden="1" x14ac:dyDescent="0.3">
      <c r="A97" s="83" t="s">
        <v>300</v>
      </c>
      <c r="B97" s="7"/>
      <c r="C97" s="7"/>
      <c r="D97" s="8">
        <f t="shared" si="1"/>
        <v>0</v>
      </c>
    </row>
    <row r="98" spans="1:4" ht="18" hidden="1" x14ac:dyDescent="0.3">
      <c r="A98" s="76" t="s">
        <v>48</v>
      </c>
      <c r="B98" s="7"/>
      <c r="C98" s="7"/>
      <c r="D98" s="8">
        <f t="shared" si="1"/>
        <v>0</v>
      </c>
    </row>
    <row r="99" spans="1:4" ht="18" hidden="1" x14ac:dyDescent="0.3">
      <c r="A99" s="76" t="s">
        <v>17</v>
      </c>
      <c r="B99" s="7"/>
      <c r="C99" s="7"/>
      <c r="D99" s="8">
        <f t="shared" si="1"/>
        <v>0</v>
      </c>
    </row>
    <row r="100" spans="1:4" ht="18" hidden="1" x14ac:dyDescent="0.3">
      <c r="A100" s="63" t="s">
        <v>18</v>
      </c>
      <c r="B100" s="7"/>
      <c r="C100" s="7"/>
      <c r="D100" s="8">
        <f t="shared" si="1"/>
        <v>0</v>
      </c>
    </row>
    <row r="101" spans="1:4" ht="18" hidden="1" x14ac:dyDescent="0.3">
      <c r="A101" s="63" t="s">
        <v>19</v>
      </c>
      <c r="B101" s="7"/>
      <c r="C101" s="7"/>
      <c r="D101" s="8">
        <f t="shared" si="1"/>
        <v>0</v>
      </c>
    </row>
    <row r="102" spans="1:4" ht="18" hidden="1" x14ac:dyDescent="0.3">
      <c r="A102" s="63" t="s">
        <v>204</v>
      </c>
      <c r="B102" s="7"/>
      <c r="C102" s="7"/>
      <c r="D102" s="8">
        <f t="shared" si="1"/>
        <v>0</v>
      </c>
    </row>
    <row r="103" spans="1:4" ht="18" hidden="1" x14ac:dyDescent="0.3">
      <c r="A103" s="63" t="s">
        <v>205</v>
      </c>
      <c r="B103" s="7"/>
      <c r="C103" s="7"/>
      <c r="D103" s="8">
        <f t="shared" si="1"/>
        <v>0</v>
      </c>
    </row>
    <row r="104" spans="1:4" ht="18" hidden="1" x14ac:dyDescent="0.3">
      <c r="A104" s="63" t="s">
        <v>206</v>
      </c>
      <c r="B104" s="7"/>
      <c r="C104" s="7"/>
      <c r="D104" s="8">
        <f t="shared" si="1"/>
        <v>0</v>
      </c>
    </row>
    <row r="105" spans="1:4" ht="18" hidden="1" x14ac:dyDescent="0.3">
      <c r="A105" s="63" t="s">
        <v>207</v>
      </c>
      <c r="B105" s="7"/>
      <c r="C105" s="7"/>
      <c r="D105" s="8">
        <f t="shared" si="1"/>
        <v>0</v>
      </c>
    </row>
    <row r="106" spans="1:4" ht="18" hidden="1" x14ac:dyDescent="0.3">
      <c r="A106" s="61" t="s">
        <v>15</v>
      </c>
      <c r="B106" s="7"/>
      <c r="C106" s="7"/>
      <c r="D106" s="8">
        <f t="shared" si="1"/>
        <v>0</v>
      </c>
    </row>
    <row r="107" spans="1:4" ht="18" hidden="1" x14ac:dyDescent="0.3">
      <c r="A107" s="13" t="s">
        <v>16</v>
      </c>
      <c r="B107" s="7"/>
      <c r="C107" s="7"/>
      <c r="D107" s="8">
        <f t="shared" si="1"/>
        <v>0</v>
      </c>
    </row>
    <row r="108" spans="1:4" ht="18" hidden="1" x14ac:dyDescent="0.3">
      <c r="A108" s="63" t="s">
        <v>313</v>
      </c>
      <c r="B108" s="7"/>
      <c r="C108" s="7"/>
      <c r="D108" s="8">
        <f t="shared" si="1"/>
        <v>0</v>
      </c>
    </row>
    <row r="109" spans="1:4" ht="18" hidden="1" x14ac:dyDescent="0.3">
      <c r="A109" s="61" t="s">
        <v>314</v>
      </c>
      <c r="B109" s="7"/>
      <c r="C109" s="7"/>
      <c r="D109" s="8">
        <f t="shared" si="1"/>
        <v>0</v>
      </c>
    </row>
    <row r="110" spans="1:4" ht="18" hidden="1" x14ac:dyDescent="0.3">
      <c r="A110" s="61" t="s">
        <v>315</v>
      </c>
      <c r="B110" s="7"/>
      <c r="C110" s="7"/>
      <c r="D110" s="8">
        <f t="shared" si="1"/>
        <v>0</v>
      </c>
    </row>
    <row r="111" spans="1:4" ht="18" x14ac:dyDescent="0.3">
      <c r="A111" s="63" t="s">
        <v>96</v>
      </c>
      <c r="B111" s="7">
        <v>9</v>
      </c>
      <c r="C111" s="7">
        <v>10000</v>
      </c>
      <c r="D111" s="8">
        <f t="shared" si="1"/>
        <v>90000</v>
      </c>
    </row>
    <row r="112" spans="1:4" ht="78" hidden="1" x14ac:dyDescent="0.3">
      <c r="A112" s="77" t="s">
        <v>124</v>
      </c>
      <c r="B112" s="7"/>
      <c r="C112" s="7"/>
      <c r="D112" s="8">
        <f t="shared" si="1"/>
        <v>0</v>
      </c>
    </row>
    <row r="113" spans="1:4" ht="18" hidden="1" x14ac:dyDescent="0.3">
      <c r="A113" s="72" t="s">
        <v>125</v>
      </c>
      <c r="B113" s="7"/>
      <c r="C113" s="7"/>
      <c r="D113" s="8">
        <f t="shared" si="1"/>
        <v>0</v>
      </c>
    </row>
    <row r="114" spans="1:4" ht="18" hidden="1" x14ac:dyDescent="0.3">
      <c r="A114" s="60" t="s">
        <v>126</v>
      </c>
      <c r="B114" s="12"/>
      <c r="C114" s="12"/>
      <c r="D114" s="8">
        <f t="shared" si="1"/>
        <v>0</v>
      </c>
    </row>
    <row r="115" spans="1:4" ht="18" hidden="1" x14ac:dyDescent="0.3">
      <c r="A115" s="60" t="s">
        <v>127</v>
      </c>
      <c r="B115" s="12"/>
      <c r="C115" s="12"/>
      <c r="D115" s="8">
        <f t="shared" si="1"/>
        <v>0</v>
      </c>
    </row>
    <row r="116" spans="1:4" ht="18" hidden="1" x14ac:dyDescent="0.3">
      <c r="A116" s="60" t="s">
        <v>128</v>
      </c>
      <c r="B116" s="12"/>
      <c r="C116" s="12"/>
      <c r="D116" s="8">
        <f t="shared" si="1"/>
        <v>0</v>
      </c>
    </row>
    <row r="117" spans="1:4" ht="18" hidden="1" x14ac:dyDescent="0.3">
      <c r="A117" s="60" t="s">
        <v>129</v>
      </c>
      <c r="B117" s="29"/>
      <c r="C117" s="29"/>
      <c r="D117" s="8">
        <f t="shared" si="1"/>
        <v>0</v>
      </c>
    </row>
    <row r="118" spans="1:4" ht="18" hidden="1" x14ac:dyDescent="0.3">
      <c r="A118" s="30" t="s">
        <v>271</v>
      </c>
      <c r="B118" s="7"/>
      <c r="C118" s="7"/>
      <c r="D118" s="8">
        <f t="shared" si="1"/>
        <v>0</v>
      </c>
    </row>
    <row r="119" spans="1:4" ht="18" x14ac:dyDescent="0.3">
      <c r="A119" s="60" t="s">
        <v>272</v>
      </c>
      <c r="B119" s="12">
        <v>1</v>
      </c>
      <c r="C119" s="7">
        <v>16000</v>
      </c>
      <c r="D119" s="8">
        <f t="shared" si="1"/>
        <v>16000</v>
      </c>
    </row>
    <row r="120" spans="1:4" ht="18" hidden="1" x14ac:dyDescent="0.3">
      <c r="A120" s="63" t="s">
        <v>273</v>
      </c>
      <c r="B120" s="7"/>
      <c r="C120" s="7"/>
      <c r="D120" s="8">
        <f t="shared" si="1"/>
        <v>0</v>
      </c>
    </row>
    <row r="121" spans="1:4" ht="18" hidden="1" x14ac:dyDescent="0.3">
      <c r="A121" s="63" t="s">
        <v>274</v>
      </c>
      <c r="B121" s="7"/>
      <c r="C121" s="7"/>
      <c r="D121" s="8">
        <f t="shared" si="1"/>
        <v>0</v>
      </c>
    </row>
    <row r="122" spans="1:4" ht="18" x14ac:dyDescent="0.3">
      <c r="A122" s="63" t="s">
        <v>33</v>
      </c>
      <c r="B122" s="7">
        <v>30</v>
      </c>
      <c r="C122" s="7">
        <v>11000</v>
      </c>
      <c r="D122" s="8">
        <f t="shared" si="1"/>
        <v>330000</v>
      </c>
    </row>
    <row r="123" spans="1:4" ht="18" hidden="1" x14ac:dyDescent="0.3">
      <c r="A123" s="65" t="s">
        <v>34</v>
      </c>
      <c r="B123" s="7"/>
      <c r="C123" s="7"/>
      <c r="D123" s="8">
        <f t="shared" si="1"/>
        <v>0</v>
      </c>
    </row>
    <row r="124" spans="1:4" ht="18" x14ac:dyDescent="0.3">
      <c r="A124" s="60" t="s">
        <v>208</v>
      </c>
      <c r="B124" s="7">
        <v>0.8</v>
      </c>
      <c r="C124" s="7">
        <v>65000</v>
      </c>
      <c r="D124" s="8">
        <f t="shared" si="1"/>
        <v>52000</v>
      </c>
    </row>
    <row r="125" spans="1:4" ht="18" hidden="1" x14ac:dyDescent="0.3">
      <c r="A125" s="60" t="s">
        <v>209</v>
      </c>
      <c r="B125" s="7"/>
      <c r="C125" s="7"/>
      <c r="D125" s="8">
        <f t="shared" si="1"/>
        <v>0</v>
      </c>
    </row>
    <row r="126" spans="1:4" ht="18" hidden="1" x14ac:dyDescent="0.3">
      <c r="A126" s="63" t="s">
        <v>210</v>
      </c>
      <c r="B126" s="7"/>
      <c r="C126" s="7"/>
      <c r="D126" s="8">
        <f t="shared" si="1"/>
        <v>0</v>
      </c>
    </row>
    <row r="127" spans="1:4" ht="18" hidden="1" x14ac:dyDescent="0.3">
      <c r="A127" s="63" t="s">
        <v>211</v>
      </c>
      <c r="B127" s="7"/>
      <c r="C127" s="7"/>
      <c r="D127" s="8">
        <f t="shared" si="1"/>
        <v>0</v>
      </c>
    </row>
    <row r="128" spans="1:4" ht="18" hidden="1" x14ac:dyDescent="0.3">
      <c r="A128" s="63" t="s">
        <v>284</v>
      </c>
      <c r="B128" s="7"/>
      <c r="C128" s="7"/>
      <c r="D128" s="8">
        <f t="shared" si="1"/>
        <v>0</v>
      </c>
    </row>
    <row r="129" spans="1:4" ht="18" hidden="1" x14ac:dyDescent="0.3">
      <c r="A129" s="63" t="s">
        <v>102</v>
      </c>
      <c r="B129" s="12"/>
      <c r="C129" s="12"/>
      <c r="D129" s="8">
        <f t="shared" si="1"/>
        <v>0</v>
      </c>
    </row>
    <row r="130" spans="1:4" ht="18" hidden="1" x14ac:dyDescent="0.3">
      <c r="A130" s="63" t="s">
        <v>103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104</v>
      </c>
      <c r="B131" s="12"/>
      <c r="C131" s="12"/>
      <c r="D131" s="8">
        <f t="shared" si="1"/>
        <v>0</v>
      </c>
    </row>
    <row r="132" spans="1:4" ht="18" hidden="1" x14ac:dyDescent="0.3">
      <c r="A132" s="63" t="s">
        <v>105</v>
      </c>
      <c r="B132" s="12"/>
      <c r="C132" s="12"/>
      <c r="D132" s="8">
        <f t="shared" ref="D132:D195" si="2">B132*C132</f>
        <v>0</v>
      </c>
    </row>
    <row r="133" spans="1:4" ht="18" hidden="1" x14ac:dyDescent="0.3">
      <c r="A133" s="63" t="s">
        <v>106</v>
      </c>
      <c r="B133" s="12"/>
      <c r="C133" s="12"/>
      <c r="D133" s="8">
        <f t="shared" si="2"/>
        <v>0</v>
      </c>
    </row>
    <row r="134" spans="1:4" ht="18" hidden="1" x14ac:dyDescent="0.3">
      <c r="A134" s="63" t="s">
        <v>107</v>
      </c>
      <c r="B134" s="12"/>
      <c r="C134" s="12"/>
      <c r="D134" s="8">
        <f t="shared" si="2"/>
        <v>0</v>
      </c>
    </row>
    <row r="135" spans="1:4" ht="18" hidden="1" x14ac:dyDescent="0.3">
      <c r="A135" s="63" t="s">
        <v>130</v>
      </c>
      <c r="B135" s="12"/>
      <c r="C135" s="12"/>
      <c r="D135" s="8">
        <f t="shared" si="2"/>
        <v>0</v>
      </c>
    </row>
    <row r="136" spans="1:4" ht="18" hidden="1" x14ac:dyDescent="0.3">
      <c r="A136" s="63" t="s">
        <v>108</v>
      </c>
      <c r="B136" s="12"/>
      <c r="C136" s="12"/>
      <c r="D136" s="8">
        <f t="shared" si="2"/>
        <v>0</v>
      </c>
    </row>
    <row r="137" spans="1:4" ht="18" hidden="1" x14ac:dyDescent="0.3">
      <c r="A137" s="63" t="s">
        <v>109</v>
      </c>
      <c r="B137" s="12"/>
      <c r="C137" s="12"/>
      <c r="D137" s="8">
        <f t="shared" si="2"/>
        <v>0</v>
      </c>
    </row>
    <row r="138" spans="1:4" ht="18" hidden="1" x14ac:dyDescent="0.3">
      <c r="A138" s="63" t="s">
        <v>110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157</v>
      </c>
      <c r="B139" s="7"/>
      <c r="C139" s="7"/>
      <c r="D139" s="8">
        <f t="shared" si="2"/>
        <v>0</v>
      </c>
    </row>
    <row r="140" spans="1:4" ht="18" hidden="1" x14ac:dyDescent="0.3">
      <c r="A140" s="63" t="s">
        <v>158</v>
      </c>
      <c r="B140" s="7"/>
      <c r="C140" s="7"/>
      <c r="D140" s="8">
        <f t="shared" si="2"/>
        <v>0</v>
      </c>
    </row>
    <row r="141" spans="1:4" ht="18" hidden="1" x14ac:dyDescent="0.3">
      <c r="A141" s="63" t="s">
        <v>159</v>
      </c>
      <c r="B141" s="7"/>
      <c r="C141" s="7"/>
      <c r="D141" s="8">
        <f t="shared" si="2"/>
        <v>0</v>
      </c>
    </row>
    <row r="142" spans="1:4" ht="18" x14ac:dyDescent="0.3">
      <c r="A142" s="14" t="s">
        <v>160</v>
      </c>
      <c r="B142" s="7">
        <v>11</v>
      </c>
      <c r="C142" s="7">
        <v>4200</v>
      </c>
      <c r="D142" s="8">
        <f t="shared" si="2"/>
        <v>46200</v>
      </c>
    </row>
    <row r="143" spans="1:4" ht="18" hidden="1" x14ac:dyDescent="0.3">
      <c r="A143" s="63" t="s">
        <v>161</v>
      </c>
      <c r="B143" s="7"/>
      <c r="C143" s="7"/>
      <c r="D143" s="8">
        <f t="shared" si="2"/>
        <v>0</v>
      </c>
    </row>
    <row r="144" spans="1:4" ht="18" hidden="1" x14ac:dyDescent="0.3">
      <c r="A144" s="63" t="s">
        <v>162</v>
      </c>
      <c r="B144" s="7"/>
      <c r="C144" s="7"/>
      <c r="D144" s="8">
        <f t="shared" si="2"/>
        <v>0</v>
      </c>
    </row>
    <row r="145" spans="1:4" ht="18" hidden="1" x14ac:dyDescent="0.3">
      <c r="A145" s="63" t="s">
        <v>279</v>
      </c>
      <c r="B145" s="7"/>
      <c r="C145" s="7"/>
      <c r="D145" s="8">
        <f t="shared" si="2"/>
        <v>0</v>
      </c>
    </row>
    <row r="146" spans="1:4" ht="18" hidden="1" x14ac:dyDescent="0.3">
      <c r="A146" s="63" t="s">
        <v>280</v>
      </c>
      <c r="B146" s="7"/>
      <c r="C146" s="7"/>
      <c r="D146" s="8">
        <f t="shared" si="2"/>
        <v>0</v>
      </c>
    </row>
    <row r="147" spans="1:4" ht="18" hidden="1" x14ac:dyDescent="0.3">
      <c r="A147" s="63" t="s">
        <v>281</v>
      </c>
      <c r="B147" s="7"/>
      <c r="C147" s="7"/>
      <c r="D147" s="8">
        <f t="shared" si="2"/>
        <v>0</v>
      </c>
    </row>
    <row r="148" spans="1:4" ht="18" hidden="1" x14ac:dyDescent="0.3">
      <c r="A148" s="63" t="s">
        <v>282</v>
      </c>
      <c r="B148" s="7"/>
      <c r="C148" s="7"/>
      <c r="D148" s="8">
        <f t="shared" si="2"/>
        <v>0</v>
      </c>
    </row>
    <row r="149" spans="1:4" ht="18" hidden="1" x14ac:dyDescent="0.3">
      <c r="A149" s="63" t="s">
        <v>111</v>
      </c>
      <c r="B149" s="12"/>
      <c r="C149" s="12"/>
      <c r="D149" s="8">
        <f t="shared" si="2"/>
        <v>0</v>
      </c>
    </row>
    <row r="150" spans="1:4" ht="18" hidden="1" x14ac:dyDescent="0.3">
      <c r="A150" s="63" t="s">
        <v>112</v>
      </c>
      <c r="B150" s="12"/>
      <c r="C150" s="12"/>
      <c r="D150" s="8">
        <f t="shared" si="2"/>
        <v>0</v>
      </c>
    </row>
    <row r="151" spans="1:4" ht="18" hidden="1" x14ac:dyDescent="0.3">
      <c r="A151" s="63" t="s">
        <v>131</v>
      </c>
      <c r="B151" s="12"/>
      <c r="C151" s="12"/>
      <c r="D151" s="8">
        <f t="shared" si="2"/>
        <v>0</v>
      </c>
    </row>
    <row r="152" spans="1:4" ht="18" x14ac:dyDescent="0.3">
      <c r="A152" s="67" t="s">
        <v>52</v>
      </c>
      <c r="B152" s="7">
        <f>7+37+5+20</f>
        <v>69</v>
      </c>
      <c r="C152" s="7">
        <v>5000</v>
      </c>
      <c r="D152" s="8">
        <f t="shared" si="2"/>
        <v>345000</v>
      </c>
    </row>
    <row r="153" spans="1:4" ht="18" hidden="1" x14ac:dyDescent="0.3">
      <c r="A153" s="68" t="s">
        <v>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192</v>
      </c>
      <c r="B154" s="7"/>
      <c r="C154" s="7"/>
      <c r="D154" s="8">
        <f t="shared" si="2"/>
        <v>0</v>
      </c>
    </row>
    <row r="155" spans="1:4" ht="18" hidden="1" x14ac:dyDescent="0.3">
      <c r="A155" s="60" t="s">
        <v>193</v>
      </c>
      <c r="B155" s="7"/>
      <c r="C155" s="7"/>
      <c r="D155" s="8">
        <f t="shared" si="2"/>
        <v>0</v>
      </c>
    </row>
    <row r="156" spans="1:4" ht="18" hidden="1" x14ac:dyDescent="0.3">
      <c r="A156" s="63" t="s">
        <v>194</v>
      </c>
      <c r="B156" s="7"/>
      <c r="C156" s="7"/>
      <c r="D156" s="8">
        <f t="shared" si="2"/>
        <v>0</v>
      </c>
    </row>
    <row r="157" spans="1:4" ht="18" hidden="1" x14ac:dyDescent="0.3">
      <c r="A157" s="63" t="s">
        <v>195</v>
      </c>
      <c r="B157" s="7"/>
      <c r="C157" s="7"/>
      <c r="D157" s="8">
        <f t="shared" si="2"/>
        <v>0</v>
      </c>
    </row>
    <row r="158" spans="1:4" ht="18" hidden="1" x14ac:dyDescent="0.3">
      <c r="A158" s="63" t="s">
        <v>196</v>
      </c>
      <c r="B158" s="7"/>
      <c r="C158" s="7"/>
      <c r="D158" s="8">
        <f t="shared" si="2"/>
        <v>0</v>
      </c>
    </row>
    <row r="159" spans="1:4" ht="18" hidden="1" x14ac:dyDescent="0.3">
      <c r="A159" s="62" t="s">
        <v>197</v>
      </c>
      <c r="B159" s="7"/>
      <c r="C159" s="7"/>
      <c r="D159" s="8">
        <f t="shared" si="2"/>
        <v>0</v>
      </c>
    </row>
    <row r="160" spans="1:4" ht="18" hidden="1" x14ac:dyDescent="0.3">
      <c r="A160" s="63" t="s">
        <v>61</v>
      </c>
      <c r="B160" s="7"/>
      <c r="C160" s="7"/>
      <c r="D160" s="8">
        <f t="shared" si="2"/>
        <v>0</v>
      </c>
    </row>
    <row r="161" spans="1:4" ht="18" hidden="1" x14ac:dyDescent="0.3">
      <c r="A161" s="69" t="s">
        <v>62</v>
      </c>
      <c r="B161" s="19"/>
      <c r="C161" s="19"/>
      <c r="D161" s="8">
        <f t="shared" si="2"/>
        <v>0</v>
      </c>
    </row>
    <row r="162" spans="1:4" ht="18" hidden="1" x14ac:dyDescent="0.3">
      <c r="A162" s="63" t="s">
        <v>86</v>
      </c>
      <c r="B162" s="7"/>
      <c r="C162" s="7"/>
      <c r="D162" s="8">
        <f t="shared" si="2"/>
        <v>0</v>
      </c>
    </row>
    <row r="163" spans="1:4" ht="18" hidden="1" x14ac:dyDescent="0.3">
      <c r="A163" s="63" t="s">
        <v>35</v>
      </c>
      <c r="B163" s="7"/>
      <c r="C163" s="7"/>
      <c r="D163" s="8">
        <f t="shared" si="2"/>
        <v>0</v>
      </c>
    </row>
    <row r="164" spans="1:4" ht="18" hidden="1" x14ac:dyDescent="0.3">
      <c r="A164" s="60" t="s">
        <v>234</v>
      </c>
      <c r="B164" s="7"/>
      <c r="C164" s="7"/>
      <c r="D164" s="8">
        <f t="shared" si="2"/>
        <v>0</v>
      </c>
    </row>
    <row r="165" spans="1:4" ht="18" hidden="1" x14ac:dyDescent="0.3">
      <c r="A165" s="63" t="s">
        <v>235</v>
      </c>
      <c r="B165" s="7"/>
      <c r="C165" s="7"/>
      <c r="D165" s="8">
        <f t="shared" si="2"/>
        <v>0</v>
      </c>
    </row>
    <row r="166" spans="1:4" ht="18" hidden="1" x14ac:dyDescent="0.3">
      <c r="A166" s="63" t="s">
        <v>236</v>
      </c>
      <c r="B166" s="7"/>
      <c r="C166" s="7"/>
      <c r="D166" s="8">
        <f t="shared" si="2"/>
        <v>0</v>
      </c>
    </row>
    <row r="167" spans="1:4" ht="18" x14ac:dyDescent="0.3">
      <c r="A167" s="60" t="s">
        <v>175</v>
      </c>
      <c r="B167" s="7">
        <v>40</v>
      </c>
      <c r="C167" s="7">
        <v>11000</v>
      </c>
      <c r="D167" s="8">
        <f t="shared" si="2"/>
        <v>440000</v>
      </c>
    </row>
    <row r="168" spans="1:4" ht="18" x14ac:dyDescent="0.3">
      <c r="A168" s="60" t="s">
        <v>176</v>
      </c>
      <c r="B168" s="7">
        <f>20+20+80+200+100+40+120</f>
        <v>580</v>
      </c>
      <c r="C168" s="7">
        <v>30000</v>
      </c>
      <c r="D168" s="8">
        <f t="shared" si="2"/>
        <v>17400000</v>
      </c>
    </row>
    <row r="169" spans="1:4" ht="18" hidden="1" x14ac:dyDescent="0.3">
      <c r="A169" s="63" t="s">
        <v>177</v>
      </c>
      <c r="B169" s="7"/>
      <c r="C169" s="7"/>
      <c r="D169" s="8">
        <f t="shared" si="2"/>
        <v>0</v>
      </c>
    </row>
    <row r="170" spans="1:4" ht="18" x14ac:dyDescent="0.3">
      <c r="A170" s="60" t="s">
        <v>178</v>
      </c>
      <c r="B170" s="7">
        <f>50+20+80+80</f>
        <v>230</v>
      </c>
      <c r="C170" s="7">
        <v>32000</v>
      </c>
      <c r="D170" s="8">
        <f t="shared" si="2"/>
        <v>7360000</v>
      </c>
    </row>
    <row r="171" spans="1:4" ht="18" hidden="1" x14ac:dyDescent="0.3">
      <c r="A171" s="60" t="s">
        <v>179</v>
      </c>
      <c r="B171" s="7"/>
      <c r="C171" s="7"/>
      <c r="D171" s="8">
        <f t="shared" si="2"/>
        <v>0</v>
      </c>
    </row>
    <row r="172" spans="1:4" ht="18" hidden="1" x14ac:dyDescent="0.3">
      <c r="A172" s="60" t="s">
        <v>180</v>
      </c>
      <c r="B172" s="7"/>
      <c r="C172" s="7"/>
      <c r="D172" s="8">
        <f t="shared" si="2"/>
        <v>0</v>
      </c>
    </row>
    <row r="173" spans="1:4" ht="18" hidden="1" x14ac:dyDescent="0.3">
      <c r="A173" s="63" t="s">
        <v>181</v>
      </c>
      <c r="B173" s="7"/>
      <c r="C173" s="7"/>
      <c r="D173" s="8">
        <f t="shared" si="2"/>
        <v>0</v>
      </c>
    </row>
    <row r="174" spans="1:4" ht="18" hidden="1" x14ac:dyDescent="0.3">
      <c r="A174" s="60" t="s">
        <v>36</v>
      </c>
      <c r="B174" s="7"/>
      <c r="C174" s="7"/>
      <c r="D174" s="8">
        <f t="shared" si="2"/>
        <v>0</v>
      </c>
    </row>
    <row r="175" spans="1:4" ht="18" hidden="1" x14ac:dyDescent="0.3">
      <c r="A175" s="63" t="s">
        <v>54</v>
      </c>
      <c r="B175" s="7"/>
      <c r="C175" s="7"/>
      <c r="D175" s="8">
        <f t="shared" si="2"/>
        <v>0</v>
      </c>
    </row>
    <row r="176" spans="1:4" ht="18" hidden="1" x14ac:dyDescent="0.3">
      <c r="A176" s="17" t="s">
        <v>55</v>
      </c>
      <c r="B176" s="7"/>
      <c r="C176" s="7"/>
      <c r="D176" s="8">
        <f t="shared" si="2"/>
        <v>0</v>
      </c>
    </row>
    <row r="177" spans="1:4" ht="18" hidden="1" x14ac:dyDescent="0.3">
      <c r="A177" s="63" t="s">
        <v>56</v>
      </c>
      <c r="B177" s="7"/>
      <c r="C177" s="7"/>
      <c r="D177" s="8">
        <f t="shared" si="2"/>
        <v>0</v>
      </c>
    </row>
    <row r="178" spans="1:4" ht="18" hidden="1" x14ac:dyDescent="0.3">
      <c r="A178" s="63" t="s">
        <v>66</v>
      </c>
      <c r="B178" s="7"/>
      <c r="C178" s="7"/>
      <c r="D178" s="8">
        <f t="shared" si="2"/>
        <v>0</v>
      </c>
    </row>
    <row r="179" spans="1:4" ht="18" x14ac:dyDescent="0.3">
      <c r="A179" s="60" t="s">
        <v>67</v>
      </c>
      <c r="B179" s="7">
        <f>100+200+40+60+20</f>
        <v>420</v>
      </c>
      <c r="C179" s="7">
        <v>26000</v>
      </c>
      <c r="D179" s="8">
        <f t="shared" si="2"/>
        <v>10920000</v>
      </c>
    </row>
    <row r="180" spans="1:4" ht="18" hidden="1" x14ac:dyDescent="0.3">
      <c r="A180" s="63" t="s">
        <v>68</v>
      </c>
      <c r="B180" s="7"/>
      <c r="C180" s="7"/>
      <c r="D180" s="8">
        <f t="shared" si="2"/>
        <v>0</v>
      </c>
    </row>
    <row r="181" spans="1:4" ht="18" hidden="1" x14ac:dyDescent="0.3">
      <c r="A181" s="63" t="s">
        <v>69</v>
      </c>
      <c r="B181" s="7"/>
      <c r="C181" s="7"/>
      <c r="D181" s="8">
        <f t="shared" si="2"/>
        <v>0</v>
      </c>
    </row>
    <row r="182" spans="1:4" ht="18" x14ac:dyDescent="0.3">
      <c r="A182" s="63" t="s">
        <v>142</v>
      </c>
      <c r="B182" s="7">
        <f>15+100+70+95+80</f>
        <v>360</v>
      </c>
      <c r="C182" s="7">
        <v>27000</v>
      </c>
      <c r="D182" s="8">
        <f t="shared" si="2"/>
        <v>9720000</v>
      </c>
    </row>
    <row r="183" spans="1:4" ht="18" x14ac:dyDescent="0.3">
      <c r="A183" s="73" t="s">
        <v>143</v>
      </c>
      <c r="B183" s="7">
        <v>100</v>
      </c>
      <c r="C183" s="7">
        <v>20000</v>
      </c>
      <c r="D183" s="8">
        <f t="shared" si="2"/>
        <v>2000000</v>
      </c>
    </row>
    <row r="184" spans="1:4" ht="18" hidden="1" x14ac:dyDescent="0.3">
      <c r="A184" s="73" t="s">
        <v>144</v>
      </c>
      <c r="B184" s="7"/>
      <c r="C184" s="7"/>
      <c r="D184" s="8">
        <f t="shared" si="2"/>
        <v>0</v>
      </c>
    </row>
    <row r="185" spans="1:4" ht="18" x14ac:dyDescent="0.3">
      <c r="A185" s="63" t="s">
        <v>212</v>
      </c>
      <c r="B185" s="7">
        <v>8</v>
      </c>
      <c r="C185" s="7">
        <v>25000</v>
      </c>
      <c r="D185" s="8">
        <f t="shared" si="2"/>
        <v>200000</v>
      </c>
    </row>
    <row r="186" spans="1:4" ht="18" x14ac:dyDescent="0.3">
      <c r="A186" s="61" t="s">
        <v>213</v>
      </c>
      <c r="B186" s="7">
        <v>1</v>
      </c>
      <c r="C186" s="7">
        <v>27000</v>
      </c>
      <c r="D186" s="8">
        <f t="shared" si="2"/>
        <v>27000</v>
      </c>
    </row>
    <row r="187" spans="1:4" ht="18" hidden="1" x14ac:dyDescent="0.3">
      <c r="A187" s="63" t="s">
        <v>214</v>
      </c>
      <c r="B187" s="7"/>
      <c r="C187" s="7"/>
      <c r="D187" s="8">
        <f t="shared" si="2"/>
        <v>0</v>
      </c>
    </row>
    <row r="188" spans="1:4" ht="18" hidden="1" x14ac:dyDescent="0.3">
      <c r="A188" s="61" t="s">
        <v>215</v>
      </c>
      <c r="B188" s="7"/>
      <c r="C188" s="7"/>
      <c r="D188" s="8">
        <f t="shared" si="2"/>
        <v>0</v>
      </c>
    </row>
    <row r="189" spans="1:4" ht="18" hidden="1" x14ac:dyDescent="0.3">
      <c r="A189" s="63" t="s">
        <v>182</v>
      </c>
      <c r="B189" s="7"/>
      <c r="C189" s="7"/>
      <c r="D189" s="8">
        <f t="shared" si="2"/>
        <v>0</v>
      </c>
    </row>
    <row r="190" spans="1:4" ht="18" hidden="1" x14ac:dyDescent="0.3">
      <c r="A190" s="63" t="s">
        <v>183</v>
      </c>
      <c r="B190" s="7"/>
      <c r="C190" s="7"/>
      <c r="D190" s="8">
        <f t="shared" si="2"/>
        <v>0</v>
      </c>
    </row>
    <row r="191" spans="1:4" ht="18" hidden="1" x14ac:dyDescent="0.3">
      <c r="A191" s="63" t="s">
        <v>184</v>
      </c>
      <c r="B191" s="7"/>
      <c r="C191" s="7"/>
      <c r="D191" s="8">
        <f t="shared" si="2"/>
        <v>0</v>
      </c>
    </row>
    <row r="192" spans="1:4" ht="18" hidden="1" x14ac:dyDescent="0.3">
      <c r="A192" s="63" t="s">
        <v>185</v>
      </c>
      <c r="B192" s="7"/>
      <c r="C192" s="7"/>
      <c r="D192" s="8">
        <f t="shared" si="2"/>
        <v>0</v>
      </c>
    </row>
    <row r="193" spans="1:4" ht="18" hidden="1" x14ac:dyDescent="0.3">
      <c r="A193" s="63" t="s">
        <v>38</v>
      </c>
      <c r="B193" s="7"/>
      <c r="C193" s="7"/>
      <c r="D193" s="8">
        <f t="shared" si="2"/>
        <v>0</v>
      </c>
    </row>
    <row r="194" spans="1:4" ht="18" hidden="1" x14ac:dyDescent="0.3">
      <c r="A194" s="66" t="s">
        <v>39</v>
      </c>
      <c r="B194" s="7"/>
      <c r="C194" s="7"/>
      <c r="D194" s="8">
        <f t="shared" si="2"/>
        <v>0</v>
      </c>
    </row>
    <row r="195" spans="1:4" ht="18" x14ac:dyDescent="0.3">
      <c r="A195" s="63" t="s">
        <v>40</v>
      </c>
      <c r="B195" s="7">
        <f>300+15+10</f>
        <v>325</v>
      </c>
      <c r="C195" s="7">
        <v>12500</v>
      </c>
      <c r="D195" s="8">
        <f t="shared" si="2"/>
        <v>4062500</v>
      </c>
    </row>
    <row r="196" spans="1:4" ht="18" hidden="1" x14ac:dyDescent="0.3">
      <c r="A196" s="63" t="s">
        <v>41</v>
      </c>
      <c r="B196" s="7"/>
      <c r="C196" s="7"/>
      <c r="D196" s="8">
        <f t="shared" ref="D196:D259" si="3">B196*C196</f>
        <v>0</v>
      </c>
    </row>
    <row r="197" spans="1:4" ht="18" x14ac:dyDescent="0.3">
      <c r="A197" s="63" t="s">
        <v>42</v>
      </c>
      <c r="B197" s="7">
        <v>140</v>
      </c>
      <c r="C197" s="7">
        <v>17000</v>
      </c>
      <c r="D197" s="8">
        <f t="shared" si="3"/>
        <v>2380000</v>
      </c>
    </row>
    <row r="198" spans="1:4" ht="18" hidden="1" x14ac:dyDescent="0.3">
      <c r="A198" s="63" t="s">
        <v>43</v>
      </c>
      <c r="B198" s="7"/>
      <c r="C198" s="7"/>
      <c r="D198" s="8">
        <f t="shared" si="3"/>
        <v>0</v>
      </c>
    </row>
    <row r="199" spans="1:4" ht="18" hidden="1" x14ac:dyDescent="0.3">
      <c r="A199" s="63" t="s">
        <v>44</v>
      </c>
      <c r="B199" s="7"/>
      <c r="C199" s="7"/>
      <c r="D199" s="8">
        <f t="shared" si="3"/>
        <v>0</v>
      </c>
    </row>
    <row r="200" spans="1:4" ht="18" hidden="1" x14ac:dyDescent="0.3">
      <c r="A200" s="65" t="s">
        <v>132</v>
      </c>
      <c r="B200" s="7"/>
      <c r="C200" s="7"/>
      <c r="D200" s="8">
        <f t="shared" si="3"/>
        <v>0</v>
      </c>
    </row>
    <row r="201" spans="1:4" ht="18" hidden="1" x14ac:dyDescent="0.3">
      <c r="A201" s="65" t="s">
        <v>133</v>
      </c>
      <c r="B201" s="7"/>
      <c r="C201" s="7"/>
      <c r="D201" s="8">
        <f t="shared" si="3"/>
        <v>0</v>
      </c>
    </row>
    <row r="202" spans="1:4" ht="18" hidden="1" x14ac:dyDescent="0.3">
      <c r="A202" s="65" t="s">
        <v>134</v>
      </c>
      <c r="B202" s="7"/>
      <c r="C202" s="7"/>
      <c r="D202" s="8">
        <f t="shared" si="3"/>
        <v>0</v>
      </c>
    </row>
    <row r="203" spans="1:4" ht="18" hidden="1" x14ac:dyDescent="0.3">
      <c r="A203" s="63" t="s">
        <v>135</v>
      </c>
      <c r="B203" s="7"/>
      <c r="C203" s="7"/>
      <c r="D203" s="8">
        <f t="shared" si="3"/>
        <v>0</v>
      </c>
    </row>
    <row r="204" spans="1:4" ht="18" hidden="1" x14ac:dyDescent="0.3">
      <c r="A204" s="65" t="s">
        <v>136</v>
      </c>
      <c r="B204" s="7"/>
      <c r="C204" s="7"/>
      <c r="D204" s="8">
        <f t="shared" si="3"/>
        <v>0</v>
      </c>
    </row>
    <row r="205" spans="1:4" ht="18" hidden="1" x14ac:dyDescent="0.3">
      <c r="A205" s="78" t="s">
        <v>198</v>
      </c>
      <c r="B205" s="7"/>
      <c r="C205" s="7"/>
      <c r="D205" s="8">
        <f t="shared" si="3"/>
        <v>0</v>
      </c>
    </row>
    <row r="206" spans="1:4" ht="18" hidden="1" x14ac:dyDescent="0.3">
      <c r="A206" s="61" t="s">
        <v>285</v>
      </c>
      <c r="B206" s="7"/>
      <c r="C206" s="7"/>
      <c r="D206" s="8">
        <f t="shared" si="3"/>
        <v>0</v>
      </c>
    </row>
    <row r="207" spans="1:4" ht="18" hidden="1" x14ac:dyDescent="0.3">
      <c r="A207" s="61" t="s">
        <v>286</v>
      </c>
      <c r="B207" s="7"/>
      <c r="C207" s="7"/>
      <c r="D207" s="8">
        <f t="shared" si="3"/>
        <v>0</v>
      </c>
    </row>
    <row r="208" spans="1:4" ht="18" hidden="1" x14ac:dyDescent="0.3">
      <c r="A208" s="73" t="s">
        <v>87</v>
      </c>
      <c r="B208" s="7"/>
      <c r="C208" s="7"/>
      <c r="D208" s="8">
        <f t="shared" si="3"/>
        <v>0</v>
      </c>
    </row>
    <row r="209" spans="1:4" ht="18" x14ac:dyDescent="0.3">
      <c r="A209" s="63" t="s">
        <v>57</v>
      </c>
      <c r="B209" s="7">
        <v>20</v>
      </c>
      <c r="C209" s="7">
        <v>7000</v>
      </c>
      <c r="D209" s="8">
        <f t="shared" si="3"/>
        <v>140000</v>
      </c>
    </row>
    <row r="210" spans="1:4" ht="18" hidden="1" x14ac:dyDescent="0.3">
      <c r="A210" s="63" t="s">
        <v>58</v>
      </c>
      <c r="B210" s="7"/>
      <c r="C210" s="7"/>
      <c r="D210" s="8">
        <f t="shared" si="3"/>
        <v>0</v>
      </c>
    </row>
    <row r="211" spans="1:4" ht="18" hidden="1" x14ac:dyDescent="0.3">
      <c r="A211" s="63" t="s">
        <v>88</v>
      </c>
      <c r="B211" s="7"/>
      <c r="C211" s="7"/>
      <c r="D211" s="8">
        <f t="shared" si="3"/>
        <v>0</v>
      </c>
    </row>
    <row r="212" spans="1:4" ht="18" hidden="1" x14ac:dyDescent="0.3">
      <c r="A212" s="63" t="s">
        <v>89</v>
      </c>
      <c r="B212" s="7"/>
      <c r="C212" s="7"/>
      <c r="D212" s="8">
        <f t="shared" si="3"/>
        <v>0</v>
      </c>
    </row>
    <row r="213" spans="1:4" ht="18" hidden="1" x14ac:dyDescent="0.3">
      <c r="A213" s="63" t="s">
        <v>137</v>
      </c>
      <c r="B213" s="12"/>
      <c r="C213" s="12"/>
      <c r="D213" s="8">
        <f t="shared" si="3"/>
        <v>0</v>
      </c>
    </row>
    <row r="214" spans="1:4" ht="18" hidden="1" x14ac:dyDescent="0.3">
      <c r="A214" s="63" t="s">
        <v>216</v>
      </c>
      <c r="B214" s="7"/>
      <c r="C214" s="7"/>
      <c r="D214" s="8">
        <f t="shared" si="3"/>
        <v>0</v>
      </c>
    </row>
    <row r="215" spans="1:4" ht="18" hidden="1" x14ac:dyDescent="0.3">
      <c r="A215" s="61" t="s">
        <v>20</v>
      </c>
      <c r="B215" s="7"/>
      <c r="C215" s="7"/>
      <c r="D215" s="8">
        <f t="shared" si="3"/>
        <v>0</v>
      </c>
    </row>
    <row r="216" spans="1:4" ht="18" hidden="1" x14ac:dyDescent="0.3">
      <c r="A216" s="63" t="s">
        <v>21</v>
      </c>
      <c r="B216" s="7"/>
      <c r="C216" s="7"/>
      <c r="D216" s="8">
        <f t="shared" si="3"/>
        <v>0</v>
      </c>
    </row>
    <row r="217" spans="1:4" ht="18" hidden="1" x14ac:dyDescent="0.3">
      <c r="A217" s="63" t="s">
        <v>22</v>
      </c>
      <c r="B217" s="7"/>
      <c r="C217" s="7"/>
      <c r="D217" s="8">
        <f t="shared" si="3"/>
        <v>0</v>
      </c>
    </row>
    <row r="218" spans="1:4" ht="18" hidden="1" x14ac:dyDescent="0.3">
      <c r="A218" s="63" t="s">
        <v>23</v>
      </c>
      <c r="B218" s="7"/>
      <c r="C218" s="7"/>
      <c r="D218" s="8">
        <f t="shared" si="3"/>
        <v>0</v>
      </c>
    </row>
    <row r="219" spans="1:4" ht="18" hidden="1" x14ac:dyDescent="0.3">
      <c r="A219" s="63" t="s">
        <v>24</v>
      </c>
      <c r="B219" s="7"/>
      <c r="C219" s="7"/>
      <c r="D219" s="8">
        <f t="shared" si="3"/>
        <v>0</v>
      </c>
    </row>
    <row r="220" spans="1:4" ht="18" hidden="1" x14ac:dyDescent="0.3">
      <c r="A220" s="63" t="s">
        <v>25</v>
      </c>
      <c r="B220" s="7"/>
      <c r="C220" s="7"/>
      <c r="D220" s="8">
        <f t="shared" si="3"/>
        <v>0</v>
      </c>
    </row>
    <row r="221" spans="1:4" ht="18" hidden="1" x14ac:dyDescent="0.3">
      <c r="A221" s="65" t="s">
        <v>227</v>
      </c>
      <c r="B221" s="7"/>
      <c r="C221" s="7"/>
      <c r="D221" s="8">
        <f t="shared" si="3"/>
        <v>0</v>
      </c>
    </row>
    <row r="222" spans="1:4" ht="18" hidden="1" x14ac:dyDescent="0.3">
      <c r="A222" s="64" t="s">
        <v>228</v>
      </c>
      <c r="B222" s="7"/>
      <c r="C222" s="7"/>
      <c r="D222" s="8">
        <f t="shared" si="3"/>
        <v>0</v>
      </c>
    </row>
    <row r="223" spans="1:4" ht="18" hidden="1" x14ac:dyDescent="0.3">
      <c r="A223" s="64" t="s">
        <v>229</v>
      </c>
      <c r="B223" s="7"/>
      <c r="C223" s="7"/>
      <c r="D223" s="8">
        <f t="shared" si="3"/>
        <v>0</v>
      </c>
    </row>
    <row r="224" spans="1:4" ht="18" x14ac:dyDescent="0.3">
      <c r="A224" s="63" t="s">
        <v>26</v>
      </c>
      <c r="B224" s="7">
        <v>11</v>
      </c>
      <c r="C224" s="7">
        <v>27000</v>
      </c>
      <c r="D224" s="8">
        <f t="shared" si="3"/>
        <v>297000</v>
      </c>
    </row>
    <row r="225" spans="1:4" ht="18" hidden="1" x14ac:dyDescent="0.3">
      <c r="A225" s="63" t="s">
        <v>27</v>
      </c>
      <c r="B225" s="7"/>
      <c r="C225" s="7"/>
      <c r="D225" s="8">
        <f t="shared" si="3"/>
        <v>0</v>
      </c>
    </row>
    <row r="226" spans="1:4" ht="18" hidden="1" x14ac:dyDescent="0.3">
      <c r="A226" s="63" t="s">
        <v>28</v>
      </c>
      <c r="B226" s="7"/>
      <c r="C226" s="7"/>
      <c r="D226" s="8">
        <f t="shared" si="3"/>
        <v>0</v>
      </c>
    </row>
    <row r="227" spans="1:4" ht="18" hidden="1" x14ac:dyDescent="0.3">
      <c r="A227" s="63" t="s">
        <v>29</v>
      </c>
      <c r="B227" s="7"/>
      <c r="C227" s="7"/>
      <c r="D227" s="8">
        <f t="shared" si="3"/>
        <v>0</v>
      </c>
    </row>
    <row r="228" spans="1:4" ht="18" x14ac:dyDescent="0.3">
      <c r="A228" s="63" t="s">
        <v>30</v>
      </c>
      <c r="B228" s="7">
        <v>50</v>
      </c>
      <c r="C228" s="7">
        <v>28000</v>
      </c>
      <c r="D228" s="8">
        <f t="shared" si="3"/>
        <v>1400000</v>
      </c>
    </row>
    <row r="229" spans="1:4" ht="18" hidden="1" x14ac:dyDescent="0.3">
      <c r="A229" s="63" t="s">
        <v>31</v>
      </c>
      <c r="B229" s="7"/>
      <c r="C229" s="7"/>
      <c r="D229" s="8">
        <f t="shared" si="3"/>
        <v>0</v>
      </c>
    </row>
    <row r="230" spans="1:4" ht="18" hidden="1" x14ac:dyDescent="0.3">
      <c r="A230" s="63" t="s">
        <v>32</v>
      </c>
      <c r="B230" s="7"/>
      <c r="C230" s="7"/>
      <c r="D230" s="8">
        <f t="shared" si="3"/>
        <v>0</v>
      </c>
    </row>
    <row r="231" spans="1:4" ht="18" hidden="1" x14ac:dyDescent="0.3">
      <c r="A231" s="63" t="s">
        <v>90</v>
      </c>
      <c r="B231" s="12"/>
      <c r="C231" s="7"/>
      <c r="D231" s="8">
        <f t="shared" si="3"/>
        <v>0</v>
      </c>
    </row>
    <row r="232" spans="1:4" ht="18" hidden="1" x14ac:dyDescent="0.3">
      <c r="A232" s="74" t="s">
        <v>91</v>
      </c>
      <c r="B232" s="7"/>
      <c r="C232" s="7"/>
      <c r="D232" s="8">
        <f t="shared" si="3"/>
        <v>0</v>
      </c>
    </row>
    <row r="233" spans="1:4" ht="18" hidden="1" x14ac:dyDescent="0.3">
      <c r="A233" s="63" t="s">
        <v>217</v>
      </c>
      <c r="B233" s="7"/>
      <c r="C233" s="7"/>
      <c r="D233" s="8">
        <f t="shared" si="3"/>
        <v>0</v>
      </c>
    </row>
    <row r="234" spans="1:4" ht="18" hidden="1" x14ac:dyDescent="0.3">
      <c r="A234" s="61" t="s">
        <v>230</v>
      </c>
      <c r="B234" s="7"/>
      <c r="C234" s="7"/>
      <c r="D234" s="8">
        <f t="shared" si="3"/>
        <v>0</v>
      </c>
    </row>
    <row r="235" spans="1:4" ht="18" x14ac:dyDescent="0.3">
      <c r="A235" s="63" t="s">
        <v>231</v>
      </c>
      <c r="B235" s="7">
        <v>25</v>
      </c>
      <c r="C235" s="7">
        <v>17000</v>
      </c>
      <c r="D235" s="8">
        <f t="shared" si="3"/>
        <v>425000</v>
      </c>
    </row>
    <row r="236" spans="1:4" ht="18" hidden="1" x14ac:dyDescent="0.3">
      <c r="A236" s="63" t="s">
        <v>218</v>
      </c>
      <c r="B236" s="7"/>
      <c r="C236" s="7"/>
      <c r="D236" s="8">
        <f t="shared" si="3"/>
        <v>0</v>
      </c>
    </row>
    <row r="237" spans="1:4" ht="18" hidden="1" x14ac:dyDescent="0.3">
      <c r="A237" s="63" t="s">
        <v>118</v>
      </c>
      <c r="B237" s="7"/>
      <c r="C237" s="7"/>
      <c r="D237" s="8">
        <f t="shared" si="3"/>
        <v>0</v>
      </c>
    </row>
    <row r="238" spans="1:4" ht="18" hidden="1" x14ac:dyDescent="0.3">
      <c r="A238" s="63" t="s">
        <v>232</v>
      </c>
      <c r="B238" s="7"/>
      <c r="C238" s="7"/>
      <c r="D238" s="8">
        <f t="shared" si="3"/>
        <v>0</v>
      </c>
    </row>
    <row r="239" spans="1:4" ht="18" x14ac:dyDescent="0.3">
      <c r="A239" s="63" t="s">
        <v>70</v>
      </c>
      <c r="B239" s="7">
        <v>15</v>
      </c>
      <c r="C239" s="7">
        <v>12000</v>
      </c>
      <c r="D239" s="8">
        <f t="shared" si="3"/>
        <v>180000</v>
      </c>
    </row>
    <row r="240" spans="1:4" ht="18" hidden="1" x14ac:dyDescent="0.3">
      <c r="A240" s="63" t="s">
        <v>71</v>
      </c>
      <c r="B240" s="7"/>
      <c r="C240" s="7"/>
      <c r="D240" s="8">
        <f t="shared" si="3"/>
        <v>0</v>
      </c>
    </row>
    <row r="241" spans="1:4" ht="18" hidden="1" x14ac:dyDescent="0.3">
      <c r="A241" s="63" t="s">
        <v>146</v>
      </c>
      <c r="B241" s="7"/>
      <c r="C241" s="7"/>
      <c r="D241" s="8">
        <f t="shared" si="3"/>
        <v>0</v>
      </c>
    </row>
    <row r="242" spans="1:4" ht="18" hidden="1" x14ac:dyDescent="0.3">
      <c r="A242" s="61" t="s">
        <v>287</v>
      </c>
      <c r="B242" s="7"/>
      <c r="C242" s="7"/>
      <c r="D242" s="8">
        <f t="shared" si="3"/>
        <v>0</v>
      </c>
    </row>
    <row r="243" spans="1:4" ht="18" hidden="1" x14ac:dyDescent="0.3">
      <c r="A243" s="60" t="s">
        <v>138</v>
      </c>
      <c r="B243" s="12"/>
      <c r="C243" s="12"/>
      <c r="D243" s="8">
        <f t="shared" si="3"/>
        <v>0</v>
      </c>
    </row>
    <row r="244" spans="1:4" ht="18" hidden="1" x14ac:dyDescent="0.3">
      <c r="A244" s="65" t="s">
        <v>233</v>
      </c>
      <c r="B244" s="7"/>
      <c r="C244" s="7"/>
      <c r="D244" s="8">
        <f t="shared" si="3"/>
        <v>0</v>
      </c>
    </row>
    <row r="245" spans="1:4" ht="18" hidden="1" x14ac:dyDescent="0.3">
      <c r="A245" s="14" t="s">
        <v>100</v>
      </c>
      <c r="B245" s="7"/>
      <c r="C245" s="7"/>
      <c r="D245" s="8">
        <f t="shared" si="3"/>
        <v>0</v>
      </c>
    </row>
    <row r="246" spans="1:4" ht="18" hidden="1" x14ac:dyDescent="0.3">
      <c r="A246" s="14" t="s">
        <v>101</v>
      </c>
      <c r="B246" s="7"/>
      <c r="C246" s="7"/>
      <c r="D246" s="8">
        <f t="shared" si="3"/>
        <v>0</v>
      </c>
    </row>
    <row r="247" spans="1:4" ht="18" hidden="1" x14ac:dyDescent="0.3">
      <c r="A247" s="63" t="s">
        <v>259</v>
      </c>
      <c r="B247" s="7"/>
      <c r="C247" s="7"/>
      <c r="D247" s="8">
        <f t="shared" si="3"/>
        <v>0</v>
      </c>
    </row>
    <row r="248" spans="1:4" ht="18" hidden="1" x14ac:dyDescent="0.3">
      <c r="A248" s="65" t="s">
        <v>260</v>
      </c>
      <c r="B248" s="7"/>
      <c r="C248" s="7"/>
      <c r="D248" s="8">
        <f t="shared" si="3"/>
        <v>0</v>
      </c>
    </row>
    <row r="249" spans="1:4" ht="18" hidden="1" x14ac:dyDescent="0.3">
      <c r="A249" s="63" t="s">
        <v>261</v>
      </c>
      <c r="B249" s="7"/>
      <c r="C249" s="7"/>
      <c r="D249" s="8">
        <f t="shared" si="3"/>
        <v>0</v>
      </c>
    </row>
    <row r="250" spans="1:4" ht="18" hidden="1" x14ac:dyDescent="0.3">
      <c r="A250" s="63" t="s">
        <v>275</v>
      </c>
      <c r="B250" s="7"/>
      <c r="C250" s="7"/>
      <c r="D250" s="8">
        <f t="shared" si="3"/>
        <v>0</v>
      </c>
    </row>
    <row r="251" spans="1:4" ht="18" hidden="1" x14ac:dyDescent="0.3">
      <c r="A251" s="65" t="s">
        <v>92</v>
      </c>
      <c r="B251" s="7"/>
      <c r="C251" s="7"/>
      <c r="D251" s="8">
        <f t="shared" si="3"/>
        <v>0</v>
      </c>
    </row>
    <row r="252" spans="1:4" ht="18" x14ac:dyDescent="0.3">
      <c r="A252" s="63" t="s">
        <v>139</v>
      </c>
      <c r="B252" s="7">
        <v>4</v>
      </c>
      <c r="C252" s="7">
        <v>10000</v>
      </c>
      <c r="D252" s="8">
        <f t="shared" si="3"/>
        <v>40000</v>
      </c>
    </row>
    <row r="253" spans="1:4" ht="18" hidden="1" x14ac:dyDescent="0.3">
      <c r="A253" s="72" t="s">
        <v>140</v>
      </c>
      <c r="B253" s="7"/>
      <c r="C253" s="7"/>
      <c r="D253" s="8">
        <f t="shared" si="3"/>
        <v>0</v>
      </c>
    </row>
    <row r="254" spans="1:4" ht="18" hidden="1" x14ac:dyDescent="0.3">
      <c r="A254" s="60" t="s">
        <v>93</v>
      </c>
      <c r="B254" s="7"/>
      <c r="C254" s="7"/>
      <c r="D254" s="8">
        <f t="shared" si="3"/>
        <v>0</v>
      </c>
    </row>
    <row r="255" spans="1:4" ht="18" hidden="1" x14ac:dyDescent="0.3">
      <c r="A255" s="65" t="s">
        <v>94</v>
      </c>
      <c r="B255" s="7"/>
      <c r="C255" s="7"/>
      <c r="D255" s="8">
        <f t="shared" si="3"/>
        <v>0</v>
      </c>
    </row>
    <row r="256" spans="1:4" ht="18" hidden="1" x14ac:dyDescent="0.3">
      <c r="A256" s="72" t="s">
        <v>76</v>
      </c>
      <c r="B256" s="7"/>
      <c r="C256" s="7"/>
      <c r="D256" s="8">
        <f t="shared" si="3"/>
        <v>0</v>
      </c>
    </row>
    <row r="257" spans="1:4" ht="18" hidden="1" x14ac:dyDescent="0.3">
      <c r="A257" s="63" t="s">
        <v>219</v>
      </c>
      <c r="B257" s="7"/>
      <c r="C257" s="7"/>
      <c r="D257" s="8">
        <f t="shared" si="3"/>
        <v>0</v>
      </c>
    </row>
    <row r="258" spans="1:4" ht="18" hidden="1" x14ac:dyDescent="0.3">
      <c r="A258" s="65" t="s">
        <v>220</v>
      </c>
      <c r="B258" s="7"/>
      <c r="C258" s="7"/>
      <c r="D258" s="8">
        <f t="shared" si="3"/>
        <v>0</v>
      </c>
    </row>
    <row r="259" spans="1:4" ht="18" hidden="1" x14ac:dyDescent="0.3">
      <c r="A259" s="60" t="s">
        <v>221</v>
      </c>
      <c r="B259" s="7"/>
      <c r="C259" s="7"/>
      <c r="D259" s="8">
        <f t="shared" si="3"/>
        <v>0</v>
      </c>
    </row>
    <row r="260" spans="1:4" ht="18" hidden="1" x14ac:dyDescent="0.3">
      <c r="A260" s="63" t="s">
        <v>288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3" t="s">
        <v>119</v>
      </c>
      <c r="B261" s="7"/>
      <c r="C261" s="7"/>
      <c r="D261" s="8">
        <f t="shared" si="4"/>
        <v>0</v>
      </c>
    </row>
    <row r="262" spans="1:4" ht="18" hidden="1" x14ac:dyDescent="0.3">
      <c r="A262" s="60" t="s">
        <v>141</v>
      </c>
      <c r="B262" s="7"/>
      <c r="C262" s="7"/>
      <c r="D262" s="8">
        <f t="shared" si="4"/>
        <v>0</v>
      </c>
    </row>
    <row r="263" spans="1:4" ht="18" hidden="1" x14ac:dyDescent="0.3">
      <c r="A263" s="60" t="s">
        <v>95</v>
      </c>
      <c r="B263" s="7"/>
      <c r="C263" s="7"/>
      <c r="D263" s="8">
        <f t="shared" si="4"/>
        <v>0</v>
      </c>
    </row>
    <row r="264" spans="1:4" ht="18" hidden="1" x14ac:dyDescent="0.3">
      <c r="A264" s="63" t="s">
        <v>169</v>
      </c>
      <c r="B264" s="7"/>
      <c r="C264" s="7"/>
      <c r="D264" s="8">
        <f t="shared" si="4"/>
        <v>0</v>
      </c>
    </row>
    <row r="265" spans="1:4" ht="18" hidden="1" x14ac:dyDescent="0.3">
      <c r="A265" s="72" t="s">
        <v>77</v>
      </c>
      <c r="B265" s="7"/>
      <c r="C265" s="7"/>
      <c r="D265" s="8">
        <f t="shared" si="4"/>
        <v>0</v>
      </c>
    </row>
    <row r="266" spans="1:4" ht="18" hidden="1" x14ac:dyDescent="0.3">
      <c r="A266" s="22" t="s">
        <v>78</v>
      </c>
      <c r="B266" s="7"/>
      <c r="C266" s="7"/>
      <c r="D266" s="8">
        <f t="shared" si="4"/>
        <v>0</v>
      </c>
    </row>
    <row r="267" spans="1:4" ht="18" hidden="1" x14ac:dyDescent="0.3">
      <c r="A267" s="64" t="s">
        <v>237</v>
      </c>
      <c r="B267" s="7"/>
      <c r="C267" s="7"/>
      <c r="D267" s="8">
        <f t="shared" si="4"/>
        <v>0</v>
      </c>
    </row>
    <row r="268" spans="1:4" ht="18" hidden="1" x14ac:dyDescent="0.3">
      <c r="A268" s="72" t="s">
        <v>79</v>
      </c>
      <c r="B268" s="7"/>
      <c r="C268" s="7"/>
      <c r="D268" s="8">
        <f t="shared" si="4"/>
        <v>0</v>
      </c>
    </row>
    <row r="269" spans="1:4" ht="18" hidden="1" x14ac:dyDescent="0.3">
      <c r="A269" s="63" t="s">
        <v>238</v>
      </c>
      <c r="B269" s="7"/>
      <c r="C269" s="7"/>
      <c r="D269" s="8">
        <f t="shared" si="4"/>
        <v>0</v>
      </c>
    </row>
    <row r="270" spans="1:4" ht="18" hidden="1" x14ac:dyDescent="0.3">
      <c r="A270" s="63" t="s">
        <v>239</v>
      </c>
      <c r="B270" s="7"/>
      <c r="C270" s="7"/>
      <c r="D270" s="8">
        <f t="shared" si="4"/>
        <v>0</v>
      </c>
    </row>
    <row r="271" spans="1:4" ht="18" hidden="1" x14ac:dyDescent="0.3">
      <c r="A271" s="63" t="s">
        <v>240</v>
      </c>
      <c r="B271" s="7"/>
      <c r="C271" s="7"/>
      <c r="D271" s="8">
        <f t="shared" si="4"/>
        <v>0</v>
      </c>
    </row>
    <row r="272" spans="1:4" ht="18" hidden="1" x14ac:dyDescent="0.3">
      <c r="A272" s="63" t="s">
        <v>241</v>
      </c>
      <c r="B272" s="7"/>
      <c r="C272" s="7"/>
      <c r="D272" s="8">
        <f t="shared" si="4"/>
        <v>0</v>
      </c>
    </row>
    <row r="273" spans="1:4" ht="18" hidden="1" x14ac:dyDescent="0.3">
      <c r="A273" s="64" t="s">
        <v>242</v>
      </c>
      <c r="B273" s="7"/>
      <c r="C273" s="7"/>
      <c r="D273" s="8">
        <f t="shared" si="4"/>
        <v>0</v>
      </c>
    </row>
    <row r="274" spans="1:4" ht="18" hidden="1" x14ac:dyDescent="0.3">
      <c r="A274" s="63" t="s">
        <v>243</v>
      </c>
      <c r="B274" s="7"/>
      <c r="C274" s="7"/>
      <c r="D274" s="8">
        <f t="shared" si="4"/>
        <v>0</v>
      </c>
    </row>
    <row r="275" spans="1:4" ht="18" hidden="1" x14ac:dyDescent="0.3">
      <c r="A275" s="63" t="s">
        <v>37</v>
      </c>
      <c r="B275" s="7"/>
      <c r="C275" s="7"/>
      <c r="D275" s="8">
        <f t="shared" si="4"/>
        <v>0</v>
      </c>
    </row>
    <row r="276" spans="1:4" ht="18" hidden="1" x14ac:dyDescent="0.3">
      <c r="A276" s="60" t="s">
        <v>170</v>
      </c>
      <c r="B276" s="7"/>
      <c r="C276" s="7"/>
      <c r="D276" s="8">
        <f t="shared" si="4"/>
        <v>0</v>
      </c>
    </row>
    <row r="277" spans="1:4" ht="18" hidden="1" x14ac:dyDescent="0.3">
      <c r="A277" s="63" t="s">
        <v>80</v>
      </c>
      <c r="B277" s="23"/>
      <c r="C277" s="23"/>
      <c r="D277" s="8">
        <f t="shared" si="4"/>
        <v>0</v>
      </c>
    </row>
    <row r="278" spans="1:4" ht="18" hidden="1" x14ac:dyDescent="0.3">
      <c r="A278" s="63" t="s">
        <v>244</v>
      </c>
      <c r="B278" s="7"/>
      <c r="C278" s="7"/>
      <c r="D278" s="8">
        <f t="shared" si="4"/>
        <v>0</v>
      </c>
    </row>
    <row r="279" spans="1:4" ht="18" hidden="1" x14ac:dyDescent="0.3">
      <c r="A279" s="63" t="s">
        <v>171</v>
      </c>
      <c r="B279" s="7"/>
      <c r="C279" s="7"/>
      <c r="D279" s="8">
        <f t="shared" si="4"/>
        <v>0</v>
      </c>
    </row>
    <row r="280" spans="1:4" ht="18" hidden="1" x14ac:dyDescent="0.3">
      <c r="A280" s="64" t="s">
        <v>245</v>
      </c>
      <c r="B280" s="7"/>
      <c r="C280" s="7"/>
      <c r="D280" s="8">
        <f t="shared" si="4"/>
        <v>0</v>
      </c>
    </row>
    <row r="281" spans="1:4" ht="18" hidden="1" x14ac:dyDescent="0.3">
      <c r="A281" s="64" t="s">
        <v>246</v>
      </c>
      <c r="B281" s="7"/>
      <c r="C281" s="7"/>
      <c r="D281" s="8">
        <f t="shared" si="4"/>
        <v>0</v>
      </c>
    </row>
    <row r="282" spans="1:4" ht="18" hidden="1" x14ac:dyDescent="0.3">
      <c r="A282" s="79" t="s">
        <v>247</v>
      </c>
      <c r="B282" s="7"/>
      <c r="C282" s="7"/>
      <c r="D282" s="8">
        <f t="shared" si="4"/>
        <v>0</v>
      </c>
    </row>
    <row r="283" spans="1:4" ht="18" hidden="1" x14ac:dyDescent="0.3">
      <c r="A283" s="79" t="s">
        <v>248</v>
      </c>
      <c r="B283" s="7"/>
      <c r="C283" s="7"/>
      <c r="D283" s="8">
        <f t="shared" si="4"/>
        <v>0</v>
      </c>
    </row>
    <row r="284" spans="1:4" ht="18" hidden="1" x14ac:dyDescent="0.3">
      <c r="A284" s="64" t="s">
        <v>249</v>
      </c>
      <c r="B284" s="7"/>
      <c r="C284" s="7"/>
      <c r="D284" s="8">
        <f t="shared" si="4"/>
        <v>0</v>
      </c>
    </row>
    <row r="285" spans="1:4" ht="18" hidden="1" x14ac:dyDescent="0.3">
      <c r="A285" s="79" t="s">
        <v>250</v>
      </c>
      <c r="B285" s="7"/>
      <c r="C285" s="7"/>
      <c r="D285" s="8">
        <f t="shared" si="4"/>
        <v>0</v>
      </c>
    </row>
    <row r="286" spans="1:4" ht="18" hidden="1" x14ac:dyDescent="0.3">
      <c r="A286" s="79" t="s">
        <v>251</v>
      </c>
      <c r="B286" s="7"/>
      <c r="C286" s="7"/>
      <c r="D286" s="8">
        <f t="shared" si="4"/>
        <v>0</v>
      </c>
    </row>
    <row r="287" spans="1:4" ht="18" hidden="1" x14ac:dyDescent="0.3">
      <c r="A287" s="79" t="s">
        <v>252</v>
      </c>
      <c r="B287" s="7"/>
      <c r="C287" s="7"/>
      <c r="D287" s="8">
        <f t="shared" si="4"/>
        <v>0</v>
      </c>
    </row>
    <row r="288" spans="1:4" ht="18" hidden="1" x14ac:dyDescent="0.3">
      <c r="A288" s="63" t="s">
        <v>253</v>
      </c>
      <c r="B288" s="7"/>
      <c r="C288" s="7"/>
      <c r="D288" s="8">
        <f t="shared" si="4"/>
        <v>0</v>
      </c>
    </row>
    <row r="289" spans="1:4" ht="18" hidden="1" x14ac:dyDescent="0.3">
      <c r="A289" s="63" t="s">
        <v>254</v>
      </c>
      <c r="B289" s="7"/>
      <c r="C289" s="7"/>
      <c r="D289" s="8">
        <f t="shared" si="4"/>
        <v>0</v>
      </c>
    </row>
    <row r="290" spans="1:4" ht="18" hidden="1" x14ac:dyDescent="0.3">
      <c r="A290" s="63" t="s">
        <v>255</v>
      </c>
      <c r="B290" s="7"/>
      <c r="C290" s="7"/>
      <c r="D290" s="8">
        <f t="shared" si="4"/>
        <v>0</v>
      </c>
    </row>
    <row r="291" spans="1:4" ht="18" hidden="1" x14ac:dyDescent="0.3">
      <c r="A291" s="63" t="s">
        <v>256</v>
      </c>
      <c r="B291" s="7"/>
      <c r="C291" s="7"/>
      <c r="D291" s="8">
        <f t="shared" si="4"/>
        <v>0</v>
      </c>
    </row>
    <row r="292" spans="1:4" ht="18" hidden="1" x14ac:dyDescent="0.3">
      <c r="A292" s="63" t="s">
        <v>257</v>
      </c>
      <c r="B292" s="7"/>
      <c r="C292" s="7"/>
      <c r="D292" s="8">
        <f t="shared" si="4"/>
        <v>0</v>
      </c>
    </row>
    <row r="293" spans="1:4" ht="18" hidden="1" x14ac:dyDescent="0.3">
      <c r="A293" s="63" t="s">
        <v>258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6370.8</v>
      </c>
      <c r="C294" s="32"/>
      <c r="D294" s="32">
        <f t="shared" si="5"/>
        <v>84477200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F69" sqref="F69"/>
    </sheetView>
  </sheetViews>
  <sheetFormatPr defaultRowHeight="14.4" x14ac:dyDescent="0.3"/>
  <cols>
    <col min="1" max="1" width="35.88671875" customWidth="1"/>
    <col min="3" max="3" width="15.5546875" customWidth="1"/>
    <col min="4" max="4" width="17.44140625" customWidth="1"/>
  </cols>
  <sheetData>
    <row r="1" spans="1:4" x14ac:dyDescent="0.3">
      <c r="A1" s="57" t="s">
        <v>321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70" t="s">
        <v>72</v>
      </c>
      <c r="B3" s="7"/>
      <c r="C3" s="7"/>
      <c r="D3" s="8">
        <f>B3*C3</f>
        <v>0</v>
      </c>
    </row>
    <row r="4" spans="1:4" ht="18" hidden="1" x14ac:dyDescent="0.3">
      <c r="A4" s="71" t="s">
        <v>73</v>
      </c>
      <c r="B4" s="7"/>
      <c r="C4" s="7"/>
      <c r="D4" s="8">
        <f t="shared" ref="D4:D67" si="0">B4*C4</f>
        <v>0</v>
      </c>
    </row>
    <row r="5" spans="1:4" ht="18" hidden="1" x14ac:dyDescent="0.3">
      <c r="A5" s="70" t="s">
        <v>74</v>
      </c>
      <c r="B5" s="7"/>
      <c r="C5" s="7"/>
      <c r="D5" s="8">
        <f t="shared" si="0"/>
        <v>0</v>
      </c>
    </row>
    <row r="6" spans="1:4" ht="18" x14ac:dyDescent="0.3">
      <c r="A6" s="70" t="s">
        <v>190</v>
      </c>
      <c r="B6" s="7">
        <v>13</v>
      </c>
      <c r="C6" s="7">
        <v>6500</v>
      </c>
      <c r="D6" s="8">
        <f t="shared" si="0"/>
        <v>84500</v>
      </c>
    </row>
    <row r="7" spans="1:4" ht="18" hidden="1" x14ac:dyDescent="0.3">
      <c r="A7" s="63" t="s">
        <v>191</v>
      </c>
      <c r="B7" s="7"/>
      <c r="C7" s="7"/>
      <c r="D7" s="8">
        <f t="shared" si="0"/>
        <v>0</v>
      </c>
    </row>
    <row r="8" spans="1:4" ht="18" hidden="1" x14ac:dyDescent="0.3">
      <c r="A8" s="70" t="s">
        <v>308</v>
      </c>
      <c r="B8" s="7"/>
      <c r="C8" s="7"/>
      <c r="D8" s="8">
        <f t="shared" si="0"/>
        <v>0</v>
      </c>
    </row>
    <row r="9" spans="1:4" ht="18" hidden="1" x14ac:dyDescent="0.3">
      <c r="A9" s="63" t="s">
        <v>49</v>
      </c>
      <c r="B9" s="7"/>
      <c r="C9" s="7"/>
      <c r="D9" s="8">
        <f t="shared" si="0"/>
        <v>0</v>
      </c>
    </row>
    <row r="10" spans="1:4" ht="18" hidden="1" x14ac:dyDescent="0.3">
      <c r="A10" s="63" t="s">
        <v>50</v>
      </c>
      <c r="B10" s="7"/>
      <c r="C10" s="7"/>
      <c r="D10" s="8">
        <f t="shared" si="0"/>
        <v>0</v>
      </c>
    </row>
    <row r="11" spans="1:4" ht="18" hidden="1" x14ac:dyDescent="0.3">
      <c r="A11" s="60" t="s">
        <v>51</v>
      </c>
      <c r="B11" s="7"/>
      <c r="C11" s="7"/>
      <c r="D11" s="8">
        <f t="shared" si="0"/>
        <v>0</v>
      </c>
    </row>
    <row r="12" spans="1:4" ht="18" x14ac:dyDescent="0.3">
      <c r="A12" s="60" t="s">
        <v>199</v>
      </c>
      <c r="B12" s="7">
        <v>15</v>
      </c>
      <c r="C12" s="7">
        <v>9000</v>
      </c>
      <c r="D12" s="8">
        <f t="shared" si="0"/>
        <v>135000</v>
      </c>
    </row>
    <row r="13" spans="1:4" ht="18" hidden="1" x14ac:dyDescent="0.3">
      <c r="A13" s="63" t="s">
        <v>117</v>
      </c>
      <c r="B13" s="7"/>
      <c r="C13" s="7"/>
      <c r="D13" s="8">
        <f t="shared" si="0"/>
        <v>0</v>
      </c>
    </row>
    <row r="14" spans="1:4" ht="18" hidden="1" x14ac:dyDescent="0.3">
      <c r="A14" s="63" t="s">
        <v>276</v>
      </c>
      <c r="B14" s="7"/>
      <c r="C14" s="7"/>
      <c r="D14" s="8">
        <f t="shared" si="0"/>
        <v>0</v>
      </c>
    </row>
    <row r="15" spans="1:4" ht="18" hidden="1" x14ac:dyDescent="0.3">
      <c r="A15" s="72" t="s">
        <v>277</v>
      </c>
      <c r="B15" s="7"/>
      <c r="C15" s="7"/>
      <c r="D15" s="8">
        <f t="shared" si="0"/>
        <v>0</v>
      </c>
    </row>
    <row r="16" spans="1:4" ht="18" hidden="1" x14ac:dyDescent="0.3">
      <c r="A16" s="61" t="s">
        <v>278</v>
      </c>
      <c r="B16" s="7"/>
      <c r="C16" s="7"/>
      <c r="D16" s="8">
        <f t="shared" si="0"/>
        <v>0</v>
      </c>
    </row>
    <row r="17" spans="1:4" ht="18" x14ac:dyDescent="0.3">
      <c r="A17" s="63" t="s">
        <v>120</v>
      </c>
      <c r="B17" s="7">
        <f>1390+255+60+240+400</f>
        <v>2345</v>
      </c>
      <c r="C17" s="7">
        <v>5000</v>
      </c>
      <c r="D17" s="8">
        <f t="shared" si="0"/>
        <v>11725000</v>
      </c>
    </row>
    <row r="18" spans="1:4" ht="18" hidden="1" x14ac:dyDescent="0.3">
      <c r="A18" s="60" t="s">
        <v>59</v>
      </c>
      <c r="B18" s="7"/>
      <c r="C18" s="7"/>
      <c r="D18" s="8">
        <f t="shared" si="0"/>
        <v>0</v>
      </c>
    </row>
    <row r="19" spans="1:4" ht="18" hidden="1" x14ac:dyDescent="0.3">
      <c r="A19" s="60" t="s">
        <v>60</v>
      </c>
      <c r="B19" s="7"/>
      <c r="C19" s="7"/>
      <c r="D19" s="8">
        <f t="shared" si="0"/>
        <v>0</v>
      </c>
    </row>
    <row r="20" spans="1:4" ht="18" x14ac:dyDescent="0.3">
      <c r="A20" s="63" t="s">
        <v>262</v>
      </c>
      <c r="B20" s="7">
        <v>16</v>
      </c>
      <c r="C20" s="7">
        <v>11000</v>
      </c>
      <c r="D20" s="8">
        <f t="shared" si="0"/>
        <v>176000</v>
      </c>
    </row>
    <row r="21" spans="1:4" ht="18" x14ac:dyDescent="0.3">
      <c r="A21" s="63" t="s">
        <v>263</v>
      </c>
      <c r="B21" s="7">
        <f>40+40+20</f>
        <v>100</v>
      </c>
      <c r="C21" s="7">
        <v>8000</v>
      </c>
      <c r="D21" s="8">
        <f t="shared" si="0"/>
        <v>800000</v>
      </c>
    </row>
    <row r="22" spans="1:4" ht="18" hidden="1" x14ac:dyDescent="0.3">
      <c r="A22" s="63" t="s">
        <v>264</v>
      </c>
      <c r="B22" s="7"/>
      <c r="C22" s="7"/>
      <c r="D22" s="8">
        <f t="shared" si="0"/>
        <v>0</v>
      </c>
    </row>
    <row r="23" spans="1:4" ht="18" hidden="1" x14ac:dyDescent="0.3">
      <c r="A23" s="63" t="s">
        <v>265</v>
      </c>
      <c r="B23" s="7"/>
      <c r="C23" s="7"/>
      <c r="D23" s="8">
        <f t="shared" si="0"/>
        <v>0</v>
      </c>
    </row>
    <row r="24" spans="1:4" ht="18" hidden="1" x14ac:dyDescent="0.3">
      <c r="A24" s="63" t="s">
        <v>63</v>
      </c>
      <c r="B24" s="7"/>
      <c r="C24" s="7"/>
      <c r="D24" s="8">
        <f t="shared" si="0"/>
        <v>0</v>
      </c>
    </row>
    <row r="25" spans="1:4" ht="18" hidden="1" x14ac:dyDescent="0.3">
      <c r="A25" s="60" t="s">
        <v>64</v>
      </c>
      <c r="B25" s="7"/>
      <c r="C25" s="7"/>
      <c r="D25" s="8">
        <f t="shared" si="0"/>
        <v>0</v>
      </c>
    </row>
    <row r="26" spans="1:4" ht="18" hidden="1" x14ac:dyDescent="0.3">
      <c r="A26" s="60" t="s">
        <v>65</v>
      </c>
      <c r="B26" s="7"/>
      <c r="C26" s="7"/>
      <c r="D26" s="8">
        <f t="shared" si="0"/>
        <v>0</v>
      </c>
    </row>
    <row r="27" spans="1:4" ht="18" hidden="1" x14ac:dyDescent="0.3">
      <c r="A27" s="63" t="s">
        <v>222</v>
      </c>
      <c r="B27" s="7"/>
      <c r="C27" s="7"/>
      <c r="D27" s="8">
        <f t="shared" si="0"/>
        <v>0</v>
      </c>
    </row>
    <row r="28" spans="1:4" ht="18" hidden="1" x14ac:dyDescent="0.3">
      <c r="A28" s="63" t="s">
        <v>223</v>
      </c>
      <c r="B28" s="7"/>
      <c r="C28" s="7"/>
      <c r="D28" s="8">
        <f t="shared" si="0"/>
        <v>0</v>
      </c>
    </row>
    <row r="29" spans="1:4" ht="18" hidden="1" x14ac:dyDescent="0.3">
      <c r="A29" s="61" t="s">
        <v>224</v>
      </c>
      <c r="B29" s="12"/>
      <c r="C29" s="12"/>
      <c r="D29" s="8">
        <f t="shared" si="0"/>
        <v>0</v>
      </c>
    </row>
    <row r="30" spans="1:4" ht="18" hidden="1" x14ac:dyDescent="0.3">
      <c r="A30" s="61" t="s">
        <v>225</v>
      </c>
      <c r="B30" s="7"/>
      <c r="C30" s="7"/>
      <c r="D30" s="8">
        <f t="shared" si="0"/>
        <v>0</v>
      </c>
    </row>
    <row r="31" spans="1:4" ht="18" hidden="1" x14ac:dyDescent="0.3">
      <c r="A31" s="61" t="s">
        <v>226</v>
      </c>
      <c r="B31" s="12"/>
      <c r="C31" s="12"/>
      <c r="D31" s="8">
        <f t="shared" si="0"/>
        <v>0</v>
      </c>
    </row>
    <row r="32" spans="1:4" ht="18" hidden="1" x14ac:dyDescent="0.3">
      <c r="A32" s="63" t="s">
        <v>121</v>
      </c>
      <c r="B32" s="7"/>
      <c r="C32" s="7"/>
      <c r="D32" s="8">
        <f t="shared" si="0"/>
        <v>0</v>
      </c>
    </row>
    <row r="33" spans="1:4" ht="18" x14ac:dyDescent="0.3">
      <c r="A33" s="63" t="s">
        <v>145</v>
      </c>
      <c r="B33" s="7">
        <v>2</v>
      </c>
      <c r="C33" s="7">
        <v>50000</v>
      </c>
      <c r="D33" s="8">
        <f t="shared" si="0"/>
        <v>100000</v>
      </c>
    </row>
    <row r="34" spans="1:4" ht="18" hidden="1" x14ac:dyDescent="0.3">
      <c r="A34" s="65" t="s">
        <v>97</v>
      </c>
      <c r="B34" s="7"/>
      <c r="C34" s="7"/>
      <c r="D34" s="8">
        <f t="shared" si="0"/>
        <v>0</v>
      </c>
    </row>
    <row r="35" spans="1:4" ht="18" x14ac:dyDescent="0.3">
      <c r="A35" s="63" t="s">
        <v>98</v>
      </c>
      <c r="B35" s="7">
        <v>12</v>
      </c>
      <c r="C35" s="7">
        <v>29000</v>
      </c>
      <c r="D35" s="8">
        <f t="shared" si="0"/>
        <v>348000</v>
      </c>
    </row>
    <row r="36" spans="1:4" ht="18" hidden="1" x14ac:dyDescent="0.3">
      <c r="A36" s="63" t="s">
        <v>99</v>
      </c>
      <c r="B36" s="7"/>
      <c r="C36" s="7"/>
      <c r="D36" s="8">
        <f t="shared" si="0"/>
        <v>0</v>
      </c>
    </row>
    <row r="37" spans="1:4" ht="18" hidden="1" x14ac:dyDescent="0.3">
      <c r="A37" s="63" t="s">
        <v>266</v>
      </c>
      <c r="B37" s="7"/>
      <c r="C37" s="7"/>
      <c r="D37" s="8">
        <f t="shared" si="0"/>
        <v>0</v>
      </c>
    </row>
    <row r="38" spans="1:4" ht="18" hidden="1" x14ac:dyDescent="0.3">
      <c r="A38" s="63" t="s">
        <v>267</v>
      </c>
      <c r="B38" s="7"/>
      <c r="C38" s="7"/>
      <c r="D38" s="8">
        <f t="shared" si="0"/>
        <v>0</v>
      </c>
    </row>
    <row r="39" spans="1:4" ht="18" hidden="1" x14ac:dyDescent="0.3">
      <c r="A39" s="74" t="s">
        <v>268</v>
      </c>
      <c r="B39" s="7"/>
      <c r="C39" s="7"/>
      <c r="D39" s="8">
        <f t="shared" si="0"/>
        <v>0</v>
      </c>
    </row>
    <row r="40" spans="1:4" ht="18" hidden="1" x14ac:dyDescent="0.3">
      <c r="A40" s="61" t="s">
        <v>122</v>
      </c>
      <c r="B40" s="7"/>
      <c r="C40" s="7"/>
      <c r="D40" s="8">
        <f t="shared" si="0"/>
        <v>0</v>
      </c>
    </row>
    <row r="41" spans="1:4" ht="18" hidden="1" x14ac:dyDescent="0.3">
      <c r="A41" s="74" t="s">
        <v>123</v>
      </c>
      <c r="B41" s="7"/>
      <c r="C41" s="7"/>
      <c r="D41" s="8">
        <f t="shared" si="0"/>
        <v>0</v>
      </c>
    </row>
    <row r="42" spans="1:4" ht="18" x14ac:dyDescent="0.3">
      <c r="A42" s="63" t="s">
        <v>269</v>
      </c>
      <c r="B42" s="7">
        <f>5+60+15+25+10</f>
        <v>115</v>
      </c>
      <c r="C42" s="7">
        <v>23000</v>
      </c>
      <c r="D42" s="8">
        <f t="shared" si="0"/>
        <v>2645000</v>
      </c>
    </row>
    <row r="43" spans="1:4" ht="18" hidden="1" x14ac:dyDescent="0.3">
      <c r="A43" s="63" t="s">
        <v>270</v>
      </c>
      <c r="B43" s="7"/>
      <c r="C43" s="7"/>
      <c r="D43" s="8">
        <f t="shared" si="0"/>
        <v>0</v>
      </c>
    </row>
    <row r="44" spans="1:4" ht="18" x14ac:dyDescent="0.3">
      <c r="A44" s="60" t="s">
        <v>113</v>
      </c>
      <c r="B44" s="7">
        <f>500+120+270+40+60+180</f>
        <v>1170</v>
      </c>
      <c r="C44" s="7">
        <v>16000</v>
      </c>
      <c r="D44" s="8">
        <f t="shared" si="0"/>
        <v>18720000</v>
      </c>
    </row>
    <row r="45" spans="1:4" ht="18" hidden="1" x14ac:dyDescent="0.3">
      <c r="A45" s="63" t="s">
        <v>147</v>
      </c>
      <c r="B45" s="7"/>
      <c r="C45" s="7"/>
      <c r="D45" s="8">
        <f t="shared" si="0"/>
        <v>0</v>
      </c>
    </row>
    <row r="46" spans="1:4" ht="18" hidden="1" x14ac:dyDescent="0.3">
      <c r="A46" s="81" t="s">
        <v>148</v>
      </c>
      <c r="B46" s="7"/>
      <c r="C46" s="7"/>
      <c r="D46" s="8">
        <f t="shared" si="0"/>
        <v>0</v>
      </c>
    </row>
    <row r="47" spans="1:4" ht="18" hidden="1" x14ac:dyDescent="0.3">
      <c r="A47" s="68" t="s">
        <v>149</v>
      </c>
      <c r="B47" s="7"/>
      <c r="C47" s="7"/>
      <c r="D47" s="8">
        <f t="shared" si="0"/>
        <v>0</v>
      </c>
    </row>
    <row r="48" spans="1:4" ht="18" hidden="1" x14ac:dyDescent="0.3">
      <c r="A48" s="63" t="s">
        <v>150</v>
      </c>
      <c r="B48" s="7"/>
      <c r="C48" s="7"/>
      <c r="D48" s="8">
        <f t="shared" si="0"/>
        <v>0</v>
      </c>
    </row>
    <row r="49" spans="1:4" ht="18" hidden="1" x14ac:dyDescent="0.3">
      <c r="A49" s="61" t="s">
        <v>151</v>
      </c>
      <c r="B49" s="7"/>
      <c r="C49" s="7"/>
      <c r="D49" s="8">
        <f t="shared" si="0"/>
        <v>0</v>
      </c>
    </row>
    <row r="50" spans="1:4" ht="18" hidden="1" x14ac:dyDescent="0.3">
      <c r="A50" s="63" t="s">
        <v>152</v>
      </c>
      <c r="B50" s="7"/>
      <c r="C50" s="7"/>
      <c r="D50" s="8">
        <f t="shared" si="0"/>
        <v>0</v>
      </c>
    </row>
    <row r="51" spans="1:4" ht="18" hidden="1" x14ac:dyDescent="0.3">
      <c r="A51" s="63" t="s">
        <v>153</v>
      </c>
      <c r="B51" s="7"/>
      <c r="C51" s="7"/>
      <c r="D51" s="8">
        <f t="shared" si="0"/>
        <v>0</v>
      </c>
    </row>
    <row r="52" spans="1:4" ht="18" hidden="1" x14ac:dyDescent="0.3">
      <c r="A52" s="68" t="s">
        <v>75</v>
      </c>
      <c r="B52" s="7"/>
      <c r="C52" s="7"/>
      <c r="D52" s="8">
        <f t="shared" si="0"/>
        <v>0</v>
      </c>
    </row>
    <row r="53" spans="1:4" ht="18" x14ac:dyDescent="0.3">
      <c r="A53" s="63" t="s">
        <v>114</v>
      </c>
      <c r="B53" s="7">
        <f>85+15</f>
        <v>100</v>
      </c>
      <c r="C53" s="7">
        <v>12000</v>
      </c>
      <c r="D53" s="8">
        <f t="shared" si="0"/>
        <v>1200000</v>
      </c>
    </row>
    <row r="54" spans="1:4" ht="18" hidden="1" x14ac:dyDescent="0.3">
      <c r="A54" s="63" t="s">
        <v>154</v>
      </c>
      <c r="B54" s="7"/>
      <c r="C54" s="7"/>
      <c r="D54" s="8">
        <f t="shared" si="0"/>
        <v>0</v>
      </c>
    </row>
    <row r="55" spans="1:4" ht="18" hidden="1" x14ac:dyDescent="0.3">
      <c r="A55" s="63" t="s">
        <v>155</v>
      </c>
      <c r="B55" s="7"/>
      <c r="C55" s="7"/>
      <c r="D55" s="8">
        <f t="shared" si="0"/>
        <v>0</v>
      </c>
    </row>
    <row r="56" spans="1:4" ht="18" hidden="1" x14ac:dyDescent="0.3">
      <c r="A56" s="62" t="s">
        <v>156</v>
      </c>
      <c r="B56" s="7"/>
      <c r="C56" s="7"/>
      <c r="D56" s="8">
        <f t="shared" si="0"/>
        <v>0</v>
      </c>
    </row>
    <row r="57" spans="1:4" ht="18" hidden="1" x14ac:dyDescent="0.3">
      <c r="A57" s="60" t="s">
        <v>283</v>
      </c>
      <c r="B57" s="7"/>
      <c r="C57" s="7"/>
      <c r="D57" s="8">
        <f t="shared" si="0"/>
        <v>0</v>
      </c>
    </row>
    <row r="58" spans="1:4" ht="18" hidden="1" x14ac:dyDescent="0.3">
      <c r="A58" s="60" t="s">
        <v>303</v>
      </c>
      <c r="B58" s="7"/>
      <c r="C58" s="7"/>
      <c r="D58" s="8">
        <f t="shared" si="0"/>
        <v>0</v>
      </c>
    </row>
    <row r="59" spans="1:4" ht="18" hidden="1" x14ac:dyDescent="0.3">
      <c r="A59" s="82" t="s">
        <v>304</v>
      </c>
      <c r="B59" s="7"/>
      <c r="C59" s="7"/>
      <c r="D59" s="8">
        <f t="shared" si="0"/>
        <v>0</v>
      </c>
    </row>
    <row r="60" spans="1:4" ht="18" hidden="1" x14ac:dyDescent="0.3">
      <c r="A60" s="60" t="s">
        <v>305</v>
      </c>
      <c r="B60" s="7"/>
      <c r="C60" s="7"/>
      <c r="D60" s="8">
        <f t="shared" si="0"/>
        <v>0</v>
      </c>
    </row>
    <row r="61" spans="1:4" ht="18" hidden="1" x14ac:dyDescent="0.3">
      <c r="A61" s="60" t="s">
        <v>306</v>
      </c>
      <c r="B61" s="7"/>
      <c r="C61" s="7"/>
      <c r="D61" s="8">
        <f t="shared" si="0"/>
        <v>0</v>
      </c>
    </row>
    <row r="62" spans="1:4" ht="18" hidden="1" x14ac:dyDescent="0.3">
      <c r="A62" s="60" t="s">
        <v>2</v>
      </c>
      <c r="B62" s="7"/>
      <c r="C62" s="7"/>
      <c r="D62" s="8">
        <f t="shared" si="0"/>
        <v>0</v>
      </c>
    </row>
    <row r="63" spans="1:4" ht="18" hidden="1" x14ac:dyDescent="0.3">
      <c r="A63" s="62" t="s">
        <v>3</v>
      </c>
      <c r="B63" s="7"/>
      <c r="C63" s="7"/>
      <c r="D63" s="8">
        <f t="shared" si="0"/>
        <v>0</v>
      </c>
    </row>
    <row r="64" spans="1:4" ht="18" hidden="1" x14ac:dyDescent="0.3">
      <c r="A64" s="63" t="s">
        <v>4</v>
      </c>
      <c r="B64" s="7"/>
      <c r="C64" s="7"/>
      <c r="D64" s="8">
        <f t="shared" si="0"/>
        <v>0</v>
      </c>
    </row>
    <row r="65" spans="1:4" ht="18" hidden="1" x14ac:dyDescent="0.3">
      <c r="A65" s="63" t="s">
        <v>115</v>
      </c>
      <c r="B65" s="7"/>
      <c r="C65" s="7"/>
      <c r="D65" s="8">
        <f t="shared" si="0"/>
        <v>0</v>
      </c>
    </row>
    <row r="66" spans="1:4" ht="18" hidden="1" x14ac:dyDescent="0.3">
      <c r="A66" s="60" t="s">
        <v>116</v>
      </c>
      <c r="B66" s="7"/>
      <c r="C66" s="7"/>
      <c r="D66" s="8">
        <f t="shared" si="0"/>
        <v>0</v>
      </c>
    </row>
    <row r="67" spans="1:4" ht="18" x14ac:dyDescent="0.3">
      <c r="A67" s="63" t="s">
        <v>163</v>
      </c>
      <c r="B67" s="7">
        <f>55+10+60+10</f>
        <v>135</v>
      </c>
      <c r="C67" s="7">
        <v>16000</v>
      </c>
      <c r="D67" s="8">
        <f t="shared" si="0"/>
        <v>2160000</v>
      </c>
    </row>
    <row r="68" spans="1:4" ht="18" hidden="1" x14ac:dyDescent="0.3">
      <c r="A68" s="74" t="s">
        <v>164</v>
      </c>
      <c r="B68" s="7"/>
      <c r="C68" s="7"/>
      <c r="D68" s="8">
        <f t="shared" ref="D68:D131" si="1">B68*C68</f>
        <v>0</v>
      </c>
    </row>
    <row r="69" spans="1:4" ht="18" x14ac:dyDescent="0.3">
      <c r="A69" s="63" t="s">
        <v>319</v>
      </c>
      <c r="B69" s="7">
        <f>20+40+20</f>
        <v>80</v>
      </c>
      <c r="C69" s="7">
        <v>18000</v>
      </c>
      <c r="D69" s="8">
        <f t="shared" si="1"/>
        <v>1440000</v>
      </c>
    </row>
    <row r="70" spans="1:4" ht="18" x14ac:dyDescent="0.3">
      <c r="A70" s="63" t="s">
        <v>166</v>
      </c>
      <c r="B70" s="7">
        <v>4</v>
      </c>
      <c r="C70" s="7">
        <v>15000</v>
      </c>
      <c r="D70" s="8">
        <f t="shared" si="1"/>
        <v>60000</v>
      </c>
    </row>
    <row r="71" spans="1:4" ht="18" hidden="1" x14ac:dyDescent="0.3">
      <c r="A71" s="63" t="s">
        <v>167</v>
      </c>
      <c r="B71" s="7"/>
      <c r="C71" s="7"/>
      <c r="D71" s="8">
        <f t="shared" si="1"/>
        <v>0</v>
      </c>
    </row>
    <row r="72" spans="1:4" ht="18" hidden="1" x14ac:dyDescent="0.3">
      <c r="A72" s="60" t="s">
        <v>9</v>
      </c>
      <c r="B72" s="12"/>
      <c r="C72" s="12"/>
      <c r="D72" s="8">
        <f t="shared" si="1"/>
        <v>0</v>
      </c>
    </row>
    <row r="73" spans="1:4" ht="18" hidden="1" x14ac:dyDescent="0.3">
      <c r="A73" s="60" t="s">
        <v>10</v>
      </c>
      <c r="B73" s="12"/>
      <c r="C73" s="12"/>
      <c r="D73" s="8">
        <f t="shared" si="1"/>
        <v>0</v>
      </c>
    </row>
    <row r="74" spans="1:4" ht="18" hidden="1" x14ac:dyDescent="0.3">
      <c r="A74" s="63" t="s">
        <v>81</v>
      </c>
      <c r="B74" s="7"/>
      <c r="C74" s="7"/>
      <c r="D74" s="8">
        <f t="shared" si="1"/>
        <v>0</v>
      </c>
    </row>
    <row r="75" spans="1:4" ht="18" x14ac:dyDescent="0.3">
      <c r="A75" s="63" t="s">
        <v>82</v>
      </c>
      <c r="B75" s="7">
        <f>15+12</f>
        <v>27</v>
      </c>
      <c r="C75" s="7">
        <v>25000</v>
      </c>
      <c r="D75" s="8">
        <f t="shared" si="1"/>
        <v>675000</v>
      </c>
    </row>
    <row r="76" spans="1:4" ht="18" x14ac:dyDescent="0.3">
      <c r="A76" s="63" t="s">
        <v>83</v>
      </c>
      <c r="B76" s="7">
        <f>18/0.5</f>
        <v>36</v>
      </c>
      <c r="C76" s="7">
        <v>25000</v>
      </c>
      <c r="D76" s="8">
        <f t="shared" si="1"/>
        <v>900000</v>
      </c>
    </row>
    <row r="77" spans="1:4" ht="18" hidden="1" x14ac:dyDescent="0.3">
      <c r="A77" s="63" t="s">
        <v>84</v>
      </c>
      <c r="B77" s="7"/>
      <c r="C77" s="7"/>
      <c r="D77" s="8">
        <f t="shared" si="1"/>
        <v>0</v>
      </c>
    </row>
    <row r="78" spans="1:4" ht="18" hidden="1" x14ac:dyDescent="0.3">
      <c r="A78" s="63" t="s">
        <v>85</v>
      </c>
      <c r="B78" s="7"/>
      <c r="C78" s="7"/>
      <c r="D78" s="8">
        <f t="shared" si="1"/>
        <v>0</v>
      </c>
    </row>
    <row r="79" spans="1:4" ht="18" hidden="1" x14ac:dyDescent="0.3">
      <c r="A79" s="63" t="s">
        <v>188</v>
      </c>
      <c r="B79" s="7"/>
      <c r="C79" s="7"/>
      <c r="D79" s="8">
        <f t="shared" si="1"/>
        <v>0</v>
      </c>
    </row>
    <row r="80" spans="1:4" ht="18" hidden="1" x14ac:dyDescent="0.3">
      <c r="A80" s="64" t="s">
        <v>189</v>
      </c>
      <c r="B80" s="7"/>
      <c r="C80" s="7"/>
      <c r="D80" s="8">
        <f t="shared" si="1"/>
        <v>0</v>
      </c>
    </row>
    <row r="81" spans="1:4" ht="18" hidden="1" x14ac:dyDescent="0.3">
      <c r="A81" s="13" t="s">
        <v>172</v>
      </c>
      <c r="B81" s="7"/>
      <c r="C81" s="7"/>
      <c r="D81" s="8">
        <f t="shared" si="1"/>
        <v>0</v>
      </c>
    </row>
    <row r="82" spans="1:4" ht="18" hidden="1" x14ac:dyDescent="0.3">
      <c r="A82" s="13" t="s">
        <v>173</v>
      </c>
      <c r="B82" s="7"/>
      <c r="C82" s="7"/>
      <c r="D82" s="8">
        <f t="shared" si="1"/>
        <v>0</v>
      </c>
    </row>
    <row r="83" spans="1:4" ht="18" hidden="1" x14ac:dyDescent="0.3">
      <c r="A83" s="61" t="s">
        <v>174</v>
      </c>
      <c r="B83" s="7"/>
      <c r="C83" s="7"/>
      <c r="D83" s="8">
        <f t="shared" si="1"/>
        <v>0</v>
      </c>
    </row>
    <row r="84" spans="1:4" ht="18" x14ac:dyDescent="0.3">
      <c r="A84" s="74" t="s">
        <v>168</v>
      </c>
      <c r="B84" s="7">
        <v>25</v>
      </c>
      <c r="C84" s="7">
        <v>18000</v>
      </c>
      <c r="D84" s="8">
        <f t="shared" si="1"/>
        <v>450000</v>
      </c>
    </row>
    <row r="85" spans="1:4" ht="18" hidden="1" x14ac:dyDescent="0.3">
      <c r="A85" s="61" t="s">
        <v>200</v>
      </c>
      <c r="B85" s="7"/>
      <c r="C85" s="7"/>
      <c r="D85" s="8">
        <f t="shared" si="1"/>
        <v>0</v>
      </c>
    </row>
    <row r="86" spans="1:4" ht="18" hidden="1" x14ac:dyDescent="0.3">
      <c r="A86" s="63" t="s">
        <v>11</v>
      </c>
      <c r="B86" s="7"/>
      <c r="C86" s="7"/>
      <c r="D86" s="8">
        <f t="shared" si="1"/>
        <v>0</v>
      </c>
    </row>
    <row r="87" spans="1:4" ht="18" hidden="1" x14ac:dyDescent="0.3">
      <c r="A87" s="63" t="s">
        <v>12</v>
      </c>
      <c r="B87" s="7"/>
      <c r="C87" s="7"/>
      <c r="D87" s="8">
        <f t="shared" si="1"/>
        <v>0</v>
      </c>
    </row>
    <row r="88" spans="1:4" ht="18" hidden="1" x14ac:dyDescent="0.3">
      <c r="A88" s="61" t="s">
        <v>201</v>
      </c>
      <c r="B88" s="7"/>
      <c r="C88" s="7"/>
      <c r="D88" s="8">
        <f t="shared" si="1"/>
        <v>0</v>
      </c>
    </row>
    <row r="89" spans="1:4" ht="18" hidden="1" x14ac:dyDescent="0.3">
      <c r="A89" s="61" t="s">
        <v>202</v>
      </c>
      <c r="B89" s="7"/>
      <c r="C89" s="7"/>
      <c r="D89" s="8">
        <f t="shared" si="1"/>
        <v>0</v>
      </c>
    </row>
    <row r="90" spans="1:4" ht="18" hidden="1" x14ac:dyDescent="0.3">
      <c r="A90" s="63" t="s">
        <v>13</v>
      </c>
      <c r="B90" s="12"/>
      <c r="C90" s="12"/>
      <c r="D90" s="8">
        <f t="shared" si="1"/>
        <v>0</v>
      </c>
    </row>
    <row r="91" spans="1:4" ht="18" hidden="1" x14ac:dyDescent="0.3">
      <c r="A91" s="64" t="s">
        <v>14</v>
      </c>
      <c r="B91" s="7"/>
      <c r="C91" s="7"/>
      <c r="D91" s="8">
        <f t="shared" si="1"/>
        <v>0</v>
      </c>
    </row>
    <row r="92" spans="1:4" ht="18" hidden="1" x14ac:dyDescent="0.3">
      <c r="A92" s="61" t="s">
        <v>203</v>
      </c>
      <c r="B92" s="7"/>
      <c r="C92" s="7"/>
      <c r="D92" s="8">
        <f t="shared" si="1"/>
        <v>0</v>
      </c>
    </row>
    <row r="93" spans="1:4" ht="18" x14ac:dyDescent="0.3">
      <c r="A93" s="63" t="s">
        <v>46</v>
      </c>
      <c r="B93" s="7">
        <v>40</v>
      </c>
      <c r="C93" s="7">
        <v>9000</v>
      </c>
      <c r="D93" s="8">
        <f t="shared" si="1"/>
        <v>360000</v>
      </c>
    </row>
    <row r="94" spans="1:4" ht="18" hidden="1" x14ac:dyDescent="0.3">
      <c r="A94" s="65" t="s">
        <v>47</v>
      </c>
      <c r="B94" s="7"/>
      <c r="C94" s="7"/>
      <c r="D94" s="8">
        <f t="shared" si="1"/>
        <v>0</v>
      </c>
    </row>
    <row r="95" spans="1:4" ht="18" hidden="1" x14ac:dyDescent="0.3">
      <c r="A95" s="63" t="s">
        <v>186</v>
      </c>
      <c r="B95" s="7"/>
      <c r="C95" s="7"/>
      <c r="D95" s="8">
        <f t="shared" si="1"/>
        <v>0</v>
      </c>
    </row>
    <row r="96" spans="1:4" ht="18" hidden="1" x14ac:dyDescent="0.3">
      <c r="A96" s="63" t="s">
        <v>187</v>
      </c>
      <c r="B96" s="7"/>
      <c r="C96" s="7"/>
      <c r="D96" s="8">
        <f t="shared" si="1"/>
        <v>0</v>
      </c>
    </row>
    <row r="97" spans="1:4" ht="18" hidden="1" x14ac:dyDescent="0.3">
      <c r="A97" s="83" t="s">
        <v>300</v>
      </c>
      <c r="B97" s="7"/>
      <c r="C97" s="7"/>
      <c r="D97" s="8">
        <f t="shared" si="1"/>
        <v>0</v>
      </c>
    </row>
    <row r="98" spans="1:4" ht="18" hidden="1" x14ac:dyDescent="0.3">
      <c r="A98" s="76" t="s">
        <v>48</v>
      </c>
      <c r="B98" s="7"/>
      <c r="C98" s="7"/>
      <c r="D98" s="8">
        <f t="shared" si="1"/>
        <v>0</v>
      </c>
    </row>
    <row r="99" spans="1:4" ht="18" x14ac:dyDescent="0.3">
      <c r="A99" s="76" t="s">
        <v>17</v>
      </c>
      <c r="B99" s="7">
        <v>57</v>
      </c>
      <c r="C99" s="7">
        <v>18000</v>
      </c>
      <c r="D99" s="8">
        <f t="shared" si="1"/>
        <v>1026000</v>
      </c>
    </row>
    <row r="100" spans="1:4" ht="18" hidden="1" x14ac:dyDescent="0.3">
      <c r="A100" s="63" t="s">
        <v>18</v>
      </c>
      <c r="B100" s="7"/>
      <c r="C100" s="7"/>
      <c r="D100" s="8">
        <f t="shared" si="1"/>
        <v>0</v>
      </c>
    </row>
    <row r="101" spans="1:4" ht="18" hidden="1" x14ac:dyDescent="0.3">
      <c r="A101" s="63" t="s">
        <v>19</v>
      </c>
      <c r="B101" s="7"/>
      <c r="C101" s="7"/>
      <c r="D101" s="8">
        <f t="shared" si="1"/>
        <v>0</v>
      </c>
    </row>
    <row r="102" spans="1:4" ht="18" hidden="1" x14ac:dyDescent="0.3">
      <c r="A102" s="63" t="s">
        <v>204</v>
      </c>
      <c r="B102" s="7"/>
      <c r="C102" s="7"/>
      <c r="D102" s="8">
        <f t="shared" si="1"/>
        <v>0</v>
      </c>
    </row>
    <row r="103" spans="1:4" ht="18" hidden="1" x14ac:dyDescent="0.3">
      <c r="A103" s="63" t="s">
        <v>205</v>
      </c>
      <c r="B103" s="7"/>
      <c r="C103" s="7"/>
      <c r="D103" s="8">
        <f t="shared" si="1"/>
        <v>0</v>
      </c>
    </row>
    <row r="104" spans="1:4" ht="18" hidden="1" x14ac:dyDescent="0.3">
      <c r="A104" s="63" t="s">
        <v>206</v>
      </c>
      <c r="B104" s="7"/>
      <c r="C104" s="7"/>
      <c r="D104" s="8">
        <f t="shared" si="1"/>
        <v>0</v>
      </c>
    </row>
    <row r="105" spans="1:4" ht="18" hidden="1" x14ac:dyDescent="0.3">
      <c r="A105" s="63" t="s">
        <v>207</v>
      </c>
      <c r="B105" s="7"/>
      <c r="C105" s="7"/>
      <c r="D105" s="8">
        <f t="shared" si="1"/>
        <v>0</v>
      </c>
    </row>
    <row r="106" spans="1:4" ht="18" hidden="1" x14ac:dyDescent="0.3">
      <c r="A106" s="61" t="s">
        <v>15</v>
      </c>
      <c r="B106" s="7"/>
      <c r="C106" s="7"/>
      <c r="D106" s="8">
        <f t="shared" si="1"/>
        <v>0</v>
      </c>
    </row>
    <row r="107" spans="1:4" ht="18" hidden="1" x14ac:dyDescent="0.3">
      <c r="A107" s="13" t="s">
        <v>16</v>
      </c>
      <c r="B107" s="7"/>
      <c r="C107" s="7"/>
      <c r="D107" s="8">
        <f t="shared" si="1"/>
        <v>0</v>
      </c>
    </row>
    <row r="108" spans="1:4" ht="18" hidden="1" x14ac:dyDescent="0.3">
      <c r="A108" s="63" t="s">
        <v>313</v>
      </c>
      <c r="B108" s="7"/>
      <c r="C108" s="7"/>
      <c r="D108" s="8">
        <f t="shared" si="1"/>
        <v>0</v>
      </c>
    </row>
    <row r="109" spans="1:4" ht="18" hidden="1" x14ac:dyDescent="0.3">
      <c r="A109" s="61" t="s">
        <v>314</v>
      </c>
      <c r="B109" s="7"/>
      <c r="C109" s="7"/>
      <c r="D109" s="8">
        <f t="shared" si="1"/>
        <v>0</v>
      </c>
    </row>
    <row r="110" spans="1:4" ht="18" hidden="1" x14ac:dyDescent="0.3">
      <c r="A110" s="61" t="s">
        <v>315</v>
      </c>
      <c r="B110" s="7"/>
      <c r="C110" s="7"/>
      <c r="D110" s="8">
        <f t="shared" si="1"/>
        <v>0</v>
      </c>
    </row>
    <row r="111" spans="1:4" ht="18" hidden="1" x14ac:dyDescent="0.3">
      <c r="A111" s="63" t="s">
        <v>96</v>
      </c>
      <c r="B111" s="7"/>
      <c r="C111" s="7"/>
      <c r="D111" s="8">
        <f t="shared" si="1"/>
        <v>0</v>
      </c>
    </row>
    <row r="112" spans="1:4" ht="78" hidden="1" x14ac:dyDescent="0.3">
      <c r="A112" s="77" t="s">
        <v>124</v>
      </c>
      <c r="B112" s="7"/>
      <c r="C112" s="7"/>
      <c r="D112" s="8">
        <f t="shared" si="1"/>
        <v>0</v>
      </c>
    </row>
    <row r="113" spans="1:4" ht="18" hidden="1" x14ac:dyDescent="0.3">
      <c r="A113" s="72" t="s">
        <v>125</v>
      </c>
      <c r="B113" s="7"/>
      <c r="C113" s="7"/>
      <c r="D113" s="8">
        <f t="shared" si="1"/>
        <v>0</v>
      </c>
    </row>
    <row r="114" spans="1:4" ht="18" hidden="1" x14ac:dyDescent="0.3">
      <c r="A114" s="60" t="s">
        <v>126</v>
      </c>
      <c r="B114" s="12"/>
      <c r="C114" s="12"/>
      <c r="D114" s="8">
        <f t="shared" si="1"/>
        <v>0</v>
      </c>
    </row>
    <row r="115" spans="1:4" ht="18" hidden="1" x14ac:dyDescent="0.3">
      <c r="A115" s="60" t="s">
        <v>127</v>
      </c>
      <c r="B115" s="12"/>
      <c r="C115" s="12"/>
      <c r="D115" s="8">
        <f t="shared" si="1"/>
        <v>0</v>
      </c>
    </row>
    <row r="116" spans="1:4" ht="18" hidden="1" x14ac:dyDescent="0.3">
      <c r="A116" s="60" t="s">
        <v>128</v>
      </c>
      <c r="B116" s="12"/>
      <c r="C116" s="12"/>
      <c r="D116" s="8">
        <f t="shared" si="1"/>
        <v>0</v>
      </c>
    </row>
    <row r="117" spans="1:4" ht="18" hidden="1" x14ac:dyDescent="0.3">
      <c r="A117" s="60" t="s">
        <v>129</v>
      </c>
      <c r="B117" s="29"/>
      <c r="C117" s="29"/>
      <c r="D117" s="8">
        <f t="shared" si="1"/>
        <v>0</v>
      </c>
    </row>
    <row r="118" spans="1:4" ht="18" hidden="1" x14ac:dyDescent="0.3">
      <c r="A118" s="30" t="s">
        <v>271</v>
      </c>
      <c r="B118" s="7"/>
      <c r="C118" s="7"/>
      <c r="D118" s="8">
        <f t="shared" si="1"/>
        <v>0</v>
      </c>
    </row>
    <row r="119" spans="1:4" ht="18" hidden="1" x14ac:dyDescent="0.3">
      <c r="A119" s="60" t="s">
        <v>272</v>
      </c>
      <c r="B119" s="12"/>
      <c r="C119" s="7"/>
      <c r="D119" s="8">
        <f t="shared" si="1"/>
        <v>0</v>
      </c>
    </row>
    <row r="120" spans="1:4" ht="18" x14ac:dyDescent="0.3">
      <c r="A120" s="63" t="s">
        <v>273</v>
      </c>
      <c r="B120" s="7">
        <v>18</v>
      </c>
      <c r="C120" s="7">
        <v>6000</v>
      </c>
      <c r="D120" s="8">
        <f t="shared" si="1"/>
        <v>108000</v>
      </c>
    </row>
    <row r="121" spans="1:4" ht="18" hidden="1" x14ac:dyDescent="0.3">
      <c r="A121" s="63" t="s">
        <v>274</v>
      </c>
      <c r="B121" s="7"/>
      <c r="C121" s="7"/>
      <c r="D121" s="8">
        <f t="shared" si="1"/>
        <v>0</v>
      </c>
    </row>
    <row r="122" spans="1:4" ht="18" x14ac:dyDescent="0.3">
      <c r="A122" s="63" t="s">
        <v>33</v>
      </c>
      <c r="B122" s="7">
        <f>10+17+5+12</f>
        <v>44</v>
      </c>
      <c r="C122" s="7">
        <v>11000</v>
      </c>
      <c r="D122" s="8">
        <f t="shared" si="1"/>
        <v>484000</v>
      </c>
    </row>
    <row r="123" spans="1:4" ht="18" hidden="1" x14ac:dyDescent="0.3">
      <c r="A123" s="65" t="s">
        <v>34</v>
      </c>
      <c r="B123" s="7"/>
      <c r="C123" s="7"/>
      <c r="D123" s="8">
        <f t="shared" si="1"/>
        <v>0</v>
      </c>
    </row>
    <row r="124" spans="1:4" ht="18" hidden="1" x14ac:dyDescent="0.3">
      <c r="A124" s="60" t="s">
        <v>208</v>
      </c>
      <c r="B124" s="7"/>
      <c r="C124" s="7"/>
      <c r="D124" s="8">
        <f t="shared" si="1"/>
        <v>0</v>
      </c>
    </row>
    <row r="125" spans="1:4" ht="18" hidden="1" x14ac:dyDescent="0.3">
      <c r="A125" s="60" t="s">
        <v>209</v>
      </c>
      <c r="B125" s="7"/>
      <c r="C125" s="7"/>
      <c r="D125" s="8">
        <f t="shared" si="1"/>
        <v>0</v>
      </c>
    </row>
    <row r="126" spans="1:4" ht="18" hidden="1" x14ac:dyDescent="0.3">
      <c r="A126" s="63" t="s">
        <v>210</v>
      </c>
      <c r="B126" s="7"/>
      <c r="C126" s="7"/>
      <c r="D126" s="8">
        <f t="shared" si="1"/>
        <v>0</v>
      </c>
    </row>
    <row r="127" spans="1:4" ht="18" hidden="1" x14ac:dyDescent="0.3">
      <c r="A127" s="63" t="s">
        <v>211</v>
      </c>
      <c r="B127" s="7"/>
      <c r="C127" s="7"/>
      <c r="D127" s="8">
        <f t="shared" si="1"/>
        <v>0</v>
      </c>
    </row>
    <row r="128" spans="1:4" ht="18" hidden="1" x14ac:dyDescent="0.3">
      <c r="A128" s="63" t="s">
        <v>284</v>
      </c>
      <c r="B128" s="7"/>
      <c r="C128" s="7"/>
      <c r="D128" s="8">
        <f t="shared" si="1"/>
        <v>0</v>
      </c>
    </row>
    <row r="129" spans="1:4" ht="18" hidden="1" x14ac:dyDescent="0.3">
      <c r="A129" s="63" t="s">
        <v>102</v>
      </c>
      <c r="B129" s="12"/>
      <c r="C129" s="12"/>
      <c r="D129" s="8">
        <f t="shared" si="1"/>
        <v>0</v>
      </c>
    </row>
    <row r="130" spans="1:4" ht="18" hidden="1" x14ac:dyDescent="0.3">
      <c r="A130" s="63" t="s">
        <v>103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104</v>
      </c>
      <c r="B131" s="12"/>
      <c r="C131" s="12"/>
      <c r="D131" s="8">
        <f t="shared" si="1"/>
        <v>0</v>
      </c>
    </row>
    <row r="132" spans="1:4" ht="18" hidden="1" x14ac:dyDescent="0.3">
      <c r="A132" s="63" t="s">
        <v>105</v>
      </c>
      <c r="B132" s="12"/>
      <c r="C132" s="12"/>
      <c r="D132" s="8">
        <f t="shared" ref="D132:D195" si="2">B132*C132</f>
        <v>0</v>
      </c>
    </row>
    <row r="133" spans="1:4" ht="18" hidden="1" x14ac:dyDescent="0.3">
      <c r="A133" s="63" t="s">
        <v>106</v>
      </c>
      <c r="B133" s="12"/>
      <c r="C133" s="12"/>
      <c r="D133" s="8">
        <f t="shared" si="2"/>
        <v>0</v>
      </c>
    </row>
    <row r="134" spans="1:4" ht="18" hidden="1" x14ac:dyDescent="0.3">
      <c r="A134" s="63" t="s">
        <v>107</v>
      </c>
      <c r="B134" s="12"/>
      <c r="C134" s="12"/>
      <c r="D134" s="8">
        <f t="shared" si="2"/>
        <v>0</v>
      </c>
    </row>
    <row r="135" spans="1:4" ht="18" hidden="1" x14ac:dyDescent="0.3">
      <c r="A135" s="63" t="s">
        <v>130</v>
      </c>
      <c r="B135" s="12"/>
      <c r="C135" s="12"/>
      <c r="D135" s="8">
        <f t="shared" si="2"/>
        <v>0</v>
      </c>
    </row>
    <row r="136" spans="1:4" ht="18" hidden="1" x14ac:dyDescent="0.3">
      <c r="A136" s="63" t="s">
        <v>108</v>
      </c>
      <c r="B136" s="12"/>
      <c r="C136" s="12"/>
      <c r="D136" s="8">
        <f t="shared" si="2"/>
        <v>0</v>
      </c>
    </row>
    <row r="137" spans="1:4" ht="18" hidden="1" x14ac:dyDescent="0.3">
      <c r="A137" s="63" t="s">
        <v>109</v>
      </c>
      <c r="B137" s="12"/>
      <c r="C137" s="12"/>
      <c r="D137" s="8">
        <f t="shared" si="2"/>
        <v>0</v>
      </c>
    </row>
    <row r="138" spans="1:4" ht="18" hidden="1" x14ac:dyDescent="0.3">
      <c r="A138" s="63" t="s">
        <v>110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157</v>
      </c>
      <c r="B139" s="7"/>
      <c r="C139" s="7"/>
      <c r="D139" s="8">
        <f t="shared" si="2"/>
        <v>0</v>
      </c>
    </row>
    <row r="140" spans="1:4" ht="18" hidden="1" x14ac:dyDescent="0.3">
      <c r="A140" s="63" t="s">
        <v>158</v>
      </c>
      <c r="B140" s="7"/>
      <c r="C140" s="7"/>
      <c r="D140" s="8">
        <f t="shared" si="2"/>
        <v>0</v>
      </c>
    </row>
    <row r="141" spans="1:4" ht="18" hidden="1" x14ac:dyDescent="0.3">
      <c r="A141" s="63" t="s">
        <v>159</v>
      </c>
      <c r="B141" s="7"/>
      <c r="C141" s="7"/>
      <c r="D141" s="8">
        <f t="shared" si="2"/>
        <v>0</v>
      </c>
    </row>
    <row r="142" spans="1:4" ht="18" hidden="1" x14ac:dyDescent="0.3">
      <c r="A142" s="14" t="s">
        <v>160</v>
      </c>
      <c r="B142" s="7"/>
      <c r="C142" s="7"/>
      <c r="D142" s="8">
        <f t="shared" si="2"/>
        <v>0</v>
      </c>
    </row>
    <row r="143" spans="1:4" ht="18" hidden="1" x14ac:dyDescent="0.3">
      <c r="A143" s="63" t="s">
        <v>161</v>
      </c>
      <c r="B143" s="7"/>
      <c r="C143" s="7"/>
      <c r="D143" s="8">
        <f t="shared" si="2"/>
        <v>0</v>
      </c>
    </row>
    <row r="144" spans="1:4" ht="18" x14ac:dyDescent="0.3">
      <c r="A144" s="63" t="s">
        <v>162</v>
      </c>
      <c r="B144" s="7">
        <f>15+5</f>
        <v>20</v>
      </c>
      <c r="C144" s="7">
        <v>7000</v>
      </c>
      <c r="D144" s="8">
        <f t="shared" si="2"/>
        <v>140000</v>
      </c>
    </row>
    <row r="145" spans="1:4" ht="18" hidden="1" x14ac:dyDescent="0.3">
      <c r="A145" s="63" t="s">
        <v>279</v>
      </c>
      <c r="B145" s="7"/>
      <c r="C145" s="7"/>
      <c r="D145" s="8">
        <f t="shared" si="2"/>
        <v>0</v>
      </c>
    </row>
    <row r="146" spans="1:4" ht="18" hidden="1" x14ac:dyDescent="0.3">
      <c r="A146" s="63" t="s">
        <v>280</v>
      </c>
      <c r="B146" s="7"/>
      <c r="C146" s="7"/>
      <c r="D146" s="8">
        <f t="shared" si="2"/>
        <v>0</v>
      </c>
    </row>
    <row r="147" spans="1:4" ht="18" hidden="1" x14ac:dyDescent="0.3">
      <c r="A147" s="63" t="s">
        <v>281</v>
      </c>
      <c r="B147" s="7"/>
      <c r="C147" s="7"/>
      <c r="D147" s="8">
        <f t="shared" si="2"/>
        <v>0</v>
      </c>
    </row>
    <row r="148" spans="1:4" ht="18" hidden="1" x14ac:dyDescent="0.3">
      <c r="A148" s="63" t="s">
        <v>282</v>
      </c>
      <c r="B148" s="7"/>
      <c r="C148" s="7"/>
      <c r="D148" s="8">
        <f t="shared" si="2"/>
        <v>0</v>
      </c>
    </row>
    <row r="149" spans="1:4" ht="18" hidden="1" x14ac:dyDescent="0.3">
      <c r="A149" s="63" t="s">
        <v>111</v>
      </c>
      <c r="B149" s="12"/>
      <c r="C149" s="12"/>
      <c r="D149" s="8">
        <f t="shared" si="2"/>
        <v>0</v>
      </c>
    </row>
    <row r="150" spans="1:4" ht="18" hidden="1" x14ac:dyDescent="0.3">
      <c r="A150" s="63" t="s">
        <v>112</v>
      </c>
      <c r="B150" s="12"/>
      <c r="C150" s="12"/>
      <c r="D150" s="8">
        <f t="shared" si="2"/>
        <v>0</v>
      </c>
    </row>
    <row r="151" spans="1:4" ht="18" hidden="1" x14ac:dyDescent="0.3">
      <c r="A151" s="63" t="s">
        <v>131</v>
      </c>
      <c r="B151" s="12"/>
      <c r="C151" s="12"/>
      <c r="D151" s="8">
        <f t="shared" si="2"/>
        <v>0</v>
      </c>
    </row>
    <row r="152" spans="1:4" ht="18" x14ac:dyDescent="0.3">
      <c r="A152" s="67" t="s">
        <v>52</v>
      </c>
      <c r="B152" s="7">
        <v>30</v>
      </c>
      <c r="C152" s="7">
        <v>5000</v>
      </c>
      <c r="D152" s="8">
        <f t="shared" si="2"/>
        <v>150000</v>
      </c>
    </row>
    <row r="153" spans="1:4" ht="18" hidden="1" x14ac:dyDescent="0.3">
      <c r="A153" s="68" t="s">
        <v>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192</v>
      </c>
      <c r="B154" s="7"/>
      <c r="C154" s="7"/>
      <c r="D154" s="8">
        <f t="shared" si="2"/>
        <v>0</v>
      </c>
    </row>
    <row r="155" spans="1:4" ht="18" hidden="1" x14ac:dyDescent="0.3">
      <c r="A155" s="60" t="s">
        <v>193</v>
      </c>
      <c r="B155" s="7"/>
      <c r="C155" s="7"/>
      <c r="D155" s="8">
        <f t="shared" si="2"/>
        <v>0</v>
      </c>
    </row>
    <row r="156" spans="1:4" ht="18" x14ac:dyDescent="0.3">
      <c r="A156" s="63" t="s">
        <v>194</v>
      </c>
      <c r="B156" s="7">
        <v>800</v>
      </c>
      <c r="C156" s="7">
        <v>8000</v>
      </c>
      <c r="D156" s="8">
        <f t="shared" si="2"/>
        <v>6400000</v>
      </c>
    </row>
    <row r="157" spans="1:4" ht="18" hidden="1" x14ac:dyDescent="0.3">
      <c r="A157" s="63" t="s">
        <v>195</v>
      </c>
      <c r="B157" s="7"/>
      <c r="C157" s="7"/>
      <c r="D157" s="8">
        <f t="shared" si="2"/>
        <v>0</v>
      </c>
    </row>
    <row r="158" spans="1:4" ht="18" hidden="1" x14ac:dyDescent="0.3">
      <c r="A158" s="63" t="s">
        <v>196</v>
      </c>
      <c r="B158" s="7"/>
      <c r="C158" s="7"/>
      <c r="D158" s="8">
        <f t="shared" si="2"/>
        <v>0</v>
      </c>
    </row>
    <row r="159" spans="1:4" ht="18" hidden="1" x14ac:dyDescent="0.3">
      <c r="A159" s="62" t="s">
        <v>197</v>
      </c>
      <c r="B159" s="7"/>
      <c r="C159" s="7"/>
      <c r="D159" s="8">
        <f t="shared" si="2"/>
        <v>0</v>
      </c>
    </row>
    <row r="160" spans="1:4" ht="18" x14ac:dyDescent="0.3">
      <c r="A160" s="63" t="s">
        <v>61</v>
      </c>
      <c r="B160" s="7">
        <v>9</v>
      </c>
      <c r="C160" s="7">
        <v>12000</v>
      </c>
      <c r="D160" s="8">
        <f t="shared" si="2"/>
        <v>108000</v>
      </c>
    </row>
    <row r="161" spans="1:4" ht="18" hidden="1" x14ac:dyDescent="0.3">
      <c r="A161" s="69" t="s">
        <v>62</v>
      </c>
      <c r="B161" s="19"/>
      <c r="C161" s="19"/>
      <c r="D161" s="8">
        <f t="shared" si="2"/>
        <v>0</v>
      </c>
    </row>
    <row r="162" spans="1:4" ht="18" hidden="1" x14ac:dyDescent="0.3">
      <c r="A162" s="63" t="s">
        <v>86</v>
      </c>
      <c r="B162" s="7"/>
      <c r="C162" s="7"/>
      <c r="D162" s="8">
        <f t="shared" si="2"/>
        <v>0</v>
      </c>
    </row>
    <row r="163" spans="1:4" ht="18" hidden="1" x14ac:dyDescent="0.3">
      <c r="A163" s="63" t="s">
        <v>35</v>
      </c>
      <c r="B163" s="7"/>
      <c r="C163" s="7"/>
      <c r="D163" s="8">
        <f t="shared" si="2"/>
        <v>0</v>
      </c>
    </row>
    <row r="164" spans="1:4" ht="18" hidden="1" x14ac:dyDescent="0.3">
      <c r="A164" s="60" t="s">
        <v>234</v>
      </c>
      <c r="B164" s="7"/>
      <c r="C164" s="7"/>
      <c r="D164" s="8">
        <f t="shared" si="2"/>
        <v>0</v>
      </c>
    </row>
    <row r="165" spans="1:4" ht="18" hidden="1" x14ac:dyDescent="0.3">
      <c r="A165" s="63" t="s">
        <v>235</v>
      </c>
      <c r="B165" s="7"/>
      <c r="C165" s="7"/>
      <c r="D165" s="8">
        <f t="shared" si="2"/>
        <v>0</v>
      </c>
    </row>
    <row r="166" spans="1:4" ht="18" hidden="1" x14ac:dyDescent="0.3">
      <c r="A166" s="63" t="s">
        <v>236</v>
      </c>
      <c r="B166" s="7"/>
      <c r="C166" s="7"/>
      <c r="D166" s="8">
        <f t="shared" si="2"/>
        <v>0</v>
      </c>
    </row>
    <row r="167" spans="1:4" ht="18" x14ac:dyDescent="0.3">
      <c r="A167" s="60" t="s">
        <v>175</v>
      </c>
      <c r="B167" s="7">
        <v>38</v>
      </c>
      <c r="C167" s="7">
        <v>11000</v>
      </c>
      <c r="D167" s="8">
        <f t="shared" si="2"/>
        <v>418000</v>
      </c>
    </row>
    <row r="168" spans="1:4" ht="18" x14ac:dyDescent="0.3">
      <c r="A168" s="60" t="s">
        <v>176</v>
      </c>
      <c r="B168" s="7">
        <f>75+10+120+260</f>
        <v>465</v>
      </c>
      <c r="C168" s="7">
        <v>30000</v>
      </c>
      <c r="D168" s="8">
        <f t="shared" si="2"/>
        <v>13950000</v>
      </c>
    </row>
    <row r="169" spans="1:4" ht="18" hidden="1" x14ac:dyDescent="0.3">
      <c r="A169" s="63" t="s">
        <v>177</v>
      </c>
      <c r="B169" s="7"/>
      <c r="C169" s="7"/>
      <c r="D169" s="8">
        <f t="shared" si="2"/>
        <v>0</v>
      </c>
    </row>
    <row r="170" spans="1:4" ht="18" x14ac:dyDescent="0.3">
      <c r="A170" s="60" t="s">
        <v>178</v>
      </c>
      <c r="B170" s="7">
        <f>160+40+30</f>
        <v>230</v>
      </c>
      <c r="C170" s="7">
        <v>32000</v>
      </c>
      <c r="D170" s="8">
        <f t="shared" si="2"/>
        <v>7360000</v>
      </c>
    </row>
    <row r="171" spans="1:4" ht="18" x14ac:dyDescent="0.3">
      <c r="A171" s="60" t="s">
        <v>179</v>
      </c>
      <c r="B171" s="7">
        <f>10+5</f>
        <v>15</v>
      </c>
      <c r="C171" s="7">
        <v>25000</v>
      </c>
      <c r="D171" s="8">
        <f t="shared" si="2"/>
        <v>375000</v>
      </c>
    </row>
    <row r="172" spans="1:4" ht="18" hidden="1" x14ac:dyDescent="0.3">
      <c r="A172" s="60" t="s">
        <v>180</v>
      </c>
      <c r="B172" s="7"/>
      <c r="C172" s="7"/>
      <c r="D172" s="8">
        <f t="shared" si="2"/>
        <v>0</v>
      </c>
    </row>
    <row r="173" spans="1:4" ht="18" hidden="1" x14ac:dyDescent="0.3">
      <c r="A173" s="63" t="s">
        <v>181</v>
      </c>
      <c r="B173" s="7"/>
      <c r="C173" s="7"/>
      <c r="D173" s="8">
        <f t="shared" si="2"/>
        <v>0</v>
      </c>
    </row>
    <row r="174" spans="1:4" ht="18" x14ac:dyDescent="0.3">
      <c r="A174" s="60" t="s">
        <v>36</v>
      </c>
      <c r="B174" s="7">
        <f>27+18</f>
        <v>45</v>
      </c>
      <c r="C174" s="7">
        <v>21000</v>
      </c>
      <c r="D174" s="8">
        <f t="shared" si="2"/>
        <v>945000</v>
      </c>
    </row>
    <row r="175" spans="1:4" ht="18" hidden="1" x14ac:dyDescent="0.3">
      <c r="A175" s="63" t="s">
        <v>54</v>
      </c>
      <c r="B175" s="7"/>
      <c r="C175" s="7"/>
      <c r="D175" s="8">
        <f t="shared" si="2"/>
        <v>0</v>
      </c>
    </row>
    <row r="176" spans="1:4" ht="18" hidden="1" x14ac:dyDescent="0.3">
      <c r="A176" s="17" t="s">
        <v>55</v>
      </c>
      <c r="B176" s="7"/>
      <c r="C176" s="7"/>
      <c r="D176" s="8">
        <f t="shared" si="2"/>
        <v>0</v>
      </c>
    </row>
    <row r="177" spans="1:4" ht="18" hidden="1" x14ac:dyDescent="0.3">
      <c r="A177" s="63" t="s">
        <v>56</v>
      </c>
      <c r="B177" s="7"/>
      <c r="C177" s="7"/>
      <c r="D177" s="8">
        <f t="shared" si="2"/>
        <v>0</v>
      </c>
    </row>
    <row r="178" spans="1:4" ht="18" hidden="1" x14ac:dyDescent="0.3">
      <c r="A178" s="63" t="s">
        <v>66</v>
      </c>
      <c r="B178" s="7"/>
      <c r="C178" s="7"/>
      <c r="D178" s="8">
        <f t="shared" si="2"/>
        <v>0</v>
      </c>
    </row>
    <row r="179" spans="1:4" ht="18" x14ac:dyDescent="0.3">
      <c r="A179" s="60" t="s">
        <v>67</v>
      </c>
      <c r="B179" s="7">
        <f>50+300+70+120+50+20+45</f>
        <v>655</v>
      </c>
      <c r="C179" s="7">
        <v>26000</v>
      </c>
      <c r="D179" s="8">
        <f t="shared" si="2"/>
        <v>17030000</v>
      </c>
    </row>
    <row r="180" spans="1:4" ht="18" hidden="1" x14ac:dyDescent="0.3">
      <c r="A180" s="63" t="s">
        <v>68</v>
      </c>
      <c r="B180" s="7"/>
      <c r="C180" s="7"/>
      <c r="D180" s="8">
        <f t="shared" si="2"/>
        <v>0</v>
      </c>
    </row>
    <row r="181" spans="1:4" ht="18" hidden="1" x14ac:dyDescent="0.3">
      <c r="A181" s="63" t="s">
        <v>69</v>
      </c>
      <c r="B181" s="7"/>
      <c r="C181" s="7"/>
      <c r="D181" s="8">
        <f t="shared" si="2"/>
        <v>0</v>
      </c>
    </row>
    <row r="182" spans="1:4" ht="18" x14ac:dyDescent="0.3">
      <c r="A182" s="63" t="s">
        <v>142</v>
      </c>
      <c r="B182" s="7">
        <f>20+50+80+40+70+180</f>
        <v>440</v>
      </c>
      <c r="C182" s="7">
        <v>27000</v>
      </c>
      <c r="D182" s="8">
        <f t="shared" si="2"/>
        <v>11880000</v>
      </c>
    </row>
    <row r="183" spans="1:4" ht="18" x14ac:dyDescent="0.3">
      <c r="A183" s="73" t="s">
        <v>143</v>
      </c>
      <c r="B183" s="7">
        <v>15</v>
      </c>
      <c r="C183" s="7">
        <v>20000</v>
      </c>
      <c r="D183" s="8">
        <f t="shared" si="2"/>
        <v>300000</v>
      </c>
    </row>
    <row r="184" spans="1:4" ht="18" hidden="1" x14ac:dyDescent="0.3">
      <c r="A184" s="73" t="s">
        <v>144</v>
      </c>
      <c r="B184" s="7"/>
      <c r="C184" s="7"/>
      <c r="D184" s="8">
        <f t="shared" si="2"/>
        <v>0</v>
      </c>
    </row>
    <row r="185" spans="1:4" ht="18" hidden="1" x14ac:dyDescent="0.3">
      <c r="A185" s="63" t="s">
        <v>212</v>
      </c>
      <c r="B185" s="7"/>
      <c r="C185" s="7"/>
      <c r="D185" s="8">
        <f t="shared" si="2"/>
        <v>0</v>
      </c>
    </row>
    <row r="186" spans="1:4" ht="18" hidden="1" x14ac:dyDescent="0.3">
      <c r="A186" s="61" t="s">
        <v>213</v>
      </c>
      <c r="B186" s="7"/>
      <c r="C186" s="7"/>
      <c r="D186" s="8">
        <f t="shared" si="2"/>
        <v>0</v>
      </c>
    </row>
    <row r="187" spans="1:4" ht="18" hidden="1" x14ac:dyDescent="0.3">
      <c r="A187" s="63" t="s">
        <v>214</v>
      </c>
      <c r="B187" s="7"/>
      <c r="C187" s="7"/>
      <c r="D187" s="8">
        <f t="shared" si="2"/>
        <v>0</v>
      </c>
    </row>
    <row r="188" spans="1:4" ht="18" hidden="1" x14ac:dyDescent="0.3">
      <c r="A188" s="61" t="s">
        <v>215</v>
      </c>
      <c r="B188" s="7"/>
      <c r="C188" s="7"/>
      <c r="D188" s="8">
        <f t="shared" si="2"/>
        <v>0</v>
      </c>
    </row>
    <row r="189" spans="1:4" ht="18" hidden="1" x14ac:dyDescent="0.3">
      <c r="A189" s="63" t="s">
        <v>182</v>
      </c>
      <c r="B189" s="7"/>
      <c r="C189" s="7"/>
      <c r="D189" s="8">
        <f t="shared" si="2"/>
        <v>0</v>
      </c>
    </row>
    <row r="190" spans="1:4" ht="18" hidden="1" x14ac:dyDescent="0.3">
      <c r="A190" s="63" t="s">
        <v>183</v>
      </c>
      <c r="B190" s="7"/>
      <c r="C190" s="7"/>
      <c r="D190" s="8">
        <f t="shared" si="2"/>
        <v>0</v>
      </c>
    </row>
    <row r="191" spans="1:4" ht="18" hidden="1" x14ac:dyDescent="0.3">
      <c r="A191" s="63" t="s">
        <v>184</v>
      </c>
      <c r="B191" s="7"/>
      <c r="C191" s="7"/>
      <c r="D191" s="8">
        <f t="shared" si="2"/>
        <v>0</v>
      </c>
    </row>
    <row r="192" spans="1:4" ht="18" hidden="1" x14ac:dyDescent="0.3">
      <c r="A192" s="63" t="s">
        <v>185</v>
      </c>
      <c r="B192" s="7"/>
      <c r="C192" s="7"/>
      <c r="D192" s="8">
        <f t="shared" si="2"/>
        <v>0</v>
      </c>
    </row>
    <row r="193" spans="1:4" ht="18" x14ac:dyDescent="0.3">
      <c r="A193" s="63" t="s">
        <v>38</v>
      </c>
      <c r="B193" s="7">
        <f>60+10</f>
        <v>70</v>
      </c>
      <c r="C193" s="7">
        <v>27000</v>
      </c>
      <c r="D193" s="8">
        <f t="shared" si="2"/>
        <v>1890000</v>
      </c>
    </row>
    <row r="194" spans="1:4" ht="18" hidden="1" x14ac:dyDescent="0.3">
      <c r="A194" s="66" t="s">
        <v>39</v>
      </c>
      <c r="B194" s="7"/>
      <c r="C194" s="7"/>
      <c r="D194" s="8">
        <f t="shared" si="2"/>
        <v>0</v>
      </c>
    </row>
    <row r="195" spans="1:4" ht="18" x14ac:dyDescent="0.3">
      <c r="A195" s="63" t="s">
        <v>40</v>
      </c>
      <c r="B195" s="7">
        <f>140+15</f>
        <v>155</v>
      </c>
      <c r="C195" s="7">
        <v>12500</v>
      </c>
      <c r="D195" s="8">
        <f t="shared" si="2"/>
        <v>1937500</v>
      </c>
    </row>
    <row r="196" spans="1:4" ht="18" hidden="1" x14ac:dyDescent="0.3">
      <c r="A196" s="63" t="s">
        <v>41</v>
      </c>
      <c r="B196" s="7"/>
      <c r="C196" s="7"/>
      <c r="D196" s="8">
        <f t="shared" ref="D196:D259" si="3">B196*C196</f>
        <v>0</v>
      </c>
    </row>
    <row r="197" spans="1:4" ht="18" x14ac:dyDescent="0.3">
      <c r="A197" s="63" t="s">
        <v>42</v>
      </c>
      <c r="B197" s="7">
        <f>40+40+40+20</f>
        <v>140</v>
      </c>
      <c r="C197" s="7">
        <v>17000</v>
      </c>
      <c r="D197" s="8">
        <f t="shared" si="3"/>
        <v>2380000</v>
      </c>
    </row>
    <row r="198" spans="1:4" ht="18" hidden="1" x14ac:dyDescent="0.3">
      <c r="A198" s="63" t="s">
        <v>43</v>
      </c>
      <c r="B198" s="7"/>
      <c r="C198" s="7"/>
      <c r="D198" s="8">
        <f t="shared" si="3"/>
        <v>0</v>
      </c>
    </row>
    <row r="199" spans="1:4" ht="18" hidden="1" x14ac:dyDescent="0.3">
      <c r="A199" s="63" t="s">
        <v>44</v>
      </c>
      <c r="B199" s="7"/>
      <c r="C199" s="7"/>
      <c r="D199" s="8">
        <f t="shared" si="3"/>
        <v>0</v>
      </c>
    </row>
    <row r="200" spans="1:4" ht="18" hidden="1" x14ac:dyDescent="0.3">
      <c r="A200" s="65" t="s">
        <v>132</v>
      </c>
      <c r="B200" s="7"/>
      <c r="C200" s="7"/>
      <c r="D200" s="8">
        <f t="shared" si="3"/>
        <v>0</v>
      </c>
    </row>
    <row r="201" spans="1:4" ht="18" hidden="1" x14ac:dyDescent="0.3">
      <c r="A201" s="65" t="s">
        <v>133</v>
      </c>
      <c r="B201" s="7"/>
      <c r="C201" s="7"/>
      <c r="D201" s="8">
        <f t="shared" si="3"/>
        <v>0</v>
      </c>
    </row>
    <row r="202" spans="1:4" ht="18" hidden="1" x14ac:dyDescent="0.3">
      <c r="A202" s="65" t="s">
        <v>134</v>
      </c>
      <c r="B202" s="7"/>
      <c r="C202" s="7"/>
      <c r="D202" s="8">
        <f t="shared" si="3"/>
        <v>0</v>
      </c>
    </row>
    <row r="203" spans="1:4" ht="18" hidden="1" x14ac:dyDescent="0.3">
      <c r="A203" s="63" t="s">
        <v>135</v>
      </c>
      <c r="B203" s="7"/>
      <c r="C203" s="7"/>
      <c r="D203" s="8">
        <f t="shared" si="3"/>
        <v>0</v>
      </c>
    </row>
    <row r="204" spans="1:4" ht="18" hidden="1" x14ac:dyDescent="0.3">
      <c r="A204" s="65" t="s">
        <v>136</v>
      </c>
      <c r="B204" s="7"/>
      <c r="C204" s="7"/>
      <c r="D204" s="8">
        <f t="shared" si="3"/>
        <v>0</v>
      </c>
    </row>
    <row r="205" spans="1:4" ht="18" hidden="1" x14ac:dyDescent="0.3">
      <c r="A205" s="78" t="s">
        <v>198</v>
      </c>
      <c r="B205" s="7"/>
      <c r="C205" s="7"/>
      <c r="D205" s="8">
        <f t="shared" si="3"/>
        <v>0</v>
      </c>
    </row>
    <row r="206" spans="1:4" ht="18" hidden="1" x14ac:dyDescent="0.3">
      <c r="A206" s="61" t="s">
        <v>285</v>
      </c>
      <c r="B206" s="7"/>
      <c r="C206" s="7"/>
      <c r="D206" s="8">
        <f t="shared" si="3"/>
        <v>0</v>
      </c>
    </row>
    <row r="207" spans="1:4" ht="18" hidden="1" x14ac:dyDescent="0.3">
      <c r="A207" s="61" t="s">
        <v>286</v>
      </c>
      <c r="B207" s="7"/>
      <c r="C207" s="7"/>
      <c r="D207" s="8">
        <f t="shared" si="3"/>
        <v>0</v>
      </c>
    </row>
    <row r="208" spans="1:4" ht="18" hidden="1" x14ac:dyDescent="0.3">
      <c r="A208" s="73" t="s">
        <v>87</v>
      </c>
      <c r="B208" s="7"/>
      <c r="C208" s="7"/>
      <c r="D208" s="8">
        <f t="shared" si="3"/>
        <v>0</v>
      </c>
    </row>
    <row r="209" spans="1:4" ht="18" x14ac:dyDescent="0.3">
      <c r="A209" s="63" t="s">
        <v>57</v>
      </c>
      <c r="B209" s="7">
        <v>9</v>
      </c>
      <c r="C209" s="7">
        <v>10000</v>
      </c>
      <c r="D209" s="8">
        <f t="shared" si="3"/>
        <v>90000</v>
      </c>
    </row>
    <row r="210" spans="1:4" ht="18" hidden="1" x14ac:dyDescent="0.3">
      <c r="A210" s="63" t="s">
        <v>58</v>
      </c>
      <c r="B210" s="7"/>
      <c r="C210" s="7"/>
      <c r="D210" s="8">
        <f t="shared" si="3"/>
        <v>0</v>
      </c>
    </row>
    <row r="211" spans="1:4" ht="18" hidden="1" x14ac:dyDescent="0.3">
      <c r="A211" s="63" t="s">
        <v>88</v>
      </c>
      <c r="B211" s="7"/>
      <c r="C211" s="7"/>
      <c r="D211" s="8">
        <f t="shared" si="3"/>
        <v>0</v>
      </c>
    </row>
    <row r="212" spans="1:4" ht="18" hidden="1" x14ac:dyDescent="0.3">
      <c r="A212" s="63" t="s">
        <v>89</v>
      </c>
      <c r="B212" s="7"/>
      <c r="C212" s="7"/>
      <c r="D212" s="8">
        <f t="shared" si="3"/>
        <v>0</v>
      </c>
    </row>
    <row r="213" spans="1:4" ht="18" hidden="1" x14ac:dyDescent="0.3">
      <c r="A213" s="63" t="s">
        <v>137</v>
      </c>
      <c r="B213" s="12"/>
      <c r="C213" s="12"/>
      <c r="D213" s="8">
        <f t="shared" si="3"/>
        <v>0</v>
      </c>
    </row>
    <row r="214" spans="1:4" ht="18" hidden="1" x14ac:dyDescent="0.3">
      <c r="A214" s="63" t="s">
        <v>216</v>
      </c>
      <c r="B214" s="7"/>
      <c r="C214" s="7"/>
      <c r="D214" s="8">
        <f t="shared" si="3"/>
        <v>0</v>
      </c>
    </row>
    <row r="215" spans="1:4" ht="18" hidden="1" x14ac:dyDescent="0.3">
      <c r="A215" s="61" t="s">
        <v>20</v>
      </c>
      <c r="B215" s="7"/>
      <c r="C215" s="7"/>
      <c r="D215" s="8">
        <f t="shared" si="3"/>
        <v>0</v>
      </c>
    </row>
    <row r="216" spans="1:4" ht="18" x14ac:dyDescent="0.3">
      <c r="A216" s="63" t="s">
        <v>21</v>
      </c>
      <c r="B216" s="7">
        <f>140+10+13</f>
        <v>163</v>
      </c>
      <c r="C216" s="7">
        <v>29000</v>
      </c>
      <c r="D216" s="8">
        <f t="shared" si="3"/>
        <v>4727000</v>
      </c>
    </row>
    <row r="217" spans="1:4" ht="18" hidden="1" x14ac:dyDescent="0.3">
      <c r="A217" s="63" t="s">
        <v>22</v>
      </c>
      <c r="B217" s="7"/>
      <c r="C217" s="7"/>
      <c r="D217" s="8">
        <f t="shared" si="3"/>
        <v>0</v>
      </c>
    </row>
    <row r="218" spans="1:4" ht="18" hidden="1" x14ac:dyDescent="0.3">
      <c r="A218" s="63" t="s">
        <v>23</v>
      </c>
      <c r="B218" s="7"/>
      <c r="C218" s="7"/>
      <c r="D218" s="8">
        <f t="shared" si="3"/>
        <v>0</v>
      </c>
    </row>
    <row r="219" spans="1:4" ht="18" hidden="1" x14ac:dyDescent="0.3">
      <c r="A219" s="63" t="s">
        <v>24</v>
      </c>
      <c r="B219" s="7"/>
      <c r="C219" s="7"/>
      <c r="D219" s="8">
        <f t="shared" si="3"/>
        <v>0</v>
      </c>
    </row>
    <row r="220" spans="1:4" ht="18" hidden="1" x14ac:dyDescent="0.3">
      <c r="A220" s="63" t="s">
        <v>25</v>
      </c>
      <c r="B220" s="7"/>
      <c r="C220" s="7"/>
      <c r="D220" s="8">
        <f t="shared" si="3"/>
        <v>0</v>
      </c>
    </row>
    <row r="221" spans="1:4" ht="18" hidden="1" x14ac:dyDescent="0.3">
      <c r="A221" s="65" t="s">
        <v>227</v>
      </c>
      <c r="B221" s="7"/>
      <c r="C221" s="7"/>
      <c r="D221" s="8">
        <f t="shared" si="3"/>
        <v>0</v>
      </c>
    </row>
    <row r="222" spans="1:4" ht="18" hidden="1" x14ac:dyDescent="0.3">
      <c r="A222" s="64" t="s">
        <v>228</v>
      </c>
      <c r="B222" s="7"/>
      <c r="C222" s="7"/>
      <c r="D222" s="8">
        <f t="shared" si="3"/>
        <v>0</v>
      </c>
    </row>
    <row r="223" spans="1:4" ht="18" hidden="1" x14ac:dyDescent="0.3">
      <c r="A223" s="64" t="s">
        <v>229</v>
      </c>
      <c r="B223" s="7"/>
      <c r="C223" s="7"/>
      <c r="D223" s="8">
        <f t="shared" si="3"/>
        <v>0</v>
      </c>
    </row>
    <row r="224" spans="1:4" ht="18" x14ac:dyDescent="0.3">
      <c r="A224" s="63" t="s">
        <v>26</v>
      </c>
      <c r="B224" s="7">
        <f>15+5</f>
        <v>20</v>
      </c>
      <c r="C224" s="7">
        <v>29000</v>
      </c>
      <c r="D224" s="8">
        <f t="shared" si="3"/>
        <v>580000</v>
      </c>
    </row>
    <row r="225" spans="1:4" ht="18" hidden="1" x14ac:dyDescent="0.3">
      <c r="A225" s="63" t="s">
        <v>27</v>
      </c>
      <c r="B225" s="7"/>
      <c r="C225" s="7"/>
      <c r="D225" s="8">
        <f t="shared" si="3"/>
        <v>0</v>
      </c>
    </row>
    <row r="226" spans="1:4" ht="18" hidden="1" x14ac:dyDescent="0.3">
      <c r="A226" s="63" t="s">
        <v>28</v>
      </c>
      <c r="B226" s="7"/>
      <c r="C226" s="7"/>
      <c r="D226" s="8">
        <f t="shared" si="3"/>
        <v>0</v>
      </c>
    </row>
    <row r="227" spans="1:4" ht="18" hidden="1" x14ac:dyDescent="0.3">
      <c r="A227" s="63" t="s">
        <v>29</v>
      </c>
      <c r="B227" s="7"/>
      <c r="C227" s="7"/>
      <c r="D227" s="8">
        <f t="shared" si="3"/>
        <v>0</v>
      </c>
    </row>
    <row r="228" spans="1:4" ht="18" x14ac:dyDescent="0.3">
      <c r="A228" s="63" t="s">
        <v>30</v>
      </c>
      <c r="B228" s="7">
        <f>27+8</f>
        <v>35</v>
      </c>
      <c r="C228" s="7">
        <v>26000</v>
      </c>
      <c r="D228" s="8">
        <f t="shared" si="3"/>
        <v>910000</v>
      </c>
    </row>
    <row r="229" spans="1:4" ht="18" hidden="1" x14ac:dyDescent="0.3">
      <c r="A229" s="63" t="s">
        <v>31</v>
      </c>
      <c r="B229" s="7"/>
      <c r="C229" s="7"/>
      <c r="D229" s="8">
        <f t="shared" si="3"/>
        <v>0</v>
      </c>
    </row>
    <row r="230" spans="1:4" ht="18" hidden="1" x14ac:dyDescent="0.3">
      <c r="A230" s="63" t="s">
        <v>32</v>
      </c>
      <c r="B230" s="7"/>
      <c r="C230" s="7"/>
      <c r="D230" s="8">
        <f t="shared" si="3"/>
        <v>0</v>
      </c>
    </row>
    <row r="231" spans="1:4" ht="18" hidden="1" x14ac:dyDescent="0.3">
      <c r="A231" s="63" t="s">
        <v>90</v>
      </c>
      <c r="B231" s="12"/>
      <c r="C231" s="7"/>
      <c r="D231" s="8">
        <f t="shared" si="3"/>
        <v>0</v>
      </c>
    </row>
    <row r="232" spans="1:4" ht="18" hidden="1" x14ac:dyDescent="0.3">
      <c r="A232" s="74" t="s">
        <v>91</v>
      </c>
      <c r="B232" s="7"/>
      <c r="C232" s="7"/>
      <c r="D232" s="8">
        <f t="shared" si="3"/>
        <v>0</v>
      </c>
    </row>
    <row r="233" spans="1:4" ht="18" hidden="1" x14ac:dyDescent="0.3">
      <c r="A233" s="63" t="s">
        <v>217</v>
      </c>
      <c r="B233" s="7"/>
      <c r="C233" s="7"/>
      <c r="D233" s="8">
        <f t="shared" si="3"/>
        <v>0</v>
      </c>
    </row>
    <row r="234" spans="1:4" ht="18" hidden="1" x14ac:dyDescent="0.3">
      <c r="A234" s="61" t="s">
        <v>230</v>
      </c>
      <c r="B234" s="7"/>
      <c r="C234" s="7"/>
      <c r="D234" s="8">
        <f t="shared" si="3"/>
        <v>0</v>
      </c>
    </row>
    <row r="235" spans="1:4" ht="18" hidden="1" x14ac:dyDescent="0.3">
      <c r="A235" s="63" t="s">
        <v>231</v>
      </c>
      <c r="B235" s="7"/>
      <c r="C235" s="7"/>
      <c r="D235" s="8">
        <f t="shared" si="3"/>
        <v>0</v>
      </c>
    </row>
    <row r="236" spans="1:4" ht="18" hidden="1" x14ac:dyDescent="0.3">
      <c r="A236" s="63" t="s">
        <v>218</v>
      </c>
      <c r="B236" s="7"/>
      <c r="C236" s="7"/>
      <c r="D236" s="8">
        <f t="shared" si="3"/>
        <v>0</v>
      </c>
    </row>
    <row r="237" spans="1:4" ht="18" hidden="1" x14ac:dyDescent="0.3">
      <c r="A237" s="63" t="s">
        <v>118</v>
      </c>
      <c r="B237" s="7"/>
      <c r="C237" s="7"/>
      <c r="D237" s="8">
        <f t="shared" si="3"/>
        <v>0</v>
      </c>
    </row>
    <row r="238" spans="1:4" ht="18" hidden="1" x14ac:dyDescent="0.3">
      <c r="A238" s="63" t="s">
        <v>232</v>
      </c>
      <c r="B238" s="7"/>
      <c r="C238" s="7"/>
      <c r="D238" s="8">
        <f t="shared" si="3"/>
        <v>0</v>
      </c>
    </row>
    <row r="239" spans="1:4" ht="18" hidden="1" x14ac:dyDescent="0.3">
      <c r="A239" s="63" t="s">
        <v>70</v>
      </c>
      <c r="B239" s="7"/>
      <c r="C239" s="7"/>
      <c r="D239" s="8">
        <f t="shared" si="3"/>
        <v>0</v>
      </c>
    </row>
    <row r="240" spans="1:4" ht="18" hidden="1" x14ac:dyDescent="0.3">
      <c r="A240" s="63" t="s">
        <v>71</v>
      </c>
      <c r="B240" s="7"/>
      <c r="C240" s="7"/>
      <c r="D240" s="8">
        <f t="shared" si="3"/>
        <v>0</v>
      </c>
    </row>
    <row r="241" spans="1:4" ht="18" hidden="1" x14ac:dyDescent="0.3">
      <c r="A241" s="63" t="s">
        <v>146</v>
      </c>
      <c r="B241" s="7"/>
      <c r="C241" s="7"/>
      <c r="D241" s="8">
        <f t="shared" si="3"/>
        <v>0</v>
      </c>
    </row>
    <row r="242" spans="1:4" ht="18" hidden="1" x14ac:dyDescent="0.3">
      <c r="A242" s="61" t="s">
        <v>287</v>
      </c>
      <c r="B242" s="7"/>
      <c r="C242" s="7"/>
      <c r="D242" s="8">
        <f t="shared" si="3"/>
        <v>0</v>
      </c>
    </row>
    <row r="243" spans="1:4" ht="18" hidden="1" x14ac:dyDescent="0.3">
      <c r="A243" s="60" t="s">
        <v>138</v>
      </c>
      <c r="B243" s="12"/>
      <c r="C243" s="12"/>
      <c r="D243" s="8">
        <f t="shared" si="3"/>
        <v>0</v>
      </c>
    </row>
    <row r="244" spans="1:4" ht="18" hidden="1" x14ac:dyDescent="0.3">
      <c r="A244" s="65" t="s">
        <v>233</v>
      </c>
      <c r="B244" s="7"/>
      <c r="C244" s="7"/>
      <c r="D244" s="8">
        <f t="shared" si="3"/>
        <v>0</v>
      </c>
    </row>
    <row r="245" spans="1:4" ht="18" hidden="1" x14ac:dyDescent="0.3">
      <c r="A245" s="14" t="s">
        <v>100</v>
      </c>
      <c r="B245" s="7"/>
      <c r="C245" s="7"/>
      <c r="D245" s="8">
        <f t="shared" si="3"/>
        <v>0</v>
      </c>
    </row>
    <row r="246" spans="1:4" ht="18" hidden="1" x14ac:dyDescent="0.3">
      <c r="A246" s="14" t="s">
        <v>101</v>
      </c>
      <c r="B246" s="7"/>
      <c r="C246" s="7"/>
      <c r="D246" s="8">
        <f t="shared" si="3"/>
        <v>0</v>
      </c>
    </row>
    <row r="247" spans="1:4" ht="18" hidden="1" x14ac:dyDescent="0.3">
      <c r="A247" s="63" t="s">
        <v>259</v>
      </c>
      <c r="B247" s="7"/>
      <c r="C247" s="7"/>
      <c r="D247" s="8">
        <f t="shared" si="3"/>
        <v>0</v>
      </c>
    </row>
    <row r="248" spans="1:4" ht="18" hidden="1" x14ac:dyDescent="0.3">
      <c r="A248" s="65" t="s">
        <v>260</v>
      </c>
      <c r="B248" s="7"/>
      <c r="C248" s="7"/>
      <c r="D248" s="8">
        <f t="shared" si="3"/>
        <v>0</v>
      </c>
    </row>
    <row r="249" spans="1:4" ht="18" hidden="1" x14ac:dyDescent="0.3">
      <c r="A249" s="63" t="s">
        <v>261</v>
      </c>
      <c r="B249" s="7"/>
      <c r="C249" s="7"/>
      <c r="D249" s="8">
        <f t="shared" si="3"/>
        <v>0</v>
      </c>
    </row>
    <row r="250" spans="1:4" ht="18" x14ac:dyDescent="0.3">
      <c r="A250" s="63" t="s">
        <v>275</v>
      </c>
      <c r="B250" s="7">
        <v>14</v>
      </c>
      <c r="C250" s="7">
        <v>4000</v>
      </c>
      <c r="D250" s="8">
        <f t="shared" si="3"/>
        <v>56000</v>
      </c>
    </row>
    <row r="251" spans="1:4" ht="18" hidden="1" x14ac:dyDescent="0.3">
      <c r="A251" s="65" t="s">
        <v>92</v>
      </c>
      <c r="B251" s="7"/>
      <c r="C251" s="7"/>
      <c r="D251" s="8">
        <f t="shared" si="3"/>
        <v>0</v>
      </c>
    </row>
    <row r="252" spans="1:4" ht="18" x14ac:dyDescent="0.3">
      <c r="A252" s="63" t="s">
        <v>139</v>
      </c>
      <c r="B252" s="7">
        <v>5</v>
      </c>
      <c r="C252" s="7">
        <v>10000</v>
      </c>
      <c r="D252" s="8">
        <f t="shared" si="3"/>
        <v>50000</v>
      </c>
    </row>
    <row r="253" spans="1:4" ht="18" hidden="1" x14ac:dyDescent="0.3">
      <c r="A253" s="72" t="s">
        <v>140</v>
      </c>
      <c r="B253" s="7"/>
      <c r="C253" s="7"/>
      <c r="D253" s="8">
        <f t="shared" si="3"/>
        <v>0</v>
      </c>
    </row>
    <row r="254" spans="1:4" ht="18" hidden="1" x14ac:dyDescent="0.3">
      <c r="A254" s="60" t="s">
        <v>93</v>
      </c>
      <c r="B254" s="7"/>
      <c r="C254" s="7"/>
      <c r="D254" s="8">
        <f t="shared" si="3"/>
        <v>0</v>
      </c>
    </row>
    <row r="255" spans="1:4" ht="18" hidden="1" x14ac:dyDescent="0.3">
      <c r="A255" s="65" t="s">
        <v>94</v>
      </c>
      <c r="B255" s="7"/>
      <c r="C255" s="7"/>
      <c r="D255" s="8">
        <f t="shared" si="3"/>
        <v>0</v>
      </c>
    </row>
    <row r="256" spans="1:4" ht="18" hidden="1" x14ac:dyDescent="0.3">
      <c r="A256" s="72" t="s">
        <v>76</v>
      </c>
      <c r="B256" s="7"/>
      <c r="C256" s="7"/>
      <c r="D256" s="8">
        <f t="shared" si="3"/>
        <v>0</v>
      </c>
    </row>
    <row r="257" spans="1:4" ht="18" hidden="1" x14ac:dyDescent="0.3">
      <c r="A257" s="63" t="s">
        <v>219</v>
      </c>
      <c r="B257" s="7"/>
      <c r="C257" s="7"/>
      <c r="D257" s="8">
        <f t="shared" si="3"/>
        <v>0</v>
      </c>
    </row>
    <row r="258" spans="1:4" ht="18" hidden="1" x14ac:dyDescent="0.3">
      <c r="A258" s="65" t="s">
        <v>220</v>
      </c>
      <c r="B258" s="7"/>
      <c r="C258" s="7"/>
      <c r="D258" s="8">
        <f t="shared" si="3"/>
        <v>0</v>
      </c>
    </row>
    <row r="259" spans="1:4" ht="18" hidden="1" x14ac:dyDescent="0.3">
      <c r="A259" s="60" t="s">
        <v>221</v>
      </c>
      <c r="B259" s="7"/>
      <c r="C259" s="7"/>
      <c r="D259" s="8">
        <f t="shared" si="3"/>
        <v>0</v>
      </c>
    </row>
    <row r="260" spans="1:4" ht="18" hidden="1" x14ac:dyDescent="0.3">
      <c r="A260" s="63" t="s">
        <v>288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3" t="s">
        <v>119</v>
      </c>
      <c r="B261" s="7"/>
      <c r="C261" s="7"/>
      <c r="D261" s="8">
        <f t="shared" si="4"/>
        <v>0</v>
      </c>
    </row>
    <row r="262" spans="1:4" ht="18" hidden="1" x14ac:dyDescent="0.3">
      <c r="A262" s="60" t="s">
        <v>141</v>
      </c>
      <c r="B262" s="7"/>
      <c r="C262" s="7"/>
      <c r="D262" s="8">
        <f t="shared" si="4"/>
        <v>0</v>
      </c>
    </row>
    <row r="263" spans="1:4" ht="18" hidden="1" x14ac:dyDescent="0.3">
      <c r="A263" s="60" t="s">
        <v>95</v>
      </c>
      <c r="B263" s="7"/>
      <c r="C263" s="7"/>
      <c r="D263" s="8">
        <f t="shared" si="4"/>
        <v>0</v>
      </c>
    </row>
    <row r="264" spans="1:4" ht="18" hidden="1" x14ac:dyDescent="0.3">
      <c r="A264" s="63" t="s">
        <v>169</v>
      </c>
      <c r="B264" s="7"/>
      <c r="C264" s="7"/>
      <c r="D264" s="8">
        <f t="shared" si="4"/>
        <v>0</v>
      </c>
    </row>
    <row r="265" spans="1:4" ht="18" hidden="1" x14ac:dyDescent="0.3">
      <c r="A265" s="72" t="s">
        <v>77</v>
      </c>
      <c r="B265" s="7"/>
      <c r="C265" s="7"/>
      <c r="D265" s="8">
        <f t="shared" si="4"/>
        <v>0</v>
      </c>
    </row>
    <row r="266" spans="1:4" ht="18" hidden="1" x14ac:dyDescent="0.3">
      <c r="A266" s="22" t="s">
        <v>78</v>
      </c>
      <c r="B266" s="7"/>
      <c r="C266" s="7"/>
      <c r="D266" s="8">
        <f t="shared" si="4"/>
        <v>0</v>
      </c>
    </row>
    <row r="267" spans="1:4" ht="18" hidden="1" x14ac:dyDescent="0.3">
      <c r="A267" s="64" t="s">
        <v>237</v>
      </c>
      <c r="B267" s="7"/>
      <c r="C267" s="7"/>
      <c r="D267" s="8">
        <f t="shared" si="4"/>
        <v>0</v>
      </c>
    </row>
    <row r="268" spans="1:4" ht="18" hidden="1" x14ac:dyDescent="0.3">
      <c r="A268" s="72" t="s">
        <v>79</v>
      </c>
      <c r="B268" s="7"/>
      <c r="C268" s="7"/>
      <c r="D268" s="8">
        <f t="shared" si="4"/>
        <v>0</v>
      </c>
    </row>
    <row r="269" spans="1:4" ht="18" hidden="1" x14ac:dyDescent="0.3">
      <c r="A269" s="63" t="s">
        <v>238</v>
      </c>
      <c r="B269" s="7"/>
      <c r="C269" s="7"/>
      <c r="D269" s="8">
        <f t="shared" si="4"/>
        <v>0</v>
      </c>
    </row>
    <row r="270" spans="1:4" ht="18" hidden="1" x14ac:dyDescent="0.3">
      <c r="A270" s="63" t="s">
        <v>239</v>
      </c>
      <c r="B270" s="7"/>
      <c r="C270" s="7"/>
      <c r="D270" s="8">
        <f t="shared" si="4"/>
        <v>0</v>
      </c>
    </row>
    <row r="271" spans="1:4" ht="18" hidden="1" x14ac:dyDescent="0.3">
      <c r="A271" s="63" t="s">
        <v>240</v>
      </c>
      <c r="B271" s="7"/>
      <c r="C271" s="7"/>
      <c r="D271" s="8">
        <f t="shared" si="4"/>
        <v>0</v>
      </c>
    </row>
    <row r="272" spans="1:4" ht="18" hidden="1" x14ac:dyDescent="0.3">
      <c r="A272" s="63" t="s">
        <v>241</v>
      </c>
      <c r="B272" s="7"/>
      <c r="C272" s="7"/>
      <c r="D272" s="8">
        <f t="shared" si="4"/>
        <v>0</v>
      </c>
    </row>
    <row r="273" spans="1:4" ht="18" hidden="1" x14ac:dyDescent="0.3">
      <c r="A273" s="64" t="s">
        <v>242</v>
      </c>
      <c r="B273" s="7"/>
      <c r="C273" s="7"/>
      <c r="D273" s="8">
        <f t="shared" si="4"/>
        <v>0</v>
      </c>
    </row>
    <row r="274" spans="1:4" ht="18" hidden="1" x14ac:dyDescent="0.3">
      <c r="A274" s="63" t="s">
        <v>243</v>
      </c>
      <c r="B274" s="7"/>
      <c r="C274" s="7"/>
      <c r="D274" s="8">
        <f t="shared" si="4"/>
        <v>0</v>
      </c>
    </row>
    <row r="275" spans="1:4" ht="18" hidden="1" x14ac:dyDescent="0.3">
      <c r="A275" s="63" t="s">
        <v>37</v>
      </c>
      <c r="B275" s="7"/>
      <c r="C275" s="7"/>
      <c r="D275" s="8">
        <f t="shared" si="4"/>
        <v>0</v>
      </c>
    </row>
    <row r="276" spans="1:4" ht="18" hidden="1" x14ac:dyDescent="0.3">
      <c r="A276" s="60" t="s">
        <v>170</v>
      </c>
      <c r="B276" s="7"/>
      <c r="C276" s="7"/>
      <c r="D276" s="8">
        <f t="shared" si="4"/>
        <v>0</v>
      </c>
    </row>
    <row r="277" spans="1:4" ht="18" hidden="1" x14ac:dyDescent="0.3">
      <c r="A277" s="63" t="s">
        <v>80</v>
      </c>
      <c r="B277" s="23"/>
      <c r="C277" s="23"/>
      <c r="D277" s="8">
        <f t="shared" si="4"/>
        <v>0</v>
      </c>
    </row>
    <row r="278" spans="1:4" ht="18" hidden="1" x14ac:dyDescent="0.3">
      <c r="A278" s="63" t="s">
        <v>244</v>
      </c>
      <c r="B278" s="7"/>
      <c r="C278" s="7"/>
      <c r="D278" s="8">
        <f t="shared" si="4"/>
        <v>0</v>
      </c>
    </row>
    <row r="279" spans="1:4" ht="18" hidden="1" x14ac:dyDescent="0.3">
      <c r="A279" s="63" t="s">
        <v>171</v>
      </c>
      <c r="B279" s="7"/>
      <c r="C279" s="7"/>
      <c r="D279" s="8">
        <f t="shared" si="4"/>
        <v>0</v>
      </c>
    </row>
    <row r="280" spans="1:4" ht="18" hidden="1" x14ac:dyDescent="0.3">
      <c r="A280" s="64" t="s">
        <v>245</v>
      </c>
      <c r="B280" s="7"/>
      <c r="C280" s="7"/>
      <c r="D280" s="8">
        <f t="shared" si="4"/>
        <v>0</v>
      </c>
    </row>
    <row r="281" spans="1:4" ht="18" hidden="1" x14ac:dyDescent="0.3">
      <c r="A281" s="64" t="s">
        <v>246</v>
      </c>
      <c r="B281" s="7"/>
      <c r="C281" s="7"/>
      <c r="D281" s="8">
        <f t="shared" si="4"/>
        <v>0</v>
      </c>
    </row>
    <row r="282" spans="1:4" ht="18" x14ac:dyDescent="0.3">
      <c r="A282" s="79" t="s">
        <v>247</v>
      </c>
      <c r="B282" s="7">
        <v>3</v>
      </c>
      <c r="C282" s="7">
        <v>30000</v>
      </c>
      <c r="D282" s="8">
        <f t="shared" si="4"/>
        <v>90000</v>
      </c>
    </row>
    <row r="283" spans="1:4" ht="18" hidden="1" x14ac:dyDescent="0.3">
      <c r="A283" s="79" t="s">
        <v>248</v>
      </c>
      <c r="B283" s="7"/>
      <c r="C283" s="7"/>
      <c r="D283" s="8">
        <f t="shared" si="4"/>
        <v>0</v>
      </c>
    </row>
    <row r="284" spans="1:4" ht="18" hidden="1" x14ac:dyDescent="0.3">
      <c r="A284" s="64" t="s">
        <v>249</v>
      </c>
      <c r="B284" s="7"/>
      <c r="C284" s="7"/>
      <c r="D284" s="8">
        <f t="shared" si="4"/>
        <v>0</v>
      </c>
    </row>
    <row r="285" spans="1:4" ht="18" hidden="1" x14ac:dyDescent="0.3">
      <c r="A285" s="79" t="s">
        <v>250</v>
      </c>
      <c r="B285" s="7"/>
      <c r="C285" s="7"/>
      <c r="D285" s="8">
        <f t="shared" si="4"/>
        <v>0</v>
      </c>
    </row>
    <row r="286" spans="1:4" ht="18" hidden="1" x14ac:dyDescent="0.3">
      <c r="A286" s="79" t="s">
        <v>251</v>
      </c>
      <c r="B286" s="7"/>
      <c r="C286" s="7"/>
      <c r="D286" s="8">
        <f t="shared" si="4"/>
        <v>0</v>
      </c>
    </row>
    <row r="287" spans="1:4" ht="18" hidden="1" x14ac:dyDescent="0.3">
      <c r="A287" s="79" t="s">
        <v>252</v>
      </c>
      <c r="B287" s="7"/>
      <c r="C287" s="7"/>
      <c r="D287" s="8">
        <f t="shared" si="4"/>
        <v>0</v>
      </c>
    </row>
    <row r="288" spans="1:4" ht="18" hidden="1" x14ac:dyDescent="0.3">
      <c r="A288" s="63" t="s">
        <v>253</v>
      </c>
      <c r="B288" s="7"/>
      <c r="C288" s="7"/>
      <c r="D288" s="8">
        <f t="shared" si="4"/>
        <v>0</v>
      </c>
    </row>
    <row r="289" spans="1:4" ht="18" hidden="1" x14ac:dyDescent="0.3">
      <c r="A289" s="63" t="s">
        <v>254</v>
      </c>
      <c r="B289" s="7"/>
      <c r="C289" s="7"/>
      <c r="D289" s="8">
        <f t="shared" si="4"/>
        <v>0</v>
      </c>
    </row>
    <row r="290" spans="1:4" ht="18" x14ac:dyDescent="0.3">
      <c r="A290" s="63" t="s">
        <v>255</v>
      </c>
      <c r="B290" s="7">
        <v>2</v>
      </c>
      <c r="C290" s="7">
        <v>28000</v>
      </c>
      <c r="D290" s="8">
        <f t="shared" si="4"/>
        <v>56000</v>
      </c>
    </row>
    <row r="291" spans="1:4" ht="18" hidden="1" x14ac:dyDescent="0.3">
      <c r="A291" s="63" t="s">
        <v>256</v>
      </c>
      <c r="B291" s="7"/>
      <c r="C291" s="7"/>
      <c r="D291" s="8">
        <f t="shared" si="4"/>
        <v>0</v>
      </c>
    </row>
    <row r="292" spans="1:4" ht="18" hidden="1" x14ac:dyDescent="0.3">
      <c r="A292" s="63" t="s">
        <v>257</v>
      </c>
      <c r="B292" s="7"/>
      <c r="C292" s="7"/>
      <c r="D292" s="8">
        <f t="shared" si="4"/>
        <v>0</v>
      </c>
    </row>
    <row r="293" spans="1:4" ht="18" hidden="1" x14ac:dyDescent="0.3">
      <c r="A293" s="63" t="s">
        <v>258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7732</v>
      </c>
      <c r="C294" s="32"/>
      <c r="D294" s="32">
        <f t="shared" si="5"/>
        <v>115419000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F42" sqref="F42"/>
    </sheetView>
  </sheetViews>
  <sheetFormatPr defaultRowHeight="14.4" x14ac:dyDescent="0.3"/>
  <cols>
    <col min="1" max="1" width="34.109375" customWidth="1"/>
    <col min="3" max="3" width="12" customWidth="1"/>
    <col min="4" max="4" width="15.88671875" customWidth="1"/>
  </cols>
  <sheetData>
    <row r="1" spans="1:4" x14ac:dyDescent="0.3">
      <c r="A1" s="57" t="s">
        <v>322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323</v>
      </c>
      <c r="D2" s="5" t="s">
        <v>291</v>
      </c>
    </row>
    <row r="3" spans="1:4" ht="18" hidden="1" x14ac:dyDescent="0.3">
      <c r="A3" s="70" t="s">
        <v>72</v>
      </c>
      <c r="B3" s="7"/>
      <c r="C3" s="7"/>
      <c r="D3" s="8">
        <f>B3*C3</f>
        <v>0</v>
      </c>
    </row>
    <row r="4" spans="1:4" ht="18" hidden="1" x14ac:dyDescent="0.3">
      <c r="A4" s="71" t="s">
        <v>73</v>
      </c>
      <c r="B4" s="7"/>
      <c r="C4" s="7"/>
      <c r="D4" s="8">
        <f t="shared" ref="D4:D67" si="0">B4*C4</f>
        <v>0</v>
      </c>
    </row>
    <row r="5" spans="1:4" ht="18" hidden="1" x14ac:dyDescent="0.3">
      <c r="A5" s="70" t="s">
        <v>74</v>
      </c>
      <c r="B5" s="7"/>
      <c r="C5" s="7"/>
      <c r="D5" s="8">
        <f t="shared" si="0"/>
        <v>0</v>
      </c>
    </row>
    <row r="6" spans="1:4" ht="18" x14ac:dyDescent="0.3">
      <c r="A6" s="70" t="s">
        <v>190</v>
      </c>
      <c r="B6" s="7">
        <f>28+180+36+96</f>
        <v>340</v>
      </c>
      <c r="C6" s="7">
        <v>6500</v>
      </c>
      <c r="D6" s="8">
        <f t="shared" si="0"/>
        <v>2210000</v>
      </c>
    </row>
    <row r="7" spans="1:4" ht="18" hidden="1" x14ac:dyDescent="0.3">
      <c r="A7" s="63" t="s">
        <v>191</v>
      </c>
      <c r="B7" s="7"/>
      <c r="C7" s="7"/>
      <c r="D7" s="8">
        <f t="shared" si="0"/>
        <v>0</v>
      </c>
    </row>
    <row r="8" spans="1:4" ht="18" hidden="1" x14ac:dyDescent="0.3">
      <c r="A8" s="70" t="s">
        <v>308</v>
      </c>
      <c r="B8" s="7"/>
      <c r="C8" s="7"/>
      <c r="D8" s="8">
        <f t="shared" si="0"/>
        <v>0</v>
      </c>
    </row>
    <row r="9" spans="1:4" ht="18" hidden="1" x14ac:dyDescent="0.3">
      <c r="A9" s="63" t="s">
        <v>49</v>
      </c>
      <c r="B9" s="7"/>
      <c r="C9" s="7"/>
      <c r="D9" s="8">
        <f t="shared" si="0"/>
        <v>0</v>
      </c>
    </row>
    <row r="10" spans="1:4" ht="18" x14ac:dyDescent="0.3">
      <c r="A10" s="63" t="s">
        <v>50</v>
      </c>
      <c r="B10" s="7">
        <v>18</v>
      </c>
      <c r="C10" s="7">
        <v>5000</v>
      </c>
      <c r="D10" s="8">
        <f t="shared" si="0"/>
        <v>90000</v>
      </c>
    </row>
    <row r="11" spans="1:4" ht="18" hidden="1" x14ac:dyDescent="0.3">
      <c r="A11" s="60" t="s">
        <v>51</v>
      </c>
      <c r="B11" s="7"/>
      <c r="C11" s="7"/>
      <c r="D11" s="8">
        <f t="shared" si="0"/>
        <v>0</v>
      </c>
    </row>
    <row r="12" spans="1:4" ht="18" x14ac:dyDescent="0.3">
      <c r="A12" s="60" t="s">
        <v>199</v>
      </c>
      <c r="B12" s="7">
        <v>5</v>
      </c>
      <c r="C12" s="7">
        <v>9000</v>
      </c>
      <c r="D12" s="8">
        <f t="shared" si="0"/>
        <v>45000</v>
      </c>
    </row>
    <row r="13" spans="1:4" ht="18" hidden="1" x14ac:dyDescent="0.3">
      <c r="A13" s="63" t="s">
        <v>117</v>
      </c>
      <c r="B13" s="7"/>
      <c r="C13" s="7"/>
      <c r="D13" s="8">
        <f t="shared" si="0"/>
        <v>0</v>
      </c>
    </row>
    <row r="14" spans="1:4" ht="18" hidden="1" x14ac:dyDescent="0.3">
      <c r="A14" s="63" t="s">
        <v>276</v>
      </c>
      <c r="B14" s="7"/>
      <c r="C14" s="7"/>
      <c r="D14" s="8">
        <f t="shared" si="0"/>
        <v>0</v>
      </c>
    </row>
    <row r="15" spans="1:4" ht="18" hidden="1" x14ac:dyDescent="0.3">
      <c r="A15" s="72" t="s">
        <v>277</v>
      </c>
      <c r="B15" s="7"/>
      <c r="C15" s="7"/>
      <c r="D15" s="8">
        <f t="shared" si="0"/>
        <v>0</v>
      </c>
    </row>
    <row r="16" spans="1:4" ht="18" hidden="1" x14ac:dyDescent="0.3">
      <c r="A16" s="61" t="s">
        <v>278</v>
      </c>
      <c r="B16" s="7"/>
      <c r="C16" s="7"/>
      <c r="D16" s="8">
        <f t="shared" si="0"/>
        <v>0</v>
      </c>
    </row>
    <row r="17" spans="1:4" ht="18" x14ac:dyDescent="0.3">
      <c r="A17" s="63" t="s">
        <v>120</v>
      </c>
      <c r="B17" s="7">
        <f>2240+520+100+140+26</f>
        <v>3026</v>
      </c>
      <c r="C17" s="7">
        <v>5000</v>
      </c>
      <c r="D17" s="8">
        <f t="shared" si="0"/>
        <v>15130000</v>
      </c>
    </row>
    <row r="18" spans="1:4" ht="18" hidden="1" x14ac:dyDescent="0.3">
      <c r="A18" s="60" t="s">
        <v>59</v>
      </c>
      <c r="B18" s="7"/>
      <c r="C18" s="7"/>
      <c r="D18" s="8">
        <f t="shared" si="0"/>
        <v>0</v>
      </c>
    </row>
    <row r="19" spans="1:4" ht="18" hidden="1" x14ac:dyDescent="0.3">
      <c r="A19" s="60" t="s">
        <v>60</v>
      </c>
      <c r="B19" s="7"/>
      <c r="C19" s="7"/>
      <c r="D19" s="8">
        <f t="shared" si="0"/>
        <v>0</v>
      </c>
    </row>
    <row r="20" spans="1:4" ht="18" x14ac:dyDescent="0.3">
      <c r="A20" s="63" t="s">
        <v>262</v>
      </c>
      <c r="B20" s="7">
        <v>7</v>
      </c>
      <c r="C20" s="7">
        <v>11000</v>
      </c>
      <c r="D20" s="8">
        <f t="shared" si="0"/>
        <v>77000</v>
      </c>
    </row>
    <row r="21" spans="1:4" ht="18" x14ac:dyDescent="0.3">
      <c r="A21" s="63" t="s">
        <v>263</v>
      </c>
      <c r="B21" s="7">
        <f>37+125</f>
        <v>162</v>
      </c>
      <c r="C21" s="7">
        <v>8000</v>
      </c>
      <c r="D21" s="8">
        <f t="shared" si="0"/>
        <v>1296000</v>
      </c>
    </row>
    <row r="22" spans="1:4" ht="18" hidden="1" x14ac:dyDescent="0.3">
      <c r="A22" s="63" t="s">
        <v>264</v>
      </c>
      <c r="B22" s="7"/>
      <c r="C22" s="7"/>
      <c r="D22" s="8">
        <f t="shared" si="0"/>
        <v>0</v>
      </c>
    </row>
    <row r="23" spans="1:4" ht="18" hidden="1" x14ac:dyDescent="0.3">
      <c r="A23" s="63" t="s">
        <v>265</v>
      </c>
      <c r="B23" s="7"/>
      <c r="C23" s="7"/>
      <c r="D23" s="8">
        <f t="shared" si="0"/>
        <v>0</v>
      </c>
    </row>
    <row r="24" spans="1:4" ht="18" hidden="1" x14ac:dyDescent="0.3">
      <c r="A24" s="63" t="s">
        <v>63</v>
      </c>
      <c r="B24" s="7"/>
      <c r="C24" s="7"/>
      <c r="D24" s="8">
        <f t="shared" si="0"/>
        <v>0</v>
      </c>
    </row>
    <row r="25" spans="1:4" ht="18" hidden="1" x14ac:dyDescent="0.3">
      <c r="A25" s="60" t="s">
        <v>64</v>
      </c>
      <c r="B25" s="7"/>
      <c r="C25" s="7"/>
      <c r="D25" s="8">
        <f t="shared" si="0"/>
        <v>0</v>
      </c>
    </row>
    <row r="26" spans="1:4" ht="18" hidden="1" x14ac:dyDescent="0.3">
      <c r="A26" s="60" t="s">
        <v>65</v>
      </c>
      <c r="B26" s="7"/>
      <c r="C26" s="7"/>
      <c r="D26" s="8">
        <f t="shared" si="0"/>
        <v>0</v>
      </c>
    </row>
    <row r="27" spans="1:4" ht="18" hidden="1" x14ac:dyDescent="0.3">
      <c r="A27" s="63" t="s">
        <v>222</v>
      </c>
      <c r="B27" s="7"/>
      <c r="C27" s="7"/>
      <c r="D27" s="8">
        <f t="shared" si="0"/>
        <v>0</v>
      </c>
    </row>
    <row r="28" spans="1:4" ht="18" hidden="1" x14ac:dyDescent="0.3">
      <c r="A28" s="63" t="s">
        <v>223</v>
      </c>
      <c r="B28" s="7"/>
      <c r="C28" s="7"/>
      <c r="D28" s="8">
        <f t="shared" si="0"/>
        <v>0</v>
      </c>
    </row>
    <row r="29" spans="1:4" ht="18" hidden="1" x14ac:dyDescent="0.3">
      <c r="A29" s="61" t="s">
        <v>224</v>
      </c>
      <c r="B29" s="12"/>
      <c r="C29" s="12"/>
      <c r="D29" s="8">
        <f t="shared" si="0"/>
        <v>0</v>
      </c>
    </row>
    <row r="30" spans="1:4" ht="18" hidden="1" x14ac:dyDescent="0.3">
      <c r="A30" s="61" t="s">
        <v>225</v>
      </c>
      <c r="B30" s="7"/>
      <c r="C30" s="7"/>
      <c r="D30" s="8">
        <f t="shared" si="0"/>
        <v>0</v>
      </c>
    </row>
    <row r="31" spans="1:4" ht="18" hidden="1" x14ac:dyDescent="0.3">
      <c r="A31" s="61" t="s">
        <v>226</v>
      </c>
      <c r="B31" s="12"/>
      <c r="C31" s="12"/>
      <c r="D31" s="8">
        <f t="shared" si="0"/>
        <v>0</v>
      </c>
    </row>
    <row r="32" spans="1:4" ht="18" hidden="1" x14ac:dyDescent="0.3">
      <c r="A32" s="63" t="s">
        <v>121</v>
      </c>
      <c r="B32" s="7"/>
      <c r="C32" s="7"/>
      <c r="D32" s="8">
        <f t="shared" si="0"/>
        <v>0</v>
      </c>
    </row>
    <row r="33" spans="1:4" ht="18" hidden="1" x14ac:dyDescent="0.3">
      <c r="A33" s="63" t="s">
        <v>145</v>
      </c>
      <c r="B33" s="7"/>
      <c r="C33" s="7"/>
      <c r="D33" s="8">
        <f t="shared" si="0"/>
        <v>0</v>
      </c>
    </row>
    <row r="34" spans="1:4" ht="18" hidden="1" x14ac:dyDescent="0.3">
      <c r="A34" s="65" t="s">
        <v>97</v>
      </c>
      <c r="B34" s="7"/>
      <c r="C34" s="7"/>
      <c r="D34" s="8">
        <f t="shared" si="0"/>
        <v>0</v>
      </c>
    </row>
    <row r="35" spans="1:4" ht="18" x14ac:dyDescent="0.3">
      <c r="A35" s="63" t="s">
        <v>98</v>
      </c>
      <c r="B35" s="7">
        <v>15</v>
      </c>
      <c r="C35" s="7">
        <v>29000</v>
      </c>
      <c r="D35" s="8">
        <f t="shared" si="0"/>
        <v>435000</v>
      </c>
    </row>
    <row r="36" spans="1:4" ht="18" hidden="1" x14ac:dyDescent="0.3">
      <c r="A36" s="63" t="s">
        <v>99</v>
      </c>
      <c r="B36" s="7"/>
      <c r="C36" s="7"/>
      <c r="D36" s="8">
        <f t="shared" si="0"/>
        <v>0</v>
      </c>
    </row>
    <row r="37" spans="1:4" ht="18" hidden="1" x14ac:dyDescent="0.3">
      <c r="A37" s="63" t="s">
        <v>266</v>
      </c>
      <c r="B37" s="7"/>
      <c r="C37" s="7"/>
      <c r="D37" s="8">
        <f t="shared" si="0"/>
        <v>0</v>
      </c>
    </row>
    <row r="38" spans="1:4" ht="18" hidden="1" x14ac:dyDescent="0.3">
      <c r="A38" s="63" t="s">
        <v>267</v>
      </c>
      <c r="B38" s="7"/>
      <c r="C38" s="7"/>
      <c r="D38" s="8">
        <f t="shared" si="0"/>
        <v>0</v>
      </c>
    </row>
    <row r="39" spans="1:4" ht="18" hidden="1" x14ac:dyDescent="0.3">
      <c r="A39" s="74" t="s">
        <v>268</v>
      </c>
      <c r="B39" s="7"/>
      <c r="C39" s="7"/>
      <c r="D39" s="8">
        <f t="shared" si="0"/>
        <v>0</v>
      </c>
    </row>
    <row r="40" spans="1:4" ht="18" hidden="1" x14ac:dyDescent="0.3">
      <c r="A40" s="61" t="s">
        <v>122</v>
      </c>
      <c r="B40" s="7"/>
      <c r="C40" s="7"/>
      <c r="D40" s="8">
        <f t="shared" si="0"/>
        <v>0</v>
      </c>
    </row>
    <row r="41" spans="1:4" ht="18" hidden="1" x14ac:dyDescent="0.3">
      <c r="A41" s="74" t="s">
        <v>123</v>
      </c>
      <c r="B41" s="7"/>
      <c r="C41" s="7"/>
      <c r="D41" s="8">
        <f t="shared" si="0"/>
        <v>0</v>
      </c>
    </row>
    <row r="42" spans="1:4" ht="18" x14ac:dyDescent="0.3">
      <c r="A42" s="63" t="s">
        <v>269</v>
      </c>
      <c r="B42" s="7">
        <v>14</v>
      </c>
      <c r="C42" s="7">
        <v>23000</v>
      </c>
      <c r="D42" s="8">
        <f t="shared" si="0"/>
        <v>322000</v>
      </c>
    </row>
    <row r="43" spans="1:4" ht="18" hidden="1" x14ac:dyDescent="0.3">
      <c r="A43" s="63" t="s">
        <v>270</v>
      </c>
      <c r="B43" s="7"/>
      <c r="C43" s="7"/>
      <c r="D43" s="8">
        <f t="shared" si="0"/>
        <v>0</v>
      </c>
    </row>
    <row r="44" spans="1:4" ht="18" x14ac:dyDescent="0.3">
      <c r="A44" s="60" t="s">
        <v>113</v>
      </c>
      <c r="B44" s="7">
        <f>40+80+55</f>
        <v>175</v>
      </c>
      <c r="C44" s="7">
        <v>16000</v>
      </c>
      <c r="D44" s="8">
        <f t="shared" si="0"/>
        <v>2800000</v>
      </c>
    </row>
    <row r="45" spans="1:4" ht="18" hidden="1" x14ac:dyDescent="0.3">
      <c r="A45" s="63" t="s">
        <v>147</v>
      </c>
      <c r="B45" s="7"/>
      <c r="C45" s="7"/>
      <c r="D45" s="8">
        <f t="shared" si="0"/>
        <v>0</v>
      </c>
    </row>
    <row r="46" spans="1:4" ht="18" x14ac:dyDescent="0.3">
      <c r="A46" s="81" t="s">
        <v>148</v>
      </c>
      <c r="B46" s="7">
        <f>55+45</f>
        <v>100</v>
      </c>
      <c r="C46" s="7">
        <v>6500</v>
      </c>
      <c r="D46" s="8">
        <f t="shared" si="0"/>
        <v>650000</v>
      </c>
    </row>
    <row r="47" spans="1:4" ht="18" hidden="1" x14ac:dyDescent="0.3">
      <c r="A47" s="68" t="s">
        <v>149</v>
      </c>
      <c r="B47" s="7"/>
      <c r="C47" s="7"/>
      <c r="D47" s="8">
        <f t="shared" si="0"/>
        <v>0</v>
      </c>
    </row>
    <row r="48" spans="1:4" ht="18" hidden="1" x14ac:dyDescent="0.3">
      <c r="A48" s="63" t="s">
        <v>150</v>
      </c>
      <c r="B48" s="7"/>
      <c r="C48" s="7"/>
      <c r="D48" s="8">
        <f t="shared" si="0"/>
        <v>0</v>
      </c>
    </row>
    <row r="49" spans="1:4" ht="18" hidden="1" x14ac:dyDescent="0.3">
      <c r="A49" s="61" t="s">
        <v>151</v>
      </c>
      <c r="B49" s="7"/>
      <c r="C49" s="7"/>
      <c r="D49" s="8">
        <f t="shared" si="0"/>
        <v>0</v>
      </c>
    </row>
    <row r="50" spans="1:4" ht="18" hidden="1" x14ac:dyDescent="0.3">
      <c r="A50" s="63" t="s">
        <v>152</v>
      </c>
      <c r="B50" s="7"/>
      <c r="C50" s="7"/>
      <c r="D50" s="8">
        <f t="shared" si="0"/>
        <v>0</v>
      </c>
    </row>
    <row r="51" spans="1:4" ht="18" hidden="1" x14ac:dyDescent="0.3">
      <c r="A51" s="63" t="s">
        <v>153</v>
      </c>
      <c r="B51" s="7"/>
      <c r="C51" s="7"/>
      <c r="D51" s="8">
        <f t="shared" si="0"/>
        <v>0</v>
      </c>
    </row>
    <row r="52" spans="1:4" ht="18" hidden="1" x14ac:dyDescent="0.3">
      <c r="A52" s="68" t="s">
        <v>75</v>
      </c>
      <c r="B52" s="7"/>
      <c r="C52" s="7"/>
      <c r="D52" s="8">
        <f t="shared" si="0"/>
        <v>0</v>
      </c>
    </row>
    <row r="53" spans="1:4" ht="18" hidden="1" x14ac:dyDescent="0.3">
      <c r="A53" s="63" t="s">
        <v>114</v>
      </c>
      <c r="B53" s="7"/>
      <c r="C53" s="7"/>
      <c r="D53" s="8">
        <f t="shared" si="0"/>
        <v>0</v>
      </c>
    </row>
    <row r="54" spans="1:4" ht="18" hidden="1" x14ac:dyDescent="0.3">
      <c r="A54" s="63" t="s">
        <v>154</v>
      </c>
      <c r="B54" s="7"/>
      <c r="C54" s="7"/>
      <c r="D54" s="8">
        <f t="shared" si="0"/>
        <v>0</v>
      </c>
    </row>
    <row r="55" spans="1:4" ht="18" hidden="1" x14ac:dyDescent="0.3">
      <c r="A55" s="63" t="s">
        <v>155</v>
      </c>
      <c r="B55" s="7"/>
      <c r="C55" s="7"/>
      <c r="D55" s="8">
        <f t="shared" si="0"/>
        <v>0</v>
      </c>
    </row>
    <row r="56" spans="1:4" ht="18" hidden="1" x14ac:dyDescent="0.3">
      <c r="A56" s="62" t="s">
        <v>156</v>
      </c>
      <c r="B56" s="7"/>
      <c r="C56" s="7"/>
      <c r="D56" s="8">
        <f t="shared" si="0"/>
        <v>0</v>
      </c>
    </row>
    <row r="57" spans="1:4" ht="18" hidden="1" x14ac:dyDescent="0.3">
      <c r="A57" s="60" t="s">
        <v>283</v>
      </c>
      <c r="B57" s="7"/>
      <c r="C57" s="7"/>
      <c r="D57" s="8">
        <f t="shared" si="0"/>
        <v>0</v>
      </c>
    </row>
    <row r="58" spans="1:4" ht="18" hidden="1" x14ac:dyDescent="0.3">
      <c r="A58" s="60" t="s">
        <v>303</v>
      </c>
      <c r="B58" s="7"/>
      <c r="C58" s="7"/>
      <c r="D58" s="8">
        <f t="shared" si="0"/>
        <v>0</v>
      </c>
    </row>
    <row r="59" spans="1:4" ht="18" hidden="1" x14ac:dyDescent="0.3">
      <c r="A59" s="82" t="s">
        <v>304</v>
      </c>
      <c r="B59" s="7"/>
      <c r="C59" s="7"/>
      <c r="D59" s="8">
        <f t="shared" si="0"/>
        <v>0</v>
      </c>
    </row>
    <row r="60" spans="1:4" ht="18" hidden="1" x14ac:dyDescent="0.3">
      <c r="A60" s="60" t="s">
        <v>305</v>
      </c>
      <c r="B60" s="7"/>
      <c r="C60" s="7"/>
      <c r="D60" s="8">
        <f t="shared" si="0"/>
        <v>0</v>
      </c>
    </row>
    <row r="61" spans="1:4" ht="18" hidden="1" x14ac:dyDescent="0.3">
      <c r="A61" s="60" t="s">
        <v>306</v>
      </c>
      <c r="B61" s="7"/>
      <c r="C61" s="7"/>
      <c r="D61" s="8">
        <f t="shared" si="0"/>
        <v>0</v>
      </c>
    </row>
    <row r="62" spans="1:4" ht="18" hidden="1" x14ac:dyDescent="0.3">
      <c r="A62" s="60" t="s">
        <v>2</v>
      </c>
      <c r="B62" s="7"/>
      <c r="C62" s="7"/>
      <c r="D62" s="8">
        <f t="shared" si="0"/>
        <v>0</v>
      </c>
    </row>
    <row r="63" spans="1:4" ht="18" hidden="1" x14ac:dyDescent="0.3">
      <c r="A63" s="62" t="s">
        <v>3</v>
      </c>
      <c r="B63" s="7"/>
      <c r="C63" s="7"/>
      <c r="D63" s="8">
        <f t="shared" si="0"/>
        <v>0</v>
      </c>
    </row>
    <row r="64" spans="1:4" ht="18" hidden="1" x14ac:dyDescent="0.3">
      <c r="A64" s="63" t="s">
        <v>4</v>
      </c>
      <c r="B64" s="7"/>
      <c r="C64" s="7"/>
      <c r="D64" s="8">
        <f t="shared" si="0"/>
        <v>0</v>
      </c>
    </row>
    <row r="65" spans="1:4" ht="18" hidden="1" x14ac:dyDescent="0.3">
      <c r="A65" s="63" t="s">
        <v>115</v>
      </c>
      <c r="B65" s="7"/>
      <c r="C65" s="7"/>
      <c r="D65" s="8">
        <f t="shared" si="0"/>
        <v>0</v>
      </c>
    </row>
    <row r="66" spans="1:4" ht="18" hidden="1" x14ac:dyDescent="0.3">
      <c r="A66" s="60" t="s">
        <v>116</v>
      </c>
      <c r="B66" s="7"/>
      <c r="C66" s="7"/>
      <c r="D66" s="8">
        <f t="shared" si="0"/>
        <v>0</v>
      </c>
    </row>
    <row r="67" spans="1:4" ht="18" x14ac:dyDescent="0.3">
      <c r="A67" s="63" t="s">
        <v>163</v>
      </c>
      <c r="B67" s="7">
        <f>200+80+240</f>
        <v>520</v>
      </c>
      <c r="C67" s="7">
        <v>16000</v>
      </c>
      <c r="D67" s="8">
        <f t="shared" si="0"/>
        <v>8320000</v>
      </c>
    </row>
    <row r="68" spans="1:4" ht="18" hidden="1" x14ac:dyDescent="0.3">
      <c r="A68" s="74" t="s">
        <v>164</v>
      </c>
      <c r="B68" s="7"/>
      <c r="C68" s="7"/>
      <c r="D68" s="8">
        <f t="shared" ref="D68:D131" si="1">B68*C68</f>
        <v>0</v>
      </c>
    </row>
    <row r="69" spans="1:4" ht="18" hidden="1" x14ac:dyDescent="0.3">
      <c r="A69" s="63" t="s">
        <v>319</v>
      </c>
      <c r="B69" s="7"/>
      <c r="C69" s="7"/>
      <c r="D69" s="8">
        <f t="shared" si="1"/>
        <v>0</v>
      </c>
    </row>
    <row r="70" spans="1:4" ht="18" hidden="1" x14ac:dyDescent="0.3">
      <c r="A70" s="63" t="s">
        <v>166</v>
      </c>
      <c r="B70" s="7"/>
      <c r="C70" s="7"/>
      <c r="D70" s="8">
        <f t="shared" si="1"/>
        <v>0</v>
      </c>
    </row>
    <row r="71" spans="1:4" ht="18" hidden="1" x14ac:dyDescent="0.3">
      <c r="A71" s="63" t="s">
        <v>167</v>
      </c>
      <c r="B71" s="7"/>
      <c r="C71" s="7"/>
      <c r="D71" s="8">
        <f t="shared" si="1"/>
        <v>0</v>
      </c>
    </row>
    <row r="72" spans="1:4" ht="18" hidden="1" x14ac:dyDescent="0.3">
      <c r="A72" s="60" t="s">
        <v>9</v>
      </c>
      <c r="B72" s="12"/>
      <c r="C72" s="12"/>
      <c r="D72" s="8">
        <f t="shared" si="1"/>
        <v>0</v>
      </c>
    </row>
    <row r="73" spans="1:4" ht="18" hidden="1" x14ac:dyDescent="0.3">
      <c r="A73" s="60" t="s">
        <v>10</v>
      </c>
      <c r="B73" s="12"/>
      <c r="C73" s="12"/>
      <c r="D73" s="8">
        <f t="shared" si="1"/>
        <v>0</v>
      </c>
    </row>
    <row r="74" spans="1:4" ht="18" hidden="1" x14ac:dyDescent="0.3">
      <c r="A74" s="63" t="s">
        <v>81</v>
      </c>
      <c r="B74" s="7"/>
      <c r="C74" s="7"/>
      <c r="D74" s="8">
        <f t="shared" si="1"/>
        <v>0</v>
      </c>
    </row>
    <row r="75" spans="1:4" ht="18" hidden="1" x14ac:dyDescent="0.3">
      <c r="A75" s="63" t="s">
        <v>82</v>
      </c>
      <c r="B75" s="7"/>
      <c r="C75" s="7"/>
      <c r="D75" s="8">
        <f t="shared" si="1"/>
        <v>0</v>
      </c>
    </row>
    <row r="76" spans="1:4" ht="18" hidden="1" x14ac:dyDescent="0.3">
      <c r="A76" s="63" t="s">
        <v>83</v>
      </c>
      <c r="B76" s="7"/>
      <c r="C76" s="7"/>
      <c r="D76" s="8">
        <f t="shared" si="1"/>
        <v>0</v>
      </c>
    </row>
    <row r="77" spans="1:4" ht="18" hidden="1" x14ac:dyDescent="0.3">
      <c r="A77" s="63" t="s">
        <v>84</v>
      </c>
      <c r="B77" s="7"/>
      <c r="C77" s="7"/>
      <c r="D77" s="8">
        <f t="shared" si="1"/>
        <v>0</v>
      </c>
    </row>
    <row r="78" spans="1:4" ht="18" hidden="1" x14ac:dyDescent="0.3">
      <c r="A78" s="63" t="s">
        <v>85</v>
      </c>
      <c r="B78" s="7"/>
      <c r="C78" s="7"/>
      <c r="D78" s="8">
        <f t="shared" si="1"/>
        <v>0</v>
      </c>
    </row>
    <row r="79" spans="1:4" ht="18" x14ac:dyDescent="0.3">
      <c r="A79" s="63" t="s">
        <v>188</v>
      </c>
      <c r="B79" s="7">
        <v>10</v>
      </c>
      <c r="C79" s="7">
        <v>6000</v>
      </c>
      <c r="D79" s="8">
        <f t="shared" si="1"/>
        <v>60000</v>
      </c>
    </row>
    <row r="80" spans="1:4" ht="18" hidden="1" x14ac:dyDescent="0.3">
      <c r="A80" s="64" t="s">
        <v>189</v>
      </c>
      <c r="B80" s="7"/>
      <c r="C80" s="7"/>
      <c r="D80" s="8">
        <f t="shared" si="1"/>
        <v>0</v>
      </c>
    </row>
    <row r="81" spans="1:4" ht="18" hidden="1" x14ac:dyDescent="0.3">
      <c r="A81" s="13" t="s">
        <v>172</v>
      </c>
      <c r="B81" s="7"/>
      <c r="C81" s="7"/>
      <c r="D81" s="8">
        <f t="shared" si="1"/>
        <v>0</v>
      </c>
    </row>
    <row r="82" spans="1:4" ht="18" hidden="1" x14ac:dyDescent="0.3">
      <c r="A82" s="13" t="s">
        <v>173</v>
      </c>
      <c r="B82" s="7"/>
      <c r="C82" s="7"/>
      <c r="D82" s="8">
        <f t="shared" si="1"/>
        <v>0</v>
      </c>
    </row>
    <row r="83" spans="1:4" ht="18" hidden="1" x14ac:dyDescent="0.3">
      <c r="A83" s="61" t="s">
        <v>174</v>
      </c>
      <c r="B83" s="7"/>
      <c r="C83" s="7"/>
      <c r="D83" s="8">
        <f t="shared" si="1"/>
        <v>0</v>
      </c>
    </row>
    <row r="84" spans="1:4" ht="18" hidden="1" x14ac:dyDescent="0.3">
      <c r="A84" s="74" t="s">
        <v>168</v>
      </c>
      <c r="B84" s="7"/>
      <c r="C84" s="7"/>
      <c r="D84" s="8">
        <f t="shared" si="1"/>
        <v>0</v>
      </c>
    </row>
    <row r="85" spans="1:4" ht="18" hidden="1" x14ac:dyDescent="0.3">
      <c r="A85" s="61" t="s">
        <v>200</v>
      </c>
      <c r="B85" s="7"/>
      <c r="C85" s="7"/>
      <c r="D85" s="8">
        <f t="shared" si="1"/>
        <v>0</v>
      </c>
    </row>
    <row r="86" spans="1:4" ht="18" hidden="1" x14ac:dyDescent="0.3">
      <c r="A86" s="63" t="s">
        <v>11</v>
      </c>
      <c r="B86" s="7"/>
      <c r="C86" s="7"/>
      <c r="D86" s="8">
        <f t="shared" si="1"/>
        <v>0</v>
      </c>
    </row>
    <row r="87" spans="1:4" ht="18" hidden="1" x14ac:dyDescent="0.3">
      <c r="A87" s="63" t="s">
        <v>12</v>
      </c>
      <c r="B87" s="7"/>
      <c r="C87" s="7"/>
      <c r="D87" s="8">
        <f t="shared" si="1"/>
        <v>0</v>
      </c>
    </row>
    <row r="88" spans="1:4" ht="18" hidden="1" x14ac:dyDescent="0.3">
      <c r="A88" s="61" t="s">
        <v>201</v>
      </c>
      <c r="B88" s="7"/>
      <c r="C88" s="7"/>
      <c r="D88" s="8">
        <f t="shared" si="1"/>
        <v>0</v>
      </c>
    </row>
    <row r="89" spans="1:4" ht="18" hidden="1" x14ac:dyDescent="0.3">
      <c r="A89" s="61" t="s">
        <v>202</v>
      </c>
      <c r="B89" s="7"/>
      <c r="C89" s="7"/>
      <c r="D89" s="8">
        <f t="shared" si="1"/>
        <v>0</v>
      </c>
    </row>
    <row r="90" spans="1:4" ht="18" hidden="1" x14ac:dyDescent="0.3">
      <c r="A90" s="63" t="s">
        <v>13</v>
      </c>
      <c r="B90" s="12"/>
      <c r="C90" s="12"/>
      <c r="D90" s="8">
        <f t="shared" si="1"/>
        <v>0</v>
      </c>
    </row>
    <row r="91" spans="1:4" ht="18" hidden="1" x14ac:dyDescent="0.3">
      <c r="A91" s="64" t="s">
        <v>14</v>
      </c>
      <c r="B91" s="7"/>
      <c r="C91" s="7"/>
      <c r="D91" s="8">
        <f t="shared" si="1"/>
        <v>0</v>
      </c>
    </row>
    <row r="92" spans="1:4" ht="18" hidden="1" x14ac:dyDescent="0.3">
      <c r="A92" s="61" t="s">
        <v>203</v>
      </c>
      <c r="B92" s="7"/>
      <c r="C92" s="7"/>
      <c r="D92" s="8">
        <f t="shared" si="1"/>
        <v>0</v>
      </c>
    </row>
    <row r="93" spans="1:4" ht="18" hidden="1" x14ac:dyDescent="0.3">
      <c r="A93" s="63" t="s">
        <v>46</v>
      </c>
      <c r="B93" s="7"/>
      <c r="C93" s="7"/>
      <c r="D93" s="8">
        <f t="shared" si="1"/>
        <v>0</v>
      </c>
    </row>
    <row r="94" spans="1:4" ht="18" hidden="1" x14ac:dyDescent="0.3">
      <c r="A94" s="65" t="s">
        <v>47</v>
      </c>
      <c r="B94" s="7"/>
      <c r="C94" s="7"/>
      <c r="D94" s="8">
        <f t="shared" si="1"/>
        <v>0</v>
      </c>
    </row>
    <row r="95" spans="1:4" ht="18" hidden="1" x14ac:dyDescent="0.3">
      <c r="A95" s="63" t="s">
        <v>186</v>
      </c>
      <c r="B95" s="7"/>
      <c r="C95" s="7"/>
      <c r="D95" s="8">
        <f t="shared" si="1"/>
        <v>0</v>
      </c>
    </row>
    <row r="96" spans="1:4" ht="18" hidden="1" x14ac:dyDescent="0.3">
      <c r="A96" s="63" t="s">
        <v>187</v>
      </c>
      <c r="B96" s="7"/>
      <c r="C96" s="7"/>
      <c r="D96" s="8">
        <f t="shared" si="1"/>
        <v>0</v>
      </c>
    </row>
    <row r="97" spans="1:4" ht="18" hidden="1" x14ac:dyDescent="0.3">
      <c r="A97" s="83" t="s">
        <v>300</v>
      </c>
      <c r="B97" s="7"/>
      <c r="C97" s="7"/>
      <c r="D97" s="8">
        <f t="shared" si="1"/>
        <v>0</v>
      </c>
    </row>
    <row r="98" spans="1:4" ht="18" hidden="1" x14ac:dyDescent="0.3">
      <c r="A98" s="76" t="s">
        <v>48</v>
      </c>
      <c r="B98" s="7"/>
      <c r="C98" s="7"/>
      <c r="D98" s="8">
        <f t="shared" si="1"/>
        <v>0</v>
      </c>
    </row>
    <row r="99" spans="1:4" ht="18" hidden="1" x14ac:dyDescent="0.3">
      <c r="A99" s="76" t="s">
        <v>17</v>
      </c>
      <c r="B99" s="7"/>
      <c r="C99" s="7"/>
      <c r="D99" s="8">
        <f t="shared" si="1"/>
        <v>0</v>
      </c>
    </row>
    <row r="100" spans="1:4" ht="18" hidden="1" x14ac:dyDescent="0.3">
      <c r="A100" s="63" t="s">
        <v>18</v>
      </c>
      <c r="B100" s="7"/>
      <c r="C100" s="7"/>
      <c r="D100" s="8">
        <f t="shared" si="1"/>
        <v>0</v>
      </c>
    </row>
    <row r="101" spans="1:4" ht="18" hidden="1" x14ac:dyDescent="0.3">
      <c r="A101" s="63" t="s">
        <v>19</v>
      </c>
      <c r="B101" s="7"/>
      <c r="C101" s="7"/>
      <c r="D101" s="8">
        <f t="shared" si="1"/>
        <v>0</v>
      </c>
    </row>
    <row r="102" spans="1:4" ht="18" hidden="1" x14ac:dyDescent="0.3">
      <c r="A102" s="63" t="s">
        <v>204</v>
      </c>
      <c r="B102" s="7"/>
      <c r="C102" s="7"/>
      <c r="D102" s="8">
        <f t="shared" si="1"/>
        <v>0</v>
      </c>
    </row>
    <row r="103" spans="1:4" ht="18" hidden="1" x14ac:dyDescent="0.3">
      <c r="A103" s="63" t="s">
        <v>205</v>
      </c>
      <c r="B103" s="7"/>
      <c r="C103" s="7"/>
      <c r="D103" s="8">
        <f t="shared" si="1"/>
        <v>0</v>
      </c>
    </row>
    <row r="104" spans="1:4" ht="18" hidden="1" x14ac:dyDescent="0.3">
      <c r="A104" s="63" t="s">
        <v>206</v>
      </c>
      <c r="B104" s="7"/>
      <c r="C104" s="7"/>
      <c r="D104" s="8">
        <f t="shared" si="1"/>
        <v>0</v>
      </c>
    </row>
    <row r="105" spans="1:4" ht="18" hidden="1" x14ac:dyDescent="0.3">
      <c r="A105" s="63" t="s">
        <v>207</v>
      </c>
      <c r="B105" s="7"/>
      <c r="C105" s="7"/>
      <c r="D105" s="8">
        <f t="shared" si="1"/>
        <v>0</v>
      </c>
    </row>
    <row r="106" spans="1:4" ht="18" hidden="1" x14ac:dyDescent="0.3">
      <c r="A106" s="61" t="s">
        <v>15</v>
      </c>
      <c r="B106" s="7"/>
      <c r="C106" s="7"/>
      <c r="D106" s="8">
        <f t="shared" si="1"/>
        <v>0</v>
      </c>
    </row>
    <row r="107" spans="1:4" ht="18" hidden="1" x14ac:dyDescent="0.3">
      <c r="A107" s="13" t="s">
        <v>16</v>
      </c>
      <c r="B107" s="7"/>
      <c r="C107" s="7"/>
      <c r="D107" s="8">
        <f t="shared" si="1"/>
        <v>0</v>
      </c>
    </row>
    <row r="108" spans="1:4" ht="18" hidden="1" x14ac:dyDescent="0.3">
      <c r="A108" s="63" t="s">
        <v>313</v>
      </c>
      <c r="B108" s="7"/>
      <c r="C108" s="7"/>
      <c r="D108" s="8">
        <f t="shared" si="1"/>
        <v>0</v>
      </c>
    </row>
    <row r="109" spans="1:4" ht="18" hidden="1" x14ac:dyDescent="0.3">
      <c r="A109" s="61" t="s">
        <v>314</v>
      </c>
      <c r="B109" s="7"/>
      <c r="C109" s="7"/>
      <c r="D109" s="8">
        <f t="shared" si="1"/>
        <v>0</v>
      </c>
    </row>
    <row r="110" spans="1:4" ht="18" hidden="1" x14ac:dyDescent="0.3">
      <c r="A110" s="61" t="s">
        <v>315</v>
      </c>
      <c r="B110" s="7"/>
      <c r="C110" s="7"/>
      <c r="D110" s="8">
        <f t="shared" si="1"/>
        <v>0</v>
      </c>
    </row>
    <row r="111" spans="1:4" ht="18" hidden="1" x14ac:dyDescent="0.3">
      <c r="A111" s="63" t="s">
        <v>96</v>
      </c>
      <c r="B111" s="7"/>
      <c r="C111" s="7"/>
      <c r="D111" s="8">
        <f t="shared" si="1"/>
        <v>0</v>
      </c>
    </row>
    <row r="112" spans="1:4" ht="78" hidden="1" x14ac:dyDescent="0.3">
      <c r="A112" s="77" t="s">
        <v>124</v>
      </c>
      <c r="B112" s="7"/>
      <c r="C112" s="7"/>
      <c r="D112" s="8">
        <f t="shared" si="1"/>
        <v>0</v>
      </c>
    </row>
    <row r="113" spans="1:4" ht="18" x14ac:dyDescent="0.3">
      <c r="A113" s="72" t="s">
        <v>125</v>
      </c>
      <c r="B113" s="7">
        <v>18</v>
      </c>
      <c r="C113" s="7">
        <v>9000</v>
      </c>
      <c r="D113" s="8">
        <f t="shared" si="1"/>
        <v>162000</v>
      </c>
    </row>
    <row r="114" spans="1:4" ht="18" hidden="1" x14ac:dyDescent="0.3">
      <c r="A114" s="60" t="s">
        <v>126</v>
      </c>
      <c r="B114" s="12"/>
      <c r="C114" s="12"/>
      <c r="D114" s="8">
        <f t="shared" si="1"/>
        <v>0</v>
      </c>
    </row>
    <row r="115" spans="1:4" ht="18" hidden="1" x14ac:dyDescent="0.3">
      <c r="A115" s="60" t="s">
        <v>127</v>
      </c>
      <c r="B115" s="12"/>
      <c r="C115" s="12"/>
      <c r="D115" s="8">
        <f t="shared" si="1"/>
        <v>0</v>
      </c>
    </row>
    <row r="116" spans="1:4" ht="18" hidden="1" x14ac:dyDescent="0.3">
      <c r="A116" s="60" t="s">
        <v>128</v>
      </c>
      <c r="B116" s="12"/>
      <c r="C116" s="12"/>
      <c r="D116" s="8">
        <f t="shared" si="1"/>
        <v>0</v>
      </c>
    </row>
    <row r="117" spans="1:4" ht="18" hidden="1" x14ac:dyDescent="0.3">
      <c r="A117" s="60" t="s">
        <v>129</v>
      </c>
      <c r="B117" s="29"/>
      <c r="C117" s="29"/>
      <c r="D117" s="8">
        <f t="shared" si="1"/>
        <v>0</v>
      </c>
    </row>
    <row r="118" spans="1:4" ht="18" hidden="1" x14ac:dyDescent="0.3">
      <c r="A118" s="30" t="s">
        <v>271</v>
      </c>
      <c r="B118" s="7"/>
      <c r="C118" s="7"/>
      <c r="D118" s="8">
        <f t="shared" si="1"/>
        <v>0</v>
      </c>
    </row>
    <row r="119" spans="1:4" ht="18" x14ac:dyDescent="0.3">
      <c r="A119" s="60" t="s">
        <v>272</v>
      </c>
      <c r="B119" s="12">
        <v>1</v>
      </c>
      <c r="C119" s="7">
        <v>16000</v>
      </c>
      <c r="D119" s="8">
        <f t="shared" si="1"/>
        <v>16000</v>
      </c>
    </row>
    <row r="120" spans="1:4" ht="18" hidden="1" x14ac:dyDescent="0.3">
      <c r="A120" s="63" t="s">
        <v>273</v>
      </c>
      <c r="B120" s="7"/>
      <c r="C120" s="7"/>
      <c r="D120" s="8">
        <f t="shared" si="1"/>
        <v>0</v>
      </c>
    </row>
    <row r="121" spans="1:4" ht="18" hidden="1" x14ac:dyDescent="0.3">
      <c r="A121" s="63" t="s">
        <v>274</v>
      </c>
      <c r="B121" s="7"/>
      <c r="C121" s="7"/>
      <c r="D121" s="8">
        <f t="shared" si="1"/>
        <v>0</v>
      </c>
    </row>
    <row r="122" spans="1:4" ht="18" x14ac:dyDescent="0.3">
      <c r="A122" s="63" t="s">
        <v>33</v>
      </c>
      <c r="B122" s="7">
        <v>25</v>
      </c>
      <c r="C122" s="7">
        <v>11000</v>
      </c>
      <c r="D122" s="8">
        <f t="shared" si="1"/>
        <v>275000</v>
      </c>
    </row>
    <row r="123" spans="1:4" ht="18" hidden="1" x14ac:dyDescent="0.3">
      <c r="A123" s="65" t="s">
        <v>34</v>
      </c>
      <c r="B123" s="7"/>
      <c r="C123" s="7"/>
      <c r="D123" s="8">
        <f t="shared" si="1"/>
        <v>0</v>
      </c>
    </row>
    <row r="124" spans="1:4" ht="18" hidden="1" x14ac:dyDescent="0.3">
      <c r="A124" s="60" t="s">
        <v>208</v>
      </c>
      <c r="B124" s="7"/>
      <c r="C124" s="7"/>
      <c r="D124" s="8">
        <f t="shared" si="1"/>
        <v>0</v>
      </c>
    </row>
    <row r="125" spans="1:4" ht="18" hidden="1" x14ac:dyDescent="0.3">
      <c r="A125" s="60" t="s">
        <v>209</v>
      </c>
      <c r="B125" s="7"/>
      <c r="C125" s="7"/>
      <c r="D125" s="8">
        <f t="shared" si="1"/>
        <v>0</v>
      </c>
    </row>
    <row r="126" spans="1:4" ht="18" hidden="1" x14ac:dyDescent="0.3">
      <c r="A126" s="63" t="s">
        <v>210</v>
      </c>
      <c r="B126" s="7"/>
      <c r="C126" s="7"/>
      <c r="D126" s="8">
        <f t="shared" si="1"/>
        <v>0</v>
      </c>
    </row>
    <row r="127" spans="1:4" ht="18" hidden="1" x14ac:dyDescent="0.3">
      <c r="A127" s="63" t="s">
        <v>211</v>
      </c>
      <c r="B127" s="7"/>
      <c r="C127" s="7"/>
      <c r="D127" s="8">
        <f t="shared" si="1"/>
        <v>0</v>
      </c>
    </row>
    <row r="128" spans="1:4" ht="18" hidden="1" x14ac:dyDescent="0.3">
      <c r="A128" s="63" t="s">
        <v>284</v>
      </c>
      <c r="B128" s="7"/>
      <c r="C128" s="7"/>
      <c r="D128" s="8">
        <f t="shared" si="1"/>
        <v>0</v>
      </c>
    </row>
    <row r="129" spans="1:4" ht="18" hidden="1" x14ac:dyDescent="0.3">
      <c r="A129" s="63" t="s">
        <v>102</v>
      </c>
      <c r="B129" s="12"/>
      <c r="C129" s="12"/>
      <c r="D129" s="8">
        <f t="shared" si="1"/>
        <v>0</v>
      </c>
    </row>
    <row r="130" spans="1:4" ht="18" hidden="1" x14ac:dyDescent="0.3">
      <c r="A130" s="63" t="s">
        <v>103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104</v>
      </c>
      <c r="B131" s="12"/>
      <c r="C131" s="12"/>
      <c r="D131" s="8">
        <f t="shared" si="1"/>
        <v>0</v>
      </c>
    </row>
    <row r="132" spans="1:4" ht="18" hidden="1" x14ac:dyDescent="0.3">
      <c r="A132" s="63" t="s">
        <v>105</v>
      </c>
      <c r="B132" s="12"/>
      <c r="C132" s="12"/>
      <c r="D132" s="8">
        <f t="shared" ref="D132:D195" si="2">B132*C132</f>
        <v>0</v>
      </c>
    </row>
    <row r="133" spans="1:4" ht="18" hidden="1" x14ac:dyDescent="0.3">
      <c r="A133" s="63" t="s">
        <v>106</v>
      </c>
      <c r="B133" s="12"/>
      <c r="C133" s="12"/>
      <c r="D133" s="8">
        <f t="shared" si="2"/>
        <v>0</v>
      </c>
    </row>
    <row r="134" spans="1:4" ht="18" hidden="1" x14ac:dyDescent="0.3">
      <c r="A134" s="63" t="s">
        <v>107</v>
      </c>
      <c r="B134" s="12"/>
      <c r="C134" s="12"/>
      <c r="D134" s="8">
        <f t="shared" si="2"/>
        <v>0</v>
      </c>
    </row>
    <row r="135" spans="1:4" ht="18" hidden="1" x14ac:dyDescent="0.3">
      <c r="A135" s="63" t="s">
        <v>130</v>
      </c>
      <c r="B135" s="12"/>
      <c r="C135" s="12"/>
      <c r="D135" s="8">
        <f t="shared" si="2"/>
        <v>0</v>
      </c>
    </row>
    <row r="136" spans="1:4" ht="18" hidden="1" x14ac:dyDescent="0.3">
      <c r="A136" s="63" t="s">
        <v>108</v>
      </c>
      <c r="B136" s="12"/>
      <c r="C136" s="12"/>
      <c r="D136" s="8">
        <f t="shared" si="2"/>
        <v>0</v>
      </c>
    </row>
    <row r="137" spans="1:4" ht="18" hidden="1" x14ac:dyDescent="0.3">
      <c r="A137" s="63" t="s">
        <v>109</v>
      </c>
      <c r="B137" s="12"/>
      <c r="C137" s="12"/>
      <c r="D137" s="8">
        <f t="shared" si="2"/>
        <v>0</v>
      </c>
    </row>
    <row r="138" spans="1:4" ht="18" hidden="1" x14ac:dyDescent="0.3">
      <c r="A138" s="63" t="s">
        <v>110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157</v>
      </c>
      <c r="B139" s="7"/>
      <c r="C139" s="7"/>
      <c r="D139" s="8">
        <f t="shared" si="2"/>
        <v>0</v>
      </c>
    </row>
    <row r="140" spans="1:4" ht="18" hidden="1" x14ac:dyDescent="0.3">
      <c r="A140" s="63" t="s">
        <v>158</v>
      </c>
      <c r="B140" s="7"/>
      <c r="C140" s="7"/>
      <c r="D140" s="8">
        <f t="shared" si="2"/>
        <v>0</v>
      </c>
    </row>
    <row r="141" spans="1:4" ht="18" hidden="1" x14ac:dyDescent="0.3">
      <c r="A141" s="63" t="s">
        <v>159</v>
      </c>
      <c r="B141" s="7"/>
      <c r="C141" s="7"/>
      <c r="D141" s="8">
        <f t="shared" si="2"/>
        <v>0</v>
      </c>
    </row>
    <row r="142" spans="1:4" ht="18" hidden="1" x14ac:dyDescent="0.3">
      <c r="A142" s="14" t="s">
        <v>160</v>
      </c>
      <c r="B142" s="7"/>
      <c r="C142" s="7"/>
      <c r="D142" s="8">
        <f t="shared" si="2"/>
        <v>0</v>
      </c>
    </row>
    <row r="143" spans="1:4" ht="18" hidden="1" x14ac:dyDescent="0.3">
      <c r="A143" s="63" t="s">
        <v>161</v>
      </c>
      <c r="B143" s="7"/>
      <c r="C143" s="7"/>
      <c r="D143" s="8">
        <f t="shared" si="2"/>
        <v>0</v>
      </c>
    </row>
    <row r="144" spans="1:4" ht="18" hidden="1" x14ac:dyDescent="0.3">
      <c r="A144" s="63" t="s">
        <v>162</v>
      </c>
      <c r="B144" s="7"/>
      <c r="C144" s="7"/>
      <c r="D144" s="8">
        <f t="shared" si="2"/>
        <v>0</v>
      </c>
    </row>
    <row r="145" spans="1:4" ht="18" hidden="1" x14ac:dyDescent="0.3">
      <c r="A145" s="63" t="s">
        <v>279</v>
      </c>
      <c r="B145" s="7"/>
      <c r="C145" s="7"/>
      <c r="D145" s="8">
        <f t="shared" si="2"/>
        <v>0</v>
      </c>
    </row>
    <row r="146" spans="1:4" ht="18" hidden="1" x14ac:dyDescent="0.3">
      <c r="A146" s="63" t="s">
        <v>280</v>
      </c>
      <c r="B146" s="7"/>
      <c r="C146" s="7"/>
      <c r="D146" s="8">
        <f t="shared" si="2"/>
        <v>0</v>
      </c>
    </row>
    <row r="147" spans="1:4" ht="18" hidden="1" x14ac:dyDescent="0.3">
      <c r="A147" s="63" t="s">
        <v>281</v>
      </c>
      <c r="B147" s="7"/>
      <c r="C147" s="7"/>
      <c r="D147" s="8">
        <f t="shared" si="2"/>
        <v>0</v>
      </c>
    </row>
    <row r="148" spans="1:4" ht="18" x14ac:dyDescent="0.3">
      <c r="A148" s="63" t="s">
        <v>282</v>
      </c>
      <c r="B148" s="7">
        <v>4</v>
      </c>
      <c r="C148" s="7">
        <v>6000</v>
      </c>
      <c r="D148" s="8">
        <f t="shared" si="2"/>
        <v>24000</v>
      </c>
    </row>
    <row r="149" spans="1:4" ht="18" hidden="1" x14ac:dyDescent="0.3">
      <c r="A149" s="63" t="s">
        <v>111</v>
      </c>
      <c r="B149" s="12"/>
      <c r="C149" s="12"/>
      <c r="D149" s="8">
        <f t="shared" si="2"/>
        <v>0</v>
      </c>
    </row>
    <row r="150" spans="1:4" ht="18" hidden="1" x14ac:dyDescent="0.3">
      <c r="A150" s="63" t="s">
        <v>112</v>
      </c>
      <c r="B150" s="12"/>
      <c r="C150" s="12"/>
      <c r="D150" s="8">
        <f t="shared" si="2"/>
        <v>0</v>
      </c>
    </row>
    <row r="151" spans="1:4" ht="18" hidden="1" x14ac:dyDescent="0.3">
      <c r="A151" s="63" t="s">
        <v>131</v>
      </c>
      <c r="B151" s="12"/>
      <c r="C151" s="12"/>
      <c r="D151" s="8">
        <f t="shared" si="2"/>
        <v>0</v>
      </c>
    </row>
    <row r="152" spans="1:4" ht="18" x14ac:dyDescent="0.3">
      <c r="A152" s="67" t="s">
        <v>52</v>
      </c>
      <c r="B152" s="7">
        <f>110+20+8</f>
        <v>138</v>
      </c>
      <c r="C152" s="7">
        <v>55000</v>
      </c>
      <c r="D152" s="8">
        <f t="shared" si="2"/>
        <v>7590000</v>
      </c>
    </row>
    <row r="153" spans="1:4" ht="18" hidden="1" x14ac:dyDescent="0.3">
      <c r="A153" s="68" t="s">
        <v>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192</v>
      </c>
      <c r="B154" s="7"/>
      <c r="C154" s="7"/>
      <c r="D154" s="8">
        <f t="shared" si="2"/>
        <v>0</v>
      </c>
    </row>
    <row r="155" spans="1:4" ht="18" hidden="1" x14ac:dyDescent="0.3">
      <c r="A155" s="60" t="s">
        <v>193</v>
      </c>
      <c r="B155" s="7"/>
      <c r="C155" s="7"/>
      <c r="D155" s="8">
        <f t="shared" si="2"/>
        <v>0</v>
      </c>
    </row>
    <row r="156" spans="1:4" ht="18" hidden="1" x14ac:dyDescent="0.3">
      <c r="A156" s="63" t="s">
        <v>194</v>
      </c>
      <c r="B156" s="7"/>
      <c r="C156" s="7"/>
      <c r="D156" s="8">
        <f t="shared" si="2"/>
        <v>0</v>
      </c>
    </row>
    <row r="157" spans="1:4" ht="18" hidden="1" x14ac:dyDescent="0.3">
      <c r="A157" s="63" t="s">
        <v>195</v>
      </c>
      <c r="B157" s="7"/>
      <c r="C157" s="7"/>
      <c r="D157" s="8">
        <f t="shared" si="2"/>
        <v>0</v>
      </c>
    </row>
    <row r="158" spans="1:4" ht="18" hidden="1" x14ac:dyDescent="0.3">
      <c r="A158" s="63" t="s">
        <v>196</v>
      </c>
      <c r="B158" s="7"/>
      <c r="C158" s="7"/>
      <c r="D158" s="8">
        <f t="shared" si="2"/>
        <v>0</v>
      </c>
    </row>
    <row r="159" spans="1:4" ht="18" hidden="1" x14ac:dyDescent="0.3">
      <c r="A159" s="62" t="s">
        <v>197</v>
      </c>
      <c r="B159" s="7"/>
      <c r="C159" s="7"/>
      <c r="D159" s="8">
        <f t="shared" si="2"/>
        <v>0</v>
      </c>
    </row>
    <row r="160" spans="1:4" ht="18" hidden="1" x14ac:dyDescent="0.3">
      <c r="A160" s="63" t="s">
        <v>61</v>
      </c>
      <c r="B160" s="7"/>
      <c r="C160" s="7"/>
      <c r="D160" s="8">
        <f t="shared" si="2"/>
        <v>0</v>
      </c>
    </row>
    <row r="161" spans="1:4" ht="18" hidden="1" x14ac:dyDescent="0.3">
      <c r="A161" s="69" t="s">
        <v>62</v>
      </c>
      <c r="B161" s="19"/>
      <c r="C161" s="19"/>
      <c r="D161" s="8">
        <f t="shared" si="2"/>
        <v>0</v>
      </c>
    </row>
    <row r="162" spans="1:4" ht="18" hidden="1" x14ac:dyDescent="0.3">
      <c r="A162" s="63" t="s">
        <v>86</v>
      </c>
      <c r="B162" s="7"/>
      <c r="C162" s="7"/>
      <c r="D162" s="8">
        <f t="shared" si="2"/>
        <v>0</v>
      </c>
    </row>
    <row r="163" spans="1:4" ht="18" hidden="1" x14ac:dyDescent="0.3">
      <c r="A163" s="63" t="s">
        <v>35</v>
      </c>
      <c r="B163" s="7"/>
      <c r="C163" s="7"/>
      <c r="D163" s="8">
        <f t="shared" si="2"/>
        <v>0</v>
      </c>
    </row>
    <row r="164" spans="1:4" ht="18" hidden="1" x14ac:dyDescent="0.3">
      <c r="A164" s="60" t="s">
        <v>234</v>
      </c>
      <c r="B164" s="7"/>
      <c r="C164" s="7"/>
      <c r="D164" s="8">
        <f t="shared" si="2"/>
        <v>0</v>
      </c>
    </row>
    <row r="165" spans="1:4" ht="18" hidden="1" x14ac:dyDescent="0.3">
      <c r="A165" s="63" t="s">
        <v>235</v>
      </c>
      <c r="B165" s="7"/>
      <c r="C165" s="7"/>
      <c r="D165" s="8">
        <f t="shared" si="2"/>
        <v>0</v>
      </c>
    </row>
    <row r="166" spans="1:4" ht="18" hidden="1" x14ac:dyDescent="0.3">
      <c r="A166" s="63" t="s">
        <v>236</v>
      </c>
      <c r="B166" s="7"/>
      <c r="C166" s="7"/>
      <c r="D166" s="8">
        <f t="shared" si="2"/>
        <v>0</v>
      </c>
    </row>
    <row r="167" spans="1:4" ht="18" x14ac:dyDescent="0.3">
      <c r="A167" s="60" t="s">
        <v>175</v>
      </c>
      <c r="B167" s="7">
        <v>95</v>
      </c>
      <c r="C167" s="7">
        <v>12000</v>
      </c>
      <c r="D167" s="8">
        <f t="shared" si="2"/>
        <v>1140000</v>
      </c>
    </row>
    <row r="168" spans="1:4" ht="18" x14ac:dyDescent="0.3">
      <c r="A168" s="60" t="s">
        <v>176</v>
      </c>
      <c r="B168" s="7">
        <v>890</v>
      </c>
      <c r="C168" s="7">
        <v>30000</v>
      </c>
      <c r="D168" s="8">
        <f t="shared" si="2"/>
        <v>26700000</v>
      </c>
    </row>
    <row r="169" spans="1:4" ht="18" hidden="1" x14ac:dyDescent="0.3">
      <c r="A169" s="63" t="s">
        <v>177</v>
      </c>
      <c r="B169" s="7"/>
      <c r="C169" s="7"/>
      <c r="D169" s="8">
        <f t="shared" si="2"/>
        <v>0</v>
      </c>
    </row>
    <row r="170" spans="1:4" ht="18" x14ac:dyDescent="0.3">
      <c r="A170" s="60" t="s">
        <v>178</v>
      </c>
      <c r="B170" s="7">
        <v>155</v>
      </c>
      <c r="C170" s="7">
        <v>32000</v>
      </c>
      <c r="D170" s="8">
        <f t="shared" si="2"/>
        <v>4960000</v>
      </c>
    </row>
    <row r="171" spans="1:4" ht="18" x14ac:dyDescent="0.3">
      <c r="A171" s="60" t="s">
        <v>179</v>
      </c>
      <c r="B171" s="7">
        <v>14</v>
      </c>
      <c r="C171" s="7">
        <v>25000</v>
      </c>
      <c r="D171" s="8">
        <f t="shared" si="2"/>
        <v>350000</v>
      </c>
    </row>
    <row r="172" spans="1:4" ht="18" hidden="1" x14ac:dyDescent="0.3">
      <c r="A172" s="60" t="s">
        <v>180</v>
      </c>
      <c r="B172" s="7"/>
      <c r="C172" s="7"/>
      <c r="D172" s="8">
        <f t="shared" si="2"/>
        <v>0</v>
      </c>
    </row>
    <row r="173" spans="1:4" ht="18" hidden="1" x14ac:dyDescent="0.3">
      <c r="A173" s="63" t="s">
        <v>181</v>
      </c>
      <c r="B173" s="7"/>
      <c r="C173" s="7"/>
      <c r="D173" s="8">
        <f t="shared" si="2"/>
        <v>0</v>
      </c>
    </row>
    <row r="174" spans="1:4" ht="18" x14ac:dyDescent="0.3">
      <c r="A174" s="60" t="s">
        <v>36</v>
      </c>
      <c r="B174" s="7">
        <v>1</v>
      </c>
      <c r="C174" s="7">
        <v>21000</v>
      </c>
      <c r="D174" s="8">
        <f t="shared" si="2"/>
        <v>21000</v>
      </c>
    </row>
    <row r="175" spans="1:4" ht="18" hidden="1" x14ac:dyDescent="0.3">
      <c r="A175" s="63" t="s">
        <v>54</v>
      </c>
      <c r="B175" s="7"/>
      <c r="C175" s="7"/>
      <c r="D175" s="8">
        <f t="shared" si="2"/>
        <v>0</v>
      </c>
    </row>
    <row r="176" spans="1:4" ht="18" hidden="1" x14ac:dyDescent="0.3">
      <c r="A176" s="17" t="s">
        <v>55</v>
      </c>
      <c r="B176" s="7"/>
      <c r="C176" s="7"/>
      <c r="D176" s="8">
        <f t="shared" si="2"/>
        <v>0</v>
      </c>
    </row>
    <row r="177" spans="1:4" ht="18" hidden="1" x14ac:dyDescent="0.3">
      <c r="A177" s="63" t="s">
        <v>56</v>
      </c>
      <c r="B177" s="7"/>
      <c r="C177" s="7"/>
      <c r="D177" s="8">
        <f t="shared" si="2"/>
        <v>0</v>
      </c>
    </row>
    <row r="178" spans="1:4" ht="18" hidden="1" x14ac:dyDescent="0.3">
      <c r="A178" s="63" t="s">
        <v>66</v>
      </c>
      <c r="B178" s="7"/>
      <c r="C178" s="7"/>
      <c r="D178" s="8">
        <f t="shared" si="2"/>
        <v>0</v>
      </c>
    </row>
    <row r="179" spans="1:4" ht="18" x14ac:dyDescent="0.3">
      <c r="A179" s="60" t="s">
        <v>67</v>
      </c>
      <c r="B179" s="7">
        <v>470</v>
      </c>
      <c r="C179" s="7">
        <v>26000</v>
      </c>
      <c r="D179" s="8">
        <f t="shared" si="2"/>
        <v>12220000</v>
      </c>
    </row>
    <row r="180" spans="1:4" ht="18" hidden="1" x14ac:dyDescent="0.3">
      <c r="A180" s="63" t="s">
        <v>68</v>
      </c>
      <c r="B180" s="7"/>
      <c r="C180" s="7"/>
      <c r="D180" s="8">
        <f t="shared" si="2"/>
        <v>0</v>
      </c>
    </row>
    <row r="181" spans="1:4" ht="18" hidden="1" x14ac:dyDescent="0.3">
      <c r="A181" s="63" t="s">
        <v>69</v>
      </c>
      <c r="B181" s="7"/>
      <c r="C181" s="7"/>
      <c r="D181" s="8">
        <f t="shared" si="2"/>
        <v>0</v>
      </c>
    </row>
    <row r="182" spans="1:4" ht="18" x14ac:dyDescent="0.3">
      <c r="A182" s="63" t="s">
        <v>142</v>
      </c>
      <c r="B182" s="7">
        <f>20+100+300+150</f>
        <v>570</v>
      </c>
      <c r="C182" s="7">
        <v>27000</v>
      </c>
      <c r="D182" s="8">
        <f t="shared" si="2"/>
        <v>15390000</v>
      </c>
    </row>
    <row r="183" spans="1:4" ht="18" x14ac:dyDescent="0.3">
      <c r="A183" s="73" t="s">
        <v>143</v>
      </c>
      <c r="B183" s="7">
        <f>30+10</f>
        <v>40</v>
      </c>
      <c r="C183" s="7">
        <v>20000</v>
      </c>
      <c r="D183" s="8">
        <f t="shared" si="2"/>
        <v>800000</v>
      </c>
    </row>
    <row r="184" spans="1:4" ht="18" hidden="1" x14ac:dyDescent="0.3">
      <c r="A184" s="73" t="s">
        <v>144</v>
      </c>
      <c r="B184" s="7"/>
      <c r="C184" s="7"/>
      <c r="D184" s="8">
        <f t="shared" si="2"/>
        <v>0</v>
      </c>
    </row>
    <row r="185" spans="1:4" ht="18" x14ac:dyDescent="0.3">
      <c r="A185" s="63" t="s">
        <v>212</v>
      </c>
      <c r="B185" s="7">
        <v>3</v>
      </c>
      <c r="C185" s="7">
        <v>25000</v>
      </c>
      <c r="D185" s="8">
        <f t="shared" si="2"/>
        <v>75000</v>
      </c>
    </row>
    <row r="186" spans="1:4" ht="18" hidden="1" x14ac:dyDescent="0.3">
      <c r="A186" s="61" t="s">
        <v>213</v>
      </c>
      <c r="B186" s="7"/>
      <c r="C186" s="7"/>
      <c r="D186" s="8">
        <f t="shared" si="2"/>
        <v>0</v>
      </c>
    </row>
    <row r="187" spans="1:4" ht="18" hidden="1" x14ac:dyDescent="0.3">
      <c r="A187" s="63" t="s">
        <v>214</v>
      </c>
      <c r="B187" s="7"/>
      <c r="C187" s="7"/>
      <c r="D187" s="8">
        <f t="shared" si="2"/>
        <v>0</v>
      </c>
    </row>
    <row r="188" spans="1:4" ht="18" hidden="1" x14ac:dyDescent="0.3">
      <c r="A188" s="61" t="s">
        <v>215</v>
      </c>
      <c r="B188" s="7"/>
      <c r="C188" s="7"/>
      <c r="D188" s="8">
        <f t="shared" si="2"/>
        <v>0</v>
      </c>
    </row>
    <row r="189" spans="1:4" ht="18" x14ac:dyDescent="0.3">
      <c r="A189" s="63" t="s">
        <v>182</v>
      </c>
      <c r="B189" s="7">
        <f>8+10</f>
        <v>18</v>
      </c>
      <c r="C189" s="7">
        <v>17000</v>
      </c>
      <c r="D189" s="8">
        <f t="shared" si="2"/>
        <v>306000</v>
      </c>
    </row>
    <row r="190" spans="1:4" ht="18" hidden="1" x14ac:dyDescent="0.3">
      <c r="A190" s="63" t="s">
        <v>183</v>
      </c>
      <c r="B190" s="7"/>
      <c r="C190" s="7"/>
      <c r="D190" s="8">
        <f t="shared" si="2"/>
        <v>0</v>
      </c>
    </row>
    <row r="191" spans="1:4" ht="18" hidden="1" x14ac:dyDescent="0.3">
      <c r="A191" s="63" t="s">
        <v>184</v>
      </c>
      <c r="B191" s="7"/>
      <c r="C191" s="7"/>
      <c r="D191" s="8">
        <f t="shared" si="2"/>
        <v>0</v>
      </c>
    </row>
    <row r="192" spans="1:4" ht="18" hidden="1" x14ac:dyDescent="0.3">
      <c r="A192" s="63" t="s">
        <v>185</v>
      </c>
      <c r="B192" s="7"/>
      <c r="C192" s="7"/>
      <c r="D192" s="8">
        <f t="shared" si="2"/>
        <v>0</v>
      </c>
    </row>
    <row r="193" spans="1:4" ht="18" hidden="1" x14ac:dyDescent="0.3">
      <c r="A193" s="63" t="s">
        <v>38</v>
      </c>
      <c r="B193" s="7"/>
      <c r="C193" s="7"/>
      <c r="D193" s="8">
        <f t="shared" si="2"/>
        <v>0</v>
      </c>
    </row>
    <row r="194" spans="1:4" ht="18" hidden="1" x14ac:dyDescent="0.3">
      <c r="A194" s="66" t="s">
        <v>39</v>
      </c>
      <c r="B194" s="7"/>
      <c r="C194" s="7"/>
      <c r="D194" s="8">
        <f t="shared" si="2"/>
        <v>0</v>
      </c>
    </row>
    <row r="195" spans="1:4" ht="18" x14ac:dyDescent="0.3">
      <c r="A195" s="63" t="s">
        <v>40</v>
      </c>
      <c r="B195" s="7">
        <f>20+200</f>
        <v>220</v>
      </c>
      <c r="C195" s="7">
        <v>13000</v>
      </c>
      <c r="D195" s="8">
        <f t="shared" si="2"/>
        <v>2860000</v>
      </c>
    </row>
    <row r="196" spans="1:4" ht="18" hidden="1" x14ac:dyDescent="0.3">
      <c r="A196" s="63" t="s">
        <v>41</v>
      </c>
      <c r="B196" s="7"/>
      <c r="C196" s="7"/>
      <c r="D196" s="8">
        <f t="shared" ref="D196:D259" si="3">B196*C196</f>
        <v>0</v>
      </c>
    </row>
    <row r="197" spans="1:4" ht="18" x14ac:dyDescent="0.3">
      <c r="A197" s="63" t="s">
        <v>42</v>
      </c>
      <c r="B197" s="7">
        <v>125</v>
      </c>
      <c r="C197" s="7">
        <v>17000</v>
      </c>
      <c r="D197" s="8">
        <f t="shared" si="3"/>
        <v>2125000</v>
      </c>
    </row>
    <row r="198" spans="1:4" ht="18" hidden="1" x14ac:dyDescent="0.3">
      <c r="A198" s="63" t="s">
        <v>43</v>
      </c>
      <c r="B198" s="7"/>
      <c r="C198" s="7"/>
      <c r="D198" s="8">
        <f t="shared" si="3"/>
        <v>0</v>
      </c>
    </row>
    <row r="199" spans="1:4" ht="18" hidden="1" x14ac:dyDescent="0.3">
      <c r="A199" s="63" t="s">
        <v>44</v>
      </c>
      <c r="B199" s="7"/>
      <c r="C199" s="7"/>
      <c r="D199" s="8">
        <f t="shared" si="3"/>
        <v>0</v>
      </c>
    </row>
    <row r="200" spans="1:4" ht="18" hidden="1" x14ac:dyDescent="0.3">
      <c r="A200" s="65" t="s">
        <v>132</v>
      </c>
      <c r="B200" s="7"/>
      <c r="C200" s="7"/>
      <c r="D200" s="8">
        <f t="shared" si="3"/>
        <v>0</v>
      </c>
    </row>
    <row r="201" spans="1:4" ht="18" hidden="1" x14ac:dyDescent="0.3">
      <c r="A201" s="65" t="s">
        <v>133</v>
      </c>
      <c r="B201" s="7"/>
      <c r="C201" s="7"/>
      <c r="D201" s="8">
        <f t="shared" si="3"/>
        <v>0</v>
      </c>
    </row>
    <row r="202" spans="1:4" ht="18" hidden="1" x14ac:dyDescent="0.3">
      <c r="A202" s="65" t="s">
        <v>134</v>
      </c>
      <c r="B202" s="7"/>
      <c r="C202" s="7"/>
      <c r="D202" s="8">
        <f t="shared" si="3"/>
        <v>0</v>
      </c>
    </row>
    <row r="203" spans="1:4" ht="18" hidden="1" x14ac:dyDescent="0.3">
      <c r="A203" s="63" t="s">
        <v>135</v>
      </c>
      <c r="B203" s="7"/>
      <c r="C203" s="7"/>
      <c r="D203" s="8">
        <f t="shared" si="3"/>
        <v>0</v>
      </c>
    </row>
    <row r="204" spans="1:4" ht="18" hidden="1" x14ac:dyDescent="0.3">
      <c r="A204" s="65" t="s">
        <v>136</v>
      </c>
      <c r="B204" s="7"/>
      <c r="C204" s="7"/>
      <c r="D204" s="8">
        <f t="shared" si="3"/>
        <v>0</v>
      </c>
    </row>
    <row r="205" spans="1:4" ht="18" hidden="1" x14ac:dyDescent="0.3">
      <c r="A205" s="78" t="s">
        <v>198</v>
      </c>
      <c r="B205" s="7"/>
      <c r="C205" s="7"/>
      <c r="D205" s="8">
        <f t="shared" si="3"/>
        <v>0</v>
      </c>
    </row>
    <row r="206" spans="1:4" ht="18" hidden="1" x14ac:dyDescent="0.3">
      <c r="A206" s="61" t="s">
        <v>285</v>
      </c>
      <c r="B206" s="7"/>
      <c r="C206" s="7"/>
      <c r="D206" s="8">
        <f t="shared" si="3"/>
        <v>0</v>
      </c>
    </row>
    <row r="207" spans="1:4" ht="18" hidden="1" x14ac:dyDescent="0.3">
      <c r="A207" s="61" t="s">
        <v>286</v>
      </c>
      <c r="B207" s="7"/>
      <c r="C207" s="7"/>
      <c r="D207" s="8">
        <f t="shared" si="3"/>
        <v>0</v>
      </c>
    </row>
    <row r="208" spans="1:4" ht="18" hidden="1" x14ac:dyDescent="0.3">
      <c r="A208" s="73" t="s">
        <v>87</v>
      </c>
      <c r="B208" s="7"/>
      <c r="C208" s="7"/>
      <c r="D208" s="8">
        <f t="shared" si="3"/>
        <v>0</v>
      </c>
    </row>
    <row r="209" spans="1:4" ht="18" hidden="1" x14ac:dyDescent="0.3">
      <c r="A209" s="63" t="s">
        <v>57</v>
      </c>
      <c r="B209" s="7"/>
      <c r="C209" s="7"/>
      <c r="D209" s="8">
        <f t="shared" si="3"/>
        <v>0</v>
      </c>
    </row>
    <row r="210" spans="1:4" ht="18" hidden="1" x14ac:dyDescent="0.3">
      <c r="A210" s="63" t="s">
        <v>58</v>
      </c>
      <c r="B210" s="7"/>
      <c r="C210" s="7"/>
      <c r="D210" s="8">
        <f t="shared" si="3"/>
        <v>0</v>
      </c>
    </row>
    <row r="211" spans="1:4" ht="18" hidden="1" x14ac:dyDescent="0.3">
      <c r="A211" s="63" t="s">
        <v>88</v>
      </c>
      <c r="B211" s="7"/>
      <c r="C211" s="7"/>
      <c r="D211" s="8">
        <f t="shared" si="3"/>
        <v>0</v>
      </c>
    </row>
    <row r="212" spans="1:4" ht="18" hidden="1" x14ac:dyDescent="0.3">
      <c r="A212" s="63" t="s">
        <v>89</v>
      </c>
      <c r="B212" s="7"/>
      <c r="C212" s="7"/>
      <c r="D212" s="8">
        <f t="shared" si="3"/>
        <v>0</v>
      </c>
    </row>
    <row r="213" spans="1:4" ht="18" hidden="1" x14ac:dyDescent="0.3">
      <c r="A213" s="63" t="s">
        <v>137</v>
      </c>
      <c r="B213" s="12"/>
      <c r="C213" s="12"/>
      <c r="D213" s="8">
        <f t="shared" si="3"/>
        <v>0</v>
      </c>
    </row>
    <row r="214" spans="1:4" ht="18" hidden="1" x14ac:dyDescent="0.3">
      <c r="A214" s="63" t="s">
        <v>216</v>
      </c>
      <c r="B214" s="7"/>
      <c r="C214" s="7"/>
      <c r="D214" s="8">
        <f t="shared" si="3"/>
        <v>0</v>
      </c>
    </row>
    <row r="215" spans="1:4" ht="18" hidden="1" x14ac:dyDescent="0.3">
      <c r="A215" s="61" t="s">
        <v>20</v>
      </c>
      <c r="B215" s="7"/>
      <c r="C215" s="7"/>
      <c r="D215" s="8">
        <f t="shared" si="3"/>
        <v>0</v>
      </c>
    </row>
    <row r="216" spans="1:4" ht="18" x14ac:dyDescent="0.3">
      <c r="A216" s="63" t="s">
        <v>21</v>
      </c>
      <c r="B216" s="7">
        <f>7+30</f>
        <v>37</v>
      </c>
      <c r="C216" s="7">
        <v>29000</v>
      </c>
      <c r="D216" s="8">
        <f t="shared" si="3"/>
        <v>1073000</v>
      </c>
    </row>
    <row r="217" spans="1:4" ht="18" hidden="1" x14ac:dyDescent="0.3">
      <c r="A217" s="63" t="s">
        <v>22</v>
      </c>
      <c r="B217" s="7"/>
      <c r="C217" s="7"/>
      <c r="D217" s="8">
        <f t="shared" si="3"/>
        <v>0</v>
      </c>
    </row>
    <row r="218" spans="1:4" ht="18" hidden="1" x14ac:dyDescent="0.3">
      <c r="A218" s="63" t="s">
        <v>23</v>
      </c>
      <c r="B218" s="7"/>
      <c r="C218" s="7"/>
      <c r="D218" s="8">
        <f t="shared" si="3"/>
        <v>0</v>
      </c>
    </row>
    <row r="219" spans="1:4" ht="18" hidden="1" x14ac:dyDescent="0.3">
      <c r="A219" s="63" t="s">
        <v>24</v>
      </c>
      <c r="B219" s="7"/>
      <c r="C219" s="7"/>
      <c r="D219" s="8">
        <f t="shared" si="3"/>
        <v>0</v>
      </c>
    </row>
    <row r="220" spans="1:4" ht="18" hidden="1" x14ac:dyDescent="0.3">
      <c r="A220" s="63" t="s">
        <v>25</v>
      </c>
      <c r="B220" s="7"/>
      <c r="C220" s="7"/>
      <c r="D220" s="8">
        <f t="shared" si="3"/>
        <v>0</v>
      </c>
    </row>
    <row r="221" spans="1:4" ht="18" hidden="1" x14ac:dyDescent="0.3">
      <c r="A221" s="65" t="s">
        <v>227</v>
      </c>
      <c r="B221" s="7"/>
      <c r="C221" s="7"/>
      <c r="D221" s="8">
        <f t="shared" si="3"/>
        <v>0</v>
      </c>
    </row>
    <row r="222" spans="1:4" ht="18" hidden="1" x14ac:dyDescent="0.3">
      <c r="A222" s="64" t="s">
        <v>228</v>
      </c>
      <c r="B222" s="7"/>
      <c r="C222" s="7"/>
      <c r="D222" s="8">
        <f t="shared" si="3"/>
        <v>0</v>
      </c>
    </row>
    <row r="223" spans="1:4" ht="18" hidden="1" x14ac:dyDescent="0.3">
      <c r="A223" s="64" t="s">
        <v>229</v>
      </c>
      <c r="B223" s="7"/>
      <c r="C223" s="7"/>
      <c r="D223" s="8">
        <f t="shared" si="3"/>
        <v>0</v>
      </c>
    </row>
    <row r="224" spans="1:4" ht="18" x14ac:dyDescent="0.3">
      <c r="A224" s="63" t="s">
        <v>26</v>
      </c>
      <c r="B224" s="7">
        <v>5</v>
      </c>
      <c r="C224" s="7">
        <v>29000</v>
      </c>
      <c r="D224" s="8">
        <f t="shared" si="3"/>
        <v>145000</v>
      </c>
    </row>
    <row r="225" spans="1:4" ht="18" hidden="1" x14ac:dyDescent="0.3">
      <c r="A225" s="63" t="s">
        <v>27</v>
      </c>
      <c r="B225" s="7"/>
      <c r="C225" s="7"/>
      <c r="D225" s="8">
        <f t="shared" si="3"/>
        <v>0</v>
      </c>
    </row>
    <row r="226" spans="1:4" ht="18" hidden="1" x14ac:dyDescent="0.3">
      <c r="A226" s="63" t="s">
        <v>28</v>
      </c>
      <c r="B226" s="7"/>
      <c r="C226" s="7"/>
      <c r="D226" s="8">
        <f t="shared" si="3"/>
        <v>0</v>
      </c>
    </row>
    <row r="227" spans="1:4" ht="18" hidden="1" x14ac:dyDescent="0.3">
      <c r="A227" s="63" t="s">
        <v>29</v>
      </c>
      <c r="B227" s="7"/>
      <c r="C227" s="7"/>
      <c r="D227" s="8">
        <f t="shared" si="3"/>
        <v>0</v>
      </c>
    </row>
    <row r="228" spans="1:4" ht="18" x14ac:dyDescent="0.3">
      <c r="A228" s="63" t="s">
        <v>30</v>
      </c>
      <c r="B228" s="7">
        <f>5+4+8</f>
        <v>17</v>
      </c>
      <c r="C228" s="7">
        <v>26000</v>
      </c>
      <c r="D228" s="8">
        <f t="shared" si="3"/>
        <v>442000</v>
      </c>
    </row>
    <row r="229" spans="1:4" ht="18" hidden="1" x14ac:dyDescent="0.3">
      <c r="A229" s="63" t="s">
        <v>31</v>
      </c>
      <c r="B229" s="7"/>
      <c r="C229" s="7"/>
      <c r="D229" s="8">
        <f t="shared" si="3"/>
        <v>0</v>
      </c>
    </row>
    <row r="230" spans="1:4" ht="18" hidden="1" x14ac:dyDescent="0.3">
      <c r="A230" s="63" t="s">
        <v>32</v>
      </c>
      <c r="B230" s="7"/>
      <c r="C230" s="7"/>
      <c r="D230" s="8">
        <f t="shared" si="3"/>
        <v>0</v>
      </c>
    </row>
    <row r="231" spans="1:4" ht="18" x14ac:dyDescent="0.3">
      <c r="A231" s="63" t="s">
        <v>90</v>
      </c>
      <c r="B231" s="12">
        <v>0.5</v>
      </c>
      <c r="C231" s="7">
        <v>60000</v>
      </c>
      <c r="D231" s="8">
        <f t="shared" si="3"/>
        <v>30000</v>
      </c>
    </row>
    <row r="232" spans="1:4" ht="18" hidden="1" x14ac:dyDescent="0.3">
      <c r="A232" s="74" t="s">
        <v>91</v>
      </c>
      <c r="B232" s="7"/>
      <c r="C232" s="7"/>
      <c r="D232" s="8">
        <f t="shared" si="3"/>
        <v>0</v>
      </c>
    </row>
    <row r="233" spans="1:4" ht="18" hidden="1" x14ac:dyDescent="0.3">
      <c r="A233" s="63" t="s">
        <v>217</v>
      </c>
      <c r="B233" s="7"/>
      <c r="C233" s="7"/>
      <c r="D233" s="8">
        <f t="shared" si="3"/>
        <v>0</v>
      </c>
    </row>
    <row r="234" spans="1:4" ht="18" hidden="1" x14ac:dyDescent="0.3">
      <c r="A234" s="61" t="s">
        <v>230</v>
      </c>
      <c r="B234" s="7"/>
      <c r="C234" s="7"/>
      <c r="D234" s="8">
        <f t="shared" si="3"/>
        <v>0</v>
      </c>
    </row>
    <row r="235" spans="1:4" ht="18" hidden="1" x14ac:dyDescent="0.3">
      <c r="A235" s="63" t="s">
        <v>231</v>
      </c>
      <c r="B235" s="7"/>
      <c r="C235" s="7"/>
      <c r="D235" s="8">
        <f t="shared" si="3"/>
        <v>0</v>
      </c>
    </row>
    <row r="236" spans="1:4" ht="18" hidden="1" x14ac:dyDescent="0.3">
      <c r="A236" s="63" t="s">
        <v>218</v>
      </c>
      <c r="B236" s="7"/>
      <c r="C236" s="7"/>
      <c r="D236" s="8">
        <f t="shared" si="3"/>
        <v>0</v>
      </c>
    </row>
    <row r="237" spans="1:4" ht="18" hidden="1" x14ac:dyDescent="0.3">
      <c r="A237" s="63" t="s">
        <v>118</v>
      </c>
      <c r="B237" s="7"/>
      <c r="C237" s="7"/>
      <c r="D237" s="8">
        <f t="shared" si="3"/>
        <v>0</v>
      </c>
    </row>
    <row r="238" spans="1:4" ht="18" hidden="1" x14ac:dyDescent="0.3">
      <c r="A238" s="63" t="s">
        <v>232</v>
      </c>
      <c r="B238" s="7"/>
      <c r="C238" s="7"/>
      <c r="D238" s="8">
        <f t="shared" si="3"/>
        <v>0</v>
      </c>
    </row>
    <row r="239" spans="1:4" ht="18" x14ac:dyDescent="0.3">
      <c r="A239" s="63" t="s">
        <v>70</v>
      </c>
      <c r="B239" s="7">
        <v>7</v>
      </c>
      <c r="C239" s="7">
        <v>12000</v>
      </c>
      <c r="D239" s="8">
        <f t="shared" si="3"/>
        <v>84000</v>
      </c>
    </row>
    <row r="240" spans="1:4" ht="18" hidden="1" x14ac:dyDescent="0.3">
      <c r="A240" s="63" t="s">
        <v>71</v>
      </c>
      <c r="B240" s="7"/>
      <c r="C240" s="7"/>
      <c r="D240" s="8">
        <f t="shared" si="3"/>
        <v>0</v>
      </c>
    </row>
    <row r="241" spans="1:4" ht="18" hidden="1" x14ac:dyDescent="0.3">
      <c r="A241" s="63" t="s">
        <v>146</v>
      </c>
      <c r="B241" s="7"/>
      <c r="C241" s="7"/>
      <c r="D241" s="8">
        <f t="shared" si="3"/>
        <v>0</v>
      </c>
    </row>
    <row r="242" spans="1:4" ht="18" hidden="1" x14ac:dyDescent="0.3">
      <c r="A242" s="61" t="s">
        <v>287</v>
      </c>
      <c r="B242" s="7"/>
      <c r="C242" s="7"/>
      <c r="D242" s="8">
        <f t="shared" si="3"/>
        <v>0</v>
      </c>
    </row>
    <row r="243" spans="1:4" ht="18" hidden="1" x14ac:dyDescent="0.3">
      <c r="A243" s="60" t="s">
        <v>138</v>
      </c>
      <c r="B243" s="12"/>
      <c r="C243" s="12"/>
      <c r="D243" s="8">
        <f t="shared" si="3"/>
        <v>0</v>
      </c>
    </row>
    <row r="244" spans="1:4" ht="18" hidden="1" x14ac:dyDescent="0.3">
      <c r="A244" s="65" t="s">
        <v>233</v>
      </c>
      <c r="B244" s="7"/>
      <c r="C244" s="7"/>
      <c r="D244" s="8">
        <f t="shared" si="3"/>
        <v>0</v>
      </c>
    </row>
    <row r="245" spans="1:4" ht="18" hidden="1" x14ac:dyDescent="0.3">
      <c r="A245" s="14" t="s">
        <v>100</v>
      </c>
      <c r="B245" s="7"/>
      <c r="C245" s="7"/>
      <c r="D245" s="8">
        <f t="shared" si="3"/>
        <v>0</v>
      </c>
    </row>
    <row r="246" spans="1:4" ht="18" hidden="1" x14ac:dyDescent="0.3">
      <c r="A246" s="14" t="s">
        <v>101</v>
      </c>
      <c r="B246" s="7"/>
      <c r="C246" s="7"/>
      <c r="D246" s="8">
        <f t="shared" si="3"/>
        <v>0</v>
      </c>
    </row>
    <row r="247" spans="1:4" ht="18" hidden="1" x14ac:dyDescent="0.3">
      <c r="A247" s="63" t="s">
        <v>259</v>
      </c>
      <c r="B247" s="7"/>
      <c r="C247" s="7"/>
      <c r="D247" s="8">
        <f t="shared" si="3"/>
        <v>0</v>
      </c>
    </row>
    <row r="248" spans="1:4" ht="18" hidden="1" x14ac:dyDescent="0.3">
      <c r="A248" s="65" t="s">
        <v>260</v>
      </c>
      <c r="B248" s="7"/>
      <c r="C248" s="7"/>
      <c r="D248" s="8">
        <f t="shared" si="3"/>
        <v>0</v>
      </c>
    </row>
    <row r="249" spans="1:4" ht="18" hidden="1" x14ac:dyDescent="0.3">
      <c r="A249" s="63" t="s">
        <v>261</v>
      </c>
      <c r="B249" s="7"/>
      <c r="C249" s="7"/>
      <c r="D249" s="8">
        <f t="shared" si="3"/>
        <v>0</v>
      </c>
    </row>
    <row r="250" spans="1:4" ht="18" hidden="1" x14ac:dyDescent="0.3">
      <c r="A250" s="63" t="s">
        <v>275</v>
      </c>
      <c r="B250" s="7"/>
      <c r="C250" s="7"/>
      <c r="D250" s="8">
        <f t="shared" si="3"/>
        <v>0</v>
      </c>
    </row>
    <row r="251" spans="1:4" ht="18" hidden="1" x14ac:dyDescent="0.3">
      <c r="A251" s="65" t="s">
        <v>92</v>
      </c>
      <c r="B251" s="7"/>
      <c r="C251" s="7"/>
      <c r="D251" s="8">
        <f t="shared" si="3"/>
        <v>0</v>
      </c>
    </row>
    <row r="252" spans="1:4" ht="18" hidden="1" x14ac:dyDescent="0.3">
      <c r="A252" s="63" t="s">
        <v>139</v>
      </c>
      <c r="B252" s="7"/>
      <c r="C252" s="7"/>
      <c r="D252" s="8">
        <f t="shared" si="3"/>
        <v>0</v>
      </c>
    </row>
    <row r="253" spans="1:4" ht="18" hidden="1" x14ac:dyDescent="0.3">
      <c r="A253" s="72" t="s">
        <v>140</v>
      </c>
      <c r="B253" s="7"/>
      <c r="C253" s="7"/>
      <c r="D253" s="8">
        <f t="shared" si="3"/>
        <v>0</v>
      </c>
    </row>
    <row r="254" spans="1:4" ht="18" hidden="1" x14ac:dyDescent="0.3">
      <c r="A254" s="60" t="s">
        <v>93</v>
      </c>
      <c r="B254" s="7"/>
      <c r="C254" s="7"/>
      <c r="D254" s="8">
        <f t="shared" si="3"/>
        <v>0</v>
      </c>
    </row>
    <row r="255" spans="1:4" ht="18" hidden="1" x14ac:dyDescent="0.3">
      <c r="A255" s="65" t="s">
        <v>94</v>
      </c>
      <c r="B255" s="7"/>
      <c r="C255" s="7"/>
      <c r="D255" s="8">
        <f t="shared" si="3"/>
        <v>0</v>
      </c>
    </row>
    <row r="256" spans="1:4" ht="18" hidden="1" x14ac:dyDescent="0.3">
      <c r="A256" s="72" t="s">
        <v>76</v>
      </c>
      <c r="B256" s="7"/>
      <c r="C256" s="7"/>
      <c r="D256" s="8">
        <f t="shared" si="3"/>
        <v>0</v>
      </c>
    </row>
    <row r="257" spans="1:4" ht="18" hidden="1" x14ac:dyDescent="0.3">
      <c r="A257" s="63" t="s">
        <v>219</v>
      </c>
      <c r="B257" s="7"/>
      <c r="C257" s="7"/>
      <c r="D257" s="8">
        <f t="shared" si="3"/>
        <v>0</v>
      </c>
    </row>
    <row r="258" spans="1:4" ht="18" hidden="1" x14ac:dyDescent="0.3">
      <c r="A258" s="65" t="s">
        <v>220</v>
      </c>
      <c r="B258" s="7"/>
      <c r="C258" s="7"/>
      <c r="D258" s="8">
        <f t="shared" si="3"/>
        <v>0</v>
      </c>
    </row>
    <row r="259" spans="1:4" ht="18" hidden="1" x14ac:dyDescent="0.3">
      <c r="A259" s="60" t="s">
        <v>221</v>
      </c>
      <c r="B259" s="7"/>
      <c r="C259" s="7"/>
      <c r="D259" s="8">
        <f t="shared" si="3"/>
        <v>0</v>
      </c>
    </row>
    <row r="260" spans="1:4" ht="18" hidden="1" x14ac:dyDescent="0.3">
      <c r="A260" s="63" t="s">
        <v>288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3" t="s">
        <v>119</v>
      </c>
      <c r="B261" s="7"/>
      <c r="C261" s="7"/>
      <c r="D261" s="8">
        <f t="shared" si="4"/>
        <v>0</v>
      </c>
    </row>
    <row r="262" spans="1:4" ht="18" hidden="1" x14ac:dyDescent="0.3">
      <c r="A262" s="60" t="s">
        <v>141</v>
      </c>
      <c r="B262" s="7"/>
      <c r="C262" s="7"/>
      <c r="D262" s="8">
        <f t="shared" si="4"/>
        <v>0</v>
      </c>
    </row>
    <row r="263" spans="1:4" ht="18" hidden="1" x14ac:dyDescent="0.3">
      <c r="A263" s="60" t="s">
        <v>95</v>
      </c>
      <c r="B263" s="7"/>
      <c r="C263" s="7"/>
      <c r="D263" s="8">
        <f t="shared" si="4"/>
        <v>0</v>
      </c>
    </row>
    <row r="264" spans="1:4" ht="18" hidden="1" x14ac:dyDescent="0.3">
      <c r="A264" s="63" t="s">
        <v>169</v>
      </c>
      <c r="B264" s="7"/>
      <c r="C264" s="7"/>
      <c r="D264" s="8">
        <f t="shared" si="4"/>
        <v>0</v>
      </c>
    </row>
    <row r="265" spans="1:4" ht="18" hidden="1" x14ac:dyDescent="0.3">
      <c r="A265" s="72" t="s">
        <v>77</v>
      </c>
      <c r="B265" s="7"/>
      <c r="C265" s="7"/>
      <c r="D265" s="8">
        <f t="shared" si="4"/>
        <v>0</v>
      </c>
    </row>
    <row r="266" spans="1:4" ht="18" hidden="1" x14ac:dyDescent="0.3">
      <c r="A266" s="22" t="s">
        <v>78</v>
      </c>
      <c r="B266" s="7"/>
      <c r="C266" s="7"/>
      <c r="D266" s="8">
        <f t="shared" si="4"/>
        <v>0</v>
      </c>
    </row>
    <row r="267" spans="1:4" ht="18" hidden="1" x14ac:dyDescent="0.3">
      <c r="A267" s="64" t="s">
        <v>237</v>
      </c>
      <c r="B267" s="7"/>
      <c r="C267" s="7"/>
      <c r="D267" s="8">
        <f t="shared" si="4"/>
        <v>0</v>
      </c>
    </row>
    <row r="268" spans="1:4" ht="18" hidden="1" x14ac:dyDescent="0.3">
      <c r="A268" s="72" t="s">
        <v>79</v>
      </c>
      <c r="B268" s="7"/>
      <c r="C268" s="7"/>
      <c r="D268" s="8">
        <f t="shared" si="4"/>
        <v>0</v>
      </c>
    </row>
    <row r="269" spans="1:4" ht="18" hidden="1" x14ac:dyDescent="0.3">
      <c r="A269" s="63" t="s">
        <v>238</v>
      </c>
      <c r="B269" s="7"/>
      <c r="C269" s="7"/>
      <c r="D269" s="8">
        <f t="shared" si="4"/>
        <v>0</v>
      </c>
    </row>
    <row r="270" spans="1:4" ht="18" hidden="1" x14ac:dyDescent="0.3">
      <c r="A270" s="63" t="s">
        <v>239</v>
      </c>
      <c r="B270" s="7"/>
      <c r="C270" s="7"/>
      <c r="D270" s="8">
        <f t="shared" si="4"/>
        <v>0</v>
      </c>
    </row>
    <row r="271" spans="1:4" ht="18" x14ac:dyDescent="0.3">
      <c r="A271" s="63" t="s">
        <v>240</v>
      </c>
      <c r="B271" s="7">
        <v>6</v>
      </c>
      <c r="C271" s="7">
        <v>28000</v>
      </c>
      <c r="D271" s="8">
        <f t="shared" si="4"/>
        <v>168000</v>
      </c>
    </row>
    <row r="272" spans="1:4" ht="18" hidden="1" x14ac:dyDescent="0.3">
      <c r="A272" s="63" t="s">
        <v>241</v>
      </c>
      <c r="B272" s="7"/>
      <c r="C272" s="7"/>
      <c r="D272" s="8">
        <f t="shared" si="4"/>
        <v>0</v>
      </c>
    </row>
    <row r="273" spans="1:4" ht="18" hidden="1" x14ac:dyDescent="0.3">
      <c r="A273" s="64" t="s">
        <v>242</v>
      </c>
      <c r="B273" s="7"/>
      <c r="C273" s="7"/>
      <c r="D273" s="8">
        <f t="shared" si="4"/>
        <v>0</v>
      </c>
    </row>
    <row r="274" spans="1:4" ht="18" hidden="1" x14ac:dyDescent="0.3">
      <c r="A274" s="63" t="s">
        <v>243</v>
      </c>
      <c r="B274" s="7"/>
      <c r="C274" s="7"/>
      <c r="D274" s="8">
        <f t="shared" si="4"/>
        <v>0</v>
      </c>
    </row>
    <row r="275" spans="1:4" ht="18" hidden="1" x14ac:dyDescent="0.3">
      <c r="A275" s="63" t="s">
        <v>37</v>
      </c>
      <c r="B275" s="7"/>
      <c r="C275" s="7"/>
      <c r="D275" s="8">
        <f t="shared" si="4"/>
        <v>0</v>
      </c>
    </row>
    <row r="276" spans="1:4" ht="18" hidden="1" x14ac:dyDescent="0.3">
      <c r="A276" s="60" t="s">
        <v>170</v>
      </c>
      <c r="B276" s="7"/>
      <c r="C276" s="7"/>
      <c r="D276" s="8">
        <f t="shared" si="4"/>
        <v>0</v>
      </c>
    </row>
    <row r="277" spans="1:4" ht="18" hidden="1" x14ac:dyDescent="0.3">
      <c r="A277" s="63" t="s">
        <v>80</v>
      </c>
      <c r="B277" s="23"/>
      <c r="C277" s="23"/>
      <c r="D277" s="8">
        <f t="shared" si="4"/>
        <v>0</v>
      </c>
    </row>
    <row r="278" spans="1:4" ht="18" hidden="1" x14ac:dyDescent="0.3">
      <c r="A278" s="63" t="s">
        <v>244</v>
      </c>
      <c r="B278" s="7"/>
      <c r="C278" s="7"/>
      <c r="D278" s="8">
        <f t="shared" si="4"/>
        <v>0</v>
      </c>
    </row>
    <row r="279" spans="1:4" ht="18" hidden="1" x14ac:dyDescent="0.3">
      <c r="A279" s="63" t="s">
        <v>171</v>
      </c>
      <c r="B279" s="7"/>
      <c r="C279" s="7"/>
      <c r="D279" s="8">
        <f t="shared" si="4"/>
        <v>0</v>
      </c>
    </row>
    <row r="280" spans="1:4" ht="18" hidden="1" x14ac:dyDescent="0.3">
      <c r="A280" s="64" t="s">
        <v>245</v>
      </c>
      <c r="B280" s="7"/>
      <c r="C280" s="7"/>
      <c r="D280" s="8">
        <f t="shared" si="4"/>
        <v>0</v>
      </c>
    </row>
    <row r="281" spans="1:4" ht="18" hidden="1" x14ac:dyDescent="0.3">
      <c r="A281" s="64" t="s">
        <v>246</v>
      </c>
      <c r="B281" s="7"/>
      <c r="C281" s="7"/>
      <c r="D281" s="8">
        <f t="shared" si="4"/>
        <v>0</v>
      </c>
    </row>
    <row r="282" spans="1:4" ht="18" x14ac:dyDescent="0.3">
      <c r="A282" s="79" t="s">
        <v>247</v>
      </c>
      <c r="B282" s="7">
        <v>4</v>
      </c>
      <c r="C282" s="7">
        <v>30000</v>
      </c>
      <c r="D282" s="8">
        <f t="shared" si="4"/>
        <v>120000</v>
      </c>
    </row>
    <row r="283" spans="1:4" ht="18" hidden="1" x14ac:dyDescent="0.3">
      <c r="A283" s="79" t="s">
        <v>248</v>
      </c>
      <c r="B283" s="7"/>
      <c r="C283" s="7"/>
      <c r="D283" s="8">
        <f t="shared" si="4"/>
        <v>0</v>
      </c>
    </row>
    <row r="284" spans="1:4" ht="18" hidden="1" x14ac:dyDescent="0.3">
      <c r="A284" s="64" t="s">
        <v>249</v>
      </c>
      <c r="B284" s="7"/>
      <c r="C284" s="7"/>
      <c r="D284" s="8">
        <f t="shared" si="4"/>
        <v>0</v>
      </c>
    </row>
    <row r="285" spans="1:4" ht="18" hidden="1" x14ac:dyDescent="0.3">
      <c r="A285" s="79" t="s">
        <v>250</v>
      </c>
      <c r="B285" s="7"/>
      <c r="C285" s="7"/>
      <c r="D285" s="8">
        <f t="shared" si="4"/>
        <v>0</v>
      </c>
    </row>
    <row r="286" spans="1:4" ht="18" hidden="1" x14ac:dyDescent="0.3">
      <c r="A286" s="79" t="s">
        <v>251</v>
      </c>
      <c r="B286" s="7"/>
      <c r="C286" s="7"/>
      <c r="D286" s="8">
        <f t="shared" si="4"/>
        <v>0</v>
      </c>
    </row>
    <row r="287" spans="1:4" ht="18" hidden="1" x14ac:dyDescent="0.3">
      <c r="A287" s="79" t="s">
        <v>252</v>
      </c>
      <c r="B287" s="7"/>
      <c r="C287" s="7"/>
      <c r="D287" s="8">
        <f t="shared" si="4"/>
        <v>0</v>
      </c>
    </row>
    <row r="288" spans="1:4" ht="18" hidden="1" x14ac:dyDescent="0.3">
      <c r="A288" s="63" t="s">
        <v>253</v>
      </c>
      <c r="B288" s="7"/>
      <c r="C288" s="7"/>
      <c r="D288" s="8">
        <f t="shared" si="4"/>
        <v>0</v>
      </c>
    </row>
    <row r="289" spans="1:4" ht="18" hidden="1" x14ac:dyDescent="0.3">
      <c r="A289" s="63" t="s">
        <v>254</v>
      </c>
      <c r="B289" s="7"/>
      <c r="C289" s="7"/>
      <c r="D289" s="8">
        <f t="shared" si="4"/>
        <v>0</v>
      </c>
    </row>
    <row r="290" spans="1:4" ht="18" hidden="1" x14ac:dyDescent="0.3">
      <c r="A290" s="63" t="s">
        <v>255</v>
      </c>
      <c r="B290" s="7"/>
      <c r="C290" s="7"/>
      <c r="D290" s="8">
        <f t="shared" si="4"/>
        <v>0</v>
      </c>
    </row>
    <row r="291" spans="1:4" ht="18" hidden="1" x14ac:dyDescent="0.3">
      <c r="A291" s="63" t="s">
        <v>256</v>
      </c>
      <c r="B291" s="7"/>
      <c r="C291" s="7"/>
      <c r="D291" s="8">
        <f t="shared" si="4"/>
        <v>0</v>
      </c>
    </row>
    <row r="292" spans="1:4" ht="18" hidden="1" x14ac:dyDescent="0.3">
      <c r="A292" s="63" t="s">
        <v>257</v>
      </c>
      <c r="B292" s="7"/>
      <c r="C292" s="7"/>
      <c r="D292" s="8">
        <f t="shared" si="4"/>
        <v>0</v>
      </c>
    </row>
    <row r="293" spans="1:4" ht="18" hidden="1" x14ac:dyDescent="0.3">
      <c r="A293" s="63" t="s">
        <v>258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7255.5</v>
      </c>
      <c r="C294" s="32"/>
      <c r="D294" s="32">
        <f t="shared" si="5"/>
        <v>108511000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H39" sqref="H39"/>
    </sheetView>
  </sheetViews>
  <sheetFormatPr defaultRowHeight="14.4" x14ac:dyDescent="0.3"/>
  <cols>
    <col min="1" max="1" width="41.6640625" customWidth="1"/>
    <col min="3" max="3" width="12.5546875" customWidth="1"/>
    <col min="4" max="4" width="18.33203125" customWidth="1"/>
  </cols>
  <sheetData>
    <row r="1" spans="1:4" x14ac:dyDescent="0.3">
      <c r="A1" s="57" t="s">
        <v>324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297</v>
      </c>
      <c r="D2" s="5" t="s">
        <v>291</v>
      </c>
    </row>
    <row r="3" spans="1:4" ht="18" x14ac:dyDescent="0.3">
      <c r="A3" s="60" t="s">
        <v>303</v>
      </c>
      <c r="B3" s="7">
        <v>60</v>
      </c>
      <c r="C3" s="7">
        <v>7000</v>
      </c>
      <c r="D3" s="8">
        <f>B3*C3</f>
        <v>420000</v>
      </c>
    </row>
    <row r="4" spans="1:4" ht="18" hidden="1" x14ac:dyDescent="0.3">
      <c r="A4" s="61" t="s">
        <v>304</v>
      </c>
      <c r="B4" s="7"/>
      <c r="C4" s="7"/>
      <c r="D4" s="8">
        <f t="shared" ref="D4:D67" si="0">B4*C4</f>
        <v>0</v>
      </c>
    </row>
    <row r="5" spans="1:4" ht="18" hidden="1" x14ac:dyDescent="0.3">
      <c r="A5" s="60" t="s">
        <v>305</v>
      </c>
      <c r="B5" s="7"/>
      <c r="C5" s="7"/>
      <c r="D5" s="8">
        <f t="shared" si="0"/>
        <v>0</v>
      </c>
    </row>
    <row r="6" spans="1:4" ht="18" hidden="1" x14ac:dyDescent="0.3">
      <c r="A6" s="60" t="s">
        <v>306</v>
      </c>
      <c r="B6" s="7"/>
      <c r="C6" s="7"/>
      <c r="D6" s="8">
        <f t="shared" si="0"/>
        <v>0</v>
      </c>
    </row>
    <row r="7" spans="1:4" ht="18" hidden="1" x14ac:dyDescent="0.3">
      <c r="A7" s="60" t="s">
        <v>2</v>
      </c>
      <c r="B7" s="7"/>
      <c r="C7" s="7"/>
      <c r="D7" s="8">
        <f t="shared" si="0"/>
        <v>0</v>
      </c>
    </row>
    <row r="8" spans="1:4" ht="18" hidden="1" x14ac:dyDescent="0.3">
      <c r="A8" s="62" t="s">
        <v>3</v>
      </c>
      <c r="B8" s="7"/>
      <c r="C8" s="7"/>
      <c r="D8" s="8">
        <f t="shared" si="0"/>
        <v>0</v>
      </c>
    </row>
    <row r="9" spans="1:4" ht="18" hidden="1" x14ac:dyDescent="0.3">
      <c r="A9" s="63" t="s">
        <v>4</v>
      </c>
      <c r="B9" s="7"/>
      <c r="C9" s="7"/>
      <c r="D9" s="8">
        <f t="shared" si="0"/>
        <v>0</v>
      </c>
    </row>
    <row r="10" spans="1:4" ht="18" hidden="1" x14ac:dyDescent="0.3">
      <c r="A10" s="60" t="s">
        <v>9</v>
      </c>
      <c r="B10" s="12"/>
      <c r="C10" s="12"/>
      <c r="D10" s="8">
        <f t="shared" si="0"/>
        <v>0</v>
      </c>
    </row>
    <row r="11" spans="1:4" ht="18" hidden="1" x14ac:dyDescent="0.3">
      <c r="A11" s="60" t="s">
        <v>10</v>
      </c>
      <c r="B11" s="12"/>
      <c r="C11" s="12"/>
      <c r="D11" s="8">
        <f t="shared" si="0"/>
        <v>0</v>
      </c>
    </row>
    <row r="12" spans="1:4" ht="18" hidden="1" x14ac:dyDescent="0.3">
      <c r="A12" s="63" t="s">
        <v>11</v>
      </c>
      <c r="B12" s="7"/>
      <c r="C12" s="7"/>
      <c r="D12" s="8">
        <f t="shared" si="0"/>
        <v>0</v>
      </c>
    </row>
    <row r="13" spans="1:4" ht="18" x14ac:dyDescent="0.3">
      <c r="A13" s="63" t="s">
        <v>12</v>
      </c>
      <c r="B13" s="7">
        <v>6</v>
      </c>
      <c r="C13" s="7">
        <v>6000</v>
      </c>
      <c r="D13" s="8">
        <f t="shared" si="0"/>
        <v>36000</v>
      </c>
    </row>
    <row r="14" spans="1:4" ht="18" hidden="1" x14ac:dyDescent="0.3">
      <c r="A14" s="63" t="s">
        <v>13</v>
      </c>
      <c r="B14" s="12"/>
      <c r="C14" s="12"/>
      <c r="D14" s="8">
        <f t="shared" si="0"/>
        <v>0</v>
      </c>
    </row>
    <row r="15" spans="1:4" ht="18" hidden="1" x14ac:dyDescent="0.3">
      <c r="A15" s="64" t="s">
        <v>14</v>
      </c>
      <c r="B15" s="7"/>
      <c r="C15" s="7"/>
      <c r="D15" s="8">
        <f t="shared" si="0"/>
        <v>0</v>
      </c>
    </row>
    <row r="16" spans="1:4" ht="18" hidden="1" x14ac:dyDescent="0.3">
      <c r="A16" s="61" t="s">
        <v>15</v>
      </c>
      <c r="B16" s="7"/>
      <c r="C16" s="7"/>
      <c r="D16" s="8">
        <f t="shared" si="0"/>
        <v>0</v>
      </c>
    </row>
    <row r="17" spans="1:4" ht="18" hidden="1" x14ac:dyDescent="0.3">
      <c r="A17" s="13" t="s">
        <v>16</v>
      </c>
      <c r="B17" s="7"/>
      <c r="C17" s="7"/>
      <c r="D17" s="8">
        <f t="shared" si="0"/>
        <v>0</v>
      </c>
    </row>
    <row r="18" spans="1:4" ht="18" hidden="1" x14ac:dyDescent="0.3">
      <c r="A18" s="63" t="s">
        <v>17</v>
      </c>
      <c r="B18" s="7"/>
      <c r="C18" s="7"/>
      <c r="D18" s="8">
        <f t="shared" si="0"/>
        <v>0</v>
      </c>
    </row>
    <row r="19" spans="1:4" ht="18" hidden="1" x14ac:dyDescent="0.3">
      <c r="A19" s="63" t="s">
        <v>18</v>
      </c>
      <c r="B19" s="7"/>
      <c r="C19" s="7"/>
      <c r="D19" s="8">
        <f t="shared" si="0"/>
        <v>0</v>
      </c>
    </row>
    <row r="20" spans="1:4" ht="18" hidden="1" x14ac:dyDescent="0.3">
      <c r="A20" s="63" t="s">
        <v>19</v>
      </c>
      <c r="B20" s="7"/>
      <c r="C20" s="7"/>
      <c r="D20" s="8">
        <f t="shared" si="0"/>
        <v>0</v>
      </c>
    </row>
    <row r="21" spans="1:4" ht="18" hidden="1" x14ac:dyDescent="0.3">
      <c r="A21" s="61" t="s">
        <v>20</v>
      </c>
      <c r="B21" s="7"/>
      <c r="C21" s="7"/>
      <c r="D21" s="8">
        <f t="shared" si="0"/>
        <v>0</v>
      </c>
    </row>
    <row r="22" spans="1:4" ht="18" x14ac:dyDescent="0.3">
      <c r="A22" s="63" t="s">
        <v>21</v>
      </c>
      <c r="B22" s="7">
        <v>155</v>
      </c>
      <c r="C22" s="7">
        <v>29000</v>
      </c>
      <c r="D22" s="8">
        <f t="shared" si="0"/>
        <v>4495000</v>
      </c>
    </row>
    <row r="23" spans="1:4" ht="18" hidden="1" x14ac:dyDescent="0.3">
      <c r="A23" s="63" t="s">
        <v>22</v>
      </c>
      <c r="B23" s="7"/>
      <c r="C23" s="7"/>
      <c r="D23" s="8">
        <f t="shared" si="0"/>
        <v>0</v>
      </c>
    </row>
    <row r="24" spans="1:4" ht="18" hidden="1" x14ac:dyDescent="0.3">
      <c r="A24" s="63" t="s">
        <v>23</v>
      </c>
      <c r="B24" s="7"/>
      <c r="C24" s="7"/>
      <c r="D24" s="8">
        <f t="shared" si="0"/>
        <v>0</v>
      </c>
    </row>
    <row r="25" spans="1:4" ht="18" hidden="1" x14ac:dyDescent="0.3">
      <c r="A25" s="63" t="s">
        <v>24</v>
      </c>
      <c r="B25" s="7"/>
      <c r="C25" s="7"/>
      <c r="D25" s="8">
        <f t="shared" si="0"/>
        <v>0</v>
      </c>
    </row>
    <row r="26" spans="1:4" ht="18" hidden="1" x14ac:dyDescent="0.3">
      <c r="A26" s="63" t="s">
        <v>25</v>
      </c>
      <c r="B26" s="7"/>
      <c r="C26" s="7"/>
      <c r="D26" s="8">
        <f t="shared" si="0"/>
        <v>0</v>
      </c>
    </row>
    <row r="27" spans="1:4" ht="18" x14ac:dyDescent="0.3">
      <c r="A27" s="63" t="s">
        <v>26</v>
      </c>
      <c r="B27" s="7">
        <v>15</v>
      </c>
      <c r="C27" s="7">
        <v>29000</v>
      </c>
      <c r="D27" s="8">
        <f t="shared" si="0"/>
        <v>435000</v>
      </c>
    </row>
    <row r="28" spans="1:4" ht="18" hidden="1" x14ac:dyDescent="0.3">
      <c r="A28" s="63" t="s">
        <v>27</v>
      </c>
      <c r="B28" s="7"/>
      <c r="C28" s="7"/>
      <c r="D28" s="8">
        <f t="shared" si="0"/>
        <v>0</v>
      </c>
    </row>
    <row r="29" spans="1:4" ht="18" hidden="1" x14ac:dyDescent="0.3">
      <c r="A29" s="63" t="s">
        <v>28</v>
      </c>
      <c r="B29" s="7"/>
      <c r="C29" s="7"/>
      <c r="D29" s="8">
        <f t="shared" si="0"/>
        <v>0</v>
      </c>
    </row>
    <row r="30" spans="1:4" ht="18" hidden="1" x14ac:dyDescent="0.3">
      <c r="A30" s="63" t="s">
        <v>29</v>
      </c>
      <c r="B30" s="7"/>
      <c r="C30" s="7"/>
      <c r="D30" s="8">
        <f t="shared" si="0"/>
        <v>0</v>
      </c>
    </row>
    <row r="31" spans="1:4" ht="18" hidden="1" x14ac:dyDescent="0.3">
      <c r="A31" s="63" t="s">
        <v>30</v>
      </c>
      <c r="B31" s="7"/>
      <c r="C31" s="7"/>
      <c r="D31" s="8">
        <f t="shared" si="0"/>
        <v>0</v>
      </c>
    </row>
    <row r="32" spans="1:4" ht="18" hidden="1" x14ac:dyDescent="0.3">
      <c r="A32" s="63" t="s">
        <v>31</v>
      </c>
      <c r="B32" s="7"/>
      <c r="C32" s="7"/>
      <c r="D32" s="8">
        <f t="shared" si="0"/>
        <v>0</v>
      </c>
    </row>
    <row r="33" spans="1:4" ht="18" hidden="1" x14ac:dyDescent="0.3">
      <c r="A33" s="63" t="s">
        <v>32</v>
      </c>
      <c r="B33" s="7"/>
      <c r="C33" s="7"/>
      <c r="D33" s="8">
        <f t="shared" si="0"/>
        <v>0</v>
      </c>
    </row>
    <row r="34" spans="1:4" ht="18" x14ac:dyDescent="0.3">
      <c r="A34" s="63" t="s">
        <v>33</v>
      </c>
      <c r="B34" s="7">
        <v>10</v>
      </c>
      <c r="C34" s="7">
        <v>12000</v>
      </c>
      <c r="D34" s="8">
        <f t="shared" si="0"/>
        <v>120000</v>
      </c>
    </row>
    <row r="35" spans="1:4" ht="18" hidden="1" x14ac:dyDescent="0.3">
      <c r="A35" s="65" t="s">
        <v>34</v>
      </c>
      <c r="B35" s="7"/>
      <c r="C35" s="7"/>
      <c r="D35" s="8">
        <f t="shared" si="0"/>
        <v>0</v>
      </c>
    </row>
    <row r="36" spans="1:4" ht="18" hidden="1" x14ac:dyDescent="0.3">
      <c r="A36" s="63" t="s">
        <v>35</v>
      </c>
      <c r="B36" s="7"/>
      <c r="C36" s="7"/>
      <c r="D36" s="8">
        <f t="shared" si="0"/>
        <v>0</v>
      </c>
    </row>
    <row r="37" spans="1:4" ht="18" hidden="1" x14ac:dyDescent="0.3">
      <c r="A37" s="60" t="s">
        <v>36</v>
      </c>
      <c r="B37" s="7"/>
      <c r="C37" s="7"/>
      <c r="D37" s="8">
        <f t="shared" si="0"/>
        <v>0</v>
      </c>
    </row>
    <row r="38" spans="1:4" ht="18" hidden="1" x14ac:dyDescent="0.3">
      <c r="A38" s="63" t="s">
        <v>37</v>
      </c>
      <c r="B38" s="7"/>
      <c r="C38" s="7"/>
      <c r="D38" s="8">
        <f t="shared" si="0"/>
        <v>0</v>
      </c>
    </row>
    <row r="39" spans="1:4" ht="18" x14ac:dyDescent="0.3">
      <c r="A39" s="63" t="s">
        <v>38</v>
      </c>
      <c r="B39" s="7">
        <v>30</v>
      </c>
      <c r="C39" s="7">
        <v>27000</v>
      </c>
      <c r="D39" s="8">
        <f t="shared" si="0"/>
        <v>810000</v>
      </c>
    </row>
    <row r="40" spans="1:4" ht="18" hidden="1" x14ac:dyDescent="0.3">
      <c r="A40" s="66" t="s">
        <v>39</v>
      </c>
      <c r="B40" s="7"/>
      <c r="C40" s="7"/>
      <c r="D40" s="8">
        <f t="shared" si="0"/>
        <v>0</v>
      </c>
    </row>
    <row r="41" spans="1:4" ht="18" x14ac:dyDescent="0.3">
      <c r="A41" s="63" t="s">
        <v>40</v>
      </c>
      <c r="B41" s="7">
        <v>530</v>
      </c>
      <c r="C41" s="7">
        <v>12500</v>
      </c>
      <c r="D41" s="8">
        <f t="shared" si="0"/>
        <v>6625000</v>
      </c>
    </row>
    <row r="42" spans="1:4" ht="18" hidden="1" x14ac:dyDescent="0.3">
      <c r="A42" s="63" t="s">
        <v>41</v>
      </c>
      <c r="B42" s="7"/>
      <c r="C42" s="7"/>
      <c r="D42" s="8">
        <f t="shared" si="0"/>
        <v>0</v>
      </c>
    </row>
    <row r="43" spans="1:4" ht="18" x14ac:dyDescent="0.3">
      <c r="A43" s="63" t="s">
        <v>42</v>
      </c>
      <c r="B43" s="7">
        <v>240</v>
      </c>
      <c r="C43" s="7">
        <v>17000</v>
      </c>
      <c r="D43" s="8">
        <f t="shared" si="0"/>
        <v>4080000</v>
      </c>
    </row>
    <row r="44" spans="1:4" ht="18" hidden="1" x14ac:dyDescent="0.3">
      <c r="A44" s="63" t="s">
        <v>43</v>
      </c>
      <c r="B44" s="7"/>
      <c r="C44" s="7"/>
      <c r="D44" s="8">
        <f t="shared" si="0"/>
        <v>0</v>
      </c>
    </row>
    <row r="45" spans="1:4" ht="18" hidden="1" x14ac:dyDescent="0.3">
      <c r="A45" s="63" t="s">
        <v>44</v>
      </c>
      <c r="B45" s="7"/>
      <c r="C45" s="7"/>
      <c r="D45" s="8">
        <f t="shared" si="0"/>
        <v>0</v>
      </c>
    </row>
    <row r="46" spans="1:4" ht="18" hidden="1" x14ac:dyDescent="0.3">
      <c r="A46" s="67" t="s">
        <v>46</v>
      </c>
      <c r="B46" s="7"/>
      <c r="C46" s="7"/>
      <c r="D46" s="8">
        <f t="shared" si="0"/>
        <v>0</v>
      </c>
    </row>
    <row r="47" spans="1:4" ht="18" hidden="1" x14ac:dyDescent="0.3">
      <c r="A47" s="65" t="s">
        <v>47</v>
      </c>
      <c r="B47" s="7"/>
      <c r="C47" s="7"/>
      <c r="D47" s="8">
        <f t="shared" si="0"/>
        <v>0</v>
      </c>
    </row>
    <row r="48" spans="1:4" ht="18" hidden="1" x14ac:dyDescent="0.3">
      <c r="A48" s="61" t="s">
        <v>300</v>
      </c>
      <c r="B48" s="7"/>
      <c r="C48" s="7"/>
      <c r="D48" s="8">
        <f t="shared" si="0"/>
        <v>0</v>
      </c>
    </row>
    <row r="49" spans="1:4" ht="18" hidden="1" x14ac:dyDescent="0.3">
      <c r="A49" s="63" t="s">
        <v>48</v>
      </c>
      <c r="B49" s="7"/>
      <c r="C49" s="7"/>
      <c r="D49" s="8">
        <f t="shared" si="0"/>
        <v>0</v>
      </c>
    </row>
    <row r="50" spans="1:4" ht="18" hidden="1" x14ac:dyDescent="0.3">
      <c r="A50" s="63" t="s">
        <v>49</v>
      </c>
      <c r="B50" s="7"/>
      <c r="C50" s="7"/>
      <c r="D50" s="8">
        <f t="shared" si="0"/>
        <v>0</v>
      </c>
    </row>
    <row r="51" spans="1:4" ht="18" hidden="1" x14ac:dyDescent="0.3">
      <c r="A51" s="63" t="s">
        <v>50</v>
      </c>
      <c r="B51" s="7"/>
      <c r="C51" s="7"/>
      <c r="D51" s="8">
        <f t="shared" si="0"/>
        <v>0</v>
      </c>
    </row>
    <row r="52" spans="1:4" ht="18" hidden="1" x14ac:dyDescent="0.3">
      <c r="A52" s="60" t="s">
        <v>51</v>
      </c>
      <c r="B52" s="7"/>
      <c r="C52" s="7"/>
      <c r="D52" s="8">
        <f t="shared" si="0"/>
        <v>0</v>
      </c>
    </row>
    <row r="53" spans="1:4" ht="18" x14ac:dyDescent="0.3">
      <c r="A53" s="63" t="s">
        <v>52</v>
      </c>
      <c r="B53" s="7">
        <f>60+7+8+20</f>
        <v>95</v>
      </c>
      <c r="C53" s="7">
        <v>5000</v>
      </c>
      <c r="D53" s="8">
        <f t="shared" si="0"/>
        <v>475000</v>
      </c>
    </row>
    <row r="54" spans="1:4" ht="18" hidden="1" x14ac:dyDescent="0.3">
      <c r="A54" s="68" t="s">
        <v>53</v>
      </c>
      <c r="B54" s="7"/>
      <c r="C54" s="7"/>
      <c r="D54" s="8">
        <f t="shared" si="0"/>
        <v>0</v>
      </c>
    </row>
    <row r="55" spans="1:4" ht="18" hidden="1" x14ac:dyDescent="0.3">
      <c r="A55" s="63" t="s">
        <v>54</v>
      </c>
      <c r="B55" s="7"/>
      <c r="C55" s="7"/>
      <c r="D55" s="8">
        <f t="shared" si="0"/>
        <v>0</v>
      </c>
    </row>
    <row r="56" spans="1:4" ht="18" hidden="1" x14ac:dyDescent="0.3">
      <c r="A56" s="17" t="s">
        <v>55</v>
      </c>
      <c r="B56" s="7"/>
      <c r="C56" s="7"/>
      <c r="D56" s="8">
        <f t="shared" si="0"/>
        <v>0</v>
      </c>
    </row>
    <row r="57" spans="1:4" ht="18" hidden="1" x14ac:dyDescent="0.3">
      <c r="A57" s="63" t="s">
        <v>56</v>
      </c>
      <c r="B57" s="7"/>
      <c r="C57" s="7"/>
      <c r="D57" s="8">
        <f t="shared" si="0"/>
        <v>0</v>
      </c>
    </row>
    <row r="58" spans="1:4" ht="18" hidden="1" x14ac:dyDescent="0.3">
      <c r="A58" s="63" t="s">
        <v>57</v>
      </c>
      <c r="B58" s="7"/>
      <c r="C58" s="7"/>
      <c r="D58" s="8">
        <f t="shared" si="0"/>
        <v>0</v>
      </c>
    </row>
    <row r="59" spans="1:4" ht="18" hidden="1" x14ac:dyDescent="0.3">
      <c r="A59" s="67" t="s">
        <v>58</v>
      </c>
      <c r="B59" s="7"/>
      <c r="C59" s="7"/>
      <c r="D59" s="8">
        <f t="shared" si="0"/>
        <v>0</v>
      </c>
    </row>
    <row r="60" spans="1:4" ht="18" hidden="1" x14ac:dyDescent="0.3">
      <c r="A60" s="60" t="s">
        <v>59</v>
      </c>
      <c r="B60" s="7"/>
      <c r="C60" s="7"/>
      <c r="D60" s="8">
        <f t="shared" si="0"/>
        <v>0</v>
      </c>
    </row>
    <row r="61" spans="1:4" ht="18" hidden="1" x14ac:dyDescent="0.3">
      <c r="A61" s="60" t="s">
        <v>60</v>
      </c>
      <c r="B61" s="7"/>
      <c r="C61" s="7"/>
      <c r="D61" s="8">
        <f t="shared" si="0"/>
        <v>0</v>
      </c>
    </row>
    <row r="62" spans="1:4" ht="18" hidden="1" x14ac:dyDescent="0.3">
      <c r="A62" s="63" t="s">
        <v>61</v>
      </c>
      <c r="B62" s="7"/>
      <c r="C62" s="7"/>
      <c r="D62" s="8">
        <f t="shared" si="0"/>
        <v>0</v>
      </c>
    </row>
    <row r="63" spans="1:4" ht="18" hidden="1" x14ac:dyDescent="0.3">
      <c r="A63" s="69" t="s">
        <v>62</v>
      </c>
      <c r="B63" s="19"/>
      <c r="C63" s="19"/>
      <c r="D63" s="8">
        <f t="shared" si="0"/>
        <v>0</v>
      </c>
    </row>
    <row r="64" spans="1:4" ht="18" hidden="1" x14ac:dyDescent="0.3">
      <c r="A64" s="63" t="s">
        <v>63</v>
      </c>
      <c r="B64" s="7"/>
      <c r="C64" s="7"/>
      <c r="D64" s="8">
        <f t="shared" si="0"/>
        <v>0</v>
      </c>
    </row>
    <row r="65" spans="1:4" ht="18" hidden="1" x14ac:dyDescent="0.3">
      <c r="A65" s="60" t="s">
        <v>64</v>
      </c>
      <c r="B65" s="7"/>
      <c r="C65" s="7"/>
      <c r="D65" s="8">
        <f t="shared" si="0"/>
        <v>0</v>
      </c>
    </row>
    <row r="66" spans="1:4" ht="18" hidden="1" x14ac:dyDescent="0.3">
      <c r="A66" s="60" t="s">
        <v>65</v>
      </c>
      <c r="B66" s="7"/>
      <c r="C66" s="7"/>
      <c r="D66" s="8">
        <f t="shared" si="0"/>
        <v>0</v>
      </c>
    </row>
    <row r="67" spans="1:4" ht="18" hidden="1" x14ac:dyDescent="0.3">
      <c r="A67" s="63" t="s">
        <v>66</v>
      </c>
      <c r="B67" s="7"/>
      <c r="C67" s="7"/>
      <c r="D67" s="8">
        <f t="shared" si="0"/>
        <v>0</v>
      </c>
    </row>
    <row r="68" spans="1:4" ht="18" x14ac:dyDescent="0.3">
      <c r="A68" s="60" t="s">
        <v>67</v>
      </c>
      <c r="B68" s="7">
        <f>300+85+130</f>
        <v>515</v>
      </c>
      <c r="C68" s="7">
        <v>26000</v>
      </c>
      <c r="D68" s="8">
        <f t="shared" ref="D68:D131" si="1">B68*C68</f>
        <v>13390000</v>
      </c>
    </row>
    <row r="69" spans="1:4" ht="18" hidden="1" x14ac:dyDescent="0.3">
      <c r="A69" s="63" t="s">
        <v>68</v>
      </c>
      <c r="B69" s="7"/>
      <c r="C69" s="7"/>
      <c r="D69" s="8">
        <f t="shared" si="1"/>
        <v>0</v>
      </c>
    </row>
    <row r="70" spans="1:4" ht="18" hidden="1" x14ac:dyDescent="0.3">
      <c r="A70" s="63" t="s">
        <v>69</v>
      </c>
      <c r="B70" s="7"/>
      <c r="C70" s="7"/>
      <c r="D70" s="8">
        <f t="shared" si="1"/>
        <v>0</v>
      </c>
    </row>
    <row r="71" spans="1:4" ht="18" hidden="1" x14ac:dyDescent="0.3">
      <c r="A71" s="63" t="s">
        <v>70</v>
      </c>
      <c r="B71" s="7"/>
      <c r="C71" s="7"/>
      <c r="D71" s="8">
        <f t="shared" si="1"/>
        <v>0</v>
      </c>
    </row>
    <row r="72" spans="1:4" ht="18" hidden="1" x14ac:dyDescent="0.3">
      <c r="A72" s="63" t="s">
        <v>71</v>
      </c>
      <c r="B72" s="7"/>
      <c r="C72" s="7"/>
      <c r="D72" s="8">
        <f t="shared" si="1"/>
        <v>0</v>
      </c>
    </row>
    <row r="73" spans="1:4" ht="18" hidden="1" x14ac:dyDescent="0.3">
      <c r="A73" s="70" t="s">
        <v>72</v>
      </c>
      <c r="B73" s="7"/>
      <c r="C73" s="7"/>
      <c r="D73" s="8">
        <f t="shared" si="1"/>
        <v>0</v>
      </c>
    </row>
    <row r="74" spans="1:4" ht="18" hidden="1" x14ac:dyDescent="0.3">
      <c r="A74" s="71" t="s">
        <v>73</v>
      </c>
      <c r="B74" s="7"/>
      <c r="C74" s="7"/>
      <c r="D74" s="8">
        <f t="shared" si="1"/>
        <v>0</v>
      </c>
    </row>
    <row r="75" spans="1:4" ht="18" hidden="1" x14ac:dyDescent="0.3">
      <c r="A75" s="70" t="s">
        <v>74</v>
      </c>
      <c r="B75" s="7"/>
      <c r="C75" s="7"/>
      <c r="D75" s="8">
        <f t="shared" si="1"/>
        <v>0</v>
      </c>
    </row>
    <row r="76" spans="1:4" ht="18" hidden="1" x14ac:dyDescent="0.3">
      <c r="A76" s="68" t="s">
        <v>75</v>
      </c>
      <c r="B76" s="7"/>
      <c r="C76" s="7"/>
      <c r="D76" s="8">
        <f t="shared" si="1"/>
        <v>0</v>
      </c>
    </row>
    <row r="77" spans="1:4" ht="18" hidden="1" x14ac:dyDescent="0.3">
      <c r="A77" s="72" t="s">
        <v>76</v>
      </c>
      <c r="B77" s="7"/>
      <c r="C77" s="7"/>
      <c r="D77" s="8">
        <f t="shared" si="1"/>
        <v>0</v>
      </c>
    </row>
    <row r="78" spans="1:4" ht="18" hidden="1" x14ac:dyDescent="0.3">
      <c r="A78" s="72" t="s">
        <v>77</v>
      </c>
      <c r="B78" s="7"/>
      <c r="C78" s="7"/>
      <c r="D78" s="8">
        <f t="shared" si="1"/>
        <v>0</v>
      </c>
    </row>
    <row r="79" spans="1:4" ht="18" hidden="1" x14ac:dyDescent="0.3">
      <c r="A79" s="22" t="s">
        <v>78</v>
      </c>
      <c r="B79" s="7"/>
      <c r="C79" s="7"/>
      <c r="D79" s="8">
        <f t="shared" si="1"/>
        <v>0</v>
      </c>
    </row>
    <row r="80" spans="1:4" ht="18" hidden="1" x14ac:dyDescent="0.3">
      <c r="A80" s="72" t="s">
        <v>79</v>
      </c>
      <c r="B80" s="7"/>
      <c r="C80" s="7"/>
      <c r="D80" s="8">
        <f t="shared" si="1"/>
        <v>0</v>
      </c>
    </row>
    <row r="81" spans="1:4" ht="18" hidden="1" x14ac:dyDescent="0.3">
      <c r="A81" s="63" t="s">
        <v>80</v>
      </c>
      <c r="B81" s="23"/>
      <c r="C81" s="23"/>
      <c r="D81" s="8">
        <f t="shared" si="1"/>
        <v>0</v>
      </c>
    </row>
    <row r="82" spans="1:4" ht="18" hidden="1" x14ac:dyDescent="0.3">
      <c r="A82" s="63" t="s">
        <v>81</v>
      </c>
      <c r="B82" s="7"/>
      <c r="C82" s="7"/>
      <c r="D82" s="8">
        <f t="shared" si="1"/>
        <v>0</v>
      </c>
    </row>
    <row r="83" spans="1:4" ht="18" hidden="1" x14ac:dyDescent="0.3">
      <c r="A83" s="63" t="s">
        <v>82</v>
      </c>
      <c r="B83" s="7"/>
      <c r="C83" s="7"/>
      <c r="D83" s="8">
        <f t="shared" si="1"/>
        <v>0</v>
      </c>
    </row>
    <row r="84" spans="1:4" ht="18" hidden="1" x14ac:dyDescent="0.3">
      <c r="A84" s="63" t="s">
        <v>83</v>
      </c>
      <c r="B84" s="7"/>
      <c r="C84" s="7"/>
      <c r="D84" s="8">
        <f t="shared" si="1"/>
        <v>0</v>
      </c>
    </row>
    <row r="85" spans="1:4" ht="18" hidden="1" x14ac:dyDescent="0.3">
      <c r="A85" s="63" t="s">
        <v>84</v>
      </c>
      <c r="B85" s="7"/>
      <c r="C85" s="7"/>
      <c r="D85" s="8">
        <f t="shared" si="1"/>
        <v>0</v>
      </c>
    </row>
    <row r="86" spans="1:4" ht="18" hidden="1" x14ac:dyDescent="0.3">
      <c r="A86" s="63" t="s">
        <v>85</v>
      </c>
      <c r="B86" s="7"/>
      <c r="C86" s="7"/>
      <c r="D86" s="8">
        <f t="shared" si="1"/>
        <v>0</v>
      </c>
    </row>
    <row r="87" spans="1:4" ht="18" hidden="1" x14ac:dyDescent="0.3">
      <c r="A87" s="63" t="s">
        <v>86</v>
      </c>
      <c r="B87" s="7"/>
      <c r="C87" s="7"/>
      <c r="D87" s="8">
        <f t="shared" si="1"/>
        <v>0</v>
      </c>
    </row>
    <row r="88" spans="1:4" ht="18" hidden="1" x14ac:dyDescent="0.3">
      <c r="A88" s="73" t="s">
        <v>87</v>
      </c>
      <c r="B88" s="7"/>
      <c r="C88" s="7"/>
      <c r="D88" s="8">
        <f t="shared" si="1"/>
        <v>0</v>
      </c>
    </row>
    <row r="89" spans="1:4" ht="18" hidden="1" x14ac:dyDescent="0.3">
      <c r="A89" s="63" t="s">
        <v>88</v>
      </c>
      <c r="B89" s="7"/>
      <c r="C89" s="7"/>
      <c r="D89" s="8">
        <f t="shared" si="1"/>
        <v>0</v>
      </c>
    </row>
    <row r="90" spans="1:4" ht="18" hidden="1" x14ac:dyDescent="0.3">
      <c r="A90" s="63" t="s">
        <v>89</v>
      </c>
      <c r="B90" s="7"/>
      <c r="C90" s="7"/>
      <c r="D90" s="8">
        <f t="shared" si="1"/>
        <v>0</v>
      </c>
    </row>
    <row r="91" spans="1:4" ht="18" hidden="1" x14ac:dyDescent="0.3">
      <c r="A91" s="63" t="s">
        <v>90</v>
      </c>
      <c r="B91" s="12"/>
      <c r="C91" s="7"/>
      <c r="D91" s="8">
        <f t="shared" si="1"/>
        <v>0</v>
      </c>
    </row>
    <row r="92" spans="1:4" ht="18" hidden="1" x14ac:dyDescent="0.3">
      <c r="A92" s="74" t="s">
        <v>91</v>
      </c>
      <c r="B92" s="7"/>
      <c r="C92" s="7"/>
      <c r="D92" s="8">
        <f t="shared" si="1"/>
        <v>0</v>
      </c>
    </row>
    <row r="93" spans="1:4" ht="18" hidden="1" x14ac:dyDescent="0.3">
      <c r="A93" s="60" t="s">
        <v>93</v>
      </c>
      <c r="B93" s="7"/>
      <c r="C93" s="7"/>
      <c r="D93" s="8">
        <f t="shared" si="1"/>
        <v>0</v>
      </c>
    </row>
    <row r="94" spans="1:4" ht="18" hidden="1" x14ac:dyDescent="0.3">
      <c r="A94" s="65" t="s">
        <v>94</v>
      </c>
      <c r="B94" s="7"/>
      <c r="C94" s="7"/>
      <c r="D94" s="8">
        <f t="shared" si="1"/>
        <v>0</v>
      </c>
    </row>
    <row r="95" spans="1:4" ht="18" hidden="1" x14ac:dyDescent="0.3">
      <c r="A95" s="60" t="s">
        <v>95</v>
      </c>
      <c r="B95" s="7"/>
      <c r="C95" s="7"/>
      <c r="D95" s="8">
        <f t="shared" si="1"/>
        <v>0</v>
      </c>
    </row>
    <row r="96" spans="1:4" ht="18" x14ac:dyDescent="0.3">
      <c r="A96" s="63" t="s">
        <v>96</v>
      </c>
      <c r="B96" s="7">
        <v>45</v>
      </c>
      <c r="C96" s="7">
        <v>10000</v>
      </c>
      <c r="D96" s="8">
        <f t="shared" si="1"/>
        <v>450000</v>
      </c>
    </row>
    <row r="97" spans="1:4" ht="18" hidden="1" x14ac:dyDescent="0.3">
      <c r="A97" s="75" t="s">
        <v>97</v>
      </c>
      <c r="B97" s="7"/>
      <c r="C97" s="7"/>
      <c r="D97" s="8">
        <f t="shared" si="1"/>
        <v>0</v>
      </c>
    </row>
    <row r="98" spans="1:4" ht="18" hidden="1" x14ac:dyDescent="0.3">
      <c r="A98" s="76" t="s">
        <v>98</v>
      </c>
      <c r="B98" s="7"/>
      <c r="C98" s="7"/>
      <c r="D98" s="8">
        <f t="shared" si="1"/>
        <v>0</v>
      </c>
    </row>
    <row r="99" spans="1:4" ht="18" hidden="1" x14ac:dyDescent="0.3">
      <c r="A99" s="76" t="s">
        <v>99</v>
      </c>
      <c r="B99" s="7"/>
      <c r="C99" s="7"/>
      <c r="D99" s="8">
        <f t="shared" si="1"/>
        <v>0</v>
      </c>
    </row>
    <row r="100" spans="1:4" ht="18" hidden="1" x14ac:dyDescent="0.3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">
      <c r="A102" s="63" t="s">
        <v>102</v>
      </c>
      <c r="B102" s="12"/>
      <c r="C102" s="12"/>
      <c r="D102" s="8">
        <f t="shared" si="1"/>
        <v>0</v>
      </c>
    </row>
    <row r="103" spans="1:4" ht="18" hidden="1" x14ac:dyDescent="0.3">
      <c r="A103" s="63" t="s">
        <v>103</v>
      </c>
      <c r="B103" s="12"/>
      <c r="C103" s="12"/>
      <c r="D103" s="8">
        <f t="shared" si="1"/>
        <v>0</v>
      </c>
    </row>
    <row r="104" spans="1:4" ht="18" hidden="1" x14ac:dyDescent="0.3">
      <c r="A104" s="63" t="s">
        <v>104</v>
      </c>
      <c r="B104" s="12"/>
      <c r="C104" s="12"/>
      <c r="D104" s="8">
        <f t="shared" si="1"/>
        <v>0</v>
      </c>
    </row>
    <row r="105" spans="1:4" ht="18" hidden="1" x14ac:dyDescent="0.3">
      <c r="A105" s="63" t="s">
        <v>105</v>
      </c>
      <c r="B105" s="12"/>
      <c r="C105" s="12"/>
      <c r="D105" s="8">
        <f t="shared" si="1"/>
        <v>0</v>
      </c>
    </row>
    <row r="106" spans="1:4" ht="18" hidden="1" x14ac:dyDescent="0.3">
      <c r="A106" s="63" t="s">
        <v>106</v>
      </c>
      <c r="B106" s="12"/>
      <c r="C106" s="12"/>
      <c r="D106" s="8">
        <f t="shared" si="1"/>
        <v>0</v>
      </c>
    </row>
    <row r="107" spans="1:4" ht="18" hidden="1" x14ac:dyDescent="0.3">
      <c r="A107" s="63" t="s">
        <v>107</v>
      </c>
      <c r="B107" s="12"/>
      <c r="C107" s="12"/>
      <c r="D107" s="8">
        <f t="shared" si="1"/>
        <v>0</v>
      </c>
    </row>
    <row r="108" spans="1:4" ht="18" hidden="1" x14ac:dyDescent="0.3">
      <c r="A108" s="63" t="s">
        <v>108</v>
      </c>
      <c r="B108" s="12"/>
      <c r="C108" s="12"/>
      <c r="D108" s="8">
        <f t="shared" si="1"/>
        <v>0</v>
      </c>
    </row>
    <row r="109" spans="1:4" ht="18" hidden="1" x14ac:dyDescent="0.3">
      <c r="A109" s="63" t="s">
        <v>109</v>
      </c>
      <c r="B109" s="12"/>
      <c r="C109" s="12"/>
      <c r="D109" s="8">
        <f t="shared" si="1"/>
        <v>0</v>
      </c>
    </row>
    <row r="110" spans="1:4" ht="18" hidden="1" x14ac:dyDescent="0.3">
      <c r="A110" s="63" t="s">
        <v>110</v>
      </c>
      <c r="B110" s="12"/>
      <c r="C110" s="12"/>
      <c r="D110" s="8">
        <f t="shared" si="1"/>
        <v>0</v>
      </c>
    </row>
    <row r="111" spans="1:4" ht="18" hidden="1" x14ac:dyDescent="0.3">
      <c r="A111" s="63" t="s">
        <v>111</v>
      </c>
      <c r="B111" s="12"/>
      <c r="C111" s="12"/>
      <c r="D111" s="8">
        <f t="shared" si="1"/>
        <v>0</v>
      </c>
    </row>
    <row r="112" spans="1:4" ht="18" hidden="1" x14ac:dyDescent="0.3">
      <c r="A112" s="63" t="s">
        <v>112</v>
      </c>
      <c r="B112" s="12"/>
      <c r="C112" s="12"/>
      <c r="D112" s="8">
        <f t="shared" si="1"/>
        <v>0</v>
      </c>
    </row>
    <row r="113" spans="1:4" ht="18" hidden="1" x14ac:dyDescent="0.3">
      <c r="A113" s="60" t="s">
        <v>113</v>
      </c>
      <c r="B113" s="7"/>
      <c r="C113" s="7"/>
      <c r="D113" s="8">
        <f t="shared" si="1"/>
        <v>0</v>
      </c>
    </row>
    <row r="114" spans="1:4" ht="18" hidden="1" x14ac:dyDescent="0.3">
      <c r="A114" s="63" t="s">
        <v>114</v>
      </c>
      <c r="B114" s="7"/>
      <c r="C114" s="7"/>
      <c r="D114" s="8">
        <f t="shared" si="1"/>
        <v>0</v>
      </c>
    </row>
    <row r="115" spans="1:4" ht="18" hidden="1" x14ac:dyDescent="0.3">
      <c r="A115" s="63" t="s">
        <v>115</v>
      </c>
      <c r="B115" s="7"/>
      <c r="C115" s="7"/>
      <c r="D115" s="8">
        <f t="shared" si="1"/>
        <v>0</v>
      </c>
    </row>
    <row r="116" spans="1:4" ht="18" hidden="1" x14ac:dyDescent="0.3">
      <c r="A116" s="60" t="s">
        <v>116</v>
      </c>
      <c r="B116" s="7"/>
      <c r="C116" s="7"/>
      <c r="D116" s="8">
        <f t="shared" si="1"/>
        <v>0</v>
      </c>
    </row>
    <row r="117" spans="1:4" ht="18" hidden="1" x14ac:dyDescent="0.3">
      <c r="A117" s="63" t="s">
        <v>117</v>
      </c>
      <c r="B117" s="7"/>
      <c r="C117" s="7"/>
      <c r="D117" s="8">
        <f t="shared" si="1"/>
        <v>0</v>
      </c>
    </row>
    <row r="118" spans="1:4" ht="18" hidden="1" x14ac:dyDescent="0.3">
      <c r="A118" s="63" t="s">
        <v>118</v>
      </c>
      <c r="B118" s="7"/>
      <c r="C118" s="7"/>
      <c r="D118" s="8">
        <f t="shared" si="1"/>
        <v>0</v>
      </c>
    </row>
    <row r="119" spans="1:4" ht="18" hidden="1" x14ac:dyDescent="0.3">
      <c r="A119" s="63" t="s">
        <v>119</v>
      </c>
      <c r="B119" s="7"/>
      <c r="C119" s="7"/>
      <c r="D119" s="8">
        <f t="shared" si="1"/>
        <v>0</v>
      </c>
    </row>
    <row r="120" spans="1:4" ht="18" x14ac:dyDescent="0.3">
      <c r="A120" s="63" t="s">
        <v>120</v>
      </c>
      <c r="B120" s="7">
        <f>2240+360+370</f>
        <v>2970</v>
      </c>
      <c r="C120" s="7">
        <v>5000</v>
      </c>
      <c r="D120" s="8">
        <f t="shared" si="1"/>
        <v>14850000</v>
      </c>
    </row>
    <row r="121" spans="1:4" ht="18" hidden="1" x14ac:dyDescent="0.3">
      <c r="A121" s="63" t="s">
        <v>121</v>
      </c>
      <c r="B121" s="7"/>
      <c r="C121" s="7"/>
      <c r="D121" s="8">
        <f t="shared" si="1"/>
        <v>0</v>
      </c>
    </row>
    <row r="122" spans="1:4" ht="18" hidden="1" x14ac:dyDescent="0.3">
      <c r="A122" s="61" t="s">
        <v>122</v>
      </c>
      <c r="B122" s="7"/>
      <c r="C122" s="7"/>
      <c r="D122" s="8">
        <f t="shared" si="1"/>
        <v>0</v>
      </c>
    </row>
    <row r="123" spans="1:4" ht="18" hidden="1" x14ac:dyDescent="0.3">
      <c r="A123" s="74" t="s">
        <v>123</v>
      </c>
      <c r="B123" s="7"/>
      <c r="C123" s="7"/>
      <c r="D123" s="8">
        <f t="shared" si="1"/>
        <v>0</v>
      </c>
    </row>
    <row r="124" spans="1:4" ht="78" hidden="1" x14ac:dyDescent="0.3">
      <c r="A124" s="77" t="s">
        <v>124</v>
      </c>
      <c r="B124" s="7"/>
      <c r="C124" s="7"/>
      <c r="D124" s="8">
        <f t="shared" si="1"/>
        <v>0</v>
      </c>
    </row>
    <row r="125" spans="1:4" ht="18" x14ac:dyDescent="0.3">
      <c r="A125" s="72" t="s">
        <v>125</v>
      </c>
      <c r="B125" s="7">
        <v>9</v>
      </c>
      <c r="C125" s="7">
        <v>9000</v>
      </c>
      <c r="D125" s="8">
        <f t="shared" si="1"/>
        <v>81000</v>
      </c>
    </row>
    <row r="126" spans="1:4" ht="18" hidden="1" x14ac:dyDescent="0.3">
      <c r="A126" s="60" t="s">
        <v>126</v>
      </c>
      <c r="B126" s="12"/>
      <c r="C126" s="12"/>
      <c r="D126" s="8">
        <f t="shared" si="1"/>
        <v>0</v>
      </c>
    </row>
    <row r="127" spans="1:4" ht="18" hidden="1" x14ac:dyDescent="0.3">
      <c r="A127" s="60" t="s">
        <v>127</v>
      </c>
      <c r="B127" s="12"/>
      <c r="C127" s="12"/>
      <c r="D127" s="8">
        <f t="shared" si="1"/>
        <v>0</v>
      </c>
    </row>
    <row r="128" spans="1:4" ht="18" hidden="1" x14ac:dyDescent="0.3">
      <c r="A128" s="60" t="s">
        <v>128</v>
      </c>
      <c r="B128" s="12"/>
      <c r="C128" s="12"/>
      <c r="D128" s="8">
        <f t="shared" si="1"/>
        <v>0</v>
      </c>
    </row>
    <row r="129" spans="1:4" ht="18" hidden="1" x14ac:dyDescent="0.3">
      <c r="A129" s="60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63" t="s">
        <v>130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131</v>
      </c>
      <c r="B131" s="12"/>
      <c r="C131" s="12"/>
      <c r="D131" s="8">
        <f t="shared" si="1"/>
        <v>0</v>
      </c>
    </row>
    <row r="132" spans="1:4" ht="18" hidden="1" x14ac:dyDescent="0.3">
      <c r="A132" s="65" t="s">
        <v>132</v>
      </c>
      <c r="B132" s="7"/>
      <c r="C132" s="7"/>
      <c r="D132" s="8">
        <f t="shared" ref="D132:D195" si="2">B132*C132</f>
        <v>0</v>
      </c>
    </row>
    <row r="133" spans="1:4" ht="18" hidden="1" x14ac:dyDescent="0.3">
      <c r="A133" s="65" t="s">
        <v>133</v>
      </c>
      <c r="B133" s="7"/>
      <c r="C133" s="7"/>
      <c r="D133" s="8">
        <f t="shared" si="2"/>
        <v>0</v>
      </c>
    </row>
    <row r="134" spans="1:4" ht="18" hidden="1" x14ac:dyDescent="0.3">
      <c r="A134" s="65" t="s">
        <v>134</v>
      </c>
      <c r="B134" s="7"/>
      <c r="C134" s="7"/>
      <c r="D134" s="8">
        <f t="shared" si="2"/>
        <v>0</v>
      </c>
    </row>
    <row r="135" spans="1:4" ht="18" hidden="1" x14ac:dyDescent="0.3">
      <c r="A135" s="63" t="s">
        <v>135</v>
      </c>
      <c r="B135" s="7"/>
      <c r="C135" s="7"/>
      <c r="D135" s="8">
        <f t="shared" si="2"/>
        <v>0</v>
      </c>
    </row>
    <row r="136" spans="1:4" ht="18" hidden="1" x14ac:dyDescent="0.3">
      <c r="A136" s="65" t="s">
        <v>136</v>
      </c>
      <c r="B136" s="7"/>
      <c r="C136" s="7"/>
      <c r="D136" s="8">
        <f t="shared" si="2"/>
        <v>0</v>
      </c>
    </row>
    <row r="137" spans="1:4" ht="18" hidden="1" x14ac:dyDescent="0.3">
      <c r="A137" s="63" t="s">
        <v>137</v>
      </c>
      <c r="B137" s="12"/>
      <c r="C137" s="12"/>
      <c r="D137" s="8">
        <f t="shared" si="2"/>
        <v>0</v>
      </c>
    </row>
    <row r="138" spans="1:4" ht="18" hidden="1" x14ac:dyDescent="0.3">
      <c r="A138" s="60" t="s">
        <v>138</v>
      </c>
      <c r="B138" s="12"/>
      <c r="C138" s="12"/>
      <c r="D138" s="8">
        <f t="shared" si="2"/>
        <v>0</v>
      </c>
    </row>
    <row r="139" spans="1:4" ht="18" hidden="1" x14ac:dyDescent="0.3">
      <c r="A139" s="63" t="s">
        <v>139</v>
      </c>
      <c r="B139" s="7"/>
      <c r="C139" s="7"/>
      <c r="D139" s="8">
        <f t="shared" si="2"/>
        <v>0</v>
      </c>
    </row>
    <row r="140" spans="1:4" ht="18" hidden="1" x14ac:dyDescent="0.3">
      <c r="A140" s="72" t="s">
        <v>140</v>
      </c>
      <c r="B140" s="7"/>
      <c r="C140" s="7"/>
      <c r="D140" s="8">
        <f t="shared" si="2"/>
        <v>0</v>
      </c>
    </row>
    <row r="141" spans="1:4" ht="18" hidden="1" x14ac:dyDescent="0.3">
      <c r="A141" s="60" t="s">
        <v>141</v>
      </c>
      <c r="B141" s="7"/>
      <c r="C141" s="7"/>
      <c r="D141" s="8">
        <f t="shared" si="2"/>
        <v>0</v>
      </c>
    </row>
    <row r="142" spans="1:4" ht="18" x14ac:dyDescent="0.3">
      <c r="A142" s="63" t="s">
        <v>142</v>
      </c>
      <c r="B142" s="7">
        <f>320+70</f>
        <v>390</v>
      </c>
      <c r="C142" s="7">
        <v>26500</v>
      </c>
      <c r="D142" s="8">
        <f t="shared" si="2"/>
        <v>10335000</v>
      </c>
    </row>
    <row r="143" spans="1:4" ht="18" hidden="1" x14ac:dyDescent="0.3">
      <c r="A143" s="73" t="s">
        <v>143</v>
      </c>
      <c r="B143" s="7"/>
      <c r="C143" s="7"/>
      <c r="D143" s="8">
        <f t="shared" si="2"/>
        <v>0</v>
      </c>
    </row>
    <row r="144" spans="1:4" ht="18" hidden="1" x14ac:dyDescent="0.3">
      <c r="A144" s="73" t="s">
        <v>144</v>
      </c>
      <c r="B144" s="7"/>
      <c r="C144" s="7"/>
      <c r="D144" s="8">
        <f t="shared" si="2"/>
        <v>0</v>
      </c>
    </row>
    <row r="145" spans="1:4" ht="18" hidden="1" x14ac:dyDescent="0.3">
      <c r="A145" s="63" t="s">
        <v>145</v>
      </c>
      <c r="B145" s="7"/>
      <c r="C145" s="7"/>
      <c r="D145" s="8">
        <f t="shared" si="2"/>
        <v>0</v>
      </c>
    </row>
    <row r="146" spans="1:4" ht="18" hidden="1" x14ac:dyDescent="0.3">
      <c r="A146" s="63" t="s">
        <v>146</v>
      </c>
      <c r="B146" s="7"/>
      <c r="C146" s="7"/>
      <c r="D146" s="8">
        <f t="shared" si="2"/>
        <v>0</v>
      </c>
    </row>
    <row r="147" spans="1:4" ht="18" hidden="1" x14ac:dyDescent="0.3">
      <c r="A147" s="63" t="s">
        <v>147</v>
      </c>
      <c r="B147" s="7"/>
      <c r="C147" s="7"/>
      <c r="D147" s="8">
        <f t="shared" si="2"/>
        <v>0</v>
      </c>
    </row>
    <row r="148" spans="1:4" ht="18" x14ac:dyDescent="0.3">
      <c r="A148" s="68" t="s">
        <v>148</v>
      </c>
      <c r="B148" s="7">
        <v>3</v>
      </c>
      <c r="C148" s="7">
        <v>6500</v>
      </c>
      <c r="D148" s="8">
        <f t="shared" si="2"/>
        <v>19500</v>
      </c>
    </row>
    <row r="149" spans="1:4" ht="18" hidden="1" x14ac:dyDescent="0.3">
      <c r="A149" s="68" t="s">
        <v>149</v>
      </c>
      <c r="B149" s="7"/>
      <c r="C149" s="7"/>
      <c r="D149" s="8">
        <f t="shared" si="2"/>
        <v>0</v>
      </c>
    </row>
    <row r="150" spans="1:4" ht="18" hidden="1" x14ac:dyDescent="0.3">
      <c r="A150" s="63" t="s">
        <v>150</v>
      </c>
      <c r="B150" s="7"/>
      <c r="C150" s="7"/>
      <c r="D150" s="8">
        <f t="shared" si="2"/>
        <v>0</v>
      </c>
    </row>
    <row r="151" spans="1:4" ht="18" hidden="1" x14ac:dyDescent="0.3">
      <c r="A151" s="61" t="s">
        <v>151</v>
      </c>
      <c r="B151" s="7"/>
      <c r="C151" s="7"/>
      <c r="D151" s="8">
        <f t="shared" si="2"/>
        <v>0</v>
      </c>
    </row>
    <row r="152" spans="1:4" ht="18" hidden="1" x14ac:dyDescent="0.3">
      <c r="A152" s="67" t="s">
        <v>152</v>
      </c>
      <c r="B152" s="7"/>
      <c r="C152" s="7"/>
      <c r="D152" s="8">
        <f t="shared" si="2"/>
        <v>0</v>
      </c>
    </row>
    <row r="153" spans="1:4" ht="18" hidden="1" x14ac:dyDescent="0.3">
      <c r="A153" s="63" t="s">
        <v>153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154</v>
      </c>
      <c r="B154" s="7"/>
      <c r="C154" s="7"/>
      <c r="D154" s="8">
        <f t="shared" si="2"/>
        <v>0</v>
      </c>
    </row>
    <row r="155" spans="1:4" ht="18" hidden="1" x14ac:dyDescent="0.3">
      <c r="A155" s="63" t="s">
        <v>155</v>
      </c>
      <c r="B155" s="7"/>
      <c r="C155" s="7"/>
      <c r="D155" s="8">
        <f t="shared" si="2"/>
        <v>0</v>
      </c>
    </row>
    <row r="156" spans="1:4" ht="18" hidden="1" x14ac:dyDescent="0.3">
      <c r="A156" s="62" t="s">
        <v>156</v>
      </c>
      <c r="B156" s="7"/>
      <c r="C156" s="7"/>
      <c r="D156" s="8">
        <f t="shared" si="2"/>
        <v>0</v>
      </c>
    </row>
    <row r="157" spans="1:4" ht="18" hidden="1" x14ac:dyDescent="0.3">
      <c r="A157" s="63" t="s">
        <v>157</v>
      </c>
      <c r="B157" s="7"/>
      <c r="C157" s="7"/>
      <c r="D157" s="8">
        <f t="shared" si="2"/>
        <v>0</v>
      </c>
    </row>
    <row r="158" spans="1:4" ht="18" hidden="1" x14ac:dyDescent="0.3">
      <c r="A158" s="63" t="s">
        <v>158</v>
      </c>
      <c r="B158" s="7"/>
      <c r="C158" s="7"/>
      <c r="D158" s="8">
        <f t="shared" si="2"/>
        <v>0</v>
      </c>
    </row>
    <row r="159" spans="1:4" ht="18" hidden="1" x14ac:dyDescent="0.3">
      <c r="A159" s="63" t="s">
        <v>159</v>
      </c>
      <c r="B159" s="7"/>
      <c r="C159" s="7"/>
      <c r="D159" s="8">
        <f t="shared" si="2"/>
        <v>0</v>
      </c>
    </row>
    <row r="160" spans="1:4" ht="18" hidden="1" x14ac:dyDescent="0.3">
      <c r="A160" s="14" t="s">
        <v>160</v>
      </c>
      <c r="B160" s="7"/>
      <c r="C160" s="7"/>
      <c r="D160" s="8">
        <f t="shared" si="2"/>
        <v>0</v>
      </c>
    </row>
    <row r="161" spans="1:4" ht="18" x14ac:dyDescent="0.3">
      <c r="A161" s="63" t="s">
        <v>161</v>
      </c>
      <c r="B161" s="7">
        <v>36</v>
      </c>
      <c r="C161" s="7">
        <v>7000</v>
      </c>
      <c r="D161" s="8">
        <f t="shared" si="2"/>
        <v>252000</v>
      </c>
    </row>
    <row r="162" spans="1:4" ht="18" hidden="1" x14ac:dyDescent="0.3">
      <c r="A162" s="63" t="s">
        <v>162</v>
      </c>
      <c r="B162" s="7"/>
      <c r="C162" s="7"/>
      <c r="D162" s="8">
        <f t="shared" si="2"/>
        <v>0</v>
      </c>
    </row>
    <row r="163" spans="1:4" ht="18" x14ac:dyDescent="0.3">
      <c r="A163" s="63" t="s">
        <v>163</v>
      </c>
      <c r="B163" s="7">
        <f>80+35+33+20</f>
        <v>168</v>
      </c>
      <c r="C163" s="7">
        <v>16000</v>
      </c>
      <c r="D163" s="8">
        <f t="shared" si="2"/>
        <v>2688000</v>
      </c>
    </row>
    <row r="164" spans="1:4" ht="18" hidden="1" x14ac:dyDescent="0.3">
      <c r="A164" s="74" t="s">
        <v>164</v>
      </c>
      <c r="B164" s="7"/>
      <c r="C164" s="7"/>
      <c r="D164" s="8">
        <f t="shared" si="2"/>
        <v>0</v>
      </c>
    </row>
    <row r="165" spans="1:4" ht="18" hidden="1" x14ac:dyDescent="0.3">
      <c r="A165" s="63" t="s">
        <v>319</v>
      </c>
      <c r="B165" s="7"/>
      <c r="C165" s="7"/>
      <c r="D165" s="8">
        <f t="shared" si="2"/>
        <v>0</v>
      </c>
    </row>
    <row r="166" spans="1:4" ht="18" x14ac:dyDescent="0.3">
      <c r="A166" s="63" t="s">
        <v>166</v>
      </c>
      <c r="B166" s="7">
        <v>13</v>
      </c>
      <c r="C166" s="7">
        <v>15000</v>
      </c>
      <c r="D166" s="8">
        <f t="shared" si="2"/>
        <v>195000</v>
      </c>
    </row>
    <row r="167" spans="1:4" ht="18" hidden="1" x14ac:dyDescent="0.3">
      <c r="A167" s="63" t="s">
        <v>167</v>
      </c>
      <c r="B167" s="7"/>
      <c r="C167" s="7"/>
      <c r="D167" s="8">
        <f t="shared" si="2"/>
        <v>0</v>
      </c>
    </row>
    <row r="168" spans="1:4" ht="18" hidden="1" x14ac:dyDescent="0.3">
      <c r="A168" s="74" t="s">
        <v>168</v>
      </c>
      <c r="B168" s="7"/>
      <c r="C168" s="7"/>
      <c r="D168" s="8">
        <f t="shared" si="2"/>
        <v>0</v>
      </c>
    </row>
    <row r="169" spans="1:4" ht="18" hidden="1" x14ac:dyDescent="0.3">
      <c r="A169" s="63" t="s">
        <v>169</v>
      </c>
      <c r="B169" s="7"/>
      <c r="C169" s="7"/>
      <c r="D169" s="8">
        <f t="shared" si="2"/>
        <v>0</v>
      </c>
    </row>
    <row r="170" spans="1:4" ht="18" hidden="1" x14ac:dyDescent="0.3">
      <c r="A170" s="60" t="s">
        <v>170</v>
      </c>
      <c r="B170" s="7"/>
      <c r="C170" s="7"/>
      <c r="D170" s="8">
        <f t="shared" si="2"/>
        <v>0</v>
      </c>
    </row>
    <row r="171" spans="1:4" ht="18" hidden="1" x14ac:dyDescent="0.3">
      <c r="A171" s="63" t="s">
        <v>171</v>
      </c>
      <c r="B171" s="7"/>
      <c r="C171" s="7"/>
      <c r="D171" s="8">
        <f t="shared" si="2"/>
        <v>0</v>
      </c>
    </row>
    <row r="172" spans="1:4" ht="18" hidden="1" x14ac:dyDescent="0.3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">
      <c r="A174" s="61" t="s">
        <v>174</v>
      </c>
      <c r="B174" s="7"/>
      <c r="C174" s="7"/>
      <c r="D174" s="8">
        <f t="shared" si="2"/>
        <v>0</v>
      </c>
    </row>
    <row r="175" spans="1:4" ht="18" x14ac:dyDescent="0.3">
      <c r="A175" s="60" t="s">
        <v>175</v>
      </c>
      <c r="B175" s="7">
        <v>40</v>
      </c>
      <c r="C175" s="7">
        <v>12000</v>
      </c>
      <c r="D175" s="8">
        <f t="shared" si="2"/>
        <v>480000</v>
      </c>
    </row>
    <row r="176" spans="1:4" ht="18" x14ac:dyDescent="0.3">
      <c r="A176" s="60" t="s">
        <v>176</v>
      </c>
      <c r="B176" s="7">
        <v>580</v>
      </c>
      <c r="C176" s="7">
        <v>30000</v>
      </c>
      <c r="D176" s="8">
        <f t="shared" si="2"/>
        <v>17400000</v>
      </c>
    </row>
    <row r="177" spans="1:4" ht="18" hidden="1" x14ac:dyDescent="0.3">
      <c r="A177" s="63" t="s">
        <v>177</v>
      </c>
      <c r="B177" s="7"/>
      <c r="C177" s="7"/>
      <c r="D177" s="8">
        <f t="shared" si="2"/>
        <v>0</v>
      </c>
    </row>
    <row r="178" spans="1:4" ht="18" x14ac:dyDescent="0.3">
      <c r="A178" s="60" t="s">
        <v>178</v>
      </c>
      <c r="B178" s="7">
        <f>40+20+65</f>
        <v>125</v>
      </c>
      <c r="C178" s="7">
        <v>32000</v>
      </c>
      <c r="D178" s="8">
        <f t="shared" si="2"/>
        <v>4000000</v>
      </c>
    </row>
    <row r="179" spans="1:4" ht="18" x14ac:dyDescent="0.3">
      <c r="A179" s="60" t="s">
        <v>179</v>
      </c>
      <c r="B179" s="7">
        <v>6</v>
      </c>
      <c r="C179" s="7">
        <v>25000</v>
      </c>
      <c r="D179" s="8">
        <f t="shared" si="2"/>
        <v>150000</v>
      </c>
    </row>
    <row r="180" spans="1:4" ht="18" hidden="1" x14ac:dyDescent="0.3">
      <c r="A180" s="60" t="s">
        <v>180</v>
      </c>
      <c r="B180" s="7"/>
      <c r="C180" s="7"/>
      <c r="D180" s="8">
        <f t="shared" si="2"/>
        <v>0</v>
      </c>
    </row>
    <row r="181" spans="1:4" ht="18" hidden="1" x14ac:dyDescent="0.3">
      <c r="A181" s="63" t="s">
        <v>181</v>
      </c>
      <c r="B181" s="7"/>
      <c r="C181" s="7"/>
      <c r="D181" s="8">
        <f t="shared" si="2"/>
        <v>0</v>
      </c>
    </row>
    <row r="182" spans="1:4" ht="18" x14ac:dyDescent="0.3">
      <c r="A182" s="63" t="s">
        <v>182</v>
      </c>
      <c r="B182" s="7">
        <v>37</v>
      </c>
      <c r="C182" s="7">
        <v>17000</v>
      </c>
      <c r="D182" s="8">
        <f t="shared" si="2"/>
        <v>629000</v>
      </c>
    </row>
    <row r="183" spans="1:4" ht="18" x14ac:dyDescent="0.3">
      <c r="A183" s="63" t="s">
        <v>183</v>
      </c>
      <c r="B183" s="7">
        <v>10</v>
      </c>
      <c r="C183" s="7">
        <v>8500</v>
      </c>
      <c r="D183" s="8">
        <f t="shared" si="2"/>
        <v>85000</v>
      </c>
    </row>
    <row r="184" spans="1:4" ht="18" hidden="1" x14ac:dyDescent="0.3">
      <c r="A184" s="63" t="s">
        <v>184</v>
      </c>
      <c r="B184" s="7"/>
      <c r="C184" s="7"/>
      <c r="D184" s="8">
        <f t="shared" si="2"/>
        <v>0</v>
      </c>
    </row>
    <row r="185" spans="1:4" ht="18" hidden="1" x14ac:dyDescent="0.3">
      <c r="A185" s="63" t="s">
        <v>185</v>
      </c>
      <c r="B185" s="7"/>
      <c r="C185" s="7"/>
      <c r="D185" s="8">
        <f t="shared" si="2"/>
        <v>0</v>
      </c>
    </row>
    <row r="186" spans="1:4" ht="18" hidden="1" x14ac:dyDescent="0.3">
      <c r="A186" s="63" t="s">
        <v>186</v>
      </c>
      <c r="B186" s="7"/>
      <c r="C186" s="7"/>
      <c r="D186" s="8">
        <f t="shared" si="2"/>
        <v>0</v>
      </c>
    </row>
    <row r="187" spans="1:4" ht="18" hidden="1" x14ac:dyDescent="0.3">
      <c r="A187" s="63" t="s">
        <v>187</v>
      </c>
      <c r="B187" s="7"/>
      <c r="C187" s="7"/>
      <c r="D187" s="8">
        <f t="shared" si="2"/>
        <v>0</v>
      </c>
    </row>
    <row r="188" spans="1:4" ht="18" hidden="1" x14ac:dyDescent="0.3">
      <c r="A188" s="63" t="s">
        <v>188</v>
      </c>
      <c r="B188" s="7"/>
      <c r="C188" s="7"/>
      <c r="D188" s="8">
        <f t="shared" si="2"/>
        <v>0</v>
      </c>
    </row>
    <row r="189" spans="1:4" ht="18" hidden="1" x14ac:dyDescent="0.3">
      <c r="A189" s="64" t="s">
        <v>189</v>
      </c>
      <c r="B189" s="7"/>
      <c r="C189" s="7"/>
      <c r="D189" s="8">
        <f t="shared" si="2"/>
        <v>0</v>
      </c>
    </row>
    <row r="190" spans="1:4" ht="18" hidden="1" x14ac:dyDescent="0.3">
      <c r="A190" s="70" t="s">
        <v>190</v>
      </c>
      <c r="B190" s="7"/>
      <c r="C190" s="7"/>
      <c r="D190" s="8">
        <f t="shared" si="2"/>
        <v>0</v>
      </c>
    </row>
    <row r="191" spans="1:4" ht="18" hidden="1" x14ac:dyDescent="0.3">
      <c r="A191" s="63" t="s">
        <v>191</v>
      </c>
      <c r="B191" s="7"/>
      <c r="C191" s="7"/>
      <c r="D191" s="8">
        <f t="shared" si="2"/>
        <v>0</v>
      </c>
    </row>
    <row r="192" spans="1:4" ht="18" hidden="1" x14ac:dyDescent="0.3">
      <c r="A192" s="70" t="s">
        <v>308</v>
      </c>
      <c r="B192" s="7"/>
      <c r="C192" s="7"/>
      <c r="D192" s="8">
        <f t="shared" si="2"/>
        <v>0</v>
      </c>
    </row>
    <row r="193" spans="1:4" ht="18" x14ac:dyDescent="0.3">
      <c r="A193" s="63" t="s">
        <v>192</v>
      </c>
      <c r="B193" s="7">
        <v>161</v>
      </c>
      <c r="C193" s="7">
        <v>7500</v>
      </c>
      <c r="D193" s="8">
        <f t="shared" si="2"/>
        <v>1207500</v>
      </c>
    </row>
    <row r="194" spans="1:4" ht="18" hidden="1" x14ac:dyDescent="0.3">
      <c r="A194" s="60" t="s">
        <v>193</v>
      </c>
      <c r="B194" s="7"/>
      <c r="C194" s="7"/>
      <c r="D194" s="8">
        <f t="shared" si="2"/>
        <v>0</v>
      </c>
    </row>
    <row r="195" spans="1:4" ht="18" x14ac:dyDescent="0.3">
      <c r="A195" s="63" t="s">
        <v>194</v>
      </c>
      <c r="B195" s="7">
        <f>189+18</f>
        <v>207</v>
      </c>
      <c r="C195" s="7">
        <v>7500</v>
      </c>
      <c r="D195" s="8">
        <f t="shared" si="2"/>
        <v>1552500</v>
      </c>
    </row>
    <row r="196" spans="1:4" ht="18" hidden="1" x14ac:dyDescent="0.3">
      <c r="A196" s="63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63" t="s">
        <v>196</v>
      </c>
      <c r="B197" s="7"/>
      <c r="C197" s="7"/>
      <c r="D197" s="8">
        <f t="shared" si="3"/>
        <v>0</v>
      </c>
    </row>
    <row r="198" spans="1:4" ht="18" hidden="1" x14ac:dyDescent="0.3">
      <c r="A198" s="62" t="s">
        <v>197</v>
      </c>
      <c r="B198" s="7"/>
      <c r="C198" s="7"/>
      <c r="D198" s="8">
        <f t="shared" si="3"/>
        <v>0</v>
      </c>
    </row>
    <row r="199" spans="1:4" ht="18" hidden="1" x14ac:dyDescent="0.3">
      <c r="A199" s="78" t="s">
        <v>198</v>
      </c>
      <c r="B199" s="7"/>
      <c r="C199" s="7"/>
      <c r="D199" s="8">
        <f t="shared" si="3"/>
        <v>0</v>
      </c>
    </row>
    <row r="200" spans="1:4" ht="18" hidden="1" x14ac:dyDescent="0.3">
      <c r="A200" s="60" t="s">
        <v>199</v>
      </c>
      <c r="B200" s="7"/>
      <c r="C200" s="7"/>
      <c r="D200" s="8">
        <f t="shared" si="3"/>
        <v>0</v>
      </c>
    </row>
    <row r="201" spans="1:4" ht="18" hidden="1" x14ac:dyDescent="0.3">
      <c r="A201" s="61" t="s">
        <v>200</v>
      </c>
      <c r="B201" s="7"/>
      <c r="C201" s="7"/>
      <c r="D201" s="8">
        <f t="shared" si="3"/>
        <v>0</v>
      </c>
    </row>
    <row r="202" spans="1:4" ht="18" hidden="1" x14ac:dyDescent="0.3">
      <c r="A202" s="61" t="s">
        <v>201</v>
      </c>
      <c r="B202" s="7"/>
      <c r="C202" s="7"/>
      <c r="D202" s="8">
        <f t="shared" si="3"/>
        <v>0</v>
      </c>
    </row>
    <row r="203" spans="1:4" ht="18" hidden="1" x14ac:dyDescent="0.3">
      <c r="A203" s="61" t="s">
        <v>202</v>
      </c>
      <c r="B203" s="7"/>
      <c r="C203" s="7"/>
      <c r="D203" s="8">
        <f t="shared" si="3"/>
        <v>0</v>
      </c>
    </row>
    <row r="204" spans="1:4" ht="18" hidden="1" x14ac:dyDescent="0.3">
      <c r="A204" s="61" t="s">
        <v>203</v>
      </c>
      <c r="B204" s="7"/>
      <c r="C204" s="7"/>
      <c r="D204" s="8">
        <f t="shared" si="3"/>
        <v>0</v>
      </c>
    </row>
    <row r="205" spans="1:4" ht="18" hidden="1" x14ac:dyDescent="0.3">
      <c r="A205" s="63" t="s">
        <v>204</v>
      </c>
      <c r="B205" s="7"/>
      <c r="C205" s="7"/>
      <c r="D205" s="8">
        <f t="shared" si="3"/>
        <v>0</v>
      </c>
    </row>
    <row r="206" spans="1:4" ht="18" hidden="1" x14ac:dyDescent="0.3">
      <c r="A206" s="63" t="s">
        <v>205</v>
      </c>
      <c r="B206" s="7"/>
      <c r="C206" s="7"/>
      <c r="D206" s="8">
        <f t="shared" si="3"/>
        <v>0</v>
      </c>
    </row>
    <row r="207" spans="1:4" ht="18" hidden="1" x14ac:dyDescent="0.3">
      <c r="A207" s="63" t="s">
        <v>206</v>
      </c>
      <c r="B207" s="7"/>
      <c r="C207" s="7"/>
      <c r="D207" s="8">
        <f t="shared" si="3"/>
        <v>0</v>
      </c>
    </row>
    <row r="208" spans="1:4" ht="18" hidden="1" x14ac:dyDescent="0.3">
      <c r="A208" s="63" t="s">
        <v>207</v>
      </c>
      <c r="B208" s="7"/>
      <c r="C208" s="7"/>
      <c r="D208" s="8">
        <f t="shared" si="3"/>
        <v>0</v>
      </c>
    </row>
    <row r="209" spans="1:4" ht="18" hidden="1" x14ac:dyDescent="0.3">
      <c r="A209" s="60" t="s">
        <v>208</v>
      </c>
      <c r="B209" s="7"/>
      <c r="C209" s="7"/>
      <c r="D209" s="8">
        <f t="shared" si="3"/>
        <v>0</v>
      </c>
    </row>
    <row r="210" spans="1:4" ht="18" hidden="1" x14ac:dyDescent="0.3">
      <c r="A210" s="60" t="s">
        <v>209</v>
      </c>
      <c r="B210" s="7"/>
      <c r="C210" s="7"/>
      <c r="D210" s="8">
        <f t="shared" si="3"/>
        <v>0</v>
      </c>
    </row>
    <row r="211" spans="1:4" ht="18" hidden="1" x14ac:dyDescent="0.3">
      <c r="A211" s="63" t="s">
        <v>210</v>
      </c>
      <c r="B211" s="7"/>
      <c r="C211" s="7"/>
      <c r="D211" s="8">
        <f t="shared" si="3"/>
        <v>0</v>
      </c>
    </row>
    <row r="212" spans="1:4" ht="18" hidden="1" x14ac:dyDescent="0.3">
      <c r="A212" s="63" t="s">
        <v>211</v>
      </c>
      <c r="B212" s="7"/>
      <c r="C212" s="7"/>
      <c r="D212" s="8">
        <f t="shared" si="3"/>
        <v>0</v>
      </c>
    </row>
    <row r="213" spans="1:4" ht="18" hidden="1" x14ac:dyDescent="0.3">
      <c r="A213" s="63" t="s">
        <v>212</v>
      </c>
      <c r="B213" s="7"/>
      <c r="C213" s="7"/>
      <c r="D213" s="8">
        <f t="shared" si="3"/>
        <v>0</v>
      </c>
    </row>
    <row r="214" spans="1:4" ht="18" hidden="1" x14ac:dyDescent="0.3">
      <c r="A214" s="61" t="s">
        <v>213</v>
      </c>
      <c r="B214" s="7"/>
      <c r="C214" s="7"/>
      <c r="D214" s="8">
        <f t="shared" si="3"/>
        <v>0</v>
      </c>
    </row>
    <row r="215" spans="1:4" ht="18" hidden="1" x14ac:dyDescent="0.3">
      <c r="A215" s="63" t="s">
        <v>214</v>
      </c>
      <c r="B215" s="7"/>
      <c r="C215" s="7"/>
      <c r="D215" s="8">
        <f t="shared" si="3"/>
        <v>0</v>
      </c>
    </row>
    <row r="216" spans="1:4" ht="18" hidden="1" x14ac:dyDescent="0.3">
      <c r="A216" s="61" t="s">
        <v>215</v>
      </c>
      <c r="B216" s="7"/>
      <c r="C216" s="7"/>
      <c r="D216" s="8">
        <f t="shared" si="3"/>
        <v>0</v>
      </c>
    </row>
    <row r="217" spans="1:4" ht="18" hidden="1" x14ac:dyDescent="0.3">
      <c r="A217" s="63" t="s">
        <v>216</v>
      </c>
      <c r="B217" s="7"/>
      <c r="C217" s="7"/>
      <c r="D217" s="8">
        <f t="shared" si="3"/>
        <v>0</v>
      </c>
    </row>
    <row r="218" spans="1:4" ht="18" hidden="1" x14ac:dyDescent="0.3">
      <c r="A218" s="63" t="s">
        <v>217</v>
      </c>
      <c r="B218" s="7"/>
      <c r="C218" s="7"/>
      <c r="D218" s="8">
        <f t="shared" si="3"/>
        <v>0</v>
      </c>
    </row>
    <row r="219" spans="1:4" ht="18" hidden="1" x14ac:dyDescent="0.3">
      <c r="A219" s="63" t="s">
        <v>218</v>
      </c>
      <c r="B219" s="7"/>
      <c r="C219" s="7"/>
      <c r="D219" s="8">
        <f t="shared" si="3"/>
        <v>0</v>
      </c>
    </row>
    <row r="220" spans="1:4" ht="18" hidden="1" x14ac:dyDescent="0.3">
      <c r="A220" s="63" t="s">
        <v>219</v>
      </c>
      <c r="B220" s="7"/>
      <c r="C220" s="7"/>
      <c r="D220" s="8">
        <f t="shared" si="3"/>
        <v>0</v>
      </c>
    </row>
    <row r="221" spans="1:4" ht="18" hidden="1" x14ac:dyDescent="0.3">
      <c r="A221" s="65" t="s">
        <v>220</v>
      </c>
      <c r="B221" s="7"/>
      <c r="C221" s="7"/>
      <c r="D221" s="8">
        <f t="shared" si="3"/>
        <v>0</v>
      </c>
    </row>
    <row r="222" spans="1:4" ht="18" hidden="1" x14ac:dyDescent="0.3">
      <c r="A222" s="60" t="s">
        <v>221</v>
      </c>
      <c r="B222" s="7"/>
      <c r="C222" s="7"/>
      <c r="D222" s="8">
        <f t="shared" si="3"/>
        <v>0</v>
      </c>
    </row>
    <row r="223" spans="1:4" ht="18" hidden="1" x14ac:dyDescent="0.3">
      <c r="A223" s="63" t="s">
        <v>222</v>
      </c>
      <c r="B223" s="7"/>
      <c r="C223" s="7"/>
      <c r="D223" s="8">
        <f t="shared" si="3"/>
        <v>0</v>
      </c>
    </row>
    <row r="224" spans="1:4" ht="18" hidden="1" x14ac:dyDescent="0.3">
      <c r="A224" s="63" t="s">
        <v>223</v>
      </c>
      <c r="B224" s="7"/>
      <c r="C224" s="7"/>
      <c r="D224" s="8">
        <f t="shared" si="3"/>
        <v>0</v>
      </c>
    </row>
    <row r="225" spans="1:4" ht="18" hidden="1" x14ac:dyDescent="0.3">
      <c r="A225" s="61" t="s">
        <v>224</v>
      </c>
      <c r="B225" s="12"/>
      <c r="C225" s="12"/>
      <c r="D225" s="8">
        <f t="shared" si="3"/>
        <v>0</v>
      </c>
    </row>
    <row r="226" spans="1:4" ht="18" hidden="1" x14ac:dyDescent="0.3">
      <c r="A226" s="61" t="s">
        <v>225</v>
      </c>
      <c r="B226" s="7"/>
      <c r="C226" s="7"/>
      <c r="D226" s="8">
        <f t="shared" si="3"/>
        <v>0</v>
      </c>
    </row>
    <row r="227" spans="1:4" ht="18" hidden="1" x14ac:dyDescent="0.3">
      <c r="A227" s="61" t="s">
        <v>226</v>
      </c>
      <c r="B227" s="12"/>
      <c r="C227" s="12"/>
      <c r="D227" s="8">
        <f t="shared" si="3"/>
        <v>0</v>
      </c>
    </row>
    <row r="228" spans="1:4" ht="18" hidden="1" x14ac:dyDescent="0.3">
      <c r="A228" s="65" t="s">
        <v>227</v>
      </c>
      <c r="B228" s="7"/>
      <c r="C228" s="7"/>
      <c r="D228" s="8">
        <f t="shared" si="3"/>
        <v>0</v>
      </c>
    </row>
    <row r="229" spans="1:4" ht="18" hidden="1" x14ac:dyDescent="0.3">
      <c r="A229" s="64" t="s">
        <v>228</v>
      </c>
      <c r="B229" s="7"/>
      <c r="C229" s="7"/>
      <c r="D229" s="8">
        <f t="shared" si="3"/>
        <v>0</v>
      </c>
    </row>
    <row r="230" spans="1:4" ht="18" hidden="1" x14ac:dyDescent="0.3">
      <c r="A230" s="64" t="s">
        <v>229</v>
      </c>
      <c r="B230" s="7"/>
      <c r="C230" s="7"/>
      <c r="D230" s="8">
        <f t="shared" si="3"/>
        <v>0</v>
      </c>
    </row>
    <row r="231" spans="1:4" ht="18" hidden="1" x14ac:dyDescent="0.3">
      <c r="A231" s="61" t="s">
        <v>230</v>
      </c>
      <c r="B231" s="7"/>
      <c r="C231" s="7"/>
      <c r="D231" s="8">
        <f t="shared" si="3"/>
        <v>0</v>
      </c>
    </row>
    <row r="232" spans="1:4" ht="18" hidden="1" x14ac:dyDescent="0.3">
      <c r="A232" s="63" t="s">
        <v>231</v>
      </c>
      <c r="B232" s="7"/>
      <c r="C232" s="7"/>
      <c r="D232" s="8">
        <f t="shared" si="3"/>
        <v>0</v>
      </c>
    </row>
    <row r="233" spans="1:4" ht="18" hidden="1" x14ac:dyDescent="0.3">
      <c r="A233" s="63" t="s">
        <v>232</v>
      </c>
      <c r="B233" s="7"/>
      <c r="C233" s="7"/>
      <c r="D233" s="8">
        <f t="shared" si="3"/>
        <v>0</v>
      </c>
    </row>
    <row r="234" spans="1:4" ht="18" hidden="1" x14ac:dyDescent="0.3">
      <c r="A234" s="65" t="s">
        <v>233</v>
      </c>
      <c r="B234" s="7"/>
      <c r="C234" s="7"/>
      <c r="D234" s="8">
        <f t="shared" si="3"/>
        <v>0</v>
      </c>
    </row>
    <row r="235" spans="1:4" ht="18" hidden="1" x14ac:dyDescent="0.3">
      <c r="A235" s="60" t="s">
        <v>234</v>
      </c>
      <c r="B235" s="7"/>
      <c r="C235" s="7"/>
      <c r="D235" s="8">
        <f t="shared" si="3"/>
        <v>0</v>
      </c>
    </row>
    <row r="236" spans="1:4" ht="18" hidden="1" x14ac:dyDescent="0.3">
      <c r="A236" s="63" t="s">
        <v>235</v>
      </c>
      <c r="B236" s="7"/>
      <c r="C236" s="7"/>
      <c r="D236" s="8">
        <f t="shared" si="3"/>
        <v>0</v>
      </c>
    </row>
    <row r="237" spans="1:4" ht="18" hidden="1" x14ac:dyDescent="0.3">
      <c r="A237" s="63" t="s">
        <v>236</v>
      </c>
      <c r="B237" s="7"/>
      <c r="C237" s="7"/>
      <c r="D237" s="8">
        <f t="shared" si="3"/>
        <v>0</v>
      </c>
    </row>
    <row r="238" spans="1:4" ht="18" hidden="1" x14ac:dyDescent="0.3">
      <c r="A238" s="64" t="s">
        <v>237</v>
      </c>
      <c r="B238" s="7"/>
      <c r="C238" s="7"/>
      <c r="D238" s="8">
        <f t="shared" si="3"/>
        <v>0</v>
      </c>
    </row>
    <row r="239" spans="1:4" ht="18" hidden="1" x14ac:dyDescent="0.3">
      <c r="A239" s="63" t="s">
        <v>238</v>
      </c>
      <c r="B239" s="7"/>
      <c r="C239" s="7"/>
      <c r="D239" s="8">
        <f t="shared" si="3"/>
        <v>0</v>
      </c>
    </row>
    <row r="240" spans="1:4" ht="18" hidden="1" x14ac:dyDescent="0.3">
      <c r="A240" s="63" t="s">
        <v>239</v>
      </c>
      <c r="B240" s="7"/>
      <c r="C240" s="7"/>
      <c r="D240" s="8">
        <f t="shared" si="3"/>
        <v>0</v>
      </c>
    </row>
    <row r="241" spans="1:4" ht="18" hidden="1" x14ac:dyDescent="0.3">
      <c r="A241" s="63" t="s">
        <v>240</v>
      </c>
      <c r="B241" s="7"/>
      <c r="C241" s="7"/>
      <c r="D241" s="8">
        <f t="shared" si="3"/>
        <v>0</v>
      </c>
    </row>
    <row r="242" spans="1:4" ht="18" hidden="1" x14ac:dyDescent="0.3">
      <c r="A242" s="63" t="s">
        <v>241</v>
      </c>
      <c r="B242" s="7"/>
      <c r="C242" s="7"/>
      <c r="D242" s="8">
        <f t="shared" si="3"/>
        <v>0</v>
      </c>
    </row>
    <row r="243" spans="1:4" ht="18" hidden="1" x14ac:dyDescent="0.3">
      <c r="A243" s="64" t="s">
        <v>242</v>
      </c>
      <c r="B243" s="7"/>
      <c r="C243" s="7"/>
      <c r="D243" s="8">
        <f t="shared" si="3"/>
        <v>0</v>
      </c>
    </row>
    <row r="244" spans="1:4" ht="18" hidden="1" x14ac:dyDescent="0.3">
      <c r="A244" s="63" t="s">
        <v>243</v>
      </c>
      <c r="B244" s="7"/>
      <c r="C244" s="7"/>
      <c r="D244" s="8">
        <f t="shared" si="3"/>
        <v>0</v>
      </c>
    </row>
    <row r="245" spans="1:4" ht="18" hidden="1" x14ac:dyDescent="0.3">
      <c r="A245" s="63" t="s">
        <v>244</v>
      </c>
      <c r="B245" s="7"/>
      <c r="C245" s="7"/>
      <c r="D245" s="8">
        <f t="shared" si="3"/>
        <v>0</v>
      </c>
    </row>
    <row r="246" spans="1:4" ht="18" hidden="1" x14ac:dyDescent="0.3">
      <c r="A246" s="64" t="s">
        <v>245</v>
      </c>
      <c r="B246" s="7"/>
      <c r="C246" s="7"/>
      <c r="D246" s="8">
        <f t="shared" si="3"/>
        <v>0</v>
      </c>
    </row>
    <row r="247" spans="1:4" ht="18" hidden="1" x14ac:dyDescent="0.3">
      <c r="A247" s="64" t="s">
        <v>246</v>
      </c>
      <c r="B247" s="7"/>
      <c r="C247" s="7"/>
      <c r="D247" s="8">
        <f t="shared" si="3"/>
        <v>0</v>
      </c>
    </row>
    <row r="248" spans="1:4" ht="18" hidden="1" x14ac:dyDescent="0.3">
      <c r="A248" s="79" t="s">
        <v>247</v>
      </c>
      <c r="B248" s="7"/>
      <c r="C248" s="7"/>
      <c r="D248" s="8">
        <f t="shared" si="3"/>
        <v>0</v>
      </c>
    </row>
    <row r="249" spans="1:4" ht="18" hidden="1" x14ac:dyDescent="0.3">
      <c r="A249" s="79" t="s">
        <v>248</v>
      </c>
      <c r="B249" s="7"/>
      <c r="C249" s="7"/>
      <c r="D249" s="8">
        <f t="shared" si="3"/>
        <v>0</v>
      </c>
    </row>
    <row r="250" spans="1:4" ht="18" hidden="1" x14ac:dyDescent="0.3">
      <c r="A250" s="64" t="s">
        <v>249</v>
      </c>
      <c r="B250" s="7"/>
      <c r="C250" s="7"/>
      <c r="D250" s="8">
        <f t="shared" si="3"/>
        <v>0</v>
      </c>
    </row>
    <row r="251" spans="1:4" ht="18" hidden="1" x14ac:dyDescent="0.3">
      <c r="A251" s="79" t="s">
        <v>250</v>
      </c>
      <c r="B251" s="7"/>
      <c r="C251" s="7"/>
      <c r="D251" s="8">
        <f t="shared" si="3"/>
        <v>0</v>
      </c>
    </row>
    <row r="252" spans="1:4" ht="18" hidden="1" x14ac:dyDescent="0.3">
      <c r="A252" s="79" t="s">
        <v>251</v>
      </c>
      <c r="B252" s="7"/>
      <c r="C252" s="7"/>
      <c r="D252" s="8">
        <f t="shared" si="3"/>
        <v>0</v>
      </c>
    </row>
    <row r="253" spans="1:4" ht="18" hidden="1" x14ac:dyDescent="0.3">
      <c r="A253" s="79" t="s">
        <v>252</v>
      </c>
      <c r="B253" s="7"/>
      <c r="C253" s="7"/>
      <c r="D253" s="8">
        <f t="shared" si="3"/>
        <v>0</v>
      </c>
    </row>
    <row r="254" spans="1:4" ht="18" hidden="1" x14ac:dyDescent="0.3">
      <c r="A254" s="63" t="s">
        <v>253</v>
      </c>
      <c r="B254" s="7"/>
      <c r="C254" s="7"/>
      <c r="D254" s="8">
        <f t="shared" si="3"/>
        <v>0</v>
      </c>
    </row>
    <row r="255" spans="1:4" ht="18" hidden="1" x14ac:dyDescent="0.3">
      <c r="A255" s="63" t="s">
        <v>254</v>
      </c>
      <c r="B255" s="7"/>
      <c r="C255" s="7"/>
      <c r="D255" s="8">
        <f t="shared" si="3"/>
        <v>0</v>
      </c>
    </row>
    <row r="256" spans="1:4" ht="18" hidden="1" x14ac:dyDescent="0.3">
      <c r="A256" s="63" t="s">
        <v>255</v>
      </c>
      <c r="B256" s="7"/>
      <c r="C256" s="7"/>
      <c r="D256" s="8">
        <f t="shared" si="3"/>
        <v>0</v>
      </c>
    </row>
    <row r="257" spans="1:4" ht="18" hidden="1" x14ac:dyDescent="0.3">
      <c r="A257" s="63" t="s">
        <v>256</v>
      </c>
      <c r="B257" s="7"/>
      <c r="C257" s="7"/>
      <c r="D257" s="8">
        <f t="shared" si="3"/>
        <v>0</v>
      </c>
    </row>
    <row r="258" spans="1:4" ht="18" hidden="1" x14ac:dyDescent="0.3">
      <c r="A258" s="63" t="s">
        <v>257</v>
      </c>
      <c r="B258" s="7"/>
      <c r="C258" s="7"/>
      <c r="D258" s="8">
        <f t="shared" si="3"/>
        <v>0</v>
      </c>
    </row>
    <row r="259" spans="1:4" ht="18" hidden="1" x14ac:dyDescent="0.3">
      <c r="A259" s="63" t="s">
        <v>258</v>
      </c>
      <c r="B259" s="7"/>
      <c r="C259" s="7"/>
      <c r="D259" s="8">
        <f t="shared" si="3"/>
        <v>0</v>
      </c>
    </row>
    <row r="260" spans="1:4" ht="18" hidden="1" x14ac:dyDescent="0.3">
      <c r="A260" s="63" t="s">
        <v>259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5" t="s">
        <v>260</v>
      </c>
      <c r="B261" s="7"/>
      <c r="C261" s="7"/>
      <c r="D261" s="8">
        <f t="shared" si="4"/>
        <v>0</v>
      </c>
    </row>
    <row r="262" spans="1:4" ht="18" hidden="1" x14ac:dyDescent="0.3">
      <c r="A262" s="63" t="s">
        <v>261</v>
      </c>
      <c r="B262" s="7"/>
      <c r="C262" s="7"/>
      <c r="D262" s="8">
        <f t="shared" si="4"/>
        <v>0</v>
      </c>
    </row>
    <row r="263" spans="1:4" ht="18" x14ac:dyDescent="0.3">
      <c r="A263" s="63" t="s">
        <v>262</v>
      </c>
      <c r="B263" s="7">
        <v>1</v>
      </c>
      <c r="C263" s="7">
        <v>11000</v>
      </c>
      <c r="D263" s="8">
        <f t="shared" si="4"/>
        <v>11000</v>
      </c>
    </row>
    <row r="264" spans="1:4" ht="18" x14ac:dyDescent="0.3">
      <c r="A264" s="63" t="s">
        <v>263</v>
      </c>
      <c r="B264" s="7">
        <f>20+25+45+12</f>
        <v>102</v>
      </c>
      <c r="C264" s="7">
        <v>8000</v>
      </c>
      <c r="D264" s="8">
        <f t="shared" si="4"/>
        <v>816000</v>
      </c>
    </row>
    <row r="265" spans="1:4" ht="18" hidden="1" x14ac:dyDescent="0.3">
      <c r="A265" s="63" t="s">
        <v>264</v>
      </c>
      <c r="B265" s="7"/>
      <c r="C265" s="7"/>
      <c r="D265" s="8">
        <f t="shared" si="4"/>
        <v>0</v>
      </c>
    </row>
    <row r="266" spans="1:4" ht="18" hidden="1" x14ac:dyDescent="0.3">
      <c r="A266" s="63" t="s">
        <v>265</v>
      </c>
      <c r="B266" s="7"/>
      <c r="C266" s="7"/>
      <c r="D266" s="8">
        <f t="shared" si="4"/>
        <v>0</v>
      </c>
    </row>
    <row r="267" spans="1:4" ht="18" hidden="1" x14ac:dyDescent="0.3">
      <c r="A267" s="63" t="s">
        <v>266</v>
      </c>
      <c r="B267" s="7"/>
      <c r="C267" s="7"/>
      <c r="D267" s="8">
        <f t="shared" si="4"/>
        <v>0</v>
      </c>
    </row>
    <row r="268" spans="1:4" ht="18" hidden="1" x14ac:dyDescent="0.3">
      <c r="A268" s="63" t="s">
        <v>267</v>
      </c>
      <c r="B268" s="7"/>
      <c r="C268" s="7"/>
      <c r="D268" s="8">
        <f t="shared" si="4"/>
        <v>0</v>
      </c>
    </row>
    <row r="269" spans="1:4" ht="18" hidden="1" x14ac:dyDescent="0.3">
      <c r="A269" s="74" t="s">
        <v>268</v>
      </c>
      <c r="B269" s="7"/>
      <c r="C269" s="7"/>
      <c r="D269" s="8">
        <f t="shared" si="4"/>
        <v>0</v>
      </c>
    </row>
    <row r="270" spans="1:4" ht="18" x14ac:dyDescent="0.3">
      <c r="A270" s="63" t="s">
        <v>269</v>
      </c>
      <c r="B270" s="7">
        <v>9</v>
      </c>
      <c r="C270" s="7">
        <v>23000</v>
      </c>
      <c r="D270" s="8">
        <f t="shared" si="4"/>
        <v>207000</v>
      </c>
    </row>
    <row r="271" spans="1:4" ht="18" hidden="1" x14ac:dyDescent="0.3">
      <c r="A271" s="63" t="s">
        <v>270</v>
      </c>
      <c r="B271" s="7"/>
      <c r="C271" s="7"/>
      <c r="D271" s="8">
        <f t="shared" si="4"/>
        <v>0</v>
      </c>
    </row>
    <row r="272" spans="1:4" ht="18" hidden="1" x14ac:dyDescent="0.3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">
      <c r="A273" s="60" t="s">
        <v>272</v>
      </c>
      <c r="B273" s="12"/>
      <c r="C273" s="7"/>
      <c r="D273" s="8">
        <f t="shared" si="4"/>
        <v>0</v>
      </c>
    </row>
    <row r="274" spans="1:4" ht="18" hidden="1" x14ac:dyDescent="0.3">
      <c r="A274" s="63" t="s">
        <v>273</v>
      </c>
      <c r="B274" s="7"/>
      <c r="C274" s="7"/>
      <c r="D274" s="8">
        <f t="shared" si="4"/>
        <v>0</v>
      </c>
    </row>
    <row r="275" spans="1:4" ht="18" hidden="1" x14ac:dyDescent="0.3">
      <c r="A275" s="63" t="s">
        <v>274</v>
      </c>
      <c r="B275" s="7"/>
      <c r="C275" s="7"/>
      <c r="D275" s="8">
        <f t="shared" si="4"/>
        <v>0</v>
      </c>
    </row>
    <row r="276" spans="1:4" ht="18" hidden="1" x14ac:dyDescent="0.3">
      <c r="A276" s="63" t="s">
        <v>275</v>
      </c>
      <c r="B276" s="7"/>
      <c r="C276" s="7"/>
      <c r="D276" s="8">
        <f t="shared" si="4"/>
        <v>0</v>
      </c>
    </row>
    <row r="277" spans="1:4" ht="18" hidden="1" x14ac:dyDescent="0.3">
      <c r="A277" s="65" t="s">
        <v>92</v>
      </c>
      <c r="B277" s="7"/>
      <c r="C277" s="7"/>
      <c r="D277" s="8">
        <f t="shared" si="4"/>
        <v>0</v>
      </c>
    </row>
    <row r="278" spans="1:4" ht="18" hidden="1" x14ac:dyDescent="0.3">
      <c r="A278" s="63" t="s">
        <v>276</v>
      </c>
      <c r="B278" s="7"/>
      <c r="C278" s="7"/>
      <c r="D278" s="8">
        <f t="shared" si="4"/>
        <v>0</v>
      </c>
    </row>
    <row r="279" spans="1:4" ht="18" hidden="1" x14ac:dyDescent="0.3">
      <c r="A279" s="72" t="s">
        <v>277</v>
      </c>
      <c r="B279" s="7"/>
      <c r="C279" s="7"/>
      <c r="D279" s="8">
        <f t="shared" si="4"/>
        <v>0</v>
      </c>
    </row>
    <row r="280" spans="1:4" ht="18" hidden="1" x14ac:dyDescent="0.3">
      <c r="A280" s="61" t="s">
        <v>278</v>
      </c>
      <c r="B280" s="7"/>
      <c r="C280" s="7"/>
      <c r="D280" s="8">
        <f t="shared" si="4"/>
        <v>0</v>
      </c>
    </row>
    <row r="281" spans="1:4" ht="18" hidden="1" x14ac:dyDescent="0.3">
      <c r="A281" s="63" t="s">
        <v>279</v>
      </c>
      <c r="B281" s="7"/>
      <c r="C281" s="7"/>
      <c r="D281" s="8">
        <f t="shared" si="4"/>
        <v>0</v>
      </c>
    </row>
    <row r="282" spans="1:4" ht="18" hidden="1" x14ac:dyDescent="0.3">
      <c r="A282" s="63" t="s">
        <v>280</v>
      </c>
      <c r="B282" s="7"/>
      <c r="C282" s="7"/>
      <c r="D282" s="8">
        <f t="shared" si="4"/>
        <v>0</v>
      </c>
    </row>
    <row r="283" spans="1:4" ht="18" hidden="1" x14ac:dyDescent="0.3">
      <c r="A283" s="63" t="s">
        <v>281</v>
      </c>
      <c r="B283" s="7"/>
      <c r="C283" s="7"/>
      <c r="D283" s="8">
        <f t="shared" si="4"/>
        <v>0</v>
      </c>
    </row>
    <row r="284" spans="1:4" ht="18" hidden="1" x14ac:dyDescent="0.3">
      <c r="A284" s="63" t="s">
        <v>282</v>
      </c>
      <c r="B284" s="7"/>
      <c r="C284" s="7"/>
      <c r="D284" s="8">
        <f t="shared" si="4"/>
        <v>0</v>
      </c>
    </row>
    <row r="285" spans="1:4" ht="18" hidden="1" x14ac:dyDescent="0.3">
      <c r="A285" s="60" t="s">
        <v>283</v>
      </c>
      <c r="B285" s="7"/>
      <c r="C285" s="7"/>
      <c r="D285" s="8">
        <f t="shared" si="4"/>
        <v>0</v>
      </c>
    </row>
    <row r="286" spans="1:4" ht="18" hidden="1" x14ac:dyDescent="0.3">
      <c r="A286" s="63" t="s">
        <v>313</v>
      </c>
      <c r="B286" s="7"/>
      <c r="C286" s="7"/>
      <c r="D286" s="8">
        <f t="shared" si="4"/>
        <v>0</v>
      </c>
    </row>
    <row r="287" spans="1:4" ht="18" hidden="1" x14ac:dyDescent="0.3">
      <c r="A287" s="61" t="s">
        <v>314</v>
      </c>
      <c r="B287" s="7"/>
      <c r="C287" s="7"/>
      <c r="D287" s="8">
        <f t="shared" si="4"/>
        <v>0</v>
      </c>
    </row>
    <row r="288" spans="1:4" ht="18" hidden="1" x14ac:dyDescent="0.3">
      <c r="A288" s="61" t="s">
        <v>315</v>
      </c>
      <c r="B288" s="7"/>
      <c r="C288" s="7"/>
      <c r="D288" s="8">
        <f t="shared" si="4"/>
        <v>0</v>
      </c>
    </row>
    <row r="289" spans="1:4" ht="18" hidden="1" x14ac:dyDescent="0.3">
      <c r="A289" s="63" t="s">
        <v>284</v>
      </c>
      <c r="B289" s="7"/>
      <c r="C289" s="7"/>
      <c r="D289" s="8">
        <f t="shared" si="4"/>
        <v>0</v>
      </c>
    </row>
    <row r="290" spans="1:4" ht="18" hidden="1" x14ac:dyDescent="0.3">
      <c r="A290" s="61" t="s">
        <v>285</v>
      </c>
      <c r="B290" s="7"/>
      <c r="C290" s="7"/>
      <c r="D290" s="8">
        <f t="shared" si="4"/>
        <v>0</v>
      </c>
    </row>
    <row r="291" spans="1:4" ht="18" hidden="1" x14ac:dyDescent="0.3">
      <c r="A291" s="61" t="s">
        <v>286</v>
      </c>
      <c r="B291" s="7"/>
      <c r="C291" s="7"/>
      <c r="D291" s="8">
        <f t="shared" si="4"/>
        <v>0</v>
      </c>
    </row>
    <row r="292" spans="1:4" ht="18" hidden="1" x14ac:dyDescent="0.3">
      <c r="A292" s="61" t="s">
        <v>287</v>
      </c>
      <c r="B292" s="7"/>
      <c r="C292" s="7"/>
      <c r="D292" s="8">
        <f t="shared" si="4"/>
        <v>0</v>
      </c>
    </row>
    <row r="293" spans="1:4" ht="18" hidden="1" x14ac:dyDescent="0.3">
      <c r="A293" s="63" t="s">
        <v>288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6568</v>
      </c>
      <c r="C294" s="32"/>
      <c r="D294" s="32">
        <f t="shared" si="5"/>
        <v>86294500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I37" sqref="I37"/>
    </sheetView>
  </sheetViews>
  <sheetFormatPr defaultRowHeight="14.4" x14ac:dyDescent="0.3"/>
  <cols>
    <col min="1" max="1" width="30.109375" customWidth="1"/>
    <col min="3" max="3" width="15.109375" customWidth="1"/>
    <col min="4" max="4" width="19.109375" customWidth="1"/>
  </cols>
  <sheetData>
    <row r="1" spans="1:4" x14ac:dyDescent="0.3">
      <c r="A1" s="57" t="s">
        <v>325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x14ac:dyDescent="0.3">
      <c r="A3" s="60" t="s">
        <v>303</v>
      </c>
      <c r="B3" s="7">
        <f>14+30</f>
        <v>44</v>
      </c>
      <c r="C3" s="7">
        <v>7000</v>
      </c>
      <c r="D3" s="8">
        <f>B3*C3</f>
        <v>308000</v>
      </c>
    </row>
    <row r="4" spans="1:4" ht="18" hidden="1" x14ac:dyDescent="0.3">
      <c r="A4" s="61" t="s">
        <v>304</v>
      </c>
      <c r="B4" s="7"/>
      <c r="C4" s="7"/>
      <c r="D4" s="8">
        <f t="shared" ref="D4:D67" si="0">B4*C4</f>
        <v>0</v>
      </c>
    </row>
    <row r="5" spans="1:4" ht="18" hidden="1" x14ac:dyDescent="0.3">
      <c r="A5" s="60" t="s">
        <v>305</v>
      </c>
      <c r="B5" s="7"/>
      <c r="C5" s="7"/>
      <c r="D5" s="8">
        <f t="shared" si="0"/>
        <v>0</v>
      </c>
    </row>
    <row r="6" spans="1:4" ht="18" hidden="1" x14ac:dyDescent="0.3">
      <c r="A6" s="60" t="s">
        <v>306</v>
      </c>
      <c r="B6" s="7"/>
      <c r="C6" s="7"/>
      <c r="D6" s="8">
        <f t="shared" si="0"/>
        <v>0</v>
      </c>
    </row>
    <row r="7" spans="1:4" ht="18" hidden="1" x14ac:dyDescent="0.3">
      <c r="A7" s="60" t="s">
        <v>2</v>
      </c>
      <c r="B7" s="7"/>
      <c r="C7" s="7"/>
      <c r="D7" s="8">
        <f t="shared" si="0"/>
        <v>0</v>
      </c>
    </row>
    <row r="8" spans="1:4" ht="18" hidden="1" x14ac:dyDescent="0.3">
      <c r="A8" s="62" t="s">
        <v>3</v>
      </c>
      <c r="B8" s="7"/>
      <c r="C8" s="7"/>
      <c r="D8" s="8">
        <f t="shared" si="0"/>
        <v>0</v>
      </c>
    </row>
    <row r="9" spans="1:4" ht="18" hidden="1" x14ac:dyDescent="0.3">
      <c r="A9" s="63" t="s">
        <v>4</v>
      </c>
      <c r="B9" s="7"/>
      <c r="C9" s="7"/>
      <c r="D9" s="8">
        <f t="shared" si="0"/>
        <v>0</v>
      </c>
    </row>
    <row r="10" spans="1:4" ht="18" hidden="1" x14ac:dyDescent="0.3">
      <c r="A10" s="60" t="s">
        <v>9</v>
      </c>
      <c r="B10" s="12"/>
      <c r="C10" s="12"/>
      <c r="D10" s="8">
        <f t="shared" si="0"/>
        <v>0</v>
      </c>
    </row>
    <row r="11" spans="1:4" ht="18" hidden="1" x14ac:dyDescent="0.3">
      <c r="A11" s="60" t="s">
        <v>10</v>
      </c>
      <c r="B11" s="12"/>
      <c r="C11" s="12"/>
      <c r="D11" s="8">
        <f t="shared" si="0"/>
        <v>0</v>
      </c>
    </row>
    <row r="12" spans="1:4" ht="18" hidden="1" x14ac:dyDescent="0.3">
      <c r="A12" s="63" t="s">
        <v>11</v>
      </c>
      <c r="B12" s="7"/>
      <c r="C12" s="7"/>
      <c r="D12" s="8">
        <f t="shared" si="0"/>
        <v>0</v>
      </c>
    </row>
    <row r="13" spans="1:4" ht="18" hidden="1" x14ac:dyDescent="0.3">
      <c r="A13" s="63" t="s">
        <v>12</v>
      </c>
      <c r="B13" s="7"/>
      <c r="C13" s="7"/>
      <c r="D13" s="8">
        <f t="shared" si="0"/>
        <v>0</v>
      </c>
    </row>
    <row r="14" spans="1:4" ht="18" hidden="1" x14ac:dyDescent="0.3">
      <c r="A14" s="63" t="s">
        <v>13</v>
      </c>
      <c r="B14" s="12"/>
      <c r="C14" s="12"/>
      <c r="D14" s="8">
        <f t="shared" si="0"/>
        <v>0</v>
      </c>
    </row>
    <row r="15" spans="1:4" ht="18" hidden="1" x14ac:dyDescent="0.3">
      <c r="A15" s="64" t="s">
        <v>14</v>
      </c>
      <c r="B15" s="7"/>
      <c r="C15" s="7"/>
      <c r="D15" s="8">
        <f t="shared" si="0"/>
        <v>0</v>
      </c>
    </row>
    <row r="16" spans="1:4" ht="18" hidden="1" x14ac:dyDescent="0.3">
      <c r="A16" s="61" t="s">
        <v>15</v>
      </c>
      <c r="B16" s="7"/>
      <c r="C16" s="7"/>
      <c r="D16" s="8">
        <f t="shared" si="0"/>
        <v>0</v>
      </c>
    </row>
    <row r="17" spans="1:4" ht="18" hidden="1" x14ac:dyDescent="0.3">
      <c r="A17" s="13" t="s">
        <v>16</v>
      </c>
      <c r="B17" s="7"/>
      <c r="C17" s="7"/>
      <c r="D17" s="8">
        <f t="shared" si="0"/>
        <v>0</v>
      </c>
    </row>
    <row r="18" spans="1:4" ht="18" hidden="1" x14ac:dyDescent="0.3">
      <c r="A18" s="63" t="s">
        <v>17</v>
      </c>
      <c r="B18" s="7"/>
      <c r="C18" s="7"/>
      <c r="D18" s="8">
        <f t="shared" si="0"/>
        <v>0</v>
      </c>
    </row>
    <row r="19" spans="1:4" ht="18" hidden="1" x14ac:dyDescent="0.3">
      <c r="A19" s="63" t="s">
        <v>18</v>
      </c>
      <c r="B19" s="7"/>
      <c r="C19" s="7"/>
      <c r="D19" s="8">
        <f t="shared" si="0"/>
        <v>0</v>
      </c>
    </row>
    <row r="20" spans="1:4" ht="18" hidden="1" x14ac:dyDescent="0.3">
      <c r="A20" s="63" t="s">
        <v>19</v>
      </c>
      <c r="B20" s="7"/>
      <c r="C20" s="7"/>
      <c r="D20" s="8">
        <f t="shared" si="0"/>
        <v>0</v>
      </c>
    </row>
    <row r="21" spans="1:4" ht="18" hidden="1" x14ac:dyDescent="0.3">
      <c r="A21" s="61" t="s">
        <v>20</v>
      </c>
      <c r="B21" s="7"/>
      <c r="C21" s="7"/>
      <c r="D21" s="8">
        <f t="shared" si="0"/>
        <v>0</v>
      </c>
    </row>
    <row r="22" spans="1:4" ht="18" x14ac:dyDescent="0.3">
      <c r="A22" s="63" t="s">
        <v>21</v>
      </c>
      <c r="B22" s="7">
        <f>85+60-44</f>
        <v>101</v>
      </c>
      <c r="C22" s="7">
        <v>29000</v>
      </c>
      <c r="D22" s="8">
        <f t="shared" si="0"/>
        <v>2929000</v>
      </c>
    </row>
    <row r="23" spans="1:4" ht="18" hidden="1" x14ac:dyDescent="0.3">
      <c r="A23" s="63" t="s">
        <v>22</v>
      </c>
      <c r="B23" s="7"/>
      <c r="C23" s="7"/>
      <c r="D23" s="8">
        <f t="shared" si="0"/>
        <v>0</v>
      </c>
    </row>
    <row r="24" spans="1:4" ht="18" hidden="1" x14ac:dyDescent="0.3">
      <c r="A24" s="63" t="s">
        <v>23</v>
      </c>
      <c r="B24" s="7"/>
      <c r="C24" s="7"/>
      <c r="D24" s="8">
        <f t="shared" si="0"/>
        <v>0</v>
      </c>
    </row>
    <row r="25" spans="1:4" ht="18" hidden="1" x14ac:dyDescent="0.3">
      <c r="A25" s="63" t="s">
        <v>24</v>
      </c>
      <c r="B25" s="7"/>
      <c r="C25" s="7"/>
      <c r="D25" s="8">
        <f t="shared" si="0"/>
        <v>0</v>
      </c>
    </row>
    <row r="26" spans="1:4" ht="18" hidden="1" x14ac:dyDescent="0.3">
      <c r="A26" s="63" t="s">
        <v>25</v>
      </c>
      <c r="B26" s="7"/>
      <c r="C26" s="7"/>
      <c r="D26" s="8">
        <f t="shared" si="0"/>
        <v>0</v>
      </c>
    </row>
    <row r="27" spans="1:4" ht="18" hidden="1" x14ac:dyDescent="0.3">
      <c r="A27" s="63" t="s">
        <v>26</v>
      </c>
      <c r="B27" s="7"/>
      <c r="C27" s="7"/>
      <c r="D27" s="8">
        <f t="shared" si="0"/>
        <v>0</v>
      </c>
    </row>
    <row r="28" spans="1:4" ht="18" hidden="1" x14ac:dyDescent="0.3">
      <c r="A28" s="63" t="s">
        <v>27</v>
      </c>
      <c r="B28" s="7"/>
      <c r="C28" s="7"/>
      <c r="D28" s="8">
        <f t="shared" si="0"/>
        <v>0</v>
      </c>
    </row>
    <row r="29" spans="1:4" ht="18" hidden="1" x14ac:dyDescent="0.3">
      <c r="A29" s="63" t="s">
        <v>28</v>
      </c>
      <c r="B29" s="7"/>
      <c r="C29" s="7"/>
      <c r="D29" s="8">
        <f t="shared" si="0"/>
        <v>0</v>
      </c>
    </row>
    <row r="30" spans="1:4" ht="18" hidden="1" x14ac:dyDescent="0.3">
      <c r="A30" s="63" t="s">
        <v>29</v>
      </c>
      <c r="B30" s="7"/>
      <c r="C30" s="7"/>
      <c r="D30" s="8">
        <f t="shared" si="0"/>
        <v>0</v>
      </c>
    </row>
    <row r="31" spans="1:4" ht="18" x14ac:dyDescent="0.3">
      <c r="A31" s="63" t="s">
        <v>30</v>
      </c>
      <c r="B31" s="7">
        <f>22+8+15</f>
        <v>45</v>
      </c>
      <c r="C31" s="7">
        <v>27000</v>
      </c>
      <c r="D31" s="8">
        <f t="shared" si="0"/>
        <v>1215000</v>
      </c>
    </row>
    <row r="32" spans="1:4" ht="18" x14ac:dyDescent="0.3">
      <c r="A32" s="63" t="s">
        <v>31</v>
      </c>
      <c r="B32" s="7">
        <v>60</v>
      </c>
      <c r="C32" s="7">
        <v>22000</v>
      </c>
      <c r="D32" s="8">
        <f t="shared" si="0"/>
        <v>1320000</v>
      </c>
    </row>
    <row r="33" spans="1:4" ht="18" hidden="1" x14ac:dyDescent="0.3">
      <c r="A33" s="63" t="s">
        <v>32</v>
      </c>
      <c r="B33" s="7"/>
      <c r="C33" s="7"/>
      <c r="D33" s="8">
        <f t="shared" si="0"/>
        <v>0</v>
      </c>
    </row>
    <row r="34" spans="1:4" ht="18" x14ac:dyDescent="0.3">
      <c r="A34" s="63" t="s">
        <v>33</v>
      </c>
      <c r="B34" s="7">
        <f>15+25</f>
        <v>40</v>
      </c>
      <c r="C34" s="7">
        <v>12000</v>
      </c>
      <c r="D34" s="8">
        <f t="shared" si="0"/>
        <v>480000</v>
      </c>
    </row>
    <row r="35" spans="1:4" ht="18" hidden="1" x14ac:dyDescent="0.3">
      <c r="A35" s="65" t="s">
        <v>34</v>
      </c>
      <c r="B35" s="7"/>
      <c r="C35" s="7"/>
      <c r="D35" s="8">
        <f t="shared" si="0"/>
        <v>0</v>
      </c>
    </row>
    <row r="36" spans="1:4" ht="18" hidden="1" x14ac:dyDescent="0.3">
      <c r="A36" s="63" t="s">
        <v>35</v>
      </c>
      <c r="B36" s="7"/>
      <c r="C36" s="7"/>
      <c r="D36" s="8">
        <f t="shared" si="0"/>
        <v>0</v>
      </c>
    </row>
    <row r="37" spans="1:4" ht="18" x14ac:dyDescent="0.3">
      <c r="A37" s="60" t="s">
        <v>36</v>
      </c>
      <c r="B37" s="7">
        <v>11</v>
      </c>
      <c r="C37" s="7">
        <v>21000</v>
      </c>
      <c r="D37" s="8">
        <f t="shared" si="0"/>
        <v>231000</v>
      </c>
    </row>
    <row r="38" spans="1:4" ht="18" hidden="1" x14ac:dyDescent="0.3">
      <c r="A38" s="63" t="s">
        <v>37</v>
      </c>
      <c r="B38" s="7"/>
      <c r="C38" s="7"/>
      <c r="D38" s="8">
        <f t="shared" si="0"/>
        <v>0</v>
      </c>
    </row>
    <row r="39" spans="1:4" ht="18" x14ac:dyDescent="0.3">
      <c r="A39" s="63" t="s">
        <v>38</v>
      </c>
      <c r="B39" s="7">
        <v>9</v>
      </c>
      <c r="C39" s="7">
        <v>27000</v>
      </c>
      <c r="D39" s="8">
        <f t="shared" si="0"/>
        <v>243000</v>
      </c>
    </row>
    <row r="40" spans="1:4" ht="18" hidden="1" x14ac:dyDescent="0.3">
      <c r="A40" s="66" t="s">
        <v>39</v>
      </c>
      <c r="B40" s="7"/>
      <c r="C40" s="7"/>
      <c r="D40" s="8">
        <f t="shared" si="0"/>
        <v>0</v>
      </c>
    </row>
    <row r="41" spans="1:4" ht="18" x14ac:dyDescent="0.3">
      <c r="A41" s="63" t="s">
        <v>40</v>
      </c>
      <c r="B41" s="7">
        <f>165+30</f>
        <v>195</v>
      </c>
      <c r="C41" s="7">
        <v>13000</v>
      </c>
      <c r="D41" s="8">
        <f t="shared" si="0"/>
        <v>2535000</v>
      </c>
    </row>
    <row r="42" spans="1:4" ht="18" hidden="1" x14ac:dyDescent="0.3">
      <c r="A42" s="63" t="s">
        <v>41</v>
      </c>
      <c r="B42" s="7"/>
      <c r="C42" s="7"/>
      <c r="D42" s="8">
        <f t="shared" si="0"/>
        <v>0</v>
      </c>
    </row>
    <row r="43" spans="1:4" ht="18" x14ac:dyDescent="0.3">
      <c r="A43" s="63" t="s">
        <v>42</v>
      </c>
      <c r="B43" s="7">
        <f>95+43</f>
        <v>138</v>
      </c>
      <c r="C43" s="7">
        <v>17000</v>
      </c>
      <c r="D43" s="8">
        <f t="shared" si="0"/>
        <v>2346000</v>
      </c>
    </row>
    <row r="44" spans="1:4" ht="18" hidden="1" x14ac:dyDescent="0.3">
      <c r="A44" s="63" t="s">
        <v>43</v>
      </c>
      <c r="B44" s="7"/>
      <c r="C44" s="7"/>
      <c r="D44" s="8">
        <f t="shared" si="0"/>
        <v>0</v>
      </c>
    </row>
    <row r="45" spans="1:4" ht="18" hidden="1" x14ac:dyDescent="0.3">
      <c r="A45" s="63" t="s">
        <v>44</v>
      </c>
      <c r="B45" s="7"/>
      <c r="C45" s="7"/>
      <c r="D45" s="8">
        <f t="shared" si="0"/>
        <v>0</v>
      </c>
    </row>
    <row r="46" spans="1:4" ht="18" x14ac:dyDescent="0.3">
      <c r="A46" s="67" t="s">
        <v>46</v>
      </c>
      <c r="B46" s="7">
        <v>90</v>
      </c>
      <c r="C46" s="7">
        <v>9000</v>
      </c>
      <c r="D46" s="8">
        <f t="shared" si="0"/>
        <v>810000</v>
      </c>
    </row>
    <row r="47" spans="1:4" ht="18" hidden="1" x14ac:dyDescent="0.3">
      <c r="A47" s="65" t="s">
        <v>47</v>
      </c>
      <c r="B47" s="7"/>
      <c r="C47" s="7"/>
      <c r="D47" s="8">
        <f t="shared" si="0"/>
        <v>0</v>
      </c>
    </row>
    <row r="48" spans="1:4" ht="18" hidden="1" x14ac:dyDescent="0.3">
      <c r="A48" s="61" t="s">
        <v>300</v>
      </c>
      <c r="B48" s="7"/>
      <c r="C48" s="7"/>
      <c r="D48" s="8">
        <f t="shared" si="0"/>
        <v>0</v>
      </c>
    </row>
    <row r="49" spans="1:4" ht="18" hidden="1" x14ac:dyDescent="0.3">
      <c r="A49" s="63" t="s">
        <v>48</v>
      </c>
      <c r="B49" s="7"/>
      <c r="C49" s="7"/>
      <c r="D49" s="8">
        <f t="shared" si="0"/>
        <v>0</v>
      </c>
    </row>
    <row r="50" spans="1:4" ht="18" hidden="1" x14ac:dyDescent="0.3">
      <c r="A50" s="63" t="s">
        <v>49</v>
      </c>
      <c r="B50" s="7"/>
      <c r="C50" s="7"/>
      <c r="D50" s="8">
        <f t="shared" si="0"/>
        <v>0</v>
      </c>
    </row>
    <row r="51" spans="1:4" ht="18" x14ac:dyDescent="0.3">
      <c r="A51" s="63" t="s">
        <v>50</v>
      </c>
      <c r="B51" s="7">
        <v>19</v>
      </c>
      <c r="C51" s="7">
        <v>5500</v>
      </c>
      <c r="D51" s="8">
        <f t="shared" si="0"/>
        <v>104500</v>
      </c>
    </row>
    <row r="52" spans="1:4" ht="18" hidden="1" x14ac:dyDescent="0.3">
      <c r="A52" s="60" t="s">
        <v>51</v>
      </c>
      <c r="B52" s="7"/>
      <c r="C52" s="7"/>
      <c r="D52" s="8">
        <f t="shared" si="0"/>
        <v>0</v>
      </c>
    </row>
    <row r="53" spans="1:4" ht="18" x14ac:dyDescent="0.3">
      <c r="A53" s="63" t="s">
        <v>52</v>
      </c>
      <c r="B53" s="7">
        <f>23+45-25</f>
        <v>43</v>
      </c>
      <c r="C53" s="7">
        <v>5000</v>
      </c>
      <c r="D53" s="8">
        <f t="shared" si="0"/>
        <v>215000</v>
      </c>
    </row>
    <row r="54" spans="1:4" ht="18" hidden="1" x14ac:dyDescent="0.3">
      <c r="A54" s="68" t="s">
        <v>53</v>
      </c>
      <c r="B54" s="7"/>
      <c r="C54" s="7"/>
      <c r="D54" s="8">
        <f t="shared" si="0"/>
        <v>0</v>
      </c>
    </row>
    <row r="55" spans="1:4" ht="18" hidden="1" x14ac:dyDescent="0.3">
      <c r="A55" s="63" t="s">
        <v>54</v>
      </c>
      <c r="B55" s="7"/>
      <c r="C55" s="7"/>
      <c r="D55" s="8">
        <f t="shared" si="0"/>
        <v>0</v>
      </c>
    </row>
    <row r="56" spans="1:4" ht="18" hidden="1" x14ac:dyDescent="0.3">
      <c r="A56" s="17" t="s">
        <v>55</v>
      </c>
      <c r="B56" s="7"/>
      <c r="C56" s="7"/>
      <c r="D56" s="8">
        <f t="shared" si="0"/>
        <v>0</v>
      </c>
    </row>
    <row r="57" spans="1:4" ht="18" hidden="1" x14ac:dyDescent="0.3">
      <c r="A57" s="63" t="s">
        <v>56</v>
      </c>
      <c r="B57" s="7"/>
      <c r="C57" s="7"/>
      <c r="D57" s="8">
        <f t="shared" si="0"/>
        <v>0</v>
      </c>
    </row>
    <row r="58" spans="1:4" ht="18" x14ac:dyDescent="0.3">
      <c r="A58" s="63" t="s">
        <v>57</v>
      </c>
      <c r="B58" s="7">
        <v>3</v>
      </c>
      <c r="C58" s="7">
        <v>10000</v>
      </c>
      <c r="D58" s="8">
        <f t="shared" si="0"/>
        <v>30000</v>
      </c>
    </row>
    <row r="59" spans="1:4" ht="18" hidden="1" x14ac:dyDescent="0.3">
      <c r="A59" s="67" t="s">
        <v>58</v>
      </c>
      <c r="B59" s="7"/>
      <c r="C59" s="7"/>
      <c r="D59" s="8">
        <f t="shared" si="0"/>
        <v>0</v>
      </c>
    </row>
    <row r="60" spans="1:4" ht="18" hidden="1" x14ac:dyDescent="0.3">
      <c r="A60" s="60" t="s">
        <v>59</v>
      </c>
      <c r="B60" s="7"/>
      <c r="C60" s="7"/>
      <c r="D60" s="8">
        <f t="shared" si="0"/>
        <v>0</v>
      </c>
    </row>
    <row r="61" spans="1:4" ht="18" hidden="1" x14ac:dyDescent="0.3">
      <c r="A61" s="60" t="s">
        <v>60</v>
      </c>
      <c r="B61" s="7"/>
      <c r="C61" s="7"/>
      <c r="D61" s="8">
        <f t="shared" si="0"/>
        <v>0</v>
      </c>
    </row>
    <row r="62" spans="1:4" ht="18" hidden="1" x14ac:dyDescent="0.3">
      <c r="A62" s="63" t="s">
        <v>61</v>
      </c>
      <c r="B62" s="7"/>
      <c r="C62" s="7"/>
      <c r="D62" s="8">
        <f t="shared" si="0"/>
        <v>0</v>
      </c>
    </row>
    <row r="63" spans="1:4" ht="18" hidden="1" x14ac:dyDescent="0.3">
      <c r="A63" s="69" t="s">
        <v>62</v>
      </c>
      <c r="B63" s="19"/>
      <c r="C63" s="19"/>
      <c r="D63" s="8">
        <f t="shared" si="0"/>
        <v>0</v>
      </c>
    </row>
    <row r="64" spans="1:4" ht="18" hidden="1" x14ac:dyDescent="0.3">
      <c r="A64" s="63" t="s">
        <v>63</v>
      </c>
      <c r="B64" s="7"/>
      <c r="C64" s="7"/>
      <c r="D64" s="8">
        <f t="shared" si="0"/>
        <v>0</v>
      </c>
    </row>
    <row r="65" spans="1:4" ht="18" x14ac:dyDescent="0.3">
      <c r="A65" s="60" t="s">
        <v>64</v>
      </c>
      <c r="B65" s="7">
        <v>20</v>
      </c>
      <c r="C65" s="7">
        <v>12000</v>
      </c>
      <c r="D65" s="8">
        <f t="shared" si="0"/>
        <v>240000</v>
      </c>
    </row>
    <row r="66" spans="1:4" ht="18" hidden="1" x14ac:dyDescent="0.3">
      <c r="A66" s="60" t="s">
        <v>65</v>
      </c>
      <c r="B66" s="7"/>
      <c r="C66" s="7"/>
      <c r="D66" s="8">
        <f t="shared" si="0"/>
        <v>0</v>
      </c>
    </row>
    <row r="67" spans="1:4" ht="18" hidden="1" x14ac:dyDescent="0.3">
      <c r="A67" s="63" t="s">
        <v>66</v>
      </c>
      <c r="B67" s="7"/>
      <c r="C67" s="7"/>
      <c r="D67" s="8">
        <f t="shared" si="0"/>
        <v>0</v>
      </c>
    </row>
    <row r="68" spans="1:4" ht="18" x14ac:dyDescent="0.3">
      <c r="A68" s="60" t="s">
        <v>67</v>
      </c>
      <c r="B68" s="7">
        <f>90+140+30+160+160+100+20</f>
        <v>700</v>
      </c>
      <c r="C68" s="7">
        <v>26000</v>
      </c>
      <c r="D68" s="8">
        <f t="shared" ref="D68:D131" si="1">B68*C68</f>
        <v>18200000</v>
      </c>
    </row>
    <row r="69" spans="1:4" ht="18" hidden="1" x14ac:dyDescent="0.3">
      <c r="A69" s="63" t="s">
        <v>68</v>
      </c>
      <c r="B69" s="7"/>
      <c r="C69" s="7"/>
      <c r="D69" s="8">
        <f t="shared" si="1"/>
        <v>0</v>
      </c>
    </row>
    <row r="70" spans="1:4" ht="18" hidden="1" x14ac:dyDescent="0.3">
      <c r="A70" s="63" t="s">
        <v>69</v>
      </c>
      <c r="B70" s="7"/>
      <c r="C70" s="7"/>
      <c r="D70" s="8">
        <f t="shared" si="1"/>
        <v>0</v>
      </c>
    </row>
    <row r="71" spans="1:4" ht="18" hidden="1" x14ac:dyDescent="0.3">
      <c r="A71" s="63" t="s">
        <v>70</v>
      </c>
      <c r="B71" s="7"/>
      <c r="C71" s="7"/>
      <c r="D71" s="8">
        <f t="shared" si="1"/>
        <v>0</v>
      </c>
    </row>
    <row r="72" spans="1:4" ht="18" hidden="1" x14ac:dyDescent="0.3">
      <c r="A72" s="63" t="s">
        <v>71</v>
      </c>
      <c r="B72" s="7"/>
      <c r="C72" s="7"/>
      <c r="D72" s="8">
        <f t="shared" si="1"/>
        <v>0</v>
      </c>
    </row>
    <row r="73" spans="1:4" ht="18" hidden="1" x14ac:dyDescent="0.3">
      <c r="A73" s="70" t="s">
        <v>72</v>
      </c>
      <c r="B73" s="7"/>
      <c r="C73" s="7"/>
      <c r="D73" s="8">
        <f t="shared" si="1"/>
        <v>0</v>
      </c>
    </row>
    <row r="74" spans="1:4" ht="18" hidden="1" x14ac:dyDescent="0.3">
      <c r="A74" s="71" t="s">
        <v>73</v>
      </c>
      <c r="B74" s="7"/>
      <c r="C74" s="7"/>
      <c r="D74" s="8">
        <f t="shared" si="1"/>
        <v>0</v>
      </c>
    </row>
    <row r="75" spans="1:4" ht="18" hidden="1" x14ac:dyDescent="0.3">
      <c r="A75" s="70" t="s">
        <v>74</v>
      </c>
      <c r="B75" s="7"/>
      <c r="C75" s="7"/>
      <c r="D75" s="8">
        <f t="shared" si="1"/>
        <v>0</v>
      </c>
    </row>
    <row r="76" spans="1:4" ht="18" x14ac:dyDescent="0.3">
      <c r="A76" s="68" t="s">
        <v>75</v>
      </c>
      <c r="B76" s="7">
        <v>5</v>
      </c>
      <c r="C76" s="7">
        <v>11000</v>
      </c>
      <c r="D76" s="8">
        <f t="shared" si="1"/>
        <v>55000</v>
      </c>
    </row>
    <row r="77" spans="1:4" ht="18" hidden="1" x14ac:dyDescent="0.3">
      <c r="A77" s="72" t="s">
        <v>76</v>
      </c>
      <c r="B77" s="7"/>
      <c r="C77" s="7"/>
      <c r="D77" s="8">
        <f t="shared" si="1"/>
        <v>0</v>
      </c>
    </row>
    <row r="78" spans="1:4" ht="18" hidden="1" x14ac:dyDescent="0.3">
      <c r="A78" s="72" t="s">
        <v>77</v>
      </c>
      <c r="B78" s="7"/>
      <c r="C78" s="7"/>
      <c r="D78" s="8">
        <f t="shared" si="1"/>
        <v>0</v>
      </c>
    </row>
    <row r="79" spans="1:4" ht="18" hidden="1" x14ac:dyDescent="0.3">
      <c r="A79" s="22" t="s">
        <v>78</v>
      </c>
      <c r="B79" s="7"/>
      <c r="C79" s="7"/>
      <c r="D79" s="8">
        <f t="shared" si="1"/>
        <v>0</v>
      </c>
    </row>
    <row r="80" spans="1:4" ht="18" hidden="1" x14ac:dyDescent="0.3">
      <c r="A80" s="72" t="s">
        <v>79</v>
      </c>
      <c r="B80" s="7"/>
      <c r="C80" s="7"/>
      <c r="D80" s="8">
        <f t="shared" si="1"/>
        <v>0</v>
      </c>
    </row>
    <row r="81" spans="1:4" ht="18" hidden="1" x14ac:dyDescent="0.3">
      <c r="A81" s="63" t="s">
        <v>80</v>
      </c>
      <c r="B81" s="23"/>
      <c r="C81" s="23"/>
      <c r="D81" s="8">
        <f t="shared" si="1"/>
        <v>0</v>
      </c>
    </row>
    <row r="82" spans="1:4" ht="18" hidden="1" x14ac:dyDescent="0.3">
      <c r="A82" s="63" t="s">
        <v>81</v>
      </c>
      <c r="B82" s="7"/>
      <c r="C82" s="7"/>
      <c r="D82" s="8">
        <f t="shared" si="1"/>
        <v>0</v>
      </c>
    </row>
    <row r="83" spans="1:4" ht="18" x14ac:dyDescent="0.3">
      <c r="A83" s="63" t="s">
        <v>82</v>
      </c>
      <c r="B83" s="7">
        <v>25</v>
      </c>
      <c r="C83" s="7">
        <v>32000</v>
      </c>
      <c r="D83" s="8">
        <f t="shared" si="1"/>
        <v>800000</v>
      </c>
    </row>
    <row r="84" spans="1:4" ht="18" hidden="1" x14ac:dyDescent="0.3">
      <c r="A84" s="63" t="s">
        <v>83</v>
      </c>
      <c r="B84" s="7"/>
      <c r="C84" s="7"/>
      <c r="D84" s="8">
        <f t="shared" si="1"/>
        <v>0</v>
      </c>
    </row>
    <row r="85" spans="1:4" ht="18" x14ac:dyDescent="0.3">
      <c r="A85" s="63" t="s">
        <v>84</v>
      </c>
      <c r="B85" s="7">
        <v>46</v>
      </c>
      <c r="C85" s="7">
        <v>20000</v>
      </c>
      <c r="D85" s="8">
        <f t="shared" si="1"/>
        <v>920000</v>
      </c>
    </row>
    <row r="86" spans="1:4" ht="18" hidden="1" x14ac:dyDescent="0.3">
      <c r="A86" s="63" t="s">
        <v>85</v>
      </c>
      <c r="B86" s="7"/>
      <c r="C86" s="7"/>
      <c r="D86" s="8">
        <f t="shared" si="1"/>
        <v>0</v>
      </c>
    </row>
    <row r="87" spans="1:4" ht="18" hidden="1" x14ac:dyDescent="0.3">
      <c r="A87" s="63" t="s">
        <v>86</v>
      </c>
      <c r="B87" s="7"/>
      <c r="C87" s="7"/>
      <c r="D87" s="8">
        <f t="shared" si="1"/>
        <v>0</v>
      </c>
    </row>
    <row r="88" spans="1:4" ht="18" hidden="1" x14ac:dyDescent="0.3">
      <c r="A88" s="73" t="s">
        <v>87</v>
      </c>
      <c r="B88" s="7"/>
      <c r="C88" s="7"/>
      <c r="D88" s="8">
        <f t="shared" si="1"/>
        <v>0</v>
      </c>
    </row>
    <row r="89" spans="1:4" ht="18" hidden="1" x14ac:dyDescent="0.3">
      <c r="A89" s="63" t="s">
        <v>88</v>
      </c>
      <c r="B89" s="7"/>
      <c r="C89" s="7"/>
      <c r="D89" s="8">
        <f t="shared" si="1"/>
        <v>0</v>
      </c>
    </row>
    <row r="90" spans="1:4" ht="18" hidden="1" x14ac:dyDescent="0.3">
      <c r="A90" s="63" t="s">
        <v>89</v>
      </c>
      <c r="B90" s="7"/>
      <c r="C90" s="7"/>
      <c r="D90" s="8">
        <f t="shared" si="1"/>
        <v>0</v>
      </c>
    </row>
    <row r="91" spans="1:4" ht="18" hidden="1" x14ac:dyDescent="0.3">
      <c r="A91" s="63" t="s">
        <v>90</v>
      </c>
      <c r="B91" s="12"/>
      <c r="C91" s="7"/>
      <c r="D91" s="8">
        <f t="shared" si="1"/>
        <v>0</v>
      </c>
    </row>
    <row r="92" spans="1:4" ht="18" hidden="1" x14ac:dyDescent="0.3">
      <c r="A92" s="74" t="s">
        <v>91</v>
      </c>
      <c r="B92" s="7"/>
      <c r="C92" s="7"/>
      <c r="D92" s="8">
        <f t="shared" si="1"/>
        <v>0</v>
      </c>
    </row>
    <row r="93" spans="1:4" ht="18" hidden="1" x14ac:dyDescent="0.3">
      <c r="A93" s="60" t="s">
        <v>93</v>
      </c>
      <c r="B93" s="7"/>
      <c r="C93" s="7"/>
      <c r="D93" s="8">
        <f t="shared" si="1"/>
        <v>0</v>
      </c>
    </row>
    <row r="94" spans="1:4" ht="18" hidden="1" x14ac:dyDescent="0.3">
      <c r="A94" s="65" t="s">
        <v>94</v>
      </c>
      <c r="B94" s="7"/>
      <c r="C94" s="7"/>
      <c r="D94" s="8">
        <f t="shared" si="1"/>
        <v>0</v>
      </c>
    </row>
    <row r="95" spans="1:4" ht="18" hidden="1" x14ac:dyDescent="0.3">
      <c r="A95" s="60" t="s">
        <v>95</v>
      </c>
      <c r="B95" s="7"/>
      <c r="C95" s="7"/>
      <c r="D95" s="8">
        <f t="shared" si="1"/>
        <v>0</v>
      </c>
    </row>
    <row r="96" spans="1:4" ht="18" hidden="1" x14ac:dyDescent="0.3">
      <c r="A96" s="63" t="s">
        <v>96</v>
      </c>
      <c r="B96" s="7"/>
      <c r="C96" s="7"/>
      <c r="D96" s="8">
        <f t="shared" si="1"/>
        <v>0</v>
      </c>
    </row>
    <row r="97" spans="1:4" ht="18" hidden="1" x14ac:dyDescent="0.3">
      <c r="A97" s="75" t="s">
        <v>97</v>
      </c>
      <c r="B97" s="7"/>
      <c r="C97" s="7"/>
      <c r="D97" s="8">
        <f t="shared" si="1"/>
        <v>0</v>
      </c>
    </row>
    <row r="98" spans="1:4" ht="18" hidden="1" x14ac:dyDescent="0.3">
      <c r="A98" s="76" t="s">
        <v>98</v>
      </c>
      <c r="B98" s="7"/>
      <c r="C98" s="7"/>
      <c r="D98" s="8">
        <f t="shared" si="1"/>
        <v>0</v>
      </c>
    </row>
    <row r="99" spans="1:4" ht="18" hidden="1" x14ac:dyDescent="0.3">
      <c r="A99" s="76" t="s">
        <v>99</v>
      </c>
      <c r="B99" s="7"/>
      <c r="C99" s="7"/>
      <c r="D99" s="8">
        <f t="shared" si="1"/>
        <v>0</v>
      </c>
    </row>
    <row r="100" spans="1:4" ht="18" hidden="1" x14ac:dyDescent="0.3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">
      <c r="A102" s="63" t="s">
        <v>102</v>
      </c>
      <c r="B102" s="12"/>
      <c r="C102" s="12"/>
      <c r="D102" s="8">
        <f t="shared" si="1"/>
        <v>0</v>
      </c>
    </row>
    <row r="103" spans="1:4" ht="18" hidden="1" x14ac:dyDescent="0.3">
      <c r="A103" s="63" t="s">
        <v>103</v>
      </c>
      <c r="B103" s="12"/>
      <c r="C103" s="12"/>
      <c r="D103" s="8">
        <f t="shared" si="1"/>
        <v>0</v>
      </c>
    </row>
    <row r="104" spans="1:4" ht="18" hidden="1" x14ac:dyDescent="0.3">
      <c r="A104" s="63" t="s">
        <v>104</v>
      </c>
      <c r="B104" s="12"/>
      <c r="C104" s="12"/>
      <c r="D104" s="8">
        <f t="shared" si="1"/>
        <v>0</v>
      </c>
    </row>
    <row r="105" spans="1:4" ht="18" hidden="1" x14ac:dyDescent="0.3">
      <c r="A105" s="63" t="s">
        <v>105</v>
      </c>
      <c r="B105" s="12"/>
      <c r="C105" s="12"/>
      <c r="D105" s="8">
        <f t="shared" si="1"/>
        <v>0</v>
      </c>
    </row>
    <row r="106" spans="1:4" ht="18" hidden="1" x14ac:dyDescent="0.3">
      <c r="A106" s="63" t="s">
        <v>106</v>
      </c>
      <c r="B106" s="12"/>
      <c r="C106" s="12"/>
      <c r="D106" s="8">
        <f t="shared" si="1"/>
        <v>0</v>
      </c>
    </row>
    <row r="107" spans="1:4" ht="18" hidden="1" x14ac:dyDescent="0.3">
      <c r="A107" s="63" t="s">
        <v>107</v>
      </c>
      <c r="B107" s="12"/>
      <c r="C107" s="12"/>
      <c r="D107" s="8">
        <f t="shared" si="1"/>
        <v>0</v>
      </c>
    </row>
    <row r="108" spans="1:4" ht="18" hidden="1" x14ac:dyDescent="0.3">
      <c r="A108" s="63" t="s">
        <v>108</v>
      </c>
      <c r="B108" s="12"/>
      <c r="C108" s="12"/>
      <c r="D108" s="8">
        <f t="shared" si="1"/>
        <v>0</v>
      </c>
    </row>
    <row r="109" spans="1:4" ht="18" hidden="1" x14ac:dyDescent="0.3">
      <c r="A109" s="63" t="s">
        <v>109</v>
      </c>
      <c r="B109" s="12"/>
      <c r="C109" s="12"/>
      <c r="D109" s="8">
        <f t="shared" si="1"/>
        <v>0</v>
      </c>
    </row>
    <row r="110" spans="1:4" ht="18" hidden="1" x14ac:dyDescent="0.3">
      <c r="A110" s="63" t="s">
        <v>110</v>
      </c>
      <c r="B110" s="12"/>
      <c r="C110" s="12"/>
      <c r="D110" s="8">
        <f t="shared" si="1"/>
        <v>0</v>
      </c>
    </row>
    <row r="111" spans="1:4" ht="18" hidden="1" x14ac:dyDescent="0.3">
      <c r="A111" s="63" t="s">
        <v>111</v>
      </c>
      <c r="B111" s="12"/>
      <c r="C111" s="12"/>
      <c r="D111" s="8">
        <f t="shared" si="1"/>
        <v>0</v>
      </c>
    </row>
    <row r="112" spans="1:4" ht="18" hidden="1" x14ac:dyDescent="0.3">
      <c r="A112" s="63" t="s">
        <v>112</v>
      </c>
      <c r="B112" s="12"/>
      <c r="C112" s="12"/>
      <c r="D112" s="8">
        <f t="shared" si="1"/>
        <v>0</v>
      </c>
    </row>
    <row r="113" spans="1:4" ht="18" x14ac:dyDescent="0.3">
      <c r="A113" s="60" t="s">
        <v>113</v>
      </c>
      <c r="B113" s="7">
        <f>180+120+20+240+60</f>
        <v>620</v>
      </c>
      <c r="C113" s="7">
        <v>16500</v>
      </c>
      <c r="D113" s="8">
        <f t="shared" si="1"/>
        <v>10230000</v>
      </c>
    </row>
    <row r="114" spans="1:4" ht="18" x14ac:dyDescent="0.3">
      <c r="A114" s="63" t="s">
        <v>114</v>
      </c>
      <c r="B114" s="7">
        <v>60</v>
      </c>
      <c r="C114" s="7">
        <v>15000</v>
      </c>
      <c r="D114" s="8">
        <f t="shared" si="1"/>
        <v>900000</v>
      </c>
    </row>
    <row r="115" spans="1:4" ht="18" hidden="1" x14ac:dyDescent="0.3">
      <c r="A115" s="63" t="s">
        <v>115</v>
      </c>
      <c r="B115" s="7"/>
      <c r="C115" s="7"/>
      <c r="D115" s="8">
        <f t="shared" si="1"/>
        <v>0</v>
      </c>
    </row>
    <row r="116" spans="1:4" ht="18" hidden="1" x14ac:dyDescent="0.3">
      <c r="A116" s="60" t="s">
        <v>116</v>
      </c>
      <c r="B116" s="7"/>
      <c r="C116" s="7"/>
      <c r="D116" s="8">
        <f t="shared" si="1"/>
        <v>0</v>
      </c>
    </row>
    <row r="117" spans="1:4" ht="18" hidden="1" x14ac:dyDescent="0.3">
      <c r="A117" s="63" t="s">
        <v>117</v>
      </c>
      <c r="B117" s="7"/>
      <c r="C117" s="7"/>
      <c r="D117" s="8">
        <f t="shared" si="1"/>
        <v>0</v>
      </c>
    </row>
    <row r="118" spans="1:4" ht="18" hidden="1" x14ac:dyDescent="0.3">
      <c r="A118" s="63" t="s">
        <v>118</v>
      </c>
      <c r="B118" s="7"/>
      <c r="C118" s="7"/>
      <c r="D118" s="8">
        <f t="shared" si="1"/>
        <v>0</v>
      </c>
    </row>
    <row r="119" spans="1:4" ht="18" hidden="1" x14ac:dyDescent="0.3">
      <c r="A119" s="63" t="s">
        <v>119</v>
      </c>
      <c r="B119" s="7"/>
      <c r="C119" s="7"/>
      <c r="D119" s="8">
        <f t="shared" si="1"/>
        <v>0</v>
      </c>
    </row>
    <row r="120" spans="1:4" ht="18" x14ac:dyDescent="0.3">
      <c r="A120" s="63" t="s">
        <v>120</v>
      </c>
      <c r="B120" s="7">
        <f>1470+30+975</f>
        <v>2475</v>
      </c>
      <c r="C120" s="7">
        <v>5000</v>
      </c>
      <c r="D120" s="8">
        <f t="shared" si="1"/>
        <v>12375000</v>
      </c>
    </row>
    <row r="121" spans="1:4" ht="18" hidden="1" x14ac:dyDescent="0.3">
      <c r="A121" s="63" t="s">
        <v>121</v>
      </c>
      <c r="B121" s="7"/>
      <c r="C121" s="7"/>
      <c r="D121" s="8">
        <f t="shared" si="1"/>
        <v>0</v>
      </c>
    </row>
    <row r="122" spans="1:4" ht="18" hidden="1" x14ac:dyDescent="0.3">
      <c r="A122" s="61" t="s">
        <v>122</v>
      </c>
      <c r="B122" s="7"/>
      <c r="C122" s="7"/>
      <c r="D122" s="8">
        <f t="shared" si="1"/>
        <v>0</v>
      </c>
    </row>
    <row r="123" spans="1:4" ht="18" hidden="1" x14ac:dyDescent="0.3">
      <c r="A123" s="74" t="s">
        <v>123</v>
      </c>
      <c r="B123" s="7"/>
      <c r="C123" s="7"/>
      <c r="D123" s="8">
        <f t="shared" si="1"/>
        <v>0</v>
      </c>
    </row>
    <row r="124" spans="1:4" ht="78" hidden="1" x14ac:dyDescent="0.3">
      <c r="A124" s="77" t="s">
        <v>124</v>
      </c>
      <c r="B124" s="7"/>
      <c r="C124" s="7"/>
      <c r="D124" s="8">
        <f t="shared" si="1"/>
        <v>0</v>
      </c>
    </row>
    <row r="125" spans="1:4" ht="18" x14ac:dyDescent="0.3">
      <c r="A125" s="72" t="s">
        <v>125</v>
      </c>
      <c r="B125" s="7">
        <v>4</v>
      </c>
      <c r="C125" s="7">
        <v>9000</v>
      </c>
      <c r="D125" s="8">
        <f t="shared" si="1"/>
        <v>36000</v>
      </c>
    </row>
    <row r="126" spans="1:4" ht="18" hidden="1" x14ac:dyDescent="0.3">
      <c r="A126" s="60" t="s">
        <v>126</v>
      </c>
      <c r="B126" s="12"/>
      <c r="C126" s="12"/>
      <c r="D126" s="8">
        <f t="shared" si="1"/>
        <v>0</v>
      </c>
    </row>
    <row r="127" spans="1:4" ht="18" hidden="1" x14ac:dyDescent="0.3">
      <c r="A127" s="60" t="s">
        <v>127</v>
      </c>
      <c r="B127" s="12"/>
      <c r="C127" s="12"/>
      <c r="D127" s="8">
        <f t="shared" si="1"/>
        <v>0</v>
      </c>
    </row>
    <row r="128" spans="1:4" ht="18" hidden="1" x14ac:dyDescent="0.3">
      <c r="A128" s="60" t="s">
        <v>128</v>
      </c>
      <c r="B128" s="12"/>
      <c r="C128" s="12"/>
      <c r="D128" s="8">
        <f t="shared" si="1"/>
        <v>0</v>
      </c>
    </row>
    <row r="129" spans="1:4" ht="18" hidden="1" x14ac:dyDescent="0.3">
      <c r="A129" s="60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63" t="s">
        <v>130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131</v>
      </c>
      <c r="B131" s="12"/>
      <c r="C131" s="12"/>
      <c r="D131" s="8">
        <f t="shared" si="1"/>
        <v>0</v>
      </c>
    </row>
    <row r="132" spans="1:4" ht="18" hidden="1" x14ac:dyDescent="0.3">
      <c r="A132" s="65" t="s">
        <v>132</v>
      </c>
      <c r="B132" s="7"/>
      <c r="C132" s="7"/>
      <c r="D132" s="8">
        <f t="shared" ref="D132:D195" si="2">B132*C132</f>
        <v>0</v>
      </c>
    </row>
    <row r="133" spans="1:4" ht="18" hidden="1" x14ac:dyDescent="0.3">
      <c r="A133" s="65" t="s">
        <v>133</v>
      </c>
      <c r="B133" s="7"/>
      <c r="C133" s="7"/>
      <c r="D133" s="8">
        <f t="shared" si="2"/>
        <v>0</v>
      </c>
    </row>
    <row r="134" spans="1:4" ht="18" hidden="1" x14ac:dyDescent="0.3">
      <c r="A134" s="65" t="s">
        <v>134</v>
      </c>
      <c r="B134" s="7"/>
      <c r="C134" s="7"/>
      <c r="D134" s="8">
        <f t="shared" si="2"/>
        <v>0</v>
      </c>
    </row>
    <row r="135" spans="1:4" ht="18" hidden="1" x14ac:dyDescent="0.3">
      <c r="A135" s="63" t="s">
        <v>135</v>
      </c>
      <c r="B135" s="7"/>
      <c r="C135" s="7"/>
      <c r="D135" s="8">
        <f t="shared" si="2"/>
        <v>0</v>
      </c>
    </row>
    <row r="136" spans="1:4" ht="18" hidden="1" x14ac:dyDescent="0.3">
      <c r="A136" s="65" t="s">
        <v>136</v>
      </c>
      <c r="B136" s="7"/>
      <c r="C136" s="7"/>
      <c r="D136" s="8">
        <f t="shared" si="2"/>
        <v>0</v>
      </c>
    </row>
    <row r="137" spans="1:4" ht="18" hidden="1" x14ac:dyDescent="0.3">
      <c r="A137" s="63" t="s">
        <v>137</v>
      </c>
      <c r="B137" s="12"/>
      <c r="C137" s="12"/>
      <c r="D137" s="8">
        <f t="shared" si="2"/>
        <v>0</v>
      </c>
    </row>
    <row r="138" spans="1:4" ht="18" hidden="1" x14ac:dyDescent="0.3">
      <c r="A138" s="60" t="s">
        <v>138</v>
      </c>
      <c r="B138" s="12"/>
      <c r="C138" s="12"/>
      <c r="D138" s="8">
        <f t="shared" si="2"/>
        <v>0</v>
      </c>
    </row>
    <row r="139" spans="1:4" ht="18" x14ac:dyDescent="0.3">
      <c r="A139" s="63" t="s">
        <v>139</v>
      </c>
      <c r="B139" s="7">
        <v>16</v>
      </c>
      <c r="C139" s="7">
        <v>8000</v>
      </c>
      <c r="D139" s="8">
        <f t="shared" si="2"/>
        <v>128000</v>
      </c>
    </row>
    <row r="140" spans="1:4" ht="18" hidden="1" x14ac:dyDescent="0.3">
      <c r="A140" s="72" t="s">
        <v>140</v>
      </c>
      <c r="B140" s="7"/>
      <c r="C140" s="7"/>
      <c r="D140" s="8">
        <f t="shared" si="2"/>
        <v>0</v>
      </c>
    </row>
    <row r="141" spans="1:4" ht="18" hidden="1" x14ac:dyDescent="0.3">
      <c r="A141" s="60" t="s">
        <v>141</v>
      </c>
      <c r="B141" s="7"/>
      <c r="C141" s="7"/>
      <c r="D141" s="8">
        <f t="shared" si="2"/>
        <v>0</v>
      </c>
    </row>
    <row r="142" spans="1:4" ht="18" x14ac:dyDescent="0.3">
      <c r="A142" s="63" t="s">
        <v>142</v>
      </c>
      <c r="B142" s="7">
        <f>40+60+60+40+15+220</f>
        <v>435</v>
      </c>
      <c r="C142" s="7">
        <v>26500</v>
      </c>
      <c r="D142" s="8">
        <f t="shared" si="2"/>
        <v>11527500</v>
      </c>
    </row>
    <row r="143" spans="1:4" ht="18" x14ac:dyDescent="0.3">
      <c r="A143" s="73" t="s">
        <v>143</v>
      </c>
      <c r="B143" s="7">
        <v>80</v>
      </c>
      <c r="C143" s="7">
        <v>20000</v>
      </c>
      <c r="D143" s="8">
        <f t="shared" si="2"/>
        <v>1600000</v>
      </c>
    </row>
    <row r="144" spans="1:4" ht="18" hidden="1" x14ac:dyDescent="0.3">
      <c r="A144" s="73" t="s">
        <v>144</v>
      </c>
      <c r="B144" s="7"/>
      <c r="C144" s="7"/>
      <c r="D144" s="8">
        <f t="shared" si="2"/>
        <v>0</v>
      </c>
    </row>
    <row r="145" spans="1:4" ht="18" hidden="1" x14ac:dyDescent="0.3">
      <c r="A145" s="63" t="s">
        <v>145</v>
      </c>
      <c r="B145" s="7"/>
      <c r="C145" s="7"/>
      <c r="D145" s="8">
        <f t="shared" si="2"/>
        <v>0</v>
      </c>
    </row>
    <row r="146" spans="1:4" ht="18" x14ac:dyDescent="0.3">
      <c r="A146" s="63" t="s">
        <v>146</v>
      </c>
      <c r="B146" s="7">
        <v>8</v>
      </c>
      <c r="C146" s="7">
        <v>7000</v>
      </c>
      <c r="D146" s="8">
        <f t="shared" si="2"/>
        <v>56000</v>
      </c>
    </row>
    <row r="147" spans="1:4" ht="18" x14ac:dyDescent="0.3">
      <c r="A147" s="63" t="s">
        <v>147</v>
      </c>
      <c r="B147" s="7">
        <v>5</v>
      </c>
      <c r="C147" s="7">
        <v>12500</v>
      </c>
      <c r="D147" s="8">
        <f t="shared" si="2"/>
        <v>62500</v>
      </c>
    </row>
    <row r="148" spans="1:4" ht="18" x14ac:dyDescent="0.3">
      <c r="A148" s="68" t="s">
        <v>148</v>
      </c>
      <c r="B148" s="7">
        <v>2</v>
      </c>
      <c r="C148" s="7">
        <v>7500</v>
      </c>
      <c r="D148" s="8">
        <f t="shared" si="2"/>
        <v>15000</v>
      </c>
    </row>
    <row r="149" spans="1:4" ht="18" hidden="1" x14ac:dyDescent="0.3">
      <c r="A149" s="68" t="s">
        <v>149</v>
      </c>
      <c r="B149" s="7"/>
      <c r="C149" s="7"/>
      <c r="D149" s="8">
        <f t="shared" si="2"/>
        <v>0</v>
      </c>
    </row>
    <row r="150" spans="1:4" ht="18" hidden="1" x14ac:dyDescent="0.3">
      <c r="A150" s="63" t="s">
        <v>150</v>
      </c>
      <c r="B150" s="7"/>
      <c r="C150" s="7"/>
      <c r="D150" s="8">
        <f t="shared" si="2"/>
        <v>0</v>
      </c>
    </row>
    <row r="151" spans="1:4" ht="18" hidden="1" x14ac:dyDescent="0.3">
      <c r="A151" s="61" t="s">
        <v>151</v>
      </c>
      <c r="B151" s="7"/>
      <c r="C151" s="7"/>
      <c r="D151" s="8">
        <f t="shared" si="2"/>
        <v>0</v>
      </c>
    </row>
    <row r="152" spans="1:4" ht="18" hidden="1" x14ac:dyDescent="0.3">
      <c r="A152" s="67" t="s">
        <v>152</v>
      </c>
      <c r="B152" s="7"/>
      <c r="C152" s="7"/>
      <c r="D152" s="8">
        <f t="shared" si="2"/>
        <v>0</v>
      </c>
    </row>
    <row r="153" spans="1:4" ht="18" hidden="1" x14ac:dyDescent="0.3">
      <c r="A153" s="63" t="s">
        <v>153</v>
      </c>
      <c r="B153" s="7"/>
      <c r="C153" s="7"/>
      <c r="D153" s="8">
        <f t="shared" si="2"/>
        <v>0</v>
      </c>
    </row>
    <row r="154" spans="1:4" ht="18" hidden="1" x14ac:dyDescent="0.3">
      <c r="A154" s="63" t="s">
        <v>154</v>
      </c>
      <c r="B154" s="7"/>
      <c r="C154" s="7"/>
      <c r="D154" s="8">
        <f t="shared" si="2"/>
        <v>0</v>
      </c>
    </row>
    <row r="155" spans="1:4" ht="18" hidden="1" x14ac:dyDescent="0.3">
      <c r="A155" s="63" t="s">
        <v>155</v>
      </c>
      <c r="B155" s="7"/>
      <c r="C155" s="7"/>
      <c r="D155" s="8">
        <f t="shared" si="2"/>
        <v>0</v>
      </c>
    </row>
    <row r="156" spans="1:4" ht="18" hidden="1" x14ac:dyDescent="0.3">
      <c r="A156" s="62" t="s">
        <v>156</v>
      </c>
      <c r="B156" s="7"/>
      <c r="C156" s="7"/>
      <c r="D156" s="8">
        <f t="shared" si="2"/>
        <v>0</v>
      </c>
    </row>
    <row r="157" spans="1:4" ht="18" hidden="1" x14ac:dyDescent="0.3">
      <c r="A157" s="63" t="s">
        <v>157</v>
      </c>
      <c r="B157" s="7"/>
      <c r="C157" s="7"/>
      <c r="D157" s="8">
        <f t="shared" si="2"/>
        <v>0</v>
      </c>
    </row>
    <row r="158" spans="1:4" ht="18" hidden="1" x14ac:dyDescent="0.3">
      <c r="A158" s="63" t="s">
        <v>158</v>
      </c>
      <c r="B158" s="7"/>
      <c r="C158" s="7"/>
      <c r="D158" s="8">
        <f t="shared" si="2"/>
        <v>0</v>
      </c>
    </row>
    <row r="159" spans="1:4" ht="18" hidden="1" x14ac:dyDescent="0.3">
      <c r="A159" s="63" t="s">
        <v>159</v>
      </c>
      <c r="B159" s="7"/>
      <c r="C159" s="7"/>
      <c r="D159" s="8">
        <f t="shared" si="2"/>
        <v>0</v>
      </c>
    </row>
    <row r="160" spans="1:4" ht="18" hidden="1" x14ac:dyDescent="0.3">
      <c r="A160" s="14" t="s">
        <v>160</v>
      </c>
      <c r="B160" s="7"/>
      <c r="C160" s="7"/>
      <c r="D160" s="8">
        <f t="shared" si="2"/>
        <v>0</v>
      </c>
    </row>
    <row r="161" spans="1:4" ht="18" x14ac:dyDescent="0.3">
      <c r="A161" s="63" t="s">
        <v>161</v>
      </c>
      <c r="B161" s="7">
        <v>20</v>
      </c>
      <c r="C161" s="7">
        <v>7000</v>
      </c>
      <c r="D161" s="8">
        <f t="shared" si="2"/>
        <v>140000</v>
      </c>
    </row>
    <row r="162" spans="1:4" ht="18" hidden="1" x14ac:dyDescent="0.3">
      <c r="A162" s="63" t="s">
        <v>162</v>
      </c>
      <c r="B162" s="7"/>
      <c r="C162" s="7"/>
      <c r="D162" s="8">
        <f t="shared" si="2"/>
        <v>0</v>
      </c>
    </row>
    <row r="163" spans="1:4" ht="18" x14ac:dyDescent="0.3">
      <c r="A163" s="63" t="s">
        <v>163</v>
      </c>
      <c r="B163" s="7">
        <v>140</v>
      </c>
      <c r="C163" s="7">
        <v>16000</v>
      </c>
      <c r="D163" s="8">
        <f t="shared" si="2"/>
        <v>2240000</v>
      </c>
    </row>
    <row r="164" spans="1:4" ht="18" hidden="1" x14ac:dyDescent="0.3">
      <c r="A164" s="74" t="s">
        <v>164</v>
      </c>
      <c r="B164" s="7"/>
      <c r="C164" s="7"/>
      <c r="D164" s="8">
        <f t="shared" si="2"/>
        <v>0</v>
      </c>
    </row>
    <row r="165" spans="1:4" ht="18" x14ac:dyDescent="0.3">
      <c r="A165" s="63" t="s">
        <v>319</v>
      </c>
      <c r="B165" s="7">
        <v>20</v>
      </c>
      <c r="C165" s="7">
        <v>20000</v>
      </c>
      <c r="D165" s="8">
        <f t="shared" si="2"/>
        <v>400000</v>
      </c>
    </row>
    <row r="166" spans="1:4" ht="18" x14ac:dyDescent="0.3">
      <c r="A166" s="63" t="s">
        <v>166</v>
      </c>
      <c r="B166" s="7">
        <v>10</v>
      </c>
      <c r="C166" s="7">
        <v>15000</v>
      </c>
      <c r="D166" s="8">
        <f t="shared" si="2"/>
        <v>150000</v>
      </c>
    </row>
    <row r="167" spans="1:4" ht="18" hidden="1" x14ac:dyDescent="0.3">
      <c r="A167" s="63" t="s">
        <v>167</v>
      </c>
      <c r="B167" s="7"/>
      <c r="C167" s="7"/>
      <c r="D167" s="8">
        <f t="shared" si="2"/>
        <v>0</v>
      </c>
    </row>
    <row r="168" spans="1:4" ht="18" hidden="1" x14ac:dyDescent="0.3">
      <c r="A168" s="74" t="s">
        <v>168</v>
      </c>
      <c r="B168" s="7"/>
      <c r="C168" s="7"/>
      <c r="D168" s="8">
        <f t="shared" si="2"/>
        <v>0</v>
      </c>
    </row>
    <row r="169" spans="1:4" ht="18" hidden="1" x14ac:dyDescent="0.3">
      <c r="A169" s="63" t="s">
        <v>169</v>
      </c>
      <c r="B169" s="7"/>
      <c r="C169" s="7"/>
      <c r="D169" s="8">
        <f t="shared" si="2"/>
        <v>0</v>
      </c>
    </row>
    <row r="170" spans="1:4" ht="18" hidden="1" x14ac:dyDescent="0.3">
      <c r="A170" s="60" t="s">
        <v>170</v>
      </c>
      <c r="B170" s="7"/>
      <c r="C170" s="7"/>
      <c r="D170" s="8">
        <f t="shared" si="2"/>
        <v>0</v>
      </c>
    </row>
    <row r="171" spans="1:4" ht="18" hidden="1" x14ac:dyDescent="0.3">
      <c r="A171" s="63" t="s">
        <v>171</v>
      </c>
      <c r="B171" s="7"/>
      <c r="C171" s="7"/>
      <c r="D171" s="8">
        <f t="shared" si="2"/>
        <v>0</v>
      </c>
    </row>
    <row r="172" spans="1:4" ht="18" hidden="1" x14ac:dyDescent="0.3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">
      <c r="A174" s="61" t="s">
        <v>174</v>
      </c>
      <c r="B174" s="7"/>
      <c r="C174" s="7"/>
      <c r="D174" s="8">
        <f t="shared" si="2"/>
        <v>0</v>
      </c>
    </row>
    <row r="175" spans="1:4" ht="18" hidden="1" x14ac:dyDescent="0.3">
      <c r="A175" s="60" t="s">
        <v>175</v>
      </c>
      <c r="B175" s="7"/>
      <c r="C175" s="7"/>
      <c r="D175" s="8">
        <f t="shared" si="2"/>
        <v>0</v>
      </c>
    </row>
    <row r="176" spans="1:4" ht="18" x14ac:dyDescent="0.3">
      <c r="A176" s="60" t="s">
        <v>176</v>
      </c>
      <c r="B176" s="7">
        <f>20+80+180+160</f>
        <v>440</v>
      </c>
      <c r="C176" s="7">
        <v>30000</v>
      </c>
      <c r="D176" s="8">
        <f t="shared" si="2"/>
        <v>13200000</v>
      </c>
    </row>
    <row r="177" spans="1:4" ht="18" hidden="1" x14ac:dyDescent="0.3">
      <c r="A177" s="63" t="s">
        <v>177</v>
      </c>
      <c r="B177" s="7"/>
      <c r="C177" s="7"/>
      <c r="D177" s="8">
        <f t="shared" si="2"/>
        <v>0</v>
      </c>
    </row>
    <row r="178" spans="1:4" ht="18" x14ac:dyDescent="0.3">
      <c r="A178" s="60" t="s">
        <v>178</v>
      </c>
      <c r="B178" s="7">
        <f>20+20+20+20</f>
        <v>80</v>
      </c>
      <c r="C178" s="7">
        <v>32000</v>
      </c>
      <c r="D178" s="8">
        <f t="shared" si="2"/>
        <v>2560000</v>
      </c>
    </row>
    <row r="179" spans="1:4" ht="18" x14ac:dyDescent="0.3">
      <c r="A179" s="60" t="s">
        <v>179</v>
      </c>
      <c r="B179" s="7">
        <v>5</v>
      </c>
      <c r="C179" s="7">
        <v>25000</v>
      </c>
      <c r="D179" s="8">
        <f t="shared" si="2"/>
        <v>125000</v>
      </c>
    </row>
    <row r="180" spans="1:4" ht="18" hidden="1" x14ac:dyDescent="0.3">
      <c r="A180" s="60" t="s">
        <v>180</v>
      </c>
      <c r="B180" s="7"/>
      <c r="C180" s="7"/>
      <c r="D180" s="8">
        <f t="shared" si="2"/>
        <v>0</v>
      </c>
    </row>
    <row r="181" spans="1:4" ht="18" hidden="1" x14ac:dyDescent="0.3">
      <c r="A181" s="63" t="s">
        <v>181</v>
      </c>
      <c r="B181" s="7"/>
      <c r="C181" s="7"/>
      <c r="D181" s="8">
        <f t="shared" si="2"/>
        <v>0</v>
      </c>
    </row>
    <row r="182" spans="1:4" ht="18" hidden="1" x14ac:dyDescent="0.3">
      <c r="A182" s="63" t="s">
        <v>182</v>
      </c>
      <c r="B182" s="7"/>
      <c r="C182" s="7"/>
      <c r="D182" s="8">
        <f t="shared" si="2"/>
        <v>0</v>
      </c>
    </row>
    <row r="183" spans="1:4" ht="18" hidden="1" x14ac:dyDescent="0.3">
      <c r="A183" s="63" t="s">
        <v>183</v>
      </c>
      <c r="B183" s="7"/>
      <c r="C183" s="7"/>
      <c r="D183" s="8">
        <f t="shared" si="2"/>
        <v>0</v>
      </c>
    </row>
    <row r="184" spans="1:4" ht="18" hidden="1" x14ac:dyDescent="0.3">
      <c r="A184" s="63" t="s">
        <v>184</v>
      </c>
      <c r="B184" s="7"/>
      <c r="C184" s="7"/>
      <c r="D184" s="8">
        <f t="shared" si="2"/>
        <v>0</v>
      </c>
    </row>
    <row r="185" spans="1:4" ht="18" hidden="1" x14ac:dyDescent="0.3">
      <c r="A185" s="63" t="s">
        <v>185</v>
      </c>
      <c r="B185" s="7"/>
      <c r="C185" s="7"/>
      <c r="D185" s="8">
        <f t="shared" si="2"/>
        <v>0</v>
      </c>
    </row>
    <row r="186" spans="1:4" ht="18" hidden="1" x14ac:dyDescent="0.3">
      <c r="A186" s="63" t="s">
        <v>186</v>
      </c>
      <c r="B186" s="7"/>
      <c r="C186" s="7"/>
      <c r="D186" s="8">
        <f t="shared" si="2"/>
        <v>0</v>
      </c>
    </row>
    <row r="187" spans="1:4" ht="18" hidden="1" x14ac:dyDescent="0.3">
      <c r="A187" s="63" t="s">
        <v>187</v>
      </c>
      <c r="B187" s="7"/>
      <c r="C187" s="7"/>
      <c r="D187" s="8">
        <f t="shared" si="2"/>
        <v>0</v>
      </c>
    </row>
    <row r="188" spans="1:4" ht="18" x14ac:dyDescent="0.3">
      <c r="A188" s="63" t="s">
        <v>188</v>
      </c>
      <c r="B188" s="7">
        <v>7</v>
      </c>
      <c r="C188" s="7">
        <v>5000</v>
      </c>
      <c r="D188" s="8">
        <f t="shared" si="2"/>
        <v>35000</v>
      </c>
    </row>
    <row r="189" spans="1:4" ht="18" hidden="1" x14ac:dyDescent="0.3">
      <c r="A189" s="64" t="s">
        <v>189</v>
      </c>
      <c r="B189" s="7"/>
      <c r="C189" s="7"/>
      <c r="D189" s="8">
        <f t="shared" si="2"/>
        <v>0</v>
      </c>
    </row>
    <row r="190" spans="1:4" ht="18" x14ac:dyDescent="0.3">
      <c r="A190" s="70" t="s">
        <v>190</v>
      </c>
      <c r="B190" s="7">
        <f>60+24+12</f>
        <v>96</v>
      </c>
      <c r="C190" s="7">
        <v>6500</v>
      </c>
      <c r="D190" s="8">
        <f t="shared" si="2"/>
        <v>624000</v>
      </c>
    </row>
    <row r="191" spans="1:4" ht="18" hidden="1" x14ac:dyDescent="0.3">
      <c r="A191" s="63" t="s">
        <v>191</v>
      </c>
      <c r="B191" s="7"/>
      <c r="C191" s="7"/>
      <c r="D191" s="8">
        <f t="shared" si="2"/>
        <v>0</v>
      </c>
    </row>
    <row r="192" spans="1:4" ht="18" hidden="1" x14ac:dyDescent="0.3">
      <c r="A192" s="70" t="s">
        <v>308</v>
      </c>
      <c r="B192" s="7"/>
      <c r="C192" s="7"/>
      <c r="D192" s="8">
        <f t="shared" si="2"/>
        <v>0</v>
      </c>
    </row>
    <row r="193" spans="1:4" ht="18" x14ac:dyDescent="0.3">
      <c r="A193" s="63" t="s">
        <v>192</v>
      </c>
      <c r="B193" s="7">
        <f>20+31</f>
        <v>51</v>
      </c>
      <c r="C193" s="7">
        <v>8000</v>
      </c>
      <c r="D193" s="8">
        <f t="shared" si="2"/>
        <v>408000</v>
      </c>
    </row>
    <row r="194" spans="1:4" ht="18" hidden="1" x14ac:dyDescent="0.3">
      <c r="A194" s="60" t="s">
        <v>193</v>
      </c>
      <c r="B194" s="7"/>
      <c r="C194" s="7"/>
      <c r="D194" s="8">
        <f t="shared" si="2"/>
        <v>0</v>
      </c>
    </row>
    <row r="195" spans="1:4" ht="18" x14ac:dyDescent="0.3">
      <c r="A195" s="63" t="s">
        <v>194</v>
      </c>
      <c r="B195" s="7">
        <v>39</v>
      </c>
      <c r="C195" s="7">
        <v>8000</v>
      </c>
      <c r="D195" s="8">
        <f t="shared" si="2"/>
        <v>312000</v>
      </c>
    </row>
    <row r="196" spans="1:4" ht="18" hidden="1" x14ac:dyDescent="0.3">
      <c r="A196" s="63" t="s">
        <v>195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63" t="s">
        <v>196</v>
      </c>
      <c r="B197" s="7"/>
      <c r="C197" s="7"/>
      <c r="D197" s="8">
        <f t="shared" si="3"/>
        <v>0</v>
      </c>
    </row>
    <row r="198" spans="1:4" ht="18" hidden="1" x14ac:dyDescent="0.3">
      <c r="A198" s="62" t="s">
        <v>197</v>
      </c>
      <c r="B198" s="7"/>
      <c r="C198" s="7"/>
      <c r="D198" s="8">
        <f t="shared" si="3"/>
        <v>0</v>
      </c>
    </row>
    <row r="199" spans="1:4" ht="18" hidden="1" x14ac:dyDescent="0.3">
      <c r="A199" s="78" t="s">
        <v>198</v>
      </c>
      <c r="B199" s="7"/>
      <c r="C199" s="7"/>
      <c r="D199" s="8">
        <f t="shared" si="3"/>
        <v>0</v>
      </c>
    </row>
    <row r="200" spans="1:4" ht="18" hidden="1" x14ac:dyDescent="0.3">
      <c r="A200" s="60" t="s">
        <v>199</v>
      </c>
      <c r="B200" s="7"/>
      <c r="C200" s="7"/>
      <c r="D200" s="8">
        <f t="shared" si="3"/>
        <v>0</v>
      </c>
    </row>
    <row r="201" spans="1:4" ht="18" hidden="1" x14ac:dyDescent="0.3">
      <c r="A201" s="61" t="s">
        <v>200</v>
      </c>
      <c r="B201" s="7"/>
      <c r="C201" s="7"/>
      <c r="D201" s="8">
        <f t="shared" si="3"/>
        <v>0</v>
      </c>
    </row>
    <row r="202" spans="1:4" ht="18" hidden="1" x14ac:dyDescent="0.3">
      <c r="A202" s="61" t="s">
        <v>201</v>
      </c>
      <c r="B202" s="7"/>
      <c r="C202" s="7"/>
      <c r="D202" s="8">
        <f t="shared" si="3"/>
        <v>0</v>
      </c>
    </row>
    <row r="203" spans="1:4" ht="18" hidden="1" x14ac:dyDescent="0.3">
      <c r="A203" s="61" t="s">
        <v>202</v>
      </c>
      <c r="B203" s="7"/>
      <c r="C203" s="7"/>
      <c r="D203" s="8">
        <f t="shared" si="3"/>
        <v>0</v>
      </c>
    </row>
    <row r="204" spans="1:4" ht="18" hidden="1" x14ac:dyDescent="0.3">
      <c r="A204" s="61" t="s">
        <v>203</v>
      </c>
      <c r="B204" s="7"/>
      <c r="C204" s="7"/>
      <c r="D204" s="8">
        <f t="shared" si="3"/>
        <v>0</v>
      </c>
    </row>
    <row r="205" spans="1:4" ht="18" hidden="1" x14ac:dyDescent="0.3">
      <c r="A205" s="63" t="s">
        <v>204</v>
      </c>
      <c r="B205" s="7"/>
      <c r="C205" s="7"/>
      <c r="D205" s="8">
        <f t="shared" si="3"/>
        <v>0</v>
      </c>
    </row>
    <row r="206" spans="1:4" ht="18" hidden="1" x14ac:dyDescent="0.3">
      <c r="A206" s="63" t="s">
        <v>205</v>
      </c>
      <c r="B206" s="7"/>
      <c r="C206" s="7"/>
      <c r="D206" s="8">
        <f t="shared" si="3"/>
        <v>0</v>
      </c>
    </row>
    <row r="207" spans="1:4" ht="18" hidden="1" x14ac:dyDescent="0.3">
      <c r="A207" s="63" t="s">
        <v>206</v>
      </c>
      <c r="B207" s="7"/>
      <c r="C207" s="7"/>
      <c r="D207" s="8">
        <f t="shared" si="3"/>
        <v>0</v>
      </c>
    </row>
    <row r="208" spans="1:4" ht="18" hidden="1" x14ac:dyDescent="0.3">
      <c r="A208" s="63" t="s">
        <v>207</v>
      </c>
      <c r="B208" s="7"/>
      <c r="C208" s="7"/>
      <c r="D208" s="8">
        <f t="shared" si="3"/>
        <v>0</v>
      </c>
    </row>
    <row r="209" spans="1:4" ht="18" hidden="1" x14ac:dyDescent="0.3">
      <c r="A209" s="60" t="s">
        <v>208</v>
      </c>
      <c r="B209" s="7"/>
      <c r="C209" s="7"/>
      <c r="D209" s="8">
        <f t="shared" si="3"/>
        <v>0</v>
      </c>
    </row>
    <row r="210" spans="1:4" ht="18" hidden="1" x14ac:dyDescent="0.3">
      <c r="A210" s="60" t="s">
        <v>209</v>
      </c>
      <c r="B210" s="7"/>
      <c r="C210" s="7"/>
      <c r="D210" s="8">
        <f t="shared" si="3"/>
        <v>0</v>
      </c>
    </row>
    <row r="211" spans="1:4" ht="18" hidden="1" x14ac:dyDescent="0.3">
      <c r="A211" s="63" t="s">
        <v>210</v>
      </c>
      <c r="B211" s="7"/>
      <c r="C211" s="7"/>
      <c r="D211" s="8">
        <f t="shared" si="3"/>
        <v>0</v>
      </c>
    </row>
    <row r="212" spans="1:4" ht="18" hidden="1" x14ac:dyDescent="0.3">
      <c r="A212" s="63" t="s">
        <v>211</v>
      </c>
      <c r="B212" s="7"/>
      <c r="C212" s="7"/>
      <c r="D212" s="8">
        <f t="shared" si="3"/>
        <v>0</v>
      </c>
    </row>
    <row r="213" spans="1:4" ht="18" x14ac:dyDescent="0.3">
      <c r="A213" s="63" t="s">
        <v>212</v>
      </c>
      <c r="B213" s="7">
        <v>3</v>
      </c>
      <c r="C213" s="7">
        <v>25000</v>
      </c>
      <c r="D213" s="8">
        <f t="shared" si="3"/>
        <v>75000</v>
      </c>
    </row>
    <row r="214" spans="1:4" ht="18" hidden="1" x14ac:dyDescent="0.3">
      <c r="A214" s="61" t="s">
        <v>213</v>
      </c>
      <c r="B214" s="7"/>
      <c r="C214" s="7"/>
      <c r="D214" s="8">
        <f t="shared" si="3"/>
        <v>0</v>
      </c>
    </row>
    <row r="215" spans="1:4" ht="18" hidden="1" x14ac:dyDescent="0.3">
      <c r="A215" s="63" t="s">
        <v>214</v>
      </c>
      <c r="B215" s="7"/>
      <c r="C215" s="7"/>
      <c r="D215" s="8">
        <f t="shared" si="3"/>
        <v>0</v>
      </c>
    </row>
    <row r="216" spans="1:4" ht="18" hidden="1" x14ac:dyDescent="0.3">
      <c r="A216" s="61" t="s">
        <v>215</v>
      </c>
      <c r="B216" s="7"/>
      <c r="C216" s="7"/>
      <c r="D216" s="8">
        <f t="shared" si="3"/>
        <v>0</v>
      </c>
    </row>
    <row r="217" spans="1:4" ht="18" hidden="1" x14ac:dyDescent="0.3">
      <c r="A217" s="63" t="s">
        <v>216</v>
      </c>
      <c r="B217" s="7"/>
      <c r="C217" s="7"/>
      <c r="D217" s="8">
        <f t="shared" si="3"/>
        <v>0</v>
      </c>
    </row>
    <row r="218" spans="1:4" ht="18" hidden="1" x14ac:dyDescent="0.3">
      <c r="A218" s="63" t="s">
        <v>217</v>
      </c>
      <c r="B218" s="7"/>
      <c r="C218" s="7"/>
      <c r="D218" s="8">
        <f t="shared" si="3"/>
        <v>0</v>
      </c>
    </row>
    <row r="219" spans="1:4" ht="18" hidden="1" x14ac:dyDescent="0.3">
      <c r="A219" s="63" t="s">
        <v>218</v>
      </c>
      <c r="B219" s="7"/>
      <c r="C219" s="7"/>
      <c r="D219" s="8">
        <f t="shared" si="3"/>
        <v>0</v>
      </c>
    </row>
    <row r="220" spans="1:4" ht="18" hidden="1" x14ac:dyDescent="0.3">
      <c r="A220" s="63" t="s">
        <v>219</v>
      </c>
      <c r="B220" s="7"/>
      <c r="C220" s="7"/>
      <c r="D220" s="8">
        <f t="shared" si="3"/>
        <v>0</v>
      </c>
    </row>
    <row r="221" spans="1:4" ht="18" hidden="1" x14ac:dyDescent="0.3">
      <c r="A221" s="65" t="s">
        <v>220</v>
      </c>
      <c r="B221" s="7"/>
      <c r="C221" s="7"/>
      <c r="D221" s="8">
        <f t="shared" si="3"/>
        <v>0</v>
      </c>
    </row>
    <row r="222" spans="1:4" ht="18" hidden="1" x14ac:dyDescent="0.3">
      <c r="A222" s="60" t="s">
        <v>221</v>
      </c>
      <c r="B222" s="7"/>
      <c r="C222" s="7"/>
      <c r="D222" s="8">
        <f t="shared" si="3"/>
        <v>0</v>
      </c>
    </row>
    <row r="223" spans="1:4" ht="18" hidden="1" x14ac:dyDescent="0.3">
      <c r="A223" s="63" t="s">
        <v>222</v>
      </c>
      <c r="B223" s="7"/>
      <c r="C223" s="7"/>
      <c r="D223" s="8">
        <f t="shared" si="3"/>
        <v>0</v>
      </c>
    </row>
    <row r="224" spans="1:4" ht="18" hidden="1" x14ac:dyDescent="0.3">
      <c r="A224" s="63" t="s">
        <v>223</v>
      </c>
      <c r="B224" s="7"/>
      <c r="C224" s="7"/>
      <c r="D224" s="8">
        <f t="shared" si="3"/>
        <v>0</v>
      </c>
    </row>
    <row r="225" spans="1:4" ht="18" hidden="1" x14ac:dyDescent="0.3">
      <c r="A225" s="61" t="s">
        <v>224</v>
      </c>
      <c r="B225" s="12"/>
      <c r="C225" s="12"/>
      <c r="D225" s="8">
        <f t="shared" si="3"/>
        <v>0</v>
      </c>
    </row>
    <row r="226" spans="1:4" ht="18" hidden="1" x14ac:dyDescent="0.3">
      <c r="A226" s="61" t="s">
        <v>225</v>
      </c>
      <c r="B226" s="7"/>
      <c r="C226" s="7"/>
      <c r="D226" s="8">
        <f t="shared" si="3"/>
        <v>0</v>
      </c>
    </row>
    <row r="227" spans="1:4" ht="18" hidden="1" x14ac:dyDescent="0.3">
      <c r="A227" s="61" t="s">
        <v>226</v>
      </c>
      <c r="B227" s="12"/>
      <c r="C227" s="12"/>
      <c r="D227" s="8">
        <f t="shared" si="3"/>
        <v>0</v>
      </c>
    </row>
    <row r="228" spans="1:4" ht="18" hidden="1" x14ac:dyDescent="0.3">
      <c r="A228" s="65" t="s">
        <v>227</v>
      </c>
      <c r="B228" s="7"/>
      <c r="C228" s="7"/>
      <c r="D228" s="8">
        <f t="shared" si="3"/>
        <v>0</v>
      </c>
    </row>
    <row r="229" spans="1:4" ht="18" hidden="1" x14ac:dyDescent="0.3">
      <c r="A229" s="64" t="s">
        <v>228</v>
      </c>
      <c r="B229" s="7"/>
      <c r="C229" s="7"/>
      <c r="D229" s="8">
        <f t="shared" si="3"/>
        <v>0</v>
      </c>
    </row>
    <row r="230" spans="1:4" ht="18" hidden="1" x14ac:dyDescent="0.3">
      <c r="A230" s="64" t="s">
        <v>229</v>
      </c>
      <c r="B230" s="7"/>
      <c r="C230" s="7"/>
      <c r="D230" s="8">
        <f t="shared" si="3"/>
        <v>0</v>
      </c>
    </row>
    <row r="231" spans="1:4" ht="18" hidden="1" x14ac:dyDescent="0.3">
      <c r="A231" s="61" t="s">
        <v>230</v>
      </c>
      <c r="B231" s="7"/>
      <c r="C231" s="7"/>
      <c r="D231" s="8">
        <f t="shared" si="3"/>
        <v>0</v>
      </c>
    </row>
    <row r="232" spans="1:4" ht="18" hidden="1" x14ac:dyDescent="0.3">
      <c r="A232" s="63" t="s">
        <v>231</v>
      </c>
      <c r="B232" s="7"/>
      <c r="C232" s="7"/>
      <c r="D232" s="8">
        <f t="shared" si="3"/>
        <v>0</v>
      </c>
    </row>
    <row r="233" spans="1:4" ht="18" hidden="1" x14ac:dyDescent="0.3">
      <c r="A233" s="63" t="s">
        <v>232</v>
      </c>
      <c r="B233" s="7"/>
      <c r="C233" s="7"/>
      <c r="D233" s="8">
        <f t="shared" si="3"/>
        <v>0</v>
      </c>
    </row>
    <row r="234" spans="1:4" ht="18" hidden="1" x14ac:dyDescent="0.3">
      <c r="A234" s="65" t="s">
        <v>233</v>
      </c>
      <c r="B234" s="7"/>
      <c r="C234" s="7"/>
      <c r="D234" s="8">
        <f t="shared" si="3"/>
        <v>0</v>
      </c>
    </row>
    <row r="235" spans="1:4" ht="18" hidden="1" x14ac:dyDescent="0.3">
      <c r="A235" s="60" t="s">
        <v>234</v>
      </c>
      <c r="B235" s="7"/>
      <c r="C235" s="7"/>
      <c r="D235" s="8">
        <f t="shared" si="3"/>
        <v>0</v>
      </c>
    </row>
    <row r="236" spans="1:4" ht="18" hidden="1" x14ac:dyDescent="0.3">
      <c r="A236" s="63" t="s">
        <v>235</v>
      </c>
      <c r="B236" s="7"/>
      <c r="C236" s="7"/>
      <c r="D236" s="8">
        <f t="shared" si="3"/>
        <v>0</v>
      </c>
    </row>
    <row r="237" spans="1:4" ht="18" hidden="1" x14ac:dyDescent="0.3">
      <c r="A237" s="63" t="s">
        <v>236</v>
      </c>
      <c r="B237" s="7"/>
      <c r="C237" s="7"/>
      <c r="D237" s="8">
        <f t="shared" si="3"/>
        <v>0</v>
      </c>
    </row>
    <row r="238" spans="1:4" ht="18" hidden="1" x14ac:dyDescent="0.3">
      <c r="A238" s="64" t="s">
        <v>237</v>
      </c>
      <c r="B238" s="7"/>
      <c r="C238" s="7"/>
      <c r="D238" s="8">
        <f t="shared" si="3"/>
        <v>0</v>
      </c>
    </row>
    <row r="239" spans="1:4" ht="18" hidden="1" x14ac:dyDescent="0.3">
      <c r="A239" s="63" t="s">
        <v>238</v>
      </c>
      <c r="B239" s="7"/>
      <c r="C239" s="7"/>
      <c r="D239" s="8">
        <f t="shared" si="3"/>
        <v>0</v>
      </c>
    </row>
    <row r="240" spans="1:4" ht="18" hidden="1" x14ac:dyDescent="0.3">
      <c r="A240" s="63" t="s">
        <v>239</v>
      </c>
      <c r="B240" s="7"/>
      <c r="C240" s="7"/>
      <c r="D240" s="8">
        <f t="shared" si="3"/>
        <v>0</v>
      </c>
    </row>
    <row r="241" spans="1:4" ht="18" x14ac:dyDescent="0.3">
      <c r="A241" s="63" t="s">
        <v>240</v>
      </c>
      <c r="B241" s="7">
        <v>2</v>
      </c>
      <c r="C241" s="7">
        <v>28000</v>
      </c>
      <c r="D241" s="8">
        <f t="shared" si="3"/>
        <v>56000</v>
      </c>
    </row>
    <row r="242" spans="1:4" ht="18" hidden="1" x14ac:dyDescent="0.3">
      <c r="A242" s="63" t="s">
        <v>241</v>
      </c>
      <c r="B242" s="7"/>
      <c r="C242" s="7"/>
      <c r="D242" s="8">
        <f t="shared" si="3"/>
        <v>0</v>
      </c>
    </row>
    <row r="243" spans="1:4" ht="18" hidden="1" x14ac:dyDescent="0.3">
      <c r="A243" s="64" t="s">
        <v>242</v>
      </c>
      <c r="B243" s="7"/>
      <c r="C243" s="7"/>
      <c r="D243" s="8">
        <f t="shared" si="3"/>
        <v>0</v>
      </c>
    </row>
    <row r="244" spans="1:4" ht="18" hidden="1" x14ac:dyDescent="0.3">
      <c r="A244" s="63" t="s">
        <v>243</v>
      </c>
      <c r="B244" s="7"/>
      <c r="C244" s="7"/>
      <c r="D244" s="8">
        <f t="shared" si="3"/>
        <v>0</v>
      </c>
    </row>
    <row r="245" spans="1:4" ht="18" hidden="1" x14ac:dyDescent="0.3">
      <c r="A245" s="63" t="s">
        <v>244</v>
      </c>
      <c r="B245" s="7"/>
      <c r="C245" s="7"/>
      <c r="D245" s="8">
        <f t="shared" si="3"/>
        <v>0</v>
      </c>
    </row>
    <row r="246" spans="1:4" ht="18" hidden="1" x14ac:dyDescent="0.3">
      <c r="A246" s="64" t="s">
        <v>245</v>
      </c>
      <c r="B246" s="7"/>
      <c r="C246" s="7"/>
      <c r="D246" s="8">
        <f t="shared" si="3"/>
        <v>0</v>
      </c>
    </row>
    <row r="247" spans="1:4" ht="18" hidden="1" x14ac:dyDescent="0.3">
      <c r="A247" s="64" t="s">
        <v>246</v>
      </c>
      <c r="B247" s="7"/>
      <c r="C247" s="7"/>
      <c r="D247" s="8">
        <f t="shared" si="3"/>
        <v>0</v>
      </c>
    </row>
    <row r="248" spans="1:4" ht="18" hidden="1" x14ac:dyDescent="0.3">
      <c r="A248" s="79" t="s">
        <v>247</v>
      </c>
      <c r="B248" s="7"/>
      <c r="C248" s="7"/>
      <c r="D248" s="8">
        <f t="shared" si="3"/>
        <v>0</v>
      </c>
    </row>
    <row r="249" spans="1:4" ht="18" hidden="1" x14ac:dyDescent="0.3">
      <c r="A249" s="79" t="s">
        <v>248</v>
      </c>
      <c r="B249" s="7"/>
      <c r="C249" s="7"/>
      <c r="D249" s="8">
        <f t="shared" si="3"/>
        <v>0</v>
      </c>
    </row>
    <row r="250" spans="1:4" ht="18" hidden="1" x14ac:dyDescent="0.3">
      <c r="A250" s="64" t="s">
        <v>249</v>
      </c>
      <c r="B250" s="7"/>
      <c r="C250" s="7"/>
      <c r="D250" s="8">
        <f t="shared" si="3"/>
        <v>0</v>
      </c>
    </row>
    <row r="251" spans="1:4" ht="18" hidden="1" x14ac:dyDescent="0.3">
      <c r="A251" s="79" t="s">
        <v>250</v>
      </c>
      <c r="B251" s="7"/>
      <c r="C251" s="7"/>
      <c r="D251" s="8">
        <f t="shared" si="3"/>
        <v>0</v>
      </c>
    </row>
    <row r="252" spans="1:4" ht="18" hidden="1" x14ac:dyDescent="0.3">
      <c r="A252" s="79" t="s">
        <v>251</v>
      </c>
      <c r="B252" s="7"/>
      <c r="C252" s="7"/>
      <c r="D252" s="8">
        <f t="shared" si="3"/>
        <v>0</v>
      </c>
    </row>
    <row r="253" spans="1:4" ht="18" hidden="1" x14ac:dyDescent="0.3">
      <c r="A253" s="79" t="s">
        <v>252</v>
      </c>
      <c r="B253" s="7"/>
      <c r="C253" s="7"/>
      <c r="D253" s="8">
        <f t="shared" si="3"/>
        <v>0</v>
      </c>
    </row>
    <row r="254" spans="1:4" ht="18" hidden="1" x14ac:dyDescent="0.3">
      <c r="A254" s="63" t="s">
        <v>253</v>
      </c>
      <c r="B254" s="7"/>
      <c r="C254" s="7"/>
      <c r="D254" s="8">
        <f t="shared" si="3"/>
        <v>0</v>
      </c>
    </row>
    <row r="255" spans="1:4" ht="18" hidden="1" x14ac:dyDescent="0.3">
      <c r="A255" s="63" t="s">
        <v>254</v>
      </c>
      <c r="B255" s="7"/>
      <c r="C255" s="7"/>
      <c r="D255" s="8">
        <f t="shared" si="3"/>
        <v>0</v>
      </c>
    </row>
    <row r="256" spans="1:4" ht="18" hidden="1" x14ac:dyDescent="0.3">
      <c r="A256" s="63" t="s">
        <v>255</v>
      </c>
      <c r="B256" s="7"/>
      <c r="C256" s="7"/>
      <c r="D256" s="8">
        <f t="shared" si="3"/>
        <v>0</v>
      </c>
    </row>
    <row r="257" spans="1:4" ht="18" hidden="1" x14ac:dyDescent="0.3">
      <c r="A257" s="63" t="s">
        <v>256</v>
      </c>
      <c r="B257" s="7"/>
      <c r="C257" s="7"/>
      <c r="D257" s="8">
        <f t="shared" si="3"/>
        <v>0</v>
      </c>
    </row>
    <row r="258" spans="1:4" ht="18" hidden="1" x14ac:dyDescent="0.3">
      <c r="A258" s="63" t="s">
        <v>257</v>
      </c>
      <c r="B258" s="7"/>
      <c r="C258" s="7"/>
      <c r="D258" s="8">
        <f t="shared" si="3"/>
        <v>0</v>
      </c>
    </row>
    <row r="259" spans="1:4" ht="18" hidden="1" x14ac:dyDescent="0.3">
      <c r="A259" s="63" t="s">
        <v>258</v>
      </c>
      <c r="B259" s="7"/>
      <c r="C259" s="7"/>
      <c r="D259" s="8">
        <f t="shared" si="3"/>
        <v>0</v>
      </c>
    </row>
    <row r="260" spans="1:4" ht="18" hidden="1" x14ac:dyDescent="0.3">
      <c r="A260" s="63" t="s">
        <v>259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5" t="s">
        <v>260</v>
      </c>
      <c r="B261" s="7"/>
      <c r="C261" s="7"/>
      <c r="D261" s="8">
        <f t="shared" si="4"/>
        <v>0</v>
      </c>
    </row>
    <row r="262" spans="1:4" ht="18" hidden="1" x14ac:dyDescent="0.3">
      <c r="A262" s="63" t="s">
        <v>261</v>
      </c>
      <c r="B262" s="7"/>
      <c r="C262" s="7"/>
      <c r="D262" s="8">
        <f t="shared" si="4"/>
        <v>0</v>
      </c>
    </row>
    <row r="263" spans="1:4" ht="18" hidden="1" x14ac:dyDescent="0.3">
      <c r="A263" s="63" t="s">
        <v>262</v>
      </c>
      <c r="B263" s="7"/>
      <c r="C263" s="7"/>
      <c r="D263" s="8">
        <f t="shared" si="4"/>
        <v>0</v>
      </c>
    </row>
    <row r="264" spans="1:4" ht="18" x14ac:dyDescent="0.3">
      <c r="A264" s="63" t="s">
        <v>263</v>
      </c>
      <c r="B264" s="7">
        <v>80</v>
      </c>
      <c r="C264" s="7">
        <v>8000</v>
      </c>
      <c r="D264" s="8">
        <f t="shared" si="4"/>
        <v>640000</v>
      </c>
    </row>
    <row r="265" spans="1:4" ht="18" hidden="1" x14ac:dyDescent="0.3">
      <c r="A265" s="63" t="s">
        <v>264</v>
      </c>
      <c r="B265" s="7"/>
      <c r="C265" s="7"/>
      <c r="D265" s="8">
        <f t="shared" si="4"/>
        <v>0</v>
      </c>
    </row>
    <row r="266" spans="1:4" ht="18" hidden="1" x14ac:dyDescent="0.3">
      <c r="A266" s="63" t="s">
        <v>265</v>
      </c>
      <c r="B266" s="7"/>
      <c r="C266" s="7"/>
      <c r="D266" s="8">
        <f t="shared" si="4"/>
        <v>0</v>
      </c>
    </row>
    <row r="267" spans="1:4" ht="18" hidden="1" x14ac:dyDescent="0.3">
      <c r="A267" s="63" t="s">
        <v>266</v>
      </c>
      <c r="B267" s="7"/>
      <c r="C267" s="7"/>
      <c r="D267" s="8">
        <f t="shared" si="4"/>
        <v>0</v>
      </c>
    </row>
    <row r="268" spans="1:4" ht="18" hidden="1" x14ac:dyDescent="0.3">
      <c r="A268" s="63" t="s">
        <v>267</v>
      </c>
      <c r="B268" s="7"/>
      <c r="C268" s="7"/>
      <c r="D268" s="8">
        <f t="shared" si="4"/>
        <v>0</v>
      </c>
    </row>
    <row r="269" spans="1:4" ht="18" hidden="1" x14ac:dyDescent="0.3">
      <c r="A269" s="74" t="s">
        <v>268</v>
      </c>
      <c r="B269" s="7"/>
      <c r="C269" s="7"/>
      <c r="D269" s="8">
        <f t="shared" si="4"/>
        <v>0</v>
      </c>
    </row>
    <row r="270" spans="1:4" ht="18" hidden="1" x14ac:dyDescent="0.3">
      <c r="A270" s="63" t="s">
        <v>269</v>
      </c>
      <c r="B270" s="7"/>
      <c r="C270" s="7"/>
      <c r="D270" s="8">
        <f t="shared" si="4"/>
        <v>0</v>
      </c>
    </row>
    <row r="271" spans="1:4" ht="18" hidden="1" x14ac:dyDescent="0.3">
      <c r="A271" s="63" t="s">
        <v>270</v>
      </c>
      <c r="B271" s="7"/>
      <c r="C271" s="7"/>
      <c r="D271" s="8">
        <f t="shared" si="4"/>
        <v>0</v>
      </c>
    </row>
    <row r="272" spans="1:4" ht="18" hidden="1" x14ac:dyDescent="0.3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">
      <c r="A273" s="60" t="s">
        <v>272</v>
      </c>
      <c r="B273" s="12"/>
      <c r="C273" s="7"/>
      <c r="D273" s="8">
        <f t="shared" si="4"/>
        <v>0</v>
      </c>
    </row>
    <row r="274" spans="1:4" ht="18" hidden="1" x14ac:dyDescent="0.3">
      <c r="A274" s="63" t="s">
        <v>273</v>
      </c>
      <c r="B274" s="7"/>
      <c r="C274" s="7"/>
      <c r="D274" s="8">
        <f t="shared" si="4"/>
        <v>0</v>
      </c>
    </row>
    <row r="275" spans="1:4" ht="18" hidden="1" x14ac:dyDescent="0.3">
      <c r="A275" s="63" t="s">
        <v>274</v>
      </c>
      <c r="B275" s="7"/>
      <c r="C275" s="7"/>
      <c r="D275" s="8">
        <f t="shared" si="4"/>
        <v>0</v>
      </c>
    </row>
    <row r="276" spans="1:4" ht="18" hidden="1" x14ac:dyDescent="0.3">
      <c r="A276" s="63" t="s">
        <v>275</v>
      </c>
      <c r="B276" s="7"/>
      <c r="C276" s="7"/>
      <c r="D276" s="8">
        <f t="shared" si="4"/>
        <v>0</v>
      </c>
    </row>
    <row r="277" spans="1:4" ht="18" hidden="1" x14ac:dyDescent="0.3">
      <c r="A277" s="65" t="s">
        <v>92</v>
      </c>
      <c r="B277" s="7"/>
      <c r="C277" s="7"/>
      <c r="D277" s="8">
        <f t="shared" si="4"/>
        <v>0</v>
      </c>
    </row>
    <row r="278" spans="1:4" ht="18" hidden="1" x14ac:dyDescent="0.3">
      <c r="A278" s="63" t="s">
        <v>276</v>
      </c>
      <c r="B278" s="7"/>
      <c r="C278" s="7"/>
      <c r="D278" s="8">
        <f t="shared" si="4"/>
        <v>0</v>
      </c>
    </row>
    <row r="279" spans="1:4" ht="18" x14ac:dyDescent="0.3">
      <c r="A279" s="72" t="s">
        <v>277</v>
      </c>
      <c r="B279" s="7">
        <f>14+72</f>
        <v>86</v>
      </c>
      <c r="C279" s="7">
        <v>3500</v>
      </c>
      <c r="D279" s="8">
        <f t="shared" si="4"/>
        <v>301000</v>
      </c>
    </row>
    <row r="280" spans="1:4" ht="18" hidden="1" x14ac:dyDescent="0.3">
      <c r="A280" s="61" t="s">
        <v>278</v>
      </c>
      <c r="B280" s="7"/>
      <c r="C280" s="7"/>
      <c r="D280" s="8">
        <f t="shared" si="4"/>
        <v>0</v>
      </c>
    </row>
    <row r="281" spans="1:4" ht="18" hidden="1" x14ac:dyDescent="0.3">
      <c r="A281" s="63" t="s">
        <v>279</v>
      </c>
      <c r="B281" s="7"/>
      <c r="C281" s="7"/>
      <c r="D281" s="8">
        <f t="shared" si="4"/>
        <v>0</v>
      </c>
    </row>
    <row r="282" spans="1:4" ht="18" hidden="1" x14ac:dyDescent="0.3">
      <c r="A282" s="63" t="s">
        <v>280</v>
      </c>
      <c r="B282" s="7"/>
      <c r="C282" s="7"/>
      <c r="D282" s="8">
        <f t="shared" si="4"/>
        <v>0</v>
      </c>
    </row>
    <row r="283" spans="1:4" ht="18" hidden="1" x14ac:dyDescent="0.3">
      <c r="A283" s="63" t="s">
        <v>281</v>
      </c>
      <c r="B283" s="7"/>
      <c r="C283" s="7"/>
      <c r="D283" s="8">
        <f t="shared" si="4"/>
        <v>0</v>
      </c>
    </row>
    <row r="284" spans="1:4" ht="18" hidden="1" x14ac:dyDescent="0.3">
      <c r="A284" s="63" t="s">
        <v>282</v>
      </c>
      <c r="B284" s="7"/>
      <c r="C284" s="7"/>
      <c r="D284" s="8">
        <f t="shared" si="4"/>
        <v>0</v>
      </c>
    </row>
    <row r="285" spans="1:4" ht="18" hidden="1" x14ac:dyDescent="0.3">
      <c r="A285" s="60" t="s">
        <v>283</v>
      </c>
      <c r="B285" s="7"/>
      <c r="C285" s="7"/>
      <c r="D285" s="8">
        <f t="shared" si="4"/>
        <v>0</v>
      </c>
    </row>
    <row r="286" spans="1:4" ht="18" hidden="1" x14ac:dyDescent="0.3">
      <c r="A286" s="63" t="s">
        <v>313</v>
      </c>
      <c r="B286" s="7"/>
      <c r="C286" s="7"/>
      <c r="D286" s="8">
        <f t="shared" si="4"/>
        <v>0</v>
      </c>
    </row>
    <row r="287" spans="1:4" ht="18" hidden="1" x14ac:dyDescent="0.3">
      <c r="A287" s="61" t="s">
        <v>314</v>
      </c>
      <c r="B287" s="7"/>
      <c r="C287" s="7"/>
      <c r="D287" s="8">
        <f t="shared" si="4"/>
        <v>0</v>
      </c>
    </row>
    <row r="288" spans="1:4" ht="18" hidden="1" x14ac:dyDescent="0.3">
      <c r="A288" s="61" t="s">
        <v>315</v>
      </c>
      <c r="B288" s="7"/>
      <c r="C288" s="7"/>
      <c r="D288" s="8">
        <f t="shared" si="4"/>
        <v>0</v>
      </c>
    </row>
    <row r="289" spans="1:4" ht="18" hidden="1" x14ac:dyDescent="0.3">
      <c r="A289" s="63" t="s">
        <v>284</v>
      </c>
      <c r="B289" s="7"/>
      <c r="C289" s="7"/>
      <c r="D289" s="8">
        <f t="shared" si="4"/>
        <v>0</v>
      </c>
    </row>
    <row r="290" spans="1:4" ht="18" hidden="1" x14ac:dyDescent="0.3">
      <c r="A290" s="61" t="s">
        <v>285</v>
      </c>
      <c r="B290" s="7"/>
      <c r="C290" s="7"/>
      <c r="D290" s="8">
        <f t="shared" si="4"/>
        <v>0</v>
      </c>
    </row>
    <row r="291" spans="1:4" ht="18" hidden="1" x14ac:dyDescent="0.3">
      <c r="A291" s="61" t="s">
        <v>286</v>
      </c>
      <c r="B291" s="7"/>
      <c r="C291" s="7"/>
      <c r="D291" s="8">
        <f t="shared" si="4"/>
        <v>0</v>
      </c>
    </row>
    <row r="292" spans="1:4" ht="18" hidden="1" x14ac:dyDescent="0.3">
      <c r="A292" s="61" t="s">
        <v>287</v>
      </c>
      <c r="B292" s="7"/>
      <c r="C292" s="7"/>
      <c r="D292" s="8">
        <f t="shared" si="4"/>
        <v>0</v>
      </c>
    </row>
    <row r="293" spans="1:4" ht="18" hidden="1" x14ac:dyDescent="0.3">
      <c r="A293" s="63" t="s">
        <v>288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6378</v>
      </c>
      <c r="C294" s="32"/>
      <c r="D294" s="32">
        <f t="shared" si="5"/>
        <v>91177500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H72" sqref="H72"/>
    </sheetView>
  </sheetViews>
  <sheetFormatPr defaultRowHeight="14.4" x14ac:dyDescent="0.3"/>
  <cols>
    <col min="1" max="1" width="38.6640625" customWidth="1"/>
    <col min="3" max="3" width="12.6640625" customWidth="1"/>
    <col min="4" max="4" width="19.33203125" customWidth="1"/>
  </cols>
  <sheetData>
    <row r="1" spans="1:4" x14ac:dyDescent="0.3">
      <c r="A1" s="57" t="s">
        <v>326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70" t="s">
        <v>72</v>
      </c>
      <c r="B3" s="7"/>
      <c r="C3" s="7"/>
      <c r="D3" s="8">
        <f>B3*C3</f>
        <v>0</v>
      </c>
    </row>
    <row r="4" spans="1:4" ht="18" hidden="1" x14ac:dyDescent="0.3">
      <c r="A4" s="71" t="s">
        <v>73</v>
      </c>
      <c r="B4" s="7"/>
      <c r="C4" s="7"/>
      <c r="D4" s="8">
        <f t="shared" ref="D4:D67" si="0">B4*C4</f>
        <v>0</v>
      </c>
    </row>
    <row r="5" spans="1:4" ht="18" hidden="1" x14ac:dyDescent="0.3">
      <c r="A5" s="70" t="s">
        <v>190</v>
      </c>
      <c r="B5" s="7"/>
      <c r="C5" s="7"/>
      <c r="D5" s="8">
        <f t="shared" si="0"/>
        <v>0</v>
      </c>
    </row>
    <row r="6" spans="1:4" ht="18" hidden="1" x14ac:dyDescent="0.3">
      <c r="A6" s="63" t="s">
        <v>191</v>
      </c>
      <c r="B6" s="7"/>
      <c r="C6" s="7"/>
      <c r="D6" s="8">
        <f t="shared" si="0"/>
        <v>0</v>
      </c>
    </row>
    <row r="7" spans="1:4" ht="18" hidden="1" x14ac:dyDescent="0.3">
      <c r="A7" s="63" t="s">
        <v>49</v>
      </c>
      <c r="B7" s="7"/>
      <c r="C7" s="7"/>
      <c r="D7" s="8">
        <f t="shared" si="0"/>
        <v>0</v>
      </c>
    </row>
    <row r="8" spans="1:4" ht="18" hidden="1" x14ac:dyDescent="0.3">
      <c r="A8" s="62" t="s">
        <v>3</v>
      </c>
      <c r="B8" s="7"/>
      <c r="C8" s="7"/>
      <c r="D8" s="8">
        <f t="shared" si="0"/>
        <v>0</v>
      </c>
    </row>
    <row r="9" spans="1:4" ht="18" hidden="1" x14ac:dyDescent="0.3">
      <c r="A9" s="63" t="s">
        <v>4</v>
      </c>
      <c r="B9" s="7"/>
      <c r="C9" s="7"/>
      <c r="D9" s="8">
        <f t="shared" si="0"/>
        <v>0</v>
      </c>
    </row>
    <row r="10" spans="1:4" ht="18" x14ac:dyDescent="0.3">
      <c r="A10" s="63" t="s">
        <v>50</v>
      </c>
      <c r="B10" s="7">
        <v>16</v>
      </c>
      <c r="C10" s="7">
        <v>5500</v>
      </c>
      <c r="D10" s="8">
        <f t="shared" si="0"/>
        <v>88000</v>
      </c>
    </row>
    <row r="11" spans="1:4" ht="18" hidden="1" x14ac:dyDescent="0.3">
      <c r="A11" s="60" t="s">
        <v>51</v>
      </c>
      <c r="B11" s="7"/>
      <c r="C11" s="7"/>
      <c r="D11" s="8">
        <f t="shared" si="0"/>
        <v>0</v>
      </c>
    </row>
    <row r="12" spans="1:4" ht="18" hidden="1" x14ac:dyDescent="0.3">
      <c r="A12" s="63" t="s">
        <v>11</v>
      </c>
      <c r="B12" s="7"/>
      <c r="C12" s="7"/>
      <c r="D12" s="8">
        <f t="shared" si="0"/>
        <v>0</v>
      </c>
    </row>
    <row r="13" spans="1:4" ht="18" hidden="1" x14ac:dyDescent="0.3">
      <c r="A13" s="60" t="s">
        <v>199</v>
      </c>
      <c r="B13" s="7"/>
      <c r="C13" s="7"/>
      <c r="D13" s="8">
        <f t="shared" si="0"/>
        <v>0</v>
      </c>
    </row>
    <row r="14" spans="1:4" ht="18" hidden="1" x14ac:dyDescent="0.3">
      <c r="A14" s="63" t="s">
        <v>276</v>
      </c>
      <c r="B14" s="7"/>
      <c r="C14" s="7"/>
      <c r="D14" s="8">
        <f t="shared" si="0"/>
        <v>0</v>
      </c>
    </row>
    <row r="15" spans="1:4" ht="18" hidden="1" x14ac:dyDescent="0.3">
      <c r="A15" s="72" t="s">
        <v>277</v>
      </c>
      <c r="B15" s="7"/>
      <c r="C15" s="7"/>
      <c r="D15" s="8">
        <f t="shared" si="0"/>
        <v>0</v>
      </c>
    </row>
    <row r="16" spans="1:4" ht="18" hidden="1" x14ac:dyDescent="0.3">
      <c r="A16" s="61" t="s">
        <v>15</v>
      </c>
      <c r="B16" s="7"/>
      <c r="C16" s="7"/>
      <c r="D16" s="8">
        <f t="shared" si="0"/>
        <v>0</v>
      </c>
    </row>
    <row r="17" spans="1:4" ht="18" hidden="1" x14ac:dyDescent="0.3">
      <c r="A17" s="61" t="s">
        <v>278</v>
      </c>
      <c r="B17" s="7"/>
      <c r="C17" s="7"/>
      <c r="D17" s="8">
        <f t="shared" si="0"/>
        <v>0</v>
      </c>
    </row>
    <row r="18" spans="1:4" ht="18" x14ac:dyDescent="0.3">
      <c r="A18" s="63" t="s">
        <v>120</v>
      </c>
      <c r="B18" s="7">
        <f>1470+435+300</f>
        <v>2205</v>
      </c>
      <c r="C18" s="7">
        <v>5000</v>
      </c>
      <c r="D18" s="8">
        <f t="shared" si="0"/>
        <v>11025000</v>
      </c>
    </row>
    <row r="19" spans="1:4" ht="18" hidden="1" x14ac:dyDescent="0.3">
      <c r="A19" s="63" t="s">
        <v>18</v>
      </c>
      <c r="B19" s="7"/>
      <c r="C19" s="7"/>
      <c r="D19" s="8">
        <f t="shared" si="0"/>
        <v>0</v>
      </c>
    </row>
    <row r="20" spans="1:4" ht="18" hidden="1" x14ac:dyDescent="0.3">
      <c r="A20" s="60" t="s">
        <v>59</v>
      </c>
      <c r="B20" s="7"/>
      <c r="C20" s="7"/>
      <c r="D20" s="8">
        <f t="shared" si="0"/>
        <v>0</v>
      </c>
    </row>
    <row r="21" spans="1:4" ht="18" hidden="1" x14ac:dyDescent="0.3">
      <c r="A21" s="61" t="s">
        <v>20</v>
      </c>
      <c r="B21" s="7"/>
      <c r="C21" s="7"/>
      <c r="D21" s="8">
        <f t="shared" si="0"/>
        <v>0</v>
      </c>
    </row>
    <row r="22" spans="1:4" ht="18" x14ac:dyDescent="0.3">
      <c r="A22" s="63" t="s">
        <v>262</v>
      </c>
      <c r="B22" s="7">
        <v>7</v>
      </c>
      <c r="C22" s="7">
        <v>10000</v>
      </c>
      <c r="D22" s="8">
        <f t="shared" si="0"/>
        <v>70000</v>
      </c>
    </row>
    <row r="23" spans="1:4" ht="18" hidden="1" x14ac:dyDescent="0.3">
      <c r="A23" s="63" t="s">
        <v>22</v>
      </c>
      <c r="B23" s="7"/>
      <c r="C23" s="7"/>
      <c r="D23" s="8">
        <f t="shared" si="0"/>
        <v>0</v>
      </c>
    </row>
    <row r="24" spans="1:4" ht="18" x14ac:dyDescent="0.3">
      <c r="A24" s="63" t="s">
        <v>263</v>
      </c>
      <c r="B24" s="7">
        <v>10</v>
      </c>
      <c r="C24" s="7">
        <v>8000</v>
      </c>
      <c r="D24" s="8">
        <f t="shared" si="0"/>
        <v>80000</v>
      </c>
    </row>
    <row r="25" spans="1:4" ht="18" hidden="1" x14ac:dyDescent="0.3">
      <c r="A25" s="63" t="s">
        <v>264</v>
      </c>
      <c r="B25" s="7"/>
      <c r="C25" s="7"/>
      <c r="D25" s="8">
        <f t="shared" si="0"/>
        <v>0</v>
      </c>
    </row>
    <row r="26" spans="1:4" ht="18" hidden="1" x14ac:dyDescent="0.3">
      <c r="A26" s="60" t="s">
        <v>64</v>
      </c>
      <c r="B26" s="7"/>
      <c r="C26" s="7"/>
      <c r="D26" s="8">
        <f t="shared" si="0"/>
        <v>0</v>
      </c>
    </row>
    <row r="27" spans="1:4" ht="18" hidden="1" x14ac:dyDescent="0.3">
      <c r="A27" s="63" t="s">
        <v>222</v>
      </c>
      <c r="B27" s="7"/>
      <c r="C27" s="7"/>
      <c r="D27" s="8">
        <f t="shared" si="0"/>
        <v>0</v>
      </c>
    </row>
    <row r="28" spans="1:4" ht="18" hidden="1" x14ac:dyDescent="0.3">
      <c r="A28" s="63" t="s">
        <v>223</v>
      </c>
      <c r="B28" s="7"/>
      <c r="C28" s="7"/>
      <c r="D28" s="8">
        <f t="shared" si="0"/>
        <v>0</v>
      </c>
    </row>
    <row r="29" spans="1:4" ht="18" hidden="1" x14ac:dyDescent="0.3">
      <c r="A29" s="61" t="s">
        <v>226</v>
      </c>
      <c r="B29" s="12"/>
      <c r="C29" s="12"/>
      <c r="D29" s="8">
        <f t="shared" si="0"/>
        <v>0</v>
      </c>
    </row>
    <row r="30" spans="1:4" ht="18" hidden="1" x14ac:dyDescent="0.3">
      <c r="A30" s="63" t="s">
        <v>29</v>
      </c>
      <c r="B30" s="7"/>
      <c r="C30" s="7"/>
      <c r="D30" s="8">
        <f t="shared" si="0"/>
        <v>0</v>
      </c>
    </row>
    <row r="31" spans="1:4" ht="18" hidden="1" x14ac:dyDescent="0.3">
      <c r="A31" s="63" t="s">
        <v>145</v>
      </c>
      <c r="B31" s="7"/>
      <c r="C31" s="7"/>
      <c r="D31" s="8">
        <f t="shared" si="0"/>
        <v>0</v>
      </c>
    </row>
    <row r="32" spans="1:4" ht="18" hidden="1" x14ac:dyDescent="0.3">
      <c r="A32" s="63" t="s">
        <v>31</v>
      </c>
      <c r="B32" s="7"/>
      <c r="C32" s="7"/>
      <c r="D32" s="8">
        <f t="shared" si="0"/>
        <v>0</v>
      </c>
    </row>
    <row r="33" spans="1:4" ht="18" hidden="1" x14ac:dyDescent="0.3">
      <c r="A33" s="65" t="s">
        <v>97</v>
      </c>
      <c r="B33" s="7"/>
      <c r="C33" s="7"/>
      <c r="D33" s="8">
        <f t="shared" si="0"/>
        <v>0</v>
      </c>
    </row>
    <row r="34" spans="1:4" ht="18" hidden="1" x14ac:dyDescent="0.3">
      <c r="A34" s="63" t="s">
        <v>98</v>
      </c>
      <c r="B34" s="7"/>
      <c r="C34" s="7"/>
      <c r="D34" s="8">
        <f t="shared" si="0"/>
        <v>0</v>
      </c>
    </row>
    <row r="35" spans="1:4" ht="18" hidden="1" x14ac:dyDescent="0.3">
      <c r="A35" s="63" t="s">
        <v>99</v>
      </c>
      <c r="B35" s="7"/>
      <c r="C35" s="7"/>
      <c r="D35" s="8">
        <f t="shared" si="0"/>
        <v>0</v>
      </c>
    </row>
    <row r="36" spans="1:4" ht="18" hidden="1" x14ac:dyDescent="0.3">
      <c r="A36" s="63" t="s">
        <v>35</v>
      </c>
      <c r="B36" s="7"/>
      <c r="C36" s="7"/>
      <c r="D36" s="8">
        <f t="shared" si="0"/>
        <v>0</v>
      </c>
    </row>
    <row r="37" spans="1:4" ht="18" hidden="1" x14ac:dyDescent="0.3">
      <c r="A37" s="63" t="s">
        <v>266</v>
      </c>
      <c r="B37" s="7"/>
      <c r="C37" s="7"/>
      <c r="D37" s="8">
        <f t="shared" si="0"/>
        <v>0</v>
      </c>
    </row>
    <row r="38" spans="1:4" ht="18" hidden="1" x14ac:dyDescent="0.3">
      <c r="A38" s="63" t="s">
        <v>267</v>
      </c>
      <c r="B38" s="7"/>
      <c r="C38" s="7"/>
      <c r="D38" s="8">
        <f t="shared" si="0"/>
        <v>0</v>
      </c>
    </row>
    <row r="39" spans="1:4" ht="18" hidden="1" x14ac:dyDescent="0.3">
      <c r="A39" s="74" t="s">
        <v>268</v>
      </c>
      <c r="B39" s="7"/>
      <c r="C39" s="7"/>
      <c r="D39" s="8">
        <f t="shared" si="0"/>
        <v>0</v>
      </c>
    </row>
    <row r="40" spans="1:4" ht="18" hidden="1" x14ac:dyDescent="0.3">
      <c r="A40" s="66" t="s">
        <v>39</v>
      </c>
      <c r="B40" s="7"/>
      <c r="C40" s="7"/>
      <c r="D40" s="8">
        <f t="shared" si="0"/>
        <v>0</v>
      </c>
    </row>
    <row r="41" spans="1:4" ht="18" hidden="1" x14ac:dyDescent="0.3">
      <c r="A41" s="61" t="s">
        <v>122</v>
      </c>
      <c r="B41" s="7"/>
      <c r="C41" s="7"/>
      <c r="D41" s="8">
        <f t="shared" si="0"/>
        <v>0</v>
      </c>
    </row>
    <row r="42" spans="1:4" ht="18" hidden="1" x14ac:dyDescent="0.3">
      <c r="A42" s="74" t="s">
        <v>123</v>
      </c>
      <c r="B42" s="7"/>
      <c r="C42" s="7"/>
      <c r="D42" s="8">
        <f t="shared" si="0"/>
        <v>0</v>
      </c>
    </row>
    <row r="43" spans="1:4" ht="18" x14ac:dyDescent="0.3">
      <c r="A43" s="63" t="s">
        <v>269</v>
      </c>
      <c r="B43" s="7">
        <v>35</v>
      </c>
      <c r="C43" s="7">
        <v>23000</v>
      </c>
      <c r="D43" s="8">
        <f t="shared" si="0"/>
        <v>805000</v>
      </c>
    </row>
    <row r="44" spans="1:4" ht="18" hidden="1" x14ac:dyDescent="0.3">
      <c r="A44" s="63" t="s">
        <v>43</v>
      </c>
      <c r="B44" s="7"/>
      <c r="C44" s="7"/>
      <c r="D44" s="8">
        <f t="shared" si="0"/>
        <v>0</v>
      </c>
    </row>
    <row r="45" spans="1:4" ht="18" hidden="1" x14ac:dyDescent="0.3">
      <c r="A45" s="63" t="s">
        <v>44</v>
      </c>
      <c r="B45" s="7"/>
      <c r="C45" s="7"/>
      <c r="D45" s="8">
        <f t="shared" si="0"/>
        <v>0</v>
      </c>
    </row>
    <row r="46" spans="1:4" ht="18" hidden="1" x14ac:dyDescent="0.3">
      <c r="A46" s="67" t="s">
        <v>270</v>
      </c>
      <c r="B46" s="7"/>
      <c r="C46" s="7"/>
      <c r="D46" s="8">
        <f t="shared" si="0"/>
        <v>0</v>
      </c>
    </row>
    <row r="47" spans="1:4" ht="18" x14ac:dyDescent="0.3">
      <c r="A47" s="60" t="s">
        <v>113</v>
      </c>
      <c r="B47" s="7">
        <v>440</v>
      </c>
      <c r="C47" s="7">
        <v>16000</v>
      </c>
      <c r="D47" s="8">
        <f t="shared" si="0"/>
        <v>7040000</v>
      </c>
    </row>
    <row r="48" spans="1:4" ht="18" hidden="1" x14ac:dyDescent="0.3">
      <c r="A48" s="61" t="s">
        <v>300</v>
      </c>
      <c r="B48" s="7"/>
      <c r="C48" s="7"/>
      <c r="D48" s="8">
        <f t="shared" si="0"/>
        <v>0</v>
      </c>
    </row>
    <row r="49" spans="1:4" ht="18" hidden="1" x14ac:dyDescent="0.3">
      <c r="A49" s="63" t="s">
        <v>48</v>
      </c>
      <c r="B49" s="7"/>
      <c r="C49" s="7"/>
      <c r="D49" s="8">
        <f t="shared" si="0"/>
        <v>0</v>
      </c>
    </row>
    <row r="50" spans="1:4" ht="18" x14ac:dyDescent="0.3">
      <c r="A50" s="63" t="s">
        <v>147</v>
      </c>
      <c r="B50" s="7">
        <v>5.5</v>
      </c>
      <c r="C50" s="7">
        <v>12500</v>
      </c>
      <c r="D50" s="8">
        <f t="shared" si="0"/>
        <v>68750</v>
      </c>
    </row>
    <row r="51" spans="1:4" ht="18" x14ac:dyDescent="0.3">
      <c r="A51" s="68" t="s">
        <v>148</v>
      </c>
      <c r="B51" s="7">
        <v>3</v>
      </c>
      <c r="C51" s="7">
        <v>7500</v>
      </c>
      <c r="D51" s="8">
        <f t="shared" si="0"/>
        <v>22500</v>
      </c>
    </row>
    <row r="52" spans="1:4" ht="18" hidden="1" x14ac:dyDescent="0.3">
      <c r="A52" s="68" t="s">
        <v>149</v>
      </c>
      <c r="B52" s="7"/>
      <c r="C52" s="7"/>
      <c r="D52" s="8">
        <f t="shared" si="0"/>
        <v>0</v>
      </c>
    </row>
    <row r="53" spans="1:4" ht="18" hidden="1" x14ac:dyDescent="0.3">
      <c r="A53" s="61" t="s">
        <v>151</v>
      </c>
      <c r="B53" s="7"/>
      <c r="C53" s="7"/>
      <c r="D53" s="8">
        <f t="shared" si="0"/>
        <v>0</v>
      </c>
    </row>
    <row r="54" spans="1:4" ht="18" hidden="1" x14ac:dyDescent="0.3">
      <c r="A54" s="63" t="s">
        <v>152</v>
      </c>
      <c r="B54" s="7"/>
      <c r="C54" s="7"/>
      <c r="D54" s="8">
        <f t="shared" si="0"/>
        <v>0</v>
      </c>
    </row>
    <row r="55" spans="1:4" ht="18" hidden="1" x14ac:dyDescent="0.3">
      <c r="A55" s="63" t="s">
        <v>153</v>
      </c>
      <c r="B55" s="7"/>
      <c r="C55" s="7"/>
      <c r="D55" s="8">
        <f t="shared" si="0"/>
        <v>0</v>
      </c>
    </row>
    <row r="56" spans="1:4" ht="18" hidden="1" x14ac:dyDescent="0.3">
      <c r="A56" s="68" t="s">
        <v>75</v>
      </c>
      <c r="B56" s="7"/>
      <c r="C56" s="7"/>
      <c r="D56" s="8">
        <f t="shared" si="0"/>
        <v>0</v>
      </c>
    </row>
    <row r="57" spans="1:4" ht="18" hidden="1" x14ac:dyDescent="0.3">
      <c r="A57" s="63" t="s">
        <v>56</v>
      </c>
      <c r="B57" s="7"/>
      <c r="C57" s="7"/>
      <c r="D57" s="8">
        <f t="shared" si="0"/>
        <v>0</v>
      </c>
    </row>
    <row r="58" spans="1:4" ht="18" x14ac:dyDescent="0.3">
      <c r="A58" s="63" t="s">
        <v>114</v>
      </c>
      <c r="B58" s="7">
        <v>40</v>
      </c>
      <c r="C58" s="7">
        <v>15000</v>
      </c>
      <c r="D58" s="8">
        <f t="shared" si="0"/>
        <v>600000</v>
      </c>
    </row>
    <row r="59" spans="1:4" ht="18" x14ac:dyDescent="0.3">
      <c r="A59" s="85" t="s">
        <v>303</v>
      </c>
      <c r="B59" s="7">
        <v>7</v>
      </c>
      <c r="C59" s="7">
        <v>7000</v>
      </c>
      <c r="D59" s="8">
        <f t="shared" si="0"/>
        <v>49000</v>
      </c>
    </row>
    <row r="60" spans="1:4" ht="18" hidden="1" x14ac:dyDescent="0.3">
      <c r="A60" s="61" t="s">
        <v>304</v>
      </c>
      <c r="B60" s="7"/>
      <c r="C60" s="7"/>
      <c r="D60" s="8">
        <f t="shared" si="0"/>
        <v>0</v>
      </c>
    </row>
    <row r="61" spans="1:4" ht="18" hidden="1" x14ac:dyDescent="0.3">
      <c r="A61" s="60" t="s">
        <v>60</v>
      </c>
      <c r="B61" s="7"/>
      <c r="C61" s="7"/>
      <c r="D61" s="8">
        <f t="shared" si="0"/>
        <v>0</v>
      </c>
    </row>
    <row r="62" spans="1:4" ht="18" hidden="1" x14ac:dyDescent="0.3">
      <c r="A62" s="60" t="s">
        <v>305</v>
      </c>
      <c r="B62" s="7"/>
      <c r="C62" s="7"/>
      <c r="D62" s="8">
        <f t="shared" si="0"/>
        <v>0</v>
      </c>
    </row>
    <row r="63" spans="1:4" ht="18" hidden="1" x14ac:dyDescent="0.3">
      <c r="A63" s="60" t="s">
        <v>306</v>
      </c>
      <c r="B63" s="7"/>
      <c r="C63" s="7"/>
      <c r="D63" s="8">
        <f t="shared" si="0"/>
        <v>0</v>
      </c>
    </row>
    <row r="64" spans="1:4" ht="18" hidden="1" x14ac:dyDescent="0.3">
      <c r="A64" s="63" t="s">
        <v>63</v>
      </c>
      <c r="B64" s="7"/>
      <c r="C64" s="7"/>
      <c r="D64" s="8">
        <f t="shared" si="0"/>
        <v>0</v>
      </c>
    </row>
    <row r="65" spans="1:4" ht="18" hidden="1" x14ac:dyDescent="0.3">
      <c r="A65" s="60" t="s">
        <v>2</v>
      </c>
      <c r="B65" s="7"/>
      <c r="C65" s="7"/>
      <c r="D65" s="8">
        <f t="shared" si="0"/>
        <v>0</v>
      </c>
    </row>
    <row r="66" spans="1:4" ht="18" hidden="1" x14ac:dyDescent="0.3">
      <c r="A66" s="60" t="s">
        <v>65</v>
      </c>
      <c r="B66" s="7"/>
      <c r="C66" s="7"/>
      <c r="D66" s="8">
        <f t="shared" si="0"/>
        <v>0</v>
      </c>
    </row>
    <row r="67" spans="1:4" ht="18" hidden="1" x14ac:dyDescent="0.3">
      <c r="A67" s="63" t="s">
        <v>66</v>
      </c>
      <c r="B67" s="7"/>
      <c r="C67" s="7"/>
      <c r="D67" s="8">
        <f t="shared" si="0"/>
        <v>0</v>
      </c>
    </row>
    <row r="68" spans="1:4" ht="18" hidden="1" x14ac:dyDescent="0.3">
      <c r="A68" s="63" t="s">
        <v>115</v>
      </c>
      <c r="B68" s="7"/>
      <c r="C68" s="7"/>
      <c r="D68" s="8">
        <f t="shared" ref="D68:D131" si="1">B68*C68</f>
        <v>0</v>
      </c>
    </row>
    <row r="69" spans="1:4" ht="18" x14ac:dyDescent="0.3">
      <c r="A69" s="63" t="s">
        <v>163</v>
      </c>
      <c r="B69" s="7">
        <v>60</v>
      </c>
      <c r="C69" s="7">
        <v>16000</v>
      </c>
      <c r="D69" s="8">
        <f t="shared" si="1"/>
        <v>960000</v>
      </c>
    </row>
    <row r="70" spans="1:4" ht="18" x14ac:dyDescent="0.3">
      <c r="A70" s="74" t="s">
        <v>164</v>
      </c>
      <c r="B70" s="7">
        <v>17</v>
      </c>
      <c r="C70" s="7">
        <v>15000</v>
      </c>
      <c r="D70" s="8">
        <f t="shared" si="1"/>
        <v>255000</v>
      </c>
    </row>
    <row r="71" spans="1:4" ht="18" hidden="1" x14ac:dyDescent="0.3">
      <c r="A71" s="63" t="s">
        <v>319</v>
      </c>
      <c r="B71" s="7"/>
      <c r="C71" s="7"/>
      <c r="D71" s="8">
        <f t="shared" si="1"/>
        <v>0</v>
      </c>
    </row>
    <row r="72" spans="1:4" ht="18" x14ac:dyDescent="0.3">
      <c r="A72" s="63" t="s">
        <v>166</v>
      </c>
      <c r="B72" s="7">
        <v>12</v>
      </c>
      <c r="C72" s="7">
        <v>15000</v>
      </c>
      <c r="D72" s="8">
        <f t="shared" si="1"/>
        <v>180000</v>
      </c>
    </row>
    <row r="73" spans="1:4" ht="18" hidden="1" x14ac:dyDescent="0.3">
      <c r="A73" s="63" t="s">
        <v>167</v>
      </c>
      <c r="B73" s="7"/>
      <c r="C73" s="7"/>
      <c r="D73" s="8">
        <f t="shared" si="1"/>
        <v>0</v>
      </c>
    </row>
    <row r="74" spans="1:4" ht="18" hidden="1" x14ac:dyDescent="0.3">
      <c r="A74" s="60" t="s">
        <v>9</v>
      </c>
      <c r="B74" s="12"/>
      <c r="C74" s="12"/>
      <c r="D74" s="8">
        <f t="shared" si="1"/>
        <v>0</v>
      </c>
    </row>
    <row r="75" spans="1:4" ht="18" hidden="1" x14ac:dyDescent="0.3">
      <c r="A75" s="70" t="s">
        <v>74</v>
      </c>
      <c r="B75" s="7"/>
      <c r="C75" s="7"/>
      <c r="D75" s="8">
        <f t="shared" si="1"/>
        <v>0</v>
      </c>
    </row>
    <row r="76" spans="1:4" ht="18" hidden="1" x14ac:dyDescent="0.3">
      <c r="A76" s="60" t="s">
        <v>10</v>
      </c>
      <c r="B76" s="12"/>
      <c r="C76" s="12"/>
      <c r="D76" s="8">
        <f t="shared" si="1"/>
        <v>0</v>
      </c>
    </row>
    <row r="77" spans="1:4" ht="18" x14ac:dyDescent="0.3">
      <c r="A77" s="63" t="s">
        <v>82</v>
      </c>
      <c r="B77" s="7">
        <v>15</v>
      </c>
      <c r="C77" s="7">
        <v>32000</v>
      </c>
      <c r="D77" s="8">
        <f t="shared" si="1"/>
        <v>480000</v>
      </c>
    </row>
    <row r="78" spans="1:4" ht="18" hidden="1" x14ac:dyDescent="0.3">
      <c r="A78" s="63" t="s">
        <v>83</v>
      </c>
      <c r="B78" s="7"/>
      <c r="C78" s="7"/>
      <c r="D78" s="8">
        <f t="shared" si="1"/>
        <v>0</v>
      </c>
    </row>
    <row r="79" spans="1:4" ht="18" hidden="1" x14ac:dyDescent="0.3">
      <c r="A79" s="63" t="s">
        <v>84</v>
      </c>
      <c r="B79" s="7"/>
      <c r="C79" s="7"/>
      <c r="D79" s="8">
        <f t="shared" si="1"/>
        <v>0</v>
      </c>
    </row>
    <row r="80" spans="1:4" ht="18" hidden="1" x14ac:dyDescent="0.3">
      <c r="A80" s="72" t="s">
        <v>79</v>
      </c>
      <c r="B80" s="7"/>
      <c r="C80" s="7"/>
      <c r="D80" s="8">
        <f t="shared" si="1"/>
        <v>0</v>
      </c>
    </row>
    <row r="81" spans="1:4" ht="18" hidden="1" x14ac:dyDescent="0.3">
      <c r="A81" s="63" t="s">
        <v>188</v>
      </c>
      <c r="B81" s="7"/>
      <c r="C81" s="7"/>
      <c r="D81" s="8">
        <f t="shared" si="1"/>
        <v>0</v>
      </c>
    </row>
    <row r="82" spans="1:4" ht="18" hidden="1" x14ac:dyDescent="0.3">
      <c r="A82" s="63" t="s">
        <v>81</v>
      </c>
      <c r="B82" s="7"/>
      <c r="C82" s="7"/>
      <c r="D82" s="8">
        <f t="shared" si="1"/>
        <v>0</v>
      </c>
    </row>
    <row r="83" spans="1:4" ht="18" hidden="1" x14ac:dyDescent="0.3">
      <c r="A83" s="64" t="s">
        <v>189</v>
      </c>
      <c r="B83" s="7"/>
      <c r="C83" s="7"/>
      <c r="D83" s="8">
        <f t="shared" si="1"/>
        <v>0</v>
      </c>
    </row>
    <row r="84" spans="1:4" ht="18" hidden="1" x14ac:dyDescent="0.3">
      <c r="A84" s="74" t="s">
        <v>168</v>
      </c>
      <c r="B84" s="7"/>
      <c r="C84" s="7"/>
      <c r="D84" s="8">
        <f t="shared" si="1"/>
        <v>0</v>
      </c>
    </row>
    <row r="85" spans="1:4" ht="18" x14ac:dyDescent="0.3">
      <c r="A85" s="63" t="s">
        <v>12</v>
      </c>
      <c r="B85" s="7">
        <v>2</v>
      </c>
      <c r="C85" s="7">
        <v>6000</v>
      </c>
      <c r="D85" s="8">
        <f t="shared" si="1"/>
        <v>12000</v>
      </c>
    </row>
    <row r="86" spans="1:4" ht="18" hidden="1" x14ac:dyDescent="0.3">
      <c r="A86" s="63" t="s">
        <v>85</v>
      </c>
      <c r="B86" s="7"/>
      <c r="C86" s="7"/>
      <c r="D86" s="8">
        <f t="shared" si="1"/>
        <v>0</v>
      </c>
    </row>
    <row r="87" spans="1:4" ht="18" hidden="1" x14ac:dyDescent="0.3">
      <c r="A87" s="63" t="s">
        <v>86</v>
      </c>
      <c r="B87" s="7"/>
      <c r="C87" s="7"/>
      <c r="D87" s="8">
        <f t="shared" si="1"/>
        <v>0</v>
      </c>
    </row>
    <row r="88" spans="1:4" ht="18" hidden="1" x14ac:dyDescent="0.3">
      <c r="A88" s="63" t="s">
        <v>13</v>
      </c>
      <c r="B88" s="12"/>
      <c r="C88" s="12"/>
      <c r="D88" s="8">
        <f t="shared" si="1"/>
        <v>0</v>
      </c>
    </row>
    <row r="89" spans="1:4" ht="18" hidden="1" x14ac:dyDescent="0.3">
      <c r="A89" s="63" t="s">
        <v>88</v>
      </c>
      <c r="B89" s="7"/>
      <c r="C89" s="7"/>
      <c r="D89" s="8">
        <f t="shared" si="1"/>
        <v>0</v>
      </c>
    </row>
    <row r="90" spans="1:4" ht="18" hidden="1" x14ac:dyDescent="0.3">
      <c r="A90" s="64" t="s">
        <v>14</v>
      </c>
      <c r="B90" s="7"/>
      <c r="C90" s="7"/>
      <c r="D90" s="8">
        <f t="shared" si="1"/>
        <v>0</v>
      </c>
    </row>
    <row r="91" spans="1:4" ht="18" hidden="1" x14ac:dyDescent="0.3">
      <c r="A91" s="63" t="s">
        <v>46</v>
      </c>
      <c r="B91" s="7"/>
      <c r="C91" s="7"/>
      <c r="D91" s="8">
        <f t="shared" si="1"/>
        <v>0</v>
      </c>
    </row>
    <row r="92" spans="1:4" ht="18" hidden="1" x14ac:dyDescent="0.3">
      <c r="A92" s="74" t="s">
        <v>91</v>
      </c>
      <c r="B92" s="7"/>
      <c r="C92" s="7"/>
      <c r="D92" s="8">
        <f t="shared" si="1"/>
        <v>0</v>
      </c>
    </row>
    <row r="93" spans="1:4" ht="18" hidden="1" x14ac:dyDescent="0.3">
      <c r="A93" s="60" t="s">
        <v>93</v>
      </c>
      <c r="B93" s="7"/>
      <c r="C93" s="7"/>
      <c r="D93" s="8">
        <f t="shared" si="1"/>
        <v>0</v>
      </c>
    </row>
    <row r="94" spans="1:4" ht="18" hidden="1" x14ac:dyDescent="0.3">
      <c r="A94" s="65" t="s">
        <v>94</v>
      </c>
      <c r="B94" s="7"/>
      <c r="C94" s="7"/>
      <c r="D94" s="8">
        <f t="shared" si="1"/>
        <v>0</v>
      </c>
    </row>
    <row r="95" spans="1:4" ht="18" hidden="1" x14ac:dyDescent="0.3">
      <c r="A95" s="65" t="s">
        <v>47</v>
      </c>
      <c r="B95" s="7"/>
      <c r="C95" s="7"/>
      <c r="D95" s="8">
        <f t="shared" si="1"/>
        <v>0</v>
      </c>
    </row>
    <row r="96" spans="1:4" ht="18" hidden="1" x14ac:dyDescent="0.3">
      <c r="A96" s="63" t="s">
        <v>186</v>
      </c>
      <c r="B96" s="7"/>
      <c r="C96" s="7"/>
      <c r="D96" s="8">
        <f t="shared" si="1"/>
        <v>0</v>
      </c>
    </row>
    <row r="97" spans="1:4" ht="18" x14ac:dyDescent="0.3">
      <c r="A97" s="76" t="s">
        <v>17</v>
      </c>
      <c r="B97" s="7">
        <v>30</v>
      </c>
      <c r="C97" s="7">
        <v>16000</v>
      </c>
      <c r="D97" s="8">
        <f t="shared" si="1"/>
        <v>480000</v>
      </c>
    </row>
    <row r="98" spans="1:4" ht="18" hidden="1" x14ac:dyDescent="0.3">
      <c r="A98" s="76" t="s">
        <v>19</v>
      </c>
      <c r="B98" s="7"/>
      <c r="C98" s="7"/>
      <c r="D98" s="8">
        <f t="shared" si="1"/>
        <v>0</v>
      </c>
    </row>
    <row r="99" spans="1:4" ht="18" hidden="1" x14ac:dyDescent="0.3">
      <c r="A99" s="76" t="s">
        <v>207</v>
      </c>
      <c r="B99" s="7"/>
      <c r="C99" s="7"/>
      <c r="D99" s="8">
        <f t="shared" si="1"/>
        <v>0</v>
      </c>
    </row>
    <row r="100" spans="1:4" ht="18" hidden="1" x14ac:dyDescent="0.3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">
      <c r="A102" s="63" t="s">
        <v>102</v>
      </c>
      <c r="B102" s="12"/>
      <c r="C102" s="12"/>
      <c r="D102" s="8">
        <f t="shared" si="1"/>
        <v>0</v>
      </c>
    </row>
    <row r="103" spans="1:4" ht="18" hidden="1" x14ac:dyDescent="0.3">
      <c r="A103" s="13" t="s">
        <v>16</v>
      </c>
      <c r="B103" s="7"/>
      <c r="C103" s="7"/>
      <c r="D103" s="8">
        <f t="shared" si="1"/>
        <v>0</v>
      </c>
    </row>
    <row r="104" spans="1:4" ht="18" hidden="1" x14ac:dyDescent="0.3">
      <c r="A104" s="63" t="s">
        <v>313</v>
      </c>
      <c r="B104" s="7"/>
      <c r="C104" s="7"/>
      <c r="D104" s="8">
        <f t="shared" si="1"/>
        <v>0</v>
      </c>
    </row>
    <row r="105" spans="1:4" ht="18" hidden="1" x14ac:dyDescent="0.3">
      <c r="A105" s="63" t="s">
        <v>105</v>
      </c>
      <c r="B105" s="12"/>
      <c r="C105" s="12"/>
      <c r="D105" s="8">
        <f t="shared" si="1"/>
        <v>0</v>
      </c>
    </row>
    <row r="106" spans="1:4" ht="18" hidden="1" x14ac:dyDescent="0.3">
      <c r="A106" s="63" t="s">
        <v>96</v>
      </c>
      <c r="B106" s="7"/>
      <c r="C106" s="7"/>
      <c r="D106" s="8">
        <f t="shared" si="1"/>
        <v>0</v>
      </c>
    </row>
    <row r="107" spans="1:4" ht="18" hidden="1" x14ac:dyDescent="0.3">
      <c r="A107" s="72" t="s">
        <v>125</v>
      </c>
      <c r="B107" s="7"/>
      <c r="C107" s="7"/>
      <c r="D107" s="8">
        <f t="shared" si="1"/>
        <v>0</v>
      </c>
    </row>
    <row r="108" spans="1:4" ht="18" hidden="1" x14ac:dyDescent="0.3">
      <c r="A108" s="63" t="s">
        <v>108</v>
      </c>
      <c r="B108" s="12"/>
      <c r="C108" s="12"/>
      <c r="D108" s="8">
        <f t="shared" si="1"/>
        <v>0</v>
      </c>
    </row>
    <row r="109" spans="1:4" ht="18" hidden="1" x14ac:dyDescent="0.3">
      <c r="A109" s="60" t="s">
        <v>127</v>
      </c>
      <c r="B109" s="12"/>
      <c r="C109" s="12"/>
      <c r="D109" s="8">
        <f t="shared" si="1"/>
        <v>0</v>
      </c>
    </row>
    <row r="110" spans="1:4" ht="18" hidden="1" x14ac:dyDescent="0.3">
      <c r="A110" s="63" t="s">
        <v>110</v>
      </c>
      <c r="B110" s="12"/>
      <c r="C110" s="12"/>
      <c r="D110" s="8">
        <f t="shared" si="1"/>
        <v>0</v>
      </c>
    </row>
    <row r="111" spans="1:4" ht="18" hidden="1" x14ac:dyDescent="0.3">
      <c r="A111" s="60" t="s">
        <v>272</v>
      </c>
      <c r="B111" s="12"/>
      <c r="C111" s="7"/>
      <c r="D111" s="8">
        <f t="shared" si="1"/>
        <v>0</v>
      </c>
    </row>
    <row r="112" spans="1:4" ht="18" hidden="1" x14ac:dyDescent="0.3">
      <c r="A112" s="63" t="s">
        <v>112</v>
      </c>
      <c r="B112" s="12"/>
      <c r="C112" s="12"/>
      <c r="D112" s="8">
        <f t="shared" si="1"/>
        <v>0</v>
      </c>
    </row>
    <row r="113" spans="1:4" ht="18" hidden="1" x14ac:dyDescent="0.3">
      <c r="A113" s="63" t="s">
        <v>273</v>
      </c>
      <c r="B113" s="7"/>
      <c r="C113" s="7"/>
      <c r="D113" s="8">
        <f t="shared" si="1"/>
        <v>0</v>
      </c>
    </row>
    <row r="114" spans="1:4" ht="18" hidden="1" x14ac:dyDescent="0.3">
      <c r="A114" s="63" t="s">
        <v>274</v>
      </c>
      <c r="B114" s="7"/>
      <c r="C114" s="7"/>
      <c r="D114" s="8">
        <f t="shared" si="1"/>
        <v>0</v>
      </c>
    </row>
    <row r="115" spans="1:4" ht="18" x14ac:dyDescent="0.3">
      <c r="A115" s="63" t="s">
        <v>33</v>
      </c>
      <c r="B115" s="7">
        <v>35</v>
      </c>
      <c r="C115" s="7">
        <v>12000</v>
      </c>
      <c r="D115" s="8">
        <f t="shared" si="1"/>
        <v>420000</v>
      </c>
    </row>
    <row r="116" spans="1:4" ht="18" hidden="1" x14ac:dyDescent="0.3">
      <c r="A116" s="60" t="s">
        <v>116</v>
      </c>
      <c r="B116" s="7"/>
      <c r="C116" s="7"/>
      <c r="D116" s="8">
        <f t="shared" si="1"/>
        <v>0</v>
      </c>
    </row>
    <row r="117" spans="1:4" ht="18" hidden="1" x14ac:dyDescent="0.3">
      <c r="A117" s="63" t="s">
        <v>117</v>
      </c>
      <c r="B117" s="7"/>
      <c r="C117" s="7"/>
      <c r="D117" s="8">
        <f t="shared" si="1"/>
        <v>0</v>
      </c>
    </row>
    <row r="118" spans="1:4" ht="18" hidden="1" x14ac:dyDescent="0.3">
      <c r="A118" s="63" t="s">
        <v>118</v>
      </c>
      <c r="B118" s="7"/>
      <c r="C118" s="7"/>
      <c r="D118" s="8">
        <f t="shared" si="1"/>
        <v>0</v>
      </c>
    </row>
    <row r="119" spans="1:4" ht="18" hidden="1" x14ac:dyDescent="0.3">
      <c r="A119" s="63" t="s">
        <v>119</v>
      </c>
      <c r="B119" s="7"/>
      <c r="C119" s="7"/>
      <c r="D119" s="8">
        <f t="shared" si="1"/>
        <v>0</v>
      </c>
    </row>
    <row r="120" spans="1:4" ht="18" hidden="1" x14ac:dyDescent="0.3">
      <c r="A120" s="65" t="s">
        <v>34</v>
      </c>
      <c r="B120" s="7"/>
      <c r="C120" s="7"/>
      <c r="D120" s="8">
        <f t="shared" si="1"/>
        <v>0</v>
      </c>
    </row>
    <row r="121" spans="1:4" ht="18" hidden="1" x14ac:dyDescent="0.3">
      <c r="A121" s="63" t="s">
        <v>121</v>
      </c>
      <c r="B121" s="7"/>
      <c r="C121" s="7"/>
      <c r="D121" s="8">
        <f t="shared" si="1"/>
        <v>0</v>
      </c>
    </row>
    <row r="122" spans="1:4" ht="18" hidden="1" x14ac:dyDescent="0.3">
      <c r="A122" s="60" t="s">
        <v>208</v>
      </c>
      <c r="B122" s="7"/>
      <c r="C122" s="7"/>
      <c r="D122" s="8">
        <f t="shared" si="1"/>
        <v>0</v>
      </c>
    </row>
    <row r="123" spans="1:4" ht="18" hidden="1" x14ac:dyDescent="0.3">
      <c r="A123" s="63" t="s">
        <v>103</v>
      </c>
      <c r="B123" s="12"/>
      <c r="C123" s="12"/>
      <c r="D123" s="8">
        <f t="shared" si="1"/>
        <v>0</v>
      </c>
    </row>
    <row r="124" spans="1:4" ht="78" hidden="1" x14ac:dyDescent="0.3">
      <c r="A124" s="77" t="s">
        <v>124</v>
      </c>
      <c r="B124" s="7"/>
      <c r="C124" s="7"/>
      <c r="D124" s="8">
        <f t="shared" si="1"/>
        <v>0</v>
      </c>
    </row>
    <row r="125" spans="1:4" ht="18" hidden="1" x14ac:dyDescent="0.3">
      <c r="A125" s="63" t="s">
        <v>104</v>
      </c>
      <c r="B125" s="12"/>
      <c r="C125" s="12"/>
      <c r="D125" s="8">
        <f t="shared" si="1"/>
        <v>0</v>
      </c>
    </row>
    <row r="126" spans="1:4" ht="18" hidden="1" x14ac:dyDescent="0.3">
      <c r="A126" s="60" t="s">
        <v>126</v>
      </c>
      <c r="B126" s="12"/>
      <c r="C126" s="12"/>
      <c r="D126" s="8">
        <f t="shared" si="1"/>
        <v>0</v>
      </c>
    </row>
    <row r="127" spans="1:4" ht="18" hidden="1" x14ac:dyDescent="0.3">
      <c r="A127" s="63" t="s">
        <v>106</v>
      </c>
      <c r="B127" s="12"/>
      <c r="C127" s="12"/>
      <c r="D127" s="8">
        <f t="shared" si="1"/>
        <v>0</v>
      </c>
    </row>
    <row r="128" spans="1:4" ht="18" hidden="1" x14ac:dyDescent="0.3">
      <c r="A128" s="60" t="s">
        <v>128</v>
      </c>
      <c r="B128" s="12"/>
      <c r="C128" s="12"/>
      <c r="D128" s="8">
        <f t="shared" si="1"/>
        <v>0</v>
      </c>
    </row>
    <row r="129" spans="1:4" ht="18" hidden="1" x14ac:dyDescent="0.3">
      <c r="A129" s="60" t="s">
        <v>129</v>
      </c>
      <c r="B129" s="29"/>
      <c r="C129" s="29"/>
      <c r="D129" s="8">
        <f t="shared" si="1"/>
        <v>0</v>
      </c>
    </row>
    <row r="130" spans="1:4" ht="18" hidden="1" x14ac:dyDescent="0.3">
      <c r="A130" s="63" t="s">
        <v>107</v>
      </c>
      <c r="B130" s="12"/>
      <c r="C130" s="12"/>
      <c r="D130" s="8">
        <f t="shared" si="1"/>
        <v>0</v>
      </c>
    </row>
    <row r="131" spans="1:4" ht="18" hidden="1" x14ac:dyDescent="0.3">
      <c r="A131" s="63" t="s">
        <v>131</v>
      </c>
      <c r="B131" s="12"/>
      <c r="C131" s="12"/>
      <c r="D131" s="8">
        <f t="shared" si="1"/>
        <v>0</v>
      </c>
    </row>
    <row r="132" spans="1:4" ht="18" hidden="1" x14ac:dyDescent="0.3">
      <c r="A132" s="65" t="s">
        <v>132</v>
      </c>
      <c r="B132" s="7"/>
      <c r="C132" s="7"/>
      <c r="D132" s="8">
        <f t="shared" ref="D132:D195" si="2">B132*C132</f>
        <v>0</v>
      </c>
    </row>
    <row r="133" spans="1:4" ht="18" hidden="1" x14ac:dyDescent="0.3">
      <c r="A133" s="63" t="s">
        <v>130</v>
      </c>
      <c r="B133" s="12"/>
      <c r="C133" s="12"/>
      <c r="D133" s="8">
        <f t="shared" si="2"/>
        <v>0</v>
      </c>
    </row>
    <row r="134" spans="1:4" ht="18" hidden="1" x14ac:dyDescent="0.3">
      <c r="A134" s="65" t="s">
        <v>134</v>
      </c>
      <c r="B134" s="7"/>
      <c r="C134" s="7"/>
      <c r="D134" s="8">
        <f t="shared" si="2"/>
        <v>0</v>
      </c>
    </row>
    <row r="135" spans="1:4" ht="18" hidden="1" x14ac:dyDescent="0.3">
      <c r="A135" s="63" t="s">
        <v>135</v>
      </c>
      <c r="B135" s="7"/>
      <c r="C135" s="7"/>
      <c r="D135" s="8">
        <f t="shared" si="2"/>
        <v>0</v>
      </c>
    </row>
    <row r="136" spans="1:4" ht="18" hidden="1" x14ac:dyDescent="0.3">
      <c r="A136" s="63" t="s">
        <v>109</v>
      </c>
      <c r="B136" s="12"/>
      <c r="C136" s="12"/>
      <c r="D136" s="8">
        <f t="shared" si="2"/>
        <v>0</v>
      </c>
    </row>
    <row r="137" spans="1:4" ht="18" hidden="1" x14ac:dyDescent="0.3">
      <c r="A137" s="63" t="s">
        <v>137</v>
      </c>
      <c r="B137" s="12"/>
      <c r="C137" s="12"/>
      <c r="D137" s="8">
        <f t="shared" si="2"/>
        <v>0</v>
      </c>
    </row>
    <row r="138" spans="1:4" ht="18" hidden="1" x14ac:dyDescent="0.3">
      <c r="A138" s="63" t="s">
        <v>157</v>
      </c>
      <c r="B138" s="7"/>
      <c r="C138" s="7"/>
      <c r="D138" s="8">
        <f t="shared" si="2"/>
        <v>0</v>
      </c>
    </row>
    <row r="139" spans="1:4" ht="18" hidden="1" x14ac:dyDescent="0.3">
      <c r="A139" s="63" t="s">
        <v>158</v>
      </c>
      <c r="B139" s="7"/>
      <c r="C139" s="7"/>
      <c r="D139" s="8">
        <f t="shared" si="2"/>
        <v>0</v>
      </c>
    </row>
    <row r="140" spans="1:4" ht="18" hidden="1" x14ac:dyDescent="0.3">
      <c r="A140" s="63" t="s">
        <v>159</v>
      </c>
      <c r="B140" s="7"/>
      <c r="C140" s="7"/>
      <c r="D140" s="8">
        <f t="shared" si="2"/>
        <v>0</v>
      </c>
    </row>
    <row r="141" spans="1:4" ht="18" hidden="1" x14ac:dyDescent="0.3">
      <c r="A141" s="60" t="s">
        <v>141</v>
      </c>
      <c r="B141" s="7"/>
      <c r="C141" s="7"/>
      <c r="D141" s="8">
        <f t="shared" si="2"/>
        <v>0</v>
      </c>
    </row>
    <row r="142" spans="1:4" ht="18" hidden="1" x14ac:dyDescent="0.3">
      <c r="A142" s="14" t="s">
        <v>160</v>
      </c>
      <c r="B142" s="7"/>
      <c r="C142" s="7"/>
      <c r="D142" s="8">
        <f t="shared" si="2"/>
        <v>0</v>
      </c>
    </row>
    <row r="143" spans="1:4" ht="18" x14ac:dyDescent="0.3">
      <c r="A143" s="63" t="s">
        <v>161</v>
      </c>
      <c r="B143" s="7">
        <v>19</v>
      </c>
      <c r="C143" s="7">
        <v>7000</v>
      </c>
      <c r="D143" s="8">
        <f t="shared" si="2"/>
        <v>133000</v>
      </c>
    </row>
    <row r="144" spans="1:4" ht="18" hidden="1" x14ac:dyDescent="0.3">
      <c r="A144" s="73" t="s">
        <v>144</v>
      </c>
      <c r="B144" s="7"/>
      <c r="C144" s="7"/>
      <c r="D144" s="8">
        <f t="shared" si="2"/>
        <v>0</v>
      </c>
    </row>
    <row r="145" spans="1:4" ht="18" x14ac:dyDescent="0.3">
      <c r="A145" s="63" t="s">
        <v>162</v>
      </c>
      <c r="B145" s="7">
        <v>31</v>
      </c>
      <c r="C145" s="7">
        <v>7000</v>
      </c>
      <c r="D145" s="8">
        <f t="shared" si="2"/>
        <v>217000</v>
      </c>
    </row>
    <row r="146" spans="1:4" ht="18" hidden="1" x14ac:dyDescent="0.3">
      <c r="A146" s="63" t="s">
        <v>146</v>
      </c>
      <c r="B146" s="7"/>
      <c r="C146" s="7"/>
      <c r="D146" s="8">
        <f t="shared" si="2"/>
        <v>0</v>
      </c>
    </row>
    <row r="147" spans="1:4" ht="18" hidden="1" x14ac:dyDescent="0.3">
      <c r="A147" s="63" t="s">
        <v>281</v>
      </c>
      <c r="B147" s="7"/>
      <c r="C147" s="7"/>
      <c r="D147" s="8">
        <f t="shared" si="2"/>
        <v>0</v>
      </c>
    </row>
    <row r="148" spans="1:4" ht="18" x14ac:dyDescent="0.3">
      <c r="A148" s="63" t="s">
        <v>282</v>
      </c>
      <c r="B148" s="7">
        <v>5</v>
      </c>
      <c r="C148" s="7">
        <v>6000</v>
      </c>
      <c r="D148" s="8">
        <f t="shared" si="2"/>
        <v>30000</v>
      </c>
    </row>
    <row r="149" spans="1:4" ht="18" hidden="1" x14ac:dyDescent="0.3">
      <c r="A149" s="63" t="s">
        <v>111</v>
      </c>
      <c r="B149" s="12"/>
      <c r="C149" s="12"/>
      <c r="D149" s="8">
        <f t="shared" si="2"/>
        <v>0</v>
      </c>
    </row>
    <row r="150" spans="1:4" ht="18" hidden="1" x14ac:dyDescent="0.3">
      <c r="A150" s="63" t="s">
        <v>150</v>
      </c>
      <c r="B150" s="7"/>
      <c r="C150" s="7"/>
      <c r="D150" s="8">
        <f t="shared" si="2"/>
        <v>0</v>
      </c>
    </row>
    <row r="151" spans="1:4" ht="18" x14ac:dyDescent="0.3">
      <c r="A151" s="63" t="s">
        <v>52</v>
      </c>
      <c r="B151" s="7">
        <f>5+15+26</f>
        <v>46</v>
      </c>
      <c r="C151" s="7">
        <v>5000</v>
      </c>
      <c r="D151" s="8">
        <f t="shared" si="2"/>
        <v>230000</v>
      </c>
    </row>
    <row r="152" spans="1:4" ht="18" hidden="1" x14ac:dyDescent="0.3">
      <c r="A152" s="81" t="s">
        <v>53</v>
      </c>
      <c r="B152" s="7"/>
      <c r="C152" s="7"/>
      <c r="D152" s="8">
        <f t="shared" si="2"/>
        <v>0</v>
      </c>
    </row>
    <row r="153" spans="1:4" ht="18" hidden="1" x14ac:dyDescent="0.3">
      <c r="A153" s="63" t="s">
        <v>192</v>
      </c>
      <c r="B153" s="7"/>
      <c r="C153" s="7"/>
      <c r="D153" s="8">
        <f t="shared" si="2"/>
        <v>0</v>
      </c>
    </row>
    <row r="154" spans="1:4" ht="18" hidden="1" x14ac:dyDescent="0.3">
      <c r="A154" s="63" t="s">
        <v>154</v>
      </c>
      <c r="B154" s="7"/>
      <c r="C154" s="7"/>
      <c r="D154" s="8">
        <f t="shared" si="2"/>
        <v>0</v>
      </c>
    </row>
    <row r="155" spans="1:4" ht="18" hidden="1" x14ac:dyDescent="0.3">
      <c r="A155" s="63" t="s">
        <v>155</v>
      </c>
      <c r="B155" s="7"/>
      <c r="C155" s="7"/>
      <c r="D155" s="8">
        <f t="shared" si="2"/>
        <v>0</v>
      </c>
    </row>
    <row r="156" spans="1:4" ht="18" hidden="1" x14ac:dyDescent="0.3">
      <c r="A156" s="62" t="s">
        <v>156</v>
      </c>
      <c r="B156" s="7"/>
      <c r="C156" s="7"/>
      <c r="D156" s="8">
        <f t="shared" si="2"/>
        <v>0</v>
      </c>
    </row>
    <row r="157" spans="1:4" ht="18" hidden="1" x14ac:dyDescent="0.3">
      <c r="A157" s="60" t="s">
        <v>193</v>
      </c>
      <c r="B157" s="7"/>
      <c r="C157" s="7"/>
      <c r="D157" s="8">
        <f t="shared" si="2"/>
        <v>0</v>
      </c>
    </row>
    <row r="158" spans="1:4" ht="18" hidden="1" x14ac:dyDescent="0.3">
      <c r="A158" s="63" t="s">
        <v>194</v>
      </c>
      <c r="B158" s="7"/>
      <c r="C158" s="7"/>
      <c r="D158" s="8">
        <f t="shared" si="2"/>
        <v>0</v>
      </c>
    </row>
    <row r="159" spans="1:4" ht="18" hidden="1" x14ac:dyDescent="0.3">
      <c r="A159" s="63" t="s">
        <v>195</v>
      </c>
      <c r="B159" s="7"/>
      <c r="C159" s="7"/>
      <c r="D159" s="8">
        <f t="shared" si="2"/>
        <v>0</v>
      </c>
    </row>
    <row r="160" spans="1:4" ht="18" hidden="1" x14ac:dyDescent="0.3">
      <c r="A160" s="63" t="s">
        <v>196</v>
      </c>
      <c r="B160" s="7"/>
      <c r="C160" s="7"/>
      <c r="D160" s="8">
        <f t="shared" si="2"/>
        <v>0</v>
      </c>
    </row>
    <row r="161" spans="1:4" ht="18" hidden="1" x14ac:dyDescent="0.3">
      <c r="A161" s="63" t="s">
        <v>61</v>
      </c>
      <c r="B161" s="7"/>
      <c r="C161" s="7"/>
      <c r="D161" s="8">
        <f t="shared" si="2"/>
        <v>0</v>
      </c>
    </row>
    <row r="162" spans="1:4" ht="18" x14ac:dyDescent="0.3">
      <c r="A162" s="69" t="s">
        <v>62</v>
      </c>
      <c r="B162" s="19">
        <v>5</v>
      </c>
      <c r="C162" s="19">
        <v>12000</v>
      </c>
      <c r="D162" s="8">
        <f t="shared" si="2"/>
        <v>60000</v>
      </c>
    </row>
    <row r="163" spans="1:4" ht="18" x14ac:dyDescent="0.3">
      <c r="A163" s="60" t="s">
        <v>175</v>
      </c>
      <c r="B163" s="7">
        <v>40</v>
      </c>
      <c r="C163" s="7">
        <v>12000</v>
      </c>
      <c r="D163" s="8">
        <f t="shared" si="2"/>
        <v>480000</v>
      </c>
    </row>
    <row r="164" spans="1:4" ht="18" x14ac:dyDescent="0.3">
      <c r="A164" s="60" t="s">
        <v>176</v>
      </c>
      <c r="B164" s="7">
        <f>100+180+100</f>
        <v>380</v>
      </c>
      <c r="C164" s="7">
        <v>28000</v>
      </c>
      <c r="D164" s="8">
        <f t="shared" si="2"/>
        <v>10640000</v>
      </c>
    </row>
    <row r="165" spans="1:4" ht="18" hidden="1" x14ac:dyDescent="0.3">
      <c r="A165" s="63" t="s">
        <v>177</v>
      </c>
      <c r="B165" s="7"/>
      <c r="C165" s="7"/>
      <c r="D165" s="8">
        <f t="shared" si="2"/>
        <v>0</v>
      </c>
    </row>
    <row r="166" spans="1:4" ht="18" x14ac:dyDescent="0.3">
      <c r="A166" s="60" t="s">
        <v>179</v>
      </c>
      <c r="B166" s="7">
        <v>10</v>
      </c>
      <c r="C166" s="7">
        <v>25000</v>
      </c>
      <c r="D166" s="8">
        <f t="shared" si="2"/>
        <v>250000</v>
      </c>
    </row>
    <row r="167" spans="1:4" ht="18" hidden="1" x14ac:dyDescent="0.3">
      <c r="A167" s="63" t="s">
        <v>181</v>
      </c>
      <c r="B167" s="7"/>
      <c r="C167" s="7"/>
      <c r="D167" s="8">
        <f t="shared" si="2"/>
        <v>0</v>
      </c>
    </row>
    <row r="168" spans="1:4" ht="18" x14ac:dyDescent="0.3">
      <c r="A168" s="60" t="s">
        <v>36</v>
      </c>
      <c r="B168" s="7">
        <v>20</v>
      </c>
      <c r="C168" s="7">
        <v>21000</v>
      </c>
      <c r="D168" s="8">
        <f t="shared" si="2"/>
        <v>420000</v>
      </c>
    </row>
    <row r="169" spans="1:4" ht="18" hidden="1" x14ac:dyDescent="0.3">
      <c r="A169" s="63" t="s">
        <v>54</v>
      </c>
      <c r="B169" s="7"/>
      <c r="C169" s="7"/>
      <c r="D169" s="8">
        <f t="shared" si="2"/>
        <v>0</v>
      </c>
    </row>
    <row r="170" spans="1:4" ht="18" hidden="1" x14ac:dyDescent="0.3">
      <c r="A170" s="17" t="s">
        <v>55</v>
      </c>
      <c r="B170" s="7"/>
      <c r="C170" s="7"/>
      <c r="D170" s="8">
        <f t="shared" si="2"/>
        <v>0</v>
      </c>
    </row>
    <row r="171" spans="1:4" ht="18" hidden="1" x14ac:dyDescent="0.3">
      <c r="A171" s="63" t="s">
        <v>171</v>
      </c>
      <c r="B171" s="7"/>
      <c r="C171" s="7"/>
      <c r="D171" s="8">
        <f t="shared" si="2"/>
        <v>0</v>
      </c>
    </row>
    <row r="172" spans="1:4" ht="18" hidden="1" x14ac:dyDescent="0.3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">
      <c r="A174" s="61" t="s">
        <v>174</v>
      </c>
      <c r="B174" s="7"/>
      <c r="C174" s="7"/>
      <c r="D174" s="8">
        <f t="shared" si="2"/>
        <v>0</v>
      </c>
    </row>
    <row r="175" spans="1:4" ht="18" x14ac:dyDescent="0.3">
      <c r="A175" s="60" t="s">
        <v>67</v>
      </c>
      <c r="B175" s="7">
        <f>100+30+90+100+80</f>
        <v>400</v>
      </c>
      <c r="C175" s="7">
        <v>26000</v>
      </c>
      <c r="D175" s="8">
        <f t="shared" si="2"/>
        <v>10400000</v>
      </c>
    </row>
    <row r="176" spans="1:4" ht="18" hidden="1" x14ac:dyDescent="0.3">
      <c r="A176" s="63" t="s">
        <v>68</v>
      </c>
      <c r="B176" s="7"/>
      <c r="C176" s="7"/>
      <c r="D176" s="8">
        <f t="shared" si="2"/>
        <v>0</v>
      </c>
    </row>
    <row r="177" spans="1:4" ht="18" hidden="1" x14ac:dyDescent="0.3">
      <c r="A177" s="63" t="s">
        <v>69</v>
      </c>
      <c r="B177" s="7"/>
      <c r="C177" s="7"/>
      <c r="D177" s="8">
        <f t="shared" si="2"/>
        <v>0</v>
      </c>
    </row>
    <row r="178" spans="1:4" ht="18" hidden="1" x14ac:dyDescent="0.3">
      <c r="A178" s="60" t="s">
        <v>178</v>
      </c>
      <c r="B178" s="7"/>
      <c r="C178" s="7"/>
      <c r="D178" s="8">
        <f t="shared" si="2"/>
        <v>0</v>
      </c>
    </row>
    <row r="179" spans="1:4" ht="18" x14ac:dyDescent="0.3">
      <c r="A179" s="63" t="s">
        <v>142</v>
      </c>
      <c r="B179" s="7">
        <f>40+220+200</f>
        <v>460</v>
      </c>
      <c r="C179" s="7">
        <v>26500</v>
      </c>
      <c r="D179" s="8">
        <f t="shared" si="2"/>
        <v>12190000</v>
      </c>
    </row>
    <row r="180" spans="1:4" ht="18" hidden="1" x14ac:dyDescent="0.3">
      <c r="A180" s="60" t="s">
        <v>180</v>
      </c>
      <c r="B180" s="7"/>
      <c r="C180" s="7"/>
      <c r="D180" s="8">
        <f t="shared" si="2"/>
        <v>0</v>
      </c>
    </row>
    <row r="181" spans="1:4" ht="18" x14ac:dyDescent="0.3">
      <c r="A181" s="73" t="s">
        <v>143</v>
      </c>
      <c r="B181" s="7">
        <v>20</v>
      </c>
      <c r="C181" s="7">
        <v>20000</v>
      </c>
      <c r="D181" s="8">
        <f t="shared" si="2"/>
        <v>400000</v>
      </c>
    </row>
    <row r="182" spans="1:4" ht="18" hidden="1" x14ac:dyDescent="0.3">
      <c r="A182" s="63" t="s">
        <v>212</v>
      </c>
      <c r="B182" s="7"/>
      <c r="C182" s="7"/>
      <c r="D182" s="8">
        <f t="shared" si="2"/>
        <v>0</v>
      </c>
    </row>
    <row r="183" spans="1:4" ht="18" hidden="1" x14ac:dyDescent="0.3">
      <c r="A183" s="63" t="s">
        <v>182</v>
      </c>
      <c r="B183" s="7"/>
      <c r="C183" s="7"/>
      <c r="D183" s="8">
        <f t="shared" si="2"/>
        <v>0</v>
      </c>
    </row>
    <row r="184" spans="1:4" ht="18" hidden="1" x14ac:dyDescent="0.3">
      <c r="A184" s="63" t="s">
        <v>183</v>
      </c>
      <c r="B184" s="7"/>
      <c r="C184" s="7"/>
      <c r="D184" s="8">
        <f t="shared" si="2"/>
        <v>0</v>
      </c>
    </row>
    <row r="185" spans="1:4" ht="18" hidden="1" x14ac:dyDescent="0.3">
      <c r="A185" s="63" t="s">
        <v>185</v>
      </c>
      <c r="B185" s="7"/>
      <c r="C185" s="7"/>
      <c r="D185" s="8">
        <f t="shared" si="2"/>
        <v>0</v>
      </c>
    </row>
    <row r="186" spans="1:4" ht="18" hidden="1" x14ac:dyDescent="0.3">
      <c r="A186" s="63" t="s">
        <v>184</v>
      </c>
      <c r="B186" s="7"/>
      <c r="C186" s="7"/>
      <c r="D186" s="8">
        <f t="shared" si="2"/>
        <v>0</v>
      </c>
    </row>
    <row r="187" spans="1:4" ht="18" hidden="1" x14ac:dyDescent="0.3">
      <c r="A187" s="63" t="s">
        <v>187</v>
      </c>
      <c r="B187" s="7"/>
      <c r="C187" s="7"/>
      <c r="D187" s="8">
        <f t="shared" si="2"/>
        <v>0</v>
      </c>
    </row>
    <row r="188" spans="1:4" ht="18" hidden="1" x14ac:dyDescent="0.3">
      <c r="A188" s="63" t="s">
        <v>38</v>
      </c>
      <c r="B188" s="7"/>
      <c r="C188" s="7"/>
      <c r="D188" s="8">
        <f t="shared" si="2"/>
        <v>0</v>
      </c>
    </row>
    <row r="189" spans="1:4" ht="18" x14ac:dyDescent="0.3">
      <c r="A189" s="63" t="s">
        <v>40</v>
      </c>
      <c r="B189" s="7">
        <v>330</v>
      </c>
      <c r="C189" s="7">
        <v>13000</v>
      </c>
      <c r="D189" s="8">
        <f t="shared" si="2"/>
        <v>4290000</v>
      </c>
    </row>
    <row r="190" spans="1:4" ht="18" hidden="1" x14ac:dyDescent="0.3">
      <c r="A190" s="63" t="s">
        <v>41</v>
      </c>
      <c r="B190" s="7"/>
      <c r="C190" s="7"/>
      <c r="D190" s="8">
        <f t="shared" si="2"/>
        <v>0</v>
      </c>
    </row>
    <row r="191" spans="1:4" ht="18" x14ac:dyDescent="0.3">
      <c r="A191" s="63" t="s">
        <v>42</v>
      </c>
      <c r="B191" s="7">
        <v>20</v>
      </c>
      <c r="C191" s="7">
        <v>17000</v>
      </c>
      <c r="D191" s="8">
        <f t="shared" si="2"/>
        <v>340000</v>
      </c>
    </row>
    <row r="192" spans="1:4" ht="18" hidden="1" x14ac:dyDescent="0.3">
      <c r="A192" s="70" t="s">
        <v>308</v>
      </c>
      <c r="B192" s="7"/>
      <c r="C192" s="7"/>
      <c r="D192" s="8">
        <f t="shared" si="2"/>
        <v>0</v>
      </c>
    </row>
    <row r="193" spans="1:4" ht="18" hidden="1" x14ac:dyDescent="0.3">
      <c r="A193" s="65" t="s">
        <v>133</v>
      </c>
      <c r="B193" s="7"/>
      <c r="C193" s="7"/>
      <c r="D193" s="8">
        <f t="shared" si="2"/>
        <v>0</v>
      </c>
    </row>
    <row r="194" spans="1:4" ht="18" hidden="1" x14ac:dyDescent="0.3">
      <c r="A194" s="65" t="s">
        <v>136</v>
      </c>
      <c r="B194" s="7"/>
      <c r="C194" s="7"/>
      <c r="D194" s="8">
        <f t="shared" si="2"/>
        <v>0</v>
      </c>
    </row>
    <row r="195" spans="1:4" ht="18" hidden="1" x14ac:dyDescent="0.3">
      <c r="A195" s="78" t="s">
        <v>198</v>
      </c>
      <c r="B195" s="7"/>
      <c r="C195" s="7"/>
      <c r="D195" s="8">
        <f t="shared" si="2"/>
        <v>0</v>
      </c>
    </row>
    <row r="196" spans="1:4" ht="18" hidden="1" x14ac:dyDescent="0.3">
      <c r="A196" s="61" t="s">
        <v>285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61" t="s">
        <v>286</v>
      </c>
      <c r="B197" s="7"/>
      <c r="C197" s="7"/>
      <c r="D197" s="8">
        <f t="shared" si="3"/>
        <v>0</v>
      </c>
    </row>
    <row r="198" spans="1:4" ht="18" hidden="1" x14ac:dyDescent="0.3">
      <c r="A198" s="62" t="s">
        <v>197</v>
      </c>
      <c r="B198" s="7"/>
      <c r="C198" s="7"/>
      <c r="D198" s="8">
        <f t="shared" si="3"/>
        <v>0</v>
      </c>
    </row>
    <row r="199" spans="1:4" ht="18" hidden="1" x14ac:dyDescent="0.3">
      <c r="A199" s="73" t="s">
        <v>87</v>
      </c>
      <c r="B199" s="7"/>
      <c r="C199" s="7"/>
      <c r="D199" s="8">
        <f t="shared" si="3"/>
        <v>0</v>
      </c>
    </row>
    <row r="200" spans="1:4" ht="18" hidden="1" x14ac:dyDescent="0.3">
      <c r="A200" s="63" t="s">
        <v>57</v>
      </c>
      <c r="B200" s="7"/>
      <c r="C200" s="7"/>
      <c r="D200" s="8">
        <f t="shared" si="3"/>
        <v>0</v>
      </c>
    </row>
    <row r="201" spans="1:4" ht="18" hidden="1" x14ac:dyDescent="0.3">
      <c r="A201" s="61" t="s">
        <v>200</v>
      </c>
      <c r="B201" s="7"/>
      <c r="C201" s="7"/>
      <c r="D201" s="8">
        <f t="shared" si="3"/>
        <v>0</v>
      </c>
    </row>
    <row r="202" spans="1:4" ht="18" hidden="1" x14ac:dyDescent="0.3">
      <c r="A202" s="61" t="s">
        <v>201</v>
      </c>
      <c r="B202" s="7"/>
      <c r="C202" s="7"/>
      <c r="D202" s="8">
        <f t="shared" si="3"/>
        <v>0</v>
      </c>
    </row>
    <row r="203" spans="1:4" ht="18" hidden="1" x14ac:dyDescent="0.3">
      <c r="A203" s="61" t="s">
        <v>202</v>
      </c>
      <c r="B203" s="7"/>
      <c r="C203" s="7"/>
      <c r="D203" s="8">
        <f t="shared" si="3"/>
        <v>0</v>
      </c>
    </row>
    <row r="204" spans="1:4" ht="18" hidden="1" x14ac:dyDescent="0.3">
      <c r="A204" s="61" t="s">
        <v>203</v>
      </c>
      <c r="B204" s="7"/>
      <c r="C204" s="7"/>
      <c r="D204" s="8">
        <f t="shared" si="3"/>
        <v>0</v>
      </c>
    </row>
    <row r="205" spans="1:4" ht="18" hidden="1" x14ac:dyDescent="0.3">
      <c r="A205" s="63" t="s">
        <v>204</v>
      </c>
      <c r="B205" s="7"/>
      <c r="C205" s="7"/>
      <c r="D205" s="8">
        <f t="shared" si="3"/>
        <v>0</v>
      </c>
    </row>
    <row r="206" spans="1:4" ht="18" hidden="1" x14ac:dyDescent="0.3">
      <c r="A206" s="63" t="s">
        <v>205</v>
      </c>
      <c r="B206" s="7"/>
      <c r="C206" s="7"/>
      <c r="D206" s="8">
        <f t="shared" si="3"/>
        <v>0</v>
      </c>
    </row>
    <row r="207" spans="1:4" ht="18" hidden="1" x14ac:dyDescent="0.3">
      <c r="A207" s="63" t="s">
        <v>206</v>
      </c>
      <c r="B207" s="7"/>
      <c r="C207" s="7"/>
      <c r="D207" s="8">
        <f t="shared" si="3"/>
        <v>0</v>
      </c>
    </row>
    <row r="208" spans="1:4" ht="18" hidden="1" x14ac:dyDescent="0.3">
      <c r="A208" s="63" t="s">
        <v>58</v>
      </c>
      <c r="B208" s="7"/>
      <c r="C208" s="7"/>
      <c r="D208" s="8">
        <f t="shared" si="3"/>
        <v>0</v>
      </c>
    </row>
    <row r="209" spans="1:4" ht="18" hidden="1" x14ac:dyDescent="0.3">
      <c r="A209" s="63" t="s">
        <v>89</v>
      </c>
      <c r="B209" s="7"/>
      <c r="C209" s="7"/>
      <c r="D209" s="8">
        <f t="shared" si="3"/>
        <v>0</v>
      </c>
    </row>
    <row r="210" spans="1:4" ht="18" hidden="1" x14ac:dyDescent="0.3">
      <c r="A210" s="60" t="s">
        <v>209</v>
      </c>
      <c r="B210" s="7"/>
      <c r="C210" s="7"/>
      <c r="D210" s="8">
        <f t="shared" si="3"/>
        <v>0</v>
      </c>
    </row>
    <row r="211" spans="1:4" ht="18" hidden="1" x14ac:dyDescent="0.3">
      <c r="A211" s="63" t="s">
        <v>210</v>
      </c>
      <c r="B211" s="7"/>
      <c r="C211" s="7"/>
      <c r="D211" s="8">
        <f t="shared" si="3"/>
        <v>0</v>
      </c>
    </row>
    <row r="212" spans="1:4" ht="18" hidden="1" x14ac:dyDescent="0.3">
      <c r="A212" s="63" t="s">
        <v>211</v>
      </c>
      <c r="B212" s="7"/>
      <c r="C212" s="7"/>
      <c r="D212" s="8">
        <f t="shared" si="3"/>
        <v>0</v>
      </c>
    </row>
    <row r="213" spans="1:4" ht="18" hidden="1" x14ac:dyDescent="0.3">
      <c r="A213" s="63" t="s">
        <v>216</v>
      </c>
      <c r="B213" s="7"/>
      <c r="C213" s="7"/>
      <c r="D213" s="8">
        <f t="shared" si="3"/>
        <v>0</v>
      </c>
    </row>
    <row r="214" spans="1:4" ht="18" hidden="1" x14ac:dyDescent="0.3">
      <c r="A214" s="61" t="s">
        <v>213</v>
      </c>
      <c r="B214" s="7"/>
      <c r="C214" s="7"/>
      <c r="D214" s="8">
        <f t="shared" si="3"/>
        <v>0</v>
      </c>
    </row>
    <row r="215" spans="1:4" ht="18" hidden="1" x14ac:dyDescent="0.3">
      <c r="A215" s="63" t="s">
        <v>214</v>
      </c>
      <c r="B215" s="7"/>
      <c r="C215" s="7"/>
      <c r="D215" s="8">
        <f t="shared" si="3"/>
        <v>0</v>
      </c>
    </row>
    <row r="216" spans="1:4" ht="18" hidden="1" x14ac:dyDescent="0.3">
      <c r="A216" s="61" t="s">
        <v>215</v>
      </c>
      <c r="B216" s="7"/>
      <c r="C216" s="7"/>
      <c r="D216" s="8">
        <f t="shared" si="3"/>
        <v>0</v>
      </c>
    </row>
    <row r="217" spans="1:4" ht="18" x14ac:dyDescent="0.3">
      <c r="A217" s="63" t="s">
        <v>21</v>
      </c>
      <c r="B217" s="7">
        <f>115+5+12</f>
        <v>132</v>
      </c>
      <c r="C217" s="7">
        <v>31000</v>
      </c>
      <c r="D217" s="8">
        <f t="shared" si="3"/>
        <v>4092000</v>
      </c>
    </row>
    <row r="218" spans="1:4" ht="18" hidden="1" x14ac:dyDescent="0.3">
      <c r="A218" s="63" t="s">
        <v>217</v>
      </c>
      <c r="B218" s="7"/>
      <c r="C218" s="7"/>
      <c r="D218" s="8">
        <f t="shared" si="3"/>
        <v>0</v>
      </c>
    </row>
    <row r="219" spans="1:4" ht="18" hidden="1" x14ac:dyDescent="0.3">
      <c r="A219" s="63" t="s">
        <v>218</v>
      </c>
      <c r="B219" s="7"/>
      <c r="C219" s="7"/>
      <c r="D219" s="8">
        <f t="shared" si="3"/>
        <v>0</v>
      </c>
    </row>
    <row r="220" spans="1:4" ht="18" hidden="1" x14ac:dyDescent="0.3">
      <c r="A220" s="63" t="s">
        <v>23</v>
      </c>
      <c r="B220" s="7"/>
      <c r="C220" s="7"/>
      <c r="D220" s="8">
        <f t="shared" si="3"/>
        <v>0</v>
      </c>
    </row>
    <row r="221" spans="1:4" ht="18" hidden="1" x14ac:dyDescent="0.3">
      <c r="A221" s="65" t="s">
        <v>220</v>
      </c>
      <c r="B221" s="7"/>
      <c r="C221" s="7"/>
      <c r="D221" s="8">
        <f t="shared" si="3"/>
        <v>0</v>
      </c>
    </row>
    <row r="222" spans="1:4" ht="18" hidden="1" x14ac:dyDescent="0.3">
      <c r="A222" s="60" t="s">
        <v>221</v>
      </c>
      <c r="B222" s="7"/>
      <c r="C222" s="7"/>
      <c r="D222" s="8">
        <f t="shared" si="3"/>
        <v>0</v>
      </c>
    </row>
    <row r="223" spans="1:4" ht="18" hidden="1" x14ac:dyDescent="0.3">
      <c r="A223" s="63" t="s">
        <v>24</v>
      </c>
      <c r="B223" s="7"/>
      <c r="C223" s="7"/>
      <c r="D223" s="8">
        <f t="shared" si="3"/>
        <v>0</v>
      </c>
    </row>
    <row r="224" spans="1:4" ht="18" hidden="1" x14ac:dyDescent="0.3">
      <c r="A224" s="63" t="s">
        <v>25</v>
      </c>
      <c r="B224" s="7"/>
      <c r="C224" s="7"/>
      <c r="D224" s="8">
        <f t="shared" si="3"/>
        <v>0</v>
      </c>
    </row>
    <row r="225" spans="1:4" ht="18" hidden="1" x14ac:dyDescent="0.3">
      <c r="A225" s="61" t="s">
        <v>224</v>
      </c>
      <c r="B225" s="12"/>
      <c r="C225" s="12"/>
      <c r="D225" s="8">
        <f t="shared" si="3"/>
        <v>0</v>
      </c>
    </row>
    <row r="226" spans="1:4" ht="18" hidden="1" x14ac:dyDescent="0.3">
      <c r="A226" s="61" t="s">
        <v>225</v>
      </c>
      <c r="B226" s="7"/>
      <c r="C226" s="7"/>
      <c r="D226" s="8">
        <f t="shared" si="3"/>
        <v>0</v>
      </c>
    </row>
    <row r="227" spans="1:4" ht="18" hidden="1" x14ac:dyDescent="0.3">
      <c r="A227" s="65" t="s">
        <v>227</v>
      </c>
      <c r="B227" s="7"/>
      <c r="C227" s="7"/>
      <c r="D227" s="8">
        <f t="shared" si="3"/>
        <v>0</v>
      </c>
    </row>
    <row r="228" spans="1:4" ht="18" x14ac:dyDescent="0.3">
      <c r="A228" s="63" t="s">
        <v>26</v>
      </c>
      <c r="B228" s="7">
        <v>2</v>
      </c>
      <c r="C228" s="7">
        <v>31000</v>
      </c>
      <c r="D228" s="8">
        <f t="shared" si="3"/>
        <v>62000</v>
      </c>
    </row>
    <row r="229" spans="1:4" ht="18" hidden="1" x14ac:dyDescent="0.3">
      <c r="A229" s="64" t="s">
        <v>228</v>
      </c>
      <c r="B229" s="7"/>
      <c r="C229" s="7"/>
      <c r="D229" s="8">
        <f t="shared" si="3"/>
        <v>0</v>
      </c>
    </row>
    <row r="230" spans="1:4" ht="18" hidden="1" x14ac:dyDescent="0.3">
      <c r="A230" s="64" t="s">
        <v>229</v>
      </c>
      <c r="B230" s="7"/>
      <c r="C230" s="7"/>
      <c r="D230" s="8">
        <f t="shared" si="3"/>
        <v>0</v>
      </c>
    </row>
    <row r="231" spans="1:4" ht="18" x14ac:dyDescent="0.3">
      <c r="A231" s="63" t="s">
        <v>27</v>
      </c>
      <c r="B231" s="7">
        <v>4</v>
      </c>
      <c r="C231" s="7">
        <v>26000</v>
      </c>
      <c r="D231" s="8">
        <f t="shared" si="3"/>
        <v>104000</v>
      </c>
    </row>
    <row r="232" spans="1:4" ht="18" hidden="1" x14ac:dyDescent="0.3">
      <c r="A232" s="63" t="s">
        <v>28</v>
      </c>
      <c r="B232" s="7"/>
      <c r="C232" s="7"/>
      <c r="D232" s="8">
        <f t="shared" si="3"/>
        <v>0</v>
      </c>
    </row>
    <row r="233" spans="1:4" ht="18" x14ac:dyDescent="0.3">
      <c r="A233" s="63" t="s">
        <v>30</v>
      </c>
      <c r="B233" s="7">
        <f>15+38+30+10</f>
        <v>93</v>
      </c>
      <c r="C233" s="7">
        <v>28000</v>
      </c>
      <c r="D233" s="8">
        <f t="shared" si="3"/>
        <v>2604000</v>
      </c>
    </row>
    <row r="234" spans="1:4" ht="18" hidden="1" x14ac:dyDescent="0.3">
      <c r="A234" s="63" t="s">
        <v>32</v>
      </c>
      <c r="B234" s="7"/>
      <c r="C234" s="7"/>
      <c r="D234" s="8">
        <f t="shared" si="3"/>
        <v>0</v>
      </c>
    </row>
    <row r="235" spans="1:4" ht="18" hidden="1" x14ac:dyDescent="0.3">
      <c r="A235" s="60" t="s">
        <v>234</v>
      </c>
      <c r="B235" s="7"/>
      <c r="C235" s="7"/>
      <c r="D235" s="8">
        <f t="shared" si="3"/>
        <v>0</v>
      </c>
    </row>
    <row r="236" spans="1:4" ht="18" hidden="1" x14ac:dyDescent="0.3">
      <c r="A236" s="63" t="s">
        <v>235</v>
      </c>
      <c r="B236" s="7"/>
      <c r="C236" s="7"/>
      <c r="D236" s="8">
        <f t="shared" si="3"/>
        <v>0</v>
      </c>
    </row>
    <row r="237" spans="1:4" ht="18" hidden="1" x14ac:dyDescent="0.3">
      <c r="A237" s="63" t="s">
        <v>236</v>
      </c>
      <c r="B237" s="7"/>
      <c r="C237" s="7"/>
      <c r="D237" s="8">
        <f t="shared" si="3"/>
        <v>0</v>
      </c>
    </row>
    <row r="238" spans="1:4" ht="18" hidden="1" x14ac:dyDescent="0.3">
      <c r="A238" s="63" t="s">
        <v>90</v>
      </c>
      <c r="B238" s="12"/>
      <c r="C238" s="7"/>
      <c r="D238" s="8">
        <f t="shared" si="3"/>
        <v>0</v>
      </c>
    </row>
    <row r="239" spans="1:4" ht="18" hidden="1" x14ac:dyDescent="0.3">
      <c r="A239" s="61" t="s">
        <v>230</v>
      </c>
      <c r="B239" s="7"/>
      <c r="C239" s="7"/>
      <c r="D239" s="8">
        <f t="shared" si="3"/>
        <v>0</v>
      </c>
    </row>
    <row r="240" spans="1:4" ht="18" hidden="1" x14ac:dyDescent="0.3">
      <c r="A240" s="63" t="s">
        <v>231</v>
      </c>
      <c r="B240" s="7"/>
      <c r="C240" s="7"/>
      <c r="D240" s="8">
        <f t="shared" si="3"/>
        <v>0</v>
      </c>
    </row>
    <row r="241" spans="1:4" ht="18" hidden="1" x14ac:dyDescent="0.3">
      <c r="A241" s="63" t="s">
        <v>232</v>
      </c>
      <c r="B241" s="7"/>
      <c r="C241" s="7"/>
      <c r="D241" s="8">
        <f t="shared" si="3"/>
        <v>0</v>
      </c>
    </row>
    <row r="242" spans="1:4" ht="18" hidden="1" x14ac:dyDescent="0.3">
      <c r="A242" s="63" t="s">
        <v>70</v>
      </c>
      <c r="B242" s="7"/>
      <c r="C242" s="7"/>
      <c r="D242" s="8">
        <f t="shared" si="3"/>
        <v>0</v>
      </c>
    </row>
    <row r="243" spans="1:4" ht="18" hidden="1" x14ac:dyDescent="0.3">
      <c r="A243" s="63" t="s">
        <v>71</v>
      </c>
      <c r="B243" s="7"/>
      <c r="C243" s="7"/>
      <c r="D243" s="8">
        <f t="shared" si="3"/>
        <v>0</v>
      </c>
    </row>
    <row r="244" spans="1:4" ht="18" hidden="1" x14ac:dyDescent="0.3">
      <c r="A244" s="63" t="s">
        <v>243</v>
      </c>
      <c r="B244" s="7"/>
      <c r="C244" s="7"/>
      <c r="D244" s="8">
        <f t="shared" si="3"/>
        <v>0</v>
      </c>
    </row>
    <row r="245" spans="1:4" ht="18" hidden="1" x14ac:dyDescent="0.3">
      <c r="A245" s="63" t="s">
        <v>244</v>
      </c>
      <c r="B245" s="7"/>
      <c r="C245" s="7"/>
      <c r="D245" s="8">
        <f t="shared" si="3"/>
        <v>0</v>
      </c>
    </row>
    <row r="246" spans="1:4" ht="18" hidden="1" x14ac:dyDescent="0.3">
      <c r="A246" s="64" t="s">
        <v>245</v>
      </c>
      <c r="B246" s="7"/>
      <c r="C246" s="7"/>
      <c r="D246" s="8">
        <f t="shared" si="3"/>
        <v>0</v>
      </c>
    </row>
    <row r="247" spans="1:4" ht="18" hidden="1" x14ac:dyDescent="0.3">
      <c r="A247" s="64" t="s">
        <v>246</v>
      </c>
      <c r="B247" s="7"/>
      <c r="C247" s="7"/>
      <c r="D247" s="8">
        <f t="shared" si="3"/>
        <v>0</v>
      </c>
    </row>
    <row r="248" spans="1:4" ht="18" hidden="1" x14ac:dyDescent="0.3">
      <c r="A248" s="60" t="s">
        <v>138</v>
      </c>
      <c r="B248" s="12"/>
      <c r="C248" s="12"/>
      <c r="D248" s="8">
        <f t="shared" si="3"/>
        <v>0</v>
      </c>
    </row>
    <row r="249" spans="1:4" ht="18" hidden="1" x14ac:dyDescent="0.3">
      <c r="A249" s="79" t="s">
        <v>248</v>
      </c>
      <c r="B249" s="7"/>
      <c r="C249" s="7"/>
      <c r="D249" s="8">
        <f t="shared" si="3"/>
        <v>0</v>
      </c>
    </row>
    <row r="250" spans="1:4" ht="18" hidden="1" x14ac:dyDescent="0.3">
      <c r="A250" s="65" t="s">
        <v>233</v>
      </c>
      <c r="B250" s="7"/>
      <c r="C250" s="7"/>
      <c r="D250" s="8">
        <f t="shared" si="3"/>
        <v>0</v>
      </c>
    </row>
    <row r="251" spans="1:4" ht="18" hidden="1" x14ac:dyDescent="0.3">
      <c r="A251" s="63" t="s">
        <v>259</v>
      </c>
      <c r="B251" s="7"/>
      <c r="C251" s="7"/>
      <c r="D251" s="8">
        <f t="shared" si="3"/>
        <v>0</v>
      </c>
    </row>
    <row r="252" spans="1:4" ht="18" hidden="1" x14ac:dyDescent="0.3">
      <c r="A252" s="65" t="s">
        <v>260</v>
      </c>
      <c r="B252" s="7"/>
      <c r="C252" s="7"/>
      <c r="D252" s="8">
        <f t="shared" si="3"/>
        <v>0</v>
      </c>
    </row>
    <row r="253" spans="1:4" ht="18" hidden="1" x14ac:dyDescent="0.3">
      <c r="A253" s="79" t="s">
        <v>252</v>
      </c>
      <c r="B253" s="7"/>
      <c r="C253" s="7"/>
      <c r="D253" s="8">
        <f t="shared" si="3"/>
        <v>0</v>
      </c>
    </row>
    <row r="254" spans="1:4" ht="18" hidden="1" x14ac:dyDescent="0.3">
      <c r="A254" s="63" t="s">
        <v>275</v>
      </c>
      <c r="B254" s="7"/>
      <c r="C254" s="7"/>
      <c r="D254" s="8">
        <f t="shared" si="3"/>
        <v>0</v>
      </c>
    </row>
    <row r="255" spans="1:4" ht="18" hidden="1" x14ac:dyDescent="0.3">
      <c r="A255" s="65" t="s">
        <v>92</v>
      </c>
      <c r="B255" s="7"/>
      <c r="C255" s="7"/>
      <c r="D255" s="8">
        <f t="shared" si="3"/>
        <v>0</v>
      </c>
    </row>
    <row r="256" spans="1:4" ht="18" x14ac:dyDescent="0.3">
      <c r="A256" s="63" t="s">
        <v>139</v>
      </c>
      <c r="B256" s="7">
        <v>8</v>
      </c>
      <c r="C256" s="7">
        <v>8000</v>
      </c>
      <c r="D256" s="8">
        <f t="shared" si="3"/>
        <v>64000</v>
      </c>
    </row>
    <row r="257" spans="1:4" ht="18" hidden="1" x14ac:dyDescent="0.3">
      <c r="A257" s="72" t="s">
        <v>140</v>
      </c>
      <c r="B257" s="7"/>
      <c r="C257" s="7"/>
      <c r="D257" s="8">
        <f t="shared" si="3"/>
        <v>0</v>
      </c>
    </row>
    <row r="258" spans="1:4" ht="18" hidden="1" x14ac:dyDescent="0.3">
      <c r="A258" s="63" t="s">
        <v>257</v>
      </c>
      <c r="B258" s="7"/>
      <c r="C258" s="7"/>
      <c r="D258" s="8">
        <f t="shared" si="3"/>
        <v>0</v>
      </c>
    </row>
    <row r="259" spans="1:4" ht="18" hidden="1" x14ac:dyDescent="0.3">
      <c r="A259" s="63" t="s">
        <v>258</v>
      </c>
      <c r="B259" s="7"/>
      <c r="C259" s="7"/>
      <c r="D259" s="8">
        <f t="shared" si="3"/>
        <v>0</v>
      </c>
    </row>
    <row r="260" spans="1:4" ht="18" hidden="1" x14ac:dyDescent="0.3">
      <c r="A260" s="72" t="s">
        <v>76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3" t="s">
        <v>219</v>
      </c>
      <c r="B261" s="7"/>
      <c r="C261" s="7"/>
      <c r="D261" s="8">
        <f t="shared" si="4"/>
        <v>0</v>
      </c>
    </row>
    <row r="262" spans="1:4" ht="18" hidden="1" x14ac:dyDescent="0.3">
      <c r="A262" s="63" t="s">
        <v>261</v>
      </c>
      <c r="B262" s="7"/>
      <c r="C262" s="7"/>
      <c r="D262" s="8">
        <f t="shared" si="4"/>
        <v>0</v>
      </c>
    </row>
    <row r="263" spans="1:4" ht="18" hidden="1" x14ac:dyDescent="0.3">
      <c r="A263" s="60" t="s">
        <v>95</v>
      </c>
      <c r="B263" s="7"/>
      <c r="C263" s="7"/>
      <c r="D263" s="8">
        <f t="shared" si="4"/>
        <v>0</v>
      </c>
    </row>
    <row r="264" spans="1:4" ht="18" hidden="1" x14ac:dyDescent="0.3">
      <c r="A264" s="63" t="s">
        <v>169</v>
      </c>
      <c r="B264" s="7"/>
      <c r="C264" s="7"/>
      <c r="D264" s="8">
        <f t="shared" si="4"/>
        <v>0</v>
      </c>
    </row>
    <row r="265" spans="1:4" ht="18" hidden="1" x14ac:dyDescent="0.3">
      <c r="A265" s="72" t="s">
        <v>77</v>
      </c>
      <c r="B265" s="7"/>
      <c r="C265" s="7"/>
      <c r="D265" s="8">
        <f t="shared" si="4"/>
        <v>0</v>
      </c>
    </row>
    <row r="266" spans="1:4" ht="18" hidden="1" x14ac:dyDescent="0.3">
      <c r="A266" s="63" t="s">
        <v>265</v>
      </c>
      <c r="B266" s="7"/>
      <c r="C266" s="7"/>
      <c r="D266" s="8">
        <f t="shared" si="4"/>
        <v>0</v>
      </c>
    </row>
    <row r="267" spans="1:4" ht="18" hidden="1" x14ac:dyDescent="0.3">
      <c r="A267" s="22" t="s">
        <v>78</v>
      </c>
      <c r="B267" s="7"/>
      <c r="C267" s="7"/>
      <c r="D267" s="8">
        <f t="shared" si="4"/>
        <v>0</v>
      </c>
    </row>
    <row r="268" spans="1:4" ht="18" hidden="1" x14ac:dyDescent="0.3">
      <c r="A268" s="64" t="s">
        <v>237</v>
      </c>
      <c r="B268" s="7"/>
      <c r="C268" s="7"/>
      <c r="D268" s="8">
        <f t="shared" si="4"/>
        <v>0</v>
      </c>
    </row>
    <row r="269" spans="1:4" ht="18" hidden="1" x14ac:dyDescent="0.3">
      <c r="A269" s="63" t="s">
        <v>238</v>
      </c>
      <c r="B269" s="7"/>
      <c r="C269" s="7"/>
      <c r="D269" s="8">
        <f t="shared" si="4"/>
        <v>0</v>
      </c>
    </row>
    <row r="270" spans="1:4" ht="18" hidden="1" x14ac:dyDescent="0.3">
      <c r="A270" s="63" t="s">
        <v>239</v>
      </c>
      <c r="B270" s="7"/>
      <c r="C270" s="7"/>
      <c r="D270" s="8">
        <f t="shared" si="4"/>
        <v>0</v>
      </c>
    </row>
    <row r="271" spans="1:4" ht="18" hidden="1" x14ac:dyDescent="0.3">
      <c r="A271" s="63" t="s">
        <v>240</v>
      </c>
      <c r="B271" s="7"/>
      <c r="C271" s="7"/>
      <c r="D271" s="8">
        <f t="shared" si="4"/>
        <v>0</v>
      </c>
    </row>
    <row r="272" spans="1:4" ht="18" hidden="1" x14ac:dyDescent="0.3">
      <c r="A272" s="30" t="s">
        <v>271</v>
      </c>
      <c r="B272" s="7"/>
      <c r="C272" s="7"/>
      <c r="D272" s="8">
        <f t="shared" si="4"/>
        <v>0</v>
      </c>
    </row>
    <row r="273" spans="1:4" ht="18" hidden="1" x14ac:dyDescent="0.3">
      <c r="A273" s="63" t="s">
        <v>241</v>
      </c>
      <c r="B273" s="7"/>
      <c r="C273" s="7"/>
      <c r="D273" s="8">
        <f t="shared" si="4"/>
        <v>0</v>
      </c>
    </row>
    <row r="274" spans="1:4" ht="18" hidden="1" x14ac:dyDescent="0.3">
      <c r="A274" s="64" t="s">
        <v>242</v>
      </c>
      <c r="B274" s="7"/>
      <c r="C274" s="7"/>
      <c r="D274" s="8">
        <f t="shared" si="4"/>
        <v>0</v>
      </c>
    </row>
    <row r="275" spans="1:4" ht="18" hidden="1" x14ac:dyDescent="0.3">
      <c r="A275" s="63" t="s">
        <v>37</v>
      </c>
      <c r="B275" s="7"/>
      <c r="C275" s="7"/>
      <c r="D275" s="8">
        <f t="shared" si="4"/>
        <v>0</v>
      </c>
    </row>
    <row r="276" spans="1:4" ht="18" hidden="1" x14ac:dyDescent="0.3">
      <c r="A276" s="60" t="s">
        <v>170</v>
      </c>
      <c r="B276" s="7"/>
      <c r="C276" s="7"/>
      <c r="D276" s="8">
        <f t="shared" si="4"/>
        <v>0</v>
      </c>
    </row>
    <row r="277" spans="1:4" ht="18" hidden="1" x14ac:dyDescent="0.3">
      <c r="A277" s="63" t="s">
        <v>80</v>
      </c>
      <c r="B277" s="23"/>
      <c r="C277" s="23"/>
      <c r="D277" s="8">
        <f t="shared" si="4"/>
        <v>0</v>
      </c>
    </row>
    <row r="278" spans="1:4" ht="18" hidden="1" x14ac:dyDescent="0.3">
      <c r="A278" s="79" t="s">
        <v>247</v>
      </c>
      <c r="B278" s="7"/>
      <c r="C278" s="7"/>
      <c r="D278" s="8">
        <f t="shared" si="4"/>
        <v>0</v>
      </c>
    </row>
    <row r="279" spans="1:4" ht="18" hidden="1" x14ac:dyDescent="0.3">
      <c r="A279" s="64" t="s">
        <v>249</v>
      </c>
      <c r="B279" s="7"/>
      <c r="C279" s="7"/>
      <c r="D279" s="8">
        <f t="shared" si="4"/>
        <v>0</v>
      </c>
    </row>
    <row r="280" spans="1:4" ht="18" hidden="1" x14ac:dyDescent="0.3">
      <c r="A280" s="79" t="s">
        <v>250</v>
      </c>
      <c r="B280" s="7"/>
      <c r="C280" s="7"/>
      <c r="D280" s="8">
        <f t="shared" si="4"/>
        <v>0</v>
      </c>
    </row>
    <row r="281" spans="1:4" ht="18" hidden="1" x14ac:dyDescent="0.3">
      <c r="A281" s="63" t="s">
        <v>279</v>
      </c>
      <c r="B281" s="7"/>
      <c r="C281" s="7"/>
      <c r="D281" s="8">
        <f t="shared" si="4"/>
        <v>0</v>
      </c>
    </row>
    <row r="282" spans="1:4" ht="18" hidden="1" x14ac:dyDescent="0.3">
      <c r="A282" s="63" t="s">
        <v>280</v>
      </c>
      <c r="B282" s="7"/>
      <c r="C282" s="7"/>
      <c r="D282" s="8">
        <f t="shared" si="4"/>
        <v>0</v>
      </c>
    </row>
    <row r="283" spans="1:4" ht="18" x14ac:dyDescent="0.3">
      <c r="A283" s="79" t="s">
        <v>251</v>
      </c>
      <c r="B283" s="7">
        <v>100</v>
      </c>
      <c r="C283" s="7">
        <v>8500</v>
      </c>
      <c r="D283" s="8">
        <f t="shared" si="4"/>
        <v>850000</v>
      </c>
    </row>
    <row r="284" spans="1:4" ht="18" hidden="1" x14ac:dyDescent="0.3">
      <c r="A284" s="63" t="s">
        <v>253</v>
      </c>
      <c r="B284" s="7"/>
      <c r="C284" s="7"/>
      <c r="D284" s="8">
        <f t="shared" si="4"/>
        <v>0</v>
      </c>
    </row>
    <row r="285" spans="1:4" ht="18" hidden="1" x14ac:dyDescent="0.3">
      <c r="A285" s="60" t="s">
        <v>283</v>
      </c>
      <c r="B285" s="7"/>
      <c r="C285" s="7"/>
      <c r="D285" s="8">
        <f t="shared" si="4"/>
        <v>0</v>
      </c>
    </row>
    <row r="286" spans="1:4" ht="18" hidden="1" x14ac:dyDescent="0.3">
      <c r="A286" s="63" t="s">
        <v>254</v>
      </c>
      <c r="B286" s="7"/>
      <c r="C286" s="7"/>
      <c r="D286" s="8">
        <f t="shared" si="4"/>
        <v>0</v>
      </c>
    </row>
    <row r="287" spans="1:4" ht="18" hidden="1" x14ac:dyDescent="0.3">
      <c r="A287" s="61" t="s">
        <v>314</v>
      </c>
      <c r="B287" s="7"/>
      <c r="C287" s="7"/>
      <c r="D287" s="8">
        <f t="shared" si="4"/>
        <v>0</v>
      </c>
    </row>
    <row r="288" spans="1:4" ht="18" hidden="1" x14ac:dyDescent="0.3">
      <c r="A288" s="61" t="s">
        <v>315</v>
      </c>
      <c r="B288" s="7"/>
      <c r="C288" s="7"/>
      <c r="D288" s="8">
        <f t="shared" si="4"/>
        <v>0</v>
      </c>
    </row>
    <row r="289" spans="1:4" ht="18" hidden="1" x14ac:dyDescent="0.3">
      <c r="A289" s="63" t="s">
        <v>284</v>
      </c>
      <c r="B289" s="7"/>
      <c r="C289" s="7"/>
      <c r="D289" s="8">
        <f t="shared" si="4"/>
        <v>0</v>
      </c>
    </row>
    <row r="290" spans="1:4" ht="18" hidden="1" x14ac:dyDescent="0.3">
      <c r="A290" s="63" t="s">
        <v>255</v>
      </c>
      <c r="B290" s="7"/>
      <c r="C290" s="7"/>
      <c r="D290" s="8">
        <f t="shared" si="4"/>
        <v>0</v>
      </c>
    </row>
    <row r="291" spans="1:4" ht="18" hidden="1" x14ac:dyDescent="0.3">
      <c r="A291" s="63" t="s">
        <v>256</v>
      </c>
      <c r="B291" s="7"/>
      <c r="C291" s="7"/>
      <c r="D291" s="8">
        <f t="shared" si="4"/>
        <v>0</v>
      </c>
    </row>
    <row r="292" spans="1:4" ht="18" hidden="1" x14ac:dyDescent="0.3">
      <c r="A292" s="61" t="s">
        <v>287</v>
      </c>
      <c r="B292" s="7"/>
      <c r="C292" s="7"/>
      <c r="D292" s="8">
        <f t="shared" si="4"/>
        <v>0</v>
      </c>
    </row>
    <row r="293" spans="1:4" ht="18" hidden="1" x14ac:dyDescent="0.3">
      <c r="A293" s="63" t="s">
        <v>288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5064.5</v>
      </c>
      <c r="C294" s="32"/>
      <c r="D294" s="32">
        <f t="shared" si="5"/>
        <v>70491250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H39" sqref="H39"/>
    </sheetView>
  </sheetViews>
  <sheetFormatPr defaultRowHeight="14.4" x14ac:dyDescent="0.3"/>
  <cols>
    <col min="1" max="1" width="38.21875" customWidth="1"/>
    <col min="2" max="2" width="9.6640625" customWidth="1"/>
    <col min="3" max="3" width="14.33203125" customWidth="1"/>
    <col min="4" max="4" width="18.5546875" customWidth="1"/>
  </cols>
  <sheetData>
    <row r="1" spans="1:4" x14ac:dyDescent="0.3">
      <c r="A1" s="57" t="s">
        <v>327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60" t="s">
        <v>9</v>
      </c>
      <c r="B3" s="12"/>
      <c r="C3" s="12"/>
      <c r="D3" s="8">
        <f>B3*C3</f>
        <v>0</v>
      </c>
    </row>
    <row r="4" spans="1:4" ht="18" hidden="1" x14ac:dyDescent="0.3">
      <c r="A4" s="60" t="s">
        <v>10</v>
      </c>
      <c r="B4" s="12"/>
      <c r="C4" s="12"/>
      <c r="D4" s="8">
        <f t="shared" ref="D4:D67" si="0">B4*C4</f>
        <v>0</v>
      </c>
    </row>
    <row r="5" spans="1:4" ht="18" hidden="1" x14ac:dyDescent="0.3">
      <c r="A5" s="63" t="s">
        <v>13</v>
      </c>
      <c r="B5" s="12"/>
      <c r="C5" s="12"/>
      <c r="D5" s="8">
        <f t="shared" si="0"/>
        <v>0</v>
      </c>
    </row>
    <row r="6" spans="1:4" ht="18" hidden="1" x14ac:dyDescent="0.3">
      <c r="A6" s="64" t="s">
        <v>14</v>
      </c>
      <c r="B6" s="7"/>
      <c r="C6" s="7"/>
      <c r="D6" s="8">
        <f t="shared" si="0"/>
        <v>0</v>
      </c>
    </row>
    <row r="7" spans="1:4" ht="18" x14ac:dyDescent="0.3">
      <c r="A7" s="60" t="s">
        <v>303</v>
      </c>
      <c r="B7" s="7">
        <v>8</v>
      </c>
      <c r="C7" s="7">
        <v>8000</v>
      </c>
      <c r="D7" s="8">
        <f t="shared" si="0"/>
        <v>64000</v>
      </c>
    </row>
    <row r="8" spans="1:4" ht="18" hidden="1" x14ac:dyDescent="0.3">
      <c r="A8" s="60" t="s">
        <v>2</v>
      </c>
      <c r="B8" s="7"/>
      <c r="C8" s="7"/>
      <c r="D8" s="8">
        <f t="shared" si="0"/>
        <v>0</v>
      </c>
    </row>
    <row r="9" spans="1:4" ht="18" hidden="1" x14ac:dyDescent="0.3">
      <c r="A9" s="63" t="s">
        <v>11</v>
      </c>
      <c r="B9" s="7"/>
      <c r="C9" s="7"/>
      <c r="D9" s="8">
        <f t="shared" si="0"/>
        <v>0</v>
      </c>
    </row>
    <row r="10" spans="1:4" ht="18" hidden="1" x14ac:dyDescent="0.3">
      <c r="A10" s="63" t="s">
        <v>12</v>
      </c>
      <c r="B10" s="7"/>
      <c r="C10" s="7"/>
      <c r="D10" s="8">
        <f t="shared" si="0"/>
        <v>0</v>
      </c>
    </row>
    <row r="11" spans="1:4" ht="18" hidden="1" x14ac:dyDescent="0.3">
      <c r="A11" s="61" t="s">
        <v>304</v>
      </c>
      <c r="B11" s="7"/>
      <c r="C11" s="7"/>
      <c r="D11" s="8">
        <f t="shared" si="0"/>
        <v>0</v>
      </c>
    </row>
    <row r="12" spans="1:4" ht="18" hidden="1" x14ac:dyDescent="0.3">
      <c r="A12" s="60" t="s">
        <v>305</v>
      </c>
      <c r="B12" s="7"/>
      <c r="C12" s="7"/>
      <c r="D12" s="8">
        <f t="shared" si="0"/>
        <v>0</v>
      </c>
    </row>
    <row r="13" spans="1:4" ht="18" hidden="1" x14ac:dyDescent="0.3">
      <c r="A13" s="60" t="s">
        <v>306</v>
      </c>
      <c r="B13" s="7"/>
      <c r="C13" s="7"/>
      <c r="D13" s="8">
        <f t="shared" si="0"/>
        <v>0</v>
      </c>
    </row>
    <row r="14" spans="1:4" ht="18" hidden="1" x14ac:dyDescent="0.3">
      <c r="A14" s="62" t="s">
        <v>3</v>
      </c>
      <c r="B14" s="7"/>
      <c r="C14" s="7"/>
      <c r="D14" s="8">
        <f t="shared" si="0"/>
        <v>0</v>
      </c>
    </row>
    <row r="15" spans="1:4" ht="18" hidden="1" x14ac:dyDescent="0.3">
      <c r="A15" s="63" t="s">
        <v>4</v>
      </c>
      <c r="B15" s="7"/>
      <c r="C15" s="7"/>
      <c r="D15" s="8">
        <f t="shared" si="0"/>
        <v>0</v>
      </c>
    </row>
    <row r="16" spans="1:4" ht="18" hidden="1" x14ac:dyDescent="0.3">
      <c r="A16" s="61" t="s">
        <v>15</v>
      </c>
      <c r="B16" s="7"/>
      <c r="C16" s="7"/>
      <c r="D16" s="8">
        <f t="shared" si="0"/>
        <v>0</v>
      </c>
    </row>
    <row r="17" spans="1:4" ht="18" hidden="1" x14ac:dyDescent="0.3">
      <c r="A17" s="13" t="s">
        <v>16</v>
      </c>
      <c r="B17" s="7"/>
      <c r="C17" s="7"/>
      <c r="D17" s="8">
        <f t="shared" si="0"/>
        <v>0</v>
      </c>
    </row>
    <row r="18" spans="1:4" ht="18" hidden="1" x14ac:dyDescent="0.3">
      <c r="A18" s="63" t="s">
        <v>19</v>
      </c>
      <c r="B18" s="7"/>
      <c r="C18" s="7"/>
      <c r="D18" s="8">
        <f t="shared" si="0"/>
        <v>0</v>
      </c>
    </row>
    <row r="19" spans="1:4" ht="18" x14ac:dyDescent="0.3">
      <c r="A19" s="63" t="s">
        <v>17</v>
      </c>
      <c r="B19" s="7">
        <v>15</v>
      </c>
      <c r="C19" s="7">
        <v>16000</v>
      </c>
      <c r="D19" s="8">
        <f t="shared" si="0"/>
        <v>240000</v>
      </c>
    </row>
    <row r="20" spans="1:4" ht="18" hidden="1" x14ac:dyDescent="0.3">
      <c r="A20" s="63" t="s">
        <v>18</v>
      </c>
      <c r="B20" s="7"/>
      <c r="C20" s="7"/>
      <c r="D20" s="8">
        <f t="shared" si="0"/>
        <v>0</v>
      </c>
    </row>
    <row r="21" spans="1:4" ht="18" x14ac:dyDescent="0.3">
      <c r="A21" s="63" t="s">
        <v>21</v>
      </c>
      <c r="B21" s="7">
        <f>20+20+8+28</f>
        <v>76</v>
      </c>
      <c r="C21" s="7">
        <v>32000</v>
      </c>
      <c r="D21" s="8">
        <f t="shared" si="0"/>
        <v>2432000</v>
      </c>
    </row>
    <row r="22" spans="1:4" ht="18" hidden="1" x14ac:dyDescent="0.3">
      <c r="A22" s="63" t="s">
        <v>24</v>
      </c>
      <c r="B22" s="7"/>
      <c r="C22" s="7"/>
      <c r="D22" s="8">
        <f t="shared" si="0"/>
        <v>0</v>
      </c>
    </row>
    <row r="23" spans="1:4" ht="18" hidden="1" x14ac:dyDescent="0.3">
      <c r="A23" s="63" t="s">
        <v>26</v>
      </c>
      <c r="B23" s="7"/>
      <c r="C23" s="7"/>
      <c r="D23" s="8">
        <f t="shared" si="0"/>
        <v>0</v>
      </c>
    </row>
    <row r="24" spans="1:4" ht="18" x14ac:dyDescent="0.3">
      <c r="A24" s="63" t="s">
        <v>30</v>
      </c>
      <c r="B24" s="7">
        <v>45</v>
      </c>
      <c r="C24" s="7">
        <v>27000</v>
      </c>
      <c r="D24" s="8">
        <f t="shared" si="0"/>
        <v>1215000</v>
      </c>
    </row>
    <row r="25" spans="1:4" ht="18" hidden="1" x14ac:dyDescent="0.3">
      <c r="A25" s="61" t="s">
        <v>20</v>
      </c>
      <c r="B25" s="7"/>
      <c r="C25" s="7"/>
      <c r="D25" s="8">
        <f t="shared" si="0"/>
        <v>0</v>
      </c>
    </row>
    <row r="26" spans="1:4" ht="18" x14ac:dyDescent="0.3">
      <c r="A26" s="63" t="s">
        <v>22</v>
      </c>
      <c r="B26" s="7">
        <v>15</v>
      </c>
      <c r="C26" s="7">
        <v>27000</v>
      </c>
      <c r="D26" s="8">
        <f t="shared" si="0"/>
        <v>405000</v>
      </c>
    </row>
    <row r="27" spans="1:4" ht="18" hidden="1" x14ac:dyDescent="0.3">
      <c r="A27" s="63" t="s">
        <v>23</v>
      </c>
      <c r="B27" s="7"/>
      <c r="C27" s="7"/>
      <c r="D27" s="8">
        <f t="shared" si="0"/>
        <v>0</v>
      </c>
    </row>
    <row r="28" spans="1:4" ht="18" hidden="1" x14ac:dyDescent="0.3">
      <c r="A28" s="63" t="s">
        <v>25</v>
      </c>
      <c r="B28" s="7"/>
      <c r="C28" s="7"/>
      <c r="D28" s="8">
        <f t="shared" si="0"/>
        <v>0</v>
      </c>
    </row>
    <row r="29" spans="1:4" ht="18" x14ac:dyDescent="0.3">
      <c r="A29" s="63" t="s">
        <v>27</v>
      </c>
      <c r="B29" s="7">
        <v>10</v>
      </c>
      <c r="C29" s="7">
        <v>27000</v>
      </c>
      <c r="D29" s="8">
        <f t="shared" si="0"/>
        <v>270000</v>
      </c>
    </row>
    <row r="30" spans="1:4" ht="18" hidden="1" x14ac:dyDescent="0.3">
      <c r="A30" s="63" t="s">
        <v>28</v>
      </c>
      <c r="B30" s="7"/>
      <c r="C30" s="7"/>
      <c r="D30" s="8">
        <f t="shared" si="0"/>
        <v>0</v>
      </c>
    </row>
    <row r="31" spans="1:4" ht="18" hidden="1" x14ac:dyDescent="0.3">
      <c r="A31" s="63" t="s">
        <v>29</v>
      </c>
      <c r="B31" s="7"/>
      <c r="C31" s="7"/>
      <c r="D31" s="8">
        <f t="shared" si="0"/>
        <v>0</v>
      </c>
    </row>
    <row r="32" spans="1:4" ht="18" hidden="1" x14ac:dyDescent="0.3">
      <c r="A32" s="63" t="s">
        <v>31</v>
      </c>
      <c r="B32" s="7"/>
      <c r="C32" s="7"/>
      <c r="D32" s="8">
        <f t="shared" si="0"/>
        <v>0</v>
      </c>
    </row>
    <row r="33" spans="1:4" ht="18" hidden="1" x14ac:dyDescent="0.3">
      <c r="A33" s="63" t="s">
        <v>32</v>
      </c>
      <c r="B33" s="7"/>
      <c r="C33" s="7"/>
      <c r="D33" s="8">
        <f t="shared" si="0"/>
        <v>0</v>
      </c>
    </row>
    <row r="34" spans="1:4" ht="18" x14ac:dyDescent="0.3">
      <c r="A34" s="63" t="s">
        <v>33</v>
      </c>
      <c r="B34" s="7">
        <f>18+20</f>
        <v>38</v>
      </c>
      <c r="C34" s="7">
        <v>12000</v>
      </c>
      <c r="D34" s="8">
        <f t="shared" si="0"/>
        <v>456000</v>
      </c>
    </row>
    <row r="35" spans="1:4" ht="18" hidden="1" x14ac:dyDescent="0.3">
      <c r="A35" s="65" t="s">
        <v>34</v>
      </c>
      <c r="B35" s="7"/>
      <c r="C35" s="7"/>
      <c r="D35" s="8">
        <f t="shared" si="0"/>
        <v>0</v>
      </c>
    </row>
    <row r="36" spans="1:4" ht="18" hidden="1" x14ac:dyDescent="0.3">
      <c r="A36" s="63" t="s">
        <v>35</v>
      </c>
      <c r="B36" s="7"/>
      <c r="C36" s="7"/>
      <c r="D36" s="8">
        <f t="shared" si="0"/>
        <v>0</v>
      </c>
    </row>
    <row r="37" spans="1:4" ht="18" x14ac:dyDescent="0.3">
      <c r="A37" s="60" t="s">
        <v>36</v>
      </c>
      <c r="B37" s="7">
        <v>15</v>
      </c>
      <c r="C37" s="7">
        <v>21000</v>
      </c>
      <c r="D37" s="8">
        <f t="shared" si="0"/>
        <v>315000</v>
      </c>
    </row>
    <row r="38" spans="1:4" ht="18" hidden="1" x14ac:dyDescent="0.3">
      <c r="A38" s="63" t="s">
        <v>37</v>
      </c>
      <c r="B38" s="7"/>
      <c r="C38" s="7"/>
      <c r="D38" s="8">
        <f t="shared" si="0"/>
        <v>0</v>
      </c>
    </row>
    <row r="39" spans="1:4" ht="18" x14ac:dyDescent="0.3">
      <c r="A39" s="63" t="s">
        <v>38</v>
      </c>
      <c r="B39" s="7">
        <v>35</v>
      </c>
      <c r="C39" s="7">
        <v>27000</v>
      </c>
      <c r="D39" s="8">
        <f t="shared" si="0"/>
        <v>945000</v>
      </c>
    </row>
    <row r="40" spans="1:4" ht="18" hidden="1" x14ac:dyDescent="0.3">
      <c r="A40" s="63" t="s">
        <v>42</v>
      </c>
      <c r="B40" s="7"/>
      <c r="C40" s="7"/>
      <c r="D40" s="8">
        <f t="shared" si="0"/>
        <v>0</v>
      </c>
    </row>
    <row r="41" spans="1:4" ht="18" x14ac:dyDescent="0.3">
      <c r="A41" s="63" t="s">
        <v>40</v>
      </c>
      <c r="B41" s="7">
        <v>180</v>
      </c>
      <c r="C41" s="7">
        <v>12500</v>
      </c>
      <c r="D41" s="8">
        <f t="shared" si="0"/>
        <v>2250000</v>
      </c>
    </row>
    <row r="42" spans="1:4" ht="18" hidden="1" x14ac:dyDescent="0.3">
      <c r="A42" s="66" t="s">
        <v>39</v>
      </c>
      <c r="B42" s="7"/>
      <c r="C42" s="7"/>
      <c r="D42" s="8">
        <f t="shared" si="0"/>
        <v>0</v>
      </c>
    </row>
    <row r="43" spans="1:4" ht="18" hidden="1" x14ac:dyDescent="0.3">
      <c r="A43" s="63" t="s">
        <v>41</v>
      </c>
      <c r="B43" s="7"/>
      <c r="C43" s="7"/>
      <c r="D43" s="8">
        <f t="shared" si="0"/>
        <v>0</v>
      </c>
    </row>
    <row r="44" spans="1:4" ht="18" hidden="1" x14ac:dyDescent="0.3">
      <c r="A44" s="63" t="s">
        <v>43</v>
      </c>
      <c r="B44" s="7"/>
      <c r="C44" s="7"/>
      <c r="D44" s="8">
        <f t="shared" si="0"/>
        <v>0</v>
      </c>
    </row>
    <row r="45" spans="1:4" ht="18" hidden="1" x14ac:dyDescent="0.3">
      <c r="A45" s="63" t="s">
        <v>44</v>
      </c>
      <c r="B45" s="7"/>
      <c r="C45" s="7"/>
      <c r="D45" s="8">
        <f t="shared" si="0"/>
        <v>0</v>
      </c>
    </row>
    <row r="46" spans="1:4" ht="18" hidden="1" x14ac:dyDescent="0.3">
      <c r="A46" s="67" t="s">
        <v>46</v>
      </c>
      <c r="B46" s="7"/>
      <c r="C46" s="7"/>
      <c r="D46" s="8">
        <f t="shared" si="0"/>
        <v>0</v>
      </c>
    </row>
    <row r="47" spans="1:4" ht="18" hidden="1" x14ac:dyDescent="0.3">
      <c r="A47" s="65" t="s">
        <v>47</v>
      </c>
      <c r="B47" s="7"/>
      <c r="C47" s="7"/>
      <c r="D47" s="8">
        <f t="shared" si="0"/>
        <v>0</v>
      </c>
    </row>
    <row r="48" spans="1:4" ht="18" hidden="1" x14ac:dyDescent="0.3">
      <c r="A48" s="61" t="s">
        <v>300</v>
      </c>
      <c r="B48" s="7"/>
      <c r="C48" s="7"/>
      <c r="D48" s="8">
        <f t="shared" si="0"/>
        <v>0</v>
      </c>
    </row>
    <row r="49" spans="1:4" ht="18" hidden="1" x14ac:dyDescent="0.3">
      <c r="A49" s="63" t="s">
        <v>48</v>
      </c>
      <c r="B49" s="7"/>
      <c r="C49" s="7"/>
      <c r="D49" s="8">
        <f t="shared" si="0"/>
        <v>0</v>
      </c>
    </row>
    <row r="50" spans="1:4" ht="18" x14ac:dyDescent="0.3">
      <c r="A50" s="63" t="s">
        <v>52</v>
      </c>
      <c r="B50" s="7">
        <v>15</v>
      </c>
      <c r="C50" s="7">
        <v>6000</v>
      </c>
      <c r="D50" s="8">
        <f t="shared" si="0"/>
        <v>90000</v>
      </c>
    </row>
    <row r="51" spans="1:4" ht="18" hidden="1" x14ac:dyDescent="0.3">
      <c r="A51" s="63" t="s">
        <v>49</v>
      </c>
      <c r="B51" s="7"/>
      <c r="C51" s="7"/>
      <c r="D51" s="8">
        <f t="shared" si="0"/>
        <v>0</v>
      </c>
    </row>
    <row r="52" spans="1:4" ht="18" hidden="1" x14ac:dyDescent="0.3">
      <c r="A52" s="60" t="s">
        <v>51</v>
      </c>
      <c r="B52" s="7"/>
      <c r="C52" s="7"/>
      <c r="D52" s="8">
        <f t="shared" si="0"/>
        <v>0</v>
      </c>
    </row>
    <row r="53" spans="1:4" ht="18" hidden="1" x14ac:dyDescent="0.3">
      <c r="A53" s="68" t="s">
        <v>53</v>
      </c>
      <c r="B53" s="7"/>
      <c r="C53" s="7"/>
      <c r="D53" s="8">
        <f t="shared" si="0"/>
        <v>0</v>
      </c>
    </row>
    <row r="54" spans="1:4" ht="18" hidden="1" x14ac:dyDescent="0.3">
      <c r="A54" s="63" t="s">
        <v>54</v>
      </c>
      <c r="B54" s="7"/>
      <c r="C54" s="7"/>
      <c r="D54" s="8">
        <f t="shared" si="0"/>
        <v>0</v>
      </c>
    </row>
    <row r="55" spans="1:4" ht="18" x14ac:dyDescent="0.3">
      <c r="A55" s="17" t="s">
        <v>55</v>
      </c>
      <c r="B55" s="7">
        <v>10</v>
      </c>
      <c r="C55" s="7">
        <v>10000</v>
      </c>
      <c r="D55" s="8">
        <f t="shared" si="0"/>
        <v>100000</v>
      </c>
    </row>
    <row r="56" spans="1:4" ht="18" hidden="1" x14ac:dyDescent="0.3">
      <c r="A56" s="63" t="s">
        <v>57</v>
      </c>
      <c r="B56" s="7"/>
      <c r="C56" s="7"/>
      <c r="D56" s="8">
        <f t="shared" si="0"/>
        <v>0</v>
      </c>
    </row>
    <row r="57" spans="1:4" ht="18" x14ac:dyDescent="0.3">
      <c r="A57" s="63" t="s">
        <v>50</v>
      </c>
      <c r="B57" s="7">
        <f>20+25</f>
        <v>45</v>
      </c>
      <c r="C57" s="7">
        <v>5500</v>
      </c>
      <c r="D57" s="8">
        <f t="shared" si="0"/>
        <v>247500</v>
      </c>
    </row>
    <row r="58" spans="1:4" ht="18" hidden="1" x14ac:dyDescent="0.3">
      <c r="A58" s="63" t="s">
        <v>56</v>
      </c>
      <c r="B58" s="7"/>
      <c r="C58" s="7"/>
      <c r="D58" s="8">
        <f t="shared" si="0"/>
        <v>0</v>
      </c>
    </row>
    <row r="59" spans="1:4" ht="18" hidden="1" x14ac:dyDescent="0.3">
      <c r="A59" s="67" t="s">
        <v>58</v>
      </c>
      <c r="B59" s="7"/>
      <c r="C59" s="7"/>
      <c r="D59" s="8">
        <f t="shared" si="0"/>
        <v>0</v>
      </c>
    </row>
    <row r="60" spans="1:4" ht="18" hidden="1" x14ac:dyDescent="0.3">
      <c r="A60" s="60" t="s">
        <v>59</v>
      </c>
      <c r="B60" s="7"/>
      <c r="C60" s="7"/>
      <c r="D60" s="8">
        <f t="shared" si="0"/>
        <v>0</v>
      </c>
    </row>
    <row r="61" spans="1:4" ht="18" hidden="1" x14ac:dyDescent="0.3">
      <c r="A61" s="60" t="s">
        <v>60</v>
      </c>
      <c r="B61" s="7"/>
      <c r="C61" s="7"/>
      <c r="D61" s="8">
        <f t="shared" si="0"/>
        <v>0</v>
      </c>
    </row>
    <row r="62" spans="1:4" ht="18" hidden="1" x14ac:dyDescent="0.3">
      <c r="A62" s="63" t="s">
        <v>61</v>
      </c>
      <c r="B62" s="7"/>
      <c r="C62" s="7"/>
      <c r="D62" s="8">
        <f t="shared" si="0"/>
        <v>0</v>
      </c>
    </row>
    <row r="63" spans="1:4" ht="18" hidden="1" x14ac:dyDescent="0.3">
      <c r="A63" s="69" t="s">
        <v>62</v>
      </c>
      <c r="B63" s="19"/>
      <c r="C63" s="19"/>
      <c r="D63" s="8">
        <f t="shared" si="0"/>
        <v>0</v>
      </c>
    </row>
    <row r="64" spans="1:4" ht="18" hidden="1" x14ac:dyDescent="0.3">
      <c r="A64" s="63" t="s">
        <v>68</v>
      </c>
      <c r="B64" s="7"/>
      <c r="C64" s="7"/>
      <c r="D64" s="8">
        <f t="shared" si="0"/>
        <v>0</v>
      </c>
    </row>
    <row r="65" spans="1:4" ht="18" x14ac:dyDescent="0.3">
      <c r="A65" s="60" t="s">
        <v>67</v>
      </c>
      <c r="B65" s="7">
        <f>30+200+300+20</f>
        <v>550</v>
      </c>
      <c r="C65" s="7">
        <v>26000</v>
      </c>
      <c r="D65" s="8">
        <f t="shared" si="0"/>
        <v>14300000</v>
      </c>
    </row>
    <row r="66" spans="1:4" ht="18" hidden="1" x14ac:dyDescent="0.3">
      <c r="A66" s="63" t="s">
        <v>69</v>
      </c>
      <c r="B66" s="7"/>
      <c r="C66" s="7"/>
      <c r="D66" s="8">
        <f t="shared" si="0"/>
        <v>0</v>
      </c>
    </row>
    <row r="67" spans="1:4" ht="18" hidden="1" x14ac:dyDescent="0.3">
      <c r="A67" s="60" t="s">
        <v>64</v>
      </c>
      <c r="B67" s="7"/>
      <c r="C67" s="7"/>
      <c r="D67" s="8">
        <f t="shared" si="0"/>
        <v>0</v>
      </c>
    </row>
    <row r="68" spans="1:4" ht="18" hidden="1" x14ac:dyDescent="0.3">
      <c r="A68" s="63" t="s">
        <v>63</v>
      </c>
      <c r="B68" s="7"/>
      <c r="C68" s="7"/>
      <c r="D68" s="8">
        <f t="shared" ref="D68:D131" si="1">B68*C68</f>
        <v>0</v>
      </c>
    </row>
    <row r="69" spans="1:4" ht="18" hidden="1" x14ac:dyDescent="0.3">
      <c r="A69" s="60" t="s">
        <v>65</v>
      </c>
      <c r="B69" s="7"/>
      <c r="C69" s="7"/>
      <c r="D69" s="8">
        <f t="shared" si="1"/>
        <v>0</v>
      </c>
    </row>
    <row r="70" spans="1:4" ht="18" hidden="1" x14ac:dyDescent="0.3">
      <c r="A70" s="63" t="s">
        <v>66</v>
      </c>
      <c r="B70" s="7"/>
      <c r="C70" s="7"/>
      <c r="D70" s="8">
        <f t="shared" si="1"/>
        <v>0</v>
      </c>
    </row>
    <row r="71" spans="1:4" ht="18" hidden="1" x14ac:dyDescent="0.3">
      <c r="A71" s="63" t="s">
        <v>71</v>
      </c>
      <c r="B71" s="7"/>
      <c r="C71" s="7"/>
      <c r="D71" s="8">
        <f t="shared" si="1"/>
        <v>0</v>
      </c>
    </row>
    <row r="72" spans="1:4" ht="18" hidden="1" x14ac:dyDescent="0.3">
      <c r="A72" s="63" t="s">
        <v>70</v>
      </c>
      <c r="B72" s="7"/>
      <c r="C72" s="7"/>
      <c r="D72" s="8">
        <f t="shared" si="1"/>
        <v>0</v>
      </c>
    </row>
    <row r="73" spans="1:4" ht="18" hidden="1" x14ac:dyDescent="0.3">
      <c r="A73" s="72" t="s">
        <v>76</v>
      </c>
      <c r="B73" s="7"/>
      <c r="C73" s="7"/>
      <c r="D73" s="8">
        <f t="shared" si="1"/>
        <v>0</v>
      </c>
    </row>
    <row r="74" spans="1:4" ht="18" hidden="1" x14ac:dyDescent="0.3">
      <c r="A74" s="68" t="s">
        <v>75</v>
      </c>
      <c r="B74" s="7"/>
      <c r="C74" s="7"/>
      <c r="D74" s="8">
        <f t="shared" si="1"/>
        <v>0</v>
      </c>
    </row>
    <row r="75" spans="1:4" ht="18" hidden="1" x14ac:dyDescent="0.3">
      <c r="A75" s="70" t="s">
        <v>72</v>
      </c>
      <c r="B75" s="7"/>
      <c r="C75" s="7"/>
      <c r="D75" s="8">
        <f t="shared" si="1"/>
        <v>0</v>
      </c>
    </row>
    <row r="76" spans="1:4" ht="18" hidden="1" x14ac:dyDescent="0.3">
      <c r="A76" s="71" t="s">
        <v>73</v>
      </c>
      <c r="B76" s="7"/>
      <c r="C76" s="7"/>
      <c r="D76" s="8">
        <f t="shared" si="1"/>
        <v>0</v>
      </c>
    </row>
    <row r="77" spans="1:4" ht="18" hidden="1" x14ac:dyDescent="0.3">
      <c r="A77" s="70" t="s">
        <v>74</v>
      </c>
      <c r="B77" s="7"/>
      <c r="C77" s="7"/>
      <c r="D77" s="8">
        <f t="shared" si="1"/>
        <v>0</v>
      </c>
    </row>
    <row r="78" spans="1:4" ht="18" hidden="1" x14ac:dyDescent="0.3">
      <c r="A78" s="63" t="s">
        <v>80</v>
      </c>
      <c r="B78" s="23"/>
      <c r="C78" s="23"/>
      <c r="D78" s="8">
        <f t="shared" si="1"/>
        <v>0</v>
      </c>
    </row>
    <row r="79" spans="1:4" ht="18" hidden="1" x14ac:dyDescent="0.3">
      <c r="A79" s="22" t="s">
        <v>78</v>
      </c>
      <c r="B79" s="7"/>
      <c r="C79" s="7"/>
      <c r="D79" s="8">
        <f t="shared" si="1"/>
        <v>0</v>
      </c>
    </row>
    <row r="80" spans="1:4" ht="18" hidden="1" x14ac:dyDescent="0.3">
      <c r="A80" s="72" t="s">
        <v>77</v>
      </c>
      <c r="B80" s="7"/>
      <c r="C80" s="7"/>
      <c r="D80" s="8">
        <f t="shared" si="1"/>
        <v>0</v>
      </c>
    </row>
    <row r="81" spans="1:4" ht="18" hidden="1" x14ac:dyDescent="0.3">
      <c r="A81" s="72" t="s">
        <v>79</v>
      </c>
      <c r="B81" s="7"/>
      <c r="C81" s="7"/>
      <c r="D81" s="8">
        <f t="shared" si="1"/>
        <v>0</v>
      </c>
    </row>
    <row r="82" spans="1:4" ht="18" hidden="1" x14ac:dyDescent="0.3">
      <c r="A82" s="60" t="s">
        <v>95</v>
      </c>
      <c r="B82" s="7"/>
      <c r="C82" s="7"/>
      <c r="D82" s="8">
        <f t="shared" si="1"/>
        <v>0</v>
      </c>
    </row>
    <row r="83" spans="1:4" ht="18" hidden="1" x14ac:dyDescent="0.3">
      <c r="A83" s="60" t="s">
        <v>93</v>
      </c>
      <c r="B83" s="7"/>
      <c r="C83" s="7"/>
      <c r="D83" s="8">
        <f t="shared" si="1"/>
        <v>0</v>
      </c>
    </row>
    <row r="84" spans="1:4" ht="18" hidden="1" x14ac:dyDescent="0.3">
      <c r="A84" s="63" t="s">
        <v>82</v>
      </c>
      <c r="B84" s="7"/>
      <c r="C84" s="7"/>
      <c r="D84" s="8">
        <f t="shared" si="1"/>
        <v>0</v>
      </c>
    </row>
    <row r="85" spans="1:4" ht="18" hidden="1" x14ac:dyDescent="0.3">
      <c r="A85" s="63" t="s">
        <v>84</v>
      </c>
      <c r="B85" s="7"/>
      <c r="C85" s="7"/>
      <c r="D85" s="8">
        <f t="shared" si="1"/>
        <v>0</v>
      </c>
    </row>
    <row r="86" spans="1:4" ht="18" hidden="1" x14ac:dyDescent="0.3">
      <c r="A86" s="63" t="s">
        <v>90</v>
      </c>
      <c r="B86" s="12"/>
      <c r="C86" s="7"/>
      <c r="D86" s="8">
        <f t="shared" si="1"/>
        <v>0</v>
      </c>
    </row>
    <row r="87" spans="1:4" ht="18" hidden="1" x14ac:dyDescent="0.3">
      <c r="A87" s="63" t="s">
        <v>88</v>
      </c>
      <c r="B87" s="7"/>
      <c r="C87" s="7"/>
      <c r="D87" s="8">
        <f t="shared" si="1"/>
        <v>0</v>
      </c>
    </row>
    <row r="88" spans="1:4" ht="18" hidden="1" x14ac:dyDescent="0.3">
      <c r="A88" s="63" t="s">
        <v>89</v>
      </c>
      <c r="B88" s="7"/>
      <c r="C88" s="7"/>
      <c r="D88" s="8">
        <f t="shared" si="1"/>
        <v>0</v>
      </c>
    </row>
    <row r="89" spans="1:4" ht="18" hidden="1" x14ac:dyDescent="0.3">
      <c r="A89" s="63" t="s">
        <v>86</v>
      </c>
      <c r="B89" s="7"/>
      <c r="C89" s="7"/>
      <c r="D89" s="8">
        <f t="shared" si="1"/>
        <v>0</v>
      </c>
    </row>
    <row r="90" spans="1:4" ht="18" hidden="1" x14ac:dyDescent="0.3">
      <c r="A90" s="63" t="s">
        <v>81</v>
      </c>
      <c r="B90" s="7"/>
      <c r="C90" s="7"/>
      <c r="D90" s="8">
        <f t="shared" si="1"/>
        <v>0</v>
      </c>
    </row>
    <row r="91" spans="1:4" ht="18" hidden="1" x14ac:dyDescent="0.3">
      <c r="A91" s="63" t="s">
        <v>83</v>
      </c>
      <c r="B91" s="7"/>
      <c r="C91" s="7"/>
      <c r="D91" s="8">
        <f t="shared" si="1"/>
        <v>0</v>
      </c>
    </row>
    <row r="92" spans="1:4" ht="18" hidden="1" x14ac:dyDescent="0.3">
      <c r="A92" s="63" t="s">
        <v>85</v>
      </c>
      <c r="B92" s="7"/>
      <c r="C92" s="7"/>
      <c r="D92" s="8">
        <f t="shared" si="1"/>
        <v>0</v>
      </c>
    </row>
    <row r="93" spans="1:4" ht="18" hidden="1" x14ac:dyDescent="0.3">
      <c r="A93" s="73" t="s">
        <v>87</v>
      </c>
      <c r="B93" s="7"/>
      <c r="C93" s="7"/>
      <c r="D93" s="8">
        <f t="shared" si="1"/>
        <v>0</v>
      </c>
    </row>
    <row r="94" spans="1:4" ht="18" hidden="1" x14ac:dyDescent="0.3">
      <c r="A94" s="74" t="s">
        <v>91</v>
      </c>
      <c r="B94" s="7"/>
      <c r="C94" s="7"/>
      <c r="D94" s="8">
        <f t="shared" si="1"/>
        <v>0</v>
      </c>
    </row>
    <row r="95" spans="1:4" ht="18" hidden="1" x14ac:dyDescent="0.3">
      <c r="A95" s="65" t="s">
        <v>94</v>
      </c>
      <c r="B95" s="7"/>
      <c r="C95" s="7"/>
      <c r="D95" s="8">
        <f t="shared" si="1"/>
        <v>0</v>
      </c>
    </row>
    <row r="96" spans="1:4" ht="18" hidden="1" x14ac:dyDescent="0.3">
      <c r="A96" s="63" t="s">
        <v>96</v>
      </c>
      <c r="B96" s="7"/>
      <c r="C96" s="7"/>
      <c r="D96" s="8">
        <f t="shared" si="1"/>
        <v>0</v>
      </c>
    </row>
    <row r="97" spans="1:4" ht="18" hidden="1" x14ac:dyDescent="0.3">
      <c r="A97" s="75" t="s">
        <v>97</v>
      </c>
      <c r="B97" s="7"/>
      <c r="C97" s="7"/>
      <c r="D97" s="8">
        <f t="shared" si="1"/>
        <v>0</v>
      </c>
    </row>
    <row r="98" spans="1:4" ht="18" hidden="1" x14ac:dyDescent="0.3">
      <c r="A98" s="76" t="s">
        <v>99</v>
      </c>
      <c r="B98" s="7"/>
      <c r="C98" s="7"/>
      <c r="D98" s="8">
        <f t="shared" si="1"/>
        <v>0</v>
      </c>
    </row>
    <row r="99" spans="1:4" ht="18" hidden="1" x14ac:dyDescent="0.3">
      <c r="A99" s="76" t="s">
        <v>98</v>
      </c>
      <c r="B99" s="7"/>
      <c r="C99" s="7"/>
      <c r="D99" s="8">
        <f t="shared" si="1"/>
        <v>0</v>
      </c>
    </row>
    <row r="100" spans="1:4" ht="18" hidden="1" x14ac:dyDescent="0.3">
      <c r="A100" s="14" t="s">
        <v>100</v>
      </c>
      <c r="B100" s="7"/>
      <c r="C100" s="7"/>
      <c r="D100" s="8">
        <f t="shared" si="1"/>
        <v>0</v>
      </c>
    </row>
    <row r="101" spans="1:4" ht="18" hidden="1" x14ac:dyDescent="0.3">
      <c r="A101" s="14" t="s">
        <v>101</v>
      </c>
      <c r="B101" s="7"/>
      <c r="C101" s="7"/>
      <c r="D101" s="8">
        <f t="shared" si="1"/>
        <v>0</v>
      </c>
    </row>
    <row r="102" spans="1:4" ht="18" hidden="1" x14ac:dyDescent="0.3">
      <c r="A102" s="63" t="s">
        <v>104</v>
      </c>
      <c r="B102" s="12"/>
      <c r="C102" s="12"/>
      <c r="D102" s="8">
        <f t="shared" si="1"/>
        <v>0</v>
      </c>
    </row>
    <row r="103" spans="1:4" ht="18" hidden="1" x14ac:dyDescent="0.3">
      <c r="A103" s="63" t="s">
        <v>106</v>
      </c>
      <c r="B103" s="12"/>
      <c r="C103" s="12"/>
      <c r="D103" s="8">
        <f t="shared" si="1"/>
        <v>0</v>
      </c>
    </row>
    <row r="104" spans="1:4" ht="18" hidden="1" x14ac:dyDescent="0.3">
      <c r="A104" s="63" t="s">
        <v>109</v>
      </c>
      <c r="B104" s="12"/>
      <c r="C104" s="12"/>
      <c r="D104" s="8">
        <f t="shared" si="1"/>
        <v>0</v>
      </c>
    </row>
    <row r="105" spans="1:4" ht="18" hidden="1" x14ac:dyDescent="0.3">
      <c r="A105" s="63" t="s">
        <v>110</v>
      </c>
      <c r="B105" s="12"/>
      <c r="C105" s="12"/>
      <c r="D105" s="8">
        <f t="shared" si="1"/>
        <v>0</v>
      </c>
    </row>
    <row r="106" spans="1:4" ht="18" hidden="1" x14ac:dyDescent="0.3">
      <c r="A106" s="63" t="s">
        <v>111</v>
      </c>
      <c r="B106" s="12"/>
      <c r="C106" s="12"/>
      <c r="D106" s="8">
        <f t="shared" si="1"/>
        <v>0</v>
      </c>
    </row>
    <row r="107" spans="1:4" ht="18" hidden="1" x14ac:dyDescent="0.3">
      <c r="A107" s="63" t="s">
        <v>103</v>
      </c>
      <c r="B107" s="12"/>
      <c r="C107" s="12"/>
      <c r="D107" s="8">
        <f t="shared" si="1"/>
        <v>0</v>
      </c>
    </row>
    <row r="108" spans="1:4" ht="18" hidden="1" x14ac:dyDescent="0.3">
      <c r="A108" s="63" t="s">
        <v>102</v>
      </c>
      <c r="B108" s="12"/>
      <c r="C108" s="12"/>
      <c r="D108" s="8">
        <f t="shared" si="1"/>
        <v>0</v>
      </c>
    </row>
    <row r="109" spans="1:4" ht="18" hidden="1" x14ac:dyDescent="0.3">
      <c r="A109" s="63" t="s">
        <v>105</v>
      </c>
      <c r="B109" s="12"/>
      <c r="C109" s="12"/>
      <c r="D109" s="8">
        <f t="shared" si="1"/>
        <v>0</v>
      </c>
    </row>
    <row r="110" spans="1:4" ht="18" hidden="1" x14ac:dyDescent="0.3">
      <c r="A110" s="63" t="s">
        <v>107</v>
      </c>
      <c r="B110" s="12"/>
      <c r="C110" s="12"/>
      <c r="D110" s="8">
        <f t="shared" si="1"/>
        <v>0</v>
      </c>
    </row>
    <row r="111" spans="1:4" ht="18" hidden="1" x14ac:dyDescent="0.3">
      <c r="A111" s="63" t="s">
        <v>108</v>
      </c>
      <c r="B111" s="12"/>
      <c r="C111" s="12"/>
      <c r="D111" s="8">
        <f t="shared" si="1"/>
        <v>0</v>
      </c>
    </row>
    <row r="112" spans="1:4" ht="18" hidden="1" x14ac:dyDescent="0.3">
      <c r="A112" s="63" t="s">
        <v>112</v>
      </c>
      <c r="B112" s="12"/>
      <c r="C112" s="12"/>
      <c r="D112" s="8">
        <f t="shared" si="1"/>
        <v>0</v>
      </c>
    </row>
    <row r="113" spans="1:4" ht="18" hidden="1" x14ac:dyDescent="0.3">
      <c r="A113" s="63" t="s">
        <v>115</v>
      </c>
      <c r="B113" s="7"/>
      <c r="C113" s="7"/>
      <c r="D113" s="8">
        <f t="shared" si="1"/>
        <v>0</v>
      </c>
    </row>
    <row r="114" spans="1:4" ht="18" x14ac:dyDescent="0.3">
      <c r="A114" s="60" t="s">
        <v>113</v>
      </c>
      <c r="B114" s="7">
        <f>200+20+75</f>
        <v>295</v>
      </c>
      <c r="C114" s="7">
        <v>16000</v>
      </c>
      <c r="D114" s="8">
        <f t="shared" si="1"/>
        <v>4720000</v>
      </c>
    </row>
    <row r="115" spans="1:4" ht="18" x14ac:dyDescent="0.3">
      <c r="A115" s="63" t="s">
        <v>114</v>
      </c>
      <c r="B115" s="7">
        <f>70+20</f>
        <v>90</v>
      </c>
      <c r="C115" s="7">
        <v>13000</v>
      </c>
      <c r="D115" s="8">
        <f t="shared" si="1"/>
        <v>1170000</v>
      </c>
    </row>
    <row r="116" spans="1:4" ht="18" hidden="1" x14ac:dyDescent="0.3">
      <c r="A116" s="60" t="s">
        <v>116</v>
      </c>
      <c r="B116" s="7"/>
      <c r="C116" s="7"/>
      <c r="D116" s="8">
        <f t="shared" si="1"/>
        <v>0</v>
      </c>
    </row>
    <row r="117" spans="1:4" ht="18" hidden="1" x14ac:dyDescent="0.3">
      <c r="A117" s="63" t="s">
        <v>117</v>
      </c>
      <c r="B117" s="7"/>
      <c r="C117" s="7"/>
      <c r="D117" s="8">
        <f t="shared" si="1"/>
        <v>0</v>
      </c>
    </row>
    <row r="118" spans="1:4" ht="18" hidden="1" x14ac:dyDescent="0.3">
      <c r="A118" s="63" t="s">
        <v>118</v>
      </c>
      <c r="B118" s="7"/>
      <c r="C118" s="7"/>
      <c r="D118" s="8">
        <f t="shared" si="1"/>
        <v>0</v>
      </c>
    </row>
    <row r="119" spans="1:4" ht="18" hidden="1" x14ac:dyDescent="0.3">
      <c r="A119" s="63" t="s">
        <v>119</v>
      </c>
      <c r="B119" s="7"/>
      <c r="C119" s="7"/>
      <c r="D119" s="8">
        <f t="shared" si="1"/>
        <v>0</v>
      </c>
    </row>
    <row r="120" spans="1:4" ht="18" x14ac:dyDescent="0.3">
      <c r="A120" s="63" t="s">
        <v>120</v>
      </c>
      <c r="B120" s="7">
        <f>1470+300+135+90+45+45</f>
        <v>2085</v>
      </c>
      <c r="C120" s="7">
        <v>5000</v>
      </c>
      <c r="D120" s="8">
        <f t="shared" si="1"/>
        <v>10425000</v>
      </c>
    </row>
    <row r="121" spans="1:4" ht="18" hidden="1" x14ac:dyDescent="0.3">
      <c r="A121" s="61" t="s">
        <v>122</v>
      </c>
      <c r="B121" s="7"/>
      <c r="C121" s="7"/>
      <c r="D121" s="8">
        <f t="shared" si="1"/>
        <v>0</v>
      </c>
    </row>
    <row r="122" spans="1:4" ht="18" hidden="1" x14ac:dyDescent="0.3">
      <c r="A122" s="74" t="s">
        <v>123</v>
      </c>
      <c r="B122" s="7"/>
      <c r="C122" s="7"/>
      <c r="D122" s="8">
        <f t="shared" si="1"/>
        <v>0</v>
      </c>
    </row>
    <row r="123" spans="1:4" ht="18" hidden="1" x14ac:dyDescent="0.3">
      <c r="A123" s="77" t="s">
        <v>124</v>
      </c>
      <c r="B123" s="7"/>
      <c r="C123" s="7"/>
      <c r="D123" s="8">
        <f t="shared" si="1"/>
        <v>0</v>
      </c>
    </row>
    <row r="124" spans="1:4" ht="18" hidden="1" x14ac:dyDescent="0.3">
      <c r="A124" s="60" t="s">
        <v>127</v>
      </c>
      <c r="B124" s="12"/>
      <c r="C124" s="12"/>
      <c r="D124" s="8">
        <f t="shared" si="1"/>
        <v>0</v>
      </c>
    </row>
    <row r="125" spans="1:4" ht="18" hidden="1" x14ac:dyDescent="0.3">
      <c r="A125" s="63" t="s">
        <v>135</v>
      </c>
      <c r="B125" s="7"/>
      <c r="C125" s="7"/>
      <c r="D125" s="8">
        <f t="shared" si="1"/>
        <v>0</v>
      </c>
    </row>
    <row r="126" spans="1:4" ht="18" hidden="1" x14ac:dyDescent="0.3">
      <c r="A126" s="65" t="s">
        <v>136</v>
      </c>
      <c r="B126" s="7"/>
      <c r="C126" s="7"/>
      <c r="D126" s="8">
        <f t="shared" si="1"/>
        <v>0</v>
      </c>
    </row>
    <row r="127" spans="1:4" ht="18" hidden="1" x14ac:dyDescent="0.3">
      <c r="A127" s="72" t="s">
        <v>125</v>
      </c>
      <c r="B127" s="7"/>
      <c r="C127" s="7"/>
      <c r="D127" s="8">
        <f t="shared" si="1"/>
        <v>0</v>
      </c>
    </row>
    <row r="128" spans="1:4" ht="18" hidden="1" x14ac:dyDescent="0.3">
      <c r="A128" s="65" t="s">
        <v>132</v>
      </c>
      <c r="B128" s="7"/>
      <c r="C128" s="7"/>
      <c r="D128" s="8">
        <f t="shared" si="1"/>
        <v>0</v>
      </c>
    </row>
    <row r="129" spans="1:4" ht="18" hidden="1" x14ac:dyDescent="0.3">
      <c r="A129" s="65" t="s">
        <v>133</v>
      </c>
      <c r="B129" s="7"/>
      <c r="C129" s="7"/>
      <c r="D129" s="8">
        <f t="shared" si="1"/>
        <v>0</v>
      </c>
    </row>
    <row r="130" spans="1:4" ht="18" hidden="1" x14ac:dyDescent="0.3">
      <c r="A130" s="65" t="s">
        <v>134</v>
      </c>
      <c r="B130" s="7"/>
      <c r="C130" s="7"/>
      <c r="D130" s="8">
        <f t="shared" si="1"/>
        <v>0</v>
      </c>
    </row>
    <row r="131" spans="1:4" ht="18" hidden="1" x14ac:dyDescent="0.3">
      <c r="A131" s="60" t="s">
        <v>128</v>
      </c>
      <c r="B131" s="12"/>
      <c r="C131" s="12"/>
      <c r="D131" s="8">
        <f t="shared" si="1"/>
        <v>0</v>
      </c>
    </row>
    <row r="132" spans="1:4" ht="18" x14ac:dyDescent="0.3">
      <c r="A132" s="60" t="s">
        <v>138</v>
      </c>
      <c r="B132" s="12">
        <v>0.5</v>
      </c>
      <c r="C132" s="12">
        <v>120000</v>
      </c>
      <c r="D132" s="8">
        <f t="shared" ref="D132:D195" si="2">B132*C132</f>
        <v>60000</v>
      </c>
    </row>
    <row r="133" spans="1:4" ht="18" hidden="1" x14ac:dyDescent="0.3">
      <c r="A133" s="63" t="s">
        <v>130</v>
      </c>
      <c r="B133" s="12"/>
      <c r="C133" s="12"/>
      <c r="D133" s="8">
        <f t="shared" si="2"/>
        <v>0</v>
      </c>
    </row>
    <row r="134" spans="1:4" ht="18" hidden="1" x14ac:dyDescent="0.3">
      <c r="A134" s="63" t="s">
        <v>139</v>
      </c>
      <c r="B134" s="7"/>
      <c r="C134" s="7"/>
      <c r="D134" s="8">
        <f t="shared" si="2"/>
        <v>0</v>
      </c>
    </row>
    <row r="135" spans="1:4" ht="18" hidden="1" x14ac:dyDescent="0.3">
      <c r="A135" s="72" t="s">
        <v>140</v>
      </c>
      <c r="B135" s="7"/>
      <c r="C135" s="7"/>
      <c r="D135" s="8">
        <f t="shared" si="2"/>
        <v>0</v>
      </c>
    </row>
    <row r="136" spans="1:4" ht="18" hidden="1" x14ac:dyDescent="0.3">
      <c r="A136" s="63" t="s">
        <v>121</v>
      </c>
      <c r="B136" s="7"/>
      <c r="C136" s="7"/>
      <c r="D136" s="8">
        <f t="shared" si="2"/>
        <v>0</v>
      </c>
    </row>
    <row r="137" spans="1:4" ht="18" hidden="1" x14ac:dyDescent="0.3">
      <c r="A137" s="60" t="s">
        <v>126</v>
      </c>
      <c r="B137" s="12"/>
      <c r="C137" s="12"/>
      <c r="D137" s="8">
        <f t="shared" si="2"/>
        <v>0</v>
      </c>
    </row>
    <row r="138" spans="1:4" ht="18" hidden="1" x14ac:dyDescent="0.3">
      <c r="A138" s="60" t="s">
        <v>129</v>
      </c>
      <c r="B138" s="29"/>
      <c r="C138" s="29"/>
      <c r="D138" s="8">
        <f t="shared" si="2"/>
        <v>0</v>
      </c>
    </row>
    <row r="139" spans="1:4" ht="18" hidden="1" x14ac:dyDescent="0.3">
      <c r="A139" s="63" t="s">
        <v>131</v>
      </c>
      <c r="B139" s="12"/>
      <c r="C139" s="12"/>
      <c r="D139" s="8">
        <f t="shared" si="2"/>
        <v>0</v>
      </c>
    </row>
    <row r="140" spans="1:4" ht="18" hidden="1" x14ac:dyDescent="0.3">
      <c r="A140" s="63" t="s">
        <v>137</v>
      </c>
      <c r="B140" s="12"/>
      <c r="C140" s="12"/>
      <c r="D140" s="8">
        <f t="shared" si="2"/>
        <v>0</v>
      </c>
    </row>
    <row r="141" spans="1:4" ht="18" hidden="1" x14ac:dyDescent="0.3">
      <c r="A141" s="60" t="s">
        <v>141</v>
      </c>
      <c r="B141" s="7"/>
      <c r="C141" s="7"/>
      <c r="D141" s="8">
        <f t="shared" si="2"/>
        <v>0</v>
      </c>
    </row>
    <row r="142" spans="1:4" ht="18" x14ac:dyDescent="0.3">
      <c r="A142" s="63" t="s">
        <v>142</v>
      </c>
      <c r="B142" s="7">
        <f>20+100+200+140</f>
        <v>460</v>
      </c>
      <c r="C142" s="7">
        <v>26000</v>
      </c>
      <c r="D142" s="8">
        <f t="shared" si="2"/>
        <v>11960000</v>
      </c>
    </row>
    <row r="143" spans="1:4" ht="18" hidden="1" x14ac:dyDescent="0.3">
      <c r="A143" s="73" t="s">
        <v>143</v>
      </c>
      <c r="B143" s="7"/>
      <c r="C143" s="7"/>
      <c r="D143" s="8">
        <f t="shared" si="2"/>
        <v>0</v>
      </c>
    </row>
    <row r="144" spans="1:4" ht="18" hidden="1" x14ac:dyDescent="0.3">
      <c r="A144" s="73" t="s">
        <v>144</v>
      </c>
      <c r="B144" s="7"/>
      <c r="C144" s="7"/>
      <c r="D144" s="8">
        <f t="shared" si="2"/>
        <v>0</v>
      </c>
    </row>
    <row r="145" spans="1:4" ht="18" hidden="1" x14ac:dyDescent="0.3">
      <c r="A145" s="63" t="s">
        <v>145</v>
      </c>
      <c r="B145" s="7"/>
      <c r="C145" s="7"/>
      <c r="D145" s="8">
        <f t="shared" si="2"/>
        <v>0</v>
      </c>
    </row>
    <row r="146" spans="1:4" ht="18" hidden="1" x14ac:dyDescent="0.3">
      <c r="A146" s="63" t="s">
        <v>146</v>
      </c>
      <c r="B146" s="7"/>
      <c r="C146" s="7"/>
      <c r="D146" s="8">
        <f t="shared" si="2"/>
        <v>0</v>
      </c>
    </row>
    <row r="147" spans="1:4" ht="18" hidden="1" x14ac:dyDescent="0.3">
      <c r="A147" s="63" t="s">
        <v>147</v>
      </c>
      <c r="B147" s="7"/>
      <c r="C147" s="7"/>
      <c r="D147" s="8">
        <f t="shared" si="2"/>
        <v>0</v>
      </c>
    </row>
    <row r="148" spans="1:4" ht="18" hidden="1" x14ac:dyDescent="0.3">
      <c r="A148" s="68" t="s">
        <v>148</v>
      </c>
      <c r="B148" s="7"/>
      <c r="C148" s="7"/>
      <c r="D148" s="8">
        <f t="shared" si="2"/>
        <v>0</v>
      </c>
    </row>
    <row r="149" spans="1:4" ht="18" hidden="1" x14ac:dyDescent="0.3">
      <c r="A149" s="68" t="s">
        <v>149</v>
      </c>
      <c r="B149" s="7"/>
      <c r="C149" s="7"/>
      <c r="D149" s="8">
        <f t="shared" si="2"/>
        <v>0</v>
      </c>
    </row>
    <row r="150" spans="1:4" ht="18" hidden="1" x14ac:dyDescent="0.3">
      <c r="A150" s="63" t="s">
        <v>150</v>
      </c>
      <c r="B150" s="7"/>
      <c r="C150" s="7"/>
      <c r="D150" s="8">
        <f t="shared" si="2"/>
        <v>0</v>
      </c>
    </row>
    <row r="151" spans="1:4" ht="18" hidden="1" x14ac:dyDescent="0.3">
      <c r="A151" s="63" t="s">
        <v>152</v>
      </c>
      <c r="B151" s="7"/>
      <c r="C151" s="7"/>
      <c r="D151" s="8">
        <f t="shared" si="2"/>
        <v>0</v>
      </c>
    </row>
    <row r="152" spans="1:4" ht="18" hidden="1" x14ac:dyDescent="0.3">
      <c r="A152" s="67" t="s">
        <v>153</v>
      </c>
      <c r="B152" s="7"/>
      <c r="C152" s="7"/>
      <c r="D152" s="8">
        <f t="shared" si="2"/>
        <v>0</v>
      </c>
    </row>
    <row r="153" spans="1:4" ht="18" hidden="1" x14ac:dyDescent="0.3">
      <c r="A153" s="63" t="s">
        <v>154</v>
      </c>
      <c r="B153" s="7"/>
      <c r="C153" s="7"/>
      <c r="D153" s="8">
        <f t="shared" si="2"/>
        <v>0</v>
      </c>
    </row>
    <row r="154" spans="1:4" ht="18" hidden="1" x14ac:dyDescent="0.3">
      <c r="A154" s="63" t="s">
        <v>155</v>
      </c>
      <c r="B154" s="7"/>
      <c r="C154" s="7"/>
      <c r="D154" s="8">
        <f t="shared" si="2"/>
        <v>0</v>
      </c>
    </row>
    <row r="155" spans="1:4" ht="18" hidden="1" x14ac:dyDescent="0.3">
      <c r="A155" s="62" t="s">
        <v>156</v>
      </c>
      <c r="B155" s="7"/>
      <c r="C155" s="7"/>
      <c r="D155" s="8">
        <f t="shared" si="2"/>
        <v>0</v>
      </c>
    </row>
    <row r="156" spans="1:4" ht="18" hidden="1" x14ac:dyDescent="0.3">
      <c r="A156" s="61" t="s">
        <v>151</v>
      </c>
      <c r="B156" s="7"/>
      <c r="C156" s="7"/>
      <c r="D156" s="8">
        <f t="shared" si="2"/>
        <v>0</v>
      </c>
    </row>
    <row r="157" spans="1:4" ht="18" hidden="1" x14ac:dyDescent="0.3">
      <c r="A157" s="63" t="s">
        <v>157</v>
      </c>
      <c r="B157" s="7"/>
      <c r="C157" s="7"/>
      <c r="D157" s="8">
        <f t="shared" si="2"/>
        <v>0</v>
      </c>
    </row>
    <row r="158" spans="1:4" ht="18" hidden="1" x14ac:dyDescent="0.3">
      <c r="A158" s="63" t="s">
        <v>159</v>
      </c>
      <c r="B158" s="7"/>
      <c r="C158" s="7"/>
      <c r="D158" s="8">
        <f t="shared" si="2"/>
        <v>0</v>
      </c>
    </row>
    <row r="159" spans="1:4" ht="18" hidden="1" x14ac:dyDescent="0.3">
      <c r="A159" s="14" t="s">
        <v>160</v>
      </c>
      <c r="B159" s="7"/>
      <c r="C159" s="7"/>
      <c r="D159" s="8">
        <f t="shared" si="2"/>
        <v>0</v>
      </c>
    </row>
    <row r="160" spans="1:4" ht="18" x14ac:dyDescent="0.3">
      <c r="A160" s="63" t="s">
        <v>161</v>
      </c>
      <c r="B160" s="7">
        <v>23</v>
      </c>
      <c r="C160" s="7">
        <v>7000</v>
      </c>
      <c r="D160" s="8">
        <f t="shared" si="2"/>
        <v>161000</v>
      </c>
    </row>
    <row r="161" spans="1:4" ht="18" hidden="1" x14ac:dyDescent="0.3">
      <c r="A161" s="63" t="s">
        <v>158</v>
      </c>
      <c r="B161" s="7"/>
      <c r="C161" s="7"/>
      <c r="D161" s="8">
        <f t="shared" si="2"/>
        <v>0</v>
      </c>
    </row>
    <row r="162" spans="1:4" ht="18" hidden="1" x14ac:dyDescent="0.3">
      <c r="A162" s="63" t="s">
        <v>162</v>
      </c>
      <c r="B162" s="7"/>
      <c r="C162" s="7"/>
      <c r="D162" s="8">
        <f t="shared" si="2"/>
        <v>0</v>
      </c>
    </row>
    <row r="163" spans="1:4" ht="18" hidden="1" x14ac:dyDescent="0.3">
      <c r="A163" s="60" t="s">
        <v>170</v>
      </c>
      <c r="B163" s="7"/>
      <c r="C163" s="7"/>
      <c r="D163" s="8">
        <f t="shared" si="2"/>
        <v>0</v>
      </c>
    </row>
    <row r="164" spans="1:4" ht="18" hidden="1" x14ac:dyDescent="0.3">
      <c r="A164" s="63" t="s">
        <v>171</v>
      </c>
      <c r="B164" s="7"/>
      <c r="C164" s="7"/>
      <c r="D164" s="8">
        <f t="shared" si="2"/>
        <v>0</v>
      </c>
    </row>
    <row r="165" spans="1:4" ht="18" x14ac:dyDescent="0.3">
      <c r="A165" s="63" t="s">
        <v>163</v>
      </c>
      <c r="B165" s="7">
        <f>15+10+18</f>
        <v>43</v>
      </c>
      <c r="C165" s="7">
        <v>16000</v>
      </c>
      <c r="D165" s="8">
        <f t="shared" si="2"/>
        <v>688000</v>
      </c>
    </row>
    <row r="166" spans="1:4" ht="18" hidden="1" x14ac:dyDescent="0.3">
      <c r="A166" s="74" t="s">
        <v>164</v>
      </c>
      <c r="B166" s="7"/>
      <c r="C166" s="7"/>
      <c r="D166" s="8">
        <f t="shared" si="2"/>
        <v>0</v>
      </c>
    </row>
    <row r="167" spans="1:4" ht="18" x14ac:dyDescent="0.3">
      <c r="A167" s="63" t="s">
        <v>319</v>
      </c>
      <c r="B167" s="7">
        <v>38</v>
      </c>
      <c r="C167" s="7">
        <v>20000</v>
      </c>
      <c r="D167" s="8">
        <f t="shared" si="2"/>
        <v>760000</v>
      </c>
    </row>
    <row r="168" spans="1:4" ht="18" hidden="1" x14ac:dyDescent="0.3">
      <c r="A168" s="63" t="s">
        <v>166</v>
      </c>
      <c r="B168" s="7"/>
      <c r="C168" s="7"/>
      <c r="D168" s="8">
        <f t="shared" si="2"/>
        <v>0</v>
      </c>
    </row>
    <row r="169" spans="1:4" ht="18" hidden="1" x14ac:dyDescent="0.3">
      <c r="A169" s="63" t="s">
        <v>167</v>
      </c>
      <c r="B169" s="7"/>
      <c r="C169" s="7"/>
      <c r="D169" s="8">
        <f t="shared" si="2"/>
        <v>0</v>
      </c>
    </row>
    <row r="170" spans="1:4" ht="18" hidden="1" x14ac:dyDescent="0.3">
      <c r="A170" s="74" t="s">
        <v>168</v>
      </c>
      <c r="B170" s="7"/>
      <c r="C170" s="7"/>
      <c r="D170" s="8">
        <f t="shared" si="2"/>
        <v>0</v>
      </c>
    </row>
    <row r="171" spans="1:4" ht="18" hidden="1" x14ac:dyDescent="0.3">
      <c r="A171" s="63" t="s">
        <v>169</v>
      </c>
      <c r="B171" s="7"/>
      <c r="C171" s="7"/>
      <c r="D171" s="8">
        <f t="shared" si="2"/>
        <v>0</v>
      </c>
    </row>
    <row r="172" spans="1:4" ht="18" hidden="1" x14ac:dyDescent="0.3">
      <c r="A172" s="13" t="s">
        <v>172</v>
      </c>
      <c r="B172" s="7"/>
      <c r="C172" s="7"/>
      <c r="D172" s="8">
        <f t="shared" si="2"/>
        <v>0</v>
      </c>
    </row>
    <row r="173" spans="1:4" ht="18" hidden="1" x14ac:dyDescent="0.3">
      <c r="A173" s="13" t="s">
        <v>173</v>
      </c>
      <c r="B173" s="7"/>
      <c r="C173" s="7"/>
      <c r="D173" s="8">
        <f t="shared" si="2"/>
        <v>0</v>
      </c>
    </row>
    <row r="174" spans="1:4" ht="18" hidden="1" x14ac:dyDescent="0.3">
      <c r="A174" s="61" t="s">
        <v>174</v>
      </c>
      <c r="B174" s="7"/>
      <c r="C174" s="7"/>
      <c r="D174" s="8">
        <f t="shared" si="2"/>
        <v>0</v>
      </c>
    </row>
    <row r="175" spans="1:4" ht="18" hidden="1" x14ac:dyDescent="0.3">
      <c r="A175" s="60" t="s">
        <v>175</v>
      </c>
      <c r="B175" s="7"/>
      <c r="C175" s="7"/>
      <c r="D175" s="8">
        <f t="shared" si="2"/>
        <v>0</v>
      </c>
    </row>
    <row r="176" spans="1:4" ht="18" x14ac:dyDescent="0.3">
      <c r="A176" s="60" t="s">
        <v>176</v>
      </c>
      <c r="B176" s="7">
        <f>340+150+20</f>
        <v>510</v>
      </c>
      <c r="C176" s="7">
        <v>28000</v>
      </c>
      <c r="D176" s="8">
        <f t="shared" si="2"/>
        <v>14280000</v>
      </c>
    </row>
    <row r="177" spans="1:4" ht="18" hidden="1" x14ac:dyDescent="0.3">
      <c r="A177" s="63" t="s">
        <v>181</v>
      </c>
      <c r="B177" s="7"/>
      <c r="C177" s="7"/>
      <c r="D177" s="8">
        <f t="shared" si="2"/>
        <v>0</v>
      </c>
    </row>
    <row r="178" spans="1:4" ht="18" x14ac:dyDescent="0.3">
      <c r="A178" s="63" t="s">
        <v>182</v>
      </c>
      <c r="B178" s="7">
        <v>10</v>
      </c>
      <c r="C178" s="7">
        <v>17000</v>
      </c>
      <c r="D178" s="8">
        <f t="shared" si="2"/>
        <v>170000</v>
      </c>
    </row>
    <row r="179" spans="1:4" ht="18" hidden="1" x14ac:dyDescent="0.3">
      <c r="A179" s="63" t="s">
        <v>183</v>
      </c>
      <c r="B179" s="7"/>
      <c r="C179" s="7"/>
      <c r="D179" s="8">
        <f t="shared" si="2"/>
        <v>0</v>
      </c>
    </row>
    <row r="180" spans="1:4" ht="18" hidden="1" x14ac:dyDescent="0.3">
      <c r="A180" s="63" t="s">
        <v>184</v>
      </c>
      <c r="B180" s="7"/>
      <c r="C180" s="7"/>
      <c r="D180" s="8">
        <f t="shared" si="2"/>
        <v>0</v>
      </c>
    </row>
    <row r="181" spans="1:4" ht="18" hidden="1" x14ac:dyDescent="0.3">
      <c r="A181" s="63" t="s">
        <v>185</v>
      </c>
      <c r="B181" s="7"/>
      <c r="C181" s="7"/>
      <c r="D181" s="8">
        <f t="shared" si="2"/>
        <v>0</v>
      </c>
    </row>
    <row r="182" spans="1:4" ht="18" hidden="1" x14ac:dyDescent="0.3">
      <c r="A182" s="63" t="s">
        <v>177</v>
      </c>
      <c r="B182" s="7"/>
      <c r="C182" s="7"/>
      <c r="D182" s="8">
        <f t="shared" si="2"/>
        <v>0</v>
      </c>
    </row>
    <row r="183" spans="1:4" ht="18" x14ac:dyDescent="0.3">
      <c r="A183" s="60" t="s">
        <v>178</v>
      </c>
      <c r="B183" s="7">
        <v>100</v>
      </c>
      <c r="C183" s="7">
        <v>32000</v>
      </c>
      <c r="D183" s="8">
        <f t="shared" si="2"/>
        <v>3200000</v>
      </c>
    </row>
    <row r="184" spans="1:4" ht="18" x14ac:dyDescent="0.3">
      <c r="A184" s="60" t="s">
        <v>179</v>
      </c>
      <c r="B184" s="7">
        <v>10</v>
      </c>
      <c r="C184" s="7">
        <v>25000</v>
      </c>
      <c r="D184" s="8">
        <f t="shared" si="2"/>
        <v>250000</v>
      </c>
    </row>
    <row r="185" spans="1:4" ht="18" hidden="1" x14ac:dyDescent="0.3">
      <c r="A185" s="60" t="s">
        <v>180</v>
      </c>
      <c r="B185" s="7"/>
      <c r="C185" s="7"/>
      <c r="D185" s="8">
        <f t="shared" si="2"/>
        <v>0</v>
      </c>
    </row>
    <row r="186" spans="1:4" ht="18" hidden="1" x14ac:dyDescent="0.3">
      <c r="A186" s="63" t="s">
        <v>186</v>
      </c>
      <c r="B186" s="7"/>
      <c r="C186" s="7"/>
      <c r="D186" s="8">
        <f t="shared" si="2"/>
        <v>0</v>
      </c>
    </row>
    <row r="187" spans="1:4" ht="18" hidden="1" x14ac:dyDescent="0.3">
      <c r="A187" s="63" t="s">
        <v>187</v>
      </c>
      <c r="B187" s="7"/>
      <c r="C187" s="7"/>
      <c r="D187" s="8">
        <f t="shared" si="2"/>
        <v>0</v>
      </c>
    </row>
    <row r="188" spans="1:4" ht="18" hidden="1" x14ac:dyDescent="0.3">
      <c r="A188" s="63" t="s">
        <v>188</v>
      </c>
      <c r="B188" s="7"/>
      <c r="C188" s="7"/>
      <c r="D188" s="8">
        <f t="shared" si="2"/>
        <v>0</v>
      </c>
    </row>
    <row r="189" spans="1:4" ht="18" hidden="1" x14ac:dyDescent="0.3">
      <c r="A189" s="64" t="s">
        <v>189</v>
      </c>
      <c r="B189" s="7"/>
      <c r="C189" s="7"/>
      <c r="D189" s="8">
        <f t="shared" si="2"/>
        <v>0</v>
      </c>
    </row>
    <row r="190" spans="1:4" ht="18" hidden="1" x14ac:dyDescent="0.3">
      <c r="A190" s="70" t="s">
        <v>190</v>
      </c>
      <c r="B190" s="7"/>
      <c r="C190" s="7"/>
      <c r="D190" s="8">
        <f t="shared" si="2"/>
        <v>0</v>
      </c>
    </row>
    <row r="191" spans="1:4" ht="18" hidden="1" x14ac:dyDescent="0.3">
      <c r="A191" s="63" t="s">
        <v>191</v>
      </c>
      <c r="B191" s="7"/>
      <c r="C191" s="7"/>
      <c r="D191" s="8">
        <f t="shared" si="2"/>
        <v>0</v>
      </c>
    </row>
    <row r="192" spans="1:4" ht="18" hidden="1" x14ac:dyDescent="0.3">
      <c r="A192" s="70" t="s">
        <v>308</v>
      </c>
      <c r="B192" s="7"/>
      <c r="C192" s="7"/>
      <c r="D192" s="8">
        <f t="shared" si="2"/>
        <v>0</v>
      </c>
    </row>
    <row r="193" spans="1:4" ht="18" x14ac:dyDescent="0.3">
      <c r="A193" s="63" t="s">
        <v>194</v>
      </c>
      <c r="B193" s="7">
        <v>108</v>
      </c>
      <c r="C193" s="7">
        <v>8000</v>
      </c>
      <c r="D193" s="8">
        <f t="shared" si="2"/>
        <v>864000</v>
      </c>
    </row>
    <row r="194" spans="1:4" ht="18" hidden="1" x14ac:dyDescent="0.3">
      <c r="A194" s="63" t="s">
        <v>195</v>
      </c>
      <c r="B194" s="7"/>
      <c r="C194" s="7"/>
      <c r="D194" s="8">
        <f t="shared" si="2"/>
        <v>0</v>
      </c>
    </row>
    <row r="195" spans="1:4" ht="18" x14ac:dyDescent="0.3">
      <c r="A195" s="63" t="s">
        <v>192</v>
      </c>
      <c r="B195" s="7">
        <f>122+25</f>
        <v>147</v>
      </c>
      <c r="C195" s="7">
        <v>8000</v>
      </c>
      <c r="D195" s="8">
        <f t="shared" si="2"/>
        <v>1176000</v>
      </c>
    </row>
    <row r="196" spans="1:4" ht="18" hidden="1" x14ac:dyDescent="0.3">
      <c r="A196" s="60" t="s">
        <v>193</v>
      </c>
      <c r="B196" s="7"/>
      <c r="C196" s="7"/>
      <c r="D196" s="8">
        <f t="shared" ref="D196:D259" si="3">B196*C196</f>
        <v>0</v>
      </c>
    </row>
    <row r="197" spans="1:4" ht="18" hidden="1" x14ac:dyDescent="0.3">
      <c r="A197" s="63" t="s">
        <v>196</v>
      </c>
      <c r="B197" s="7"/>
      <c r="C197" s="7"/>
      <c r="D197" s="8">
        <f t="shared" si="3"/>
        <v>0</v>
      </c>
    </row>
    <row r="198" spans="1:4" ht="18" hidden="1" x14ac:dyDescent="0.3">
      <c r="A198" s="62" t="s">
        <v>197</v>
      </c>
      <c r="B198" s="7"/>
      <c r="C198" s="7"/>
      <c r="D198" s="8">
        <f t="shared" si="3"/>
        <v>0</v>
      </c>
    </row>
    <row r="199" spans="1:4" ht="18" hidden="1" x14ac:dyDescent="0.3">
      <c r="A199" s="78" t="s">
        <v>198</v>
      </c>
      <c r="B199" s="7"/>
      <c r="C199" s="7"/>
      <c r="D199" s="8">
        <f t="shared" si="3"/>
        <v>0</v>
      </c>
    </row>
    <row r="200" spans="1:4" ht="18" hidden="1" x14ac:dyDescent="0.3">
      <c r="A200" s="63" t="s">
        <v>207</v>
      </c>
      <c r="B200" s="7"/>
      <c r="C200" s="7"/>
      <c r="D200" s="8">
        <f t="shared" si="3"/>
        <v>0</v>
      </c>
    </row>
    <row r="201" spans="1:4" ht="18" hidden="1" x14ac:dyDescent="0.3">
      <c r="A201" s="60" t="s">
        <v>208</v>
      </c>
      <c r="B201" s="7"/>
      <c r="C201" s="7"/>
      <c r="D201" s="8">
        <f t="shared" si="3"/>
        <v>0</v>
      </c>
    </row>
    <row r="202" spans="1:4" ht="18" x14ac:dyDescent="0.3">
      <c r="A202" s="63" t="s">
        <v>212</v>
      </c>
      <c r="B202" s="7">
        <v>4</v>
      </c>
      <c r="C202" s="7">
        <v>25000</v>
      </c>
      <c r="D202" s="8">
        <f t="shared" si="3"/>
        <v>100000</v>
      </c>
    </row>
    <row r="203" spans="1:4" ht="18" hidden="1" x14ac:dyDescent="0.3">
      <c r="A203" s="61" t="s">
        <v>213</v>
      </c>
      <c r="B203" s="7"/>
      <c r="C203" s="7"/>
      <c r="D203" s="8">
        <f t="shared" si="3"/>
        <v>0</v>
      </c>
    </row>
    <row r="204" spans="1:4" ht="18" hidden="1" x14ac:dyDescent="0.3">
      <c r="A204" s="63" t="s">
        <v>216</v>
      </c>
      <c r="B204" s="7"/>
      <c r="C204" s="7"/>
      <c r="D204" s="8">
        <f t="shared" si="3"/>
        <v>0</v>
      </c>
    </row>
    <row r="205" spans="1:4" ht="18" hidden="1" x14ac:dyDescent="0.3">
      <c r="A205" s="63" t="s">
        <v>218</v>
      </c>
      <c r="B205" s="7"/>
      <c r="C205" s="7"/>
      <c r="D205" s="8">
        <f t="shared" si="3"/>
        <v>0</v>
      </c>
    </row>
    <row r="206" spans="1:4" ht="18" hidden="1" x14ac:dyDescent="0.3">
      <c r="A206" s="63" t="s">
        <v>219</v>
      </c>
      <c r="B206" s="7"/>
      <c r="C206" s="7"/>
      <c r="D206" s="8">
        <f t="shared" si="3"/>
        <v>0</v>
      </c>
    </row>
    <row r="207" spans="1:4" ht="18" hidden="1" x14ac:dyDescent="0.3">
      <c r="A207" s="60" t="s">
        <v>199</v>
      </c>
      <c r="B207" s="7"/>
      <c r="C207" s="7"/>
      <c r="D207" s="8">
        <f t="shared" si="3"/>
        <v>0</v>
      </c>
    </row>
    <row r="208" spans="1:4" ht="18" hidden="1" x14ac:dyDescent="0.3">
      <c r="A208" s="63" t="s">
        <v>214</v>
      </c>
      <c r="B208" s="7"/>
      <c r="C208" s="7"/>
      <c r="D208" s="8">
        <f t="shared" si="3"/>
        <v>0</v>
      </c>
    </row>
    <row r="209" spans="1:4" ht="18" hidden="1" x14ac:dyDescent="0.3">
      <c r="A209" s="61" t="s">
        <v>215</v>
      </c>
      <c r="B209" s="7"/>
      <c r="C209" s="7"/>
      <c r="D209" s="8">
        <f t="shared" si="3"/>
        <v>0</v>
      </c>
    </row>
    <row r="210" spans="1:4" ht="18" hidden="1" x14ac:dyDescent="0.3">
      <c r="A210" s="61" t="s">
        <v>200</v>
      </c>
      <c r="B210" s="7"/>
      <c r="C210" s="7"/>
      <c r="D210" s="8">
        <f t="shared" si="3"/>
        <v>0</v>
      </c>
    </row>
    <row r="211" spans="1:4" ht="18" hidden="1" x14ac:dyDescent="0.3">
      <c r="A211" s="61" t="s">
        <v>201</v>
      </c>
      <c r="B211" s="7"/>
      <c r="C211" s="7"/>
      <c r="D211" s="8">
        <f t="shared" si="3"/>
        <v>0</v>
      </c>
    </row>
    <row r="212" spans="1:4" ht="18" hidden="1" x14ac:dyDescent="0.3">
      <c r="A212" s="61" t="s">
        <v>202</v>
      </c>
      <c r="B212" s="7"/>
      <c r="C212" s="7"/>
      <c r="D212" s="8">
        <f t="shared" si="3"/>
        <v>0</v>
      </c>
    </row>
    <row r="213" spans="1:4" ht="18" hidden="1" x14ac:dyDescent="0.3">
      <c r="A213" s="61" t="s">
        <v>203</v>
      </c>
      <c r="B213" s="7"/>
      <c r="C213" s="7"/>
      <c r="D213" s="8">
        <f t="shared" si="3"/>
        <v>0</v>
      </c>
    </row>
    <row r="214" spans="1:4" ht="18" hidden="1" x14ac:dyDescent="0.3">
      <c r="A214" s="63" t="s">
        <v>204</v>
      </c>
      <c r="B214" s="7"/>
      <c r="C214" s="7"/>
      <c r="D214" s="8">
        <f t="shared" si="3"/>
        <v>0</v>
      </c>
    </row>
    <row r="215" spans="1:4" ht="18" hidden="1" x14ac:dyDescent="0.3">
      <c r="A215" s="63" t="s">
        <v>205</v>
      </c>
      <c r="B215" s="7"/>
      <c r="C215" s="7"/>
      <c r="D215" s="8">
        <f t="shared" si="3"/>
        <v>0</v>
      </c>
    </row>
    <row r="216" spans="1:4" ht="18" hidden="1" x14ac:dyDescent="0.3">
      <c r="A216" s="63" t="s">
        <v>206</v>
      </c>
      <c r="B216" s="7"/>
      <c r="C216" s="7"/>
      <c r="D216" s="8">
        <f t="shared" si="3"/>
        <v>0</v>
      </c>
    </row>
    <row r="217" spans="1:4" ht="18" hidden="1" x14ac:dyDescent="0.3">
      <c r="A217" s="60" t="s">
        <v>209</v>
      </c>
      <c r="B217" s="7"/>
      <c r="C217" s="7"/>
      <c r="D217" s="8">
        <f t="shared" si="3"/>
        <v>0</v>
      </c>
    </row>
    <row r="218" spans="1:4" ht="18" hidden="1" x14ac:dyDescent="0.3">
      <c r="A218" s="63" t="s">
        <v>210</v>
      </c>
      <c r="B218" s="7"/>
      <c r="C218" s="7"/>
      <c r="D218" s="8">
        <f t="shared" si="3"/>
        <v>0</v>
      </c>
    </row>
    <row r="219" spans="1:4" ht="18" hidden="1" x14ac:dyDescent="0.3">
      <c r="A219" s="63" t="s">
        <v>211</v>
      </c>
      <c r="B219" s="7"/>
      <c r="C219" s="7"/>
      <c r="D219" s="8">
        <f t="shared" si="3"/>
        <v>0</v>
      </c>
    </row>
    <row r="220" spans="1:4" ht="18" hidden="1" x14ac:dyDescent="0.3">
      <c r="A220" s="63" t="s">
        <v>217</v>
      </c>
      <c r="B220" s="7"/>
      <c r="C220" s="7"/>
      <c r="D220" s="8">
        <f t="shared" si="3"/>
        <v>0</v>
      </c>
    </row>
    <row r="221" spans="1:4" ht="18" hidden="1" x14ac:dyDescent="0.3">
      <c r="A221" s="65" t="s">
        <v>220</v>
      </c>
      <c r="B221" s="7"/>
      <c r="C221" s="7"/>
      <c r="D221" s="8">
        <f t="shared" si="3"/>
        <v>0</v>
      </c>
    </row>
    <row r="222" spans="1:4" ht="18" hidden="1" x14ac:dyDescent="0.3">
      <c r="A222" s="60" t="s">
        <v>221</v>
      </c>
      <c r="B222" s="7"/>
      <c r="C222" s="7"/>
      <c r="D222" s="8">
        <f t="shared" si="3"/>
        <v>0</v>
      </c>
    </row>
    <row r="223" spans="1:4" ht="18" hidden="1" x14ac:dyDescent="0.3">
      <c r="A223" s="61" t="s">
        <v>226</v>
      </c>
      <c r="B223" s="12"/>
      <c r="C223" s="12"/>
      <c r="D223" s="8">
        <f t="shared" si="3"/>
        <v>0</v>
      </c>
    </row>
    <row r="224" spans="1:4" ht="18" hidden="1" x14ac:dyDescent="0.3">
      <c r="A224" s="63" t="s">
        <v>223</v>
      </c>
      <c r="B224" s="7"/>
      <c r="C224" s="7"/>
      <c r="D224" s="8">
        <f t="shared" si="3"/>
        <v>0</v>
      </c>
    </row>
    <row r="225" spans="1:4" ht="18" hidden="1" x14ac:dyDescent="0.3">
      <c r="A225" s="63" t="s">
        <v>222</v>
      </c>
      <c r="B225" s="7"/>
      <c r="C225" s="7"/>
      <c r="D225" s="8">
        <f t="shared" si="3"/>
        <v>0</v>
      </c>
    </row>
    <row r="226" spans="1:4" ht="18" hidden="1" x14ac:dyDescent="0.3">
      <c r="A226" s="61" t="s">
        <v>230</v>
      </c>
      <c r="B226" s="7"/>
      <c r="C226" s="7"/>
      <c r="D226" s="8">
        <f t="shared" si="3"/>
        <v>0</v>
      </c>
    </row>
    <row r="227" spans="1:4" ht="18" hidden="1" x14ac:dyDescent="0.3">
      <c r="A227" s="63" t="s">
        <v>231</v>
      </c>
      <c r="B227" s="7"/>
      <c r="C227" s="7"/>
      <c r="D227" s="8">
        <f t="shared" si="3"/>
        <v>0</v>
      </c>
    </row>
    <row r="228" spans="1:4" ht="18" hidden="1" x14ac:dyDescent="0.3">
      <c r="A228" s="61" t="s">
        <v>224</v>
      </c>
      <c r="B228" s="12"/>
      <c r="C228" s="12"/>
      <c r="D228" s="8">
        <f t="shared" si="3"/>
        <v>0</v>
      </c>
    </row>
    <row r="229" spans="1:4" ht="18" hidden="1" x14ac:dyDescent="0.3">
      <c r="A229" s="61" t="s">
        <v>225</v>
      </c>
      <c r="B229" s="7"/>
      <c r="C229" s="7"/>
      <c r="D229" s="8">
        <f t="shared" si="3"/>
        <v>0</v>
      </c>
    </row>
    <row r="230" spans="1:4" ht="18" hidden="1" x14ac:dyDescent="0.3">
      <c r="A230" s="65" t="s">
        <v>227</v>
      </c>
      <c r="B230" s="7"/>
      <c r="C230" s="7"/>
      <c r="D230" s="8">
        <f t="shared" si="3"/>
        <v>0</v>
      </c>
    </row>
    <row r="231" spans="1:4" ht="18" hidden="1" x14ac:dyDescent="0.3">
      <c r="A231" s="64" t="s">
        <v>228</v>
      </c>
      <c r="B231" s="7"/>
      <c r="C231" s="7"/>
      <c r="D231" s="8">
        <f t="shared" si="3"/>
        <v>0</v>
      </c>
    </row>
    <row r="232" spans="1:4" ht="18" hidden="1" x14ac:dyDescent="0.3">
      <c r="A232" s="64" t="s">
        <v>229</v>
      </c>
      <c r="B232" s="7"/>
      <c r="C232" s="7"/>
      <c r="D232" s="8">
        <f t="shared" si="3"/>
        <v>0</v>
      </c>
    </row>
    <row r="233" spans="1:4" ht="18" hidden="1" x14ac:dyDescent="0.3">
      <c r="A233" s="63" t="s">
        <v>232</v>
      </c>
      <c r="B233" s="7"/>
      <c r="C233" s="7"/>
      <c r="D233" s="8">
        <f t="shared" si="3"/>
        <v>0</v>
      </c>
    </row>
    <row r="234" spans="1:4" ht="18" hidden="1" x14ac:dyDescent="0.3">
      <c r="A234" s="65" t="s">
        <v>233</v>
      </c>
      <c r="B234" s="7"/>
      <c r="C234" s="7"/>
      <c r="D234" s="8">
        <f t="shared" si="3"/>
        <v>0</v>
      </c>
    </row>
    <row r="235" spans="1:4" ht="18" hidden="1" x14ac:dyDescent="0.3">
      <c r="A235" s="63" t="s">
        <v>236</v>
      </c>
      <c r="B235" s="7"/>
      <c r="C235" s="7"/>
      <c r="D235" s="8">
        <f t="shared" si="3"/>
        <v>0</v>
      </c>
    </row>
    <row r="236" spans="1:4" ht="18" hidden="1" x14ac:dyDescent="0.3">
      <c r="A236" s="64" t="s">
        <v>237</v>
      </c>
      <c r="B236" s="7"/>
      <c r="C236" s="7"/>
      <c r="D236" s="8">
        <f t="shared" si="3"/>
        <v>0</v>
      </c>
    </row>
    <row r="237" spans="1:4" ht="18" hidden="1" x14ac:dyDescent="0.3">
      <c r="A237" s="63" t="s">
        <v>238</v>
      </c>
      <c r="B237" s="7"/>
      <c r="C237" s="7"/>
      <c r="D237" s="8">
        <f t="shared" si="3"/>
        <v>0</v>
      </c>
    </row>
    <row r="238" spans="1:4" ht="18" hidden="1" x14ac:dyDescent="0.3">
      <c r="A238" s="63" t="s">
        <v>239</v>
      </c>
      <c r="B238" s="7"/>
      <c r="C238" s="7"/>
      <c r="D238" s="8">
        <f t="shared" si="3"/>
        <v>0</v>
      </c>
    </row>
    <row r="239" spans="1:4" ht="18" hidden="1" x14ac:dyDescent="0.3">
      <c r="A239" s="63" t="s">
        <v>240</v>
      </c>
      <c r="B239" s="7"/>
      <c r="C239" s="7"/>
      <c r="D239" s="8">
        <f t="shared" si="3"/>
        <v>0</v>
      </c>
    </row>
    <row r="240" spans="1:4" ht="18" hidden="1" x14ac:dyDescent="0.3">
      <c r="A240" s="63" t="s">
        <v>241</v>
      </c>
      <c r="B240" s="7"/>
      <c r="C240" s="7"/>
      <c r="D240" s="8">
        <f t="shared" si="3"/>
        <v>0</v>
      </c>
    </row>
    <row r="241" spans="1:4" ht="18" hidden="1" x14ac:dyDescent="0.3">
      <c r="A241" s="64" t="s">
        <v>242</v>
      </c>
      <c r="B241" s="7"/>
      <c r="C241" s="7"/>
      <c r="D241" s="8">
        <f t="shared" si="3"/>
        <v>0</v>
      </c>
    </row>
    <row r="242" spans="1:4" ht="18" hidden="1" x14ac:dyDescent="0.3">
      <c r="A242" s="63" t="s">
        <v>243</v>
      </c>
      <c r="B242" s="7"/>
      <c r="C242" s="7"/>
      <c r="D242" s="8">
        <f t="shared" si="3"/>
        <v>0</v>
      </c>
    </row>
    <row r="243" spans="1:4" ht="18" hidden="1" x14ac:dyDescent="0.3">
      <c r="A243" s="63" t="s">
        <v>244</v>
      </c>
      <c r="B243" s="7"/>
      <c r="C243" s="7"/>
      <c r="D243" s="8">
        <f t="shared" si="3"/>
        <v>0</v>
      </c>
    </row>
    <row r="244" spans="1:4" ht="18" hidden="1" x14ac:dyDescent="0.3">
      <c r="A244" s="64" t="s">
        <v>245</v>
      </c>
      <c r="B244" s="7"/>
      <c r="C244" s="7"/>
      <c r="D244" s="8">
        <f t="shared" si="3"/>
        <v>0</v>
      </c>
    </row>
    <row r="245" spans="1:4" ht="18" hidden="1" x14ac:dyDescent="0.3">
      <c r="A245" s="64" t="s">
        <v>246</v>
      </c>
      <c r="B245" s="7"/>
      <c r="C245" s="7"/>
      <c r="D245" s="8">
        <f t="shared" si="3"/>
        <v>0</v>
      </c>
    </row>
    <row r="246" spans="1:4" ht="18" hidden="1" x14ac:dyDescent="0.3">
      <c r="A246" s="79" t="s">
        <v>247</v>
      </c>
      <c r="B246" s="7"/>
      <c r="C246" s="7"/>
      <c r="D246" s="8">
        <f t="shared" si="3"/>
        <v>0</v>
      </c>
    </row>
    <row r="247" spans="1:4" ht="18" hidden="1" x14ac:dyDescent="0.3">
      <c r="A247" s="79" t="s">
        <v>248</v>
      </c>
      <c r="B247" s="7"/>
      <c r="C247" s="7"/>
      <c r="D247" s="8">
        <f t="shared" si="3"/>
        <v>0</v>
      </c>
    </row>
    <row r="248" spans="1:4" ht="18" hidden="1" x14ac:dyDescent="0.3">
      <c r="A248" s="64" t="s">
        <v>249</v>
      </c>
      <c r="B248" s="7"/>
      <c r="C248" s="7"/>
      <c r="D248" s="8">
        <f t="shared" si="3"/>
        <v>0</v>
      </c>
    </row>
    <row r="249" spans="1:4" ht="18" hidden="1" x14ac:dyDescent="0.3">
      <c r="A249" s="79" t="s">
        <v>250</v>
      </c>
      <c r="B249" s="7"/>
      <c r="C249" s="7"/>
      <c r="D249" s="8">
        <f t="shared" si="3"/>
        <v>0</v>
      </c>
    </row>
    <row r="250" spans="1:4" ht="18" hidden="1" x14ac:dyDescent="0.3">
      <c r="A250" s="79" t="s">
        <v>251</v>
      </c>
      <c r="B250" s="7"/>
      <c r="C250" s="7"/>
      <c r="D250" s="8">
        <f t="shared" si="3"/>
        <v>0</v>
      </c>
    </row>
    <row r="251" spans="1:4" ht="18" hidden="1" x14ac:dyDescent="0.3">
      <c r="A251" s="63" t="s">
        <v>253</v>
      </c>
      <c r="B251" s="7"/>
      <c r="C251" s="7"/>
      <c r="D251" s="8">
        <f t="shared" si="3"/>
        <v>0</v>
      </c>
    </row>
    <row r="252" spans="1:4" ht="18" hidden="1" x14ac:dyDescent="0.3">
      <c r="A252" s="63" t="s">
        <v>254</v>
      </c>
      <c r="B252" s="7"/>
      <c r="C252" s="7"/>
      <c r="D252" s="8">
        <f t="shared" si="3"/>
        <v>0</v>
      </c>
    </row>
    <row r="253" spans="1:4" ht="18" hidden="1" x14ac:dyDescent="0.3">
      <c r="A253" s="63" t="s">
        <v>255</v>
      </c>
      <c r="B253" s="7"/>
      <c r="C253" s="7"/>
      <c r="D253" s="8">
        <f t="shared" si="3"/>
        <v>0</v>
      </c>
    </row>
    <row r="254" spans="1:4" ht="18" hidden="1" x14ac:dyDescent="0.3">
      <c r="A254" s="63" t="s">
        <v>256</v>
      </c>
      <c r="B254" s="7"/>
      <c r="C254" s="7"/>
      <c r="D254" s="8">
        <f t="shared" si="3"/>
        <v>0</v>
      </c>
    </row>
    <row r="255" spans="1:4" ht="18" hidden="1" x14ac:dyDescent="0.3">
      <c r="A255" s="63" t="s">
        <v>258</v>
      </c>
      <c r="B255" s="7"/>
      <c r="C255" s="7"/>
      <c r="D255" s="8">
        <f t="shared" si="3"/>
        <v>0</v>
      </c>
    </row>
    <row r="256" spans="1:4" ht="18" hidden="1" x14ac:dyDescent="0.3">
      <c r="A256" s="60" t="s">
        <v>234</v>
      </c>
      <c r="B256" s="7"/>
      <c r="C256" s="7"/>
      <c r="D256" s="8">
        <f t="shared" si="3"/>
        <v>0</v>
      </c>
    </row>
    <row r="257" spans="1:4" ht="18" hidden="1" x14ac:dyDescent="0.3">
      <c r="A257" s="63" t="s">
        <v>235</v>
      </c>
      <c r="B257" s="7"/>
      <c r="C257" s="7"/>
      <c r="D257" s="8">
        <f t="shared" si="3"/>
        <v>0</v>
      </c>
    </row>
    <row r="258" spans="1:4" ht="18" hidden="1" x14ac:dyDescent="0.3">
      <c r="A258" s="79" t="s">
        <v>252</v>
      </c>
      <c r="B258" s="7"/>
      <c r="C258" s="7"/>
      <c r="D258" s="8">
        <f t="shared" si="3"/>
        <v>0</v>
      </c>
    </row>
    <row r="259" spans="1:4" ht="18" hidden="1" x14ac:dyDescent="0.3">
      <c r="A259" s="63" t="s">
        <v>257</v>
      </c>
      <c r="B259" s="7"/>
      <c r="C259" s="7"/>
      <c r="D259" s="8">
        <f t="shared" si="3"/>
        <v>0</v>
      </c>
    </row>
    <row r="260" spans="1:4" ht="18" hidden="1" x14ac:dyDescent="0.3">
      <c r="A260" s="63" t="s">
        <v>259</v>
      </c>
      <c r="B260" s="7"/>
      <c r="C260" s="7"/>
      <c r="D260" s="8">
        <f t="shared" ref="D260:D293" si="4">B260*C260</f>
        <v>0</v>
      </c>
    </row>
    <row r="261" spans="1:4" ht="18" hidden="1" x14ac:dyDescent="0.3">
      <c r="A261" s="65" t="s">
        <v>260</v>
      </c>
      <c r="B261" s="7"/>
      <c r="C261" s="7"/>
      <c r="D261" s="8">
        <f t="shared" si="4"/>
        <v>0</v>
      </c>
    </row>
    <row r="262" spans="1:4" ht="18" hidden="1" x14ac:dyDescent="0.3">
      <c r="A262" s="63" t="s">
        <v>261</v>
      </c>
      <c r="B262" s="7"/>
      <c r="C262" s="7"/>
      <c r="D262" s="8">
        <f t="shared" si="4"/>
        <v>0</v>
      </c>
    </row>
    <row r="263" spans="1:4" ht="18" x14ac:dyDescent="0.3">
      <c r="A263" s="63" t="s">
        <v>262</v>
      </c>
      <c r="B263" s="7">
        <v>7</v>
      </c>
      <c r="C263" s="7">
        <v>11000</v>
      </c>
      <c r="D263" s="8">
        <f t="shared" si="4"/>
        <v>77000</v>
      </c>
    </row>
    <row r="264" spans="1:4" ht="18" x14ac:dyDescent="0.3">
      <c r="A264" s="63" t="s">
        <v>263</v>
      </c>
      <c r="B264" s="7">
        <f>40+20</f>
        <v>60</v>
      </c>
      <c r="C264" s="7">
        <v>8000</v>
      </c>
      <c r="D264" s="8">
        <f t="shared" si="4"/>
        <v>480000</v>
      </c>
    </row>
    <row r="265" spans="1:4" ht="18" hidden="1" x14ac:dyDescent="0.3">
      <c r="A265" s="63" t="s">
        <v>264</v>
      </c>
      <c r="B265" s="7"/>
      <c r="C265" s="7"/>
      <c r="D265" s="8">
        <f t="shared" si="4"/>
        <v>0</v>
      </c>
    </row>
    <row r="266" spans="1:4" ht="18" hidden="1" x14ac:dyDescent="0.3">
      <c r="A266" s="63" t="s">
        <v>265</v>
      </c>
      <c r="B266" s="7"/>
      <c r="C266" s="7"/>
      <c r="D266" s="8">
        <f t="shared" si="4"/>
        <v>0</v>
      </c>
    </row>
    <row r="267" spans="1:4" ht="18" hidden="1" x14ac:dyDescent="0.3">
      <c r="A267" s="63" t="s">
        <v>269</v>
      </c>
      <c r="B267" s="7"/>
      <c r="C267" s="7"/>
      <c r="D267" s="8">
        <f t="shared" si="4"/>
        <v>0</v>
      </c>
    </row>
    <row r="268" spans="1:4" ht="18" hidden="1" x14ac:dyDescent="0.3">
      <c r="A268" s="63" t="s">
        <v>267</v>
      </c>
      <c r="B268" s="7"/>
      <c r="C268" s="7"/>
      <c r="D268" s="8">
        <f t="shared" si="4"/>
        <v>0</v>
      </c>
    </row>
    <row r="269" spans="1:4" ht="18" hidden="1" x14ac:dyDescent="0.3">
      <c r="A269" s="74" t="s">
        <v>268</v>
      </c>
      <c r="B269" s="7"/>
      <c r="C269" s="7"/>
      <c r="D269" s="8">
        <f t="shared" si="4"/>
        <v>0</v>
      </c>
    </row>
    <row r="270" spans="1:4" ht="18" hidden="1" x14ac:dyDescent="0.3">
      <c r="A270" s="63" t="s">
        <v>266</v>
      </c>
      <c r="B270" s="7"/>
      <c r="C270" s="7"/>
      <c r="D270" s="8">
        <f t="shared" si="4"/>
        <v>0</v>
      </c>
    </row>
    <row r="271" spans="1:4" ht="18" hidden="1" x14ac:dyDescent="0.3">
      <c r="A271" s="63" t="s">
        <v>270</v>
      </c>
      <c r="B271" s="7"/>
      <c r="C271" s="7"/>
      <c r="D271" s="8">
        <f t="shared" si="4"/>
        <v>0</v>
      </c>
    </row>
    <row r="272" spans="1:4" ht="18" hidden="1" x14ac:dyDescent="0.3">
      <c r="A272" s="63" t="s">
        <v>273</v>
      </c>
      <c r="B272" s="7"/>
      <c r="C272" s="7"/>
      <c r="D272" s="8">
        <f t="shared" si="4"/>
        <v>0</v>
      </c>
    </row>
    <row r="273" spans="1:4" ht="18" hidden="1" x14ac:dyDescent="0.3">
      <c r="A273" s="30" t="s">
        <v>271</v>
      </c>
      <c r="B273" s="7"/>
      <c r="C273" s="7"/>
      <c r="D273" s="8">
        <f t="shared" si="4"/>
        <v>0</v>
      </c>
    </row>
    <row r="274" spans="1:4" ht="18" hidden="1" x14ac:dyDescent="0.3">
      <c r="A274" s="60" t="s">
        <v>272</v>
      </c>
      <c r="B274" s="12"/>
      <c r="C274" s="7"/>
      <c r="D274" s="8">
        <f t="shared" si="4"/>
        <v>0</v>
      </c>
    </row>
    <row r="275" spans="1:4" ht="18" hidden="1" x14ac:dyDescent="0.3">
      <c r="A275" s="63" t="s">
        <v>274</v>
      </c>
      <c r="B275" s="7"/>
      <c r="C275" s="7"/>
      <c r="D275" s="8">
        <f t="shared" si="4"/>
        <v>0</v>
      </c>
    </row>
    <row r="276" spans="1:4" ht="18" hidden="1" x14ac:dyDescent="0.3">
      <c r="A276" s="63" t="s">
        <v>275</v>
      </c>
      <c r="B276" s="7"/>
      <c r="C276" s="7"/>
      <c r="D276" s="8">
        <f t="shared" si="4"/>
        <v>0</v>
      </c>
    </row>
    <row r="277" spans="1:4" ht="18" hidden="1" x14ac:dyDescent="0.3">
      <c r="A277" s="65" t="s">
        <v>92</v>
      </c>
      <c r="B277" s="7"/>
      <c r="C277" s="7"/>
      <c r="D277" s="8">
        <f t="shared" si="4"/>
        <v>0</v>
      </c>
    </row>
    <row r="278" spans="1:4" ht="18" hidden="1" x14ac:dyDescent="0.3">
      <c r="A278" s="61" t="s">
        <v>278</v>
      </c>
      <c r="B278" s="7"/>
      <c r="C278" s="7"/>
      <c r="D278" s="8">
        <f t="shared" si="4"/>
        <v>0</v>
      </c>
    </row>
    <row r="279" spans="1:4" ht="18" hidden="1" x14ac:dyDescent="0.3">
      <c r="A279" s="63" t="s">
        <v>276</v>
      </c>
      <c r="B279" s="7"/>
      <c r="C279" s="7"/>
      <c r="D279" s="8">
        <f t="shared" si="4"/>
        <v>0</v>
      </c>
    </row>
    <row r="280" spans="1:4" ht="18" hidden="1" x14ac:dyDescent="0.3">
      <c r="A280" s="72" t="s">
        <v>277</v>
      </c>
      <c r="B280" s="7"/>
      <c r="C280" s="7"/>
      <c r="D280" s="8">
        <f t="shared" si="4"/>
        <v>0</v>
      </c>
    </row>
    <row r="281" spans="1:4" ht="18" hidden="1" x14ac:dyDescent="0.3">
      <c r="A281" s="63" t="s">
        <v>280</v>
      </c>
      <c r="B281" s="7"/>
      <c r="C281" s="7"/>
      <c r="D281" s="8">
        <f t="shared" si="4"/>
        <v>0</v>
      </c>
    </row>
    <row r="282" spans="1:4" ht="18" hidden="1" x14ac:dyDescent="0.3">
      <c r="A282" s="63" t="s">
        <v>281</v>
      </c>
      <c r="B282" s="7"/>
      <c r="C282" s="7"/>
      <c r="D282" s="8">
        <f t="shared" si="4"/>
        <v>0</v>
      </c>
    </row>
    <row r="283" spans="1:4" ht="18" hidden="1" x14ac:dyDescent="0.3">
      <c r="A283" s="63" t="s">
        <v>282</v>
      </c>
      <c r="B283" s="7"/>
      <c r="C283" s="7"/>
      <c r="D283" s="8">
        <f t="shared" si="4"/>
        <v>0</v>
      </c>
    </row>
    <row r="284" spans="1:4" ht="18" hidden="1" x14ac:dyDescent="0.3">
      <c r="A284" s="63" t="s">
        <v>279</v>
      </c>
      <c r="B284" s="7"/>
      <c r="C284" s="7"/>
      <c r="D284" s="8">
        <f t="shared" si="4"/>
        <v>0</v>
      </c>
    </row>
    <row r="285" spans="1:4" ht="18" hidden="1" x14ac:dyDescent="0.3">
      <c r="A285" s="61" t="s">
        <v>285</v>
      </c>
      <c r="B285" s="7"/>
      <c r="C285" s="7"/>
      <c r="D285" s="8">
        <f t="shared" si="4"/>
        <v>0</v>
      </c>
    </row>
    <row r="286" spans="1:4" ht="18" hidden="1" x14ac:dyDescent="0.3">
      <c r="A286" s="61" t="s">
        <v>286</v>
      </c>
      <c r="B286" s="7"/>
      <c r="C286" s="7"/>
      <c r="D286" s="8">
        <f t="shared" si="4"/>
        <v>0</v>
      </c>
    </row>
    <row r="287" spans="1:4" ht="18" hidden="1" x14ac:dyDescent="0.3">
      <c r="A287" s="63" t="s">
        <v>288</v>
      </c>
      <c r="B287" s="7"/>
      <c r="C287" s="7"/>
      <c r="D287" s="8">
        <f t="shared" si="4"/>
        <v>0</v>
      </c>
    </row>
    <row r="288" spans="1:4" ht="18" hidden="1" x14ac:dyDescent="0.3">
      <c r="A288" s="63" t="s">
        <v>313</v>
      </c>
      <c r="B288" s="7"/>
      <c r="C288" s="7"/>
      <c r="D288" s="8">
        <f t="shared" si="4"/>
        <v>0</v>
      </c>
    </row>
    <row r="289" spans="1:4" ht="18" x14ac:dyDescent="0.3">
      <c r="A289" s="61" t="s">
        <v>314</v>
      </c>
      <c r="B289" s="7">
        <v>8</v>
      </c>
      <c r="C289" s="7">
        <v>18000</v>
      </c>
      <c r="D289" s="8">
        <f t="shared" si="4"/>
        <v>144000</v>
      </c>
    </row>
    <row r="290" spans="1:4" ht="18" x14ac:dyDescent="0.3">
      <c r="A290" s="61" t="s">
        <v>315</v>
      </c>
      <c r="B290" s="7">
        <v>6</v>
      </c>
      <c r="C290" s="7">
        <v>18000</v>
      </c>
      <c r="D290" s="8">
        <f t="shared" si="4"/>
        <v>108000</v>
      </c>
    </row>
    <row r="291" spans="1:4" ht="18" hidden="1" x14ac:dyDescent="0.3">
      <c r="A291" s="60" t="s">
        <v>283</v>
      </c>
      <c r="B291" s="7"/>
      <c r="C291" s="7"/>
      <c r="D291" s="8">
        <f t="shared" si="4"/>
        <v>0</v>
      </c>
    </row>
    <row r="292" spans="1:4" ht="18" hidden="1" x14ac:dyDescent="0.3">
      <c r="A292" s="63" t="s">
        <v>284</v>
      </c>
      <c r="B292" s="7"/>
      <c r="C292" s="7"/>
      <c r="D292" s="8">
        <f t="shared" si="4"/>
        <v>0</v>
      </c>
    </row>
    <row r="293" spans="1:4" ht="18" hidden="1" x14ac:dyDescent="0.3">
      <c r="A293" s="61" t="s">
        <v>287</v>
      </c>
      <c r="B293" s="7"/>
      <c r="C293" s="7"/>
      <c r="D293" s="8">
        <f t="shared" si="4"/>
        <v>0</v>
      </c>
    </row>
    <row r="294" spans="1:4" ht="17.399999999999999" x14ac:dyDescent="0.3">
      <c r="A294" s="80"/>
      <c r="B294" s="32">
        <f t="shared" ref="B294:D294" si="5">SUM(B3:B293)</f>
        <v>5061.5</v>
      </c>
      <c r="C294" s="32"/>
      <c r="D294" s="32">
        <f t="shared" si="5"/>
        <v>74122500</v>
      </c>
    </row>
  </sheetData>
  <protectedRanges>
    <protectedRange password="CF71" sqref="B1:D293" name="tho"/>
  </protectedRanges>
  <autoFilter ref="A2:M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H46" sqref="H46"/>
    </sheetView>
  </sheetViews>
  <sheetFormatPr defaultRowHeight="14.4" x14ac:dyDescent="0.3"/>
  <cols>
    <col min="1" max="1" width="34.77734375" customWidth="1"/>
    <col min="3" max="3" width="14.21875" customWidth="1"/>
    <col min="4" max="4" width="20.33203125" customWidth="1"/>
  </cols>
  <sheetData>
    <row r="1" spans="1:4" x14ac:dyDescent="0.3">
      <c r="A1" s="57" t="s">
        <v>329</v>
      </c>
      <c r="B1" s="58"/>
      <c r="C1" s="58"/>
      <c r="D1" s="59"/>
    </row>
    <row r="2" spans="1:4" ht="39.6" customHeight="1" x14ac:dyDescent="0.3">
      <c r="A2" s="84" t="s">
        <v>0</v>
      </c>
      <c r="B2" s="4" t="s">
        <v>1</v>
      </c>
      <c r="C2" s="4" t="s">
        <v>323</v>
      </c>
      <c r="D2" s="5" t="s">
        <v>328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x14ac:dyDescent="0.3">
      <c r="A7" s="72" t="s">
        <v>277</v>
      </c>
      <c r="B7" s="87">
        <v>45</v>
      </c>
      <c r="C7" s="87">
        <v>3500</v>
      </c>
      <c r="D7" s="88">
        <f t="shared" si="0"/>
        <v>157500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3" t="s">
        <v>264</v>
      </c>
      <c r="B11" s="87"/>
      <c r="C11" s="87"/>
      <c r="D11" s="88">
        <f t="shared" si="0"/>
        <v>0</v>
      </c>
    </row>
    <row r="12" spans="1:4" ht="18" hidden="1" x14ac:dyDescent="0.3">
      <c r="A12" s="63" t="s">
        <v>222</v>
      </c>
      <c r="B12" s="87"/>
      <c r="C12" s="87"/>
      <c r="D12" s="88">
        <f t="shared" si="0"/>
        <v>0</v>
      </c>
    </row>
    <row r="13" spans="1:4" ht="18" hidden="1" x14ac:dyDescent="0.3">
      <c r="A13" s="63" t="s">
        <v>12</v>
      </c>
      <c r="B13" s="87"/>
      <c r="C13" s="87"/>
      <c r="D13" s="88">
        <f t="shared" si="0"/>
        <v>0</v>
      </c>
    </row>
    <row r="14" spans="1:4" ht="18" hidden="1" x14ac:dyDescent="0.3">
      <c r="A14" s="63" t="s">
        <v>13</v>
      </c>
      <c r="B14" s="89"/>
      <c r="C14" s="89"/>
      <c r="D14" s="88">
        <f t="shared" si="0"/>
        <v>0</v>
      </c>
    </row>
    <row r="15" spans="1:4" ht="18" hidden="1" x14ac:dyDescent="0.3">
      <c r="A15" s="63" t="s">
        <v>267</v>
      </c>
      <c r="B15" s="87"/>
      <c r="C15" s="87"/>
      <c r="D15" s="88">
        <f t="shared" si="0"/>
        <v>0</v>
      </c>
    </row>
    <row r="16" spans="1:4" ht="18" hidden="1" x14ac:dyDescent="0.3">
      <c r="A16" s="61" t="s">
        <v>15</v>
      </c>
      <c r="B16" s="87"/>
      <c r="C16" s="87"/>
      <c r="D16" s="88">
        <f t="shared" si="0"/>
        <v>0</v>
      </c>
    </row>
    <row r="17" spans="1:4" ht="18" hidden="1" x14ac:dyDescent="0.3">
      <c r="A17" s="68" t="s">
        <v>148</v>
      </c>
      <c r="B17" s="87"/>
      <c r="C17" s="87"/>
      <c r="D17" s="88">
        <f t="shared" si="0"/>
        <v>0</v>
      </c>
    </row>
    <row r="18" spans="1:4" ht="18" x14ac:dyDescent="0.3">
      <c r="A18" s="63" t="s">
        <v>17</v>
      </c>
      <c r="B18" s="87">
        <v>15</v>
      </c>
      <c r="C18" s="87">
        <v>16000</v>
      </c>
      <c r="D18" s="88">
        <f t="shared" si="0"/>
        <v>240000</v>
      </c>
    </row>
    <row r="19" spans="1:4" ht="18" hidden="1" x14ac:dyDescent="0.3">
      <c r="A19" s="63" t="s">
        <v>18</v>
      </c>
      <c r="B19" s="87"/>
      <c r="C19" s="87"/>
      <c r="D19" s="88">
        <f t="shared" si="0"/>
        <v>0</v>
      </c>
    </row>
    <row r="20" spans="1:4" ht="18" hidden="1" x14ac:dyDescent="0.3">
      <c r="A20" s="60" t="s">
        <v>2</v>
      </c>
      <c r="B20" s="87"/>
      <c r="C20" s="87"/>
      <c r="D20" s="88">
        <f t="shared" si="0"/>
        <v>0</v>
      </c>
    </row>
    <row r="21" spans="1:4" ht="18" hidden="1" x14ac:dyDescent="0.3">
      <c r="A21" s="61" t="s">
        <v>20</v>
      </c>
      <c r="B21" s="87"/>
      <c r="C21" s="87"/>
      <c r="D21" s="88">
        <f t="shared" si="0"/>
        <v>0</v>
      </c>
    </row>
    <row r="22" spans="1:4" ht="18" x14ac:dyDescent="0.3">
      <c r="A22" s="63" t="s">
        <v>21</v>
      </c>
      <c r="B22" s="87">
        <f>114+23+10</f>
        <v>147</v>
      </c>
      <c r="C22" s="87">
        <v>32000</v>
      </c>
      <c r="D22" s="88">
        <f t="shared" si="0"/>
        <v>4704000</v>
      </c>
    </row>
    <row r="23" spans="1:4" ht="18" hidden="1" x14ac:dyDescent="0.3">
      <c r="A23" s="63" t="s">
        <v>22</v>
      </c>
      <c r="B23" s="87"/>
      <c r="C23" s="87"/>
      <c r="D23" s="88">
        <f t="shared" si="0"/>
        <v>0</v>
      </c>
    </row>
    <row r="24" spans="1:4" ht="18" hidden="1" x14ac:dyDescent="0.3">
      <c r="A24" s="63" t="s">
        <v>23</v>
      </c>
      <c r="B24" s="87"/>
      <c r="C24" s="87"/>
      <c r="D24" s="88">
        <f t="shared" si="0"/>
        <v>0</v>
      </c>
    </row>
    <row r="25" spans="1:4" ht="18" hidden="1" x14ac:dyDescent="0.3">
      <c r="A25" s="63" t="s">
        <v>24</v>
      </c>
      <c r="B25" s="87"/>
      <c r="C25" s="87"/>
      <c r="D25" s="88">
        <f t="shared" si="0"/>
        <v>0</v>
      </c>
    </row>
    <row r="26" spans="1:4" ht="18" hidden="1" x14ac:dyDescent="0.3">
      <c r="A26" s="63" t="s">
        <v>25</v>
      </c>
      <c r="B26" s="87"/>
      <c r="C26" s="87"/>
      <c r="D26" s="88">
        <f t="shared" si="0"/>
        <v>0</v>
      </c>
    </row>
    <row r="27" spans="1:4" ht="18" x14ac:dyDescent="0.3">
      <c r="A27" s="63" t="s">
        <v>26</v>
      </c>
      <c r="B27" s="87">
        <f>17+25</f>
        <v>42</v>
      </c>
      <c r="C27" s="87">
        <v>32000</v>
      </c>
      <c r="D27" s="88">
        <f t="shared" si="0"/>
        <v>1344000</v>
      </c>
    </row>
    <row r="28" spans="1:4" ht="18" x14ac:dyDescent="0.3">
      <c r="A28" s="63" t="s">
        <v>27</v>
      </c>
      <c r="B28" s="87">
        <v>8</v>
      </c>
      <c r="C28" s="87">
        <v>27000</v>
      </c>
      <c r="D28" s="88">
        <f t="shared" si="0"/>
        <v>216000</v>
      </c>
    </row>
    <row r="29" spans="1:4" ht="18" hidden="1" x14ac:dyDescent="0.3">
      <c r="A29" s="74" t="s">
        <v>164</v>
      </c>
      <c r="B29" s="87"/>
      <c r="C29" s="87"/>
      <c r="D29" s="88">
        <f t="shared" si="0"/>
        <v>0</v>
      </c>
    </row>
    <row r="30" spans="1:4" ht="18" hidden="1" x14ac:dyDescent="0.3">
      <c r="A30" s="63" t="s">
        <v>29</v>
      </c>
      <c r="B30" s="87"/>
      <c r="C30" s="87"/>
      <c r="D30" s="88">
        <f t="shared" si="0"/>
        <v>0</v>
      </c>
    </row>
    <row r="31" spans="1:4" ht="18" x14ac:dyDescent="0.3">
      <c r="A31" s="63" t="s">
        <v>30</v>
      </c>
      <c r="B31" s="87">
        <v>12</v>
      </c>
      <c r="C31" s="87">
        <v>26000</v>
      </c>
      <c r="D31" s="88">
        <f t="shared" si="0"/>
        <v>312000</v>
      </c>
    </row>
    <row r="32" spans="1:4" ht="18" x14ac:dyDescent="0.3">
      <c r="A32" s="63" t="s">
        <v>31</v>
      </c>
      <c r="B32" s="87">
        <v>40</v>
      </c>
      <c r="C32" s="87">
        <v>21000</v>
      </c>
      <c r="D32" s="88">
        <f t="shared" si="0"/>
        <v>840000</v>
      </c>
    </row>
    <row r="33" spans="1:4" ht="18" hidden="1" x14ac:dyDescent="0.3">
      <c r="A33" s="60" t="s">
        <v>10</v>
      </c>
      <c r="B33" s="89"/>
      <c r="C33" s="89"/>
      <c r="D33" s="88">
        <f t="shared" si="0"/>
        <v>0</v>
      </c>
    </row>
    <row r="34" spans="1:4" ht="18" x14ac:dyDescent="0.3">
      <c r="A34" s="63" t="s">
        <v>84</v>
      </c>
      <c r="B34" s="87">
        <v>70</v>
      </c>
      <c r="C34" s="87">
        <v>19000</v>
      </c>
      <c r="D34" s="88">
        <f t="shared" si="0"/>
        <v>1330000</v>
      </c>
    </row>
    <row r="35" spans="1:4" ht="18" hidden="1" x14ac:dyDescent="0.3">
      <c r="A35" s="65" t="s">
        <v>34</v>
      </c>
      <c r="B35" s="87"/>
      <c r="C35" s="87"/>
      <c r="D35" s="88">
        <f t="shared" si="0"/>
        <v>0</v>
      </c>
    </row>
    <row r="36" spans="1:4" ht="18" hidden="1" x14ac:dyDescent="0.3">
      <c r="A36" s="63" t="s">
        <v>35</v>
      </c>
      <c r="B36" s="87"/>
      <c r="C36" s="87"/>
      <c r="D36" s="88">
        <f t="shared" si="0"/>
        <v>0</v>
      </c>
    </row>
    <row r="37" spans="1:4" ht="18" hidden="1" x14ac:dyDescent="0.3">
      <c r="A37" s="60" t="s">
        <v>36</v>
      </c>
      <c r="B37" s="87"/>
      <c r="C37" s="87"/>
      <c r="D37" s="88">
        <f t="shared" si="0"/>
        <v>0</v>
      </c>
    </row>
    <row r="38" spans="1:4" ht="18" hidden="1" x14ac:dyDescent="0.3">
      <c r="A38" s="63" t="s">
        <v>11</v>
      </c>
      <c r="B38" s="87"/>
      <c r="C38" s="87"/>
      <c r="D38" s="88">
        <f t="shared" si="0"/>
        <v>0</v>
      </c>
    </row>
    <row r="39" spans="1:4" ht="18" hidden="1" x14ac:dyDescent="0.3">
      <c r="A39" s="63" t="s">
        <v>38</v>
      </c>
      <c r="B39" s="87"/>
      <c r="C39" s="87"/>
      <c r="D39" s="88">
        <f t="shared" si="0"/>
        <v>0</v>
      </c>
    </row>
    <row r="40" spans="1:4" ht="18" hidden="1" x14ac:dyDescent="0.3">
      <c r="A40" s="66" t="s">
        <v>39</v>
      </c>
      <c r="B40" s="87"/>
      <c r="C40" s="87"/>
      <c r="D40" s="88">
        <f t="shared" si="0"/>
        <v>0</v>
      </c>
    </row>
    <row r="41" spans="1:4" ht="18" x14ac:dyDescent="0.3">
      <c r="A41" s="63" t="s">
        <v>40</v>
      </c>
      <c r="B41" s="87">
        <v>255</v>
      </c>
      <c r="C41" s="87">
        <v>12500</v>
      </c>
      <c r="D41" s="88">
        <f t="shared" si="0"/>
        <v>3187500</v>
      </c>
    </row>
    <row r="42" spans="1:4" ht="18" hidden="1" x14ac:dyDescent="0.3">
      <c r="A42" s="64" t="s">
        <v>14</v>
      </c>
      <c r="B42" s="87"/>
      <c r="C42" s="87"/>
      <c r="D42" s="88">
        <f t="shared" si="0"/>
        <v>0</v>
      </c>
    </row>
    <row r="43" spans="1:4" ht="18" x14ac:dyDescent="0.3">
      <c r="A43" s="63" t="s">
        <v>42</v>
      </c>
      <c r="B43" s="87">
        <v>60</v>
      </c>
      <c r="C43" s="87">
        <v>17000</v>
      </c>
      <c r="D43" s="88">
        <f t="shared" si="0"/>
        <v>1020000</v>
      </c>
    </row>
    <row r="44" spans="1:4" ht="18" hidden="1" x14ac:dyDescent="0.3">
      <c r="A44" s="63" t="s">
        <v>43</v>
      </c>
      <c r="B44" s="87"/>
      <c r="C44" s="87"/>
      <c r="D44" s="88">
        <f t="shared" si="0"/>
        <v>0</v>
      </c>
    </row>
    <row r="45" spans="1:4" ht="18" hidden="1" x14ac:dyDescent="0.3">
      <c r="A45" s="63" t="s">
        <v>44</v>
      </c>
      <c r="B45" s="87"/>
      <c r="C45" s="87"/>
      <c r="D45" s="88">
        <f t="shared" si="0"/>
        <v>0</v>
      </c>
    </row>
    <row r="46" spans="1:4" ht="18" x14ac:dyDescent="0.3">
      <c r="A46" s="67" t="s">
        <v>46</v>
      </c>
      <c r="B46" s="87">
        <v>60</v>
      </c>
      <c r="C46" s="87">
        <v>9000</v>
      </c>
      <c r="D46" s="88">
        <f t="shared" si="0"/>
        <v>540000</v>
      </c>
    </row>
    <row r="47" spans="1:4" ht="18" hidden="1" x14ac:dyDescent="0.3">
      <c r="A47" s="65" t="s">
        <v>47</v>
      </c>
      <c r="B47" s="87"/>
      <c r="C47" s="87"/>
      <c r="D47" s="88">
        <f t="shared" si="0"/>
        <v>0</v>
      </c>
    </row>
    <row r="48" spans="1:4" ht="18" hidden="1" x14ac:dyDescent="0.3">
      <c r="A48" s="61" t="s">
        <v>300</v>
      </c>
      <c r="B48" s="87"/>
      <c r="C48" s="87"/>
      <c r="D48" s="88">
        <f t="shared" si="0"/>
        <v>0</v>
      </c>
    </row>
    <row r="49" spans="1:4" ht="18" hidden="1" x14ac:dyDescent="0.3">
      <c r="A49" s="63" t="s">
        <v>48</v>
      </c>
      <c r="B49" s="87"/>
      <c r="C49" s="87"/>
      <c r="D49" s="88">
        <f t="shared" si="0"/>
        <v>0</v>
      </c>
    </row>
    <row r="50" spans="1:4" ht="18" hidden="1" x14ac:dyDescent="0.3">
      <c r="A50" s="63" t="s">
        <v>49</v>
      </c>
      <c r="B50" s="87"/>
      <c r="C50" s="87"/>
      <c r="D50" s="88">
        <f t="shared" si="0"/>
        <v>0</v>
      </c>
    </row>
    <row r="51" spans="1:4" ht="18" x14ac:dyDescent="0.3">
      <c r="A51" s="63" t="s">
        <v>50</v>
      </c>
      <c r="B51" s="87">
        <v>45</v>
      </c>
      <c r="C51" s="87">
        <v>6000</v>
      </c>
      <c r="D51" s="88">
        <f t="shared" si="0"/>
        <v>270000</v>
      </c>
    </row>
    <row r="52" spans="1:4" ht="18" hidden="1" x14ac:dyDescent="0.3">
      <c r="A52" s="60" t="s">
        <v>51</v>
      </c>
      <c r="B52" s="87"/>
      <c r="C52" s="87"/>
      <c r="D52" s="88">
        <f t="shared" si="0"/>
        <v>0</v>
      </c>
    </row>
    <row r="53" spans="1:4" ht="18" x14ac:dyDescent="0.3">
      <c r="A53" s="63" t="s">
        <v>52</v>
      </c>
      <c r="B53" s="87">
        <v>25</v>
      </c>
      <c r="C53" s="87">
        <v>7000</v>
      </c>
      <c r="D53" s="88">
        <f t="shared" si="0"/>
        <v>175000</v>
      </c>
    </row>
    <row r="54" spans="1:4" ht="18" hidden="1" x14ac:dyDescent="0.3">
      <c r="A54" s="68" t="s">
        <v>53</v>
      </c>
      <c r="B54" s="87"/>
      <c r="C54" s="87"/>
      <c r="D54" s="88">
        <f t="shared" si="0"/>
        <v>0</v>
      </c>
    </row>
    <row r="55" spans="1:4" ht="18" hidden="1" x14ac:dyDescent="0.3">
      <c r="A55" s="63" t="s">
        <v>54</v>
      </c>
      <c r="B55" s="87"/>
      <c r="C55" s="87"/>
      <c r="D55" s="88">
        <f t="shared" si="0"/>
        <v>0</v>
      </c>
    </row>
    <row r="56" spans="1:4" ht="18" hidden="1" x14ac:dyDescent="0.3">
      <c r="A56" s="17" t="s">
        <v>55</v>
      </c>
      <c r="B56" s="87"/>
      <c r="C56" s="87"/>
      <c r="D56" s="88">
        <f t="shared" si="0"/>
        <v>0</v>
      </c>
    </row>
    <row r="57" spans="1:4" ht="18" hidden="1" x14ac:dyDescent="0.3">
      <c r="A57" s="63" t="s">
        <v>56</v>
      </c>
      <c r="B57" s="87"/>
      <c r="C57" s="87"/>
      <c r="D57" s="88">
        <f t="shared" si="0"/>
        <v>0</v>
      </c>
    </row>
    <row r="58" spans="1:4" ht="18" hidden="1" x14ac:dyDescent="0.3">
      <c r="A58" s="63" t="s">
        <v>57</v>
      </c>
      <c r="B58" s="87"/>
      <c r="C58" s="87"/>
      <c r="D58" s="88">
        <f t="shared" si="0"/>
        <v>0</v>
      </c>
    </row>
    <row r="59" spans="1:4" ht="18" hidden="1" x14ac:dyDescent="0.3">
      <c r="A59" s="67" t="s">
        <v>58</v>
      </c>
      <c r="B59" s="87"/>
      <c r="C59" s="87"/>
      <c r="D59" s="88">
        <f t="shared" si="0"/>
        <v>0</v>
      </c>
    </row>
    <row r="60" spans="1:4" ht="18" hidden="1" x14ac:dyDescent="0.3">
      <c r="A60" s="60" t="s">
        <v>59</v>
      </c>
      <c r="B60" s="87"/>
      <c r="C60" s="87"/>
      <c r="D60" s="88">
        <f t="shared" si="0"/>
        <v>0</v>
      </c>
    </row>
    <row r="61" spans="1:4" ht="18" hidden="1" x14ac:dyDescent="0.3">
      <c r="A61" s="60" t="s">
        <v>60</v>
      </c>
      <c r="B61" s="87"/>
      <c r="C61" s="87"/>
      <c r="D61" s="88">
        <f t="shared" si="0"/>
        <v>0</v>
      </c>
    </row>
    <row r="62" spans="1:4" ht="18" hidden="1" x14ac:dyDescent="0.3">
      <c r="A62" s="63" t="s">
        <v>19</v>
      </c>
      <c r="B62" s="87"/>
      <c r="C62" s="87"/>
      <c r="D62" s="88">
        <f t="shared" si="0"/>
        <v>0</v>
      </c>
    </row>
    <row r="63" spans="1:4" ht="18" hidden="1" x14ac:dyDescent="0.3">
      <c r="A63" s="69" t="s">
        <v>62</v>
      </c>
      <c r="B63" s="90"/>
      <c r="C63" s="90"/>
      <c r="D63" s="88">
        <f t="shared" si="0"/>
        <v>0</v>
      </c>
    </row>
    <row r="64" spans="1:4" ht="18" hidden="1" x14ac:dyDescent="0.3">
      <c r="A64" s="63" t="s">
        <v>63</v>
      </c>
      <c r="B64" s="87"/>
      <c r="C64" s="87"/>
      <c r="D64" s="88">
        <f t="shared" si="0"/>
        <v>0</v>
      </c>
    </row>
    <row r="65" spans="1:4" ht="18" hidden="1" x14ac:dyDescent="0.3">
      <c r="A65" s="60" t="s">
        <v>64</v>
      </c>
      <c r="B65" s="87"/>
      <c r="C65" s="87"/>
      <c r="D65" s="88">
        <f t="shared" si="0"/>
        <v>0</v>
      </c>
    </row>
    <row r="66" spans="1:4" ht="18" hidden="1" x14ac:dyDescent="0.3">
      <c r="A66" s="60" t="s">
        <v>65</v>
      </c>
      <c r="B66" s="87"/>
      <c r="C66" s="87"/>
      <c r="D66" s="88">
        <f t="shared" si="0"/>
        <v>0</v>
      </c>
    </row>
    <row r="67" spans="1:4" ht="18" hidden="1" x14ac:dyDescent="0.3">
      <c r="A67" s="63" t="s">
        <v>66</v>
      </c>
      <c r="B67" s="87"/>
      <c r="C67" s="87"/>
      <c r="D67" s="88">
        <f t="shared" si="0"/>
        <v>0</v>
      </c>
    </row>
    <row r="68" spans="1:4" ht="18" x14ac:dyDescent="0.3">
      <c r="A68" s="60" t="s">
        <v>67</v>
      </c>
      <c r="B68" s="87">
        <f>440+380-60</f>
        <v>760</v>
      </c>
      <c r="C68" s="87">
        <v>26000</v>
      </c>
      <c r="D68" s="88">
        <f t="shared" ref="D68:D131" si="1">B68*C68</f>
        <v>19760000</v>
      </c>
    </row>
    <row r="69" spans="1:4" ht="18" hidden="1" x14ac:dyDescent="0.3">
      <c r="A69" s="63" t="s">
        <v>68</v>
      </c>
      <c r="B69" s="87"/>
      <c r="C69" s="87"/>
      <c r="D69" s="88">
        <f t="shared" si="1"/>
        <v>0</v>
      </c>
    </row>
    <row r="70" spans="1:4" ht="18" hidden="1" x14ac:dyDescent="0.3">
      <c r="A70" s="63" t="s">
        <v>69</v>
      </c>
      <c r="B70" s="87"/>
      <c r="C70" s="87"/>
      <c r="D70" s="88">
        <f t="shared" si="1"/>
        <v>0</v>
      </c>
    </row>
    <row r="71" spans="1:4" ht="18" x14ac:dyDescent="0.3">
      <c r="A71" s="63" t="s">
        <v>70</v>
      </c>
      <c r="B71" s="87">
        <v>15</v>
      </c>
      <c r="C71" s="87">
        <v>12000</v>
      </c>
      <c r="D71" s="88">
        <f t="shared" si="1"/>
        <v>180000</v>
      </c>
    </row>
    <row r="72" spans="1:4" ht="18" hidden="1" x14ac:dyDescent="0.3">
      <c r="A72" s="13" t="s">
        <v>16</v>
      </c>
      <c r="B72" s="87"/>
      <c r="C72" s="87"/>
      <c r="D72" s="88">
        <f t="shared" si="1"/>
        <v>0</v>
      </c>
    </row>
    <row r="73" spans="1:4" ht="18" hidden="1" x14ac:dyDescent="0.3">
      <c r="A73" s="70" t="s">
        <v>72</v>
      </c>
      <c r="B73" s="87"/>
      <c r="C73" s="87"/>
      <c r="D73" s="88">
        <f t="shared" si="1"/>
        <v>0</v>
      </c>
    </row>
    <row r="74" spans="1:4" ht="18" hidden="1" x14ac:dyDescent="0.3">
      <c r="A74" s="71" t="s">
        <v>73</v>
      </c>
      <c r="B74" s="87"/>
      <c r="C74" s="87"/>
      <c r="D74" s="88">
        <f t="shared" si="1"/>
        <v>0</v>
      </c>
    </row>
    <row r="75" spans="1:4" ht="18" hidden="1" x14ac:dyDescent="0.3">
      <c r="A75" s="70" t="s">
        <v>74</v>
      </c>
      <c r="B75" s="87"/>
      <c r="C75" s="87"/>
      <c r="D75" s="88">
        <f t="shared" si="1"/>
        <v>0</v>
      </c>
    </row>
    <row r="76" spans="1:4" ht="18" hidden="1" x14ac:dyDescent="0.3">
      <c r="A76" s="68" t="s">
        <v>75</v>
      </c>
      <c r="B76" s="87"/>
      <c r="C76" s="87"/>
      <c r="D76" s="88">
        <f t="shared" si="1"/>
        <v>0</v>
      </c>
    </row>
    <row r="77" spans="1:4" ht="18" x14ac:dyDescent="0.3">
      <c r="A77" s="63" t="s">
        <v>33</v>
      </c>
      <c r="B77" s="87">
        <v>43</v>
      </c>
      <c r="C77" s="87">
        <v>12000</v>
      </c>
      <c r="D77" s="88">
        <f t="shared" si="1"/>
        <v>516000</v>
      </c>
    </row>
    <row r="78" spans="1:4" ht="18" x14ac:dyDescent="0.3">
      <c r="A78" s="63" t="s">
        <v>194</v>
      </c>
      <c r="B78" s="87">
        <v>185</v>
      </c>
      <c r="C78" s="87">
        <v>8000</v>
      </c>
      <c r="D78" s="88">
        <f t="shared" si="1"/>
        <v>1480000</v>
      </c>
    </row>
    <row r="79" spans="1:4" ht="18" hidden="1" x14ac:dyDescent="0.3">
      <c r="A79" s="22" t="s">
        <v>78</v>
      </c>
      <c r="B79" s="87"/>
      <c r="C79" s="87"/>
      <c r="D79" s="88">
        <f t="shared" si="1"/>
        <v>0</v>
      </c>
    </row>
    <row r="80" spans="1:4" ht="18" hidden="1" x14ac:dyDescent="0.3">
      <c r="A80" s="72" t="s">
        <v>79</v>
      </c>
      <c r="B80" s="87"/>
      <c r="C80" s="87"/>
      <c r="D80" s="88">
        <f t="shared" si="1"/>
        <v>0</v>
      </c>
    </row>
    <row r="81" spans="1:4" ht="18" hidden="1" x14ac:dyDescent="0.3">
      <c r="A81" s="63" t="s">
        <v>80</v>
      </c>
      <c r="B81" s="91"/>
      <c r="C81" s="91"/>
      <c r="D81" s="88">
        <f t="shared" si="1"/>
        <v>0</v>
      </c>
    </row>
    <row r="82" spans="1:4" ht="18" hidden="1" x14ac:dyDescent="0.3">
      <c r="A82" s="63" t="s">
        <v>81</v>
      </c>
      <c r="B82" s="87"/>
      <c r="C82" s="87"/>
      <c r="D82" s="88">
        <f t="shared" si="1"/>
        <v>0</v>
      </c>
    </row>
    <row r="83" spans="1:4" ht="18" x14ac:dyDescent="0.3">
      <c r="A83" s="63" t="s">
        <v>82</v>
      </c>
      <c r="B83" s="87">
        <v>40</v>
      </c>
      <c r="C83" s="87">
        <v>32000</v>
      </c>
      <c r="D83" s="88">
        <f t="shared" si="1"/>
        <v>1280000</v>
      </c>
    </row>
    <row r="84" spans="1:4" ht="18" hidden="1" x14ac:dyDescent="0.3">
      <c r="A84" s="63" t="s">
        <v>83</v>
      </c>
      <c r="B84" s="87"/>
      <c r="C84" s="87"/>
      <c r="D84" s="88">
        <f t="shared" si="1"/>
        <v>0</v>
      </c>
    </row>
    <row r="85" spans="1:4" ht="18" x14ac:dyDescent="0.3">
      <c r="A85" s="63" t="s">
        <v>61</v>
      </c>
      <c r="B85" s="87">
        <v>11</v>
      </c>
      <c r="C85" s="87">
        <v>12000</v>
      </c>
      <c r="D85" s="88">
        <f t="shared" si="1"/>
        <v>132000</v>
      </c>
    </row>
    <row r="86" spans="1:4" ht="18" hidden="1" x14ac:dyDescent="0.3">
      <c r="A86" s="63" t="s">
        <v>85</v>
      </c>
      <c r="B86" s="87"/>
      <c r="C86" s="87"/>
      <c r="D86" s="88">
        <f t="shared" si="1"/>
        <v>0</v>
      </c>
    </row>
    <row r="87" spans="1:4" ht="18" hidden="1" x14ac:dyDescent="0.3">
      <c r="A87" s="63" t="s">
        <v>86</v>
      </c>
      <c r="B87" s="87"/>
      <c r="C87" s="87"/>
      <c r="D87" s="88">
        <f t="shared" si="1"/>
        <v>0</v>
      </c>
    </row>
    <row r="88" spans="1:4" ht="18" hidden="1" x14ac:dyDescent="0.3">
      <c r="A88" s="73" t="s">
        <v>87</v>
      </c>
      <c r="B88" s="87"/>
      <c r="C88" s="87"/>
      <c r="D88" s="88">
        <f t="shared" si="1"/>
        <v>0</v>
      </c>
    </row>
    <row r="89" spans="1:4" ht="18" hidden="1" x14ac:dyDescent="0.3">
      <c r="A89" s="63" t="s">
        <v>88</v>
      </c>
      <c r="B89" s="87"/>
      <c r="C89" s="87"/>
      <c r="D89" s="88">
        <f t="shared" si="1"/>
        <v>0</v>
      </c>
    </row>
    <row r="90" spans="1:4" ht="18" x14ac:dyDescent="0.3">
      <c r="A90" s="60" t="s">
        <v>176</v>
      </c>
      <c r="B90" s="87">
        <f>320+230</f>
        <v>550</v>
      </c>
      <c r="C90" s="87">
        <v>28000</v>
      </c>
      <c r="D90" s="88">
        <f t="shared" si="1"/>
        <v>15400000</v>
      </c>
    </row>
    <row r="91" spans="1:4" ht="18" hidden="1" x14ac:dyDescent="0.3">
      <c r="A91" s="63" t="s">
        <v>90</v>
      </c>
      <c r="B91" s="89"/>
      <c r="C91" s="87"/>
      <c r="D91" s="88">
        <f t="shared" si="1"/>
        <v>0</v>
      </c>
    </row>
    <row r="92" spans="1:4" ht="18" hidden="1" x14ac:dyDescent="0.3">
      <c r="A92" s="74" t="s">
        <v>91</v>
      </c>
      <c r="B92" s="87"/>
      <c r="C92" s="87"/>
      <c r="D92" s="88">
        <f t="shared" si="1"/>
        <v>0</v>
      </c>
    </row>
    <row r="93" spans="1:4" ht="18" hidden="1" x14ac:dyDescent="0.3">
      <c r="A93" s="60" t="s">
        <v>93</v>
      </c>
      <c r="B93" s="87"/>
      <c r="C93" s="87"/>
      <c r="D93" s="88">
        <f t="shared" si="1"/>
        <v>0</v>
      </c>
    </row>
    <row r="94" spans="1:4" ht="18" hidden="1" x14ac:dyDescent="0.3">
      <c r="A94" s="65" t="s">
        <v>94</v>
      </c>
      <c r="B94" s="87"/>
      <c r="C94" s="87"/>
      <c r="D94" s="88">
        <f t="shared" si="1"/>
        <v>0</v>
      </c>
    </row>
    <row r="95" spans="1:4" ht="18" hidden="1" x14ac:dyDescent="0.3">
      <c r="A95" s="60" t="s">
        <v>95</v>
      </c>
      <c r="B95" s="87"/>
      <c r="C95" s="87"/>
      <c r="D95" s="88">
        <f t="shared" si="1"/>
        <v>0</v>
      </c>
    </row>
    <row r="96" spans="1:4" ht="18" hidden="1" x14ac:dyDescent="0.3">
      <c r="A96" s="63" t="s">
        <v>96</v>
      </c>
      <c r="B96" s="87"/>
      <c r="C96" s="87"/>
      <c r="D96" s="88">
        <f t="shared" si="1"/>
        <v>0</v>
      </c>
    </row>
    <row r="97" spans="1:4" ht="18" hidden="1" x14ac:dyDescent="0.3">
      <c r="A97" s="75" t="s">
        <v>97</v>
      </c>
      <c r="B97" s="87"/>
      <c r="C97" s="87"/>
      <c r="D97" s="88">
        <f t="shared" si="1"/>
        <v>0</v>
      </c>
    </row>
    <row r="98" spans="1:4" ht="18" hidden="1" x14ac:dyDescent="0.3">
      <c r="A98" s="76" t="s">
        <v>98</v>
      </c>
      <c r="B98" s="87"/>
      <c r="C98" s="87"/>
      <c r="D98" s="88">
        <f t="shared" si="1"/>
        <v>0</v>
      </c>
    </row>
    <row r="99" spans="1:4" ht="18" hidden="1" x14ac:dyDescent="0.3">
      <c r="A99" s="76" t="s">
        <v>99</v>
      </c>
      <c r="B99" s="87"/>
      <c r="C99" s="87"/>
      <c r="D99" s="88">
        <f t="shared" si="1"/>
        <v>0</v>
      </c>
    </row>
    <row r="100" spans="1:4" ht="18" hidden="1" x14ac:dyDescent="0.3">
      <c r="A100" s="14" t="s">
        <v>100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101</v>
      </c>
      <c r="B101" s="87"/>
      <c r="C101" s="87"/>
      <c r="D101" s="88">
        <f t="shared" si="1"/>
        <v>0</v>
      </c>
    </row>
    <row r="102" spans="1:4" ht="18" hidden="1" x14ac:dyDescent="0.3">
      <c r="A102" s="63" t="s">
        <v>102</v>
      </c>
      <c r="B102" s="89"/>
      <c r="C102" s="89"/>
      <c r="D102" s="88">
        <f t="shared" si="1"/>
        <v>0</v>
      </c>
    </row>
    <row r="103" spans="1:4" ht="18" hidden="1" x14ac:dyDescent="0.3">
      <c r="A103" s="63" t="s">
        <v>103</v>
      </c>
      <c r="B103" s="89"/>
      <c r="C103" s="89"/>
      <c r="D103" s="88">
        <f t="shared" si="1"/>
        <v>0</v>
      </c>
    </row>
    <row r="104" spans="1:4" ht="18" hidden="1" x14ac:dyDescent="0.3">
      <c r="A104" s="63" t="s">
        <v>104</v>
      </c>
      <c r="B104" s="89"/>
      <c r="C104" s="89"/>
      <c r="D104" s="88">
        <f t="shared" si="1"/>
        <v>0</v>
      </c>
    </row>
    <row r="105" spans="1:4" ht="18" hidden="1" x14ac:dyDescent="0.3">
      <c r="A105" s="63" t="s">
        <v>105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106</v>
      </c>
      <c r="B106" s="89"/>
      <c r="C106" s="89"/>
      <c r="D106" s="88">
        <f t="shared" si="1"/>
        <v>0</v>
      </c>
    </row>
    <row r="107" spans="1:4" ht="18" hidden="1" x14ac:dyDescent="0.3">
      <c r="A107" s="63" t="s">
        <v>107</v>
      </c>
      <c r="B107" s="89"/>
      <c r="C107" s="89"/>
      <c r="D107" s="88">
        <f t="shared" si="1"/>
        <v>0</v>
      </c>
    </row>
    <row r="108" spans="1:4" ht="18" hidden="1" x14ac:dyDescent="0.3">
      <c r="A108" s="63" t="s">
        <v>108</v>
      </c>
      <c r="B108" s="89"/>
      <c r="C108" s="89"/>
      <c r="D108" s="88">
        <f t="shared" si="1"/>
        <v>0</v>
      </c>
    </row>
    <row r="109" spans="1:4" ht="18" hidden="1" x14ac:dyDescent="0.3">
      <c r="A109" s="63" t="s">
        <v>109</v>
      </c>
      <c r="B109" s="89"/>
      <c r="C109" s="89"/>
      <c r="D109" s="88">
        <f t="shared" si="1"/>
        <v>0</v>
      </c>
    </row>
    <row r="110" spans="1:4" ht="18" hidden="1" x14ac:dyDescent="0.3">
      <c r="A110" s="63" t="s">
        <v>110</v>
      </c>
      <c r="B110" s="89"/>
      <c r="C110" s="89"/>
      <c r="D110" s="88">
        <f t="shared" si="1"/>
        <v>0</v>
      </c>
    </row>
    <row r="111" spans="1:4" ht="18" hidden="1" x14ac:dyDescent="0.3">
      <c r="A111" s="63" t="s">
        <v>111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112</v>
      </c>
      <c r="B112" s="89"/>
      <c r="C112" s="89"/>
      <c r="D112" s="88">
        <f t="shared" si="1"/>
        <v>0</v>
      </c>
    </row>
    <row r="113" spans="1:4" ht="18" x14ac:dyDescent="0.3">
      <c r="A113" s="60" t="s">
        <v>113</v>
      </c>
      <c r="B113" s="87">
        <f>300+35+15+240</f>
        <v>590</v>
      </c>
      <c r="C113" s="87">
        <v>16000</v>
      </c>
      <c r="D113" s="88">
        <f t="shared" si="1"/>
        <v>9440000</v>
      </c>
    </row>
    <row r="114" spans="1:4" ht="18" hidden="1" x14ac:dyDescent="0.3">
      <c r="A114" s="63" t="s">
        <v>114</v>
      </c>
      <c r="B114" s="87"/>
      <c r="C114" s="87"/>
      <c r="D114" s="88">
        <f t="shared" si="1"/>
        <v>0</v>
      </c>
    </row>
    <row r="115" spans="1:4" ht="18" hidden="1" x14ac:dyDescent="0.3">
      <c r="A115" s="63" t="s">
        <v>115</v>
      </c>
      <c r="B115" s="87"/>
      <c r="C115" s="87"/>
      <c r="D115" s="88">
        <f t="shared" si="1"/>
        <v>0</v>
      </c>
    </row>
    <row r="116" spans="1:4" ht="18" hidden="1" x14ac:dyDescent="0.3">
      <c r="A116" s="60" t="s">
        <v>116</v>
      </c>
      <c r="B116" s="87"/>
      <c r="C116" s="87"/>
      <c r="D116" s="88">
        <f t="shared" si="1"/>
        <v>0</v>
      </c>
    </row>
    <row r="117" spans="1:4" ht="18" hidden="1" x14ac:dyDescent="0.3">
      <c r="A117" s="63" t="s">
        <v>117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118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119</v>
      </c>
      <c r="B119" s="87"/>
      <c r="C119" s="87"/>
      <c r="D119" s="88">
        <f t="shared" si="1"/>
        <v>0</v>
      </c>
    </row>
    <row r="120" spans="1:4" ht="18" x14ac:dyDescent="0.3">
      <c r="A120" s="63" t="s">
        <v>120</v>
      </c>
      <c r="B120" s="87">
        <f>1290+1870</f>
        <v>3160</v>
      </c>
      <c r="C120" s="87">
        <v>5000</v>
      </c>
      <c r="D120" s="88">
        <f t="shared" si="1"/>
        <v>15800000</v>
      </c>
    </row>
    <row r="121" spans="1:4" ht="18" hidden="1" x14ac:dyDescent="0.3">
      <c r="A121" s="63" t="s">
        <v>121</v>
      </c>
      <c r="B121" s="87"/>
      <c r="C121" s="87"/>
      <c r="D121" s="88">
        <f t="shared" si="1"/>
        <v>0</v>
      </c>
    </row>
    <row r="122" spans="1:4" ht="18" hidden="1" x14ac:dyDescent="0.3">
      <c r="A122" s="61" t="s">
        <v>122</v>
      </c>
      <c r="B122" s="87"/>
      <c r="C122" s="87"/>
      <c r="D122" s="88">
        <f t="shared" si="1"/>
        <v>0</v>
      </c>
    </row>
    <row r="123" spans="1:4" ht="18" hidden="1" x14ac:dyDescent="0.3">
      <c r="A123" s="74" t="s">
        <v>123</v>
      </c>
      <c r="B123" s="87"/>
      <c r="C123" s="87"/>
      <c r="D123" s="88">
        <f t="shared" si="1"/>
        <v>0</v>
      </c>
    </row>
    <row r="124" spans="1:4" ht="78" hidden="1" x14ac:dyDescent="0.3">
      <c r="A124" s="77" t="s">
        <v>124</v>
      </c>
      <c r="B124" s="87"/>
      <c r="C124" s="87"/>
      <c r="D124" s="88">
        <f t="shared" si="1"/>
        <v>0</v>
      </c>
    </row>
    <row r="125" spans="1:4" ht="18" x14ac:dyDescent="0.3">
      <c r="A125" s="72" t="s">
        <v>125</v>
      </c>
      <c r="B125" s="87">
        <v>4</v>
      </c>
      <c r="C125" s="87">
        <v>10000</v>
      </c>
      <c r="D125" s="88">
        <f t="shared" si="1"/>
        <v>40000</v>
      </c>
    </row>
    <row r="126" spans="1:4" ht="18" hidden="1" x14ac:dyDescent="0.3">
      <c r="A126" s="60" t="s">
        <v>126</v>
      </c>
      <c r="B126" s="89"/>
      <c r="C126" s="89"/>
      <c r="D126" s="88">
        <f t="shared" si="1"/>
        <v>0</v>
      </c>
    </row>
    <row r="127" spans="1:4" ht="18" hidden="1" x14ac:dyDescent="0.3">
      <c r="A127" s="60" t="s">
        <v>127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128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129</v>
      </c>
      <c r="B129" s="92"/>
      <c r="C129" s="92"/>
      <c r="D129" s="88">
        <f t="shared" si="1"/>
        <v>0</v>
      </c>
    </row>
    <row r="130" spans="1:4" ht="18" hidden="1" x14ac:dyDescent="0.3">
      <c r="A130" s="63" t="s">
        <v>130</v>
      </c>
      <c r="B130" s="89"/>
      <c r="C130" s="89"/>
      <c r="D130" s="88">
        <f t="shared" si="1"/>
        <v>0</v>
      </c>
    </row>
    <row r="131" spans="1:4" ht="18" hidden="1" x14ac:dyDescent="0.3">
      <c r="A131" s="63" t="s">
        <v>131</v>
      </c>
      <c r="B131" s="89"/>
      <c r="C131" s="89"/>
      <c r="D131" s="88">
        <f t="shared" si="1"/>
        <v>0</v>
      </c>
    </row>
    <row r="132" spans="1:4" ht="18" hidden="1" x14ac:dyDescent="0.3">
      <c r="A132" s="65" t="s">
        <v>132</v>
      </c>
      <c r="B132" s="87"/>
      <c r="C132" s="87"/>
      <c r="D132" s="88">
        <f t="shared" ref="D132:D195" si="2">B132*C132</f>
        <v>0</v>
      </c>
    </row>
    <row r="133" spans="1:4" ht="18" hidden="1" x14ac:dyDescent="0.3">
      <c r="A133" s="65" t="s">
        <v>133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134</v>
      </c>
      <c r="B134" s="87"/>
      <c r="C134" s="87"/>
      <c r="D134" s="88">
        <f t="shared" si="2"/>
        <v>0</v>
      </c>
    </row>
    <row r="135" spans="1:4" ht="18" x14ac:dyDescent="0.3">
      <c r="A135" s="63" t="s">
        <v>142</v>
      </c>
      <c r="B135" s="87">
        <f>20+40+480-60</f>
        <v>480</v>
      </c>
      <c r="C135" s="87">
        <v>26000</v>
      </c>
      <c r="D135" s="88">
        <f t="shared" si="2"/>
        <v>12480000</v>
      </c>
    </row>
    <row r="136" spans="1:4" ht="18" hidden="1" x14ac:dyDescent="0.3">
      <c r="A136" s="73" t="s">
        <v>143</v>
      </c>
      <c r="B136" s="87"/>
      <c r="C136" s="87"/>
      <c r="D136" s="88">
        <f t="shared" si="2"/>
        <v>0</v>
      </c>
    </row>
    <row r="137" spans="1:4" ht="18" hidden="1" x14ac:dyDescent="0.3">
      <c r="A137" s="63" t="s">
        <v>137</v>
      </c>
      <c r="B137" s="89"/>
      <c r="C137" s="89"/>
      <c r="D137" s="88">
        <f t="shared" si="2"/>
        <v>0</v>
      </c>
    </row>
    <row r="138" spans="1:4" ht="18" x14ac:dyDescent="0.3">
      <c r="A138" s="60" t="s">
        <v>138</v>
      </c>
      <c r="B138" s="89">
        <v>0.5</v>
      </c>
      <c r="C138" s="89">
        <v>120000</v>
      </c>
      <c r="D138" s="88">
        <f t="shared" si="2"/>
        <v>60000</v>
      </c>
    </row>
    <row r="139" spans="1:4" ht="18" hidden="1" x14ac:dyDescent="0.3">
      <c r="A139" s="63" t="s">
        <v>139</v>
      </c>
      <c r="B139" s="87"/>
      <c r="C139" s="87"/>
      <c r="D139" s="88">
        <f t="shared" si="2"/>
        <v>0</v>
      </c>
    </row>
    <row r="140" spans="1:4" ht="18" hidden="1" x14ac:dyDescent="0.3">
      <c r="A140" s="72" t="s">
        <v>140</v>
      </c>
      <c r="B140" s="87"/>
      <c r="C140" s="87"/>
      <c r="D140" s="88">
        <f t="shared" si="2"/>
        <v>0</v>
      </c>
    </row>
    <row r="141" spans="1:4" ht="18" hidden="1" x14ac:dyDescent="0.3">
      <c r="A141" s="60" t="s">
        <v>141</v>
      </c>
      <c r="B141" s="87"/>
      <c r="C141" s="87"/>
      <c r="D141" s="88">
        <f t="shared" si="2"/>
        <v>0</v>
      </c>
    </row>
    <row r="142" spans="1:4" ht="18" hidden="1" x14ac:dyDescent="0.3">
      <c r="A142" s="63" t="s">
        <v>41</v>
      </c>
      <c r="B142" s="87"/>
      <c r="C142" s="87"/>
      <c r="D142" s="88">
        <f t="shared" si="2"/>
        <v>0</v>
      </c>
    </row>
    <row r="143" spans="1:4" ht="18" hidden="1" x14ac:dyDescent="0.3">
      <c r="A143" s="63" t="s">
        <v>135</v>
      </c>
      <c r="B143" s="87"/>
      <c r="C143" s="87"/>
      <c r="D143" s="88">
        <f t="shared" si="2"/>
        <v>0</v>
      </c>
    </row>
    <row r="144" spans="1:4" ht="18" hidden="1" x14ac:dyDescent="0.3">
      <c r="A144" s="73" t="s">
        <v>144</v>
      </c>
      <c r="B144" s="87"/>
      <c r="C144" s="87"/>
      <c r="D144" s="88">
        <f t="shared" si="2"/>
        <v>0</v>
      </c>
    </row>
    <row r="145" spans="1:4" ht="18" hidden="1" x14ac:dyDescent="0.3">
      <c r="A145" s="63" t="s">
        <v>145</v>
      </c>
      <c r="B145" s="87"/>
      <c r="C145" s="87"/>
      <c r="D145" s="88">
        <f t="shared" si="2"/>
        <v>0</v>
      </c>
    </row>
    <row r="146" spans="1:4" ht="18" hidden="1" x14ac:dyDescent="0.3">
      <c r="A146" s="63" t="s">
        <v>146</v>
      </c>
      <c r="B146" s="87"/>
      <c r="C146" s="87"/>
      <c r="D146" s="88">
        <f t="shared" si="2"/>
        <v>0</v>
      </c>
    </row>
    <row r="147" spans="1:4" ht="18" hidden="1" x14ac:dyDescent="0.3">
      <c r="A147" s="63" t="s">
        <v>147</v>
      </c>
      <c r="B147" s="87"/>
      <c r="C147" s="87"/>
      <c r="D147" s="88">
        <f t="shared" si="2"/>
        <v>0</v>
      </c>
    </row>
    <row r="148" spans="1:4" ht="18" hidden="1" x14ac:dyDescent="0.3">
      <c r="A148" s="65" t="s">
        <v>136</v>
      </c>
      <c r="B148" s="87"/>
      <c r="C148" s="87"/>
      <c r="D148" s="88">
        <f t="shared" si="2"/>
        <v>0</v>
      </c>
    </row>
    <row r="149" spans="1:4" ht="18" hidden="1" x14ac:dyDescent="0.3">
      <c r="A149" s="68" t="s">
        <v>149</v>
      </c>
      <c r="B149" s="87"/>
      <c r="C149" s="87"/>
      <c r="D149" s="88">
        <f t="shared" si="2"/>
        <v>0</v>
      </c>
    </row>
    <row r="150" spans="1:4" ht="18" hidden="1" x14ac:dyDescent="0.3">
      <c r="A150" s="63" t="s">
        <v>150</v>
      </c>
      <c r="B150" s="87"/>
      <c r="C150" s="87"/>
      <c r="D150" s="88">
        <f t="shared" si="2"/>
        <v>0</v>
      </c>
    </row>
    <row r="151" spans="1:4" ht="18" hidden="1" x14ac:dyDescent="0.3">
      <c r="A151" s="61" t="s">
        <v>151</v>
      </c>
      <c r="B151" s="87"/>
      <c r="C151" s="87"/>
      <c r="D151" s="88">
        <f t="shared" si="2"/>
        <v>0</v>
      </c>
    </row>
    <row r="152" spans="1:4" ht="18" x14ac:dyDescent="0.3">
      <c r="A152" s="67" t="s">
        <v>152</v>
      </c>
      <c r="B152" s="87">
        <v>4</v>
      </c>
      <c r="C152" s="87">
        <v>12500</v>
      </c>
      <c r="D152" s="88">
        <f t="shared" si="2"/>
        <v>50000</v>
      </c>
    </row>
    <row r="153" spans="1:4" ht="18" hidden="1" x14ac:dyDescent="0.3">
      <c r="A153" s="63" t="s">
        <v>153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154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155</v>
      </c>
      <c r="B155" s="87"/>
      <c r="C155" s="87"/>
      <c r="D155" s="88">
        <f t="shared" si="2"/>
        <v>0</v>
      </c>
    </row>
    <row r="156" spans="1:4" ht="18" hidden="1" x14ac:dyDescent="0.3">
      <c r="A156" s="62" t="s">
        <v>156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157</v>
      </c>
      <c r="B157" s="87"/>
      <c r="C157" s="87"/>
      <c r="D157" s="88">
        <f t="shared" si="2"/>
        <v>0</v>
      </c>
    </row>
    <row r="158" spans="1:4" ht="18" hidden="1" x14ac:dyDescent="0.3">
      <c r="A158" s="63" t="s">
        <v>158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159</v>
      </c>
      <c r="B159" s="87"/>
      <c r="C159" s="87"/>
      <c r="D159" s="88">
        <f t="shared" si="2"/>
        <v>0</v>
      </c>
    </row>
    <row r="160" spans="1:4" ht="18" hidden="1" x14ac:dyDescent="0.3">
      <c r="A160" s="14" t="s">
        <v>160</v>
      </c>
      <c r="B160" s="87"/>
      <c r="C160" s="87"/>
      <c r="D160" s="88">
        <f t="shared" si="2"/>
        <v>0</v>
      </c>
    </row>
    <row r="161" spans="1:4" ht="18" hidden="1" x14ac:dyDescent="0.3">
      <c r="A161" s="63" t="s">
        <v>161</v>
      </c>
      <c r="B161" s="87"/>
      <c r="C161" s="87"/>
      <c r="D161" s="88">
        <f t="shared" si="2"/>
        <v>0</v>
      </c>
    </row>
    <row r="162" spans="1:4" ht="18" x14ac:dyDescent="0.3">
      <c r="A162" s="63" t="s">
        <v>162</v>
      </c>
      <c r="B162" s="87">
        <v>16</v>
      </c>
      <c r="C162" s="87">
        <v>7000</v>
      </c>
      <c r="D162" s="88">
        <f t="shared" si="2"/>
        <v>112000</v>
      </c>
    </row>
    <row r="163" spans="1:4" ht="18" x14ac:dyDescent="0.3">
      <c r="A163" s="63" t="s">
        <v>163</v>
      </c>
      <c r="B163" s="87">
        <v>30</v>
      </c>
      <c r="C163" s="87">
        <v>16000</v>
      </c>
      <c r="D163" s="88">
        <f t="shared" si="2"/>
        <v>480000</v>
      </c>
    </row>
    <row r="164" spans="1:4" ht="18" hidden="1" x14ac:dyDescent="0.3">
      <c r="A164" s="61" t="s">
        <v>286</v>
      </c>
      <c r="B164" s="87"/>
      <c r="C164" s="87"/>
      <c r="D164" s="88">
        <f t="shared" si="2"/>
        <v>0</v>
      </c>
    </row>
    <row r="165" spans="1:4" ht="18" hidden="1" x14ac:dyDescent="0.3">
      <c r="A165" s="63" t="s">
        <v>319</v>
      </c>
      <c r="B165" s="87"/>
      <c r="C165" s="87"/>
      <c r="D165" s="88">
        <f t="shared" si="2"/>
        <v>0</v>
      </c>
    </row>
    <row r="166" spans="1:4" ht="18" x14ac:dyDescent="0.3">
      <c r="A166" s="63" t="s">
        <v>166</v>
      </c>
      <c r="B166" s="87">
        <v>15</v>
      </c>
      <c r="C166" s="87">
        <v>15000</v>
      </c>
      <c r="D166" s="88">
        <f t="shared" si="2"/>
        <v>225000</v>
      </c>
    </row>
    <row r="167" spans="1:4" ht="18" hidden="1" x14ac:dyDescent="0.3">
      <c r="A167" s="63" t="s">
        <v>167</v>
      </c>
      <c r="B167" s="87"/>
      <c r="C167" s="87"/>
      <c r="D167" s="88">
        <f t="shared" si="2"/>
        <v>0</v>
      </c>
    </row>
    <row r="168" spans="1:4" ht="18" hidden="1" x14ac:dyDescent="0.3">
      <c r="A168" s="74" t="s">
        <v>168</v>
      </c>
      <c r="B168" s="87"/>
      <c r="C168" s="87"/>
      <c r="D168" s="88">
        <f t="shared" si="2"/>
        <v>0</v>
      </c>
    </row>
    <row r="169" spans="1:4" ht="18" hidden="1" x14ac:dyDescent="0.3">
      <c r="A169" s="63" t="s">
        <v>169</v>
      </c>
      <c r="B169" s="87"/>
      <c r="C169" s="87"/>
      <c r="D169" s="88">
        <f t="shared" si="2"/>
        <v>0</v>
      </c>
    </row>
    <row r="170" spans="1:4" ht="18" hidden="1" x14ac:dyDescent="0.3">
      <c r="A170" s="63" t="s">
        <v>89</v>
      </c>
      <c r="B170" s="87"/>
      <c r="C170" s="87"/>
      <c r="D170" s="88">
        <f t="shared" si="2"/>
        <v>0</v>
      </c>
    </row>
    <row r="171" spans="1:4" ht="18" hidden="1" x14ac:dyDescent="0.3">
      <c r="A171" s="63" t="s">
        <v>171</v>
      </c>
      <c r="B171" s="87"/>
      <c r="C171" s="87"/>
      <c r="D171" s="88">
        <f t="shared" si="2"/>
        <v>0</v>
      </c>
    </row>
    <row r="172" spans="1:4" ht="18" hidden="1" x14ac:dyDescent="0.3">
      <c r="A172" s="13" t="s">
        <v>172</v>
      </c>
      <c r="B172" s="87"/>
      <c r="C172" s="87"/>
      <c r="D172" s="88">
        <f t="shared" si="2"/>
        <v>0</v>
      </c>
    </row>
    <row r="173" spans="1:4" ht="18" hidden="1" x14ac:dyDescent="0.3">
      <c r="A173" s="13" t="s">
        <v>173</v>
      </c>
      <c r="B173" s="87"/>
      <c r="C173" s="87"/>
      <c r="D173" s="88">
        <f t="shared" si="2"/>
        <v>0</v>
      </c>
    </row>
    <row r="174" spans="1:4" ht="18" hidden="1" x14ac:dyDescent="0.3">
      <c r="A174" s="61" t="s">
        <v>174</v>
      </c>
      <c r="B174" s="87"/>
      <c r="C174" s="87"/>
      <c r="D174" s="88">
        <f t="shared" si="2"/>
        <v>0</v>
      </c>
    </row>
    <row r="175" spans="1:4" ht="18" x14ac:dyDescent="0.3">
      <c r="A175" s="60" t="s">
        <v>175</v>
      </c>
      <c r="B175" s="87">
        <v>55</v>
      </c>
      <c r="C175" s="87">
        <v>28000</v>
      </c>
      <c r="D175" s="88">
        <f t="shared" si="2"/>
        <v>1540000</v>
      </c>
    </row>
    <row r="176" spans="1:4" ht="18" hidden="1" x14ac:dyDescent="0.3">
      <c r="A176" s="63" t="s">
        <v>28</v>
      </c>
      <c r="B176" s="87"/>
      <c r="C176" s="87"/>
      <c r="D176" s="88">
        <f t="shared" si="2"/>
        <v>0</v>
      </c>
    </row>
    <row r="177" spans="1:4" ht="18" x14ac:dyDescent="0.3">
      <c r="A177" s="63" t="s">
        <v>177</v>
      </c>
      <c r="B177" s="87">
        <v>100</v>
      </c>
      <c r="C177" s="87">
        <v>8000</v>
      </c>
      <c r="D177" s="88">
        <f t="shared" si="2"/>
        <v>800000</v>
      </c>
    </row>
    <row r="178" spans="1:4" ht="18" hidden="1" x14ac:dyDescent="0.3">
      <c r="A178" s="60" t="s">
        <v>178</v>
      </c>
      <c r="B178" s="87"/>
      <c r="C178" s="87"/>
      <c r="D178" s="88">
        <f t="shared" si="2"/>
        <v>0</v>
      </c>
    </row>
    <row r="179" spans="1:4" ht="18" x14ac:dyDescent="0.3">
      <c r="A179" s="60" t="s">
        <v>179</v>
      </c>
      <c r="B179" s="87">
        <v>15</v>
      </c>
      <c r="C179" s="87">
        <v>25000</v>
      </c>
      <c r="D179" s="88">
        <f t="shared" si="2"/>
        <v>375000</v>
      </c>
    </row>
    <row r="180" spans="1:4" ht="18" hidden="1" x14ac:dyDescent="0.3">
      <c r="A180" s="60" t="s">
        <v>180</v>
      </c>
      <c r="B180" s="87"/>
      <c r="C180" s="87"/>
      <c r="D180" s="88">
        <f t="shared" si="2"/>
        <v>0</v>
      </c>
    </row>
    <row r="181" spans="1:4" ht="18" hidden="1" x14ac:dyDescent="0.3">
      <c r="A181" s="63" t="s">
        <v>181</v>
      </c>
      <c r="B181" s="87"/>
      <c r="C181" s="87"/>
      <c r="D181" s="88">
        <f t="shared" si="2"/>
        <v>0</v>
      </c>
    </row>
    <row r="182" spans="1:4" ht="18" hidden="1" x14ac:dyDescent="0.3">
      <c r="A182" s="63" t="s">
        <v>182</v>
      </c>
      <c r="B182" s="87"/>
      <c r="C182" s="87"/>
      <c r="D182" s="88">
        <f t="shared" si="2"/>
        <v>0</v>
      </c>
    </row>
    <row r="183" spans="1:4" ht="18" hidden="1" x14ac:dyDescent="0.3">
      <c r="A183" s="63" t="s">
        <v>183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184</v>
      </c>
      <c r="B184" s="87"/>
      <c r="C184" s="87"/>
      <c r="D184" s="88">
        <f t="shared" si="2"/>
        <v>0</v>
      </c>
    </row>
    <row r="185" spans="1:4" ht="18" hidden="1" x14ac:dyDescent="0.3">
      <c r="A185" s="63" t="s">
        <v>185</v>
      </c>
      <c r="B185" s="87"/>
      <c r="C185" s="87"/>
      <c r="D185" s="88">
        <f t="shared" si="2"/>
        <v>0</v>
      </c>
    </row>
    <row r="186" spans="1:4" ht="18" hidden="1" x14ac:dyDescent="0.3">
      <c r="A186" s="63" t="s">
        <v>186</v>
      </c>
      <c r="B186" s="87"/>
      <c r="C186" s="87"/>
      <c r="D186" s="88">
        <f t="shared" si="2"/>
        <v>0</v>
      </c>
    </row>
    <row r="187" spans="1:4" ht="18" hidden="1" x14ac:dyDescent="0.3">
      <c r="A187" s="63" t="s">
        <v>187</v>
      </c>
      <c r="B187" s="87"/>
      <c r="C187" s="87"/>
      <c r="D187" s="88">
        <f t="shared" si="2"/>
        <v>0</v>
      </c>
    </row>
    <row r="188" spans="1:4" ht="18" hidden="1" x14ac:dyDescent="0.3">
      <c r="A188" s="63" t="s">
        <v>188</v>
      </c>
      <c r="B188" s="87"/>
      <c r="C188" s="87"/>
      <c r="D188" s="88">
        <f t="shared" si="2"/>
        <v>0</v>
      </c>
    </row>
    <row r="189" spans="1:4" ht="18" hidden="1" x14ac:dyDescent="0.3">
      <c r="A189" s="64" t="s">
        <v>189</v>
      </c>
      <c r="B189" s="87"/>
      <c r="C189" s="87"/>
      <c r="D189" s="88">
        <f t="shared" si="2"/>
        <v>0</v>
      </c>
    </row>
    <row r="190" spans="1:4" ht="18" hidden="1" x14ac:dyDescent="0.3">
      <c r="A190" s="70" t="s">
        <v>190</v>
      </c>
      <c r="B190" s="87"/>
      <c r="C190" s="87"/>
      <c r="D190" s="88">
        <f t="shared" si="2"/>
        <v>0</v>
      </c>
    </row>
    <row r="191" spans="1:4" ht="18" hidden="1" x14ac:dyDescent="0.3">
      <c r="A191" s="63" t="s">
        <v>191</v>
      </c>
      <c r="B191" s="87"/>
      <c r="C191" s="87"/>
      <c r="D191" s="88">
        <f t="shared" si="2"/>
        <v>0</v>
      </c>
    </row>
    <row r="192" spans="1:4" ht="18" hidden="1" x14ac:dyDescent="0.3">
      <c r="A192" s="70" t="s">
        <v>308</v>
      </c>
      <c r="B192" s="87"/>
      <c r="C192" s="87"/>
      <c r="D192" s="88">
        <f t="shared" si="2"/>
        <v>0</v>
      </c>
    </row>
    <row r="193" spans="1:4" ht="18" hidden="1" x14ac:dyDescent="0.3">
      <c r="A193" s="63" t="s">
        <v>192</v>
      </c>
      <c r="B193" s="87"/>
      <c r="C193" s="87"/>
      <c r="D193" s="88">
        <f t="shared" si="2"/>
        <v>0</v>
      </c>
    </row>
    <row r="194" spans="1:4" ht="18" hidden="1" x14ac:dyDescent="0.3">
      <c r="A194" s="60" t="s">
        <v>193</v>
      </c>
      <c r="B194" s="87"/>
      <c r="C194" s="87"/>
      <c r="D194" s="88">
        <f t="shared" si="2"/>
        <v>0</v>
      </c>
    </row>
    <row r="195" spans="1:4" ht="18" hidden="1" x14ac:dyDescent="0.3">
      <c r="A195" s="63" t="s">
        <v>32</v>
      </c>
      <c r="B195" s="87"/>
      <c r="C195" s="87"/>
      <c r="D195" s="88">
        <f t="shared" si="2"/>
        <v>0</v>
      </c>
    </row>
    <row r="196" spans="1:4" ht="18" hidden="1" x14ac:dyDescent="0.3">
      <c r="A196" s="63" t="s">
        <v>195</v>
      </c>
      <c r="B196" s="87"/>
      <c r="C196" s="87"/>
      <c r="D196" s="88">
        <f t="shared" ref="D196:D259" si="3">B196*C196</f>
        <v>0</v>
      </c>
    </row>
    <row r="197" spans="1:4" ht="18" hidden="1" x14ac:dyDescent="0.3">
      <c r="A197" s="63" t="s">
        <v>196</v>
      </c>
      <c r="B197" s="87"/>
      <c r="C197" s="87"/>
      <c r="D197" s="88">
        <f t="shared" si="3"/>
        <v>0</v>
      </c>
    </row>
    <row r="198" spans="1:4" ht="18" hidden="1" x14ac:dyDescent="0.3">
      <c r="A198" s="62" t="s">
        <v>197</v>
      </c>
      <c r="B198" s="87"/>
      <c r="C198" s="87"/>
      <c r="D198" s="88">
        <f t="shared" si="3"/>
        <v>0</v>
      </c>
    </row>
    <row r="199" spans="1:4" ht="18" hidden="1" x14ac:dyDescent="0.3">
      <c r="A199" s="78" t="s">
        <v>198</v>
      </c>
      <c r="B199" s="87"/>
      <c r="C199" s="87"/>
      <c r="D199" s="88">
        <f t="shared" si="3"/>
        <v>0</v>
      </c>
    </row>
    <row r="200" spans="1:4" ht="18" hidden="1" x14ac:dyDescent="0.3">
      <c r="A200" s="60" t="s">
        <v>199</v>
      </c>
      <c r="B200" s="87"/>
      <c r="C200" s="87"/>
      <c r="D200" s="88">
        <f t="shared" si="3"/>
        <v>0</v>
      </c>
    </row>
    <row r="201" spans="1:4" ht="18" hidden="1" x14ac:dyDescent="0.3">
      <c r="A201" s="61" t="s">
        <v>200</v>
      </c>
      <c r="B201" s="87"/>
      <c r="C201" s="87"/>
      <c r="D201" s="88">
        <f t="shared" si="3"/>
        <v>0</v>
      </c>
    </row>
    <row r="202" spans="1:4" ht="18" hidden="1" x14ac:dyDescent="0.3">
      <c r="A202" s="61" t="s">
        <v>201</v>
      </c>
      <c r="B202" s="87"/>
      <c r="C202" s="87"/>
      <c r="D202" s="88">
        <f t="shared" si="3"/>
        <v>0</v>
      </c>
    </row>
    <row r="203" spans="1:4" ht="18" hidden="1" x14ac:dyDescent="0.3">
      <c r="A203" s="61" t="s">
        <v>202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203</v>
      </c>
      <c r="B204" s="87"/>
      <c r="C204" s="87"/>
      <c r="D204" s="88">
        <f t="shared" si="3"/>
        <v>0</v>
      </c>
    </row>
    <row r="205" spans="1:4" ht="18" hidden="1" x14ac:dyDescent="0.3">
      <c r="A205" s="63" t="s">
        <v>204</v>
      </c>
      <c r="B205" s="87"/>
      <c r="C205" s="87"/>
      <c r="D205" s="88">
        <f t="shared" si="3"/>
        <v>0</v>
      </c>
    </row>
    <row r="206" spans="1:4" ht="18" hidden="1" x14ac:dyDescent="0.3">
      <c r="A206" s="63" t="s">
        <v>205</v>
      </c>
      <c r="B206" s="87"/>
      <c r="C206" s="87"/>
      <c r="D206" s="88">
        <f t="shared" si="3"/>
        <v>0</v>
      </c>
    </row>
    <row r="207" spans="1:4" ht="18" hidden="1" x14ac:dyDescent="0.3">
      <c r="A207" s="63" t="s">
        <v>206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207</v>
      </c>
      <c r="B208" s="87"/>
      <c r="C208" s="87"/>
      <c r="D208" s="88">
        <f t="shared" si="3"/>
        <v>0</v>
      </c>
    </row>
    <row r="209" spans="1:4" ht="18" hidden="1" x14ac:dyDescent="0.3">
      <c r="A209" s="60" t="s">
        <v>208</v>
      </c>
      <c r="B209" s="87"/>
      <c r="C209" s="87"/>
      <c r="D209" s="88">
        <f t="shared" si="3"/>
        <v>0</v>
      </c>
    </row>
    <row r="210" spans="1:4" ht="18" hidden="1" x14ac:dyDescent="0.3">
      <c r="A210" s="60" t="s">
        <v>209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210</v>
      </c>
      <c r="B211" s="87"/>
      <c r="C211" s="87"/>
      <c r="D211" s="88">
        <f t="shared" si="3"/>
        <v>0</v>
      </c>
    </row>
    <row r="212" spans="1:4" ht="18" hidden="1" x14ac:dyDescent="0.3">
      <c r="A212" s="63" t="s">
        <v>211</v>
      </c>
      <c r="B212" s="87"/>
      <c r="C212" s="87"/>
      <c r="D212" s="88">
        <f t="shared" si="3"/>
        <v>0</v>
      </c>
    </row>
    <row r="213" spans="1:4" ht="18" x14ac:dyDescent="0.3">
      <c r="A213" s="63" t="s">
        <v>212</v>
      </c>
      <c r="B213" s="87">
        <v>1</v>
      </c>
      <c r="C213" s="87">
        <v>25000</v>
      </c>
      <c r="D213" s="88">
        <f t="shared" si="3"/>
        <v>25000</v>
      </c>
    </row>
    <row r="214" spans="1:4" ht="18" hidden="1" x14ac:dyDescent="0.3">
      <c r="A214" s="61" t="s">
        <v>213</v>
      </c>
      <c r="B214" s="87"/>
      <c r="C214" s="87"/>
      <c r="D214" s="88">
        <f t="shared" si="3"/>
        <v>0</v>
      </c>
    </row>
    <row r="215" spans="1:4" ht="18" hidden="1" x14ac:dyDescent="0.3">
      <c r="A215" s="63" t="s">
        <v>214</v>
      </c>
      <c r="B215" s="87"/>
      <c r="C215" s="87"/>
      <c r="D215" s="88">
        <f t="shared" si="3"/>
        <v>0</v>
      </c>
    </row>
    <row r="216" spans="1:4" ht="18" hidden="1" x14ac:dyDescent="0.3">
      <c r="A216" s="61" t="s">
        <v>215</v>
      </c>
      <c r="B216" s="87"/>
      <c r="C216" s="87"/>
      <c r="D216" s="88">
        <f t="shared" si="3"/>
        <v>0</v>
      </c>
    </row>
    <row r="217" spans="1:4" ht="18" hidden="1" x14ac:dyDescent="0.3">
      <c r="A217" s="63" t="s">
        <v>216</v>
      </c>
      <c r="B217" s="87"/>
      <c r="C217" s="87"/>
      <c r="D217" s="88">
        <f t="shared" si="3"/>
        <v>0</v>
      </c>
    </row>
    <row r="218" spans="1:4" ht="18" hidden="1" x14ac:dyDescent="0.3">
      <c r="A218" s="63" t="s">
        <v>217</v>
      </c>
      <c r="B218" s="87"/>
      <c r="C218" s="87"/>
      <c r="D218" s="88">
        <f t="shared" si="3"/>
        <v>0</v>
      </c>
    </row>
    <row r="219" spans="1:4" ht="18" hidden="1" x14ac:dyDescent="0.3">
      <c r="A219" s="63" t="s">
        <v>218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219</v>
      </c>
      <c r="B220" s="87"/>
      <c r="C220" s="87"/>
      <c r="D220" s="88">
        <f t="shared" si="3"/>
        <v>0</v>
      </c>
    </row>
    <row r="221" spans="1:4" ht="18" hidden="1" x14ac:dyDescent="0.3">
      <c r="A221" s="65" t="s">
        <v>220</v>
      </c>
      <c r="B221" s="87"/>
      <c r="C221" s="87"/>
      <c r="D221" s="88">
        <f t="shared" si="3"/>
        <v>0</v>
      </c>
    </row>
    <row r="222" spans="1:4" ht="18" hidden="1" x14ac:dyDescent="0.3">
      <c r="A222" s="60" t="s">
        <v>221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231</v>
      </c>
      <c r="B223" s="87"/>
      <c r="C223" s="87"/>
      <c r="D223" s="88">
        <f t="shared" si="3"/>
        <v>0</v>
      </c>
    </row>
    <row r="224" spans="1:4" ht="18" hidden="1" x14ac:dyDescent="0.3">
      <c r="A224" s="63" t="s">
        <v>223</v>
      </c>
      <c r="B224" s="87"/>
      <c r="C224" s="87"/>
      <c r="D224" s="88">
        <f t="shared" si="3"/>
        <v>0</v>
      </c>
    </row>
    <row r="225" spans="1:4" ht="18" hidden="1" x14ac:dyDescent="0.3">
      <c r="A225" s="61" t="s">
        <v>224</v>
      </c>
      <c r="B225" s="89"/>
      <c r="C225" s="89"/>
      <c r="D225" s="88">
        <f t="shared" si="3"/>
        <v>0</v>
      </c>
    </row>
    <row r="226" spans="1:4" ht="18" hidden="1" x14ac:dyDescent="0.3">
      <c r="A226" s="61" t="s">
        <v>225</v>
      </c>
      <c r="B226" s="87"/>
      <c r="C226" s="87"/>
      <c r="D226" s="88">
        <f t="shared" si="3"/>
        <v>0</v>
      </c>
    </row>
    <row r="227" spans="1:4" ht="18" hidden="1" x14ac:dyDescent="0.3">
      <c r="A227" s="61" t="s">
        <v>226</v>
      </c>
      <c r="B227" s="89"/>
      <c r="C227" s="89"/>
      <c r="D227" s="88">
        <f t="shared" si="3"/>
        <v>0</v>
      </c>
    </row>
    <row r="228" spans="1:4" ht="18" hidden="1" x14ac:dyDescent="0.3">
      <c r="A228" s="65" t="s">
        <v>227</v>
      </c>
      <c r="B228" s="87"/>
      <c r="C228" s="87"/>
      <c r="D228" s="88">
        <f t="shared" si="3"/>
        <v>0</v>
      </c>
    </row>
    <row r="229" spans="1:4" ht="18" hidden="1" x14ac:dyDescent="0.3">
      <c r="A229" s="64" t="s">
        <v>228</v>
      </c>
      <c r="B229" s="87"/>
      <c r="C229" s="87"/>
      <c r="D229" s="88">
        <f t="shared" si="3"/>
        <v>0</v>
      </c>
    </row>
    <row r="230" spans="1:4" ht="18" hidden="1" x14ac:dyDescent="0.3">
      <c r="A230" s="64" t="s">
        <v>229</v>
      </c>
      <c r="B230" s="87"/>
      <c r="C230" s="87"/>
      <c r="D230" s="88">
        <f t="shared" si="3"/>
        <v>0</v>
      </c>
    </row>
    <row r="231" spans="1:4" ht="18" hidden="1" x14ac:dyDescent="0.3">
      <c r="A231" s="61" t="s">
        <v>230</v>
      </c>
      <c r="B231" s="87"/>
      <c r="C231" s="87"/>
      <c r="D231" s="88">
        <f t="shared" si="3"/>
        <v>0</v>
      </c>
    </row>
    <row r="232" spans="1:4" ht="18" hidden="1" x14ac:dyDescent="0.3">
      <c r="A232" s="63" t="s">
        <v>71</v>
      </c>
      <c r="B232" s="87"/>
      <c r="C232" s="87"/>
      <c r="D232" s="88">
        <f t="shared" si="3"/>
        <v>0</v>
      </c>
    </row>
    <row r="233" spans="1:4" ht="18" hidden="1" x14ac:dyDescent="0.3">
      <c r="A233" s="63" t="s">
        <v>232</v>
      </c>
      <c r="B233" s="87"/>
      <c r="C233" s="87"/>
      <c r="D233" s="88">
        <f t="shared" si="3"/>
        <v>0</v>
      </c>
    </row>
    <row r="234" spans="1:4" ht="18" hidden="1" x14ac:dyDescent="0.3">
      <c r="A234" s="65" t="s">
        <v>233</v>
      </c>
      <c r="B234" s="87"/>
      <c r="C234" s="87"/>
      <c r="D234" s="88">
        <f t="shared" si="3"/>
        <v>0</v>
      </c>
    </row>
    <row r="235" spans="1:4" ht="18" hidden="1" x14ac:dyDescent="0.3">
      <c r="A235" s="60" t="s">
        <v>234</v>
      </c>
      <c r="B235" s="87"/>
      <c r="C235" s="87"/>
      <c r="D235" s="88">
        <f t="shared" si="3"/>
        <v>0</v>
      </c>
    </row>
    <row r="236" spans="1:4" ht="18" hidden="1" x14ac:dyDescent="0.3">
      <c r="A236" s="63" t="s">
        <v>235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236</v>
      </c>
      <c r="B237" s="87"/>
      <c r="C237" s="87"/>
      <c r="D237" s="88">
        <f t="shared" si="3"/>
        <v>0</v>
      </c>
    </row>
    <row r="238" spans="1:4" ht="18" hidden="1" x14ac:dyDescent="0.3">
      <c r="A238" s="64" t="s">
        <v>237</v>
      </c>
      <c r="B238" s="87"/>
      <c r="C238" s="87"/>
      <c r="D238" s="88">
        <f t="shared" si="3"/>
        <v>0</v>
      </c>
    </row>
    <row r="239" spans="1:4" ht="18" hidden="1" x14ac:dyDescent="0.3">
      <c r="A239" s="63" t="s">
        <v>238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239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240</v>
      </c>
      <c r="B241" s="87"/>
      <c r="C241" s="87"/>
      <c r="D241" s="88">
        <f t="shared" si="3"/>
        <v>0</v>
      </c>
    </row>
    <row r="242" spans="1:4" ht="18" hidden="1" x14ac:dyDescent="0.3">
      <c r="A242" s="63" t="s">
        <v>241</v>
      </c>
      <c r="B242" s="87"/>
      <c r="C242" s="87"/>
      <c r="D242" s="88">
        <f t="shared" si="3"/>
        <v>0</v>
      </c>
    </row>
    <row r="243" spans="1:4" ht="18" hidden="1" x14ac:dyDescent="0.3">
      <c r="A243" s="64" t="s">
        <v>242</v>
      </c>
      <c r="B243" s="87"/>
      <c r="C243" s="87"/>
      <c r="D243" s="88">
        <f t="shared" si="3"/>
        <v>0</v>
      </c>
    </row>
    <row r="244" spans="1:4" ht="18" hidden="1" x14ac:dyDescent="0.3">
      <c r="A244" s="63" t="s">
        <v>243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244</v>
      </c>
      <c r="B245" s="87"/>
      <c r="C245" s="87"/>
      <c r="D245" s="88">
        <f t="shared" si="3"/>
        <v>0</v>
      </c>
    </row>
    <row r="246" spans="1:4" ht="18" hidden="1" x14ac:dyDescent="0.3">
      <c r="A246" s="64" t="s">
        <v>245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246</v>
      </c>
      <c r="B247" s="87"/>
      <c r="C247" s="87"/>
      <c r="D247" s="88">
        <f t="shared" si="3"/>
        <v>0</v>
      </c>
    </row>
    <row r="248" spans="1:4" ht="18" hidden="1" x14ac:dyDescent="0.3">
      <c r="A248" s="79" t="s">
        <v>247</v>
      </c>
      <c r="B248" s="87"/>
      <c r="C248" s="87"/>
      <c r="D248" s="88">
        <f t="shared" si="3"/>
        <v>0</v>
      </c>
    </row>
    <row r="249" spans="1:4" ht="18" hidden="1" x14ac:dyDescent="0.3">
      <c r="A249" s="79" t="s">
        <v>248</v>
      </c>
      <c r="B249" s="87"/>
      <c r="C249" s="87"/>
      <c r="D249" s="88">
        <f t="shared" si="3"/>
        <v>0</v>
      </c>
    </row>
    <row r="250" spans="1:4" ht="18" hidden="1" x14ac:dyDescent="0.3">
      <c r="A250" s="64" t="s">
        <v>249</v>
      </c>
      <c r="B250" s="87"/>
      <c r="C250" s="87"/>
      <c r="D250" s="88">
        <f t="shared" si="3"/>
        <v>0</v>
      </c>
    </row>
    <row r="251" spans="1:4" ht="18" hidden="1" x14ac:dyDescent="0.3">
      <c r="A251" s="79" t="s">
        <v>250</v>
      </c>
      <c r="B251" s="87"/>
      <c r="C251" s="87"/>
      <c r="D251" s="88">
        <f t="shared" si="3"/>
        <v>0</v>
      </c>
    </row>
    <row r="252" spans="1:4" ht="18" x14ac:dyDescent="0.3">
      <c r="A252" s="79" t="s">
        <v>251</v>
      </c>
      <c r="B252" s="87">
        <v>51</v>
      </c>
      <c r="C252" s="87">
        <v>30000</v>
      </c>
      <c r="D252" s="88">
        <f t="shared" si="3"/>
        <v>1530000</v>
      </c>
    </row>
    <row r="253" spans="1:4" ht="18" hidden="1" x14ac:dyDescent="0.3">
      <c r="A253" s="79" t="s">
        <v>252</v>
      </c>
      <c r="B253" s="87"/>
      <c r="C253" s="87"/>
      <c r="D253" s="88">
        <f t="shared" si="3"/>
        <v>0</v>
      </c>
    </row>
    <row r="254" spans="1:4" ht="18" hidden="1" x14ac:dyDescent="0.3">
      <c r="A254" s="63" t="s">
        <v>253</v>
      </c>
      <c r="B254" s="87"/>
      <c r="C254" s="87"/>
      <c r="D254" s="88">
        <f t="shared" si="3"/>
        <v>0</v>
      </c>
    </row>
    <row r="255" spans="1:4" ht="18" hidden="1" x14ac:dyDescent="0.3">
      <c r="A255" s="63" t="s">
        <v>254</v>
      </c>
      <c r="B255" s="87"/>
      <c r="C255" s="87"/>
      <c r="D255" s="88">
        <f t="shared" si="3"/>
        <v>0</v>
      </c>
    </row>
    <row r="256" spans="1:4" ht="18" hidden="1" x14ac:dyDescent="0.3">
      <c r="A256" s="63" t="s">
        <v>259</v>
      </c>
      <c r="B256" s="87"/>
      <c r="C256" s="87"/>
      <c r="D256" s="88">
        <f t="shared" si="3"/>
        <v>0</v>
      </c>
    </row>
    <row r="257" spans="1:4" ht="18" hidden="1" x14ac:dyDescent="0.3">
      <c r="A257" s="63" t="s">
        <v>256</v>
      </c>
      <c r="B257" s="87"/>
      <c r="C257" s="87"/>
      <c r="D257" s="88">
        <f t="shared" si="3"/>
        <v>0</v>
      </c>
    </row>
    <row r="258" spans="1:4" ht="18" hidden="1" x14ac:dyDescent="0.3">
      <c r="A258" s="63" t="s">
        <v>257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258</v>
      </c>
      <c r="B259" s="87"/>
      <c r="C259" s="87"/>
      <c r="D259" s="88">
        <f t="shared" si="3"/>
        <v>0</v>
      </c>
    </row>
    <row r="260" spans="1:4" ht="18" hidden="1" x14ac:dyDescent="0.3">
      <c r="A260" s="72" t="s">
        <v>76</v>
      </c>
      <c r="B260" s="87"/>
      <c r="C260" s="87"/>
      <c r="D260" s="88">
        <f t="shared" ref="D260:D293" si="4">B260*C260</f>
        <v>0</v>
      </c>
    </row>
    <row r="261" spans="1:4" ht="18" hidden="1" x14ac:dyDescent="0.3">
      <c r="A261" s="65" t="s">
        <v>260</v>
      </c>
      <c r="B261" s="87"/>
      <c r="C261" s="87"/>
      <c r="D261" s="88">
        <f t="shared" si="4"/>
        <v>0</v>
      </c>
    </row>
    <row r="262" spans="1:4" ht="18" hidden="1" x14ac:dyDescent="0.3">
      <c r="A262" s="63" t="s">
        <v>261</v>
      </c>
      <c r="B262" s="87"/>
      <c r="C262" s="87"/>
      <c r="D262" s="88">
        <f t="shared" si="4"/>
        <v>0</v>
      </c>
    </row>
    <row r="263" spans="1:4" ht="18" hidden="1" x14ac:dyDescent="0.3">
      <c r="A263" s="63" t="s">
        <v>262</v>
      </c>
      <c r="B263" s="87"/>
      <c r="C263" s="87"/>
      <c r="D263" s="88">
        <f t="shared" si="4"/>
        <v>0</v>
      </c>
    </row>
    <row r="264" spans="1:4" ht="18" hidden="1" x14ac:dyDescent="0.3">
      <c r="A264" s="63" t="s">
        <v>263</v>
      </c>
      <c r="B264" s="87"/>
      <c r="C264" s="87"/>
      <c r="D264" s="88">
        <f t="shared" si="4"/>
        <v>0</v>
      </c>
    </row>
    <row r="265" spans="1:4" ht="18" hidden="1" x14ac:dyDescent="0.3">
      <c r="A265" s="72" t="s">
        <v>77</v>
      </c>
      <c r="B265" s="87"/>
      <c r="C265" s="87"/>
      <c r="D265" s="88">
        <f t="shared" si="4"/>
        <v>0</v>
      </c>
    </row>
    <row r="266" spans="1:4" ht="18" hidden="1" x14ac:dyDescent="0.3">
      <c r="A266" s="63" t="s">
        <v>265</v>
      </c>
      <c r="B266" s="87"/>
      <c r="C266" s="87"/>
      <c r="D266" s="88">
        <f t="shared" si="4"/>
        <v>0</v>
      </c>
    </row>
    <row r="267" spans="1:4" ht="18" hidden="1" x14ac:dyDescent="0.3">
      <c r="A267" s="63" t="s">
        <v>266</v>
      </c>
      <c r="B267" s="87"/>
      <c r="C267" s="87"/>
      <c r="D267" s="88">
        <f t="shared" si="4"/>
        <v>0</v>
      </c>
    </row>
    <row r="268" spans="1:4" ht="18" hidden="1" x14ac:dyDescent="0.3">
      <c r="A268" s="63" t="s">
        <v>37</v>
      </c>
      <c r="B268" s="87"/>
      <c r="C268" s="87"/>
      <c r="D268" s="88">
        <f t="shared" si="4"/>
        <v>0</v>
      </c>
    </row>
    <row r="269" spans="1:4" ht="18" hidden="1" x14ac:dyDescent="0.3">
      <c r="A269" s="74" t="s">
        <v>268</v>
      </c>
      <c r="B269" s="87"/>
      <c r="C269" s="87"/>
      <c r="D269" s="88">
        <f t="shared" si="4"/>
        <v>0</v>
      </c>
    </row>
    <row r="270" spans="1:4" ht="18" hidden="1" x14ac:dyDescent="0.3">
      <c r="A270" s="63" t="s">
        <v>269</v>
      </c>
      <c r="B270" s="87"/>
      <c r="C270" s="87"/>
      <c r="D270" s="88">
        <f t="shared" si="4"/>
        <v>0</v>
      </c>
    </row>
    <row r="271" spans="1:4" ht="18" hidden="1" x14ac:dyDescent="0.3">
      <c r="A271" s="63" t="s">
        <v>270</v>
      </c>
      <c r="B271" s="87"/>
      <c r="C271" s="87"/>
      <c r="D271" s="88">
        <f t="shared" si="4"/>
        <v>0</v>
      </c>
    </row>
    <row r="272" spans="1:4" ht="18" hidden="1" x14ac:dyDescent="0.3">
      <c r="A272" s="30" t="s">
        <v>271</v>
      </c>
      <c r="B272" s="87"/>
      <c r="C272" s="87"/>
      <c r="D272" s="88">
        <f t="shared" si="4"/>
        <v>0</v>
      </c>
    </row>
    <row r="273" spans="1:4" ht="18" hidden="1" x14ac:dyDescent="0.3">
      <c r="A273" s="60" t="s">
        <v>272</v>
      </c>
      <c r="B273" s="89"/>
      <c r="C273" s="87"/>
      <c r="D273" s="88">
        <f t="shared" si="4"/>
        <v>0</v>
      </c>
    </row>
    <row r="274" spans="1:4" ht="18" hidden="1" x14ac:dyDescent="0.3">
      <c r="A274" s="63" t="s">
        <v>273</v>
      </c>
      <c r="B274" s="87"/>
      <c r="C274" s="87"/>
      <c r="D274" s="88">
        <f t="shared" si="4"/>
        <v>0</v>
      </c>
    </row>
    <row r="275" spans="1:4" ht="18" hidden="1" x14ac:dyDescent="0.3">
      <c r="A275" s="63" t="s">
        <v>274</v>
      </c>
      <c r="B275" s="87"/>
      <c r="C275" s="87"/>
      <c r="D275" s="88">
        <f t="shared" si="4"/>
        <v>0</v>
      </c>
    </row>
    <row r="276" spans="1:4" ht="18" hidden="1" x14ac:dyDescent="0.3">
      <c r="A276" s="63" t="s">
        <v>275</v>
      </c>
      <c r="B276" s="87"/>
      <c r="C276" s="87"/>
      <c r="D276" s="88">
        <f t="shared" si="4"/>
        <v>0</v>
      </c>
    </row>
    <row r="277" spans="1:4" ht="18" hidden="1" x14ac:dyDescent="0.3">
      <c r="A277" s="65" t="s">
        <v>92</v>
      </c>
      <c r="B277" s="87"/>
      <c r="C277" s="87"/>
      <c r="D277" s="88">
        <f t="shared" si="4"/>
        <v>0</v>
      </c>
    </row>
    <row r="278" spans="1:4" ht="18" hidden="1" x14ac:dyDescent="0.3">
      <c r="A278" s="63" t="s">
        <v>276</v>
      </c>
      <c r="B278" s="87"/>
      <c r="C278" s="87"/>
      <c r="D278" s="88">
        <f t="shared" si="4"/>
        <v>0</v>
      </c>
    </row>
    <row r="279" spans="1:4" ht="18" hidden="1" x14ac:dyDescent="0.3">
      <c r="A279" s="60" t="s">
        <v>170</v>
      </c>
      <c r="B279" s="87"/>
      <c r="C279" s="87"/>
      <c r="D279" s="88">
        <f t="shared" si="4"/>
        <v>0</v>
      </c>
    </row>
    <row r="280" spans="1:4" ht="18" hidden="1" x14ac:dyDescent="0.3">
      <c r="A280" s="61" t="s">
        <v>278</v>
      </c>
      <c r="B280" s="87"/>
      <c r="C280" s="87"/>
      <c r="D280" s="88">
        <f t="shared" si="4"/>
        <v>0</v>
      </c>
    </row>
    <row r="281" spans="1:4" ht="18" hidden="1" x14ac:dyDescent="0.3">
      <c r="A281" s="63" t="s">
        <v>279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280</v>
      </c>
      <c r="B282" s="87"/>
      <c r="C282" s="87"/>
      <c r="D282" s="88">
        <f t="shared" si="4"/>
        <v>0</v>
      </c>
    </row>
    <row r="283" spans="1:4" ht="18" hidden="1" x14ac:dyDescent="0.3">
      <c r="A283" s="63" t="s">
        <v>281</v>
      </c>
      <c r="B283" s="87"/>
      <c r="C283" s="87"/>
      <c r="D283" s="88">
        <f t="shared" si="4"/>
        <v>0</v>
      </c>
    </row>
    <row r="284" spans="1:4" ht="18" x14ac:dyDescent="0.3">
      <c r="A284" s="63" t="s">
        <v>282</v>
      </c>
      <c r="B284" s="87">
        <v>7</v>
      </c>
      <c r="C284" s="87">
        <v>6000</v>
      </c>
      <c r="D284" s="88">
        <f t="shared" si="4"/>
        <v>42000</v>
      </c>
    </row>
    <row r="285" spans="1:4" ht="18" hidden="1" x14ac:dyDescent="0.3">
      <c r="A285" s="60" t="s">
        <v>283</v>
      </c>
      <c r="B285" s="87"/>
      <c r="C285" s="87"/>
      <c r="D285" s="88">
        <f t="shared" si="4"/>
        <v>0</v>
      </c>
    </row>
    <row r="286" spans="1:4" ht="18" hidden="1" x14ac:dyDescent="0.3">
      <c r="A286" s="63" t="s">
        <v>313</v>
      </c>
      <c r="B286" s="87"/>
      <c r="C286" s="87"/>
      <c r="D286" s="88">
        <f t="shared" si="4"/>
        <v>0</v>
      </c>
    </row>
    <row r="287" spans="1:4" ht="18" hidden="1" x14ac:dyDescent="0.3">
      <c r="A287" s="61" t="s">
        <v>314</v>
      </c>
      <c r="B287" s="87"/>
      <c r="C287" s="87"/>
      <c r="D287" s="88">
        <f t="shared" si="4"/>
        <v>0</v>
      </c>
    </row>
    <row r="288" spans="1:4" ht="18" hidden="1" x14ac:dyDescent="0.3">
      <c r="A288" s="61" t="s">
        <v>315</v>
      </c>
      <c r="B288" s="87"/>
      <c r="C288" s="87"/>
      <c r="D288" s="88">
        <f t="shared" si="4"/>
        <v>0</v>
      </c>
    </row>
    <row r="289" spans="1:4" ht="18" hidden="1" x14ac:dyDescent="0.3">
      <c r="A289" s="63" t="s">
        <v>284</v>
      </c>
      <c r="B289" s="87"/>
      <c r="C289" s="87"/>
      <c r="D289" s="88">
        <f t="shared" si="4"/>
        <v>0</v>
      </c>
    </row>
    <row r="290" spans="1:4" ht="18" hidden="1" x14ac:dyDescent="0.3">
      <c r="A290" s="61" t="s">
        <v>285</v>
      </c>
      <c r="B290" s="87"/>
      <c r="C290" s="87"/>
      <c r="D290" s="88">
        <f t="shared" si="4"/>
        <v>0</v>
      </c>
    </row>
    <row r="291" spans="1:4" ht="18" hidden="1" x14ac:dyDescent="0.3">
      <c r="A291" s="63" t="s">
        <v>255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287</v>
      </c>
      <c r="B292" s="87"/>
      <c r="C292" s="87"/>
      <c r="D292" s="88">
        <f t="shared" si="4"/>
        <v>0</v>
      </c>
    </row>
    <row r="293" spans="1:4" ht="18" hidden="1" x14ac:dyDescent="0.3">
      <c r="A293" s="63" t="s">
        <v>288</v>
      </c>
      <c r="B293" s="87"/>
      <c r="C293" s="87"/>
      <c r="D293" s="88">
        <f t="shared" si="4"/>
        <v>0</v>
      </c>
    </row>
    <row r="294" spans="1:4" ht="17.399999999999999" x14ac:dyDescent="0.3">
      <c r="A294" s="80"/>
      <c r="B294" s="86">
        <f t="shared" ref="B294:D294" si="5">SUM(B3:B293)</f>
        <v>6956.5</v>
      </c>
      <c r="C294" s="86"/>
      <c r="D294" s="86">
        <f t="shared" si="5"/>
        <v>96083000</v>
      </c>
    </row>
  </sheetData>
  <protectedRanges>
    <protectedRange password="CF71" sqref="B1:D293" name="tho"/>
  </protectedRanges>
  <autoFilter ref="A2:D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4"/>
  <sheetViews>
    <sheetView workbookViewId="0">
      <selection activeCell="J33" sqref="J33"/>
    </sheetView>
  </sheetViews>
  <sheetFormatPr defaultRowHeight="14.4" x14ac:dyDescent="0.3"/>
  <cols>
    <col min="1" max="1" width="42.33203125" customWidth="1"/>
    <col min="3" max="3" width="13.44140625" customWidth="1"/>
    <col min="4" max="4" width="22.109375" customWidth="1"/>
  </cols>
  <sheetData>
    <row r="1" spans="1:4" x14ac:dyDescent="0.3">
      <c r="A1" s="57" t="s">
        <v>331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hidden="1" x14ac:dyDescent="0.3">
      <c r="A7" s="60" t="s">
        <v>2</v>
      </c>
      <c r="B7" s="87"/>
      <c r="C7" s="87"/>
      <c r="D7" s="88">
        <f t="shared" si="0"/>
        <v>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0" t="s">
        <v>10</v>
      </c>
      <c r="B11" s="89"/>
      <c r="C11" s="89"/>
      <c r="D11" s="88">
        <f t="shared" si="0"/>
        <v>0</v>
      </c>
    </row>
    <row r="12" spans="1:4" ht="18" hidden="1" x14ac:dyDescent="0.3">
      <c r="A12" s="63" t="s">
        <v>11</v>
      </c>
      <c r="B12" s="87"/>
      <c r="C12" s="87"/>
      <c r="D12" s="88">
        <f t="shared" si="0"/>
        <v>0</v>
      </c>
    </row>
    <row r="13" spans="1:4" ht="18" hidden="1" x14ac:dyDescent="0.3">
      <c r="A13" s="63" t="s">
        <v>12</v>
      </c>
      <c r="B13" s="87"/>
      <c r="C13" s="87"/>
      <c r="D13" s="88">
        <f t="shared" si="0"/>
        <v>0</v>
      </c>
    </row>
    <row r="14" spans="1:4" ht="18" hidden="1" x14ac:dyDescent="0.3">
      <c r="A14" s="63" t="s">
        <v>13</v>
      </c>
      <c r="B14" s="89"/>
      <c r="C14" s="89"/>
      <c r="D14" s="88">
        <f t="shared" si="0"/>
        <v>0</v>
      </c>
    </row>
    <row r="15" spans="1:4" ht="18" hidden="1" x14ac:dyDescent="0.3">
      <c r="A15" s="64" t="s">
        <v>14</v>
      </c>
      <c r="B15" s="87"/>
      <c r="C15" s="87"/>
      <c r="D15" s="88">
        <f t="shared" si="0"/>
        <v>0</v>
      </c>
    </row>
    <row r="16" spans="1:4" ht="18" hidden="1" x14ac:dyDescent="0.3">
      <c r="A16" s="61" t="s">
        <v>15</v>
      </c>
      <c r="B16" s="87"/>
      <c r="C16" s="87"/>
      <c r="D16" s="88">
        <f t="shared" si="0"/>
        <v>0</v>
      </c>
    </row>
    <row r="17" spans="1:4" ht="18" hidden="1" x14ac:dyDescent="0.3">
      <c r="A17" s="13" t="s">
        <v>16</v>
      </c>
      <c r="B17" s="87"/>
      <c r="C17" s="87"/>
      <c r="D17" s="88">
        <f t="shared" si="0"/>
        <v>0</v>
      </c>
    </row>
    <row r="18" spans="1:4" ht="18" x14ac:dyDescent="0.3">
      <c r="A18" s="63" t="s">
        <v>17</v>
      </c>
      <c r="B18" s="87">
        <v>20</v>
      </c>
      <c r="C18" s="87">
        <v>14500</v>
      </c>
      <c r="D18" s="88">
        <f t="shared" si="0"/>
        <v>290000</v>
      </c>
    </row>
    <row r="19" spans="1:4" ht="18" hidden="1" x14ac:dyDescent="0.3">
      <c r="A19" s="63" t="s">
        <v>18</v>
      </c>
      <c r="B19" s="87"/>
      <c r="C19" s="87"/>
      <c r="D19" s="88">
        <f t="shared" si="0"/>
        <v>0</v>
      </c>
    </row>
    <row r="20" spans="1:4" ht="18" hidden="1" x14ac:dyDescent="0.3">
      <c r="A20" s="63" t="s">
        <v>19</v>
      </c>
      <c r="B20" s="87"/>
      <c r="C20" s="87"/>
      <c r="D20" s="88">
        <f t="shared" si="0"/>
        <v>0</v>
      </c>
    </row>
    <row r="21" spans="1:4" ht="18" hidden="1" x14ac:dyDescent="0.3">
      <c r="A21" s="61" t="s">
        <v>20</v>
      </c>
      <c r="B21" s="87"/>
      <c r="C21" s="87"/>
      <c r="D21" s="88">
        <f t="shared" si="0"/>
        <v>0</v>
      </c>
    </row>
    <row r="22" spans="1:4" ht="18" hidden="1" x14ac:dyDescent="0.3">
      <c r="A22" s="60" t="s">
        <v>170</v>
      </c>
      <c r="B22" s="87"/>
      <c r="C22" s="87"/>
      <c r="D22" s="88">
        <f t="shared" si="0"/>
        <v>0</v>
      </c>
    </row>
    <row r="23" spans="1:4" ht="18" hidden="1" x14ac:dyDescent="0.3">
      <c r="A23" s="63" t="s">
        <v>22</v>
      </c>
      <c r="B23" s="87"/>
      <c r="C23" s="87"/>
      <c r="D23" s="88">
        <f t="shared" si="0"/>
        <v>0</v>
      </c>
    </row>
    <row r="24" spans="1:4" ht="18" hidden="1" x14ac:dyDescent="0.3">
      <c r="A24" s="63" t="s">
        <v>171</v>
      </c>
      <c r="B24" s="87"/>
      <c r="C24" s="87"/>
      <c r="D24" s="88">
        <f t="shared" si="0"/>
        <v>0</v>
      </c>
    </row>
    <row r="25" spans="1:4" ht="18" x14ac:dyDescent="0.3">
      <c r="A25" s="63" t="s">
        <v>21</v>
      </c>
      <c r="B25" s="87">
        <f>95+10+25+12+90</f>
        <v>232</v>
      </c>
      <c r="C25" s="87">
        <v>33000</v>
      </c>
      <c r="D25" s="88">
        <f t="shared" si="0"/>
        <v>7656000</v>
      </c>
    </row>
    <row r="26" spans="1:4" ht="18" hidden="1" x14ac:dyDescent="0.3">
      <c r="A26" s="63" t="s">
        <v>25</v>
      </c>
      <c r="B26" s="87"/>
      <c r="C26" s="87"/>
      <c r="D26" s="88">
        <f t="shared" si="0"/>
        <v>0</v>
      </c>
    </row>
    <row r="27" spans="1:4" ht="18" hidden="1" x14ac:dyDescent="0.3">
      <c r="A27" s="63" t="s">
        <v>23</v>
      </c>
      <c r="B27" s="87"/>
      <c r="C27" s="87"/>
      <c r="D27" s="88">
        <f t="shared" si="0"/>
        <v>0</v>
      </c>
    </row>
    <row r="28" spans="1:4" ht="18" hidden="1" x14ac:dyDescent="0.3">
      <c r="A28" s="63" t="s">
        <v>24</v>
      </c>
      <c r="B28" s="87"/>
      <c r="C28" s="87"/>
      <c r="D28" s="88">
        <f t="shared" si="0"/>
        <v>0</v>
      </c>
    </row>
    <row r="29" spans="1:4" ht="18" x14ac:dyDescent="0.3">
      <c r="A29" s="63" t="s">
        <v>26</v>
      </c>
      <c r="B29" s="87">
        <v>7</v>
      </c>
      <c r="C29" s="87">
        <v>35000</v>
      </c>
      <c r="D29" s="88">
        <f t="shared" si="0"/>
        <v>245000</v>
      </c>
    </row>
    <row r="30" spans="1:4" ht="18" hidden="1" x14ac:dyDescent="0.3">
      <c r="A30" s="63" t="s">
        <v>29</v>
      </c>
      <c r="B30" s="87"/>
      <c r="C30" s="87"/>
      <c r="D30" s="88">
        <f t="shared" si="0"/>
        <v>0</v>
      </c>
    </row>
    <row r="31" spans="1:4" ht="18" x14ac:dyDescent="0.3">
      <c r="A31" s="63" t="s">
        <v>27</v>
      </c>
      <c r="B31" s="87">
        <v>12</v>
      </c>
      <c r="C31" s="87">
        <v>30000</v>
      </c>
      <c r="D31" s="88">
        <f t="shared" si="0"/>
        <v>360000</v>
      </c>
    </row>
    <row r="32" spans="1:4" ht="18" hidden="1" x14ac:dyDescent="0.3">
      <c r="A32" s="63" t="s">
        <v>28</v>
      </c>
      <c r="B32" s="87"/>
      <c r="C32" s="87"/>
      <c r="D32" s="88">
        <f t="shared" si="0"/>
        <v>0</v>
      </c>
    </row>
    <row r="33" spans="1:4" ht="18" x14ac:dyDescent="0.3">
      <c r="A33" s="63" t="s">
        <v>30</v>
      </c>
      <c r="B33" s="87">
        <f>10+50+85+14</f>
        <v>159</v>
      </c>
      <c r="C33" s="87">
        <v>28000</v>
      </c>
      <c r="D33" s="88">
        <f t="shared" si="0"/>
        <v>4452000</v>
      </c>
    </row>
    <row r="34" spans="1:4" ht="18" x14ac:dyDescent="0.3">
      <c r="A34" s="63" t="s">
        <v>31</v>
      </c>
      <c r="B34" s="87">
        <v>9</v>
      </c>
      <c r="C34" s="87">
        <v>23000</v>
      </c>
      <c r="D34" s="88">
        <f t="shared" si="0"/>
        <v>207000</v>
      </c>
    </row>
    <row r="35" spans="1:4" ht="18" hidden="1" x14ac:dyDescent="0.3">
      <c r="A35" s="63" t="s">
        <v>32</v>
      </c>
      <c r="B35" s="87"/>
      <c r="C35" s="87"/>
      <c r="D35" s="88">
        <f t="shared" si="0"/>
        <v>0</v>
      </c>
    </row>
    <row r="36" spans="1:4" ht="18" hidden="1" x14ac:dyDescent="0.3">
      <c r="A36" s="63" t="s">
        <v>35</v>
      </c>
      <c r="B36" s="87"/>
      <c r="C36" s="87"/>
      <c r="D36" s="88">
        <f t="shared" si="0"/>
        <v>0</v>
      </c>
    </row>
    <row r="37" spans="1:4" ht="18" x14ac:dyDescent="0.3">
      <c r="A37" s="63" t="s">
        <v>33</v>
      </c>
      <c r="B37" s="87">
        <v>75</v>
      </c>
      <c r="C37" s="87">
        <v>12000</v>
      </c>
      <c r="D37" s="88">
        <f t="shared" si="0"/>
        <v>900000</v>
      </c>
    </row>
    <row r="38" spans="1:4" ht="18" hidden="1" x14ac:dyDescent="0.3">
      <c r="A38" s="65" t="s">
        <v>34</v>
      </c>
      <c r="B38" s="87"/>
      <c r="C38" s="87"/>
      <c r="D38" s="88">
        <f t="shared" si="0"/>
        <v>0</v>
      </c>
    </row>
    <row r="39" spans="1:4" ht="18" x14ac:dyDescent="0.3">
      <c r="A39" s="60" t="s">
        <v>36</v>
      </c>
      <c r="B39" s="87">
        <v>6</v>
      </c>
      <c r="C39" s="87">
        <v>21000</v>
      </c>
      <c r="D39" s="88">
        <f t="shared" si="0"/>
        <v>126000</v>
      </c>
    </row>
    <row r="40" spans="1:4" ht="18" hidden="1" x14ac:dyDescent="0.3">
      <c r="A40" s="66" t="s">
        <v>39</v>
      </c>
      <c r="B40" s="87"/>
      <c r="C40" s="87"/>
      <c r="D40" s="88">
        <f t="shared" si="0"/>
        <v>0</v>
      </c>
    </row>
    <row r="41" spans="1:4" ht="18" hidden="1" x14ac:dyDescent="0.3">
      <c r="A41" s="63" t="s">
        <v>37</v>
      </c>
      <c r="B41" s="87"/>
      <c r="C41" s="87"/>
      <c r="D41" s="88">
        <f t="shared" si="0"/>
        <v>0</v>
      </c>
    </row>
    <row r="42" spans="1:4" ht="18" hidden="1" x14ac:dyDescent="0.3">
      <c r="A42" s="60" t="s">
        <v>95</v>
      </c>
      <c r="B42" s="87"/>
      <c r="C42" s="87"/>
      <c r="D42" s="88">
        <f t="shared" si="0"/>
        <v>0</v>
      </c>
    </row>
    <row r="43" spans="1:4" ht="18" hidden="1" x14ac:dyDescent="0.3">
      <c r="A43" s="63" t="s">
        <v>38</v>
      </c>
      <c r="B43" s="87"/>
      <c r="C43" s="87"/>
      <c r="D43" s="88">
        <f t="shared" si="0"/>
        <v>0</v>
      </c>
    </row>
    <row r="44" spans="1:4" ht="18" hidden="1" x14ac:dyDescent="0.3">
      <c r="A44" s="63" t="s">
        <v>43</v>
      </c>
      <c r="B44" s="87"/>
      <c r="C44" s="87"/>
      <c r="D44" s="88">
        <f t="shared" si="0"/>
        <v>0</v>
      </c>
    </row>
    <row r="45" spans="1:4" ht="18" hidden="1" x14ac:dyDescent="0.3">
      <c r="A45" s="63" t="s">
        <v>44</v>
      </c>
      <c r="B45" s="87"/>
      <c r="C45" s="87"/>
      <c r="D45" s="88">
        <f t="shared" si="0"/>
        <v>0</v>
      </c>
    </row>
    <row r="46" spans="1:4" ht="18" x14ac:dyDescent="0.3">
      <c r="A46" s="67" t="s">
        <v>40</v>
      </c>
      <c r="B46" s="87">
        <f>40+90</f>
        <v>130</v>
      </c>
      <c r="C46" s="87">
        <v>12500</v>
      </c>
      <c r="D46" s="88">
        <f t="shared" si="0"/>
        <v>1625000</v>
      </c>
    </row>
    <row r="47" spans="1:4" ht="18" x14ac:dyDescent="0.3">
      <c r="A47" s="63" t="s">
        <v>41</v>
      </c>
      <c r="B47" s="87">
        <v>140</v>
      </c>
      <c r="C47" s="87">
        <v>12500</v>
      </c>
      <c r="D47" s="88">
        <f t="shared" si="0"/>
        <v>1750000</v>
      </c>
    </row>
    <row r="48" spans="1:4" ht="18" hidden="1" x14ac:dyDescent="0.3">
      <c r="A48" s="61" t="s">
        <v>300</v>
      </c>
      <c r="B48" s="87"/>
      <c r="C48" s="87"/>
      <c r="D48" s="88">
        <f t="shared" si="0"/>
        <v>0</v>
      </c>
    </row>
    <row r="49" spans="1:4" ht="18" hidden="1" x14ac:dyDescent="0.3">
      <c r="A49" s="63" t="s">
        <v>48</v>
      </c>
      <c r="B49" s="87"/>
      <c r="C49" s="87"/>
      <c r="D49" s="88">
        <f t="shared" si="0"/>
        <v>0</v>
      </c>
    </row>
    <row r="50" spans="1:4" ht="18" hidden="1" x14ac:dyDescent="0.3">
      <c r="A50" s="63" t="s">
        <v>49</v>
      </c>
      <c r="B50" s="87"/>
      <c r="C50" s="87"/>
      <c r="D50" s="88">
        <f t="shared" si="0"/>
        <v>0</v>
      </c>
    </row>
    <row r="51" spans="1:4" ht="18" x14ac:dyDescent="0.3">
      <c r="A51" s="63" t="s">
        <v>42</v>
      </c>
      <c r="B51" s="87">
        <v>60</v>
      </c>
      <c r="C51" s="87">
        <v>17000</v>
      </c>
      <c r="D51" s="88">
        <f t="shared" si="0"/>
        <v>1020000</v>
      </c>
    </row>
    <row r="52" spans="1:4" ht="18" hidden="1" x14ac:dyDescent="0.3">
      <c r="A52" s="63" t="s">
        <v>46</v>
      </c>
      <c r="B52" s="87"/>
      <c r="C52" s="87"/>
      <c r="D52" s="88">
        <f t="shared" si="0"/>
        <v>0</v>
      </c>
    </row>
    <row r="53" spans="1:4" ht="18" hidden="1" x14ac:dyDescent="0.3">
      <c r="A53" s="65" t="s">
        <v>47</v>
      </c>
      <c r="B53" s="87"/>
      <c r="C53" s="87"/>
      <c r="D53" s="88">
        <f t="shared" si="0"/>
        <v>0</v>
      </c>
    </row>
    <row r="54" spans="1:4" ht="18" hidden="1" x14ac:dyDescent="0.3">
      <c r="A54" s="63" t="s">
        <v>50</v>
      </c>
      <c r="B54" s="87"/>
      <c r="C54" s="87"/>
      <c r="D54" s="88">
        <f t="shared" si="0"/>
        <v>0</v>
      </c>
    </row>
    <row r="55" spans="1:4" ht="18" hidden="1" x14ac:dyDescent="0.3">
      <c r="A55" s="60" t="s">
        <v>51</v>
      </c>
      <c r="B55" s="87"/>
      <c r="C55" s="87"/>
      <c r="D55" s="88">
        <f t="shared" si="0"/>
        <v>0</v>
      </c>
    </row>
    <row r="56" spans="1:4" ht="18" hidden="1" x14ac:dyDescent="0.3">
      <c r="A56" s="63" t="s">
        <v>52</v>
      </c>
      <c r="B56" s="87"/>
      <c r="C56" s="87"/>
      <c r="D56" s="88">
        <f t="shared" si="0"/>
        <v>0</v>
      </c>
    </row>
    <row r="57" spans="1:4" ht="18" hidden="1" x14ac:dyDescent="0.3">
      <c r="A57" s="63" t="s">
        <v>56</v>
      </c>
      <c r="B57" s="87"/>
      <c r="C57" s="87"/>
      <c r="D57" s="88">
        <f t="shared" si="0"/>
        <v>0</v>
      </c>
    </row>
    <row r="58" spans="1:4" ht="18" x14ac:dyDescent="0.3">
      <c r="A58" s="68" t="s">
        <v>53</v>
      </c>
      <c r="B58" s="87">
        <f>29-11</f>
        <v>18</v>
      </c>
      <c r="C58" s="87">
        <v>5000</v>
      </c>
      <c r="D58" s="88">
        <f t="shared" si="0"/>
        <v>90000</v>
      </c>
    </row>
    <row r="59" spans="1:4" ht="18" hidden="1" x14ac:dyDescent="0.3">
      <c r="A59" s="67" t="s">
        <v>54</v>
      </c>
      <c r="B59" s="87"/>
      <c r="C59" s="87"/>
      <c r="D59" s="88">
        <f t="shared" si="0"/>
        <v>0</v>
      </c>
    </row>
    <row r="60" spans="1:4" ht="18" hidden="1" x14ac:dyDescent="0.3">
      <c r="A60" s="17" t="s">
        <v>55</v>
      </c>
      <c r="B60" s="87"/>
      <c r="C60" s="87"/>
      <c r="D60" s="88">
        <f t="shared" si="0"/>
        <v>0</v>
      </c>
    </row>
    <row r="61" spans="1:4" ht="18" hidden="1" x14ac:dyDescent="0.3">
      <c r="A61" s="60" t="s">
        <v>60</v>
      </c>
      <c r="B61" s="87"/>
      <c r="C61" s="87"/>
      <c r="D61" s="88">
        <f t="shared" si="0"/>
        <v>0</v>
      </c>
    </row>
    <row r="62" spans="1:4" ht="18" hidden="1" x14ac:dyDescent="0.3">
      <c r="A62" s="63" t="s">
        <v>57</v>
      </c>
      <c r="B62" s="87"/>
      <c r="C62" s="87"/>
      <c r="D62" s="88">
        <f t="shared" si="0"/>
        <v>0</v>
      </c>
    </row>
    <row r="63" spans="1:4" ht="18" hidden="1" x14ac:dyDescent="0.3">
      <c r="A63" s="63" t="s">
        <v>58</v>
      </c>
      <c r="B63" s="87"/>
      <c r="C63" s="87"/>
      <c r="D63" s="88">
        <f t="shared" si="0"/>
        <v>0</v>
      </c>
    </row>
    <row r="64" spans="1:4" ht="18" hidden="1" x14ac:dyDescent="0.3">
      <c r="A64" s="63" t="s">
        <v>63</v>
      </c>
      <c r="B64" s="87"/>
      <c r="C64" s="87"/>
      <c r="D64" s="88">
        <f t="shared" si="0"/>
        <v>0</v>
      </c>
    </row>
    <row r="65" spans="1:4" ht="18" hidden="1" x14ac:dyDescent="0.3">
      <c r="A65" s="60" t="s">
        <v>59</v>
      </c>
      <c r="B65" s="87"/>
      <c r="C65" s="87"/>
      <c r="D65" s="88">
        <f t="shared" si="0"/>
        <v>0</v>
      </c>
    </row>
    <row r="66" spans="1:4" ht="18" hidden="1" x14ac:dyDescent="0.3">
      <c r="A66" s="60" t="s">
        <v>65</v>
      </c>
      <c r="B66" s="87"/>
      <c r="C66" s="87"/>
      <c r="D66" s="88">
        <f t="shared" si="0"/>
        <v>0</v>
      </c>
    </row>
    <row r="67" spans="1:4" ht="18" hidden="1" x14ac:dyDescent="0.3">
      <c r="A67" s="63" t="s">
        <v>66</v>
      </c>
      <c r="B67" s="87"/>
      <c r="C67" s="87"/>
      <c r="D67" s="88">
        <f t="shared" si="0"/>
        <v>0</v>
      </c>
    </row>
    <row r="68" spans="1:4" ht="18" x14ac:dyDescent="0.3">
      <c r="A68" s="63" t="s">
        <v>61</v>
      </c>
      <c r="B68" s="87">
        <v>59</v>
      </c>
      <c r="C68" s="87">
        <v>8400</v>
      </c>
      <c r="D68" s="88">
        <f t="shared" ref="D68:D131" si="1">B68*C68</f>
        <v>495600</v>
      </c>
    </row>
    <row r="69" spans="1:4" ht="18" hidden="1" x14ac:dyDescent="0.3">
      <c r="A69" s="69" t="s">
        <v>62</v>
      </c>
      <c r="B69" s="90"/>
      <c r="C69" s="90"/>
      <c r="D69" s="88">
        <f t="shared" si="1"/>
        <v>0</v>
      </c>
    </row>
    <row r="70" spans="1:4" ht="18" hidden="1" x14ac:dyDescent="0.3">
      <c r="A70" s="60" t="s">
        <v>64</v>
      </c>
      <c r="B70" s="87"/>
      <c r="C70" s="87"/>
      <c r="D70" s="88">
        <f t="shared" si="1"/>
        <v>0</v>
      </c>
    </row>
    <row r="71" spans="1:4" ht="18" x14ac:dyDescent="0.3">
      <c r="A71" s="60" t="s">
        <v>67</v>
      </c>
      <c r="B71" s="87">
        <f>650-100</f>
        <v>550</v>
      </c>
      <c r="C71" s="87">
        <v>26000</v>
      </c>
      <c r="D71" s="88">
        <f t="shared" si="1"/>
        <v>14300000</v>
      </c>
    </row>
    <row r="72" spans="1:4" ht="18" hidden="1" x14ac:dyDescent="0.3">
      <c r="A72" s="63" t="s">
        <v>68</v>
      </c>
      <c r="B72" s="87"/>
      <c r="C72" s="87"/>
      <c r="D72" s="88">
        <f t="shared" si="1"/>
        <v>0</v>
      </c>
    </row>
    <row r="73" spans="1:4" ht="18" hidden="1" x14ac:dyDescent="0.3">
      <c r="A73" s="63" t="s">
        <v>69</v>
      </c>
      <c r="B73" s="87"/>
      <c r="C73" s="87"/>
      <c r="D73" s="88">
        <f t="shared" si="1"/>
        <v>0</v>
      </c>
    </row>
    <row r="74" spans="1:4" ht="18" hidden="1" x14ac:dyDescent="0.3">
      <c r="A74" s="63" t="s">
        <v>70</v>
      </c>
      <c r="B74" s="87"/>
      <c r="C74" s="87"/>
      <c r="D74" s="88">
        <f t="shared" si="1"/>
        <v>0</v>
      </c>
    </row>
    <row r="75" spans="1:4" ht="18" hidden="1" x14ac:dyDescent="0.3">
      <c r="A75" s="70" t="s">
        <v>74</v>
      </c>
      <c r="B75" s="87"/>
      <c r="C75" s="87"/>
      <c r="D75" s="88">
        <f t="shared" si="1"/>
        <v>0</v>
      </c>
    </row>
    <row r="76" spans="1:4" ht="18" hidden="1" x14ac:dyDescent="0.3">
      <c r="A76" s="63" t="s">
        <v>71</v>
      </c>
      <c r="B76" s="87"/>
      <c r="C76" s="87"/>
      <c r="D76" s="88">
        <f t="shared" si="1"/>
        <v>0</v>
      </c>
    </row>
    <row r="77" spans="1:4" ht="18" hidden="1" x14ac:dyDescent="0.3">
      <c r="A77" s="70" t="s">
        <v>72</v>
      </c>
      <c r="B77" s="87"/>
      <c r="C77" s="87"/>
      <c r="D77" s="88">
        <f t="shared" si="1"/>
        <v>0</v>
      </c>
    </row>
    <row r="78" spans="1:4" ht="18" hidden="1" x14ac:dyDescent="0.3">
      <c r="A78" s="71" t="s">
        <v>73</v>
      </c>
      <c r="B78" s="87"/>
      <c r="C78" s="87"/>
      <c r="D78" s="88">
        <f t="shared" si="1"/>
        <v>0</v>
      </c>
    </row>
    <row r="79" spans="1:4" ht="18" hidden="1" x14ac:dyDescent="0.3">
      <c r="A79" s="68" t="s">
        <v>75</v>
      </c>
      <c r="B79" s="87"/>
      <c r="C79" s="87"/>
      <c r="D79" s="88">
        <f t="shared" si="1"/>
        <v>0</v>
      </c>
    </row>
    <row r="80" spans="1:4" ht="18" hidden="1" x14ac:dyDescent="0.3">
      <c r="A80" s="72" t="s">
        <v>79</v>
      </c>
      <c r="B80" s="87"/>
      <c r="C80" s="87"/>
      <c r="D80" s="88">
        <f t="shared" si="1"/>
        <v>0</v>
      </c>
    </row>
    <row r="81" spans="1:4" ht="18" hidden="1" x14ac:dyDescent="0.3">
      <c r="A81" s="63" t="s">
        <v>80</v>
      </c>
      <c r="B81" s="91"/>
      <c r="C81" s="91"/>
      <c r="D81" s="88">
        <f t="shared" si="1"/>
        <v>0</v>
      </c>
    </row>
    <row r="82" spans="1:4" ht="18" hidden="1" x14ac:dyDescent="0.3">
      <c r="A82" s="63" t="s">
        <v>81</v>
      </c>
      <c r="B82" s="87"/>
      <c r="C82" s="87"/>
      <c r="D82" s="88">
        <f t="shared" si="1"/>
        <v>0</v>
      </c>
    </row>
    <row r="83" spans="1:4" ht="18" hidden="1" x14ac:dyDescent="0.3">
      <c r="A83" s="72" t="s">
        <v>76</v>
      </c>
      <c r="B83" s="87"/>
      <c r="C83" s="87"/>
      <c r="D83" s="88">
        <f t="shared" si="1"/>
        <v>0</v>
      </c>
    </row>
    <row r="84" spans="1:4" ht="18" hidden="1" x14ac:dyDescent="0.3">
      <c r="A84" s="72" t="s">
        <v>77</v>
      </c>
      <c r="B84" s="87"/>
      <c r="C84" s="87"/>
      <c r="D84" s="88">
        <f t="shared" si="1"/>
        <v>0</v>
      </c>
    </row>
    <row r="85" spans="1:4" ht="18" hidden="1" x14ac:dyDescent="0.3">
      <c r="A85" s="22" t="s">
        <v>78</v>
      </c>
      <c r="B85" s="87"/>
      <c r="C85" s="87"/>
      <c r="D85" s="88">
        <f t="shared" si="1"/>
        <v>0</v>
      </c>
    </row>
    <row r="86" spans="1:4" ht="18" hidden="1" x14ac:dyDescent="0.3">
      <c r="A86" s="63" t="s">
        <v>85</v>
      </c>
      <c r="B86" s="87"/>
      <c r="C86" s="87"/>
      <c r="D86" s="88">
        <f t="shared" si="1"/>
        <v>0</v>
      </c>
    </row>
    <row r="87" spans="1:4" ht="18" hidden="1" x14ac:dyDescent="0.3">
      <c r="A87" s="63" t="s">
        <v>86</v>
      </c>
      <c r="B87" s="87"/>
      <c r="C87" s="87"/>
      <c r="D87" s="88">
        <f t="shared" si="1"/>
        <v>0</v>
      </c>
    </row>
    <row r="88" spans="1:4" ht="18" hidden="1" x14ac:dyDescent="0.3">
      <c r="A88" s="73" t="s">
        <v>87</v>
      </c>
      <c r="B88" s="87"/>
      <c r="C88" s="87"/>
      <c r="D88" s="88">
        <f t="shared" si="1"/>
        <v>0</v>
      </c>
    </row>
    <row r="89" spans="1:4" ht="18" hidden="1" x14ac:dyDescent="0.3">
      <c r="A89" s="63" t="s">
        <v>88</v>
      </c>
      <c r="B89" s="87"/>
      <c r="C89" s="87"/>
      <c r="D89" s="88">
        <f t="shared" si="1"/>
        <v>0</v>
      </c>
    </row>
    <row r="90" spans="1:4" ht="18" x14ac:dyDescent="0.3">
      <c r="A90" s="63" t="s">
        <v>82</v>
      </c>
      <c r="B90" s="87">
        <f>5+50</f>
        <v>55</v>
      </c>
      <c r="C90" s="87">
        <v>15000</v>
      </c>
      <c r="D90" s="88">
        <f t="shared" si="1"/>
        <v>825000</v>
      </c>
    </row>
    <row r="91" spans="1:4" ht="18" hidden="1" x14ac:dyDescent="0.3">
      <c r="A91" s="63" t="s">
        <v>83</v>
      </c>
      <c r="B91" s="87"/>
      <c r="C91" s="87"/>
      <c r="D91" s="88">
        <f t="shared" si="1"/>
        <v>0</v>
      </c>
    </row>
    <row r="92" spans="1:4" ht="18" hidden="1" x14ac:dyDescent="0.3">
      <c r="A92" s="74" t="s">
        <v>91</v>
      </c>
      <c r="B92" s="87"/>
      <c r="C92" s="87"/>
      <c r="D92" s="88">
        <f t="shared" si="1"/>
        <v>0</v>
      </c>
    </row>
    <row r="93" spans="1:4" ht="18" hidden="1" x14ac:dyDescent="0.3">
      <c r="A93" s="63" t="s">
        <v>84</v>
      </c>
      <c r="B93" s="87"/>
      <c r="C93" s="87"/>
      <c r="D93" s="88">
        <f t="shared" si="1"/>
        <v>0</v>
      </c>
    </row>
    <row r="94" spans="1:4" ht="18" hidden="1" x14ac:dyDescent="0.3">
      <c r="A94" s="65" t="s">
        <v>94</v>
      </c>
      <c r="B94" s="87"/>
      <c r="C94" s="87"/>
      <c r="D94" s="88">
        <f t="shared" si="1"/>
        <v>0</v>
      </c>
    </row>
    <row r="95" spans="1:4" ht="18" hidden="1" x14ac:dyDescent="0.3">
      <c r="A95" s="63" t="s">
        <v>89</v>
      </c>
      <c r="B95" s="87"/>
      <c r="C95" s="87"/>
      <c r="D95" s="88">
        <f t="shared" si="1"/>
        <v>0</v>
      </c>
    </row>
    <row r="96" spans="1:4" ht="18" x14ac:dyDescent="0.3">
      <c r="A96" s="63" t="s">
        <v>90</v>
      </c>
      <c r="B96" s="89">
        <v>0.4</v>
      </c>
      <c r="C96" s="87">
        <v>60000</v>
      </c>
      <c r="D96" s="88">
        <f t="shared" si="1"/>
        <v>24000</v>
      </c>
    </row>
    <row r="97" spans="1:4" ht="18" hidden="1" x14ac:dyDescent="0.3">
      <c r="A97" s="75" t="s">
        <v>97</v>
      </c>
      <c r="B97" s="87"/>
      <c r="C97" s="87"/>
      <c r="D97" s="88">
        <f t="shared" si="1"/>
        <v>0</v>
      </c>
    </row>
    <row r="98" spans="1:4" ht="18" x14ac:dyDescent="0.3">
      <c r="A98" s="93" t="s">
        <v>93</v>
      </c>
      <c r="B98" s="89">
        <v>0.5</v>
      </c>
      <c r="C98" s="87">
        <v>35000</v>
      </c>
      <c r="D98" s="88">
        <f t="shared" si="1"/>
        <v>17500</v>
      </c>
    </row>
    <row r="99" spans="1:4" ht="18" hidden="1" x14ac:dyDescent="0.3">
      <c r="A99" s="76" t="s">
        <v>96</v>
      </c>
      <c r="B99" s="87"/>
      <c r="C99" s="87"/>
      <c r="D99" s="88">
        <f t="shared" si="1"/>
        <v>0</v>
      </c>
    </row>
    <row r="100" spans="1:4" ht="18" hidden="1" x14ac:dyDescent="0.3">
      <c r="A100" s="63" t="s">
        <v>98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101</v>
      </c>
      <c r="B101" s="87"/>
      <c r="C101" s="87"/>
      <c r="D101" s="88">
        <f t="shared" si="1"/>
        <v>0</v>
      </c>
    </row>
    <row r="102" spans="1:4" ht="18" hidden="1" x14ac:dyDescent="0.3">
      <c r="A102" s="63" t="s">
        <v>102</v>
      </c>
      <c r="B102" s="89"/>
      <c r="C102" s="89"/>
      <c r="D102" s="88">
        <f t="shared" si="1"/>
        <v>0</v>
      </c>
    </row>
    <row r="103" spans="1:4" ht="18" hidden="1" x14ac:dyDescent="0.3">
      <c r="A103" s="63" t="s">
        <v>99</v>
      </c>
      <c r="B103" s="87"/>
      <c r="C103" s="87"/>
      <c r="D103" s="88">
        <f t="shared" si="1"/>
        <v>0</v>
      </c>
    </row>
    <row r="104" spans="1:4" ht="18" hidden="1" x14ac:dyDescent="0.3">
      <c r="A104" s="14" t="s">
        <v>100</v>
      </c>
      <c r="B104" s="87"/>
      <c r="C104" s="87"/>
      <c r="D104" s="88">
        <f t="shared" si="1"/>
        <v>0</v>
      </c>
    </row>
    <row r="105" spans="1:4" ht="18" hidden="1" x14ac:dyDescent="0.3">
      <c r="A105" s="63" t="s">
        <v>105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103</v>
      </c>
      <c r="B106" s="89"/>
      <c r="C106" s="89"/>
      <c r="D106" s="88">
        <f t="shared" si="1"/>
        <v>0</v>
      </c>
    </row>
    <row r="107" spans="1:4" ht="18" hidden="1" x14ac:dyDescent="0.3">
      <c r="A107" s="63" t="s">
        <v>104</v>
      </c>
      <c r="B107" s="89"/>
      <c r="C107" s="89"/>
      <c r="D107" s="88">
        <f t="shared" si="1"/>
        <v>0</v>
      </c>
    </row>
    <row r="108" spans="1:4" ht="18" hidden="1" x14ac:dyDescent="0.3">
      <c r="A108" s="63" t="s">
        <v>108</v>
      </c>
      <c r="B108" s="89"/>
      <c r="C108" s="89"/>
      <c r="D108" s="88">
        <f t="shared" si="1"/>
        <v>0</v>
      </c>
    </row>
    <row r="109" spans="1:4" ht="18" x14ac:dyDescent="0.3">
      <c r="A109" s="63" t="s">
        <v>106</v>
      </c>
      <c r="B109" s="89">
        <v>1</v>
      </c>
      <c r="C109" s="89">
        <v>80000</v>
      </c>
      <c r="D109" s="88">
        <f t="shared" si="1"/>
        <v>80000</v>
      </c>
    </row>
    <row r="110" spans="1:4" ht="18" hidden="1" x14ac:dyDescent="0.3">
      <c r="A110" s="63" t="s">
        <v>110</v>
      </c>
      <c r="B110" s="89"/>
      <c r="C110" s="89"/>
      <c r="D110" s="88">
        <f t="shared" si="1"/>
        <v>0</v>
      </c>
    </row>
    <row r="111" spans="1:4" ht="18" hidden="1" x14ac:dyDescent="0.3">
      <c r="A111" s="63" t="s">
        <v>107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112</v>
      </c>
      <c r="B112" s="89"/>
      <c r="C112" s="89"/>
      <c r="D112" s="88">
        <f t="shared" si="1"/>
        <v>0</v>
      </c>
    </row>
    <row r="113" spans="1:4" ht="18" hidden="1" x14ac:dyDescent="0.3">
      <c r="A113" s="63" t="s">
        <v>109</v>
      </c>
      <c r="B113" s="89"/>
      <c r="C113" s="89"/>
      <c r="D113" s="88">
        <f t="shared" si="1"/>
        <v>0</v>
      </c>
    </row>
    <row r="114" spans="1:4" ht="18" hidden="1" x14ac:dyDescent="0.3">
      <c r="A114" s="63" t="s">
        <v>111</v>
      </c>
      <c r="B114" s="89"/>
      <c r="C114" s="89"/>
      <c r="D114" s="88">
        <f t="shared" si="1"/>
        <v>0</v>
      </c>
    </row>
    <row r="115" spans="1:4" ht="18" x14ac:dyDescent="0.3">
      <c r="A115" s="60" t="s">
        <v>113</v>
      </c>
      <c r="B115" s="87">
        <v>300</v>
      </c>
      <c r="C115" s="87">
        <v>19000</v>
      </c>
      <c r="D115" s="88">
        <f t="shared" si="1"/>
        <v>5700000</v>
      </c>
    </row>
    <row r="116" spans="1:4" ht="18" hidden="1" x14ac:dyDescent="0.3">
      <c r="A116" s="60" t="s">
        <v>116</v>
      </c>
      <c r="B116" s="87"/>
      <c r="C116" s="87"/>
      <c r="D116" s="88">
        <f t="shared" si="1"/>
        <v>0</v>
      </c>
    </row>
    <row r="117" spans="1:4" ht="18" hidden="1" x14ac:dyDescent="0.3">
      <c r="A117" s="63" t="s">
        <v>117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118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119</v>
      </c>
      <c r="B119" s="87"/>
      <c r="C119" s="87"/>
      <c r="D119" s="88">
        <f t="shared" si="1"/>
        <v>0</v>
      </c>
    </row>
    <row r="120" spans="1:4" ht="18" x14ac:dyDescent="0.3">
      <c r="A120" s="63" t="s">
        <v>114</v>
      </c>
      <c r="B120" s="87">
        <v>110</v>
      </c>
      <c r="C120" s="87">
        <v>16000</v>
      </c>
      <c r="D120" s="88">
        <f t="shared" si="1"/>
        <v>1760000</v>
      </c>
    </row>
    <row r="121" spans="1:4" ht="18" hidden="1" x14ac:dyDescent="0.3">
      <c r="A121" s="63" t="s">
        <v>121</v>
      </c>
      <c r="B121" s="87"/>
      <c r="C121" s="87"/>
      <c r="D121" s="88">
        <f t="shared" si="1"/>
        <v>0</v>
      </c>
    </row>
    <row r="122" spans="1:4" ht="18" hidden="1" x14ac:dyDescent="0.3">
      <c r="A122" s="61" t="s">
        <v>122</v>
      </c>
      <c r="B122" s="87"/>
      <c r="C122" s="87"/>
      <c r="D122" s="88">
        <f t="shared" si="1"/>
        <v>0</v>
      </c>
    </row>
    <row r="123" spans="1:4" ht="18" hidden="1" x14ac:dyDescent="0.3">
      <c r="A123" s="63" t="s">
        <v>115</v>
      </c>
      <c r="B123" s="87"/>
      <c r="C123" s="87"/>
      <c r="D123" s="88">
        <f t="shared" si="1"/>
        <v>0</v>
      </c>
    </row>
    <row r="124" spans="1:4" ht="18" x14ac:dyDescent="0.3">
      <c r="A124" s="63" t="s">
        <v>120</v>
      </c>
      <c r="B124" s="87">
        <f>520+165+135+660+150</f>
        <v>1630</v>
      </c>
      <c r="C124" s="87">
        <v>5000</v>
      </c>
      <c r="D124" s="88">
        <f t="shared" si="1"/>
        <v>8150000</v>
      </c>
    </row>
    <row r="125" spans="1:4" ht="18" hidden="1" x14ac:dyDescent="0.3">
      <c r="A125" s="74" t="s">
        <v>123</v>
      </c>
      <c r="B125" s="87"/>
      <c r="C125" s="87"/>
      <c r="D125" s="88">
        <f t="shared" si="1"/>
        <v>0</v>
      </c>
    </row>
    <row r="126" spans="1:4" ht="18" hidden="1" x14ac:dyDescent="0.3">
      <c r="A126" s="60" t="s">
        <v>126</v>
      </c>
      <c r="B126" s="89"/>
      <c r="C126" s="89"/>
      <c r="D126" s="88">
        <f t="shared" si="1"/>
        <v>0</v>
      </c>
    </row>
    <row r="127" spans="1:4" ht="18" hidden="1" x14ac:dyDescent="0.3">
      <c r="A127" s="60" t="s">
        <v>127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128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129</v>
      </c>
      <c r="B129" s="92"/>
      <c r="C129" s="92"/>
      <c r="D129" s="88">
        <f t="shared" si="1"/>
        <v>0</v>
      </c>
    </row>
    <row r="130" spans="1:4" ht="18" hidden="1" x14ac:dyDescent="0.3">
      <c r="A130" s="63" t="s">
        <v>130</v>
      </c>
      <c r="B130" s="89"/>
      <c r="C130" s="89"/>
      <c r="D130" s="88">
        <f t="shared" si="1"/>
        <v>0</v>
      </c>
    </row>
    <row r="131" spans="1:4" ht="18" hidden="1" x14ac:dyDescent="0.3">
      <c r="A131" s="63" t="s">
        <v>131</v>
      </c>
      <c r="B131" s="89"/>
      <c r="C131" s="89"/>
      <c r="D131" s="88">
        <f t="shared" si="1"/>
        <v>0</v>
      </c>
    </row>
    <row r="132" spans="1:4" ht="18" hidden="1" x14ac:dyDescent="0.3">
      <c r="A132" s="77" t="s">
        <v>124</v>
      </c>
      <c r="B132" s="87"/>
      <c r="C132" s="87"/>
      <c r="D132" s="88">
        <f t="shared" ref="D132:D195" si="2">B132*C132</f>
        <v>0</v>
      </c>
    </row>
    <row r="133" spans="1:4" ht="18" hidden="1" x14ac:dyDescent="0.3">
      <c r="A133" s="72" t="s">
        <v>125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134</v>
      </c>
      <c r="B134" s="87"/>
      <c r="C134" s="87"/>
      <c r="D134" s="88">
        <f t="shared" si="2"/>
        <v>0</v>
      </c>
    </row>
    <row r="135" spans="1:4" ht="18" hidden="1" x14ac:dyDescent="0.3">
      <c r="A135" s="63" t="s">
        <v>135</v>
      </c>
      <c r="B135" s="87"/>
      <c r="C135" s="87"/>
      <c r="D135" s="88">
        <f t="shared" si="2"/>
        <v>0</v>
      </c>
    </row>
    <row r="136" spans="1:4" ht="18" x14ac:dyDescent="0.3">
      <c r="A136" s="65" t="s">
        <v>132</v>
      </c>
      <c r="B136" s="87">
        <f>1/0.3</f>
        <v>3.3333333333333335</v>
      </c>
      <c r="C136" s="87">
        <v>40000</v>
      </c>
      <c r="D136" s="88">
        <f t="shared" si="2"/>
        <v>133333.33333333334</v>
      </c>
    </row>
    <row r="137" spans="1:4" ht="18" hidden="1" x14ac:dyDescent="0.3">
      <c r="A137" s="63" t="s">
        <v>137</v>
      </c>
      <c r="B137" s="89"/>
      <c r="C137" s="89"/>
      <c r="D137" s="88">
        <f t="shared" si="2"/>
        <v>0</v>
      </c>
    </row>
    <row r="138" spans="1:4" ht="18" hidden="1" x14ac:dyDescent="0.3">
      <c r="A138" s="60" t="s">
        <v>138</v>
      </c>
      <c r="B138" s="89"/>
      <c r="C138" s="89"/>
      <c r="D138" s="88">
        <f t="shared" si="2"/>
        <v>0</v>
      </c>
    </row>
    <row r="139" spans="1:4" ht="18" hidden="1" x14ac:dyDescent="0.3">
      <c r="A139" s="65" t="s">
        <v>133</v>
      </c>
      <c r="B139" s="87"/>
      <c r="C139" s="87"/>
      <c r="D139" s="88">
        <f t="shared" si="2"/>
        <v>0</v>
      </c>
    </row>
    <row r="140" spans="1:4" ht="18" hidden="1" x14ac:dyDescent="0.3">
      <c r="A140" s="65" t="s">
        <v>136</v>
      </c>
      <c r="B140" s="87"/>
      <c r="C140" s="87"/>
      <c r="D140" s="88">
        <f t="shared" si="2"/>
        <v>0</v>
      </c>
    </row>
    <row r="141" spans="1:4" ht="18" hidden="1" x14ac:dyDescent="0.3">
      <c r="A141" s="60" t="s">
        <v>141</v>
      </c>
      <c r="B141" s="87"/>
      <c r="C141" s="87"/>
      <c r="D141" s="88">
        <f t="shared" si="2"/>
        <v>0</v>
      </c>
    </row>
    <row r="142" spans="1:4" ht="18" hidden="1" x14ac:dyDescent="0.3">
      <c r="A142" s="63" t="s">
        <v>139</v>
      </c>
      <c r="B142" s="87"/>
      <c r="C142" s="87"/>
      <c r="D142" s="88">
        <f t="shared" si="2"/>
        <v>0</v>
      </c>
    </row>
    <row r="143" spans="1:4" ht="18" hidden="1" x14ac:dyDescent="0.3">
      <c r="A143" s="72" t="s">
        <v>140</v>
      </c>
      <c r="B143" s="87"/>
      <c r="C143" s="87"/>
      <c r="D143" s="88">
        <f t="shared" si="2"/>
        <v>0</v>
      </c>
    </row>
    <row r="144" spans="1:4" ht="18" hidden="1" x14ac:dyDescent="0.3">
      <c r="A144" s="73" t="s">
        <v>144</v>
      </c>
      <c r="B144" s="87"/>
      <c r="C144" s="87"/>
      <c r="D144" s="88">
        <f t="shared" si="2"/>
        <v>0</v>
      </c>
    </row>
    <row r="145" spans="1:4" ht="18" hidden="1" x14ac:dyDescent="0.3">
      <c r="A145" s="63" t="s">
        <v>145</v>
      </c>
      <c r="B145" s="87"/>
      <c r="C145" s="87"/>
      <c r="D145" s="88">
        <f t="shared" si="2"/>
        <v>0</v>
      </c>
    </row>
    <row r="146" spans="1:4" ht="18" hidden="1" x14ac:dyDescent="0.3">
      <c r="A146" s="63" t="s">
        <v>146</v>
      </c>
      <c r="B146" s="87"/>
      <c r="C146" s="87"/>
      <c r="D146" s="88">
        <f t="shared" si="2"/>
        <v>0</v>
      </c>
    </row>
    <row r="147" spans="1:4" ht="18" x14ac:dyDescent="0.3">
      <c r="A147" s="63" t="s">
        <v>142</v>
      </c>
      <c r="B147" s="87">
        <f>60+70+260</f>
        <v>390</v>
      </c>
      <c r="C147" s="87">
        <v>25500</v>
      </c>
      <c r="D147" s="88">
        <f t="shared" si="2"/>
        <v>9945000</v>
      </c>
    </row>
    <row r="148" spans="1:4" ht="18" x14ac:dyDescent="0.3">
      <c r="A148" s="73" t="s">
        <v>143</v>
      </c>
      <c r="B148" s="87">
        <v>10</v>
      </c>
      <c r="C148" s="87">
        <v>20000</v>
      </c>
      <c r="D148" s="88">
        <f t="shared" si="2"/>
        <v>200000</v>
      </c>
    </row>
    <row r="149" spans="1:4" ht="18" hidden="1" x14ac:dyDescent="0.3">
      <c r="A149" s="68" t="s">
        <v>149</v>
      </c>
      <c r="B149" s="87"/>
      <c r="C149" s="87"/>
      <c r="D149" s="88">
        <f t="shared" si="2"/>
        <v>0</v>
      </c>
    </row>
    <row r="150" spans="1:4" ht="18" hidden="1" x14ac:dyDescent="0.3">
      <c r="A150" s="63" t="s">
        <v>150</v>
      </c>
      <c r="B150" s="87"/>
      <c r="C150" s="87"/>
      <c r="D150" s="88">
        <f t="shared" si="2"/>
        <v>0</v>
      </c>
    </row>
    <row r="151" spans="1:4" ht="18" hidden="1" x14ac:dyDescent="0.3">
      <c r="A151" s="61" t="s">
        <v>151</v>
      </c>
      <c r="B151" s="87"/>
      <c r="C151" s="87"/>
      <c r="D151" s="88">
        <f t="shared" si="2"/>
        <v>0</v>
      </c>
    </row>
    <row r="152" spans="1:4" ht="18" hidden="1" x14ac:dyDescent="0.3">
      <c r="A152" s="67" t="s">
        <v>147</v>
      </c>
      <c r="B152" s="87"/>
      <c r="C152" s="87"/>
      <c r="D152" s="88">
        <f t="shared" si="2"/>
        <v>0</v>
      </c>
    </row>
    <row r="153" spans="1:4" ht="18" hidden="1" x14ac:dyDescent="0.3">
      <c r="A153" s="63" t="s">
        <v>153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154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155</v>
      </c>
      <c r="B155" s="87"/>
      <c r="C155" s="87"/>
      <c r="D155" s="88">
        <f t="shared" si="2"/>
        <v>0</v>
      </c>
    </row>
    <row r="156" spans="1:4" ht="18" hidden="1" x14ac:dyDescent="0.3">
      <c r="A156" s="62" t="s">
        <v>156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157</v>
      </c>
      <c r="B157" s="87"/>
      <c r="C157" s="87"/>
      <c r="D157" s="88">
        <f t="shared" si="2"/>
        <v>0</v>
      </c>
    </row>
    <row r="158" spans="1:4" ht="18" hidden="1" x14ac:dyDescent="0.3">
      <c r="A158" s="63" t="s">
        <v>158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159</v>
      </c>
      <c r="B159" s="87"/>
      <c r="C159" s="87"/>
      <c r="D159" s="88">
        <f t="shared" si="2"/>
        <v>0</v>
      </c>
    </row>
    <row r="160" spans="1:4" ht="18" hidden="1" x14ac:dyDescent="0.3">
      <c r="A160" s="68" t="s">
        <v>148</v>
      </c>
      <c r="B160" s="87"/>
      <c r="C160" s="87"/>
      <c r="D160" s="88">
        <f t="shared" si="2"/>
        <v>0</v>
      </c>
    </row>
    <row r="161" spans="1:4" ht="18" hidden="1" x14ac:dyDescent="0.3">
      <c r="A161" s="63" t="s">
        <v>152</v>
      </c>
      <c r="B161" s="87"/>
      <c r="C161" s="87"/>
      <c r="D161" s="88">
        <f t="shared" si="2"/>
        <v>0</v>
      </c>
    </row>
    <row r="162" spans="1:4" ht="18" hidden="1" x14ac:dyDescent="0.3">
      <c r="A162" s="14" t="s">
        <v>160</v>
      </c>
      <c r="B162" s="87"/>
      <c r="C162" s="87"/>
      <c r="D162" s="88">
        <f t="shared" si="2"/>
        <v>0</v>
      </c>
    </row>
    <row r="163" spans="1:4" ht="18" hidden="1" x14ac:dyDescent="0.3">
      <c r="A163" s="63" t="s">
        <v>161</v>
      </c>
      <c r="B163" s="87"/>
      <c r="C163" s="87"/>
      <c r="D163" s="88">
        <f t="shared" si="2"/>
        <v>0</v>
      </c>
    </row>
    <row r="164" spans="1:4" ht="18" hidden="1" x14ac:dyDescent="0.3">
      <c r="A164" s="63" t="s">
        <v>162</v>
      </c>
      <c r="B164" s="87"/>
      <c r="C164" s="87"/>
      <c r="D164" s="88">
        <f t="shared" si="2"/>
        <v>0</v>
      </c>
    </row>
    <row r="165" spans="1:4" ht="18" x14ac:dyDescent="0.3">
      <c r="A165" s="63" t="s">
        <v>163</v>
      </c>
      <c r="B165" s="87">
        <v>50</v>
      </c>
      <c r="C165" s="87">
        <v>18000</v>
      </c>
      <c r="D165" s="88">
        <f t="shared" si="2"/>
        <v>900000</v>
      </c>
    </row>
    <row r="166" spans="1:4" ht="18" hidden="1" x14ac:dyDescent="0.3">
      <c r="A166" s="74" t="s">
        <v>164</v>
      </c>
      <c r="B166" s="87"/>
      <c r="C166" s="87"/>
      <c r="D166" s="88">
        <f t="shared" si="2"/>
        <v>0</v>
      </c>
    </row>
    <row r="167" spans="1:4" ht="18" hidden="1" x14ac:dyDescent="0.3">
      <c r="A167" s="63" t="s">
        <v>167</v>
      </c>
      <c r="B167" s="87"/>
      <c r="C167" s="87"/>
      <c r="D167" s="88">
        <f t="shared" si="2"/>
        <v>0</v>
      </c>
    </row>
    <row r="168" spans="1:4" ht="18" x14ac:dyDescent="0.3">
      <c r="A168" s="63" t="s">
        <v>319</v>
      </c>
      <c r="B168" s="87">
        <v>55</v>
      </c>
      <c r="C168" s="87">
        <v>21000</v>
      </c>
      <c r="D168" s="88">
        <f t="shared" si="2"/>
        <v>1155000</v>
      </c>
    </row>
    <row r="169" spans="1:4" ht="18" hidden="1" x14ac:dyDescent="0.3">
      <c r="A169" s="63" t="s">
        <v>169</v>
      </c>
      <c r="B169" s="87"/>
      <c r="C169" s="87"/>
      <c r="D169" s="88">
        <f t="shared" si="2"/>
        <v>0</v>
      </c>
    </row>
    <row r="170" spans="1:4" ht="18" hidden="1" x14ac:dyDescent="0.3">
      <c r="A170" s="63" t="s">
        <v>166</v>
      </c>
      <c r="B170" s="87"/>
      <c r="C170" s="87"/>
      <c r="D170" s="88">
        <f t="shared" si="2"/>
        <v>0</v>
      </c>
    </row>
    <row r="171" spans="1:4" ht="18" hidden="1" x14ac:dyDescent="0.3">
      <c r="A171" s="74" t="s">
        <v>168</v>
      </c>
      <c r="B171" s="87"/>
      <c r="C171" s="87"/>
      <c r="D171" s="88">
        <f t="shared" si="2"/>
        <v>0</v>
      </c>
    </row>
    <row r="172" spans="1:4" ht="18" hidden="1" x14ac:dyDescent="0.3">
      <c r="A172" s="13" t="s">
        <v>172</v>
      </c>
      <c r="B172" s="87"/>
      <c r="C172" s="87"/>
      <c r="D172" s="88">
        <f t="shared" si="2"/>
        <v>0</v>
      </c>
    </row>
    <row r="173" spans="1:4" ht="18" hidden="1" x14ac:dyDescent="0.3">
      <c r="A173" s="13" t="s">
        <v>173</v>
      </c>
      <c r="B173" s="87"/>
      <c r="C173" s="87"/>
      <c r="D173" s="88">
        <f t="shared" si="2"/>
        <v>0</v>
      </c>
    </row>
    <row r="174" spans="1:4" ht="18" hidden="1" x14ac:dyDescent="0.3">
      <c r="A174" s="61" t="s">
        <v>174</v>
      </c>
      <c r="B174" s="87"/>
      <c r="C174" s="87"/>
      <c r="D174" s="88">
        <f t="shared" si="2"/>
        <v>0</v>
      </c>
    </row>
    <row r="175" spans="1:4" ht="18" x14ac:dyDescent="0.3">
      <c r="A175" s="60" t="s">
        <v>175</v>
      </c>
      <c r="B175" s="87">
        <f>18+40</f>
        <v>58</v>
      </c>
      <c r="C175" s="87">
        <v>12000</v>
      </c>
      <c r="D175" s="88">
        <f t="shared" si="2"/>
        <v>696000</v>
      </c>
    </row>
    <row r="176" spans="1:4" ht="18" x14ac:dyDescent="0.3">
      <c r="A176" s="60" t="s">
        <v>176</v>
      </c>
      <c r="B176" s="87">
        <f>130+140+120+80</f>
        <v>470</v>
      </c>
      <c r="C176" s="87">
        <v>28000</v>
      </c>
      <c r="D176" s="88">
        <f t="shared" si="2"/>
        <v>13160000</v>
      </c>
    </row>
    <row r="177" spans="1:4" ht="18" hidden="1" x14ac:dyDescent="0.3">
      <c r="A177" s="63" t="s">
        <v>177</v>
      </c>
      <c r="B177" s="87"/>
      <c r="C177" s="87"/>
      <c r="D177" s="88">
        <f t="shared" si="2"/>
        <v>0</v>
      </c>
    </row>
    <row r="178" spans="1:4" ht="18" x14ac:dyDescent="0.3">
      <c r="A178" s="60" t="s">
        <v>179</v>
      </c>
      <c r="B178" s="89">
        <v>10</v>
      </c>
      <c r="C178" s="87">
        <v>25000</v>
      </c>
      <c r="D178" s="88">
        <f t="shared" si="2"/>
        <v>250000</v>
      </c>
    </row>
    <row r="179" spans="1:4" ht="18" hidden="1" x14ac:dyDescent="0.3">
      <c r="A179" s="60" t="s">
        <v>180</v>
      </c>
      <c r="B179" s="87"/>
      <c r="C179" s="87"/>
      <c r="D179" s="88">
        <f t="shared" si="2"/>
        <v>0</v>
      </c>
    </row>
    <row r="180" spans="1:4" ht="18" hidden="1" x14ac:dyDescent="0.3">
      <c r="A180" s="64" t="s">
        <v>330</v>
      </c>
      <c r="B180" s="87"/>
      <c r="C180" s="87"/>
      <c r="D180" s="88">
        <f t="shared" si="2"/>
        <v>0</v>
      </c>
    </row>
    <row r="181" spans="1:4" ht="18" hidden="1" x14ac:dyDescent="0.3">
      <c r="A181" s="63" t="s">
        <v>181</v>
      </c>
      <c r="B181" s="87"/>
      <c r="C181" s="87"/>
      <c r="D181" s="88">
        <f t="shared" si="2"/>
        <v>0</v>
      </c>
    </row>
    <row r="182" spans="1:4" ht="18" x14ac:dyDescent="0.3">
      <c r="A182" s="63" t="s">
        <v>182</v>
      </c>
      <c r="B182" s="87">
        <f>13+8</f>
        <v>21</v>
      </c>
      <c r="C182" s="87">
        <v>17000</v>
      </c>
      <c r="D182" s="88">
        <f t="shared" si="2"/>
        <v>357000</v>
      </c>
    </row>
    <row r="183" spans="1:4" ht="18" hidden="1" x14ac:dyDescent="0.3">
      <c r="A183" s="63" t="s">
        <v>183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184</v>
      </c>
      <c r="B184" s="87"/>
      <c r="C184" s="87"/>
      <c r="D184" s="88">
        <f t="shared" si="2"/>
        <v>0</v>
      </c>
    </row>
    <row r="185" spans="1:4" ht="18" hidden="1" x14ac:dyDescent="0.3">
      <c r="A185" s="63" t="s">
        <v>185</v>
      </c>
      <c r="B185" s="87"/>
      <c r="C185" s="87"/>
      <c r="D185" s="88">
        <f t="shared" si="2"/>
        <v>0</v>
      </c>
    </row>
    <row r="186" spans="1:4" ht="18" hidden="1" x14ac:dyDescent="0.3">
      <c r="A186" s="63" t="s">
        <v>186</v>
      </c>
      <c r="B186" s="87"/>
      <c r="C186" s="87"/>
      <c r="D186" s="88">
        <f t="shared" si="2"/>
        <v>0</v>
      </c>
    </row>
    <row r="187" spans="1:4" ht="18" hidden="1" x14ac:dyDescent="0.3">
      <c r="A187" s="63" t="s">
        <v>187</v>
      </c>
      <c r="B187" s="87"/>
      <c r="C187" s="87"/>
      <c r="D187" s="88">
        <f t="shared" si="2"/>
        <v>0</v>
      </c>
    </row>
    <row r="188" spans="1:4" ht="18" hidden="1" x14ac:dyDescent="0.3">
      <c r="A188" s="63" t="s">
        <v>188</v>
      </c>
      <c r="B188" s="87"/>
      <c r="C188" s="87"/>
      <c r="D188" s="88">
        <f t="shared" si="2"/>
        <v>0</v>
      </c>
    </row>
    <row r="189" spans="1:4" ht="18" hidden="1" x14ac:dyDescent="0.3">
      <c r="A189" s="64" t="s">
        <v>189</v>
      </c>
      <c r="B189" s="87"/>
      <c r="C189" s="87"/>
      <c r="D189" s="88">
        <f t="shared" si="2"/>
        <v>0</v>
      </c>
    </row>
    <row r="190" spans="1:4" ht="18" hidden="1" x14ac:dyDescent="0.3">
      <c r="A190" s="70" t="s">
        <v>190</v>
      </c>
      <c r="B190" s="87"/>
      <c r="C190" s="87"/>
      <c r="D190" s="88">
        <f t="shared" si="2"/>
        <v>0</v>
      </c>
    </row>
    <row r="191" spans="1:4" ht="18" hidden="1" x14ac:dyDescent="0.3">
      <c r="A191" s="63" t="s">
        <v>191</v>
      </c>
      <c r="B191" s="87"/>
      <c r="C191" s="87"/>
      <c r="D191" s="88">
        <f t="shared" si="2"/>
        <v>0</v>
      </c>
    </row>
    <row r="192" spans="1:4" ht="18" hidden="1" x14ac:dyDescent="0.3">
      <c r="A192" s="70" t="s">
        <v>308</v>
      </c>
      <c r="B192" s="87"/>
      <c r="C192" s="87"/>
      <c r="D192" s="88">
        <f t="shared" si="2"/>
        <v>0</v>
      </c>
    </row>
    <row r="193" spans="1:4" ht="18" x14ac:dyDescent="0.3">
      <c r="A193" s="63" t="s">
        <v>192</v>
      </c>
      <c r="B193" s="87">
        <v>101</v>
      </c>
      <c r="C193" s="87">
        <v>8000</v>
      </c>
      <c r="D193" s="88">
        <f t="shared" si="2"/>
        <v>808000</v>
      </c>
    </row>
    <row r="194" spans="1:4" ht="18" hidden="1" x14ac:dyDescent="0.3">
      <c r="A194" s="60" t="s">
        <v>193</v>
      </c>
      <c r="B194" s="87"/>
      <c r="C194" s="87"/>
      <c r="D194" s="88">
        <f t="shared" si="2"/>
        <v>0</v>
      </c>
    </row>
    <row r="195" spans="1:4" ht="18" x14ac:dyDescent="0.3">
      <c r="A195" s="63" t="s">
        <v>194</v>
      </c>
      <c r="B195" s="87">
        <f>513+27+22</f>
        <v>562</v>
      </c>
      <c r="C195" s="87">
        <v>8000</v>
      </c>
      <c r="D195" s="88">
        <f t="shared" si="2"/>
        <v>4496000</v>
      </c>
    </row>
    <row r="196" spans="1:4" ht="18" hidden="1" x14ac:dyDescent="0.3">
      <c r="A196" s="63" t="s">
        <v>195</v>
      </c>
      <c r="B196" s="87"/>
      <c r="C196" s="87"/>
      <c r="D196" s="88">
        <f t="shared" ref="D196:D259" si="3">B196*C196</f>
        <v>0</v>
      </c>
    </row>
    <row r="197" spans="1:4" ht="18" hidden="1" x14ac:dyDescent="0.3">
      <c r="A197" s="63" t="s">
        <v>196</v>
      </c>
      <c r="B197" s="87"/>
      <c r="C197" s="87"/>
      <c r="D197" s="88">
        <f t="shared" si="3"/>
        <v>0</v>
      </c>
    </row>
    <row r="198" spans="1:4" ht="18" hidden="1" x14ac:dyDescent="0.3">
      <c r="A198" s="62" t="s">
        <v>197</v>
      </c>
      <c r="B198" s="87"/>
      <c r="C198" s="87"/>
      <c r="D198" s="88">
        <f t="shared" si="3"/>
        <v>0</v>
      </c>
    </row>
    <row r="199" spans="1:4" ht="18" hidden="1" x14ac:dyDescent="0.3">
      <c r="A199" s="78" t="s">
        <v>198</v>
      </c>
      <c r="B199" s="87"/>
      <c r="C199" s="87"/>
      <c r="D199" s="88">
        <f t="shared" si="3"/>
        <v>0</v>
      </c>
    </row>
    <row r="200" spans="1:4" ht="18" x14ac:dyDescent="0.3">
      <c r="A200" s="60" t="s">
        <v>199</v>
      </c>
      <c r="B200" s="87">
        <v>10</v>
      </c>
      <c r="C200" s="87">
        <v>9000</v>
      </c>
      <c r="D200" s="88">
        <f t="shared" si="3"/>
        <v>90000</v>
      </c>
    </row>
    <row r="201" spans="1:4" ht="18" hidden="1" x14ac:dyDescent="0.3">
      <c r="A201" s="61" t="s">
        <v>200</v>
      </c>
      <c r="B201" s="87"/>
      <c r="C201" s="87"/>
      <c r="D201" s="88">
        <f t="shared" si="3"/>
        <v>0</v>
      </c>
    </row>
    <row r="202" spans="1:4" ht="18" hidden="1" x14ac:dyDescent="0.3">
      <c r="A202" s="61" t="s">
        <v>201</v>
      </c>
      <c r="B202" s="87"/>
      <c r="C202" s="87"/>
      <c r="D202" s="88">
        <f t="shared" si="3"/>
        <v>0</v>
      </c>
    </row>
    <row r="203" spans="1:4" ht="18" hidden="1" x14ac:dyDescent="0.3">
      <c r="A203" s="61" t="s">
        <v>202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203</v>
      </c>
      <c r="B204" s="87"/>
      <c r="C204" s="87"/>
      <c r="D204" s="88">
        <f t="shared" si="3"/>
        <v>0</v>
      </c>
    </row>
    <row r="205" spans="1:4" ht="18" hidden="1" x14ac:dyDescent="0.3">
      <c r="A205" s="63" t="s">
        <v>204</v>
      </c>
      <c r="B205" s="87"/>
      <c r="C205" s="87"/>
      <c r="D205" s="88">
        <f t="shared" si="3"/>
        <v>0</v>
      </c>
    </row>
    <row r="206" spans="1:4" ht="18" hidden="1" x14ac:dyDescent="0.3">
      <c r="A206" s="63" t="s">
        <v>205</v>
      </c>
      <c r="B206" s="87"/>
      <c r="C206" s="87"/>
      <c r="D206" s="88">
        <f t="shared" si="3"/>
        <v>0</v>
      </c>
    </row>
    <row r="207" spans="1:4" ht="18" hidden="1" x14ac:dyDescent="0.3">
      <c r="A207" s="63" t="s">
        <v>206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207</v>
      </c>
      <c r="B208" s="87"/>
      <c r="C208" s="87"/>
      <c r="D208" s="88">
        <f t="shared" si="3"/>
        <v>0</v>
      </c>
    </row>
    <row r="209" spans="1:4" ht="18" x14ac:dyDescent="0.3">
      <c r="A209" s="60" t="s">
        <v>208</v>
      </c>
      <c r="B209" s="89">
        <v>0.5</v>
      </c>
      <c r="C209" s="87">
        <v>60000</v>
      </c>
      <c r="D209" s="88">
        <f t="shared" si="3"/>
        <v>30000</v>
      </c>
    </row>
    <row r="210" spans="1:4" ht="18" hidden="1" x14ac:dyDescent="0.3">
      <c r="A210" s="60" t="s">
        <v>209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210</v>
      </c>
      <c r="B211" s="87"/>
      <c r="C211" s="87"/>
      <c r="D211" s="88">
        <f t="shared" si="3"/>
        <v>0</v>
      </c>
    </row>
    <row r="212" spans="1:4" ht="18" hidden="1" x14ac:dyDescent="0.3">
      <c r="A212" s="63" t="s">
        <v>211</v>
      </c>
      <c r="B212" s="87"/>
      <c r="C212" s="87"/>
      <c r="D212" s="88">
        <f t="shared" si="3"/>
        <v>0</v>
      </c>
    </row>
    <row r="213" spans="1:4" ht="18" hidden="1" x14ac:dyDescent="0.3">
      <c r="A213" s="63" t="s">
        <v>212</v>
      </c>
      <c r="B213" s="87"/>
      <c r="C213" s="87"/>
      <c r="D213" s="88">
        <f t="shared" si="3"/>
        <v>0</v>
      </c>
    </row>
    <row r="214" spans="1:4" ht="18" hidden="1" x14ac:dyDescent="0.3">
      <c r="A214" s="61" t="s">
        <v>213</v>
      </c>
      <c r="B214" s="87"/>
      <c r="C214" s="87"/>
      <c r="D214" s="88">
        <f t="shared" si="3"/>
        <v>0</v>
      </c>
    </row>
    <row r="215" spans="1:4" ht="18" hidden="1" x14ac:dyDescent="0.3">
      <c r="A215" s="63" t="s">
        <v>214</v>
      </c>
      <c r="B215" s="87"/>
      <c r="C215" s="87"/>
      <c r="D215" s="88">
        <f t="shared" si="3"/>
        <v>0</v>
      </c>
    </row>
    <row r="216" spans="1:4" ht="18" hidden="1" x14ac:dyDescent="0.3">
      <c r="A216" s="61" t="s">
        <v>215</v>
      </c>
      <c r="B216" s="87"/>
      <c r="C216" s="87"/>
      <c r="D216" s="88">
        <f t="shared" si="3"/>
        <v>0</v>
      </c>
    </row>
    <row r="217" spans="1:4" ht="18" x14ac:dyDescent="0.3">
      <c r="A217" s="63" t="s">
        <v>216</v>
      </c>
      <c r="B217" s="87">
        <v>1</v>
      </c>
      <c r="C217" s="87">
        <v>15000</v>
      </c>
      <c r="D217" s="88">
        <f t="shared" si="3"/>
        <v>15000</v>
      </c>
    </row>
    <row r="218" spans="1:4" ht="18" hidden="1" x14ac:dyDescent="0.3">
      <c r="A218" s="63" t="s">
        <v>217</v>
      </c>
      <c r="B218" s="87"/>
      <c r="C218" s="87"/>
      <c r="D218" s="88">
        <f t="shared" si="3"/>
        <v>0</v>
      </c>
    </row>
    <row r="219" spans="1:4" ht="18" hidden="1" x14ac:dyDescent="0.3">
      <c r="A219" s="63" t="s">
        <v>218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219</v>
      </c>
      <c r="B220" s="87"/>
      <c r="C220" s="87"/>
      <c r="D220" s="88">
        <f t="shared" si="3"/>
        <v>0</v>
      </c>
    </row>
    <row r="221" spans="1:4" ht="18" hidden="1" x14ac:dyDescent="0.3">
      <c r="A221" s="65" t="s">
        <v>220</v>
      </c>
      <c r="B221" s="87"/>
      <c r="C221" s="87"/>
      <c r="D221" s="88">
        <f t="shared" si="3"/>
        <v>0</v>
      </c>
    </row>
    <row r="222" spans="1:4" ht="18" hidden="1" x14ac:dyDescent="0.3">
      <c r="A222" s="60" t="s">
        <v>221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222</v>
      </c>
      <c r="B223" s="87"/>
      <c r="C223" s="87"/>
      <c r="D223" s="88">
        <f t="shared" si="3"/>
        <v>0</v>
      </c>
    </row>
    <row r="224" spans="1:4" ht="18" hidden="1" x14ac:dyDescent="0.3">
      <c r="A224" s="63" t="s">
        <v>223</v>
      </c>
      <c r="B224" s="87"/>
      <c r="C224" s="87"/>
      <c r="D224" s="88">
        <f t="shared" si="3"/>
        <v>0</v>
      </c>
    </row>
    <row r="225" spans="1:4" ht="18" hidden="1" x14ac:dyDescent="0.3">
      <c r="A225" s="61" t="s">
        <v>224</v>
      </c>
      <c r="B225" s="89"/>
      <c r="C225" s="89"/>
      <c r="D225" s="88">
        <f t="shared" si="3"/>
        <v>0</v>
      </c>
    </row>
    <row r="226" spans="1:4" ht="18" hidden="1" x14ac:dyDescent="0.3">
      <c r="A226" s="61" t="s">
        <v>225</v>
      </c>
      <c r="B226" s="87"/>
      <c r="C226" s="87"/>
      <c r="D226" s="88">
        <f t="shared" si="3"/>
        <v>0</v>
      </c>
    </row>
    <row r="227" spans="1:4" ht="18" hidden="1" x14ac:dyDescent="0.3">
      <c r="A227" s="61" t="s">
        <v>226</v>
      </c>
      <c r="B227" s="89"/>
      <c r="C227" s="89"/>
      <c r="D227" s="88">
        <f t="shared" si="3"/>
        <v>0</v>
      </c>
    </row>
    <row r="228" spans="1:4" ht="18" x14ac:dyDescent="0.3">
      <c r="A228" s="65" t="s">
        <v>227</v>
      </c>
      <c r="B228" s="87">
        <v>5</v>
      </c>
      <c r="C228" s="87">
        <v>50000</v>
      </c>
      <c r="D228" s="88">
        <f t="shared" si="3"/>
        <v>250000</v>
      </c>
    </row>
    <row r="229" spans="1:4" ht="18" hidden="1" x14ac:dyDescent="0.3">
      <c r="A229" s="64" t="s">
        <v>228</v>
      </c>
      <c r="B229" s="87"/>
      <c r="C229" s="87"/>
      <c r="D229" s="88">
        <f t="shared" si="3"/>
        <v>0</v>
      </c>
    </row>
    <row r="230" spans="1:4" ht="18" hidden="1" x14ac:dyDescent="0.3">
      <c r="A230" s="64" t="s">
        <v>229</v>
      </c>
      <c r="B230" s="87"/>
      <c r="C230" s="87"/>
      <c r="D230" s="88">
        <f t="shared" si="3"/>
        <v>0</v>
      </c>
    </row>
    <row r="231" spans="1:4" ht="18" hidden="1" x14ac:dyDescent="0.3">
      <c r="A231" s="61" t="s">
        <v>230</v>
      </c>
      <c r="B231" s="87"/>
      <c r="C231" s="87"/>
      <c r="D231" s="88">
        <f t="shared" si="3"/>
        <v>0</v>
      </c>
    </row>
    <row r="232" spans="1:4" ht="18" hidden="1" x14ac:dyDescent="0.3">
      <c r="A232" s="63" t="s">
        <v>231</v>
      </c>
      <c r="B232" s="87"/>
      <c r="C232" s="87"/>
      <c r="D232" s="88">
        <f t="shared" si="3"/>
        <v>0</v>
      </c>
    </row>
    <row r="233" spans="1:4" ht="18" hidden="1" x14ac:dyDescent="0.3">
      <c r="A233" s="63" t="s">
        <v>232</v>
      </c>
      <c r="B233" s="87"/>
      <c r="C233" s="87"/>
      <c r="D233" s="88">
        <f t="shared" si="3"/>
        <v>0</v>
      </c>
    </row>
    <row r="234" spans="1:4" ht="18" hidden="1" x14ac:dyDescent="0.3">
      <c r="A234" s="65" t="s">
        <v>233</v>
      </c>
      <c r="B234" s="87"/>
      <c r="C234" s="87"/>
      <c r="D234" s="88">
        <f t="shared" si="3"/>
        <v>0</v>
      </c>
    </row>
    <row r="235" spans="1:4" ht="18" x14ac:dyDescent="0.3">
      <c r="A235" s="60" t="s">
        <v>178</v>
      </c>
      <c r="B235" s="87">
        <v>80</v>
      </c>
      <c r="C235" s="87">
        <v>32000</v>
      </c>
      <c r="D235" s="88">
        <f t="shared" si="3"/>
        <v>2560000</v>
      </c>
    </row>
    <row r="236" spans="1:4" ht="18" hidden="1" x14ac:dyDescent="0.3">
      <c r="A236" s="63" t="s">
        <v>235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236</v>
      </c>
      <c r="B237" s="87"/>
      <c r="C237" s="87"/>
      <c r="D237" s="88">
        <f t="shared" si="3"/>
        <v>0</v>
      </c>
    </row>
    <row r="238" spans="1:4" ht="18" hidden="1" x14ac:dyDescent="0.3">
      <c r="A238" s="64" t="s">
        <v>237</v>
      </c>
      <c r="B238" s="87"/>
      <c r="C238" s="87"/>
      <c r="D238" s="88">
        <f t="shared" si="3"/>
        <v>0</v>
      </c>
    </row>
    <row r="239" spans="1:4" ht="18" hidden="1" x14ac:dyDescent="0.3">
      <c r="A239" s="63" t="s">
        <v>238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239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240</v>
      </c>
      <c r="B241" s="87"/>
      <c r="C241" s="87"/>
      <c r="D241" s="88">
        <f t="shared" si="3"/>
        <v>0</v>
      </c>
    </row>
    <row r="242" spans="1:4" ht="18" hidden="1" x14ac:dyDescent="0.3">
      <c r="A242" s="63" t="s">
        <v>241</v>
      </c>
      <c r="B242" s="87"/>
      <c r="C242" s="87"/>
      <c r="D242" s="88">
        <f t="shared" si="3"/>
        <v>0</v>
      </c>
    </row>
    <row r="243" spans="1:4" ht="18" hidden="1" x14ac:dyDescent="0.3">
      <c r="A243" s="64" t="s">
        <v>242</v>
      </c>
      <c r="B243" s="87"/>
      <c r="C243" s="87"/>
      <c r="D243" s="88">
        <f t="shared" si="3"/>
        <v>0</v>
      </c>
    </row>
    <row r="244" spans="1:4" ht="18" hidden="1" x14ac:dyDescent="0.3">
      <c r="A244" s="63" t="s">
        <v>243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244</v>
      </c>
      <c r="B245" s="87"/>
      <c r="C245" s="87"/>
      <c r="D245" s="88">
        <f t="shared" si="3"/>
        <v>0</v>
      </c>
    </row>
    <row r="246" spans="1:4" ht="18" hidden="1" x14ac:dyDescent="0.3">
      <c r="A246" s="64" t="s">
        <v>245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246</v>
      </c>
      <c r="B247" s="87"/>
      <c r="C247" s="87"/>
      <c r="D247" s="88">
        <f t="shared" si="3"/>
        <v>0</v>
      </c>
    </row>
    <row r="248" spans="1:4" ht="18" x14ac:dyDescent="0.3">
      <c r="A248" s="79" t="s">
        <v>247</v>
      </c>
      <c r="B248" s="87">
        <v>11</v>
      </c>
      <c r="C248" s="87">
        <v>30000</v>
      </c>
      <c r="D248" s="88">
        <f t="shared" si="3"/>
        <v>330000</v>
      </c>
    </row>
    <row r="249" spans="1:4" ht="18" hidden="1" x14ac:dyDescent="0.3">
      <c r="A249" s="79" t="s">
        <v>248</v>
      </c>
      <c r="B249" s="87"/>
      <c r="C249" s="87"/>
      <c r="D249" s="88">
        <f t="shared" si="3"/>
        <v>0</v>
      </c>
    </row>
    <row r="250" spans="1:4" ht="18" hidden="1" x14ac:dyDescent="0.3">
      <c r="A250" s="64" t="s">
        <v>249</v>
      </c>
      <c r="B250" s="87"/>
      <c r="C250" s="87"/>
      <c r="D250" s="88">
        <f t="shared" si="3"/>
        <v>0</v>
      </c>
    </row>
    <row r="251" spans="1:4" ht="18" hidden="1" x14ac:dyDescent="0.3">
      <c r="A251" s="79" t="s">
        <v>250</v>
      </c>
      <c r="B251" s="87"/>
      <c r="C251" s="87"/>
      <c r="D251" s="88">
        <f t="shared" si="3"/>
        <v>0</v>
      </c>
    </row>
    <row r="252" spans="1:4" ht="18" hidden="1" x14ac:dyDescent="0.3">
      <c r="A252" s="79" t="s">
        <v>251</v>
      </c>
      <c r="B252" s="87"/>
      <c r="C252" s="87"/>
      <c r="D252" s="88">
        <f t="shared" si="3"/>
        <v>0</v>
      </c>
    </row>
    <row r="253" spans="1:4" ht="18" hidden="1" x14ac:dyDescent="0.3">
      <c r="A253" s="79" t="s">
        <v>252</v>
      </c>
      <c r="B253" s="87"/>
      <c r="C253" s="87"/>
      <c r="D253" s="88">
        <f t="shared" si="3"/>
        <v>0</v>
      </c>
    </row>
    <row r="254" spans="1:4" ht="18" hidden="1" x14ac:dyDescent="0.3">
      <c r="A254" s="63" t="s">
        <v>253</v>
      </c>
      <c r="B254" s="87"/>
      <c r="C254" s="87"/>
      <c r="D254" s="88">
        <f t="shared" si="3"/>
        <v>0</v>
      </c>
    </row>
    <row r="255" spans="1:4" ht="18" hidden="1" x14ac:dyDescent="0.3">
      <c r="A255" s="63" t="s">
        <v>254</v>
      </c>
      <c r="B255" s="87"/>
      <c r="C255" s="87"/>
      <c r="D255" s="88">
        <f t="shared" si="3"/>
        <v>0</v>
      </c>
    </row>
    <row r="256" spans="1:4" ht="18" hidden="1" x14ac:dyDescent="0.3">
      <c r="A256" s="63" t="s">
        <v>255</v>
      </c>
      <c r="B256" s="87"/>
      <c r="C256" s="87"/>
      <c r="D256" s="88">
        <f t="shared" si="3"/>
        <v>0</v>
      </c>
    </row>
    <row r="257" spans="1:4" ht="18" hidden="1" x14ac:dyDescent="0.3">
      <c r="A257" s="63" t="s">
        <v>256</v>
      </c>
      <c r="B257" s="87"/>
      <c r="C257" s="87"/>
      <c r="D257" s="88">
        <f t="shared" si="3"/>
        <v>0</v>
      </c>
    </row>
    <row r="258" spans="1:4" ht="18" hidden="1" x14ac:dyDescent="0.3">
      <c r="A258" s="63" t="s">
        <v>257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258</v>
      </c>
      <c r="B259" s="87"/>
      <c r="C259" s="87"/>
      <c r="D259" s="88">
        <f t="shared" si="3"/>
        <v>0</v>
      </c>
    </row>
    <row r="260" spans="1:4" ht="18" hidden="1" x14ac:dyDescent="0.3">
      <c r="A260" s="63" t="s">
        <v>259</v>
      </c>
      <c r="B260" s="87"/>
      <c r="C260" s="87"/>
      <c r="D260" s="88">
        <f t="shared" ref="D260:D293" si="4">B260*C260</f>
        <v>0</v>
      </c>
    </row>
    <row r="261" spans="1:4" ht="18" hidden="1" x14ac:dyDescent="0.3">
      <c r="A261" s="65" t="s">
        <v>260</v>
      </c>
      <c r="B261" s="87"/>
      <c r="C261" s="87"/>
      <c r="D261" s="88">
        <f t="shared" si="4"/>
        <v>0</v>
      </c>
    </row>
    <row r="262" spans="1:4" ht="18" hidden="1" x14ac:dyDescent="0.3">
      <c r="A262" s="63" t="s">
        <v>261</v>
      </c>
      <c r="B262" s="87"/>
      <c r="C262" s="87"/>
      <c r="D262" s="88">
        <f t="shared" si="4"/>
        <v>0</v>
      </c>
    </row>
    <row r="263" spans="1:4" ht="18" x14ac:dyDescent="0.3">
      <c r="A263" s="63" t="s">
        <v>262</v>
      </c>
      <c r="B263" s="87">
        <v>4</v>
      </c>
      <c r="C263" s="87">
        <v>10000</v>
      </c>
      <c r="D263" s="88">
        <f t="shared" si="4"/>
        <v>40000</v>
      </c>
    </row>
    <row r="264" spans="1:4" ht="18" x14ac:dyDescent="0.3">
      <c r="A264" s="63" t="s">
        <v>263</v>
      </c>
      <c r="B264" s="87">
        <f>48+56</f>
        <v>104</v>
      </c>
      <c r="C264" s="87">
        <v>8000</v>
      </c>
      <c r="D264" s="88">
        <f t="shared" si="4"/>
        <v>832000</v>
      </c>
    </row>
    <row r="265" spans="1:4" ht="18" hidden="1" x14ac:dyDescent="0.3">
      <c r="A265" s="63" t="s">
        <v>264</v>
      </c>
      <c r="B265" s="87"/>
      <c r="C265" s="87"/>
      <c r="D265" s="88">
        <f t="shared" si="4"/>
        <v>0</v>
      </c>
    </row>
    <row r="266" spans="1:4" ht="18" hidden="1" x14ac:dyDescent="0.3">
      <c r="A266" s="63" t="s">
        <v>265</v>
      </c>
      <c r="B266" s="87"/>
      <c r="C266" s="87"/>
      <c r="D266" s="88">
        <f t="shared" si="4"/>
        <v>0</v>
      </c>
    </row>
    <row r="267" spans="1:4" ht="18" hidden="1" x14ac:dyDescent="0.3">
      <c r="A267" s="63" t="s">
        <v>266</v>
      </c>
      <c r="B267" s="87"/>
      <c r="C267" s="87"/>
      <c r="D267" s="88">
        <f t="shared" si="4"/>
        <v>0</v>
      </c>
    </row>
    <row r="268" spans="1:4" ht="18" hidden="1" x14ac:dyDescent="0.3">
      <c r="A268" s="63" t="s">
        <v>267</v>
      </c>
      <c r="B268" s="87"/>
      <c r="C268" s="87"/>
      <c r="D268" s="88">
        <f t="shared" si="4"/>
        <v>0</v>
      </c>
    </row>
    <row r="269" spans="1:4" ht="18" hidden="1" x14ac:dyDescent="0.3">
      <c r="A269" s="74" t="s">
        <v>268</v>
      </c>
      <c r="B269" s="87"/>
      <c r="C269" s="87"/>
      <c r="D269" s="88">
        <f t="shared" si="4"/>
        <v>0</v>
      </c>
    </row>
    <row r="270" spans="1:4" ht="18" hidden="1" x14ac:dyDescent="0.3">
      <c r="A270" s="63" t="s">
        <v>269</v>
      </c>
      <c r="B270" s="87"/>
      <c r="C270" s="87"/>
      <c r="D270" s="88">
        <f t="shared" si="4"/>
        <v>0</v>
      </c>
    </row>
    <row r="271" spans="1:4" ht="18" hidden="1" x14ac:dyDescent="0.3">
      <c r="A271" s="63" t="s">
        <v>270</v>
      </c>
      <c r="B271" s="87"/>
      <c r="C271" s="87"/>
      <c r="D271" s="88">
        <f t="shared" si="4"/>
        <v>0</v>
      </c>
    </row>
    <row r="272" spans="1:4" ht="18" hidden="1" x14ac:dyDescent="0.3">
      <c r="A272" s="30" t="s">
        <v>271</v>
      </c>
      <c r="B272" s="87"/>
      <c r="C272" s="87"/>
      <c r="D272" s="88">
        <f t="shared" si="4"/>
        <v>0</v>
      </c>
    </row>
    <row r="273" spans="1:4" ht="18" hidden="1" x14ac:dyDescent="0.3">
      <c r="A273" s="60" t="s">
        <v>272</v>
      </c>
      <c r="B273" s="89"/>
      <c r="C273" s="87"/>
      <c r="D273" s="88">
        <f t="shared" si="4"/>
        <v>0</v>
      </c>
    </row>
    <row r="274" spans="1:4" ht="18" hidden="1" x14ac:dyDescent="0.3">
      <c r="A274" s="63" t="s">
        <v>273</v>
      </c>
      <c r="B274" s="87"/>
      <c r="C274" s="87"/>
      <c r="D274" s="88">
        <f t="shared" si="4"/>
        <v>0</v>
      </c>
    </row>
    <row r="275" spans="1:4" ht="18" hidden="1" x14ac:dyDescent="0.3">
      <c r="A275" s="63" t="s">
        <v>274</v>
      </c>
      <c r="B275" s="87"/>
      <c r="C275" s="87"/>
      <c r="D275" s="88">
        <f t="shared" si="4"/>
        <v>0</v>
      </c>
    </row>
    <row r="276" spans="1:4" ht="18" hidden="1" x14ac:dyDescent="0.3">
      <c r="A276" s="63" t="s">
        <v>275</v>
      </c>
      <c r="B276" s="87"/>
      <c r="C276" s="87"/>
      <c r="D276" s="88">
        <f t="shared" si="4"/>
        <v>0</v>
      </c>
    </row>
    <row r="277" spans="1:4" ht="18" hidden="1" x14ac:dyDescent="0.3">
      <c r="A277" s="65" t="s">
        <v>92</v>
      </c>
      <c r="B277" s="87"/>
      <c r="C277" s="87"/>
      <c r="D277" s="88">
        <f t="shared" si="4"/>
        <v>0</v>
      </c>
    </row>
    <row r="278" spans="1:4" ht="18" hidden="1" x14ac:dyDescent="0.3">
      <c r="A278" s="63" t="s">
        <v>276</v>
      </c>
      <c r="B278" s="87"/>
      <c r="C278" s="87"/>
      <c r="D278" s="88">
        <f t="shared" si="4"/>
        <v>0</v>
      </c>
    </row>
    <row r="279" spans="1:4" ht="18" x14ac:dyDescent="0.3">
      <c r="A279" s="72" t="s">
        <v>277</v>
      </c>
      <c r="B279" s="87">
        <v>7</v>
      </c>
      <c r="C279" s="87">
        <v>3500</v>
      </c>
      <c r="D279" s="88">
        <f t="shared" si="4"/>
        <v>24500</v>
      </c>
    </row>
    <row r="280" spans="1:4" ht="18" hidden="1" x14ac:dyDescent="0.3">
      <c r="A280" s="61" t="s">
        <v>278</v>
      </c>
      <c r="B280" s="87"/>
      <c r="C280" s="87"/>
      <c r="D280" s="88">
        <f t="shared" si="4"/>
        <v>0</v>
      </c>
    </row>
    <row r="281" spans="1:4" ht="18" hidden="1" x14ac:dyDescent="0.3">
      <c r="A281" s="63" t="s">
        <v>279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280</v>
      </c>
      <c r="B282" s="87"/>
      <c r="C282" s="87"/>
      <c r="D282" s="88">
        <f t="shared" si="4"/>
        <v>0</v>
      </c>
    </row>
    <row r="283" spans="1:4" ht="18" hidden="1" x14ac:dyDescent="0.3">
      <c r="A283" s="63" t="s">
        <v>281</v>
      </c>
      <c r="B283" s="87"/>
      <c r="C283" s="87"/>
      <c r="D283" s="88">
        <f t="shared" si="4"/>
        <v>0</v>
      </c>
    </row>
    <row r="284" spans="1:4" ht="18" x14ac:dyDescent="0.3">
      <c r="A284" s="63" t="s">
        <v>282</v>
      </c>
      <c r="B284" s="87">
        <v>5</v>
      </c>
      <c r="C284" s="87">
        <v>6000</v>
      </c>
      <c r="D284" s="88">
        <f t="shared" si="4"/>
        <v>30000</v>
      </c>
    </row>
    <row r="285" spans="1:4" ht="18" hidden="1" x14ac:dyDescent="0.3">
      <c r="A285" s="60" t="s">
        <v>283</v>
      </c>
      <c r="B285" s="87"/>
      <c r="C285" s="87"/>
      <c r="D285" s="88">
        <f t="shared" si="4"/>
        <v>0</v>
      </c>
    </row>
    <row r="286" spans="1:4" ht="18" hidden="1" x14ac:dyDescent="0.3">
      <c r="A286" s="63" t="s">
        <v>313</v>
      </c>
      <c r="B286" s="87"/>
      <c r="C286" s="87"/>
      <c r="D286" s="88">
        <f t="shared" si="4"/>
        <v>0</v>
      </c>
    </row>
    <row r="287" spans="1:4" ht="18" hidden="1" x14ac:dyDescent="0.3">
      <c r="A287" s="61" t="s">
        <v>314</v>
      </c>
      <c r="B287" s="87"/>
      <c r="C287" s="87"/>
      <c r="D287" s="88">
        <f t="shared" si="4"/>
        <v>0</v>
      </c>
    </row>
    <row r="288" spans="1:4" ht="18" hidden="1" x14ac:dyDescent="0.3">
      <c r="A288" s="61" t="s">
        <v>315</v>
      </c>
      <c r="B288" s="87"/>
      <c r="C288" s="87"/>
      <c r="D288" s="88">
        <f t="shared" si="4"/>
        <v>0</v>
      </c>
    </row>
    <row r="289" spans="1:4" ht="18" hidden="1" x14ac:dyDescent="0.3">
      <c r="A289" s="63" t="s">
        <v>284</v>
      </c>
      <c r="B289" s="87"/>
      <c r="C289" s="87"/>
      <c r="D289" s="88">
        <f t="shared" si="4"/>
        <v>0</v>
      </c>
    </row>
    <row r="290" spans="1:4" ht="18" hidden="1" x14ac:dyDescent="0.3">
      <c r="A290" s="61" t="s">
        <v>285</v>
      </c>
      <c r="B290" s="87"/>
      <c r="C290" s="87"/>
      <c r="D290" s="88">
        <f t="shared" si="4"/>
        <v>0</v>
      </c>
    </row>
    <row r="291" spans="1:4" ht="18" hidden="1" x14ac:dyDescent="0.3">
      <c r="A291" s="61" t="s">
        <v>286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287</v>
      </c>
      <c r="B292" s="87"/>
      <c r="C292" s="87"/>
      <c r="D292" s="88">
        <f t="shared" si="4"/>
        <v>0</v>
      </c>
    </row>
    <row r="293" spans="1:4" ht="18" hidden="1" x14ac:dyDescent="0.3">
      <c r="A293" s="63" t="s">
        <v>288</v>
      </c>
      <c r="B293" s="87"/>
      <c r="C293" s="87"/>
      <c r="D293" s="88">
        <f t="shared" si="4"/>
        <v>0</v>
      </c>
    </row>
    <row r="294" spans="1:4" ht="17.399999999999999" x14ac:dyDescent="0.3">
      <c r="A294" s="80"/>
      <c r="B294" s="86">
        <f t="shared" ref="B294:D294" si="5">SUM(B3:B293)</f>
        <v>5531.7333333333336</v>
      </c>
      <c r="C294" s="86"/>
      <c r="D294" s="86">
        <f t="shared" si="5"/>
        <v>86374933.333333343</v>
      </c>
    </row>
  </sheetData>
  <protectedRanges>
    <protectedRange password="CF71" sqref="B1:D293" name="tho"/>
  </protectedRanges>
  <autoFilter ref="A2:O294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5"/>
  <sheetViews>
    <sheetView workbookViewId="0">
      <selection activeCell="H68" sqref="H68"/>
    </sheetView>
  </sheetViews>
  <sheetFormatPr defaultRowHeight="14.4" x14ac:dyDescent="0.3"/>
  <cols>
    <col min="1" max="1" width="36.44140625" customWidth="1"/>
    <col min="3" max="3" width="13.109375" customWidth="1"/>
    <col min="4" max="4" width="17" customWidth="1"/>
  </cols>
  <sheetData>
    <row r="1" spans="1:4" x14ac:dyDescent="0.3">
      <c r="A1" s="57" t="s">
        <v>333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hidden="1" x14ac:dyDescent="0.3">
      <c r="A7" s="60" t="s">
        <v>2</v>
      </c>
      <c r="B7" s="87"/>
      <c r="C7" s="87"/>
      <c r="D7" s="88">
        <f t="shared" si="0"/>
        <v>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0" t="s">
        <v>10</v>
      </c>
      <c r="B11" s="89"/>
      <c r="C11" s="89"/>
      <c r="D11" s="88">
        <f t="shared" si="0"/>
        <v>0</v>
      </c>
    </row>
    <row r="12" spans="1:4" ht="18" hidden="1" x14ac:dyDescent="0.3">
      <c r="A12" s="63" t="s">
        <v>11</v>
      </c>
      <c r="B12" s="87"/>
      <c r="C12" s="87"/>
      <c r="D12" s="88">
        <f t="shared" si="0"/>
        <v>0</v>
      </c>
    </row>
    <row r="13" spans="1:4" ht="18" hidden="1" x14ac:dyDescent="0.3">
      <c r="A13" s="63" t="s">
        <v>12</v>
      </c>
      <c r="B13" s="87"/>
      <c r="C13" s="87"/>
      <c r="D13" s="88">
        <f t="shared" si="0"/>
        <v>0</v>
      </c>
    </row>
    <row r="14" spans="1:4" ht="18" hidden="1" x14ac:dyDescent="0.3">
      <c r="A14" s="63" t="s">
        <v>13</v>
      </c>
      <c r="B14" s="89"/>
      <c r="C14" s="89"/>
      <c r="D14" s="88">
        <f t="shared" si="0"/>
        <v>0</v>
      </c>
    </row>
    <row r="15" spans="1:4" ht="18" hidden="1" x14ac:dyDescent="0.3">
      <c r="A15" s="64" t="s">
        <v>14</v>
      </c>
      <c r="B15" s="87"/>
      <c r="C15" s="87"/>
      <c r="D15" s="88">
        <f t="shared" si="0"/>
        <v>0</v>
      </c>
    </row>
    <row r="16" spans="1:4" ht="18" hidden="1" x14ac:dyDescent="0.3">
      <c r="A16" s="61" t="s">
        <v>15</v>
      </c>
      <c r="B16" s="87"/>
      <c r="C16" s="87"/>
      <c r="D16" s="88">
        <f t="shared" si="0"/>
        <v>0</v>
      </c>
    </row>
    <row r="17" spans="1:4" ht="18" hidden="1" x14ac:dyDescent="0.3">
      <c r="A17" s="13" t="s">
        <v>16</v>
      </c>
      <c r="B17" s="87"/>
      <c r="C17" s="87"/>
      <c r="D17" s="88">
        <f t="shared" si="0"/>
        <v>0</v>
      </c>
    </row>
    <row r="18" spans="1:4" ht="18" x14ac:dyDescent="0.3">
      <c r="A18" s="63" t="s">
        <v>17</v>
      </c>
      <c r="B18" s="87">
        <v>25</v>
      </c>
      <c r="C18" s="87">
        <v>14500</v>
      </c>
      <c r="D18" s="88">
        <f t="shared" si="0"/>
        <v>362500</v>
      </c>
    </row>
    <row r="19" spans="1:4" ht="18" hidden="1" x14ac:dyDescent="0.3">
      <c r="A19" s="63" t="s">
        <v>18</v>
      </c>
      <c r="B19" s="87"/>
      <c r="C19" s="87"/>
      <c r="D19" s="88">
        <f t="shared" si="0"/>
        <v>0</v>
      </c>
    </row>
    <row r="20" spans="1:4" ht="18" hidden="1" x14ac:dyDescent="0.3">
      <c r="A20" s="63" t="s">
        <v>19</v>
      </c>
      <c r="B20" s="87"/>
      <c r="C20" s="87"/>
      <c r="D20" s="88">
        <f t="shared" si="0"/>
        <v>0</v>
      </c>
    </row>
    <row r="21" spans="1:4" ht="18" hidden="1" x14ac:dyDescent="0.3">
      <c r="A21" s="61" t="s">
        <v>20</v>
      </c>
      <c r="B21" s="87"/>
      <c r="C21" s="87"/>
      <c r="D21" s="88">
        <f t="shared" si="0"/>
        <v>0</v>
      </c>
    </row>
    <row r="22" spans="1:4" ht="18" x14ac:dyDescent="0.3">
      <c r="A22" s="63" t="s">
        <v>21</v>
      </c>
      <c r="B22" s="87">
        <f>55+40+8+30</f>
        <v>133</v>
      </c>
      <c r="C22" s="87">
        <v>32000</v>
      </c>
      <c r="D22" s="88">
        <f t="shared" si="0"/>
        <v>4256000</v>
      </c>
    </row>
    <row r="23" spans="1:4" ht="18" x14ac:dyDescent="0.3">
      <c r="A23" s="63" t="s">
        <v>22</v>
      </c>
      <c r="B23" s="87">
        <v>40</v>
      </c>
      <c r="C23" s="87">
        <v>27000</v>
      </c>
      <c r="D23" s="88">
        <f t="shared" si="0"/>
        <v>1080000</v>
      </c>
    </row>
    <row r="24" spans="1:4" ht="18" hidden="1" x14ac:dyDescent="0.3">
      <c r="A24" s="63" t="s">
        <v>23</v>
      </c>
      <c r="B24" s="87"/>
      <c r="C24" s="87"/>
      <c r="D24" s="88">
        <f t="shared" si="0"/>
        <v>0</v>
      </c>
    </row>
    <row r="25" spans="1:4" ht="18" hidden="1" x14ac:dyDescent="0.3">
      <c r="A25" s="63" t="s">
        <v>24</v>
      </c>
      <c r="B25" s="87"/>
      <c r="C25" s="87"/>
      <c r="D25" s="88">
        <f t="shared" si="0"/>
        <v>0</v>
      </c>
    </row>
    <row r="26" spans="1:4" ht="18" hidden="1" x14ac:dyDescent="0.3">
      <c r="A26" s="63" t="s">
        <v>25</v>
      </c>
      <c r="B26" s="87"/>
      <c r="C26" s="87"/>
      <c r="D26" s="88">
        <f t="shared" si="0"/>
        <v>0</v>
      </c>
    </row>
    <row r="27" spans="1:4" ht="18" hidden="1" x14ac:dyDescent="0.3">
      <c r="A27" s="63" t="s">
        <v>26</v>
      </c>
      <c r="B27" s="87"/>
      <c r="C27" s="87"/>
      <c r="D27" s="88">
        <f t="shared" si="0"/>
        <v>0</v>
      </c>
    </row>
    <row r="28" spans="1:4" ht="18" hidden="1" x14ac:dyDescent="0.3">
      <c r="A28" s="63" t="s">
        <v>27</v>
      </c>
      <c r="B28" s="87"/>
      <c r="C28" s="87"/>
      <c r="D28" s="88">
        <f t="shared" si="0"/>
        <v>0</v>
      </c>
    </row>
    <row r="29" spans="1:4" ht="18" hidden="1" x14ac:dyDescent="0.3">
      <c r="A29" s="63" t="s">
        <v>28</v>
      </c>
      <c r="B29" s="87"/>
      <c r="C29" s="87"/>
      <c r="D29" s="88">
        <f t="shared" si="0"/>
        <v>0</v>
      </c>
    </row>
    <row r="30" spans="1:4" ht="18" hidden="1" x14ac:dyDescent="0.3">
      <c r="A30" s="63" t="s">
        <v>29</v>
      </c>
      <c r="B30" s="87"/>
      <c r="C30" s="87"/>
      <c r="D30" s="88">
        <f t="shared" si="0"/>
        <v>0</v>
      </c>
    </row>
    <row r="31" spans="1:4" ht="18" x14ac:dyDescent="0.3">
      <c r="A31" s="63" t="s">
        <v>30</v>
      </c>
      <c r="B31" s="87">
        <v>95</v>
      </c>
      <c r="C31" s="87">
        <v>29000</v>
      </c>
      <c r="D31" s="88">
        <f t="shared" si="0"/>
        <v>2755000</v>
      </c>
    </row>
    <row r="32" spans="1:4" ht="18" x14ac:dyDescent="0.3">
      <c r="A32" s="63" t="s">
        <v>31</v>
      </c>
      <c r="B32" s="87">
        <v>15</v>
      </c>
      <c r="C32" s="87">
        <v>23000</v>
      </c>
      <c r="D32" s="88">
        <f t="shared" si="0"/>
        <v>345000</v>
      </c>
    </row>
    <row r="33" spans="1:4" ht="18" hidden="1" x14ac:dyDescent="0.3">
      <c r="A33" s="63" t="s">
        <v>32</v>
      </c>
      <c r="B33" s="87"/>
      <c r="C33" s="87"/>
      <c r="D33" s="88">
        <f t="shared" si="0"/>
        <v>0</v>
      </c>
    </row>
    <row r="34" spans="1:4" ht="18" x14ac:dyDescent="0.3">
      <c r="A34" s="63" t="s">
        <v>33</v>
      </c>
      <c r="B34" s="87">
        <v>50</v>
      </c>
      <c r="C34" s="87">
        <v>12000</v>
      </c>
      <c r="D34" s="88">
        <f t="shared" si="0"/>
        <v>600000</v>
      </c>
    </row>
    <row r="35" spans="1:4" ht="18" hidden="1" x14ac:dyDescent="0.3">
      <c r="A35" s="65" t="s">
        <v>34</v>
      </c>
      <c r="B35" s="87"/>
      <c r="C35" s="87"/>
      <c r="D35" s="88">
        <f t="shared" si="0"/>
        <v>0</v>
      </c>
    </row>
    <row r="36" spans="1:4" ht="18" hidden="1" x14ac:dyDescent="0.3">
      <c r="A36" s="63" t="s">
        <v>35</v>
      </c>
      <c r="B36" s="87"/>
      <c r="C36" s="87"/>
      <c r="D36" s="88">
        <f t="shared" si="0"/>
        <v>0</v>
      </c>
    </row>
    <row r="37" spans="1:4" ht="18" x14ac:dyDescent="0.3">
      <c r="A37" s="60" t="s">
        <v>36</v>
      </c>
      <c r="B37" s="87">
        <v>5</v>
      </c>
      <c r="C37" s="87">
        <v>21000</v>
      </c>
      <c r="D37" s="88">
        <f t="shared" si="0"/>
        <v>105000</v>
      </c>
    </row>
    <row r="38" spans="1:4" ht="18" hidden="1" x14ac:dyDescent="0.3">
      <c r="A38" s="63" t="s">
        <v>37</v>
      </c>
      <c r="B38" s="87"/>
      <c r="C38" s="87"/>
      <c r="D38" s="88">
        <f t="shared" si="0"/>
        <v>0</v>
      </c>
    </row>
    <row r="39" spans="1:4" ht="18" x14ac:dyDescent="0.3">
      <c r="A39" s="63" t="s">
        <v>38</v>
      </c>
      <c r="B39" s="87">
        <f>20+40+40+20</f>
        <v>120</v>
      </c>
      <c r="C39" s="87">
        <v>27000</v>
      </c>
      <c r="D39" s="88">
        <f t="shared" si="0"/>
        <v>3240000</v>
      </c>
    </row>
    <row r="40" spans="1:4" ht="18" hidden="1" x14ac:dyDescent="0.3">
      <c r="A40" s="66" t="s">
        <v>39</v>
      </c>
      <c r="B40" s="87"/>
      <c r="C40" s="87"/>
      <c r="D40" s="88">
        <f t="shared" si="0"/>
        <v>0</v>
      </c>
    </row>
    <row r="41" spans="1:4" ht="18" x14ac:dyDescent="0.3">
      <c r="A41" s="63" t="s">
        <v>40</v>
      </c>
      <c r="B41" s="87">
        <f>80+160+150+60+20</f>
        <v>470</v>
      </c>
      <c r="C41" s="87">
        <v>12500</v>
      </c>
      <c r="D41" s="88">
        <f t="shared" si="0"/>
        <v>5875000</v>
      </c>
    </row>
    <row r="42" spans="1:4" ht="18" hidden="1" x14ac:dyDescent="0.3">
      <c r="A42" s="63" t="s">
        <v>41</v>
      </c>
      <c r="B42" s="87"/>
      <c r="C42" s="87"/>
      <c r="D42" s="88">
        <f t="shared" si="0"/>
        <v>0</v>
      </c>
    </row>
    <row r="43" spans="1:4" ht="18" x14ac:dyDescent="0.3">
      <c r="A43" s="63" t="s">
        <v>42</v>
      </c>
      <c r="B43" s="87">
        <v>65</v>
      </c>
      <c r="C43" s="87">
        <v>17000</v>
      </c>
      <c r="D43" s="88">
        <f t="shared" si="0"/>
        <v>1105000</v>
      </c>
    </row>
    <row r="44" spans="1:4" ht="18" hidden="1" x14ac:dyDescent="0.3">
      <c r="A44" s="63" t="s">
        <v>43</v>
      </c>
      <c r="B44" s="87"/>
      <c r="C44" s="87"/>
      <c r="D44" s="88">
        <f t="shared" si="0"/>
        <v>0</v>
      </c>
    </row>
    <row r="45" spans="1:4" ht="18" hidden="1" x14ac:dyDescent="0.3">
      <c r="A45" s="63" t="s">
        <v>44</v>
      </c>
      <c r="B45" s="87"/>
      <c r="C45" s="87"/>
      <c r="D45" s="88">
        <f t="shared" si="0"/>
        <v>0</v>
      </c>
    </row>
    <row r="46" spans="1:4" ht="18" hidden="1" x14ac:dyDescent="0.3">
      <c r="A46" s="67" t="s">
        <v>46</v>
      </c>
      <c r="B46" s="87"/>
      <c r="C46" s="87"/>
      <c r="D46" s="88">
        <f t="shared" si="0"/>
        <v>0</v>
      </c>
    </row>
    <row r="47" spans="1:4" ht="18" hidden="1" x14ac:dyDescent="0.3">
      <c r="A47" s="65" t="s">
        <v>47</v>
      </c>
      <c r="B47" s="87"/>
      <c r="C47" s="87"/>
      <c r="D47" s="88">
        <f t="shared" si="0"/>
        <v>0</v>
      </c>
    </row>
    <row r="48" spans="1:4" ht="18" hidden="1" x14ac:dyDescent="0.3">
      <c r="A48" s="61" t="s">
        <v>300</v>
      </c>
      <c r="B48" s="87"/>
      <c r="C48" s="87"/>
      <c r="D48" s="88">
        <f t="shared" si="0"/>
        <v>0</v>
      </c>
    </row>
    <row r="49" spans="1:4" ht="18" hidden="1" x14ac:dyDescent="0.3">
      <c r="A49" s="63" t="s">
        <v>48</v>
      </c>
      <c r="B49" s="87"/>
      <c r="C49" s="87"/>
      <c r="D49" s="88">
        <f t="shared" si="0"/>
        <v>0</v>
      </c>
    </row>
    <row r="50" spans="1:4" ht="18" hidden="1" x14ac:dyDescent="0.3">
      <c r="A50" s="63" t="s">
        <v>49</v>
      </c>
      <c r="B50" s="87"/>
      <c r="C50" s="87"/>
      <c r="D50" s="88">
        <f t="shared" si="0"/>
        <v>0</v>
      </c>
    </row>
    <row r="51" spans="1:4" ht="18" hidden="1" x14ac:dyDescent="0.3">
      <c r="A51" s="63" t="s">
        <v>50</v>
      </c>
      <c r="B51" s="87"/>
      <c r="C51" s="87"/>
      <c r="D51" s="88">
        <f t="shared" si="0"/>
        <v>0</v>
      </c>
    </row>
    <row r="52" spans="1:4" ht="18" hidden="1" x14ac:dyDescent="0.3">
      <c r="A52" s="60" t="s">
        <v>51</v>
      </c>
      <c r="B52" s="87"/>
      <c r="C52" s="87"/>
      <c r="D52" s="88">
        <f t="shared" si="0"/>
        <v>0</v>
      </c>
    </row>
    <row r="53" spans="1:4" ht="18" x14ac:dyDescent="0.3">
      <c r="A53" s="63" t="s">
        <v>52</v>
      </c>
      <c r="B53" s="87">
        <v>50</v>
      </c>
      <c r="C53" s="87">
        <v>6000</v>
      </c>
      <c r="D53" s="88">
        <f t="shared" si="0"/>
        <v>300000</v>
      </c>
    </row>
    <row r="54" spans="1:4" ht="18" hidden="1" x14ac:dyDescent="0.3">
      <c r="A54" s="68" t="s">
        <v>53</v>
      </c>
      <c r="B54" s="87"/>
      <c r="C54" s="87"/>
      <c r="D54" s="88">
        <f t="shared" si="0"/>
        <v>0</v>
      </c>
    </row>
    <row r="55" spans="1:4" ht="18" hidden="1" x14ac:dyDescent="0.3">
      <c r="A55" s="63" t="s">
        <v>54</v>
      </c>
      <c r="B55" s="87"/>
      <c r="C55" s="87"/>
      <c r="D55" s="88">
        <f t="shared" si="0"/>
        <v>0</v>
      </c>
    </row>
    <row r="56" spans="1:4" ht="18" hidden="1" x14ac:dyDescent="0.3">
      <c r="A56" s="17" t="s">
        <v>55</v>
      </c>
      <c r="B56" s="87"/>
      <c r="C56" s="87"/>
      <c r="D56" s="88">
        <f t="shared" si="0"/>
        <v>0</v>
      </c>
    </row>
    <row r="57" spans="1:4" ht="18" hidden="1" x14ac:dyDescent="0.3">
      <c r="A57" s="63" t="s">
        <v>56</v>
      </c>
      <c r="B57" s="87"/>
      <c r="C57" s="87"/>
      <c r="D57" s="88">
        <f t="shared" si="0"/>
        <v>0</v>
      </c>
    </row>
    <row r="58" spans="1:4" ht="18" x14ac:dyDescent="0.3">
      <c r="A58" s="63" t="s">
        <v>57</v>
      </c>
      <c r="B58" s="87">
        <v>5</v>
      </c>
      <c r="C58" s="87">
        <v>7000</v>
      </c>
      <c r="D58" s="88">
        <f t="shared" si="0"/>
        <v>35000</v>
      </c>
    </row>
    <row r="59" spans="1:4" ht="18" hidden="1" x14ac:dyDescent="0.3">
      <c r="A59" s="67" t="s">
        <v>58</v>
      </c>
      <c r="B59" s="87"/>
      <c r="C59" s="87"/>
      <c r="D59" s="88">
        <f t="shared" si="0"/>
        <v>0</v>
      </c>
    </row>
    <row r="60" spans="1:4" ht="18" hidden="1" x14ac:dyDescent="0.3">
      <c r="A60" s="60" t="s">
        <v>59</v>
      </c>
      <c r="B60" s="87"/>
      <c r="C60" s="87"/>
      <c r="D60" s="88">
        <f t="shared" si="0"/>
        <v>0</v>
      </c>
    </row>
    <row r="61" spans="1:4" ht="18" hidden="1" x14ac:dyDescent="0.3">
      <c r="A61" s="60" t="s">
        <v>60</v>
      </c>
      <c r="B61" s="87"/>
      <c r="C61" s="87"/>
      <c r="D61" s="88">
        <f t="shared" si="0"/>
        <v>0</v>
      </c>
    </row>
    <row r="62" spans="1:4" ht="18" hidden="1" x14ac:dyDescent="0.3">
      <c r="A62" s="63" t="s">
        <v>61</v>
      </c>
      <c r="B62" s="87"/>
      <c r="C62" s="87"/>
      <c r="D62" s="88">
        <f t="shared" si="0"/>
        <v>0</v>
      </c>
    </row>
    <row r="63" spans="1:4" ht="18" hidden="1" x14ac:dyDescent="0.3">
      <c r="A63" s="69" t="s">
        <v>62</v>
      </c>
      <c r="B63" s="90"/>
      <c r="C63" s="90"/>
      <c r="D63" s="88">
        <f t="shared" si="0"/>
        <v>0</v>
      </c>
    </row>
    <row r="64" spans="1:4" ht="18" hidden="1" x14ac:dyDescent="0.3">
      <c r="A64" s="63" t="s">
        <v>63</v>
      </c>
      <c r="B64" s="87"/>
      <c r="C64" s="87"/>
      <c r="D64" s="88">
        <f t="shared" si="0"/>
        <v>0</v>
      </c>
    </row>
    <row r="65" spans="1:4" ht="18" hidden="1" x14ac:dyDescent="0.3">
      <c r="A65" s="60" t="s">
        <v>64</v>
      </c>
      <c r="B65" s="87"/>
      <c r="C65" s="87"/>
      <c r="D65" s="88">
        <f t="shared" si="0"/>
        <v>0</v>
      </c>
    </row>
    <row r="66" spans="1:4" ht="18" hidden="1" x14ac:dyDescent="0.3">
      <c r="A66" s="60" t="s">
        <v>65</v>
      </c>
      <c r="B66" s="87"/>
      <c r="C66" s="87"/>
      <c r="D66" s="88">
        <f t="shared" si="0"/>
        <v>0</v>
      </c>
    </row>
    <row r="67" spans="1:4" ht="18" hidden="1" x14ac:dyDescent="0.3">
      <c r="A67" s="63" t="s">
        <v>66</v>
      </c>
      <c r="B67" s="87"/>
      <c r="C67" s="87"/>
      <c r="D67" s="88">
        <f t="shared" si="0"/>
        <v>0</v>
      </c>
    </row>
    <row r="68" spans="1:4" ht="18" x14ac:dyDescent="0.3">
      <c r="A68" s="60" t="s">
        <v>67</v>
      </c>
      <c r="B68" s="87">
        <f>75+120+280</f>
        <v>475</v>
      </c>
      <c r="C68" s="87">
        <v>26000</v>
      </c>
      <c r="D68" s="88">
        <f t="shared" ref="D68:D131" si="1">B68*C68</f>
        <v>12350000</v>
      </c>
    </row>
    <row r="69" spans="1:4" ht="18" hidden="1" x14ac:dyDescent="0.3">
      <c r="A69" s="63" t="s">
        <v>68</v>
      </c>
      <c r="B69" s="87"/>
      <c r="C69" s="87"/>
      <c r="D69" s="88">
        <f t="shared" si="1"/>
        <v>0</v>
      </c>
    </row>
    <row r="70" spans="1:4" ht="18" hidden="1" x14ac:dyDescent="0.3">
      <c r="A70" s="63" t="s">
        <v>69</v>
      </c>
      <c r="B70" s="87"/>
      <c r="C70" s="87"/>
      <c r="D70" s="88">
        <f t="shared" si="1"/>
        <v>0</v>
      </c>
    </row>
    <row r="71" spans="1:4" ht="18" hidden="1" x14ac:dyDescent="0.3">
      <c r="A71" s="63" t="s">
        <v>70</v>
      </c>
      <c r="B71" s="87"/>
      <c r="C71" s="87"/>
      <c r="D71" s="88">
        <f t="shared" si="1"/>
        <v>0</v>
      </c>
    </row>
    <row r="72" spans="1:4" ht="18" hidden="1" x14ac:dyDescent="0.3">
      <c r="A72" s="63" t="s">
        <v>71</v>
      </c>
      <c r="B72" s="87"/>
      <c r="C72" s="87"/>
      <c r="D72" s="88">
        <f t="shared" si="1"/>
        <v>0</v>
      </c>
    </row>
    <row r="73" spans="1:4" ht="18" hidden="1" x14ac:dyDescent="0.3">
      <c r="A73" s="70" t="s">
        <v>72</v>
      </c>
      <c r="B73" s="87"/>
      <c r="C73" s="87"/>
      <c r="D73" s="88">
        <f t="shared" si="1"/>
        <v>0</v>
      </c>
    </row>
    <row r="74" spans="1:4" ht="18" hidden="1" x14ac:dyDescent="0.3">
      <c r="A74" s="71" t="s">
        <v>73</v>
      </c>
      <c r="B74" s="87"/>
      <c r="C74" s="87"/>
      <c r="D74" s="88">
        <f t="shared" si="1"/>
        <v>0</v>
      </c>
    </row>
    <row r="75" spans="1:4" ht="18" hidden="1" x14ac:dyDescent="0.3">
      <c r="A75" s="70" t="s">
        <v>74</v>
      </c>
      <c r="B75" s="87"/>
      <c r="C75" s="87"/>
      <c r="D75" s="88">
        <f t="shared" si="1"/>
        <v>0</v>
      </c>
    </row>
    <row r="76" spans="1:4" ht="18" hidden="1" x14ac:dyDescent="0.3">
      <c r="A76" s="68" t="s">
        <v>75</v>
      </c>
      <c r="B76" s="87"/>
      <c r="C76" s="87"/>
      <c r="D76" s="88">
        <f t="shared" si="1"/>
        <v>0</v>
      </c>
    </row>
    <row r="77" spans="1:4" ht="18" hidden="1" x14ac:dyDescent="0.3">
      <c r="A77" s="72" t="s">
        <v>76</v>
      </c>
      <c r="B77" s="87"/>
      <c r="C77" s="87"/>
      <c r="D77" s="88">
        <f t="shared" si="1"/>
        <v>0</v>
      </c>
    </row>
    <row r="78" spans="1:4" ht="18" hidden="1" x14ac:dyDescent="0.3">
      <c r="A78" s="72" t="s">
        <v>77</v>
      </c>
      <c r="B78" s="87"/>
      <c r="C78" s="87"/>
      <c r="D78" s="88">
        <f t="shared" si="1"/>
        <v>0</v>
      </c>
    </row>
    <row r="79" spans="1:4" ht="18" hidden="1" x14ac:dyDescent="0.3">
      <c r="A79" s="22" t="s">
        <v>78</v>
      </c>
      <c r="B79" s="87"/>
      <c r="C79" s="87"/>
      <c r="D79" s="88">
        <f t="shared" si="1"/>
        <v>0</v>
      </c>
    </row>
    <row r="80" spans="1:4" ht="18" hidden="1" x14ac:dyDescent="0.3">
      <c r="A80" s="72" t="s">
        <v>79</v>
      </c>
      <c r="B80" s="87"/>
      <c r="C80" s="87"/>
      <c r="D80" s="88">
        <f t="shared" si="1"/>
        <v>0</v>
      </c>
    </row>
    <row r="81" spans="1:4" ht="18" hidden="1" x14ac:dyDescent="0.3">
      <c r="A81" s="63" t="s">
        <v>80</v>
      </c>
      <c r="B81" s="91"/>
      <c r="C81" s="91"/>
      <c r="D81" s="88">
        <f t="shared" si="1"/>
        <v>0</v>
      </c>
    </row>
    <row r="82" spans="1:4" ht="18" hidden="1" x14ac:dyDescent="0.3">
      <c r="A82" s="63" t="s">
        <v>81</v>
      </c>
      <c r="B82" s="87"/>
      <c r="C82" s="87"/>
      <c r="D82" s="88">
        <f t="shared" si="1"/>
        <v>0</v>
      </c>
    </row>
    <row r="83" spans="1:4" ht="18" x14ac:dyDescent="0.3">
      <c r="A83" s="63" t="s">
        <v>82</v>
      </c>
      <c r="B83" s="87">
        <v>18</v>
      </c>
      <c r="C83" s="87">
        <v>15000</v>
      </c>
      <c r="D83" s="88">
        <f t="shared" si="1"/>
        <v>270000</v>
      </c>
    </row>
    <row r="84" spans="1:4" ht="18" hidden="1" x14ac:dyDescent="0.3">
      <c r="A84" s="63" t="s">
        <v>83</v>
      </c>
      <c r="B84" s="87"/>
      <c r="C84" s="87"/>
      <c r="D84" s="88">
        <f t="shared" si="1"/>
        <v>0</v>
      </c>
    </row>
    <row r="85" spans="1:4" ht="18" hidden="1" x14ac:dyDescent="0.3">
      <c r="A85" s="63" t="s">
        <v>84</v>
      </c>
      <c r="B85" s="87"/>
      <c r="C85" s="87"/>
      <c r="D85" s="88">
        <f t="shared" si="1"/>
        <v>0</v>
      </c>
    </row>
    <row r="86" spans="1:4" ht="18" hidden="1" x14ac:dyDescent="0.3">
      <c r="A86" s="63" t="s">
        <v>85</v>
      </c>
      <c r="B86" s="87"/>
      <c r="C86" s="87"/>
      <c r="D86" s="88">
        <f t="shared" si="1"/>
        <v>0</v>
      </c>
    </row>
    <row r="87" spans="1:4" ht="18" hidden="1" x14ac:dyDescent="0.3">
      <c r="A87" s="63" t="s">
        <v>86</v>
      </c>
      <c r="B87" s="87"/>
      <c r="C87" s="87"/>
      <c r="D87" s="88">
        <f t="shared" si="1"/>
        <v>0</v>
      </c>
    </row>
    <row r="88" spans="1:4" ht="18" hidden="1" x14ac:dyDescent="0.3">
      <c r="A88" s="73" t="s">
        <v>87</v>
      </c>
      <c r="B88" s="87"/>
      <c r="C88" s="87"/>
      <c r="D88" s="88">
        <f t="shared" si="1"/>
        <v>0</v>
      </c>
    </row>
    <row r="89" spans="1:4" ht="18" hidden="1" x14ac:dyDescent="0.3">
      <c r="A89" s="63" t="s">
        <v>88</v>
      </c>
      <c r="B89" s="87"/>
      <c r="C89" s="87"/>
      <c r="D89" s="88">
        <f t="shared" si="1"/>
        <v>0</v>
      </c>
    </row>
    <row r="90" spans="1:4" ht="18" hidden="1" x14ac:dyDescent="0.3">
      <c r="A90" s="63" t="s">
        <v>89</v>
      </c>
      <c r="B90" s="87"/>
      <c r="C90" s="87"/>
      <c r="D90" s="88">
        <f t="shared" si="1"/>
        <v>0</v>
      </c>
    </row>
    <row r="91" spans="1:4" ht="18" hidden="1" x14ac:dyDescent="0.3">
      <c r="A91" s="63" t="s">
        <v>90</v>
      </c>
      <c r="B91" s="89"/>
      <c r="C91" s="87"/>
      <c r="D91" s="88">
        <f t="shared" si="1"/>
        <v>0</v>
      </c>
    </row>
    <row r="92" spans="1:4" ht="18" hidden="1" x14ac:dyDescent="0.3">
      <c r="A92" s="74" t="s">
        <v>91</v>
      </c>
      <c r="B92" s="87"/>
      <c r="C92" s="87"/>
      <c r="D92" s="88">
        <f t="shared" si="1"/>
        <v>0</v>
      </c>
    </row>
    <row r="93" spans="1:4" ht="18" x14ac:dyDescent="0.3">
      <c r="A93" s="60" t="s">
        <v>93</v>
      </c>
      <c r="B93" s="87">
        <v>1</v>
      </c>
      <c r="C93" s="87">
        <v>35000</v>
      </c>
      <c r="D93" s="88">
        <f t="shared" si="1"/>
        <v>35000</v>
      </c>
    </row>
    <row r="94" spans="1:4" ht="18" hidden="1" x14ac:dyDescent="0.3">
      <c r="A94" s="65" t="s">
        <v>94</v>
      </c>
      <c r="B94" s="87"/>
      <c r="C94" s="87"/>
      <c r="D94" s="88">
        <f t="shared" si="1"/>
        <v>0</v>
      </c>
    </row>
    <row r="95" spans="1:4" ht="18" hidden="1" x14ac:dyDescent="0.3">
      <c r="A95" s="60" t="s">
        <v>95</v>
      </c>
      <c r="B95" s="87"/>
      <c r="C95" s="87"/>
      <c r="D95" s="88">
        <f t="shared" si="1"/>
        <v>0</v>
      </c>
    </row>
    <row r="96" spans="1:4" ht="18" hidden="1" x14ac:dyDescent="0.3">
      <c r="A96" s="63" t="s">
        <v>96</v>
      </c>
      <c r="B96" s="87"/>
      <c r="C96" s="87"/>
      <c r="D96" s="88">
        <f t="shared" si="1"/>
        <v>0</v>
      </c>
    </row>
    <row r="97" spans="1:4" ht="18" hidden="1" x14ac:dyDescent="0.3">
      <c r="A97" s="75" t="s">
        <v>97</v>
      </c>
      <c r="B97" s="87"/>
      <c r="C97" s="87"/>
      <c r="D97" s="88">
        <f t="shared" si="1"/>
        <v>0</v>
      </c>
    </row>
    <row r="98" spans="1:4" ht="18" hidden="1" x14ac:dyDescent="0.3">
      <c r="A98" s="76" t="s">
        <v>98</v>
      </c>
      <c r="B98" s="87"/>
      <c r="C98" s="87"/>
      <c r="D98" s="88">
        <f t="shared" si="1"/>
        <v>0</v>
      </c>
    </row>
    <row r="99" spans="1:4" ht="18" hidden="1" x14ac:dyDescent="0.3">
      <c r="A99" s="76" t="s">
        <v>99</v>
      </c>
      <c r="B99" s="87"/>
      <c r="C99" s="87"/>
      <c r="D99" s="88">
        <f t="shared" si="1"/>
        <v>0</v>
      </c>
    </row>
    <row r="100" spans="1:4" ht="18" hidden="1" x14ac:dyDescent="0.3">
      <c r="A100" s="14" t="s">
        <v>100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101</v>
      </c>
      <c r="B101" s="87"/>
      <c r="C101" s="87"/>
      <c r="D101" s="88">
        <f t="shared" si="1"/>
        <v>0</v>
      </c>
    </row>
    <row r="102" spans="1:4" ht="18" hidden="1" x14ac:dyDescent="0.3">
      <c r="A102" s="63" t="s">
        <v>102</v>
      </c>
      <c r="B102" s="89"/>
      <c r="C102" s="89"/>
      <c r="D102" s="88">
        <f t="shared" si="1"/>
        <v>0</v>
      </c>
    </row>
    <row r="103" spans="1:4" ht="18" hidden="1" x14ac:dyDescent="0.3">
      <c r="A103" s="63" t="s">
        <v>103</v>
      </c>
      <c r="B103" s="89"/>
      <c r="C103" s="89"/>
      <c r="D103" s="88">
        <f t="shared" si="1"/>
        <v>0</v>
      </c>
    </row>
    <row r="104" spans="1:4" ht="18" hidden="1" x14ac:dyDescent="0.3">
      <c r="A104" s="63" t="s">
        <v>104</v>
      </c>
      <c r="B104" s="89"/>
      <c r="C104" s="89"/>
      <c r="D104" s="88">
        <f t="shared" si="1"/>
        <v>0</v>
      </c>
    </row>
    <row r="105" spans="1:4" ht="18" hidden="1" x14ac:dyDescent="0.3">
      <c r="A105" s="63" t="s">
        <v>105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106</v>
      </c>
      <c r="B106" s="89"/>
      <c r="C106" s="89"/>
      <c r="D106" s="88">
        <f t="shared" si="1"/>
        <v>0</v>
      </c>
    </row>
    <row r="107" spans="1:4" ht="18" hidden="1" x14ac:dyDescent="0.3">
      <c r="A107" s="63" t="s">
        <v>107</v>
      </c>
      <c r="B107" s="89"/>
      <c r="C107" s="89"/>
      <c r="D107" s="88">
        <f t="shared" si="1"/>
        <v>0</v>
      </c>
    </row>
    <row r="108" spans="1:4" ht="18" hidden="1" x14ac:dyDescent="0.3">
      <c r="A108" s="63" t="s">
        <v>108</v>
      </c>
      <c r="B108" s="89"/>
      <c r="C108" s="89"/>
      <c r="D108" s="88">
        <f t="shared" si="1"/>
        <v>0</v>
      </c>
    </row>
    <row r="109" spans="1:4" ht="18" hidden="1" x14ac:dyDescent="0.3">
      <c r="A109" s="63" t="s">
        <v>109</v>
      </c>
      <c r="B109" s="89"/>
      <c r="C109" s="89"/>
      <c r="D109" s="88">
        <f t="shared" si="1"/>
        <v>0</v>
      </c>
    </row>
    <row r="110" spans="1:4" ht="18" hidden="1" x14ac:dyDescent="0.3">
      <c r="A110" s="63" t="s">
        <v>110</v>
      </c>
      <c r="B110" s="89"/>
      <c r="C110" s="89"/>
      <c r="D110" s="88">
        <f t="shared" si="1"/>
        <v>0</v>
      </c>
    </row>
    <row r="111" spans="1:4" ht="18" hidden="1" x14ac:dyDescent="0.3">
      <c r="A111" s="63" t="s">
        <v>111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112</v>
      </c>
      <c r="B112" s="89"/>
      <c r="C112" s="89"/>
      <c r="D112" s="88">
        <f t="shared" si="1"/>
        <v>0</v>
      </c>
    </row>
    <row r="113" spans="1:4" ht="18" x14ac:dyDescent="0.3">
      <c r="A113" s="60" t="s">
        <v>113</v>
      </c>
      <c r="B113" s="87">
        <v>500</v>
      </c>
      <c r="C113" s="87">
        <v>21000</v>
      </c>
      <c r="D113" s="88">
        <f t="shared" si="1"/>
        <v>10500000</v>
      </c>
    </row>
    <row r="114" spans="1:4" ht="18" hidden="1" x14ac:dyDescent="0.3">
      <c r="A114" s="63" t="s">
        <v>114</v>
      </c>
      <c r="B114" s="87"/>
      <c r="C114" s="87"/>
      <c r="D114" s="88">
        <f t="shared" si="1"/>
        <v>0</v>
      </c>
    </row>
    <row r="115" spans="1:4" ht="18" hidden="1" x14ac:dyDescent="0.3">
      <c r="A115" s="63" t="s">
        <v>115</v>
      </c>
      <c r="B115" s="87"/>
      <c r="C115" s="87"/>
      <c r="D115" s="88">
        <f t="shared" si="1"/>
        <v>0</v>
      </c>
    </row>
    <row r="116" spans="1:4" ht="18" hidden="1" x14ac:dyDescent="0.3">
      <c r="A116" s="60" t="s">
        <v>116</v>
      </c>
      <c r="B116" s="87"/>
      <c r="C116" s="87"/>
      <c r="D116" s="88">
        <f t="shared" si="1"/>
        <v>0</v>
      </c>
    </row>
    <row r="117" spans="1:4" ht="18" hidden="1" x14ac:dyDescent="0.3">
      <c r="A117" s="63" t="s">
        <v>117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118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119</v>
      </c>
      <c r="B119" s="87"/>
      <c r="C119" s="87"/>
      <c r="D119" s="88">
        <f t="shared" si="1"/>
        <v>0</v>
      </c>
    </row>
    <row r="120" spans="1:4" ht="18" x14ac:dyDescent="0.3">
      <c r="A120" s="63" t="s">
        <v>120</v>
      </c>
      <c r="B120" s="87">
        <f>225+360</f>
        <v>585</v>
      </c>
      <c r="C120" s="87">
        <v>5000</v>
      </c>
      <c r="D120" s="88">
        <f t="shared" si="1"/>
        <v>2925000</v>
      </c>
    </row>
    <row r="121" spans="1:4" ht="18" hidden="1" x14ac:dyDescent="0.3">
      <c r="A121" s="63" t="s">
        <v>121</v>
      </c>
      <c r="B121" s="87"/>
      <c r="C121" s="87"/>
      <c r="D121" s="88">
        <f t="shared" si="1"/>
        <v>0</v>
      </c>
    </row>
    <row r="122" spans="1:4" ht="18" hidden="1" x14ac:dyDescent="0.3">
      <c r="A122" s="61" t="s">
        <v>122</v>
      </c>
      <c r="B122" s="87"/>
      <c r="C122" s="87"/>
      <c r="D122" s="88">
        <f t="shared" si="1"/>
        <v>0</v>
      </c>
    </row>
    <row r="123" spans="1:4" ht="18" hidden="1" x14ac:dyDescent="0.3">
      <c r="A123" s="74" t="s">
        <v>123</v>
      </c>
      <c r="B123" s="87"/>
      <c r="C123" s="87"/>
      <c r="D123" s="88">
        <f t="shared" si="1"/>
        <v>0</v>
      </c>
    </row>
    <row r="124" spans="1:4" ht="18" hidden="1" x14ac:dyDescent="0.3">
      <c r="A124" s="77" t="s">
        <v>124</v>
      </c>
      <c r="B124" s="87"/>
      <c r="C124" s="87"/>
      <c r="D124" s="88">
        <f t="shared" si="1"/>
        <v>0</v>
      </c>
    </row>
    <row r="125" spans="1:4" ht="18" hidden="1" x14ac:dyDescent="0.3">
      <c r="A125" s="72" t="s">
        <v>125</v>
      </c>
      <c r="B125" s="87"/>
      <c r="C125" s="87"/>
      <c r="D125" s="88">
        <f t="shared" si="1"/>
        <v>0</v>
      </c>
    </row>
    <row r="126" spans="1:4" ht="18" hidden="1" x14ac:dyDescent="0.3">
      <c r="A126" s="60" t="s">
        <v>126</v>
      </c>
      <c r="B126" s="89"/>
      <c r="C126" s="89"/>
      <c r="D126" s="88">
        <f t="shared" si="1"/>
        <v>0</v>
      </c>
    </row>
    <row r="127" spans="1:4" ht="18" hidden="1" x14ac:dyDescent="0.3">
      <c r="A127" s="60" t="s">
        <v>127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128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129</v>
      </c>
      <c r="B129" s="92"/>
      <c r="C129" s="92"/>
      <c r="D129" s="88">
        <f t="shared" si="1"/>
        <v>0</v>
      </c>
    </row>
    <row r="130" spans="1:4" ht="18" hidden="1" x14ac:dyDescent="0.3">
      <c r="A130" s="63" t="s">
        <v>130</v>
      </c>
      <c r="B130" s="89"/>
      <c r="C130" s="89"/>
      <c r="D130" s="88">
        <f t="shared" si="1"/>
        <v>0</v>
      </c>
    </row>
    <row r="131" spans="1:4" ht="18" hidden="1" x14ac:dyDescent="0.3">
      <c r="A131" s="63" t="s">
        <v>131</v>
      </c>
      <c r="B131" s="89"/>
      <c r="C131" s="89"/>
      <c r="D131" s="88">
        <f t="shared" si="1"/>
        <v>0</v>
      </c>
    </row>
    <row r="132" spans="1:4" ht="18" hidden="1" x14ac:dyDescent="0.3">
      <c r="A132" s="65" t="s">
        <v>132</v>
      </c>
      <c r="B132" s="87"/>
      <c r="C132" s="87"/>
      <c r="D132" s="88">
        <f t="shared" ref="D132:D195" si="2">B132*C132</f>
        <v>0</v>
      </c>
    </row>
    <row r="133" spans="1:4" ht="18" hidden="1" x14ac:dyDescent="0.3">
      <c r="A133" s="65" t="s">
        <v>133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134</v>
      </c>
      <c r="B134" s="87"/>
      <c r="C134" s="87"/>
      <c r="D134" s="88">
        <f t="shared" si="2"/>
        <v>0</v>
      </c>
    </row>
    <row r="135" spans="1:4" ht="18" hidden="1" x14ac:dyDescent="0.3">
      <c r="A135" s="63" t="s">
        <v>135</v>
      </c>
      <c r="B135" s="87"/>
      <c r="C135" s="87"/>
      <c r="D135" s="88">
        <f t="shared" si="2"/>
        <v>0</v>
      </c>
    </row>
    <row r="136" spans="1:4" ht="18" hidden="1" x14ac:dyDescent="0.3">
      <c r="A136" s="65" t="s">
        <v>136</v>
      </c>
      <c r="B136" s="87"/>
      <c r="C136" s="87"/>
      <c r="D136" s="88">
        <f t="shared" si="2"/>
        <v>0</v>
      </c>
    </row>
    <row r="137" spans="1:4" ht="18" hidden="1" x14ac:dyDescent="0.3">
      <c r="A137" s="63" t="s">
        <v>137</v>
      </c>
      <c r="B137" s="89"/>
      <c r="C137" s="89"/>
      <c r="D137" s="88">
        <f t="shared" si="2"/>
        <v>0</v>
      </c>
    </row>
    <row r="138" spans="1:4" ht="18" hidden="1" x14ac:dyDescent="0.3">
      <c r="A138" s="60" t="s">
        <v>138</v>
      </c>
      <c r="B138" s="89"/>
      <c r="C138" s="89"/>
      <c r="D138" s="88">
        <f t="shared" si="2"/>
        <v>0</v>
      </c>
    </row>
    <row r="139" spans="1:4" ht="18" x14ac:dyDescent="0.3">
      <c r="A139" s="63" t="s">
        <v>139</v>
      </c>
      <c r="B139" s="87">
        <v>7</v>
      </c>
      <c r="C139" s="87">
        <v>8000</v>
      </c>
      <c r="D139" s="88">
        <f t="shared" si="2"/>
        <v>56000</v>
      </c>
    </row>
    <row r="140" spans="1:4" ht="18" hidden="1" x14ac:dyDescent="0.3">
      <c r="A140" s="72" t="s">
        <v>140</v>
      </c>
      <c r="B140" s="87"/>
      <c r="C140" s="87"/>
      <c r="D140" s="88">
        <f t="shared" si="2"/>
        <v>0</v>
      </c>
    </row>
    <row r="141" spans="1:4" ht="18" hidden="1" x14ac:dyDescent="0.3">
      <c r="A141" s="60" t="s">
        <v>141</v>
      </c>
      <c r="B141" s="87"/>
      <c r="C141" s="87"/>
      <c r="D141" s="88">
        <f t="shared" si="2"/>
        <v>0</v>
      </c>
    </row>
    <row r="142" spans="1:4" ht="18" x14ac:dyDescent="0.3">
      <c r="A142" s="63" t="s">
        <v>142</v>
      </c>
      <c r="B142" s="87">
        <f>380+60</f>
        <v>440</v>
      </c>
      <c r="C142" s="87">
        <v>25000</v>
      </c>
      <c r="D142" s="88">
        <f t="shared" si="2"/>
        <v>11000000</v>
      </c>
    </row>
    <row r="143" spans="1:4" ht="18" x14ac:dyDescent="0.3">
      <c r="A143" s="73" t="s">
        <v>143</v>
      </c>
      <c r="B143" s="87">
        <v>8</v>
      </c>
      <c r="C143" s="87">
        <v>18000</v>
      </c>
      <c r="D143" s="88">
        <f t="shared" si="2"/>
        <v>144000</v>
      </c>
    </row>
    <row r="144" spans="1:4" ht="18" hidden="1" x14ac:dyDescent="0.3">
      <c r="A144" s="73" t="s">
        <v>144</v>
      </c>
      <c r="B144" s="87"/>
      <c r="C144" s="87"/>
      <c r="D144" s="88">
        <f t="shared" si="2"/>
        <v>0</v>
      </c>
    </row>
    <row r="145" spans="1:4" ht="18" hidden="1" x14ac:dyDescent="0.3">
      <c r="A145" s="63" t="s">
        <v>145</v>
      </c>
      <c r="B145" s="87"/>
      <c r="C145" s="87"/>
      <c r="D145" s="88">
        <f t="shared" si="2"/>
        <v>0</v>
      </c>
    </row>
    <row r="146" spans="1:4" ht="18" hidden="1" x14ac:dyDescent="0.3">
      <c r="A146" s="63" t="s">
        <v>146</v>
      </c>
      <c r="B146" s="87"/>
      <c r="C146" s="87"/>
      <c r="D146" s="88">
        <f t="shared" si="2"/>
        <v>0</v>
      </c>
    </row>
    <row r="147" spans="1:4" ht="18" hidden="1" x14ac:dyDescent="0.3">
      <c r="A147" s="63" t="s">
        <v>147</v>
      </c>
      <c r="B147" s="87"/>
      <c r="C147" s="87"/>
      <c r="D147" s="88">
        <f t="shared" si="2"/>
        <v>0</v>
      </c>
    </row>
    <row r="148" spans="1:4" ht="18" hidden="1" x14ac:dyDescent="0.3">
      <c r="A148" s="68" t="s">
        <v>148</v>
      </c>
      <c r="B148" s="87"/>
      <c r="C148" s="87"/>
      <c r="D148" s="88">
        <f t="shared" si="2"/>
        <v>0</v>
      </c>
    </row>
    <row r="149" spans="1:4" ht="18" hidden="1" x14ac:dyDescent="0.3">
      <c r="A149" s="68" t="s">
        <v>149</v>
      </c>
      <c r="B149" s="87"/>
      <c r="C149" s="87"/>
      <c r="D149" s="88">
        <f t="shared" si="2"/>
        <v>0</v>
      </c>
    </row>
    <row r="150" spans="1:4" ht="18" hidden="1" x14ac:dyDescent="0.3">
      <c r="A150" s="63" t="s">
        <v>150</v>
      </c>
      <c r="B150" s="87"/>
      <c r="C150" s="87"/>
      <c r="D150" s="88">
        <f t="shared" si="2"/>
        <v>0</v>
      </c>
    </row>
    <row r="151" spans="1:4" ht="18" hidden="1" x14ac:dyDescent="0.3">
      <c r="A151" s="61" t="s">
        <v>151</v>
      </c>
      <c r="B151" s="87"/>
      <c r="C151" s="87"/>
      <c r="D151" s="88">
        <f t="shared" si="2"/>
        <v>0</v>
      </c>
    </row>
    <row r="152" spans="1:4" ht="18" hidden="1" x14ac:dyDescent="0.3">
      <c r="A152" s="67" t="s">
        <v>152</v>
      </c>
      <c r="B152" s="87"/>
      <c r="C152" s="87"/>
      <c r="D152" s="88">
        <f t="shared" si="2"/>
        <v>0</v>
      </c>
    </row>
    <row r="153" spans="1:4" ht="18" hidden="1" x14ac:dyDescent="0.3">
      <c r="A153" s="63" t="s">
        <v>153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154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155</v>
      </c>
      <c r="B155" s="87"/>
      <c r="C155" s="87"/>
      <c r="D155" s="88">
        <f t="shared" si="2"/>
        <v>0</v>
      </c>
    </row>
    <row r="156" spans="1:4" ht="18" hidden="1" x14ac:dyDescent="0.3">
      <c r="A156" s="62" t="s">
        <v>156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157</v>
      </c>
      <c r="B157" s="87"/>
      <c r="C157" s="87"/>
      <c r="D157" s="88">
        <f t="shared" si="2"/>
        <v>0</v>
      </c>
    </row>
    <row r="158" spans="1:4" ht="18" hidden="1" x14ac:dyDescent="0.3">
      <c r="A158" s="63" t="s">
        <v>158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159</v>
      </c>
      <c r="B159" s="87"/>
      <c r="C159" s="87"/>
      <c r="D159" s="88">
        <f t="shared" si="2"/>
        <v>0</v>
      </c>
    </row>
    <row r="160" spans="1:4" ht="18" hidden="1" x14ac:dyDescent="0.3">
      <c r="A160" s="14" t="s">
        <v>160</v>
      </c>
      <c r="B160" s="87"/>
      <c r="C160" s="87"/>
      <c r="D160" s="88">
        <f t="shared" si="2"/>
        <v>0</v>
      </c>
    </row>
    <row r="161" spans="1:4" ht="18" hidden="1" x14ac:dyDescent="0.3">
      <c r="A161" s="63" t="s">
        <v>161</v>
      </c>
      <c r="B161" s="87"/>
      <c r="C161" s="87"/>
      <c r="D161" s="88">
        <f t="shared" si="2"/>
        <v>0</v>
      </c>
    </row>
    <row r="162" spans="1:4" ht="18" x14ac:dyDescent="0.3">
      <c r="A162" s="63" t="s">
        <v>162</v>
      </c>
      <c r="B162" s="87">
        <v>20</v>
      </c>
      <c r="C162" s="87">
        <v>7000</v>
      </c>
      <c r="D162" s="88">
        <f t="shared" si="2"/>
        <v>140000</v>
      </c>
    </row>
    <row r="163" spans="1:4" ht="18" x14ac:dyDescent="0.3">
      <c r="A163" s="63" t="s">
        <v>163</v>
      </c>
      <c r="B163" s="87">
        <v>220</v>
      </c>
      <c r="C163" s="87">
        <v>19000</v>
      </c>
      <c r="D163" s="88">
        <f t="shared" si="2"/>
        <v>4180000</v>
      </c>
    </row>
    <row r="164" spans="1:4" ht="18" hidden="1" x14ac:dyDescent="0.3">
      <c r="A164" s="74" t="s">
        <v>164</v>
      </c>
      <c r="B164" s="87"/>
      <c r="C164" s="87"/>
      <c r="D164" s="88">
        <f t="shared" si="2"/>
        <v>0</v>
      </c>
    </row>
    <row r="165" spans="1:4" ht="18" hidden="1" x14ac:dyDescent="0.3">
      <c r="A165" s="63" t="s">
        <v>319</v>
      </c>
      <c r="B165" s="87"/>
      <c r="C165" s="87"/>
      <c r="D165" s="88">
        <f t="shared" si="2"/>
        <v>0</v>
      </c>
    </row>
    <row r="166" spans="1:4" ht="18" hidden="1" x14ac:dyDescent="0.3">
      <c r="A166" s="63" t="s">
        <v>166</v>
      </c>
      <c r="B166" s="87"/>
      <c r="C166" s="87"/>
      <c r="D166" s="88">
        <f t="shared" si="2"/>
        <v>0</v>
      </c>
    </row>
    <row r="167" spans="1:4" ht="18" hidden="1" x14ac:dyDescent="0.3">
      <c r="A167" s="63" t="s">
        <v>167</v>
      </c>
      <c r="B167" s="87"/>
      <c r="C167" s="87"/>
      <c r="D167" s="88">
        <f t="shared" si="2"/>
        <v>0</v>
      </c>
    </row>
    <row r="168" spans="1:4" ht="18" hidden="1" x14ac:dyDescent="0.3">
      <c r="A168" s="74" t="s">
        <v>168</v>
      </c>
      <c r="B168" s="87"/>
      <c r="C168" s="87"/>
      <c r="D168" s="88">
        <f t="shared" si="2"/>
        <v>0</v>
      </c>
    </row>
    <row r="169" spans="1:4" ht="18" hidden="1" x14ac:dyDescent="0.3">
      <c r="A169" s="63" t="s">
        <v>169</v>
      </c>
      <c r="B169" s="87"/>
      <c r="C169" s="87"/>
      <c r="D169" s="88">
        <f t="shared" si="2"/>
        <v>0</v>
      </c>
    </row>
    <row r="170" spans="1:4" ht="18" hidden="1" x14ac:dyDescent="0.3">
      <c r="A170" s="60" t="s">
        <v>170</v>
      </c>
      <c r="B170" s="87"/>
      <c r="C170" s="87"/>
      <c r="D170" s="88">
        <f t="shared" si="2"/>
        <v>0</v>
      </c>
    </row>
    <row r="171" spans="1:4" ht="18" hidden="1" x14ac:dyDescent="0.3">
      <c r="A171" s="63" t="s">
        <v>171</v>
      </c>
      <c r="B171" s="87"/>
      <c r="C171" s="87"/>
      <c r="D171" s="88">
        <f t="shared" si="2"/>
        <v>0</v>
      </c>
    </row>
    <row r="172" spans="1:4" ht="18" hidden="1" x14ac:dyDescent="0.3">
      <c r="A172" s="13" t="s">
        <v>172</v>
      </c>
      <c r="B172" s="87"/>
      <c r="C172" s="87"/>
      <c r="D172" s="88">
        <f t="shared" si="2"/>
        <v>0</v>
      </c>
    </row>
    <row r="173" spans="1:4" ht="18" hidden="1" x14ac:dyDescent="0.3">
      <c r="A173" s="13" t="s">
        <v>173</v>
      </c>
      <c r="B173" s="87"/>
      <c r="C173" s="87"/>
      <c r="D173" s="88">
        <f t="shared" si="2"/>
        <v>0</v>
      </c>
    </row>
    <row r="174" spans="1:4" ht="18" hidden="1" x14ac:dyDescent="0.3">
      <c r="A174" s="61" t="s">
        <v>174</v>
      </c>
      <c r="B174" s="87"/>
      <c r="C174" s="87"/>
      <c r="D174" s="88">
        <f t="shared" si="2"/>
        <v>0</v>
      </c>
    </row>
    <row r="175" spans="1:4" ht="18" x14ac:dyDescent="0.3">
      <c r="A175" s="60" t="s">
        <v>175</v>
      </c>
      <c r="B175" s="87">
        <v>100</v>
      </c>
      <c r="C175" s="87">
        <v>12000</v>
      </c>
      <c r="D175" s="88">
        <f t="shared" si="2"/>
        <v>1200000</v>
      </c>
    </row>
    <row r="176" spans="1:4" ht="18" x14ac:dyDescent="0.3">
      <c r="A176" s="60" t="s">
        <v>176</v>
      </c>
      <c r="B176" s="87">
        <f>300+260</f>
        <v>560</v>
      </c>
      <c r="C176" s="87">
        <v>27000</v>
      </c>
      <c r="D176" s="88">
        <f t="shared" si="2"/>
        <v>15120000</v>
      </c>
    </row>
    <row r="177" spans="1:4" ht="18" hidden="1" x14ac:dyDescent="0.3">
      <c r="A177" s="63" t="s">
        <v>177</v>
      </c>
      <c r="B177" s="87"/>
      <c r="C177" s="87"/>
      <c r="D177" s="88">
        <f t="shared" si="2"/>
        <v>0</v>
      </c>
    </row>
    <row r="178" spans="1:4" ht="18" x14ac:dyDescent="0.3">
      <c r="A178" s="60" t="s">
        <v>178</v>
      </c>
      <c r="B178" s="87">
        <v>40</v>
      </c>
      <c r="C178" s="87">
        <v>32000</v>
      </c>
      <c r="D178" s="88">
        <f t="shared" si="2"/>
        <v>1280000</v>
      </c>
    </row>
    <row r="179" spans="1:4" ht="18" hidden="1" x14ac:dyDescent="0.3">
      <c r="A179" s="60" t="s">
        <v>179</v>
      </c>
      <c r="B179" s="87"/>
      <c r="C179" s="87"/>
      <c r="D179" s="88">
        <f t="shared" si="2"/>
        <v>0</v>
      </c>
    </row>
    <row r="180" spans="1:4" ht="18" hidden="1" x14ac:dyDescent="0.3">
      <c r="A180" s="60" t="s">
        <v>180</v>
      </c>
      <c r="B180" s="87"/>
      <c r="C180" s="87"/>
      <c r="D180" s="88">
        <f t="shared" si="2"/>
        <v>0</v>
      </c>
    </row>
    <row r="181" spans="1:4" ht="18" hidden="1" x14ac:dyDescent="0.3">
      <c r="A181" s="63" t="s">
        <v>181</v>
      </c>
      <c r="B181" s="87"/>
      <c r="C181" s="87"/>
      <c r="D181" s="88">
        <f t="shared" si="2"/>
        <v>0</v>
      </c>
    </row>
    <row r="182" spans="1:4" ht="18" x14ac:dyDescent="0.3">
      <c r="A182" s="63" t="s">
        <v>182</v>
      </c>
      <c r="B182" s="87">
        <v>90</v>
      </c>
      <c r="C182" s="87">
        <v>17000</v>
      </c>
      <c r="D182" s="88">
        <f t="shared" si="2"/>
        <v>1530000</v>
      </c>
    </row>
    <row r="183" spans="1:4" ht="18" hidden="1" x14ac:dyDescent="0.3">
      <c r="A183" s="63" t="s">
        <v>183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184</v>
      </c>
      <c r="B184" s="87"/>
      <c r="C184" s="87"/>
      <c r="D184" s="88">
        <f t="shared" si="2"/>
        <v>0</v>
      </c>
    </row>
    <row r="185" spans="1:4" ht="18" hidden="1" x14ac:dyDescent="0.3">
      <c r="A185" s="63" t="s">
        <v>185</v>
      </c>
      <c r="B185" s="87"/>
      <c r="C185" s="87"/>
      <c r="D185" s="88">
        <f t="shared" si="2"/>
        <v>0</v>
      </c>
    </row>
    <row r="186" spans="1:4" ht="18" hidden="1" x14ac:dyDescent="0.3">
      <c r="A186" s="63" t="s">
        <v>186</v>
      </c>
      <c r="B186" s="87"/>
      <c r="C186" s="87"/>
      <c r="D186" s="88">
        <f t="shared" si="2"/>
        <v>0</v>
      </c>
    </row>
    <row r="187" spans="1:4" ht="18" hidden="1" x14ac:dyDescent="0.3">
      <c r="A187" s="63" t="s">
        <v>187</v>
      </c>
      <c r="B187" s="87"/>
      <c r="C187" s="87"/>
      <c r="D187" s="88">
        <f t="shared" si="2"/>
        <v>0</v>
      </c>
    </row>
    <row r="188" spans="1:4" ht="18" x14ac:dyDescent="0.3">
      <c r="A188" s="63" t="s">
        <v>188</v>
      </c>
      <c r="B188" s="87">
        <v>10</v>
      </c>
      <c r="C188" s="87">
        <v>6000</v>
      </c>
      <c r="D188" s="88">
        <f t="shared" si="2"/>
        <v>60000</v>
      </c>
    </row>
    <row r="189" spans="1:4" ht="18" hidden="1" x14ac:dyDescent="0.3">
      <c r="A189" s="64" t="s">
        <v>189</v>
      </c>
      <c r="B189" s="87"/>
      <c r="C189" s="87"/>
      <c r="D189" s="88">
        <f t="shared" si="2"/>
        <v>0</v>
      </c>
    </row>
    <row r="190" spans="1:4" ht="18" x14ac:dyDescent="0.3">
      <c r="A190" s="70" t="s">
        <v>190</v>
      </c>
      <c r="B190" s="87">
        <v>25</v>
      </c>
      <c r="C190" s="87">
        <v>6500</v>
      </c>
      <c r="D190" s="88">
        <f t="shared" si="2"/>
        <v>162500</v>
      </c>
    </row>
    <row r="191" spans="1:4" ht="18" hidden="1" x14ac:dyDescent="0.3">
      <c r="A191" s="63" t="s">
        <v>191</v>
      </c>
      <c r="B191" s="87"/>
      <c r="C191" s="87"/>
      <c r="D191" s="88">
        <f t="shared" si="2"/>
        <v>0</v>
      </c>
    </row>
    <row r="192" spans="1:4" ht="18" hidden="1" x14ac:dyDescent="0.3">
      <c r="A192" s="70" t="s">
        <v>308</v>
      </c>
      <c r="B192" s="87"/>
      <c r="C192" s="87"/>
      <c r="D192" s="88">
        <f t="shared" si="2"/>
        <v>0</v>
      </c>
    </row>
    <row r="193" spans="1:4" ht="18" hidden="1" x14ac:dyDescent="0.3">
      <c r="A193" s="63" t="s">
        <v>192</v>
      </c>
      <c r="B193" s="87"/>
      <c r="C193" s="87"/>
      <c r="D193" s="88">
        <f t="shared" si="2"/>
        <v>0</v>
      </c>
    </row>
    <row r="194" spans="1:4" ht="18" hidden="1" x14ac:dyDescent="0.3">
      <c r="A194" s="60" t="s">
        <v>193</v>
      </c>
      <c r="B194" s="87"/>
      <c r="C194" s="87"/>
      <c r="D194" s="88">
        <f t="shared" si="2"/>
        <v>0</v>
      </c>
    </row>
    <row r="195" spans="1:4" ht="18" x14ac:dyDescent="0.3">
      <c r="A195" s="63" t="s">
        <v>194</v>
      </c>
      <c r="B195" s="87">
        <v>33</v>
      </c>
      <c r="C195" s="87">
        <v>8000</v>
      </c>
      <c r="D195" s="88">
        <f t="shared" si="2"/>
        <v>264000</v>
      </c>
    </row>
    <row r="196" spans="1:4" ht="18" hidden="1" x14ac:dyDescent="0.3">
      <c r="A196" s="63" t="s">
        <v>195</v>
      </c>
      <c r="B196" s="87"/>
      <c r="C196" s="87"/>
      <c r="D196" s="88">
        <f t="shared" ref="D196:D259" si="3">B196*C196</f>
        <v>0</v>
      </c>
    </row>
    <row r="197" spans="1:4" ht="18" hidden="1" x14ac:dyDescent="0.3">
      <c r="A197" s="63" t="s">
        <v>196</v>
      </c>
      <c r="B197" s="87"/>
      <c r="C197" s="87"/>
      <c r="D197" s="88">
        <f t="shared" si="3"/>
        <v>0</v>
      </c>
    </row>
    <row r="198" spans="1:4" ht="18" hidden="1" x14ac:dyDescent="0.3">
      <c r="A198" s="62" t="s">
        <v>197</v>
      </c>
      <c r="B198" s="87"/>
      <c r="C198" s="87"/>
      <c r="D198" s="88">
        <f t="shared" si="3"/>
        <v>0</v>
      </c>
    </row>
    <row r="199" spans="1:4" ht="18" hidden="1" x14ac:dyDescent="0.3">
      <c r="A199" s="78" t="s">
        <v>198</v>
      </c>
      <c r="B199" s="87"/>
      <c r="C199" s="87"/>
      <c r="D199" s="88">
        <f t="shared" si="3"/>
        <v>0</v>
      </c>
    </row>
    <row r="200" spans="1:4" ht="18" hidden="1" x14ac:dyDescent="0.3">
      <c r="A200" s="60" t="s">
        <v>199</v>
      </c>
      <c r="B200" s="87"/>
      <c r="C200" s="87"/>
      <c r="D200" s="88">
        <f t="shared" si="3"/>
        <v>0</v>
      </c>
    </row>
    <row r="201" spans="1:4" ht="18" hidden="1" x14ac:dyDescent="0.3">
      <c r="A201" s="61" t="s">
        <v>200</v>
      </c>
      <c r="B201" s="87"/>
      <c r="C201" s="87"/>
      <c r="D201" s="88">
        <f t="shared" si="3"/>
        <v>0</v>
      </c>
    </row>
    <row r="202" spans="1:4" ht="18" hidden="1" x14ac:dyDescent="0.3">
      <c r="A202" s="61" t="s">
        <v>201</v>
      </c>
      <c r="B202" s="87"/>
      <c r="C202" s="87"/>
      <c r="D202" s="88">
        <f t="shared" si="3"/>
        <v>0</v>
      </c>
    </row>
    <row r="203" spans="1:4" ht="18" hidden="1" x14ac:dyDescent="0.3">
      <c r="A203" s="61" t="s">
        <v>202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203</v>
      </c>
      <c r="B204" s="87"/>
      <c r="C204" s="87"/>
      <c r="D204" s="88">
        <f t="shared" si="3"/>
        <v>0</v>
      </c>
    </row>
    <row r="205" spans="1:4" ht="18" hidden="1" x14ac:dyDescent="0.3">
      <c r="A205" s="63" t="s">
        <v>204</v>
      </c>
      <c r="B205" s="87"/>
      <c r="C205" s="87"/>
      <c r="D205" s="88">
        <f t="shared" si="3"/>
        <v>0</v>
      </c>
    </row>
    <row r="206" spans="1:4" ht="18" hidden="1" x14ac:dyDescent="0.3">
      <c r="A206" s="63" t="s">
        <v>205</v>
      </c>
      <c r="B206" s="87"/>
      <c r="C206" s="87"/>
      <c r="D206" s="88">
        <f t="shared" si="3"/>
        <v>0</v>
      </c>
    </row>
    <row r="207" spans="1:4" ht="18" hidden="1" x14ac:dyDescent="0.3">
      <c r="A207" s="63" t="s">
        <v>206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207</v>
      </c>
      <c r="B208" s="87"/>
      <c r="C208" s="87"/>
      <c r="D208" s="88">
        <f t="shared" si="3"/>
        <v>0</v>
      </c>
    </row>
    <row r="209" spans="1:4" ht="18" hidden="1" x14ac:dyDescent="0.3">
      <c r="A209" s="60" t="s">
        <v>208</v>
      </c>
      <c r="B209" s="87"/>
      <c r="C209" s="87"/>
      <c r="D209" s="88">
        <f t="shared" si="3"/>
        <v>0</v>
      </c>
    </row>
    <row r="210" spans="1:4" ht="18" hidden="1" x14ac:dyDescent="0.3">
      <c r="A210" s="60" t="s">
        <v>209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210</v>
      </c>
      <c r="B211" s="87"/>
      <c r="C211" s="87"/>
      <c r="D211" s="88">
        <f t="shared" si="3"/>
        <v>0</v>
      </c>
    </row>
    <row r="212" spans="1:4" ht="18" hidden="1" x14ac:dyDescent="0.3">
      <c r="A212" s="63" t="s">
        <v>211</v>
      </c>
      <c r="B212" s="87"/>
      <c r="C212" s="87"/>
      <c r="D212" s="88">
        <f t="shared" si="3"/>
        <v>0</v>
      </c>
    </row>
    <row r="213" spans="1:4" ht="18" hidden="1" x14ac:dyDescent="0.3">
      <c r="A213" s="63" t="s">
        <v>212</v>
      </c>
      <c r="B213" s="87"/>
      <c r="C213" s="87"/>
      <c r="D213" s="88">
        <f t="shared" si="3"/>
        <v>0</v>
      </c>
    </row>
    <row r="214" spans="1:4" ht="18" x14ac:dyDescent="0.3">
      <c r="A214" s="61" t="s">
        <v>213</v>
      </c>
      <c r="B214" s="87">
        <v>1</v>
      </c>
      <c r="C214" s="87">
        <v>29000</v>
      </c>
      <c r="D214" s="88">
        <f t="shared" si="3"/>
        <v>29000</v>
      </c>
    </row>
    <row r="215" spans="1:4" ht="18" hidden="1" x14ac:dyDescent="0.3">
      <c r="A215" s="63" t="s">
        <v>214</v>
      </c>
      <c r="B215" s="87"/>
      <c r="C215" s="87"/>
      <c r="D215" s="88">
        <f t="shared" si="3"/>
        <v>0</v>
      </c>
    </row>
    <row r="216" spans="1:4" ht="18" hidden="1" x14ac:dyDescent="0.3">
      <c r="A216" s="61" t="s">
        <v>215</v>
      </c>
      <c r="B216" s="87"/>
      <c r="C216" s="87"/>
      <c r="D216" s="88">
        <f t="shared" si="3"/>
        <v>0</v>
      </c>
    </row>
    <row r="217" spans="1:4" ht="18" x14ac:dyDescent="0.3">
      <c r="A217" s="63" t="s">
        <v>216</v>
      </c>
      <c r="B217" s="87">
        <v>2</v>
      </c>
      <c r="C217" s="87">
        <v>15000</v>
      </c>
      <c r="D217" s="88">
        <f t="shared" si="3"/>
        <v>30000</v>
      </c>
    </row>
    <row r="218" spans="1:4" ht="18" hidden="1" x14ac:dyDescent="0.3">
      <c r="A218" s="63" t="s">
        <v>217</v>
      </c>
      <c r="B218" s="87"/>
      <c r="C218" s="87"/>
      <c r="D218" s="88">
        <f t="shared" si="3"/>
        <v>0</v>
      </c>
    </row>
    <row r="219" spans="1:4" ht="18" hidden="1" x14ac:dyDescent="0.3">
      <c r="A219" s="63" t="s">
        <v>218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219</v>
      </c>
      <c r="B220" s="87"/>
      <c r="C220" s="87"/>
      <c r="D220" s="88">
        <f t="shared" si="3"/>
        <v>0</v>
      </c>
    </row>
    <row r="221" spans="1:4" ht="18" hidden="1" x14ac:dyDescent="0.3">
      <c r="A221" s="65" t="s">
        <v>220</v>
      </c>
      <c r="B221" s="87"/>
      <c r="C221" s="87"/>
      <c r="D221" s="88">
        <f t="shared" si="3"/>
        <v>0</v>
      </c>
    </row>
    <row r="222" spans="1:4" ht="18" hidden="1" x14ac:dyDescent="0.3">
      <c r="A222" s="60" t="s">
        <v>221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222</v>
      </c>
      <c r="B223" s="87"/>
      <c r="C223" s="87"/>
      <c r="D223" s="88">
        <f t="shared" si="3"/>
        <v>0</v>
      </c>
    </row>
    <row r="224" spans="1:4" ht="18" hidden="1" x14ac:dyDescent="0.3">
      <c r="A224" s="63" t="s">
        <v>223</v>
      </c>
      <c r="B224" s="87"/>
      <c r="C224" s="87"/>
      <c r="D224" s="88">
        <f t="shared" si="3"/>
        <v>0</v>
      </c>
    </row>
    <row r="225" spans="1:4" ht="18" hidden="1" x14ac:dyDescent="0.3">
      <c r="A225" s="61" t="s">
        <v>224</v>
      </c>
      <c r="B225" s="89"/>
      <c r="C225" s="89"/>
      <c r="D225" s="88">
        <f t="shared" si="3"/>
        <v>0</v>
      </c>
    </row>
    <row r="226" spans="1:4" ht="18" hidden="1" x14ac:dyDescent="0.3">
      <c r="A226" s="61" t="s">
        <v>225</v>
      </c>
      <c r="B226" s="87"/>
      <c r="C226" s="87"/>
      <c r="D226" s="88">
        <f t="shared" si="3"/>
        <v>0</v>
      </c>
    </row>
    <row r="227" spans="1:4" ht="18" hidden="1" x14ac:dyDescent="0.3">
      <c r="A227" s="61" t="s">
        <v>226</v>
      </c>
      <c r="B227" s="89"/>
      <c r="C227" s="89"/>
      <c r="D227" s="88">
        <f t="shared" si="3"/>
        <v>0</v>
      </c>
    </row>
    <row r="228" spans="1:4" ht="18" hidden="1" x14ac:dyDescent="0.3">
      <c r="A228" s="65" t="s">
        <v>227</v>
      </c>
      <c r="B228" s="87"/>
      <c r="C228" s="87"/>
      <c r="D228" s="88">
        <f t="shared" si="3"/>
        <v>0</v>
      </c>
    </row>
    <row r="229" spans="1:4" ht="18" hidden="1" x14ac:dyDescent="0.3">
      <c r="A229" s="64" t="s">
        <v>228</v>
      </c>
      <c r="B229" s="87"/>
      <c r="C229" s="87"/>
      <c r="D229" s="88">
        <f t="shared" si="3"/>
        <v>0</v>
      </c>
    </row>
    <row r="230" spans="1:4" ht="18" hidden="1" x14ac:dyDescent="0.3">
      <c r="A230" s="64" t="s">
        <v>229</v>
      </c>
      <c r="B230" s="87"/>
      <c r="C230" s="87"/>
      <c r="D230" s="88">
        <f t="shared" si="3"/>
        <v>0</v>
      </c>
    </row>
    <row r="231" spans="1:4" ht="18" hidden="1" x14ac:dyDescent="0.3">
      <c r="A231" s="61" t="s">
        <v>230</v>
      </c>
      <c r="B231" s="87"/>
      <c r="C231" s="87"/>
      <c r="D231" s="88">
        <f t="shared" si="3"/>
        <v>0</v>
      </c>
    </row>
    <row r="232" spans="1:4" ht="18" hidden="1" x14ac:dyDescent="0.3">
      <c r="A232" s="61" t="s">
        <v>332</v>
      </c>
      <c r="B232" s="87"/>
      <c r="C232" s="87"/>
      <c r="D232" s="88">
        <f t="shared" si="3"/>
        <v>0</v>
      </c>
    </row>
    <row r="233" spans="1:4" ht="18" x14ac:dyDescent="0.3">
      <c r="A233" s="63" t="s">
        <v>231</v>
      </c>
      <c r="B233" s="87">
        <v>85</v>
      </c>
      <c r="C233" s="87">
        <v>18000</v>
      </c>
      <c r="D233" s="88">
        <f t="shared" si="3"/>
        <v>1530000</v>
      </c>
    </row>
    <row r="234" spans="1:4" ht="18" hidden="1" x14ac:dyDescent="0.3">
      <c r="A234" s="63" t="s">
        <v>232</v>
      </c>
      <c r="B234" s="87"/>
      <c r="C234" s="87"/>
      <c r="D234" s="88">
        <f t="shared" si="3"/>
        <v>0</v>
      </c>
    </row>
    <row r="235" spans="1:4" ht="18" hidden="1" x14ac:dyDescent="0.3">
      <c r="A235" s="65" t="s">
        <v>233</v>
      </c>
      <c r="B235" s="87"/>
      <c r="C235" s="87"/>
      <c r="D235" s="88">
        <f t="shared" si="3"/>
        <v>0</v>
      </c>
    </row>
    <row r="236" spans="1:4" ht="18" hidden="1" x14ac:dyDescent="0.3">
      <c r="A236" s="60" t="s">
        <v>234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235</v>
      </c>
      <c r="B237" s="87"/>
      <c r="C237" s="87"/>
      <c r="D237" s="88">
        <f t="shared" si="3"/>
        <v>0</v>
      </c>
    </row>
    <row r="238" spans="1:4" ht="18" hidden="1" x14ac:dyDescent="0.3">
      <c r="A238" s="63" t="s">
        <v>236</v>
      </c>
      <c r="B238" s="87"/>
      <c r="C238" s="87"/>
      <c r="D238" s="88">
        <f t="shared" si="3"/>
        <v>0</v>
      </c>
    </row>
    <row r="239" spans="1:4" ht="18" hidden="1" x14ac:dyDescent="0.3">
      <c r="A239" s="64" t="s">
        <v>237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238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239</v>
      </c>
      <c r="B241" s="87"/>
      <c r="C241" s="87"/>
      <c r="D241" s="88">
        <f t="shared" si="3"/>
        <v>0</v>
      </c>
    </row>
    <row r="242" spans="1:4" ht="18" x14ac:dyDescent="0.3">
      <c r="A242" s="63" t="s">
        <v>240</v>
      </c>
      <c r="B242" s="87">
        <v>1</v>
      </c>
      <c r="C242" s="87">
        <v>28000</v>
      </c>
      <c r="D242" s="88">
        <f t="shared" si="3"/>
        <v>28000</v>
      </c>
    </row>
    <row r="243" spans="1:4" ht="18" hidden="1" x14ac:dyDescent="0.3">
      <c r="A243" s="63" t="s">
        <v>241</v>
      </c>
      <c r="B243" s="87"/>
      <c r="C243" s="87"/>
      <c r="D243" s="88">
        <f t="shared" si="3"/>
        <v>0</v>
      </c>
    </row>
    <row r="244" spans="1:4" ht="18" hidden="1" x14ac:dyDescent="0.3">
      <c r="A244" s="64" t="s">
        <v>242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243</v>
      </c>
      <c r="B245" s="87"/>
      <c r="C245" s="87"/>
      <c r="D245" s="88">
        <f t="shared" si="3"/>
        <v>0</v>
      </c>
    </row>
    <row r="246" spans="1:4" ht="18" hidden="1" x14ac:dyDescent="0.3">
      <c r="A246" s="63" t="s">
        <v>244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245</v>
      </c>
      <c r="B247" s="87"/>
      <c r="C247" s="87"/>
      <c r="D247" s="88">
        <f t="shared" si="3"/>
        <v>0</v>
      </c>
    </row>
    <row r="248" spans="1:4" ht="18" hidden="1" x14ac:dyDescent="0.3">
      <c r="A248" s="64" t="s">
        <v>246</v>
      </c>
      <c r="B248" s="87"/>
      <c r="C248" s="87"/>
      <c r="D248" s="88">
        <f t="shared" si="3"/>
        <v>0</v>
      </c>
    </row>
    <row r="249" spans="1:4" ht="18" hidden="1" x14ac:dyDescent="0.3">
      <c r="A249" s="79" t="s">
        <v>247</v>
      </c>
      <c r="B249" s="87"/>
      <c r="C249" s="87"/>
      <c r="D249" s="88">
        <f t="shared" si="3"/>
        <v>0</v>
      </c>
    </row>
    <row r="250" spans="1:4" ht="18" hidden="1" x14ac:dyDescent="0.3">
      <c r="A250" s="79" t="s">
        <v>248</v>
      </c>
      <c r="B250" s="87"/>
      <c r="C250" s="87"/>
      <c r="D250" s="88">
        <f t="shared" si="3"/>
        <v>0</v>
      </c>
    </row>
    <row r="251" spans="1:4" ht="18" hidden="1" x14ac:dyDescent="0.3">
      <c r="A251" s="64" t="s">
        <v>249</v>
      </c>
      <c r="B251" s="87"/>
      <c r="C251" s="87"/>
      <c r="D251" s="88">
        <f t="shared" si="3"/>
        <v>0</v>
      </c>
    </row>
    <row r="252" spans="1:4" ht="18" hidden="1" x14ac:dyDescent="0.3">
      <c r="A252" s="79" t="s">
        <v>250</v>
      </c>
      <c r="B252" s="87"/>
      <c r="C252" s="87"/>
      <c r="D252" s="88">
        <f t="shared" si="3"/>
        <v>0</v>
      </c>
    </row>
    <row r="253" spans="1:4" ht="18" hidden="1" x14ac:dyDescent="0.3">
      <c r="A253" s="79" t="s">
        <v>251</v>
      </c>
      <c r="B253" s="87"/>
      <c r="C253" s="87"/>
      <c r="D253" s="88">
        <f t="shared" si="3"/>
        <v>0</v>
      </c>
    </row>
    <row r="254" spans="1:4" ht="18" hidden="1" x14ac:dyDescent="0.3">
      <c r="A254" s="79" t="s">
        <v>252</v>
      </c>
      <c r="B254" s="87"/>
      <c r="C254" s="87"/>
      <c r="D254" s="88">
        <f t="shared" si="3"/>
        <v>0</v>
      </c>
    </row>
    <row r="255" spans="1:4" ht="18" hidden="1" x14ac:dyDescent="0.3">
      <c r="A255" s="63" t="s">
        <v>253</v>
      </c>
      <c r="B255" s="87"/>
      <c r="C255" s="87"/>
      <c r="D255" s="88">
        <f t="shared" si="3"/>
        <v>0</v>
      </c>
    </row>
    <row r="256" spans="1:4" ht="18" hidden="1" x14ac:dyDescent="0.3">
      <c r="A256" s="63" t="s">
        <v>254</v>
      </c>
      <c r="B256" s="87"/>
      <c r="C256" s="87"/>
      <c r="D256" s="88">
        <f t="shared" si="3"/>
        <v>0</v>
      </c>
    </row>
    <row r="257" spans="1:4" ht="18" x14ac:dyDescent="0.3">
      <c r="A257" s="63" t="s">
        <v>255</v>
      </c>
      <c r="B257" s="87">
        <v>4</v>
      </c>
      <c r="C257" s="87">
        <v>28000</v>
      </c>
      <c r="D257" s="88">
        <f t="shared" si="3"/>
        <v>112000</v>
      </c>
    </row>
    <row r="258" spans="1:4" ht="18" hidden="1" x14ac:dyDescent="0.3">
      <c r="A258" s="63" t="s">
        <v>256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257</v>
      </c>
      <c r="B259" s="87"/>
      <c r="C259" s="87"/>
      <c r="D259" s="88">
        <f t="shared" si="3"/>
        <v>0</v>
      </c>
    </row>
    <row r="260" spans="1:4" ht="18" hidden="1" x14ac:dyDescent="0.3">
      <c r="A260" s="63" t="s">
        <v>258</v>
      </c>
      <c r="B260" s="87"/>
      <c r="C260" s="87"/>
      <c r="D260" s="88">
        <f t="shared" ref="D260:D294" si="4">B260*C260</f>
        <v>0</v>
      </c>
    </row>
    <row r="261" spans="1:4" ht="18" hidden="1" x14ac:dyDescent="0.3">
      <c r="A261" s="63" t="s">
        <v>259</v>
      </c>
      <c r="B261" s="87"/>
      <c r="C261" s="87"/>
      <c r="D261" s="88">
        <f t="shared" si="4"/>
        <v>0</v>
      </c>
    </row>
    <row r="262" spans="1:4" ht="18" hidden="1" x14ac:dyDescent="0.3">
      <c r="A262" s="65" t="s">
        <v>260</v>
      </c>
      <c r="B262" s="87"/>
      <c r="C262" s="87"/>
      <c r="D262" s="88">
        <f t="shared" si="4"/>
        <v>0</v>
      </c>
    </row>
    <row r="263" spans="1:4" ht="18" hidden="1" x14ac:dyDescent="0.3">
      <c r="A263" s="63" t="s">
        <v>261</v>
      </c>
      <c r="B263" s="87"/>
      <c r="C263" s="87"/>
      <c r="D263" s="88">
        <f t="shared" si="4"/>
        <v>0</v>
      </c>
    </row>
    <row r="264" spans="1:4" ht="18" x14ac:dyDescent="0.3">
      <c r="A264" s="63" t="s">
        <v>262</v>
      </c>
      <c r="B264" s="87">
        <v>2</v>
      </c>
      <c r="C264" s="87">
        <v>10000</v>
      </c>
      <c r="D264" s="88">
        <f t="shared" si="4"/>
        <v>20000</v>
      </c>
    </row>
    <row r="265" spans="1:4" ht="18" x14ac:dyDescent="0.3">
      <c r="A265" s="63" t="s">
        <v>263</v>
      </c>
      <c r="B265" s="87">
        <f>110+45</f>
        <v>155</v>
      </c>
      <c r="C265" s="87">
        <v>9000</v>
      </c>
      <c r="D265" s="88">
        <f t="shared" si="4"/>
        <v>1395000</v>
      </c>
    </row>
    <row r="266" spans="1:4" ht="18" hidden="1" x14ac:dyDescent="0.3">
      <c r="A266" s="63" t="s">
        <v>264</v>
      </c>
      <c r="B266" s="87"/>
      <c r="C266" s="87"/>
      <c r="D266" s="88">
        <f t="shared" si="4"/>
        <v>0</v>
      </c>
    </row>
    <row r="267" spans="1:4" ht="18" hidden="1" x14ac:dyDescent="0.3">
      <c r="A267" s="63" t="s">
        <v>265</v>
      </c>
      <c r="B267" s="87"/>
      <c r="C267" s="87"/>
      <c r="D267" s="88">
        <f t="shared" si="4"/>
        <v>0</v>
      </c>
    </row>
    <row r="268" spans="1:4" ht="18" hidden="1" x14ac:dyDescent="0.3">
      <c r="A268" s="63" t="s">
        <v>266</v>
      </c>
      <c r="B268" s="87"/>
      <c r="C268" s="87"/>
      <c r="D268" s="88">
        <f t="shared" si="4"/>
        <v>0</v>
      </c>
    </row>
    <row r="269" spans="1:4" ht="18" hidden="1" x14ac:dyDescent="0.3">
      <c r="A269" s="63" t="s">
        <v>267</v>
      </c>
      <c r="B269" s="87"/>
      <c r="C269" s="87"/>
      <c r="D269" s="88">
        <f t="shared" si="4"/>
        <v>0</v>
      </c>
    </row>
    <row r="270" spans="1:4" ht="18" hidden="1" x14ac:dyDescent="0.3">
      <c r="A270" s="74" t="s">
        <v>268</v>
      </c>
      <c r="B270" s="87"/>
      <c r="C270" s="87"/>
      <c r="D270" s="88">
        <f t="shared" si="4"/>
        <v>0</v>
      </c>
    </row>
    <row r="271" spans="1:4" ht="18" hidden="1" x14ac:dyDescent="0.3">
      <c r="A271" s="63" t="s">
        <v>269</v>
      </c>
      <c r="B271" s="87"/>
      <c r="C271" s="87"/>
      <c r="D271" s="88">
        <f t="shared" si="4"/>
        <v>0</v>
      </c>
    </row>
    <row r="272" spans="1:4" ht="18" hidden="1" x14ac:dyDescent="0.3">
      <c r="A272" s="63" t="s">
        <v>270</v>
      </c>
      <c r="B272" s="87"/>
      <c r="C272" s="87"/>
      <c r="D272" s="88">
        <f t="shared" si="4"/>
        <v>0</v>
      </c>
    </row>
    <row r="273" spans="1:4" ht="18" hidden="1" x14ac:dyDescent="0.3">
      <c r="A273" s="30" t="s">
        <v>271</v>
      </c>
      <c r="B273" s="87"/>
      <c r="C273" s="87"/>
      <c r="D273" s="88">
        <f t="shared" si="4"/>
        <v>0</v>
      </c>
    </row>
    <row r="274" spans="1:4" ht="18" hidden="1" x14ac:dyDescent="0.3">
      <c r="A274" s="60" t="s">
        <v>272</v>
      </c>
      <c r="B274" s="89"/>
      <c r="C274" s="87"/>
      <c r="D274" s="88">
        <f t="shared" si="4"/>
        <v>0</v>
      </c>
    </row>
    <row r="275" spans="1:4" ht="18" hidden="1" x14ac:dyDescent="0.3">
      <c r="A275" s="63" t="s">
        <v>273</v>
      </c>
      <c r="B275" s="87"/>
      <c r="C275" s="87"/>
      <c r="D275" s="88">
        <f t="shared" si="4"/>
        <v>0</v>
      </c>
    </row>
    <row r="276" spans="1:4" ht="18" hidden="1" x14ac:dyDescent="0.3">
      <c r="A276" s="63" t="s">
        <v>274</v>
      </c>
      <c r="B276" s="87"/>
      <c r="C276" s="87"/>
      <c r="D276" s="88">
        <f t="shared" si="4"/>
        <v>0</v>
      </c>
    </row>
    <row r="277" spans="1:4" ht="18" hidden="1" x14ac:dyDescent="0.3">
      <c r="A277" s="63" t="s">
        <v>275</v>
      </c>
      <c r="B277" s="87"/>
      <c r="C277" s="87"/>
      <c r="D277" s="88">
        <f t="shared" si="4"/>
        <v>0</v>
      </c>
    </row>
    <row r="278" spans="1:4" ht="18" hidden="1" x14ac:dyDescent="0.3">
      <c r="A278" s="65" t="s">
        <v>92</v>
      </c>
      <c r="B278" s="87"/>
      <c r="C278" s="87"/>
      <c r="D278" s="88">
        <f t="shared" si="4"/>
        <v>0</v>
      </c>
    </row>
    <row r="279" spans="1:4" ht="18" hidden="1" x14ac:dyDescent="0.3">
      <c r="A279" s="63" t="s">
        <v>276</v>
      </c>
      <c r="B279" s="87"/>
      <c r="C279" s="87"/>
      <c r="D279" s="88">
        <f t="shared" si="4"/>
        <v>0</v>
      </c>
    </row>
    <row r="280" spans="1:4" ht="18" hidden="1" x14ac:dyDescent="0.3">
      <c r="A280" s="72" t="s">
        <v>277</v>
      </c>
      <c r="B280" s="87"/>
      <c r="C280" s="87"/>
      <c r="D280" s="88">
        <f t="shared" si="4"/>
        <v>0</v>
      </c>
    </row>
    <row r="281" spans="1:4" ht="18" hidden="1" x14ac:dyDescent="0.3">
      <c r="A281" s="61" t="s">
        <v>278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279</v>
      </c>
      <c r="B282" s="87"/>
      <c r="C282" s="87"/>
      <c r="D282" s="88">
        <f t="shared" si="4"/>
        <v>0</v>
      </c>
    </row>
    <row r="283" spans="1:4" ht="18" hidden="1" x14ac:dyDescent="0.3">
      <c r="A283" s="63" t="s">
        <v>280</v>
      </c>
      <c r="B283" s="87"/>
      <c r="C283" s="87"/>
      <c r="D283" s="88">
        <f t="shared" si="4"/>
        <v>0</v>
      </c>
    </row>
    <row r="284" spans="1:4" ht="18" hidden="1" x14ac:dyDescent="0.3">
      <c r="A284" s="63" t="s">
        <v>281</v>
      </c>
      <c r="B284" s="87"/>
      <c r="C284" s="87"/>
      <c r="D284" s="88">
        <f t="shared" si="4"/>
        <v>0</v>
      </c>
    </row>
    <row r="285" spans="1:4" ht="18" hidden="1" x14ac:dyDescent="0.3">
      <c r="A285" s="63" t="s">
        <v>282</v>
      </c>
      <c r="B285" s="87"/>
      <c r="C285" s="87"/>
      <c r="D285" s="88">
        <f t="shared" si="4"/>
        <v>0</v>
      </c>
    </row>
    <row r="286" spans="1:4" ht="18" hidden="1" x14ac:dyDescent="0.3">
      <c r="A286" s="60" t="s">
        <v>283</v>
      </c>
      <c r="B286" s="87"/>
      <c r="C286" s="87"/>
      <c r="D286" s="88">
        <f t="shared" si="4"/>
        <v>0</v>
      </c>
    </row>
    <row r="287" spans="1:4" ht="18" hidden="1" x14ac:dyDescent="0.3">
      <c r="A287" s="63" t="s">
        <v>313</v>
      </c>
      <c r="B287" s="87"/>
      <c r="C287" s="87"/>
      <c r="D287" s="88">
        <f t="shared" si="4"/>
        <v>0</v>
      </c>
    </row>
    <row r="288" spans="1:4" ht="18" hidden="1" x14ac:dyDescent="0.3">
      <c r="A288" s="61" t="s">
        <v>314</v>
      </c>
      <c r="B288" s="87"/>
      <c r="C288" s="87"/>
      <c r="D288" s="88">
        <f t="shared" si="4"/>
        <v>0</v>
      </c>
    </row>
    <row r="289" spans="1:4" ht="18" hidden="1" x14ac:dyDescent="0.3">
      <c r="A289" s="61" t="s">
        <v>315</v>
      </c>
      <c r="B289" s="87"/>
      <c r="C289" s="87"/>
      <c r="D289" s="88">
        <f t="shared" si="4"/>
        <v>0</v>
      </c>
    </row>
    <row r="290" spans="1:4" ht="18" hidden="1" x14ac:dyDescent="0.3">
      <c r="A290" s="63" t="s">
        <v>284</v>
      </c>
      <c r="B290" s="87"/>
      <c r="C290" s="87"/>
      <c r="D290" s="88">
        <f t="shared" si="4"/>
        <v>0</v>
      </c>
    </row>
    <row r="291" spans="1:4" ht="18" hidden="1" x14ac:dyDescent="0.3">
      <c r="A291" s="61" t="s">
        <v>285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286</v>
      </c>
      <c r="B292" s="87"/>
      <c r="C292" s="87"/>
      <c r="D292" s="88">
        <f t="shared" si="4"/>
        <v>0</v>
      </c>
    </row>
    <row r="293" spans="1:4" ht="18" hidden="1" x14ac:dyDescent="0.3">
      <c r="A293" s="61" t="s">
        <v>287</v>
      </c>
      <c r="B293" s="87"/>
      <c r="C293" s="87"/>
      <c r="D293" s="88">
        <f t="shared" si="4"/>
        <v>0</v>
      </c>
    </row>
    <row r="294" spans="1:4" ht="18" hidden="1" x14ac:dyDescent="0.3">
      <c r="A294" s="63" t="s">
        <v>288</v>
      </c>
      <c r="B294" s="87"/>
      <c r="C294" s="87"/>
      <c r="D294" s="88">
        <f t="shared" si="4"/>
        <v>0</v>
      </c>
    </row>
    <row r="295" spans="1:4" ht="17.399999999999999" x14ac:dyDescent="0.3">
      <c r="A295" s="80"/>
      <c r="B295" s="86">
        <f t="shared" ref="B295:D295" si="5">SUM(B3:B294)</f>
        <v>4455</v>
      </c>
      <c r="C295" s="86"/>
      <c r="D295" s="86">
        <f t="shared" si="5"/>
        <v>84419000</v>
      </c>
    </row>
  </sheetData>
  <protectedRanges>
    <protectedRange password="CF71" sqref="B1:D294" name="tho"/>
  </protectedRanges>
  <autoFilter ref="A2:E295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5"/>
  <sheetViews>
    <sheetView workbookViewId="0">
      <selection activeCell="F299" sqref="F299"/>
    </sheetView>
  </sheetViews>
  <sheetFormatPr defaultRowHeight="14.4" x14ac:dyDescent="0.3"/>
  <cols>
    <col min="1" max="1" width="34" customWidth="1"/>
    <col min="3" max="3" width="14.33203125" customWidth="1"/>
    <col min="4" max="4" width="19.109375" customWidth="1"/>
  </cols>
  <sheetData>
    <row r="1" spans="1:4" x14ac:dyDescent="0.3">
      <c r="A1" s="57" t="s">
        <v>334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297</v>
      </c>
      <c r="D2" s="5" t="s">
        <v>291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hidden="1" x14ac:dyDescent="0.3">
      <c r="A7" s="60" t="s">
        <v>2</v>
      </c>
      <c r="B7" s="87"/>
      <c r="C7" s="87"/>
      <c r="D7" s="88">
        <f t="shared" si="0"/>
        <v>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0" t="s">
        <v>10</v>
      </c>
      <c r="B11" s="89"/>
      <c r="C11" s="89"/>
      <c r="D11" s="88">
        <f t="shared" si="0"/>
        <v>0</v>
      </c>
    </row>
    <row r="12" spans="1:4" ht="18" hidden="1" x14ac:dyDescent="0.3">
      <c r="A12" s="63" t="s">
        <v>11</v>
      </c>
      <c r="B12" s="87"/>
      <c r="C12" s="87"/>
      <c r="D12" s="88">
        <f t="shared" si="0"/>
        <v>0</v>
      </c>
    </row>
    <row r="13" spans="1:4" ht="18" hidden="1" x14ac:dyDescent="0.3">
      <c r="A13" s="63" t="s">
        <v>12</v>
      </c>
      <c r="B13" s="87"/>
      <c r="C13" s="87"/>
      <c r="D13" s="88">
        <f t="shared" si="0"/>
        <v>0</v>
      </c>
    </row>
    <row r="14" spans="1:4" ht="18" hidden="1" x14ac:dyDescent="0.3">
      <c r="A14" s="63" t="s">
        <v>13</v>
      </c>
      <c r="B14" s="89"/>
      <c r="C14" s="89"/>
      <c r="D14" s="88">
        <f t="shared" si="0"/>
        <v>0</v>
      </c>
    </row>
    <row r="15" spans="1:4" ht="18" hidden="1" x14ac:dyDescent="0.3">
      <c r="A15" s="64" t="s">
        <v>14</v>
      </c>
      <c r="B15" s="87"/>
      <c r="C15" s="87"/>
      <c r="D15" s="88">
        <f t="shared" si="0"/>
        <v>0</v>
      </c>
    </row>
    <row r="16" spans="1:4" ht="18" hidden="1" x14ac:dyDescent="0.3">
      <c r="A16" s="61" t="s">
        <v>15</v>
      </c>
      <c r="B16" s="87"/>
      <c r="C16" s="87"/>
      <c r="D16" s="88">
        <f t="shared" si="0"/>
        <v>0</v>
      </c>
    </row>
    <row r="17" spans="1:4" ht="18" hidden="1" x14ac:dyDescent="0.3">
      <c r="A17" s="13" t="s">
        <v>16</v>
      </c>
      <c r="B17" s="87"/>
      <c r="C17" s="87"/>
      <c r="D17" s="88">
        <f t="shared" si="0"/>
        <v>0</v>
      </c>
    </row>
    <row r="18" spans="1:4" ht="18" hidden="1" x14ac:dyDescent="0.3">
      <c r="A18" s="63" t="s">
        <v>17</v>
      </c>
      <c r="B18" s="87"/>
      <c r="C18" s="87"/>
      <c r="D18" s="88">
        <f t="shared" si="0"/>
        <v>0</v>
      </c>
    </row>
    <row r="19" spans="1:4" ht="18" hidden="1" x14ac:dyDescent="0.3">
      <c r="A19" s="63" t="s">
        <v>18</v>
      </c>
      <c r="B19" s="87"/>
      <c r="C19" s="87"/>
      <c r="D19" s="88">
        <f t="shared" si="0"/>
        <v>0</v>
      </c>
    </row>
    <row r="20" spans="1:4" ht="18" hidden="1" x14ac:dyDescent="0.3">
      <c r="A20" s="63" t="s">
        <v>19</v>
      </c>
      <c r="B20" s="87"/>
      <c r="C20" s="87"/>
      <c r="D20" s="88">
        <f t="shared" si="0"/>
        <v>0</v>
      </c>
    </row>
    <row r="21" spans="1:4" ht="18" hidden="1" x14ac:dyDescent="0.3">
      <c r="A21" s="61" t="s">
        <v>20</v>
      </c>
      <c r="B21" s="87"/>
      <c r="C21" s="87"/>
      <c r="D21" s="88">
        <f t="shared" si="0"/>
        <v>0</v>
      </c>
    </row>
    <row r="22" spans="1:4" ht="18" x14ac:dyDescent="0.3">
      <c r="A22" s="63" t="s">
        <v>21</v>
      </c>
      <c r="B22" s="87">
        <f>10+75+5</f>
        <v>90</v>
      </c>
      <c r="C22" s="87">
        <v>35000</v>
      </c>
      <c r="D22" s="88">
        <f t="shared" si="0"/>
        <v>3150000</v>
      </c>
    </row>
    <row r="23" spans="1:4" ht="18" x14ac:dyDescent="0.3">
      <c r="A23" s="63" t="s">
        <v>22</v>
      </c>
      <c r="B23" s="87">
        <v>10</v>
      </c>
      <c r="C23" s="87">
        <v>30000</v>
      </c>
      <c r="D23" s="88">
        <f t="shared" si="0"/>
        <v>300000</v>
      </c>
    </row>
    <row r="24" spans="1:4" ht="18" hidden="1" x14ac:dyDescent="0.3">
      <c r="A24" s="63" t="s">
        <v>23</v>
      </c>
      <c r="B24" s="87"/>
      <c r="C24" s="87"/>
      <c r="D24" s="88">
        <f t="shared" si="0"/>
        <v>0</v>
      </c>
    </row>
    <row r="25" spans="1:4" ht="18" hidden="1" x14ac:dyDescent="0.3">
      <c r="A25" s="63" t="s">
        <v>24</v>
      </c>
      <c r="B25" s="87"/>
      <c r="C25" s="87"/>
      <c r="D25" s="88">
        <f t="shared" si="0"/>
        <v>0</v>
      </c>
    </row>
    <row r="26" spans="1:4" ht="18" hidden="1" x14ac:dyDescent="0.3">
      <c r="A26" s="63" t="s">
        <v>25</v>
      </c>
      <c r="B26" s="87"/>
      <c r="C26" s="87"/>
      <c r="D26" s="88">
        <f t="shared" si="0"/>
        <v>0</v>
      </c>
    </row>
    <row r="27" spans="1:4" ht="18" hidden="1" x14ac:dyDescent="0.3">
      <c r="A27" s="63" t="s">
        <v>26</v>
      </c>
      <c r="B27" s="87"/>
      <c r="C27" s="87"/>
      <c r="D27" s="88">
        <f t="shared" si="0"/>
        <v>0</v>
      </c>
    </row>
    <row r="28" spans="1:4" ht="18" x14ac:dyDescent="0.3">
      <c r="A28" s="63" t="s">
        <v>27</v>
      </c>
      <c r="B28" s="87">
        <v>6</v>
      </c>
      <c r="C28" s="87">
        <v>32000</v>
      </c>
      <c r="D28" s="88">
        <f t="shared" si="0"/>
        <v>192000</v>
      </c>
    </row>
    <row r="29" spans="1:4" ht="18" hidden="1" x14ac:dyDescent="0.3">
      <c r="A29" s="63" t="s">
        <v>28</v>
      </c>
      <c r="B29" s="87"/>
      <c r="C29" s="87"/>
      <c r="D29" s="88">
        <f t="shared" si="0"/>
        <v>0</v>
      </c>
    </row>
    <row r="30" spans="1:4" ht="18" hidden="1" x14ac:dyDescent="0.3">
      <c r="A30" s="63" t="s">
        <v>29</v>
      </c>
      <c r="B30" s="87"/>
      <c r="C30" s="87"/>
      <c r="D30" s="88">
        <f t="shared" si="0"/>
        <v>0</v>
      </c>
    </row>
    <row r="31" spans="1:4" ht="18" hidden="1" x14ac:dyDescent="0.3">
      <c r="A31" s="63" t="s">
        <v>30</v>
      </c>
      <c r="B31" s="87"/>
      <c r="C31" s="87"/>
      <c r="D31" s="88">
        <f t="shared" si="0"/>
        <v>0</v>
      </c>
    </row>
    <row r="32" spans="1:4" ht="18" x14ac:dyDescent="0.3">
      <c r="A32" s="63" t="s">
        <v>31</v>
      </c>
      <c r="B32" s="87">
        <f>12+20</f>
        <v>32</v>
      </c>
      <c r="C32" s="87">
        <v>23000</v>
      </c>
      <c r="D32" s="88">
        <f t="shared" si="0"/>
        <v>736000</v>
      </c>
    </row>
    <row r="33" spans="1:4" ht="18" hidden="1" x14ac:dyDescent="0.3">
      <c r="A33" s="63" t="s">
        <v>32</v>
      </c>
      <c r="B33" s="87"/>
      <c r="C33" s="87"/>
      <c r="D33" s="88">
        <f t="shared" si="0"/>
        <v>0</v>
      </c>
    </row>
    <row r="34" spans="1:4" ht="18" x14ac:dyDescent="0.3">
      <c r="A34" s="63" t="s">
        <v>33</v>
      </c>
      <c r="B34" s="87">
        <v>17</v>
      </c>
      <c r="C34" s="87">
        <v>12000</v>
      </c>
      <c r="D34" s="88">
        <f t="shared" si="0"/>
        <v>204000</v>
      </c>
    </row>
    <row r="35" spans="1:4" ht="18" hidden="1" x14ac:dyDescent="0.3">
      <c r="A35" s="65" t="s">
        <v>34</v>
      </c>
      <c r="B35" s="87"/>
      <c r="C35" s="87"/>
      <c r="D35" s="88">
        <f t="shared" si="0"/>
        <v>0</v>
      </c>
    </row>
    <row r="36" spans="1:4" ht="18" hidden="1" x14ac:dyDescent="0.3">
      <c r="A36" s="63" t="s">
        <v>35</v>
      </c>
      <c r="B36" s="87"/>
      <c r="C36" s="87"/>
      <c r="D36" s="88">
        <f t="shared" si="0"/>
        <v>0</v>
      </c>
    </row>
    <row r="37" spans="1:4" ht="18" hidden="1" x14ac:dyDescent="0.3">
      <c r="A37" s="60" t="s">
        <v>36</v>
      </c>
      <c r="B37" s="87"/>
      <c r="C37" s="87"/>
      <c r="D37" s="88">
        <f t="shared" si="0"/>
        <v>0</v>
      </c>
    </row>
    <row r="38" spans="1:4" ht="18" hidden="1" x14ac:dyDescent="0.3">
      <c r="A38" s="63" t="s">
        <v>37</v>
      </c>
      <c r="B38" s="87"/>
      <c r="C38" s="87"/>
      <c r="D38" s="88">
        <f t="shared" si="0"/>
        <v>0</v>
      </c>
    </row>
    <row r="39" spans="1:4" ht="18" x14ac:dyDescent="0.3">
      <c r="A39" s="63" t="s">
        <v>38</v>
      </c>
      <c r="B39" s="87">
        <f>6+20+36</f>
        <v>62</v>
      </c>
      <c r="C39" s="87">
        <v>27000</v>
      </c>
      <c r="D39" s="88">
        <f t="shared" si="0"/>
        <v>1674000</v>
      </c>
    </row>
    <row r="40" spans="1:4" ht="18" hidden="1" x14ac:dyDescent="0.3">
      <c r="A40" s="66" t="s">
        <v>39</v>
      </c>
      <c r="B40" s="87"/>
      <c r="C40" s="87"/>
      <c r="D40" s="88">
        <f t="shared" si="0"/>
        <v>0</v>
      </c>
    </row>
    <row r="41" spans="1:4" ht="18" x14ac:dyDescent="0.3">
      <c r="A41" s="63" t="s">
        <v>40</v>
      </c>
      <c r="B41" s="87">
        <f>500+30+70</f>
        <v>600</v>
      </c>
      <c r="C41" s="87">
        <v>12500</v>
      </c>
      <c r="D41" s="88">
        <f t="shared" si="0"/>
        <v>7500000</v>
      </c>
    </row>
    <row r="42" spans="1:4" ht="18" hidden="1" x14ac:dyDescent="0.3">
      <c r="A42" s="63" t="s">
        <v>41</v>
      </c>
      <c r="B42" s="87"/>
      <c r="C42" s="87"/>
      <c r="D42" s="88">
        <f t="shared" si="0"/>
        <v>0</v>
      </c>
    </row>
    <row r="43" spans="1:4" ht="18" x14ac:dyDescent="0.3">
      <c r="A43" s="63" t="s">
        <v>42</v>
      </c>
      <c r="B43" s="87">
        <v>80</v>
      </c>
      <c r="C43" s="87">
        <v>17000</v>
      </c>
      <c r="D43" s="88">
        <f t="shared" si="0"/>
        <v>1360000</v>
      </c>
    </row>
    <row r="44" spans="1:4" ht="18" hidden="1" x14ac:dyDescent="0.3">
      <c r="A44" s="63" t="s">
        <v>43</v>
      </c>
      <c r="B44" s="87"/>
      <c r="C44" s="87"/>
      <c r="D44" s="88">
        <f t="shared" si="0"/>
        <v>0</v>
      </c>
    </row>
    <row r="45" spans="1:4" ht="18" hidden="1" x14ac:dyDescent="0.3">
      <c r="A45" s="63" t="s">
        <v>44</v>
      </c>
      <c r="B45" s="87"/>
      <c r="C45" s="87"/>
      <c r="D45" s="88">
        <f t="shared" si="0"/>
        <v>0</v>
      </c>
    </row>
    <row r="46" spans="1:4" ht="18" hidden="1" x14ac:dyDescent="0.3">
      <c r="A46" s="67" t="s">
        <v>46</v>
      </c>
      <c r="B46" s="87"/>
      <c r="C46" s="87"/>
      <c r="D46" s="88">
        <f t="shared" si="0"/>
        <v>0</v>
      </c>
    </row>
    <row r="47" spans="1:4" ht="18" hidden="1" x14ac:dyDescent="0.3">
      <c r="A47" s="65" t="s">
        <v>47</v>
      </c>
      <c r="B47" s="87"/>
      <c r="C47" s="87"/>
      <c r="D47" s="88">
        <f t="shared" si="0"/>
        <v>0</v>
      </c>
    </row>
    <row r="48" spans="1:4" ht="18" hidden="1" x14ac:dyDescent="0.3">
      <c r="A48" s="61" t="s">
        <v>300</v>
      </c>
      <c r="B48" s="87"/>
      <c r="C48" s="87"/>
      <c r="D48" s="88">
        <f t="shared" si="0"/>
        <v>0</v>
      </c>
    </row>
    <row r="49" spans="1:4" ht="18" hidden="1" x14ac:dyDescent="0.3">
      <c r="A49" s="63" t="s">
        <v>48</v>
      </c>
      <c r="B49" s="87"/>
      <c r="C49" s="87"/>
      <c r="D49" s="88">
        <f t="shared" si="0"/>
        <v>0</v>
      </c>
    </row>
    <row r="50" spans="1:4" ht="18" hidden="1" x14ac:dyDescent="0.3">
      <c r="A50" s="63" t="s">
        <v>49</v>
      </c>
      <c r="B50" s="87"/>
      <c r="C50" s="87"/>
      <c r="D50" s="88">
        <f t="shared" si="0"/>
        <v>0</v>
      </c>
    </row>
    <row r="51" spans="1:4" ht="18" hidden="1" x14ac:dyDescent="0.3">
      <c r="A51" s="63" t="s">
        <v>50</v>
      </c>
      <c r="B51" s="87"/>
      <c r="C51" s="87"/>
      <c r="D51" s="88">
        <f t="shared" si="0"/>
        <v>0</v>
      </c>
    </row>
    <row r="52" spans="1:4" ht="18" hidden="1" x14ac:dyDescent="0.3">
      <c r="A52" s="60" t="s">
        <v>51</v>
      </c>
      <c r="B52" s="87"/>
      <c r="C52" s="87"/>
      <c r="D52" s="88">
        <f t="shared" si="0"/>
        <v>0</v>
      </c>
    </row>
    <row r="53" spans="1:4" ht="18" x14ac:dyDescent="0.3">
      <c r="A53" s="63" t="s">
        <v>52</v>
      </c>
      <c r="B53" s="87">
        <v>20</v>
      </c>
      <c r="C53" s="87">
        <v>6000</v>
      </c>
      <c r="D53" s="88">
        <f t="shared" si="0"/>
        <v>120000</v>
      </c>
    </row>
    <row r="54" spans="1:4" ht="18" hidden="1" x14ac:dyDescent="0.3">
      <c r="A54" s="68" t="s">
        <v>53</v>
      </c>
      <c r="B54" s="87"/>
      <c r="C54" s="87"/>
      <c r="D54" s="88">
        <f t="shared" si="0"/>
        <v>0</v>
      </c>
    </row>
    <row r="55" spans="1:4" ht="18" hidden="1" x14ac:dyDescent="0.3">
      <c r="A55" s="63" t="s">
        <v>54</v>
      </c>
      <c r="B55" s="87"/>
      <c r="C55" s="87"/>
      <c r="D55" s="88">
        <f t="shared" si="0"/>
        <v>0</v>
      </c>
    </row>
    <row r="56" spans="1:4" ht="18" hidden="1" x14ac:dyDescent="0.3">
      <c r="A56" s="17" t="s">
        <v>55</v>
      </c>
      <c r="B56" s="87"/>
      <c r="C56" s="87"/>
      <c r="D56" s="88">
        <f t="shared" si="0"/>
        <v>0</v>
      </c>
    </row>
    <row r="57" spans="1:4" ht="18" hidden="1" x14ac:dyDescent="0.3">
      <c r="A57" s="63" t="s">
        <v>56</v>
      </c>
      <c r="B57" s="87"/>
      <c r="C57" s="87"/>
      <c r="D57" s="88">
        <f t="shared" si="0"/>
        <v>0</v>
      </c>
    </row>
    <row r="58" spans="1:4" ht="18" x14ac:dyDescent="0.3">
      <c r="A58" s="63" t="s">
        <v>57</v>
      </c>
      <c r="B58" s="87">
        <v>2</v>
      </c>
      <c r="C58" s="87">
        <v>7000</v>
      </c>
      <c r="D58" s="88">
        <f t="shared" si="0"/>
        <v>14000</v>
      </c>
    </row>
    <row r="59" spans="1:4" ht="18" hidden="1" x14ac:dyDescent="0.3">
      <c r="A59" s="67" t="s">
        <v>58</v>
      </c>
      <c r="B59" s="87"/>
      <c r="C59" s="87"/>
      <c r="D59" s="88">
        <f t="shared" si="0"/>
        <v>0</v>
      </c>
    </row>
    <row r="60" spans="1:4" ht="18" hidden="1" x14ac:dyDescent="0.3">
      <c r="A60" s="60" t="s">
        <v>59</v>
      </c>
      <c r="B60" s="87"/>
      <c r="C60" s="87"/>
      <c r="D60" s="88">
        <f t="shared" si="0"/>
        <v>0</v>
      </c>
    </row>
    <row r="61" spans="1:4" ht="18" hidden="1" x14ac:dyDescent="0.3">
      <c r="A61" s="60" t="s">
        <v>60</v>
      </c>
      <c r="B61" s="87"/>
      <c r="C61" s="87"/>
      <c r="D61" s="88">
        <f t="shared" si="0"/>
        <v>0</v>
      </c>
    </row>
    <row r="62" spans="1:4" ht="18" hidden="1" x14ac:dyDescent="0.3">
      <c r="A62" s="63" t="s">
        <v>61</v>
      </c>
      <c r="B62" s="87"/>
      <c r="C62" s="87"/>
      <c r="D62" s="88">
        <f t="shared" si="0"/>
        <v>0</v>
      </c>
    </row>
    <row r="63" spans="1:4" ht="18" x14ac:dyDescent="0.3">
      <c r="A63" s="69" t="s">
        <v>62</v>
      </c>
      <c r="B63" s="90">
        <v>17</v>
      </c>
      <c r="C63" s="90">
        <v>19000</v>
      </c>
      <c r="D63" s="88">
        <f t="shared" si="0"/>
        <v>323000</v>
      </c>
    </row>
    <row r="64" spans="1:4" ht="18" hidden="1" x14ac:dyDescent="0.3">
      <c r="A64" s="63" t="s">
        <v>63</v>
      </c>
      <c r="B64" s="87"/>
      <c r="C64" s="87"/>
      <c r="D64" s="88">
        <f t="shared" si="0"/>
        <v>0</v>
      </c>
    </row>
    <row r="65" spans="1:4" ht="18" hidden="1" x14ac:dyDescent="0.3">
      <c r="A65" s="60" t="s">
        <v>64</v>
      </c>
      <c r="B65" s="87"/>
      <c r="C65" s="87"/>
      <c r="D65" s="88">
        <f t="shared" si="0"/>
        <v>0</v>
      </c>
    </row>
    <row r="66" spans="1:4" ht="18" hidden="1" x14ac:dyDescent="0.3">
      <c r="A66" s="60" t="s">
        <v>65</v>
      </c>
      <c r="B66" s="87"/>
      <c r="C66" s="87"/>
      <c r="D66" s="88">
        <f t="shared" si="0"/>
        <v>0</v>
      </c>
    </row>
    <row r="67" spans="1:4" ht="18" hidden="1" x14ac:dyDescent="0.3">
      <c r="A67" s="63" t="s">
        <v>66</v>
      </c>
      <c r="B67" s="87"/>
      <c r="C67" s="87"/>
      <c r="D67" s="88">
        <f t="shared" si="0"/>
        <v>0</v>
      </c>
    </row>
    <row r="68" spans="1:4" ht="18" x14ac:dyDescent="0.3">
      <c r="A68" s="60" t="s">
        <v>67</v>
      </c>
      <c r="B68" s="87">
        <f>390+200+150+60</f>
        <v>800</v>
      </c>
      <c r="C68" s="87">
        <v>26000</v>
      </c>
      <c r="D68" s="88">
        <f t="shared" ref="D68:D131" si="1">B68*C68</f>
        <v>20800000</v>
      </c>
    </row>
    <row r="69" spans="1:4" ht="18" hidden="1" x14ac:dyDescent="0.3">
      <c r="A69" s="63" t="s">
        <v>68</v>
      </c>
      <c r="B69" s="87"/>
      <c r="C69" s="87"/>
      <c r="D69" s="88">
        <f t="shared" si="1"/>
        <v>0</v>
      </c>
    </row>
    <row r="70" spans="1:4" ht="18" hidden="1" x14ac:dyDescent="0.3">
      <c r="A70" s="63" t="s">
        <v>69</v>
      </c>
      <c r="B70" s="87"/>
      <c r="C70" s="87"/>
      <c r="D70" s="88">
        <f t="shared" si="1"/>
        <v>0</v>
      </c>
    </row>
    <row r="71" spans="1:4" ht="18" hidden="1" x14ac:dyDescent="0.3">
      <c r="A71" s="63" t="s">
        <v>70</v>
      </c>
      <c r="B71" s="87"/>
      <c r="C71" s="87"/>
      <c r="D71" s="88">
        <f t="shared" si="1"/>
        <v>0</v>
      </c>
    </row>
    <row r="72" spans="1:4" ht="18" hidden="1" x14ac:dyDescent="0.3">
      <c r="A72" s="63" t="s">
        <v>71</v>
      </c>
      <c r="B72" s="87"/>
      <c r="C72" s="87"/>
      <c r="D72" s="88">
        <f t="shared" si="1"/>
        <v>0</v>
      </c>
    </row>
    <row r="73" spans="1:4" ht="18" hidden="1" x14ac:dyDescent="0.3">
      <c r="A73" s="70" t="s">
        <v>72</v>
      </c>
      <c r="B73" s="87"/>
      <c r="C73" s="87"/>
      <c r="D73" s="88">
        <f t="shared" si="1"/>
        <v>0</v>
      </c>
    </row>
    <row r="74" spans="1:4" ht="18" hidden="1" x14ac:dyDescent="0.3">
      <c r="A74" s="71" t="s">
        <v>73</v>
      </c>
      <c r="B74" s="87"/>
      <c r="C74" s="87"/>
      <c r="D74" s="88">
        <f t="shared" si="1"/>
        <v>0</v>
      </c>
    </row>
    <row r="75" spans="1:4" ht="18" hidden="1" x14ac:dyDescent="0.3">
      <c r="A75" s="70" t="s">
        <v>74</v>
      </c>
      <c r="B75" s="87"/>
      <c r="C75" s="87"/>
      <c r="D75" s="88">
        <f t="shared" si="1"/>
        <v>0</v>
      </c>
    </row>
    <row r="76" spans="1:4" ht="18" hidden="1" x14ac:dyDescent="0.3">
      <c r="A76" s="68" t="s">
        <v>75</v>
      </c>
      <c r="B76" s="87"/>
      <c r="C76" s="87"/>
      <c r="D76" s="88">
        <f t="shared" si="1"/>
        <v>0</v>
      </c>
    </row>
    <row r="77" spans="1:4" ht="18" hidden="1" x14ac:dyDescent="0.3">
      <c r="A77" s="72" t="s">
        <v>76</v>
      </c>
      <c r="B77" s="87"/>
      <c r="C77" s="87"/>
      <c r="D77" s="88">
        <f t="shared" si="1"/>
        <v>0</v>
      </c>
    </row>
    <row r="78" spans="1:4" ht="18" hidden="1" x14ac:dyDescent="0.3">
      <c r="A78" s="72" t="s">
        <v>77</v>
      </c>
      <c r="B78" s="87"/>
      <c r="C78" s="87"/>
      <c r="D78" s="88">
        <f t="shared" si="1"/>
        <v>0</v>
      </c>
    </row>
    <row r="79" spans="1:4" ht="18" hidden="1" x14ac:dyDescent="0.3">
      <c r="A79" s="22" t="s">
        <v>78</v>
      </c>
      <c r="B79" s="87"/>
      <c r="C79" s="87"/>
      <c r="D79" s="88">
        <f t="shared" si="1"/>
        <v>0</v>
      </c>
    </row>
    <row r="80" spans="1:4" ht="18" hidden="1" x14ac:dyDescent="0.3">
      <c r="A80" s="72" t="s">
        <v>79</v>
      </c>
      <c r="B80" s="87"/>
      <c r="C80" s="87"/>
      <c r="D80" s="88">
        <f t="shared" si="1"/>
        <v>0</v>
      </c>
    </row>
    <row r="81" spans="1:4" ht="18" hidden="1" x14ac:dyDescent="0.3">
      <c r="A81" s="63" t="s">
        <v>80</v>
      </c>
      <c r="B81" s="91"/>
      <c r="C81" s="91"/>
      <c r="D81" s="88">
        <f t="shared" si="1"/>
        <v>0</v>
      </c>
    </row>
    <row r="82" spans="1:4" ht="18" x14ac:dyDescent="0.3">
      <c r="A82" s="63" t="s">
        <v>81</v>
      </c>
      <c r="B82" s="87">
        <v>18</v>
      </c>
      <c r="C82" s="87">
        <v>15000</v>
      </c>
      <c r="D82" s="88">
        <f t="shared" si="1"/>
        <v>270000</v>
      </c>
    </row>
    <row r="83" spans="1:4" ht="18" hidden="1" x14ac:dyDescent="0.3">
      <c r="A83" s="63" t="s">
        <v>82</v>
      </c>
      <c r="B83" s="87"/>
      <c r="C83" s="87"/>
      <c r="D83" s="88">
        <f t="shared" si="1"/>
        <v>0</v>
      </c>
    </row>
    <row r="84" spans="1:4" ht="18" hidden="1" x14ac:dyDescent="0.3">
      <c r="A84" s="63" t="s">
        <v>83</v>
      </c>
      <c r="B84" s="87"/>
      <c r="C84" s="87"/>
      <c r="D84" s="88">
        <f t="shared" si="1"/>
        <v>0</v>
      </c>
    </row>
    <row r="85" spans="1:4" ht="18" hidden="1" x14ac:dyDescent="0.3">
      <c r="A85" s="63" t="s">
        <v>84</v>
      </c>
      <c r="B85" s="87"/>
      <c r="C85" s="87"/>
      <c r="D85" s="88">
        <f t="shared" si="1"/>
        <v>0</v>
      </c>
    </row>
    <row r="86" spans="1:4" ht="18" hidden="1" x14ac:dyDescent="0.3">
      <c r="A86" s="63" t="s">
        <v>85</v>
      </c>
      <c r="B86" s="87"/>
      <c r="C86" s="87"/>
      <c r="D86" s="88">
        <f t="shared" si="1"/>
        <v>0</v>
      </c>
    </row>
    <row r="87" spans="1:4" ht="18" hidden="1" x14ac:dyDescent="0.3">
      <c r="A87" s="63" t="s">
        <v>86</v>
      </c>
      <c r="B87" s="87"/>
      <c r="C87" s="87"/>
      <c r="D87" s="88">
        <f t="shared" si="1"/>
        <v>0</v>
      </c>
    </row>
    <row r="88" spans="1:4" ht="18" hidden="1" x14ac:dyDescent="0.3">
      <c r="A88" s="73" t="s">
        <v>87</v>
      </c>
      <c r="B88" s="87"/>
      <c r="C88" s="87"/>
      <c r="D88" s="88">
        <f t="shared" si="1"/>
        <v>0</v>
      </c>
    </row>
    <row r="89" spans="1:4" ht="18" hidden="1" x14ac:dyDescent="0.3">
      <c r="A89" s="63" t="s">
        <v>88</v>
      </c>
      <c r="B89" s="87"/>
      <c r="C89" s="87"/>
      <c r="D89" s="88">
        <f t="shared" si="1"/>
        <v>0</v>
      </c>
    </row>
    <row r="90" spans="1:4" ht="18" hidden="1" x14ac:dyDescent="0.3">
      <c r="A90" s="63" t="s">
        <v>89</v>
      </c>
      <c r="B90" s="87"/>
      <c r="C90" s="87"/>
      <c r="D90" s="88">
        <f t="shared" si="1"/>
        <v>0</v>
      </c>
    </row>
    <row r="91" spans="1:4" ht="18" hidden="1" x14ac:dyDescent="0.3">
      <c r="A91" s="63" t="s">
        <v>90</v>
      </c>
      <c r="B91" s="89"/>
      <c r="C91" s="87"/>
      <c r="D91" s="88">
        <f t="shared" si="1"/>
        <v>0</v>
      </c>
    </row>
    <row r="92" spans="1:4" ht="18" hidden="1" x14ac:dyDescent="0.3">
      <c r="A92" s="74" t="s">
        <v>91</v>
      </c>
      <c r="B92" s="87"/>
      <c r="C92" s="87"/>
      <c r="D92" s="88">
        <f t="shared" si="1"/>
        <v>0</v>
      </c>
    </row>
    <row r="93" spans="1:4" ht="18" x14ac:dyDescent="0.3">
      <c r="A93" s="60" t="s">
        <v>93</v>
      </c>
      <c r="B93" s="87">
        <v>0.8</v>
      </c>
      <c r="C93" s="87">
        <v>35000</v>
      </c>
      <c r="D93" s="88">
        <f t="shared" si="1"/>
        <v>28000</v>
      </c>
    </row>
    <row r="94" spans="1:4" ht="18" hidden="1" x14ac:dyDescent="0.3">
      <c r="A94" s="65" t="s">
        <v>94</v>
      </c>
      <c r="B94" s="87"/>
      <c r="C94" s="87"/>
      <c r="D94" s="88">
        <f t="shared" si="1"/>
        <v>0</v>
      </c>
    </row>
    <row r="95" spans="1:4" ht="18" hidden="1" x14ac:dyDescent="0.3">
      <c r="A95" s="60" t="s">
        <v>95</v>
      </c>
      <c r="B95" s="87"/>
      <c r="C95" s="87"/>
      <c r="D95" s="88">
        <f t="shared" si="1"/>
        <v>0</v>
      </c>
    </row>
    <row r="96" spans="1:4" ht="18" hidden="1" x14ac:dyDescent="0.3">
      <c r="A96" s="63" t="s">
        <v>96</v>
      </c>
      <c r="B96" s="87"/>
      <c r="C96" s="87"/>
      <c r="D96" s="88">
        <f t="shared" si="1"/>
        <v>0</v>
      </c>
    </row>
    <row r="97" spans="1:4" ht="18" hidden="1" x14ac:dyDescent="0.3">
      <c r="A97" s="75" t="s">
        <v>97</v>
      </c>
      <c r="B97" s="87"/>
      <c r="C97" s="87"/>
      <c r="D97" s="88">
        <f t="shared" si="1"/>
        <v>0</v>
      </c>
    </row>
    <row r="98" spans="1:4" ht="18" hidden="1" x14ac:dyDescent="0.3">
      <c r="A98" s="76" t="s">
        <v>98</v>
      </c>
      <c r="B98" s="87"/>
      <c r="C98" s="87"/>
      <c r="D98" s="88">
        <f t="shared" si="1"/>
        <v>0</v>
      </c>
    </row>
    <row r="99" spans="1:4" ht="18" hidden="1" x14ac:dyDescent="0.3">
      <c r="A99" s="76" t="s">
        <v>99</v>
      </c>
      <c r="B99" s="87"/>
      <c r="C99" s="87"/>
      <c r="D99" s="88">
        <f t="shared" si="1"/>
        <v>0</v>
      </c>
    </row>
    <row r="100" spans="1:4" ht="18" hidden="1" x14ac:dyDescent="0.3">
      <c r="A100" s="14" t="s">
        <v>100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101</v>
      </c>
      <c r="B101" s="87"/>
      <c r="C101" s="87"/>
      <c r="D101" s="88">
        <f t="shared" si="1"/>
        <v>0</v>
      </c>
    </row>
    <row r="102" spans="1:4" ht="18" hidden="1" x14ac:dyDescent="0.3">
      <c r="A102" s="63" t="s">
        <v>102</v>
      </c>
      <c r="B102" s="89"/>
      <c r="C102" s="89"/>
      <c r="D102" s="88">
        <f t="shared" si="1"/>
        <v>0</v>
      </c>
    </row>
    <row r="103" spans="1:4" ht="18" hidden="1" x14ac:dyDescent="0.3">
      <c r="A103" s="63" t="s">
        <v>103</v>
      </c>
      <c r="B103" s="89"/>
      <c r="C103" s="89"/>
      <c r="D103" s="88">
        <f t="shared" si="1"/>
        <v>0</v>
      </c>
    </row>
    <row r="104" spans="1:4" ht="18" hidden="1" x14ac:dyDescent="0.3">
      <c r="A104" s="63" t="s">
        <v>104</v>
      </c>
      <c r="B104" s="89"/>
      <c r="C104" s="89"/>
      <c r="D104" s="88">
        <f t="shared" si="1"/>
        <v>0</v>
      </c>
    </row>
    <row r="105" spans="1:4" ht="18" hidden="1" x14ac:dyDescent="0.3">
      <c r="A105" s="63" t="s">
        <v>105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106</v>
      </c>
      <c r="B106" s="89"/>
      <c r="C106" s="89"/>
      <c r="D106" s="88">
        <f t="shared" si="1"/>
        <v>0</v>
      </c>
    </row>
    <row r="107" spans="1:4" ht="18" x14ac:dyDescent="0.3">
      <c r="A107" s="63" t="s">
        <v>107</v>
      </c>
      <c r="B107" s="89">
        <v>2</v>
      </c>
      <c r="C107" s="89">
        <v>20000</v>
      </c>
      <c r="D107" s="88">
        <f t="shared" si="1"/>
        <v>40000</v>
      </c>
    </row>
    <row r="108" spans="1:4" ht="18" hidden="1" x14ac:dyDescent="0.3">
      <c r="A108" s="63" t="s">
        <v>108</v>
      </c>
      <c r="B108" s="89"/>
      <c r="C108" s="89"/>
      <c r="D108" s="88">
        <f t="shared" si="1"/>
        <v>0</v>
      </c>
    </row>
    <row r="109" spans="1:4" ht="18" hidden="1" x14ac:dyDescent="0.3">
      <c r="A109" s="63" t="s">
        <v>109</v>
      </c>
      <c r="B109" s="89"/>
      <c r="C109" s="89"/>
      <c r="D109" s="88">
        <f t="shared" si="1"/>
        <v>0</v>
      </c>
    </row>
    <row r="110" spans="1:4" ht="18" x14ac:dyDescent="0.3">
      <c r="A110" s="63" t="s">
        <v>110</v>
      </c>
      <c r="B110" s="89">
        <v>2</v>
      </c>
      <c r="C110" s="89">
        <v>17500</v>
      </c>
      <c r="D110" s="88">
        <f t="shared" si="1"/>
        <v>35000</v>
      </c>
    </row>
    <row r="111" spans="1:4" ht="18" hidden="1" x14ac:dyDescent="0.3">
      <c r="A111" s="63" t="s">
        <v>111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112</v>
      </c>
      <c r="B112" s="89"/>
      <c r="C112" s="89"/>
      <c r="D112" s="88">
        <f t="shared" si="1"/>
        <v>0</v>
      </c>
    </row>
    <row r="113" spans="1:4" ht="18" x14ac:dyDescent="0.3">
      <c r="A113" s="60" t="s">
        <v>113</v>
      </c>
      <c r="B113" s="87">
        <f>260+15</f>
        <v>275</v>
      </c>
      <c r="C113" s="87">
        <v>21000</v>
      </c>
      <c r="D113" s="88">
        <f t="shared" si="1"/>
        <v>5775000</v>
      </c>
    </row>
    <row r="114" spans="1:4" ht="18" hidden="1" x14ac:dyDescent="0.3">
      <c r="A114" s="63" t="s">
        <v>114</v>
      </c>
      <c r="B114" s="87"/>
      <c r="C114" s="87"/>
      <c r="D114" s="88">
        <f t="shared" si="1"/>
        <v>0</v>
      </c>
    </row>
    <row r="115" spans="1:4" ht="18" hidden="1" x14ac:dyDescent="0.3">
      <c r="A115" s="63" t="s">
        <v>115</v>
      </c>
      <c r="B115" s="87"/>
      <c r="C115" s="87"/>
      <c r="D115" s="88">
        <f t="shared" si="1"/>
        <v>0</v>
      </c>
    </row>
    <row r="116" spans="1:4" ht="18" hidden="1" x14ac:dyDescent="0.3">
      <c r="A116" s="60" t="s">
        <v>116</v>
      </c>
      <c r="B116" s="87"/>
      <c r="C116" s="87"/>
      <c r="D116" s="88">
        <f t="shared" si="1"/>
        <v>0</v>
      </c>
    </row>
    <row r="117" spans="1:4" ht="18" hidden="1" x14ac:dyDescent="0.3">
      <c r="A117" s="63" t="s">
        <v>117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118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119</v>
      </c>
      <c r="B119" s="87"/>
      <c r="C119" s="87"/>
      <c r="D119" s="88">
        <f t="shared" si="1"/>
        <v>0</v>
      </c>
    </row>
    <row r="120" spans="1:4" ht="18" x14ac:dyDescent="0.3">
      <c r="A120" s="63" t="s">
        <v>120</v>
      </c>
      <c r="B120" s="87">
        <f>75+420+555</f>
        <v>1050</v>
      </c>
      <c r="C120" s="87">
        <v>5000</v>
      </c>
      <c r="D120" s="88">
        <f t="shared" si="1"/>
        <v>5250000</v>
      </c>
    </row>
    <row r="121" spans="1:4" ht="18" hidden="1" x14ac:dyDescent="0.3">
      <c r="A121" s="63" t="s">
        <v>121</v>
      </c>
      <c r="B121" s="87"/>
      <c r="C121" s="87"/>
      <c r="D121" s="88">
        <f t="shared" si="1"/>
        <v>0</v>
      </c>
    </row>
    <row r="122" spans="1:4" ht="18" hidden="1" x14ac:dyDescent="0.3">
      <c r="A122" s="61" t="s">
        <v>122</v>
      </c>
      <c r="B122" s="87"/>
      <c r="C122" s="87"/>
      <c r="D122" s="88">
        <f t="shared" si="1"/>
        <v>0</v>
      </c>
    </row>
    <row r="123" spans="1:4" ht="18" hidden="1" x14ac:dyDescent="0.3">
      <c r="A123" s="74" t="s">
        <v>123</v>
      </c>
      <c r="B123" s="87"/>
      <c r="C123" s="87"/>
      <c r="D123" s="88">
        <f t="shared" si="1"/>
        <v>0</v>
      </c>
    </row>
    <row r="124" spans="1:4" ht="78" hidden="1" x14ac:dyDescent="0.3">
      <c r="A124" s="77" t="s">
        <v>124</v>
      </c>
      <c r="B124" s="87"/>
      <c r="C124" s="87"/>
      <c r="D124" s="88">
        <f t="shared" si="1"/>
        <v>0</v>
      </c>
    </row>
    <row r="125" spans="1:4" ht="18" x14ac:dyDescent="0.3">
      <c r="A125" s="72" t="s">
        <v>125</v>
      </c>
      <c r="B125" s="87">
        <v>2</v>
      </c>
      <c r="C125" s="87">
        <v>11000</v>
      </c>
      <c r="D125" s="88">
        <f t="shared" si="1"/>
        <v>22000</v>
      </c>
    </row>
    <row r="126" spans="1:4" ht="18" hidden="1" x14ac:dyDescent="0.3">
      <c r="A126" s="60" t="s">
        <v>126</v>
      </c>
      <c r="B126" s="89"/>
      <c r="C126" s="89"/>
      <c r="D126" s="88">
        <f t="shared" si="1"/>
        <v>0</v>
      </c>
    </row>
    <row r="127" spans="1:4" ht="18" hidden="1" x14ac:dyDescent="0.3">
      <c r="A127" s="60" t="s">
        <v>127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128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129</v>
      </c>
      <c r="B129" s="92"/>
      <c r="C129" s="92"/>
      <c r="D129" s="88">
        <f t="shared" si="1"/>
        <v>0</v>
      </c>
    </row>
    <row r="130" spans="1:4" ht="18" hidden="1" x14ac:dyDescent="0.3">
      <c r="A130" s="63" t="s">
        <v>130</v>
      </c>
      <c r="B130" s="89"/>
      <c r="C130" s="89"/>
      <c r="D130" s="88">
        <f t="shared" si="1"/>
        <v>0</v>
      </c>
    </row>
    <row r="131" spans="1:4" ht="18" hidden="1" x14ac:dyDescent="0.3">
      <c r="A131" s="63" t="s">
        <v>131</v>
      </c>
      <c r="B131" s="89"/>
      <c r="C131" s="89"/>
      <c r="D131" s="88">
        <f t="shared" si="1"/>
        <v>0</v>
      </c>
    </row>
    <row r="132" spans="1:4" ht="18" hidden="1" x14ac:dyDescent="0.3">
      <c r="A132" s="65" t="s">
        <v>132</v>
      </c>
      <c r="B132" s="87"/>
      <c r="C132" s="87"/>
      <c r="D132" s="88">
        <f t="shared" ref="D132:D195" si="2">B132*C132</f>
        <v>0</v>
      </c>
    </row>
    <row r="133" spans="1:4" ht="18" hidden="1" x14ac:dyDescent="0.3">
      <c r="A133" s="65" t="s">
        <v>133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134</v>
      </c>
      <c r="B134" s="87"/>
      <c r="C134" s="87"/>
      <c r="D134" s="88">
        <f t="shared" si="2"/>
        <v>0</v>
      </c>
    </row>
    <row r="135" spans="1:4" ht="18" hidden="1" x14ac:dyDescent="0.3">
      <c r="A135" s="63" t="s">
        <v>135</v>
      </c>
      <c r="B135" s="87"/>
      <c r="C135" s="87"/>
      <c r="D135" s="88">
        <f t="shared" si="2"/>
        <v>0</v>
      </c>
    </row>
    <row r="136" spans="1:4" ht="18" hidden="1" x14ac:dyDescent="0.3">
      <c r="A136" s="65" t="s">
        <v>136</v>
      </c>
      <c r="B136" s="87"/>
      <c r="C136" s="87"/>
      <c r="D136" s="88">
        <f t="shared" si="2"/>
        <v>0</v>
      </c>
    </row>
    <row r="137" spans="1:4" ht="18" hidden="1" x14ac:dyDescent="0.3">
      <c r="A137" s="63" t="s">
        <v>137</v>
      </c>
      <c r="B137" s="89"/>
      <c r="C137" s="89"/>
      <c r="D137" s="88">
        <f t="shared" si="2"/>
        <v>0</v>
      </c>
    </row>
    <row r="138" spans="1:4" ht="18" hidden="1" x14ac:dyDescent="0.3">
      <c r="A138" s="60" t="s">
        <v>138</v>
      </c>
      <c r="B138" s="89"/>
      <c r="C138" s="89"/>
      <c r="D138" s="88">
        <f t="shared" si="2"/>
        <v>0</v>
      </c>
    </row>
    <row r="139" spans="1:4" ht="18" hidden="1" x14ac:dyDescent="0.3">
      <c r="A139" s="63" t="s">
        <v>139</v>
      </c>
      <c r="B139" s="87"/>
      <c r="C139" s="87"/>
      <c r="D139" s="88">
        <f t="shared" si="2"/>
        <v>0</v>
      </c>
    </row>
    <row r="140" spans="1:4" ht="18" hidden="1" x14ac:dyDescent="0.3">
      <c r="A140" s="72" t="s">
        <v>140</v>
      </c>
      <c r="B140" s="87"/>
      <c r="C140" s="87"/>
      <c r="D140" s="88">
        <f t="shared" si="2"/>
        <v>0</v>
      </c>
    </row>
    <row r="141" spans="1:4" ht="18" hidden="1" x14ac:dyDescent="0.3">
      <c r="A141" s="60" t="s">
        <v>141</v>
      </c>
      <c r="B141" s="87"/>
      <c r="C141" s="87"/>
      <c r="D141" s="88">
        <f t="shared" si="2"/>
        <v>0</v>
      </c>
    </row>
    <row r="142" spans="1:4" ht="18" x14ac:dyDescent="0.3">
      <c r="A142" s="63" t="s">
        <v>142</v>
      </c>
      <c r="B142" s="87">
        <f>10+40+90+140+40+320</f>
        <v>640</v>
      </c>
      <c r="C142" s="87">
        <v>25000</v>
      </c>
      <c r="D142" s="88">
        <f t="shared" si="2"/>
        <v>16000000</v>
      </c>
    </row>
    <row r="143" spans="1:4" ht="18" x14ac:dyDescent="0.3">
      <c r="A143" s="73" t="s">
        <v>143</v>
      </c>
      <c r="B143" s="87">
        <v>70</v>
      </c>
      <c r="C143" s="87">
        <v>18000</v>
      </c>
      <c r="D143" s="88">
        <f t="shared" si="2"/>
        <v>1260000</v>
      </c>
    </row>
    <row r="144" spans="1:4" ht="18" hidden="1" x14ac:dyDescent="0.3">
      <c r="A144" s="73" t="s">
        <v>144</v>
      </c>
      <c r="B144" s="87"/>
      <c r="C144" s="87"/>
      <c r="D144" s="88">
        <f t="shared" si="2"/>
        <v>0</v>
      </c>
    </row>
    <row r="145" spans="1:4" ht="18" hidden="1" x14ac:dyDescent="0.3">
      <c r="A145" s="63" t="s">
        <v>145</v>
      </c>
      <c r="B145" s="87"/>
      <c r="C145" s="87"/>
      <c r="D145" s="88">
        <f t="shared" si="2"/>
        <v>0</v>
      </c>
    </row>
    <row r="146" spans="1:4" ht="18" hidden="1" x14ac:dyDescent="0.3">
      <c r="A146" s="63" t="s">
        <v>146</v>
      </c>
      <c r="B146" s="87"/>
      <c r="C146" s="87"/>
      <c r="D146" s="88">
        <f t="shared" si="2"/>
        <v>0</v>
      </c>
    </row>
    <row r="147" spans="1:4" ht="18" hidden="1" x14ac:dyDescent="0.3">
      <c r="A147" s="63" t="s">
        <v>147</v>
      </c>
      <c r="B147" s="87"/>
      <c r="C147" s="87"/>
      <c r="D147" s="88">
        <f t="shared" si="2"/>
        <v>0</v>
      </c>
    </row>
    <row r="148" spans="1:4" ht="18" hidden="1" x14ac:dyDescent="0.3">
      <c r="A148" s="68" t="s">
        <v>148</v>
      </c>
      <c r="B148" s="87"/>
      <c r="C148" s="87"/>
      <c r="D148" s="88">
        <f t="shared" si="2"/>
        <v>0</v>
      </c>
    </row>
    <row r="149" spans="1:4" ht="18" hidden="1" x14ac:dyDescent="0.3">
      <c r="A149" s="68" t="s">
        <v>149</v>
      </c>
      <c r="B149" s="87"/>
      <c r="C149" s="87"/>
      <c r="D149" s="88">
        <f t="shared" si="2"/>
        <v>0</v>
      </c>
    </row>
    <row r="150" spans="1:4" ht="18" hidden="1" x14ac:dyDescent="0.3">
      <c r="A150" s="63" t="s">
        <v>150</v>
      </c>
      <c r="B150" s="87"/>
      <c r="C150" s="87"/>
      <c r="D150" s="88">
        <f t="shared" si="2"/>
        <v>0</v>
      </c>
    </row>
    <row r="151" spans="1:4" ht="18" hidden="1" x14ac:dyDescent="0.3">
      <c r="A151" s="61" t="s">
        <v>151</v>
      </c>
      <c r="B151" s="87"/>
      <c r="C151" s="87"/>
      <c r="D151" s="88">
        <f t="shared" si="2"/>
        <v>0</v>
      </c>
    </row>
    <row r="152" spans="1:4" ht="18" x14ac:dyDescent="0.3">
      <c r="A152" s="67" t="s">
        <v>152</v>
      </c>
      <c r="B152" s="87">
        <v>2</v>
      </c>
      <c r="C152" s="87">
        <v>12500</v>
      </c>
      <c r="D152" s="88">
        <f t="shared" si="2"/>
        <v>25000</v>
      </c>
    </row>
    <row r="153" spans="1:4" ht="18" hidden="1" x14ac:dyDescent="0.3">
      <c r="A153" s="63" t="s">
        <v>153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154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155</v>
      </c>
      <c r="B155" s="87"/>
      <c r="C155" s="87"/>
      <c r="D155" s="88">
        <f t="shared" si="2"/>
        <v>0</v>
      </c>
    </row>
    <row r="156" spans="1:4" ht="18" hidden="1" x14ac:dyDescent="0.3">
      <c r="A156" s="62" t="s">
        <v>156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157</v>
      </c>
      <c r="B157" s="87"/>
      <c r="C157" s="87"/>
      <c r="D157" s="88">
        <f t="shared" si="2"/>
        <v>0</v>
      </c>
    </row>
    <row r="158" spans="1:4" ht="18" hidden="1" x14ac:dyDescent="0.3">
      <c r="A158" s="63" t="s">
        <v>158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159</v>
      </c>
      <c r="B159" s="87"/>
      <c r="C159" s="87"/>
      <c r="D159" s="88">
        <f t="shared" si="2"/>
        <v>0</v>
      </c>
    </row>
    <row r="160" spans="1:4" ht="18" hidden="1" x14ac:dyDescent="0.3">
      <c r="A160" s="14" t="s">
        <v>160</v>
      </c>
      <c r="B160" s="87"/>
      <c r="C160" s="87"/>
      <c r="D160" s="88">
        <f t="shared" si="2"/>
        <v>0</v>
      </c>
    </row>
    <row r="161" spans="1:4" ht="18" hidden="1" x14ac:dyDescent="0.3">
      <c r="A161" s="63" t="s">
        <v>161</v>
      </c>
      <c r="B161" s="87"/>
      <c r="C161" s="87"/>
      <c r="D161" s="88">
        <f t="shared" si="2"/>
        <v>0</v>
      </c>
    </row>
    <row r="162" spans="1:4" ht="18" hidden="1" x14ac:dyDescent="0.3">
      <c r="A162" s="63" t="s">
        <v>162</v>
      </c>
      <c r="B162" s="87"/>
      <c r="C162" s="87"/>
      <c r="D162" s="88">
        <f t="shared" si="2"/>
        <v>0</v>
      </c>
    </row>
    <row r="163" spans="1:4" ht="18" x14ac:dyDescent="0.3">
      <c r="A163" s="63" t="s">
        <v>163</v>
      </c>
      <c r="B163" s="87">
        <v>190</v>
      </c>
      <c r="C163" s="87">
        <v>19000</v>
      </c>
      <c r="D163" s="88">
        <f t="shared" si="2"/>
        <v>3610000</v>
      </c>
    </row>
    <row r="164" spans="1:4" ht="18" hidden="1" x14ac:dyDescent="0.3">
      <c r="A164" s="74" t="s">
        <v>164</v>
      </c>
      <c r="B164" s="87"/>
      <c r="C164" s="87"/>
      <c r="D164" s="88">
        <f t="shared" si="2"/>
        <v>0</v>
      </c>
    </row>
    <row r="165" spans="1:4" ht="18" hidden="1" x14ac:dyDescent="0.3">
      <c r="A165" s="63" t="s">
        <v>319</v>
      </c>
      <c r="B165" s="87"/>
      <c r="C165" s="87"/>
      <c r="D165" s="88">
        <f t="shared" si="2"/>
        <v>0</v>
      </c>
    </row>
    <row r="166" spans="1:4" ht="18" hidden="1" x14ac:dyDescent="0.3">
      <c r="A166" s="63" t="s">
        <v>166</v>
      </c>
      <c r="B166" s="87"/>
      <c r="C166" s="87"/>
      <c r="D166" s="88">
        <f t="shared" si="2"/>
        <v>0</v>
      </c>
    </row>
    <row r="167" spans="1:4" ht="18" hidden="1" x14ac:dyDescent="0.3">
      <c r="A167" s="63" t="s">
        <v>167</v>
      </c>
      <c r="B167" s="87"/>
      <c r="C167" s="87"/>
      <c r="D167" s="88">
        <f t="shared" si="2"/>
        <v>0</v>
      </c>
    </row>
    <row r="168" spans="1:4" ht="18" hidden="1" x14ac:dyDescent="0.3">
      <c r="A168" s="74" t="s">
        <v>168</v>
      </c>
      <c r="B168" s="87"/>
      <c r="C168" s="87"/>
      <c r="D168" s="88">
        <f t="shared" si="2"/>
        <v>0</v>
      </c>
    </row>
    <row r="169" spans="1:4" ht="18" hidden="1" x14ac:dyDescent="0.3">
      <c r="A169" s="63" t="s">
        <v>169</v>
      </c>
      <c r="B169" s="87"/>
      <c r="C169" s="87"/>
      <c r="D169" s="88">
        <f t="shared" si="2"/>
        <v>0</v>
      </c>
    </row>
    <row r="170" spans="1:4" ht="18" hidden="1" x14ac:dyDescent="0.3">
      <c r="A170" s="60" t="s">
        <v>170</v>
      </c>
      <c r="B170" s="87"/>
      <c r="C170" s="87"/>
      <c r="D170" s="88">
        <f t="shared" si="2"/>
        <v>0</v>
      </c>
    </row>
    <row r="171" spans="1:4" ht="18" hidden="1" x14ac:dyDescent="0.3">
      <c r="A171" s="63" t="s">
        <v>171</v>
      </c>
      <c r="B171" s="87"/>
      <c r="C171" s="87"/>
      <c r="D171" s="88">
        <f t="shared" si="2"/>
        <v>0</v>
      </c>
    </row>
    <row r="172" spans="1:4" ht="18" hidden="1" x14ac:dyDescent="0.3">
      <c r="A172" s="13" t="s">
        <v>172</v>
      </c>
      <c r="B172" s="87"/>
      <c r="C172" s="87"/>
      <c r="D172" s="88">
        <f t="shared" si="2"/>
        <v>0</v>
      </c>
    </row>
    <row r="173" spans="1:4" ht="18" hidden="1" x14ac:dyDescent="0.3">
      <c r="A173" s="13" t="s">
        <v>173</v>
      </c>
      <c r="B173" s="87"/>
      <c r="C173" s="87"/>
      <c r="D173" s="88">
        <f t="shared" si="2"/>
        <v>0</v>
      </c>
    </row>
    <row r="174" spans="1:4" ht="18" hidden="1" x14ac:dyDescent="0.3">
      <c r="A174" s="61" t="s">
        <v>174</v>
      </c>
      <c r="B174" s="87"/>
      <c r="C174" s="87"/>
      <c r="D174" s="88">
        <f t="shared" si="2"/>
        <v>0</v>
      </c>
    </row>
    <row r="175" spans="1:4" ht="18" x14ac:dyDescent="0.3">
      <c r="A175" s="60" t="s">
        <v>175</v>
      </c>
      <c r="B175" s="87">
        <v>45</v>
      </c>
      <c r="C175" s="87">
        <v>12000</v>
      </c>
      <c r="D175" s="88">
        <f t="shared" si="2"/>
        <v>540000</v>
      </c>
    </row>
    <row r="176" spans="1:4" ht="18" x14ac:dyDescent="0.3">
      <c r="A176" s="60" t="s">
        <v>176</v>
      </c>
      <c r="B176" s="87">
        <f>200+15+60+200</f>
        <v>475</v>
      </c>
      <c r="C176" s="87">
        <v>27000</v>
      </c>
      <c r="D176" s="88">
        <f t="shared" si="2"/>
        <v>12825000</v>
      </c>
    </row>
    <row r="177" spans="1:4" ht="18" hidden="1" x14ac:dyDescent="0.3">
      <c r="A177" s="63" t="s">
        <v>177</v>
      </c>
      <c r="B177" s="87"/>
      <c r="C177" s="87"/>
      <c r="D177" s="88">
        <f t="shared" si="2"/>
        <v>0</v>
      </c>
    </row>
    <row r="178" spans="1:4" ht="18" hidden="1" x14ac:dyDescent="0.3">
      <c r="A178" s="60" t="s">
        <v>178</v>
      </c>
      <c r="B178" s="87"/>
      <c r="C178" s="87"/>
      <c r="D178" s="88">
        <f t="shared" si="2"/>
        <v>0</v>
      </c>
    </row>
    <row r="179" spans="1:4" ht="18" x14ac:dyDescent="0.3">
      <c r="A179" s="60" t="s">
        <v>179</v>
      </c>
      <c r="B179" s="87">
        <v>5</v>
      </c>
      <c r="C179" s="87">
        <v>25000</v>
      </c>
      <c r="D179" s="88">
        <f t="shared" si="2"/>
        <v>125000</v>
      </c>
    </row>
    <row r="180" spans="1:4" ht="18" hidden="1" x14ac:dyDescent="0.3">
      <c r="A180" s="60" t="s">
        <v>180</v>
      </c>
      <c r="B180" s="87"/>
      <c r="C180" s="87"/>
      <c r="D180" s="88">
        <f t="shared" si="2"/>
        <v>0</v>
      </c>
    </row>
    <row r="181" spans="1:4" ht="18" hidden="1" x14ac:dyDescent="0.3">
      <c r="A181" s="63" t="s">
        <v>181</v>
      </c>
      <c r="B181" s="87"/>
      <c r="C181" s="87"/>
      <c r="D181" s="88">
        <f t="shared" si="2"/>
        <v>0</v>
      </c>
    </row>
    <row r="182" spans="1:4" ht="18" x14ac:dyDescent="0.3">
      <c r="A182" s="63" t="s">
        <v>182</v>
      </c>
      <c r="B182" s="87">
        <f>5+25+35</f>
        <v>65</v>
      </c>
      <c r="C182" s="87">
        <v>17000</v>
      </c>
      <c r="D182" s="88">
        <f t="shared" si="2"/>
        <v>1105000</v>
      </c>
    </row>
    <row r="183" spans="1:4" ht="18" hidden="1" x14ac:dyDescent="0.3">
      <c r="A183" s="63" t="s">
        <v>183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184</v>
      </c>
      <c r="B184" s="87"/>
      <c r="C184" s="87"/>
      <c r="D184" s="88">
        <f t="shared" si="2"/>
        <v>0</v>
      </c>
    </row>
    <row r="185" spans="1:4" ht="18" hidden="1" x14ac:dyDescent="0.3">
      <c r="A185" s="63" t="s">
        <v>185</v>
      </c>
      <c r="B185" s="87"/>
      <c r="C185" s="87"/>
      <c r="D185" s="88">
        <f t="shared" si="2"/>
        <v>0</v>
      </c>
    </row>
    <row r="186" spans="1:4" ht="18" hidden="1" x14ac:dyDescent="0.3">
      <c r="A186" s="63" t="s">
        <v>186</v>
      </c>
      <c r="B186" s="87"/>
      <c r="C186" s="87"/>
      <c r="D186" s="88">
        <f t="shared" si="2"/>
        <v>0</v>
      </c>
    </row>
    <row r="187" spans="1:4" ht="18" hidden="1" x14ac:dyDescent="0.3">
      <c r="A187" s="63" t="s">
        <v>187</v>
      </c>
      <c r="B187" s="87"/>
      <c r="C187" s="87"/>
      <c r="D187" s="88">
        <f t="shared" si="2"/>
        <v>0</v>
      </c>
    </row>
    <row r="188" spans="1:4" ht="18" x14ac:dyDescent="0.3">
      <c r="A188" s="63" t="s">
        <v>188</v>
      </c>
      <c r="B188" s="87">
        <v>6</v>
      </c>
      <c r="C188" s="87">
        <v>6000</v>
      </c>
      <c r="D188" s="88">
        <f t="shared" si="2"/>
        <v>36000</v>
      </c>
    </row>
    <row r="189" spans="1:4" ht="18" hidden="1" x14ac:dyDescent="0.3">
      <c r="A189" s="64" t="s">
        <v>189</v>
      </c>
      <c r="B189" s="87"/>
      <c r="C189" s="87"/>
      <c r="D189" s="88">
        <f t="shared" si="2"/>
        <v>0</v>
      </c>
    </row>
    <row r="190" spans="1:4" ht="18" hidden="1" x14ac:dyDescent="0.3">
      <c r="A190" s="70" t="s">
        <v>190</v>
      </c>
      <c r="B190" s="87"/>
      <c r="C190" s="87"/>
      <c r="D190" s="88">
        <f t="shared" si="2"/>
        <v>0</v>
      </c>
    </row>
    <row r="191" spans="1:4" ht="18" hidden="1" x14ac:dyDescent="0.3">
      <c r="A191" s="63" t="s">
        <v>191</v>
      </c>
      <c r="B191" s="87"/>
      <c r="C191" s="87"/>
      <c r="D191" s="88">
        <f t="shared" si="2"/>
        <v>0</v>
      </c>
    </row>
    <row r="192" spans="1:4" ht="18" hidden="1" x14ac:dyDescent="0.3">
      <c r="A192" s="70" t="s">
        <v>308</v>
      </c>
      <c r="B192" s="87"/>
      <c r="C192" s="87"/>
      <c r="D192" s="88">
        <f t="shared" si="2"/>
        <v>0</v>
      </c>
    </row>
    <row r="193" spans="1:4" ht="18" hidden="1" x14ac:dyDescent="0.3">
      <c r="A193" s="63" t="s">
        <v>192</v>
      </c>
      <c r="B193" s="87"/>
      <c r="C193" s="87"/>
      <c r="D193" s="88">
        <f t="shared" si="2"/>
        <v>0</v>
      </c>
    </row>
    <row r="194" spans="1:4" ht="18" hidden="1" x14ac:dyDescent="0.3">
      <c r="A194" s="60" t="s">
        <v>193</v>
      </c>
      <c r="B194" s="87"/>
      <c r="C194" s="87"/>
      <c r="D194" s="88">
        <f t="shared" si="2"/>
        <v>0</v>
      </c>
    </row>
    <row r="195" spans="1:4" ht="18" x14ac:dyDescent="0.3">
      <c r="A195" s="63" t="s">
        <v>194</v>
      </c>
      <c r="B195" s="87">
        <v>9</v>
      </c>
      <c r="C195" s="87">
        <v>8000</v>
      </c>
      <c r="D195" s="88">
        <f t="shared" si="2"/>
        <v>72000</v>
      </c>
    </row>
    <row r="196" spans="1:4" ht="18" hidden="1" x14ac:dyDescent="0.3">
      <c r="A196" s="63" t="s">
        <v>195</v>
      </c>
      <c r="B196" s="87"/>
      <c r="C196" s="87"/>
      <c r="D196" s="88">
        <f t="shared" ref="D196:D259" si="3">B196*C196</f>
        <v>0</v>
      </c>
    </row>
    <row r="197" spans="1:4" ht="18" hidden="1" x14ac:dyDescent="0.3">
      <c r="A197" s="63" t="s">
        <v>196</v>
      </c>
      <c r="B197" s="87"/>
      <c r="C197" s="87"/>
      <c r="D197" s="88">
        <f t="shared" si="3"/>
        <v>0</v>
      </c>
    </row>
    <row r="198" spans="1:4" ht="18" hidden="1" x14ac:dyDescent="0.3">
      <c r="A198" s="62" t="s">
        <v>197</v>
      </c>
      <c r="B198" s="87"/>
      <c r="C198" s="87"/>
      <c r="D198" s="88">
        <f t="shared" si="3"/>
        <v>0</v>
      </c>
    </row>
    <row r="199" spans="1:4" ht="18" hidden="1" x14ac:dyDescent="0.3">
      <c r="A199" s="78" t="s">
        <v>198</v>
      </c>
      <c r="B199" s="87"/>
      <c r="C199" s="87"/>
      <c r="D199" s="88">
        <f t="shared" si="3"/>
        <v>0</v>
      </c>
    </row>
    <row r="200" spans="1:4" ht="18" hidden="1" x14ac:dyDescent="0.3">
      <c r="A200" s="60" t="s">
        <v>199</v>
      </c>
      <c r="B200" s="87"/>
      <c r="C200" s="87"/>
      <c r="D200" s="88">
        <f t="shared" si="3"/>
        <v>0</v>
      </c>
    </row>
    <row r="201" spans="1:4" ht="18" hidden="1" x14ac:dyDescent="0.3">
      <c r="A201" s="61" t="s">
        <v>200</v>
      </c>
      <c r="B201" s="87"/>
      <c r="C201" s="87"/>
      <c r="D201" s="88">
        <f t="shared" si="3"/>
        <v>0</v>
      </c>
    </row>
    <row r="202" spans="1:4" ht="18" hidden="1" x14ac:dyDescent="0.3">
      <c r="A202" s="61" t="s">
        <v>201</v>
      </c>
      <c r="B202" s="87"/>
      <c r="C202" s="87"/>
      <c r="D202" s="88">
        <f t="shared" si="3"/>
        <v>0</v>
      </c>
    </row>
    <row r="203" spans="1:4" ht="18" hidden="1" x14ac:dyDescent="0.3">
      <c r="A203" s="61" t="s">
        <v>202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203</v>
      </c>
      <c r="B204" s="87"/>
      <c r="C204" s="87"/>
      <c r="D204" s="88">
        <f t="shared" si="3"/>
        <v>0</v>
      </c>
    </row>
    <row r="205" spans="1:4" ht="18" hidden="1" x14ac:dyDescent="0.3">
      <c r="A205" s="63" t="s">
        <v>204</v>
      </c>
      <c r="B205" s="87"/>
      <c r="C205" s="87"/>
      <c r="D205" s="88">
        <f t="shared" si="3"/>
        <v>0</v>
      </c>
    </row>
    <row r="206" spans="1:4" ht="18" hidden="1" x14ac:dyDescent="0.3">
      <c r="A206" s="63" t="s">
        <v>205</v>
      </c>
      <c r="B206" s="87"/>
      <c r="C206" s="87"/>
      <c r="D206" s="88">
        <f t="shared" si="3"/>
        <v>0</v>
      </c>
    </row>
    <row r="207" spans="1:4" ht="18" hidden="1" x14ac:dyDescent="0.3">
      <c r="A207" s="63" t="s">
        <v>206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207</v>
      </c>
      <c r="B208" s="87"/>
      <c r="C208" s="87"/>
      <c r="D208" s="88">
        <f t="shared" si="3"/>
        <v>0</v>
      </c>
    </row>
    <row r="209" spans="1:4" ht="18" hidden="1" x14ac:dyDescent="0.3">
      <c r="A209" s="60" t="s">
        <v>208</v>
      </c>
      <c r="B209" s="87"/>
      <c r="C209" s="87"/>
      <c r="D209" s="88">
        <f t="shared" si="3"/>
        <v>0</v>
      </c>
    </row>
    <row r="210" spans="1:4" ht="18" hidden="1" x14ac:dyDescent="0.3">
      <c r="A210" s="60" t="s">
        <v>209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210</v>
      </c>
      <c r="B211" s="87"/>
      <c r="C211" s="87"/>
      <c r="D211" s="88">
        <f t="shared" si="3"/>
        <v>0</v>
      </c>
    </row>
    <row r="212" spans="1:4" ht="18" hidden="1" x14ac:dyDescent="0.3">
      <c r="A212" s="63" t="s">
        <v>211</v>
      </c>
      <c r="B212" s="87"/>
      <c r="C212" s="87"/>
      <c r="D212" s="88">
        <f t="shared" si="3"/>
        <v>0</v>
      </c>
    </row>
    <row r="213" spans="1:4" ht="18" hidden="1" x14ac:dyDescent="0.3">
      <c r="A213" s="63" t="s">
        <v>212</v>
      </c>
      <c r="B213" s="87"/>
      <c r="C213" s="87"/>
      <c r="D213" s="88">
        <f t="shared" si="3"/>
        <v>0</v>
      </c>
    </row>
    <row r="214" spans="1:4" ht="18" hidden="1" x14ac:dyDescent="0.3">
      <c r="A214" s="61" t="s">
        <v>213</v>
      </c>
      <c r="B214" s="87"/>
      <c r="C214" s="87"/>
      <c r="D214" s="88">
        <f t="shared" si="3"/>
        <v>0</v>
      </c>
    </row>
    <row r="215" spans="1:4" ht="18" hidden="1" x14ac:dyDescent="0.3">
      <c r="A215" s="63" t="s">
        <v>214</v>
      </c>
      <c r="B215" s="87"/>
      <c r="C215" s="87"/>
      <c r="D215" s="88">
        <f t="shared" si="3"/>
        <v>0</v>
      </c>
    </row>
    <row r="216" spans="1:4" ht="18" hidden="1" x14ac:dyDescent="0.3">
      <c r="A216" s="61" t="s">
        <v>215</v>
      </c>
      <c r="B216" s="87"/>
      <c r="C216" s="87"/>
      <c r="D216" s="88">
        <f t="shared" si="3"/>
        <v>0</v>
      </c>
    </row>
    <row r="217" spans="1:4" ht="18" x14ac:dyDescent="0.3">
      <c r="A217" s="63" t="s">
        <v>216</v>
      </c>
      <c r="B217" s="87">
        <v>2</v>
      </c>
      <c r="C217" s="87">
        <v>15000</v>
      </c>
      <c r="D217" s="88">
        <f t="shared" si="3"/>
        <v>30000</v>
      </c>
    </row>
    <row r="218" spans="1:4" ht="18" hidden="1" x14ac:dyDescent="0.3">
      <c r="A218" s="63" t="s">
        <v>217</v>
      </c>
      <c r="B218" s="87"/>
      <c r="C218" s="87"/>
      <c r="D218" s="88">
        <f t="shared" si="3"/>
        <v>0</v>
      </c>
    </row>
    <row r="219" spans="1:4" ht="18" hidden="1" x14ac:dyDescent="0.3">
      <c r="A219" s="63" t="s">
        <v>218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219</v>
      </c>
      <c r="B220" s="87"/>
      <c r="C220" s="87"/>
      <c r="D220" s="88">
        <f t="shared" si="3"/>
        <v>0</v>
      </c>
    </row>
    <row r="221" spans="1:4" ht="18" hidden="1" x14ac:dyDescent="0.3">
      <c r="A221" s="65" t="s">
        <v>220</v>
      </c>
      <c r="B221" s="87"/>
      <c r="C221" s="87"/>
      <c r="D221" s="88">
        <f t="shared" si="3"/>
        <v>0</v>
      </c>
    </row>
    <row r="222" spans="1:4" ht="18" hidden="1" x14ac:dyDescent="0.3">
      <c r="A222" s="60" t="s">
        <v>221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222</v>
      </c>
      <c r="B223" s="87"/>
      <c r="C223" s="87"/>
      <c r="D223" s="88">
        <f t="shared" si="3"/>
        <v>0</v>
      </c>
    </row>
    <row r="224" spans="1:4" ht="18" hidden="1" x14ac:dyDescent="0.3">
      <c r="A224" s="63" t="s">
        <v>223</v>
      </c>
      <c r="B224" s="87"/>
      <c r="C224" s="87"/>
      <c r="D224" s="88">
        <f t="shared" si="3"/>
        <v>0</v>
      </c>
    </row>
    <row r="225" spans="1:4" ht="18" hidden="1" x14ac:dyDescent="0.3">
      <c r="A225" s="61" t="s">
        <v>224</v>
      </c>
      <c r="B225" s="89"/>
      <c r="C225" s="89"/>
      <c r="D225" s="88">
        <f t="shared" si="3"/>
        <v>0</v>
      </c>
    </row>
    <row r="226" spans="1:4" ht="18" hidden="1" x14ac:dyDescent="0.3">
      <c r="A226" s="61" t="s">
        <v>225</v>
      </c>
      <c r="B226" s="87"/>
      <c r="C226" s="87"/>
      <c r="D226" s="88">
        <f t="shared" si="3"/>
        <v>0</v>
      </c>
    </row>
    <row r="227" spans="1:4" ht="18" hidden="1" x14ac:dyDescent="0.3">
      <c r="A227" s="61" t="s">
        <v>226</v>
      </c>
      <c r="B227" s="89"/>
      <c r="C227" s="89"/>
      <c r="D227" s="88">
        <f t="shared" si="3"/>
        <v>0</v>
      </c>
    </row>
    <row r="228" spans="1:4" ht="18" hidden="1" x14ac:dyDescent="0.3">
      <c r="A228" s="65" t="s">
        <v>227</v>
      </c>
      <c r="B228" s="87"/>
      <c r="C228" s="87"/>
      <c r="D228" s="88">
        <f t="shared" si="3"/>
        <v>0</v>
      </c>
    </row>
    <row r="229" spans="1:4" ht="18" hidden="1" x14ac:dyDescent="0.3">
      <c r="A229" s="64" t="s">
        <v>228</v>
      </c>
      <c r="B229" s="87"/>
      <c r="C229" s="87"/>
      <c r="D229" s="88">
        <f t="shared" si="3"/>
        <v>0</v>
      </c>
    </row>
    <row r="230" spans="1:4" ht="18" hidden="1" x14ac:dyDescent="0.3">
      <c r="A230" s="64" t="s">
        <v>229</v>
      </c>
      <c r="B230" s="87"/>
      <c r="C230" s="87"/>
      <c r="D230" s="88">
        <f t="shared" si="3"/>
        <v>0</v>
      </c>
    </row>
    <row r="231" spans="1:4" ht="18" hidden="1" x14ac:dyDescent="0.3">
      <c r="A231" s="61" t="s">
        <v>332</v>
      </c>
      <c r="B231" s="87"/>
      <c r="C231" s="87"/>
      <c r="D231" s="88">
        <f t="shared" si="3"/>
        <v>0</v>
      </c>
    </row>
    <row r="232" spans="1:4" ht="18" hidden="1" x14ac:dyDescent="0.3">
      <c r="A232" s="61" t="s">
        <v>230</v>
      </c>
      <c r="B232" s="87"/>
      <c r="C232" s="87"/>
      <c r="D232" s="88">
        <f t="shared" si="3"/>
        <v>0</v>
      </c>
    </row>
    <row r="233" spans="1:4" ht="18" hidden="1" x14ac:dyDescent="0.3">
      <c r="A233" s="63" t="s">
        <v>231</v>
      </c>
      <c r="B233" s="87"/>
      <c r="C233" s="87"/>
      <c r="D233" s="88">
        <f t="shared" si="3"/>
        <v>0</v>
      </c>
    </row>
    <row r="234" spans="1:4" ht="18" hidden="1" x14ac:dyDescent="0.3">
      <c r="A234" s="63" t="s">
        <v>232</v>
      </c>
      <c r="B234" s="87"/>
      <c r="C234" s="87"/>
      <c r="D234" s="88">
        <f t="shared" si="3"/>
        <v>0</v>
      </c>
    </row>
    <row r="235" spans="1:4" ht="18" hidden="1" x14ac:dyDescent="0.3">
      <c r="A235" s="65" t="s">
        <v>233</v>
      </c>
      <c r="B235" s="87"/>
      <c r="C235" s="87"/>
      <c r="D235" s="88">
        <f t="shared" si="3"/>
        <v>0</v>
      </c>
    </row>
    <row r="236" spans="1:4" ht="18" hidden="1" x14ac:dyDescent="0.3">
      <c r="A236" s="60" t="s">
        <v>234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235</v>
      </c>
      <c r="B237" s="87"/>
      <c r="C237" s="87"/>
      <c r="D237" s="88">
        <f t="shared" si="3"/>
        <v>0</v>
      </c>
    </row>
    <row r="238" spans="1:4" ht="18" hidden="1" x14ac:dyDescent="0.3">
      <c r="A238" s="63" t="s">
        <v>236</v>
      </c>
      <c r="B238" s="87"/>
      <c r="C238" s="87"/>
      <c r="D238" s="88">
        <f t="shared" si="3"/>
        <v>0</v>
      </c>
    </row>
    <row r="239" spans="1:4" ht="18" hidden="1" x14ac:dyDescent="0.3">
      <c r="A239" s="64" t="s">
        <v>237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238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239</v>
      </c>
      <c r="B241" s="87"/>
      <c r="C241" s="87"/>
      <c r="D241" s="88">
        <f t="shared" si="3"/>
        <v>0</v>
      </c>
    </row>
    <row r="242" spans="1:4" ht="18" x14ac:dyDescent="0.3">
      <c r="A242" s="63" t="s">
        <v>240</v>
      </c>
      <c r="B242" s="87">
        <v>3</v>
      </c>
      <c r="C242" s="87">
        <v>28000</v>
      </c>
      <c r="D242" s="88">
        <f t="shared" si="3"/>
        <v>84000</v>
      </c>
    </row>
    <row r="243" spans="1:4" ht="18" hidden="1" x14ac:dyDescent="0.3">
      <c r="A243" s="63" t="s">
        <v>241</v>
      </c>
      <c r="B243" s="87"/>
      <c r="C243" s="87"/>
      <c r="D243" s="88">
        <f t="shared" si="3"/>
        <v>0</v>
      </c>
    </row>
    <row r="244" spans="1:4" ht="18" hidden="1" x14ac:dyDescent="0.3">
      <c r="A244" s="64" t="s">
        <v>242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243</v>
      </c>
      <c r="B245" s="87"/>
      <c r="C245" s="87"/>
      <c r="D245" s="88">
        <f t="shared" si="3"/>
        <v>0</v>
      </c>
    </row>
    <row r="246" spans="1:4" ht="18" hidden="1" x14ac:dyDescent="0.3">
      <c r="A246" s="63" t="s">
        <v>244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245</v>
      </c>
      <c r="B247" s="87"/>
      <c r="C247" s="87"/>
      <c r="D247" s="88">
        <f t="shared" si="3"/>
        <v>0</v>
      </c>
    </row>
    <row r="248" spans="1:4" ht="18" hidden="1" x14ac:dyDescent="0.3">
      <c r="A248" s="64" t="s">
        <v>246</v>
      </c>
      <c r="B248" s="87"/>
      <c r="C248" s="87"/>
      <c r="D248" s="88">
        <f t="shared" si="3"/>
        <v>0</v>
      </c>
    </row>
    <row r="249" spans="1:4" ht="18" hidden="1" x14ac:dyDescent="0.3">
      <c r="A249" s="79" t="s">
        <v>247</v>
      </c>
      <c r="B249" s="87"/>
      <c r="C249" s="87"/>
      <c r="D249" s="88">
        <f t="shared" si="3"/>
        <v>0</v>
      </c>
    </row>
    <row r="250" spans="1:4" ht="18" hidden="1" x14ac:dyDescent="0.3">
      <c r="A250" s="79" t="s">
        <v>248</v>
      </c>
      <c r="B250" s="87"/>
      <c r="C250" s="87"/>
      <c r="D250" s="88">
        <f t="shared" si="3"/>
        <v>0</v>
      </c>
    </row>
    <row r="251" spans="1:4" ht="18" hidden="1" x14ac:dyDescent="0.3">
      <c r="A251" s="64" t="s">
        <v>249</v>
      </c>
      <c r="B251" s="87"/>
      <c r="C251" s="87"/>
      <c r="D251" s="88">
        <f t="shared" si="3"/>
        <v>0</v>
      </c>
    </row>
    <row r="252" spans="1:4" ht="18" hidden="1" x14ac:dyDescent="0.3">
      <c r="A252" s="79" t="s">
        <v>250</v>
      </c>
      <c r="B252" s="87"/>
      <c r="C252" s="87"/>
      <c r="D252" s="88">
        <f t="shared" si="3"/>
        <v>0</v>
      </c>
    </row>
    <row r="253" spans="1:4" ht="18" hidden="1" x14ac:dyDescent="0.3">
      <c r="A253" s="79" t="s">
        <v>251</v>
      </c>
      <c r="B253" s="87"/>
      <c r="C253" s="87"/>
      <c r="D253" s="88">
        <f t="shared" si="3"/>
        <v>0</v>
      </c>
    </row>
    <row r="254" spans="1:4" ht="18" hidden="1" x14ac:dyDescent="0.3">
      <c r="A254" s="79" t="s">
        <v>252</v>
      </c>
      <c r="B254" s="87"/>
      <c r="C254" s="87"/>
      <c r="D254" s="88">
        <f t="shared" si="3"/>
        <v>0</v>
      </c>
    </row>
    <row r="255" spans="1:4" ht="18" hidden="1" x14ac:dyDescent="0.3">
      <c r="A255" s="63" t="s">
        <v>253</v>
      </c>
      <c r="B255" s="87"/>
      <c r="C255" s="87"/>
      <c r="D255" s="88">
        <f t="shared" si="3"/>
        <v>0</v>
      </c>
    </row>
    <row r="256" spans="1:4" ht="18" hidden="1" x14ac:dyDescent="0.3">
      <c r="A256" s="63" t="s">
        <v>254</v>
      </c>
      <c r="B256" s="87"/>
      <c r="C256" s="87"/>
      <c r="D256" s="88">
        <f t="shared" si="3"/>
        <v>0</v>
      </c>
    </row>
    <row r="257" spans="1:4" ht="18" hidden="1" x14ac:dyDescent="0.3">
      <c r="A257" s="63" t="s">
        <v>255</v>
      </c>
      <c r="B257" s="87"/>
      <c r="C257" s="87"/>
      <c r="D257" s="88">
        <f t="shared" si="3"/>
        <v>0</v>
      </c>
    </row>
    <row r="258" spans="1:4" ht="18" hidden="1" x14ac:dyDescent="0.3">
      <c r="A258" s="63" t="s">
        <v>256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257</v>
      </c>
      <c r="B259" s="87"/>
      <c r="C259" s="87"/>
      <c r="D259" s="88">
        <f t="shared" si="3"/>
        <v>0</v>
      </c>
    </row>
    <row r="260" spans="1:4" ht="18" hidden="1" x14ac:dyDescent="0.3">
      <c r="A260" s="63" t="s">
        <v>258</v>
      </c>
      <c r="B260" s="87"/>
      <c r="C260" s="87"/>
      <c r="D260" s="88">
        <f t="shared" ref="D260:D294" si="4">B260*C260</f>
        <v>0</v>
      </c>
    </row>
    <row r="261" spans="1:4" ht="18" hidden="1" x14ac:dyDescent="0.3">
      <c r="A261" s="63" t="s">
        <v>259</v>
      </c>
      <c r="B261" s="87"/>
      <c r="C261" s="87"/>
      <c r="D261" s="88">
        <f t="shared" si="4"/>
        <v>0</v>
      </c>
    </row>
    <row r="262" spans="1:4" ht="18" hidden="1" x14ac:dyDescent="0.3">
      <c r="A262" s="65" t="s">
        <v>260</v>
      </c>
      <c r="B262" s="87"/>
      <c r="C262" s="87"/>
      <c r="D262" s="88">
        <f t="shared" si="4"/>
        <v>0</v>
      </c>
    </row>
    <row r="263" spans="1:4" ht="18" hidden="1" x14ac:dyDescent="0.3">
      <c r="A263" s="63" t="s">
        <v>261</v>
      </c>
      <c r="B263" s="87"/>
      <c r="C263" s="87"/>
      <c r="D263" s="88">
        <f t="shared" si="4"/>
        <v>0</v>
      </c>
    </row>
    <row r="264" spans="1:4" ht="18" hidden="1" x14ac:dyDescent="0.3">
      <c r="A264" s="63" t="s">
        <v>262</v>
      </c>
      <c r="B264" s="87"/>
      <c r="C264" s="87"/>
      <c r="D264" s="88">
        <f t="shared" si="4"/>
        <v>0</v>
      </c>
    </row>
    <row r="265" spans="1:4" ht="18" x14ac:dyDescent="0.3">
      <c r="A265" s="63" t="s">
        <v>263</v>
      </c>
      <c r="B265" s="87">
        <f>10+20+28</f>
        <v>58</v>
      </c>
      <c r="C265" s="87">
        <v>9000</v>
      </c>
      <c r="D265" s="88">
        <f t="shared" si="4"/>
        <v>522000</v>
      </c>
    </row>
    <row r="266" spans="1:4" ht="18" hidden="1" x14ac:dyDescent="0.3">
      <c r="A266" s="63" t="s">
        <v>264</v>
      </c>
      <c r="B266" s="87"/>
      <c r="C266" s="87"/>
      <c r="D266" s="88">
        <f t="shared" si="4"/>
        <v>0</v>
      </c>
    </row>
    <row r="267" spans="1:4" ht="18" hidden="1" x14ac:dyDescent="0.3">
      <c r="A267" s="63" t="s">
        <v>265</v>
      </c>
      <c r="B267" s="87"/>
      <c r="C267" s="87"/>
      <c r="D267" s="88">
        <f t="shared" si="4"/>
        <v>0</v>
      </c>
    </row>
    <row r="268" spans="1:4" ht="18" hidden="1" x14ac:dyDescent="0.3">
      <c r="A268" s="63" t="s">
        <v>266</v>
      </c>
      <c r="B268" s="87"/>
      <c r="C268" s="87"/>
      <c r="D268" s="88">
        <f t="shared" si="4"/>
        <v>0</v>
      </c>
    </row>
    <row r="269" spans="1:4" ht="18" hidden="1" x14ac:dyDescent="0.3">
      <c r="A269" s="63" t="s">
        <v>267</v>
      </c>
      <c r="B269" s="87"/>
      <c r="C269" s="87"/>
      <c r="D269" s="88">
        <f t="shared" si="4"/>
        <v>0</v>
      </c>
    </row>
    <row r="270" spans="1:4" ht="18" hidden="1" x14ac:dyDescent="0.3">
      <c r="A270" s="74" t="s">
        <v>268</v>
      </c>
      <c r="B270" s="87"/>
      <c r="C270" s="87"/>
      <c r="D270" s="88">
        <f t="shared" si="4"/>
        <v>0</v>
      </c>
    </row>
    <row r="271" spans="1:4" ht="18" x14ac:dyDescent="0.3">
      <c r="A271" s="63" t="s">
        <v>269</v>
      </c>
      <c r="B271" s="87">
        <v>10</v>
      </c>
      <c r="C271" s="87">
        <v>25000</v>
      </c>
      <c r="D271" s="88">
        <f t="shared" si="4"/>
        <v>250000</v>
      </c>
    </row>
    <row r="272" spans="1:4" ht="18" hidden="1" x14ac:dyDescent="0.3">
      <c r="A272" s="63" t="s">
        <v>270</v>
      </c>
      <c r="B272" s="87"/>
      <c r="C272" s="87"/>
      <c r="D272" s="88">
        <f t="shared" si="4"/>
        <v>0</v>
      </c>
    </row>
    <row r="273" spans="1:4" ht="18" hidden="1" x14ac:dyDescent="0.3">
      <c r="A273" s="30" t="s">
        <v>271</v>
      </c>
      <c r="B273" s="87"/>
      <c r="C273" s="87"/>
      <c r="D273" s="88">
        <f t="shared" si="4"/>
        <v>0</v>
      </c>
    </row>
    <row r="274" spans="1:4" ht="18" hidden="1" x14ac:dyDescent="0.3">
      <c r="A274" s="60" t="s">
        <v>272</v>
      </c>
      <c r="B274" s="89"/>
      <c r="C274" s="87"/>
      <c r="D274" s="88">
        <f t="shared" si="4"/>
        <v>0</v>
      </c>
    </row>
    <row r="275" spans="1:4" ht="18" hidden="1" x14ac:dyDescent="0.3">
      <c r="A275" s="63" t="s">
        <v>273</v>
      </c>
      <c r="B275" s="87"/>
      <c r="C275" s="87"/>
      <c r="D275" s="88">
        <f t="shared" si="4"/>
        <v>0</v>
      </c>
    </row>
    <row r="276" spans="1:4" ht="18" hidden="1" x14ac:dyDescent="0.3">
      <c r="A276" s="63" t="s">
        <v>274</v>
      </c>
      <c r="B276" s="87"/>
      <c r="C276" s="87"/>
      <c r="D276" s="88">
        <f t="shared" si="4"/>
        <v>0</v>
      </c>
    </row>
    <row r="277" spans="1:4" ht="18" hidden="1" x14ac:dyDescent="0.3">
      <c r="A277" s="63" t="s">
        <v>275</v>
      </c>
      <c r="B277" s="87"/>
      <c r="C277" s="87"/>
      <c r="D277" s="88">
        <f t="shared" si="4"/>
        <v>0</v>
      </c>
    </row>
    <row r="278" spans="1:4" ht="18" hidden="1" x14ac:dyDescent="0.3">
      <c r="A278" s="65" t="s">
        <v>92</v>
      </c>
      <c r="B278" s="87"/>
      <c r="C278" s="87"/>
      <c r="D278" s="88">
        <f t="shared" si="4"/>
        <v>0</v>
      </c>
    </row>
    <row r="279" spans="1:4" ht="18" hidden="1" x14ac:dyDescent="0.3">
      <c r="A279" s="63" t="s">
        <v>276</v>
      </c>
      <c r="B279" s="87"/>
      <c r="C279" s="87"/>
      <c r="D279" s="88">
        <f t="shared" si="4"/>
        <v>0</v>
      </c>
    </row>
    <row r="280" spans="1:4" ht="18" hidden="1" x14ac:dyDescent="0.3">
      <c r="A280" s="72" t="s">
        <v>277</v>
      </c>
      <c r="B280" s="87"/>
      <c r="C280" s="87"/>
      <c r="D280" s="88">
        <f t="shared" si="4"/>
        <v>0</v>
      </c>
    </row>
    <row r="281" spans="1:4" ht="18" hidden="1" x14ac:dyDescent="0.3">
      <c r="A281" s="61" t="s">
        <v>278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279</v>
      </c>
      <c r="B282" s="87"/>
      <c r="C282" s="87"/>
      <c r="D282" s="88">
        <f t="shared" si="4"/>
        <v>0</v>
      </c>
    </row>
    <row r="283" spans="1:4" ht="18" hidden="1" x14ac:dyDescent="0.3">
      <c r="A283" s="63" t="s">
        <v>280</v>
      </c>
      <c r="B283" s="87"/>
      <c r="C283" s="87"/>
      <c r="D283" s="88">
        <f t="shared" si="4"/>
        <v>0</v>
      </c>
    </row>
    <row r="284" spans="1:4" ht="18" hidden="1" x14ac:dyDescent="0.3">
      <c r="A284" s="63" t="s">
        <v>281</v>
      </c>
      <c r="B284" s="87"/>
      <c r="C284" s="87"/>
      <c r="D284" s="88">
        <f t="shared" si="4"/>
        <v>0</v>
      </c>
    </row>
    <row r="285" spans="1:4" ht="18" hidden="1" x14ac:dyDescent="0.3">
      <c r="A285" s="63" t="s">
        <v>282</v>
      </c>
      <c r="B285" s="87"/>
      <c r="C285" s="87"/>
      <c r="D285" s="88">
        <f t="shared" si="4"/>
        <v>0</v>
      </c>
    </row>
    <row r="286" spans="1:4" ht="18" hidden="1" x14ac:dyDescent="0.3">
      <c r="A286" s="60" t="s">
        <v>283</v>
      </c>
      <c r="B286" s="87"/>
      <c r="C286" s="87"/>
      <c r="D286" s="88">
        <f t="shared" si="4"/>
        <v>0</v>
      </c>
    </row>
    <row r="287" spans="1:4" ht="18" hidden="1" x14ac:dyDescent="0.3">
      <c r="A287" s="63" t="s">
        <v>313</v>
      </c>
      <c r="B287" s="87"/>
      <c r="C287" s="87"/>
      <c r="D287" s="88">
        <f t="shared" si="4"/>
        <v>0</v>
      </c>
    </row>
    <row r="288" spans="1:4" ht="18" hidden="1" x14ac:dyDescent="0.3">
      <c r="A288" s="61" t="s">
        <v>314</v>
      </c>
      <c r="B288" s="87"/>
      <c r="C288" s="87"/>
      <c r="D288" s="88">
        <f t="shared" si="4"/>
        <v>0</v>
      </c>
    </row>
    <row r="289" spans="1:4" ht="18" hidden="1" x14ac:dyDescent="0.3">
      <c r="A289" s="61" t="s">
        <v>315</v>
      </c>
      <c r="B289" s="87"/>
      <c r="C289" s="87"/>
      <c r="D289" s="88">
        <f t="shared" si="4"/>
        <v>0</v>
      </c>
    </row>
    <row r="290" spans="1:4" ht="18" hidden="1" x14ac:dyDescent="0.3">
      <c r="A290" s="63" t="s">
        <v>284</v>
      </c>
      <c r="B290" s="87"/>
      <c r="C290" s="87"/>
      <c r="D290" s="88">
        <f t="shared" si="4"/>
        <v>0</v>
      </c>
    </row>
    <row r="291" spans="1:4" ht="18" hidden="1" x14ac:dyDescent="0.3">
      <c r="A291" s="61" t="s">
        <v>285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286</v>
      </c>
      <c r="B292" s="87"/>
      <c r="C292" s="87"/>
      <c r="D292" s="88">
        <f t="shared" si="4"/>
        <v>0</v>
      </c>
    </row>
    <row r="293" spans="1:4" ht="18" hidden="1" x14ac:dyDescent="0.3">
      <c r="A293" s="61" t="s">
        <v>287</v>
      </c>
      <c r="B293" s="87"/>
      <c r="C293" s="87"/>
      <c r="D293" s="88">
        <f t="shared" si="4"/>
        <v>0</v>
      </c>
    </row>
    <row r="294" spans="1:4" ht="18" hidden="1" x14ac:dyDescent="0.3">
      <c r="A294" s="63" t="s">
        <v>288</v>
      </c>
      <c r="B294" s="87"/>
      <c r="C294" s="87"/>
      <c r="D294" s="88">
        <f t="shared" si="4"/>
        <v>0</v>
      </c>
    </row>
    <row r="295" spans="1:4" ht="17.399999999999999" x14ac:dyDescent="0.3">
      <c r="A295" s="80"/>
      <c r="B295" s="86">
        <f t="shared" ref="B295:D295" si="5">SUM(B3:B294)</f>
        <v>4665.8</v>
      </c>
      <c r="C295" s="86"/>
      <c r="D295" s="86">
        <f t="shared" si="5"/>
        <v>84277000</v>
      </c>
    </row>
  </sheetData>
  <protectedRanges>
    <protectedRange password="CF71" sqref="B1:D294" name="tho"/>
  </protectedRanges>
  <autoFilter ref="A2:D295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6"/>
  <sheetViews>
    <sheetView workbookViewId="0">
      <selection activeCell="G43" sqref="G43"/>
    </sheetView>
  </sheetViews>
  <sheetFormatPr defaultRowHeight="14.4" x14ac:dyDescent="0.3"/>
  <cols>
    <col min="1" max="1" width="39.21875" customWidth="1"/>
    <col min="3" max="3" width="15" customWidth="1"/>
    <col min="4" max="4" width="19.5546875" customWidth="1"/>
  </cols>
  <sheetData>
    <row r="1" spans="1:4" x14ac:dyDescent="0.3">
      <c r="A1" s="57" t="s">
        <v>336</v>
      </c>
      <c r="B1" s="58"/>
      <c r="C1" s="58"/>
      <c r="D1" s="59"/>
    </row>
    <row r="2" spans="1:4" ht="39.6" customHeight="1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hidden="1" x14ac:dyDescent="0.3">
      <c r="A7" s="60" t="s">
        <v>2</v>
      </c>
      <c r="B7" s="87"/>
      <c r="C7" s="87"/>
      <c r="D7" s="88">
        <f t="shared" si="0"/>
        <v>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0" t="s">
        <v>10</v>
      </c>
      <c r="B11" s="89"/>
      <c r="C11" s="89"/>
      <c r="D11" s="88">
        <f t="shared" si="0"/>
        <v>0</v>
      </c>
    </row>
    <row r="12" spans="1:4" ht="18" hidden="1" x14ac:dyDescent="0.3">
      <c r="A12" s="63" t="s">
        <v>11</v>
      </c>
      <c r="B12" s="87"/>
      <c r="C12" s="87"/>
      <c r="D12" s="88">
        <f t="shared" si="0"/>
        <v>0</v>
      </c>
    </row>
    <row r="13" spans="1:4" ht="18" hidden="1" x14ac:dyDescent="0.3">
      <c r="A13" s="63" t="s">
        <v>12</v>
      </c>
      <c r="B13" s="87"/>
      <c r="C13" s="87"/>
      <c r="D13" s="88">
        <f t="shared" si="0"/>
        <v>0</v>
      </c>
    </row>
    <row r="14" spans="1:4" ht="18" hidden="1" x14ac:dyDescent="0.3">
      <c r="A14" s="63" t="s">
        <v>13</v>
      </c>
      <c r="B14" s="89"/>
      <c r="C14" s="89"/>
      <c r="D14" s="88">
        <f t="shared" si="0"/>
        <v>0</v>
      </c>
    </row>
    <row r="15" spans="1:4" ht="18" hidden="1" x14ac:dyDescent="0.3">
      <c r="A15" s="64" t="s">
        <v>14</v>
      </c>
      <c r="B15" s="87"/>
      <c r="C15" s="87"/>
      <c r="D15" s="88">
        <f t="shared" si="0"/>
        <v>0</v>
      </c>
    </row>
    <row r="16" spans="1:4" ht="18" hidden="1" x14ac:dyDescent="0.3">
      <c r="A16" s="61" t="s">
        <v>15</v>
      </c>
      <c r="B16" s="87"/>
      <c r="C16" s="87"/>
      <c r="D16" s="88">
        <f t="shared" si="0"/>
        <v>0</v>
      </c>
    </row>
    <row r="17" spans="1:4" ht="18" hidden="1" x14ac:dyDescent="0.3">
      <c r="A17" s="13" t="s">
        <v>16</v>
      </c>
      <c r="B17" s="87"/>
      <c r="C17" s="87"/>
      <c r="D17" s="88">
        <f t="shared" si="0"/>
        <v>0</v>
      </c>
    </row>
    <row r="18" spans="1:4" ht="18" x14ac:dyDescent="0.3">
      <c r="A18" s="63" t="s">
        <v>17</v>
      </c>
      <c r="B18" s="87">
        <v>23</v>
      </c>
      <c r="C18" s="87">
        <v>14500</v>
      </c>
      <c r="D18" s="88">
        <f t="shared" si="0"/>
        <v>333500</v>
      </c>
    </row>
    <row r="19" spans="1:4" ht="18" hidden="1" x14ac:dyDescent="0.3">
      <c r="A19" s="63" t="s">
        <v>18</v>
      </c>
      <c r="B19" s="87"/>
      <c r="C19" s="87"/>
      <c r="D19" s="88">
        <f t="shared" si="0"/>
        <v>0</v>
      </c>
    </row>
    <row r="20" spans="1:4" ht="18" hidden="1" x14ac:dyDescent="0.3">
      <c r="A20" s="63" t="s">
        <v>19</v>
      </c>
      <c r="B20" s="87"/>
      <c r="C20" s="87"/>
      <c r="D20" s="88">
        <f t="shared" si="0"/>
        <v>0</v>
      </c>
    </row>
    <row r="21" spans="1:4" ht="18" hidden="1" x14ac:dyDescent="0.3">
      <c r="A21" s="61" t="s">
        <v>20</v>
      </c>
      <c r="B21" s="87"/>
      <c r="C21" s="87"/>
      <c r="D21" s="88">
        <f t="shared" si="0"/>
        <v>0</v>
      </c>
    </row>
    <row r="22" spans="1:4" ht="18" x14ac:dyDescent="0.3">
      <c r="A22" s="63" t="s">
        <v>21</v>
      </c>
      <c r="B22" s="87">
        <f>50+20+50</f>
        <v>120</v>
      </c>
      <c r="C22" s="87">
        <v>36000</v>
      </c>
      <c r="D22" s="88">
        <f t="shared" si="0"/>
        <v>4320000</v>
      </c>
    </row>
    <row r="23" spans="1:4" ht="18" x14ac:dyDescent="0.3">
      <c r="A23" s="63" t="s">
        <v>22</v>
      </c>
      <c r="B23" s="87">
        <v>10</v>
      </c>
      <c r="C23" s="87">
        <v>31000</v>
      </c>
      <c r="D23" s="88">
        <f t="shared" si="0"/>
        <v>310000</v>
      </c>
    </row>
    <row r="24" spans="1:4" ht="18" hidden="1" x14ac:dyDescent="0.3">
      <c r="A24" s="63" t="s">
        <v>23</v>
      </c>
      <c r="B24" s="87"/>
      <c r="C24" s="87"/>
      <c r="D24" s="88">
        <f t="shared" si="0"/>
        <v>0</v>
      </c>
    </row>
    <row r="25" spans="1:4" ht="18" hidden="1" x14ac:dyDescent="0.3">
      <c r="A25" s="63" t="s">
        <v>24</v>
      </c>
      <c r="B25" s="87"/>
      <c r="C25" s="87"/>
      <c r="D25" s="88">
        <f t="shared" si="0"/>
        <v>0</v>
      </c>
    </row>
    <row r="26" spans="1:4" ht="18" hidden="1" x14ac:dyDescent="0.3">
      <c r="A26" s="63" t="s">
        <v>25</v>
      </c>
      <c r="B26" s="87"/>
      <c r="C26" s="87"/>
      <c r="D26" s="88">
        <f t="shared" si="0"/>
        <v>0</v>
      </c>
    </row>
    <row r="27" spans="1:4" ht="18" x14ac:dyDescent="0.3">
      <c r="A27" s="63" t="s">
        <v>26</v>
      </c>
      <c r="B27" s="87">
        <v>28</v>
      </c>
      <c r="C27" s="87">
        <v>38000</v>
      </c>
      <c r="D27" s="88">
        <f t="shared" si="0"/>
        <v>1064000</v>
      </c>
    </row>
    <row r="28" spans="1:4" ht="18" hidden="1" x14ac:dyDescent="0.3">
      <c r="A28" s="63" t="s">
        <v>27</v>
      </c>
      <c r="B28" s="87"/>
      <c r="C28" s="87"/>
      <c r="D28" s="88">
        <f t="shared" si="0"/>
        <v>0</v>
      </c>
    </row>
    <row r="29" spans="1:4" ht="18" hidden="1" x14ac:dyDescent="0.3">
      <c r="A29" s="63" t="s">
        <v>28</v>
      </c>
      <c r="B29" s="87"/>
      <c r="C29" s="87"/>
      <c r="D29" s="88">
        <f t="shared" si="0"/>
        <v>0</v>
      </c>
    </row>
    <row r="30" spans="1:4" ht="18" hidden="1" x14ac:dyDescent="0.3">
      <c r="A30" s="63" t="s">
        <v>29</v>
      </c>
      <c r="B30" s="87"/>
      <c r="C30" s="87"/>
      <c r="D30" s="88">
        <f t="shared" si="0"/>
        <v>0</v>
      </c>
    </row>
    <row r="31" spans="1:4" ht="18" hidden="1" x14ac:dyDescent="0.3">
      <c r="A31" s="63" t="s">
        <v>30</v>
      </c>
      <c r="B31" s="87"/>
      <c r="C31" s="87"/>
      <c r="D31" s="88">
        <f t="shared" si="0"/>
        <v>0</v>
      </c>
    </row>
    <row r="32" spans="1:4" ht="18" hidden="1" x14ac:dyDescent="0.3">
      <c r="A32" s="63" t="s">
        <v>31</v>
      </c>
      <c r="B32" s="87"/>
      <c r="C32" s="87"/>
      <c r="D32" s="88">
        <f t="shared" si="0"/>
        <v>0</v>
      </c>
    </row>
    <row r="33" spans="1:4" ht="18" hidden="1" x14ac:dyDescent="0.3">
      <c r="A33" s="63" t="s">
        <v>32</v>
      </c>
      <c r="B33" s="87"/>
      <c r="C33" s="87"/>
      <c r="D33" s="88">
        <f t="shared" si="0"/>
        <v>0</v>
      </c>
    </row>
    <row r="34" spans="1:4" ht="18" x14ac:dyDescent="0.3">
      <c r="A34" s="63" t="s">
        <v>33</v>
      </c>
      <c r="B34" s="87">
        <v>115</v>
      </c>
      <c r="C34" s="87">
        <v>12000</v>
      </c>
      <c r="D34" s="88">
        <f t="shared" si="0"/>
        <v>1380000</v>
      </c>
    </row>
    <row r="35" spans="1:4" ht="18" hidden="1" x14ac:dyDescent="0.3">
      <c r="A35" s="65" t="s">
        <v>34</v>
      </c>
      <c r="B35" s="87"/>
      <c r="C35" s="87"/>
      <c r="D35" s="88">
        <f t="shared" si="0"/>
        <v>0</v>
      </c>
    </row>
    <row r="36" spans="1:4" ht="18" hidden="1" x14ac:dyDescent="0.3">
      <c r="A36" s="63" t="s">
        <v>35</v>
      </c>
      <c r="B36" s="87"/>
      <c r="C36" s="87"/>
      <c r="D36" s="88">
        <f t="shared" si="0"/>
        <v>0</v>
      </c>
    </row>
    <row r="37" spans="1:4" ht="18" x14ac:dyDescent="0.3">
      <c r="A37" s="60" t="s">
        <v>36</v>
      </c>
      <c r="B37" s="87">
        <v>15</v>
      </c>
      <c r="C37" s="87">
        <v>21000</v>
      </c>
      <c r="D37" s="88">
        <f t="shared" si="0"/>
        <v>315000</v>
      </c>
    </row>
    <row r="38" spans="1:4" ht="18" hidden="1" x14ac:dyDescent="0.3">
      <c r="A38" s="63" t="s">
        <v>37</v>
      </c>
      <c r="B38" s="87"/>
      <c r="C38" s="87"/>
      <c r="D38" s="88">
        <f t="shared" si="0"/>
        <v>0</v>
      </c>
    </row>
    <row r="39" spans="1:4" ht="18" hidden="1" x14ac:dyDescent="0.3">
      <c r="A39" s="63" t="s">
        <v>38</v>
      </c>
      <c r="B39" s="87"/>
      <c r="C39" s="87"/>
      <c r="D39" s="88">
        <f t="shared" si="0"/>
        <v>0</v>
      </c>
    </row>
    <row r="40" spans="1:4" ht="18" hidden="1" x14ac:dyDescent="0.3">
      <c r="A40" s="66" t="s">
        <v>39</v>
      </c>
      <c r="B40" s="87"/>
      <c r="C40" s="87"/>
      <c r="D40" s="88">
        <f t="shared" si="0"/>
        <v>0</v>
      </c>
    </row>
    <row r="41" spans="1:4" ht="18" x14ac:dyDescent="0.3">
      <c r="A41" s="63" t="s">
        <v>40</v>
      </c>
      <c r="B41" s="87">
        <f>180+60+60</f>
        <v>300</v>
      </c>
      <c r="C41" s="87">
        <v>12500</v>
      </c>
      <c r="D41" s="88">
        <f t="shared" si="0"/>
        <v>3750000</v>
      </c>
    </row>
    <row r="42" spans="1:4" ht="18" hidden="1" x14ac:dyDescent="0.3">
      <c r="A42" s="63" t="s">
        <v>41</v>
      </c>
      <c r="B42" s="87"/>
      <c r="C42" s="87"/>
      <c r="D42" s="88">
        <f t="shared" si="0"/>
        <v>0</v>
      </c>
    </row>
    <row r="43" spans="1:4" ht="18" x14ac:dyDescent="0.3">
      <c r="A43" s="63" t="s">
        <v>42</v>
      </c>
      <c r="B43" s="87">
        <v>40</v>
      </c>
      <c r="C43" s="87">
        <v>17000</v>
      </c>
      <c r="D43" s="88">
        <f t="shared" si="0"/>
        <v>680000</v>
      </c>
    </row>
    <row r="44" spans="1:4" ht="18" hidden="1" x14ac:dyDescent="0.3">
      <c r="A44" s="63" t="s">
        <v>43</v>
      </c>
      <c r="B44" s="87"/>
      <c r="C44" s="87"/>
      <c r="D44" s="88">
        <f t="shared" si="0"/>
        <v>0</v>
      </c>
    </row>
    <row r="45" spans="1:4" ht="18" hidden="1" x14ac:dyDescent="0.3">
      <c r="A45" s="63" t="s">
        <v>44</v>
      </c>
      <c r="B45" s="87"/>
      <c r="C45" s="87"/>
      <c r="D45" s="88">
        <f t="shared" si="0"/>
        <v>0</v>
      </c>
    </row>
    <row r="46" spans="1:4" ht="18" hidden="1" x14ac:dyDescent="0.3">
      <c r="A46" s="67" t="s">
        <v>46</v>
      </c>
      <c r="B46" s="87"/>
      <c r="C46" s="87"/>
      <c r="D46" s="88">
        <f t="shared" si="0"/>
        <v>0</v>
      </c>
    </row>
    <row r="47" spans="1:4" ht="18" hidden="1" x14ac:dyDescent="0.3">
      <c r="A47" s="65" t="s">
        <v>47</v>
      </c>
      <c r="B47" s="87"/>
      <c r="C47" s="87"/>
      <c r="D47" s="88">
        <f t="shared" si="0"/>
        <v>0</v>
      </c>
    </row>
    <row r="48" spans="1:4" ht="18" hidden="1" x14ac:dyDescent="0.3">
      <c r="A48" s="61" t="s">
        <v>300</v>
      </c>
      <c r="B48" s="87"/>
      <c r="C48" s="87"/>
      <c r="D48" s="88">
        <f t="shared" si="0"/>
        <v>0</v>
      </c>
    </row>
    <row r="49" spans="1:4" ht="18" hidden="1" x14ac:dyDescent="0.3">
      <c r="A49" s="63" t="s">
        <v>48</v>
      </c>
      <c r="B49" s="87"/>
      <c r="C49" s="87"/>
      <c r="D49" s="88">
        <f t="shared" si="0"/>
        <v>0</v>
      </c>
    </row>
    <row r="50" spans="1:4" ht="18" hidden="1" x14ac:dyDescent="0.3">
      <c r="A50" s="63" t="s">
        <v>49</v>
      </c>
      <c r="B50" s="87"/>
      <c r="C50" s="87"/>
      <c r="D50" s="88">
        <f t="shared" si="0"/>
        <v>0</v>
      </c>
    </row>
    <row r="51" spans="1:4" ht="18" hidden="1" x14ac:dyDescent="0.3">
      <c r="A51" s="63" t="s">
        <v>50</v>
      </c>
      <c r="B51" s="87"/>
      <c r="C51" s="87"/>
      <c r="D51" s="88">
        <f t="shared" si="0"/>
        <v>0</v>
      </c>
    </row>
    <row r="52" spans="1:4" ht="18" hidden="1" x14ac:dyDescent="0.3">
      <c r="A52" s="60" t="s">
        <v>51</v>
      </c>
      <c r="B52" s="87"/>
      <c r="C52" s="87"/>
      <c r="D52" s="88">
        <f t="shared" si="0"/>
        <v>0</v>
      </c>
    </row>
    <row r="53" spans="1:4" ht="18" hidden="1" x14ac:dyDescent="0.3">
      <c r="A53" s="63" t="s">
        <v>52</v>
      </c>
      <c r="B53" s="87"/>
      <c r="C53" s="87"/>
      <c r="D53" s="88">
        <f t="shared" si="0"/>
        <v>0</v>
      </c>
    </row>
    <row r="54" spans="1:4" ht="18" hidden="1" x14ac:dyDescent="0.3">
      <c r="A54" s="68" t="s">
        <v>53</v>
      </c>
      <c r="B54" s="87"/>
      <c r="C54" s="87"/>
      <c r="D54" s="88">
        <f t="shared" si="0"/>
        <v>0</v>
      </c>
    </row>
    <row r="55" spans="1:4" ht="18" hidden="1" x14ac:dyDescent="0.3">
      <c r="A55" s="63" t="s">
        <v>54</v>
      </c>
      <c r="B55" s="87"/>
      <c r="C55" s="87"/>
      <c r="D55" s="88">
        <f t="shared" si="0"/>
        <v>0</v>
      </c>
    </row>
    <row r="56" spans="1:4" ht="18" hidden="1" x14ac:dyDescent="0.3">
      <c r="A56" s="17" t="s">
        <v>55</v>
      </c>
      <c r="B56" s="87"/>
      <c r="C56" s="87"/>
      <c r="D56" s="88">
        <f t="shared" si="0"/>
        <v>0</v>
      </c>
    </row>
    <row r="57" spans="1:4" ht="18" hidden="1" x14ac:dyDescent="0.3">
      <c r="A57" s="63" t="s">
        <v>56</v>
      </c>
      <c r="B57" s="87"/>
      <c r="C57" s="87"/>
      <c r="D57" s="88">
        <f t="shared" si="0"/>
        <v>0</v>
      </c>
    </row>
    <row r="58" spans="1:4" ht="18" hidden="1" x14ac:dyDescent="0.3">
      <c r="A58" s="63" t="s">
        <v>57</v>
      </c>
      <c r="B58" s="87"/>
      <c r="C58" s="87"/>
      <c r="D58" s="88">
        <f t="shared" si="0"/>
        <v>0</v>
      </c>
    </row>
    <row r="59" spans="1:4" ht="18" x14ac:dyDescent="0.3">
      <c r="A59" s="67" t="s">
        <v>58</v>
      </c>
      <c r="B59" s="87">
        <v>9</v>
      </c>
      <c r="C59" s="87">
        <v>7000</v>
      </c>
      <c r="D59" s="88">
        <f t="shared" si="0"/>
        <v>63000</v>
      </c>
    </row>
    <row r="60" spans="1:4" ht="18" hidden="1" x14ac:dyDescent="0.3">
      <c r="A60" s="60" t="s">
        <v>59</v>
      </c>
      <c r="B60" s="87"/>
      <c r="C60" s="87"/>
      <c r="D60" s="88">
        <f t="shared" si="0"/>
        <v>0</v>
      </c>
    </row>
    <row r="61" spans="1:4" ht="18" hidden="1" x14ac:dyDescent="0.3">
      <c r="A61" s="60" t="s">
        <v>60</v>
      </c>
      <c r="B61" s="87"/>
      <c r="C61" s="87"/>
      <c r="D61" s="88">
        <f t="shared" si="0"/>
        <v>0</v>
      </c>
    </row>
    <row r="62" spans="1:4" ht="18" x14ac:dyDescent="0.3">
      <c r="A62" s="63" t="s">
        <v>61</v>
      </c>
      <c r="B62" s="87">
        <v>13</v>
      </c>
      <c r="C62" s="87">
        <v>11400</v>
      </c>
      <c r="D62" s="88">
        <f t="shared" si="0"/>
        <v>148200</v>
      </c>
    </row>
    <row r="63" spans="1:4" ht="18" x14ac:dyDescent="0.3">
      <c r="A63" s="69" t="s">
        <v>62</v>
      </c>
      <c r="B63" s="90">
        <v>3</v>
      </c>
      <c r="C63" s="90">
        <v>19000</v>
      </c>
      <c r="D63" s="88">
        <f t="shared" si="0"/>
        <v>57000</v>
      </c>
    </row>
    <row r="64" spans="1:4" ht="18" hidden="1" x14ac:dyDescent="0.3">
      <c r="A64" s="63" t="s">
        <v>63</v>
      </c>
      <c r="B64" s="87"/>
      <c r="C64" s="87"/>
      <c r="D64" s="88">
        <f t="shared" si="0"/>
        <v>0</v>
      </c>
    </row>
    <row r="65" spans="1:4" ht="18" hidden="1" x14ac:dyDescent="0.3">
      <c r="A65" s="60" t="s">
        <v>64</v>
      </c>
      <c r="B65" s="87"/>
      <c r="C65" s="87"/>
      <c r="D65" s="88">
        <f t="shared" si="0"/>
        <v>0</v>
      </c>
    </row>
    <row r="66" spans="1:4" ht="18" hidden="1" x14ac:dyDescent="0.3">
      <c r="A66" s="60" t="s">
        <v>65</v>
      </c>
      <c r="B66" s="87"/>
      <c r="C66" s="87"/>
      <c r="D66" s="88">
        <f t="shared" si="0"/>
        <v>0</v>
      </c>
    </row>
    <row r="67" spans="1:4" ht="18" hidden="1" x14ac:dyDescent="0.3">
      <c r="A67" s="63" t="s">
        <v>66</v>
      </c>
      <c r="B67" s="87"/>
      <c r="C67" s="87"/>
      <c r="D67" s="88">
        <f t="shared" si="0"/>
        <v>0</v>
      </c>
    </row>
    <row r="68" spans="1:4" ht="18" x14ac:dyDescent="0.3">
      <c r="A68" s="60" t="s">
        <v>67</v>
      </c>
      <c r="B68" s="87">
        <f>100+120+65+260</f>
        <v>545</v>
      </c>
      <c r="C68" s="87">
        <v>26000</v>
      </c>
      <c r="D68" s="88">
        <f t="shared" ref="D68:D131" si="1">B68*C68</f>
        <v>14170000</v>
      </c>
    </row>
    <row r="69" spans="1:4" ht="18" hidden="1" x14ac:dyDescent="0.3">
      <c r="A69" s="63" t="s">
        <v>68</v>
      </c>
      <c r="B69" s="87"/>
      <c r="C69" s="87"/>
      <c r="D69" s="88">
        <f t="shared" si="1"/>
        <v>0</v>
      </c>
    </row>
    <row r="70" spans="1:4" ht="18" hidden="1" x14ac:dyDescent="0.3">
      <c r="A70" s="63" t="s">
        <v>69</v>
      </c>
      <c r="B70" s="87"/>
      <c r="C70" s="87"/>
      <c r="D70" s="88">
        <f t="shared" si="1"/>
        <v>0</v>
      </c>
    </row>
    <row r="71" spans="1:4" ht="18" hidden="1" x14ac:dyDescent="0.3">
      <c r="A71" s="63" t="s">
        <v>70</v>
      </c>
      <c r="B71" s="87"/>
      <c r="C71" s="87"/>
      <c r="D71" s="88">
        <f t="shared" si="1"/>
        <v>0</v>
      </c>
    </row>
    <row r="72" spans="1:4" ht="18" hidden="1" x14ac:dyDescent="0.3">
      <c r="A72" s="63" t="s">
        <v>71</v>
      </c>
      <c r="B72" s="87"/>
      <c r="C72" s="87"/>
      <c r="D72" s="88">
        <f t="shared" si="1"/>
        <v>0</v>
      </c>
    </row>
    <row r="73" spans="1:4" ht="18" hidden="1" x14ac:dyDescent="0.3">
      <c r="A73" s="70" t="s">
        <v>72</v>
      </c>
      <c r="B73" s="87"/>
      <c r="C73" s="87"/>
      <c r="D73" s="88">
        <f t="shared" si="1"/>
        <v>0</v>
      </c>
    </row>
    <row r="74" spans="1:4" ht="18" hidden="1" x14ac:dyDescent="0.3">
      <c r="A74" s="71" t="s">
        <v>73</v>
      </c>
      <c r="B74" s="87"/>
      <c r="C74" s="87"/>
      <c r="D74" s="88">
        <f t="shared" si="1"/>
        <v>0</v>
      </c>
    </row>
    <row r="75" spans="1:4" ht="18" hidden="1" x14ac:dyDescent="0.3">
      <c r="A75" s="70" t="s">
        <v>74</v>
      </c>
      <c r="B75" s="87"/>
      <c r="C75" s="87"/>
      <c r="D75" s="88">
        <f t="shared" si="1"/>
        <v>0</v>
      </c>
    </row>
    <row r="76" spans="1:4" ht="18" hidden="1" x14ac:dyDescent="0.3">
      <c r="A76" s="68" t="s">
        <v>75</v>
      </c>
      <c r="B76" s="87"/>
      <c r="C76" s="87"/>
      <c r="D76" s="88">
        <f t="shared" si="1"/>
        <v>0</v>
      </c>
    </row>
    <row r="77" spans="1:4" ht="18" hidden="1" x14ac:dyDescent="0.3">
      <c r="A77" s="72" t="s">
        <v>76</v>
      </c>
      <c r="B77" s="87"/>
      <c r="C77" s="87"/>
      <c r="D77" s="88">
        <f t="shared" si="1"/>
        <v>0</v>
      </c>
    </row>
    <row r="78" spans="1:4" ht="18" hidden="1" x14ac:dyDescent="0.3">
      <c r="A78" s="72" t="s">
        <v>77</v>
      </c>
      <c r="B78" s="87"/>
      <c r="C78" s="87"/>
      <c r="D78" s="88">
        <f t="shared" si="1"/>
        <v>0</v>
      </c>
    </row>
    <row r="79" spans="1:4" ht="18" hidden="1" x14ac:dyDescent="0.3">
      <c r="A79" s="22" t="s">
        <v>78</v>
      </c>
      <c r="B79" s="87"/>
      <c r="C79" s="87"/>
      <c r="D79" s="88">
        <f t="shared" si="1"/>
        <v>0</v>
      </c>
    </row>
    <row r="80" spans="1:4" ht="18" hidden="1" x14ac:dyDescent="0.3">
      <c r="A80" s="72" t="s">
        <v>79</v>
      </c>
      <c r="B80" s="87"/>
      <c r="C80" s="87"/>
      <c r="D80" s="88">
        <f t="shared" si="1"/>
        <v>0</v>
      </c>
    </row>
    <row r="81" spans="1:4" ht="18" hidden="1" x14ac:dyDescent="0.3">
      <c r="A81" s="63" t="s">
        <v>80</v>
      </c>
      <c r="B81" s="91"/>
      <c r="C81" s="91"/>
      <c r="D81" s="88">
        <f t="shared" si="1"/>
        <v>0</v>
      </c>
    </row>
    <row r="82" spans="1:4" ht="18" x14ac:dyDescent="0.3">
      <c r="A82" s="63" t="s">
        <v>81</v>
      </c>
      <c r="B82" s="87">
        <v>32</v>
      </c>
      <c r="C82" s="87">
        <v>15000</v>
      </c>
      <c r="D82" s="88">
        <f t="shared" si="1"/>
        <v>480000</v>
      </c>
    </row>
    <row r="83" spans="1:4" ht="18" x14ac:dyDescent="0.3">
      <c r="A83" s="63" t="s">
        <v>82</v>
      </c>
      <c r="B83" s="87">
        <v>8</v>
      </c>
      <c r="C83" s="87">
        <v>30000</v>
      </c>
      <c r="D83" s="88">
        <f t="shared" si="1"/>
        <v>240000</v>
      </c>
    </row>
    <row r="84" spans="1:4" ht="18" hidden="1" x14ac:dyDescent="0.3">
      <c r="A84" s="63" t="s">
        <v>83</v>
      </c>
      <c r="B84" s="87"/>
      <c r="C84" s="87"/>
      <c r="D84" s="88">
        <f t="shared" si="1"/>
        <v>0</v>
      </c>
    </row>
    <row r="85" spans="1:4" ht="18" x14ac:dyDescent="0.3">
      <c r="A85" s="63" t="s">
        <v>84</v>
      </c>
      <c r="B85" s="87">
        <v>7</v>
      </c>
      <c r="C85" s="87">
        <v>19000</v>
      </c>
      <c r="D85" s="88">
        <f t="shared" si="1"/>
        <v>133000</v>
      </c>
    </row>
    <row r="86" spans="1:4" ht="18" hidden="1" x14ac:dyDescent="0.3">
      <c r="A86" s="63" t="s">
        <v>85</v>
      </c>
      <c r="B86" s="87"/>
      <c r="C86" s="87"/>
      <c r="D86" s="88">
        <f t="shared" si="1"/>
        <v>0</v>
      </c>
    </row>
    <row r="87" spans="1:4" ht="18" hidden="1" x14ac:dyDescent="0.3">
      <c r="A87" s="63" t="s">
        <v>86</v>
      </c>
      <c r="B87" s="87"/>
      <c r="C87" s="87"/>
      <c r="D87" s="88">
        <f t="shared" si="1"/>
        <v>0</v>
      </c>
    </row>
    <row r="88" spans="1:4" ht="18" hidden="1" x14ac:dyDescent="0.3">
      <c r="A88" s="73" t="s">
        <v>87</v>
      </c>
      <c r="B88" s="87"/>
      <c r="C88" s="87"/>
      <c r="D88" s="88">
        <f t="shared" si="1"/>
        <v>0</v>
      </c>
    </row>
    <row r="89" spans="1:4" ht="18" hidden="1" x14ac:dyDescent="0.3">
      <c r="A89" s="63" t="s">
        <v>88</v>
      </c>
      <c r="B89" s="87"/>
      <c r="C89" s="87"/>
      <c r="D89" s="88">
        <f t="shared" si="1"/>
        <v>0</v>
      </c>
    </row>
    <row r="90" spans="1:4" ht="18" hidden="1" x14ac:dyDescent="0.3">
      <c r="A90" s="63" t="s">
        <v>89</v>
      </c>
      <c r="B90" s="87"/>
      <c r="C90" s="87"/>
      <c r="D90" s="88">
        <f t="shared" si="1"/>
        <v>0</v>
      </c>
    </row>
    <row r="91" spans="1:4" ht="18" hidden="1" x14ac:dyDescent="0.3">
      <c r="A91" s="63" t="s">
        <v>90</v>
      </c>
      <c r="B91" s="89"/>
      <c r="C91" s="87"/>
      <c r="D91" s="88">
        <f t="shared" si="1"/>
        <v>0</v>
      </c>
    </row>
    <row r="92" spans="1:4" ht="18" hidden="1" x14ac:dyDescent="0.3">
      <c r="A92" s="74" t="s">
        <v>91</v>
      </c>
      <c r="B92" s="87"/>
      <c r="C92" s="87"/>
      <c r="D92" s="88">
        <f t="shared" si="1"/>
        <v>0</v>
      </c>
    </row>
    <row r="93" spans="1:4" ht="18" hidden="1" x14ac:dyDescent="0.3">
      <c r="A93" s="60" t="s">
        <v>93</v>
      </c>
      <c r="B93" s="87"/>
      <c r="C93" s="87"/>
      <c r="D93" s="88">
        <f t="shared" si="1"/>
        <v>0</v>
      </c>
    </row>
    <row r="94" spans="1:4" ht="18" hidden="1" x14ac:dyDescent="0.3">
      <c r="A94" s="65" t="s">
        <v>94</v>
      </c>
      <c r="B94" s="87"/>
      <c r="C94" s="87"/>
      <c r="D94" s="88">
        <f t="shared" si="1"/>
        <v>0</v>
      </c>
    </row>
    <row r="95" spans="1:4" ht="18" hidden="1" x14ac:dyDescent="0.3">
      <c r="A95" s="60" t="s">
        <v>95</v>
      </c>
      <c r="B95" s="87"/>
      <c r="C95" s="87"/>
      <c r="D95" s="88">
        <f t="shared" si="1"/>
        <v>0</v>
      </c>
    </row>
    <row r="96" spans="1:4" ht="18" hidden="1" x14ac:dyDescent="0.3">
      <c r="A96" s="63" t="s">
        <v>96</v>
      </c>
      <c r="B96" s="87"/>
      <c r="C96" s="87"/>
      <c r="D96" s="88">
        <f t="shared" si="1"/>
        <v>0</v>
      </c>
    </row>
    <row r="97" spans="1:4" ht="18" hidden="1" x14ac:dyDescent="0.3">
      <c r="A97" s="75" t="s">
        <v>97</v>
      </c>
      <c r="B97" s="87"/>
      <c r="C97" s="87"/>
      <c r="D97" s="88">
        <f t="shared" si="1"/>
        <v>0</v>
      </c>
    </row>
    <row r="98" spans="1:4" ht="18" x14ac:dyDescent="0.3">
      <c r="A98" s="76" t="s">
        <v>98</v>
      </c>
      <c r="B98" s="87">
        <v>3</v>
      </c>
      <c r="C98" s="87">
        <v>25000</v>
      </c>
      <c r="D98" s="88">
        <f t="shared" si="1"/>
        <v>75000</v>
      </c>
    </row>
    <row r="99" spans="1:4" ht="18" hidden="1" x14ac:dyDescent="0.3">
      <c r="A99" s="76" t="s">
        <v>99</v>
      </c>
      <c r="B99" s="87"/>
      <c r="C99" s="87"/>
      <c r="D99" s="88">
        <f t="shared" si="1"/>
        <v>0</v>
      </c>
    </row>
    <row r="100" spans="1:4" ht="18" hidden="1" x14ac:dyDescent="0.3">
      <c r="A100" s="14" t="s">
        <v>100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101</v>
      </c>
      <c r="B101" s="87"/>
      <c r="C101" s="87"/>
      <c r="D101" s="88">
        <f t="shared" si="1"/>
        <v>0</v>
      </c>
    </row>
    <row r="102" spans="1:4" ht="18" hidden="1" x14ac:dyDescent="0.3">
      <c r="A102" s="63" t="s">
        <v>102</v>
      </c>
      <c r="B102" s="89"/>
      <c r="C102" s="89"/>
      <c r="D102" s="88">
        <f t="shared" si="1"/>
        <v>0</v>
      </c>
    </row>
    <row r="103" spans="1:4" ht="18" hidden="1" x14ac:dyDescent="0.3">
      <c r="A103" s="63" t="s">
        <v>103</v>
      </c>
      <c r="B103" s="89"/>
      <c r="C103" s="89"/>
      <c r="D103" s="88">
        <f t="shared" si="1"/>
        <v>0</v>
      </c>
    </row>
    <row r="104" spans="1:4" ht="18" hidden="1" x14ac:dyDescent="0.3">
      <c r="A104" s="63" t="s">
        <v>104</v>
      </c>
      <c r="B104" s="89"/>
      <c r="C104" s="89"/>
      <c r="D104" s="88">
        <f t="shared" si="1"/>
        <v>0</v>
      </c>
    </row>
    <row r="105" spans="1:4" ht="18" hidden="1" x14ac:dyDescent="0.3">
      <c r="A105" s="63" t="s">
        <v>105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106</v>
      </c>
      <c r="B106" s="89"/>
      <c r="C106" s="89"/>
      <c r="D106" s="88">
        <f t="shared" si="1"/>
        <v>0</v>
      </c>
    </row>
    <row r="107" spans="1:4" ht="18" hidden="1" x14ac:dyDescent="0.3">
      <c r="A107" s="63" t="s">
        <v>107</v>
      </c>
      <c r="B107" s="89"/>
      <c r="C107" s="89"/>
      <c r="D107" s="88">
        <f t="shared" si="1"/>
        <v>0</v>
      </c>
    </row>
    <row r="108" spans="1:4" ht="18" hidden="1" x14ac:dyDescent="0.3">
      <c r="A108" s="63" t="s">
        <v>108</v>
      </c>
      <c r="B108" s="89"/>
      <c r="C108" s="89"/>
      <c r="D108" s="88">
        <f t="shared" si="1"/>
        <v>0</v>
      </c>
    </row>
    <row r="109" spans="1:4" ht="18" hidden="1" x14ac:dyDescent="0.3">
      <c r="A109" s="63" t="s">
        <v>109</v>
      </c>
      <c r="B109" s="89"/>
      <c r="C109" s="89"/>
      <c r="D109" s="88">
        <f t="shared" si="1"/>
        <v>0</v>
      </c>
    </row>
    <row r="110" spans="1:4" ht="18" hidden="1" x14ac:dyDescent="0.3">
      <c r="A110" s="63" t="s">
        <v>110</v>
      </c>
      <c r="B110" s="89"/>
      <c r="C110" s="89"/>
      <c r="D110" s="88">
        <f t="shared" si="1"/>
        <v>0</v>
      </c>
    </row>
    <row r="111" spans="1:4" ht="18" hidden="1" x14ac:dyDescent="0.3">
      <c r="A111" s="63" t="s">
        <v>111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112</v>
      </c>
      <c r="B112" s="89"/>
      <c r="C112" s="89"/>
      <c r="D112" s="88">
        <f t="shared" si="1"/>
        <v>0</v>
      </c>
    </row>
    <row r="113" spans="1:4" ht="18" x14ac:dyDescent="0.3">
      <c r="A113" s="60" t="s">
        <v>113</v>
      </c>
      <c r="B113" s="87">
        <f>240+20+50</f>
        <v>310</v>
      </c>
      <c r="C113" s="87">
        <v>22000</v>
      </c>
      <c r="D113" s="88">
        <f t="shared" si="1"/>
        <v>6820000</v>
      </c>
    </row>
    <row r="114" spans="1:4" ht="18" x14ac:dyDescent="0.3">
      <c r="A114" s="63" t="s">
        <v>114</v>
      </c>
      <c r="B114" s="87">
        <v>40</v>
      </c>
      <c r="C114" s="87">
        <v>20000</v>
      </c>
      <c r="D114" s="88">
        <f t="shared" si="1"/>
        <v>800000</v>
      </c>
    </row>
    <row r="115" spans="1:4" ht="18" hidden="1" x14ac:dyDescent="0.3">
      <c r="A115" s="63" t="s">
        <v>115</v>
      </c>
      <c r="B115" s="87"/>
      <c r="C115" s="87"/>
      <c r="D115" s="88">
        <f t="shared" si="1"/>
        <v>0</v>
      </c>
    </row>
    <row r="116" spans="1:4" ht="18" hidden="1" x14ac:dyDescent="0.3">
      <c r="A116" s="60" t="s">
        <v>116</v>
      </c>
      <c r="B116" s="87"/>
      <c r="C116" s="87"/>
      <c r="D116" s="88">
        <f t="shared" si="1"/>
        <v>0</v>
      </c>
    </row>
    <row r="117" spans="1:4" ht="18" hidden="1" x14ac:dyDescent="0.3">
      <c r="A117" s="63" t="s">
        <v>117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118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119</v>
      </c>
      <c r="B119" s="87"/>
      <c r="C119" s="87"/>
      <c r="D119" s="88">
        <f t="shared" si="1"/>
        <v>0</v>
      </c>
    </row>
    <row r="120" spans="1:4" ht="18" x14ac:dyDescent="0.3">
      <c r="A120" s="63" t="s">
        <v>120</v>
      </c>
      <c r="B120" s="87">
        <f>225+300+40+1200+1050</f>
        <v>2815</v>
      </c>
      <c r="C120" s="87">
        <v>5000</v>
      </c>
      <c r="D120" s="88">
        <f t="shared" si="1"/>
        <v>14075000</v>
      </c>
    </row>
    <row r="121" spans="1:4" ht="18" hidden="1" x14ac:dyDescent="0.3">
      <c r="A121" s="63" t="s">
        <v>121</v>
      </c>
      <c r="B121" s="87"/>
      <c r="C121" s="87"/>
      <c r="D121" s="88">
        <f t="shared" si="1"/>
        <v>0</v>
      </c>
    </row>
    <row r="122" spans="1:4" ht="18" hidden="1" x14ac:dyDescent="0.3">
      <c r="A122" s="61" t="s">
        <v>122</v>
      </c>
      <c r="B122" s="87"/>
      <c r="C122" s="87"/>
      <c r="D122" s="88">
        <f t="shared" si="1"/>
        <v>0</v>
      </c>
    </row>
    <row r="123" spans="1:4" ht="18" hidden="1" x14ac:dyDescent="0.3">
      <c r="A123" s="74" t="s">
        <v>123</v>
      </c>
      <c r="B123" s="87"/>
      <c r="C123" s="87"/>
      <c r="D123" s="88">
        <f t="shared" si="1"/>
        <v>0</v>
      </c>
    </row>
    <row r="124" spans="1:4" ht="78" hidden="1" x14ac:dyDescent="0.3">
      <c r="A124" s="77" t="s">
        <v>124</v>
      </c>
      <c r="B124" s="87"/>
      <c r="C124" s="87"/>
      <c r="D124" s="88">
        <f t="shared" si="1"/>
        <v>0</v>
      </c>
    </row>
    <row r="125" spans="1:4" ht="18" x14ac:dyDescent="0.3">
      <c r="A125" s="72" t="s">
        <v>125</v>
      </c>
      <c r="B125" s="87">
        <v>3</v>
      </c>
      <c r="C125" s="87">
        <v>11000</v>
      </c>
      <c r="D125" s="88">
        <f t="shared" si="1"/>
        <v>33000</v>
      </c>
    </row>
    <row r="126" spans="1:4" ht="18" hidden="1" x14ac:dyDescent="0.3">
      <c r="A126" s="60" t="s">
        <v>126</v>
      </c>
      <c r="B126" s="89"/>
      <c r="C126" s="89"/>
      <c r="D126" s="88">
        <f t="shared" si="1"/>
        <v>0</v>
      </c>
    </row>
    <row r="127" spans="1:4" ht="18" hidden="1" x14ac:dyDescent="0.3">
      <c r="A127" s="60" t="s">
        <v>127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128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129</v>
      </c>
      <c r="B129" s="92"/>
      <c r="C129" s="92"/>
      <c r="D129" s="88">
        <f t="shared" si="1"/>
        <v>0</v>
      </c>
    </row>
    <row r="130" spans="1:4" ht="18" hidden="1" x14ac:dyDescent="0.3">
      <c r="A130" s="63" t="s">
        <v>130</v>
      </c>
      <c r="B130" s="89"/>
      <c r="C130" s="89"/>
      <c r="D130" s="88">
        <f t="shared" si="1"/>
        <v>0</v>
      </c>
    </row>
    <row r="131" spans="1:4" ht="18" hidden="1" x14ac:dyDescent="0.3">
      <c r="A131" s="63" t="s">
        <v>131</v>
      </c>
      <c r="B131" s="89"/>
      <c r="C131" s="89"/>
      <c r="D131" s="88">
        <f t="shared" si="1"/>
        <v>0</v>
      </c>
    </row>
    <row r="132" spans="1:4" ht="18" hidden="1" x14ac:dyDescent="0.3">
      <c r="A132" s="65" t="s">
        <v>132</v>
      </c>
      <c r="B132" s="87"/>
      <c r="C132" s="87"/>
      <c r="D132" s="88">
        <f t="shared" ref="D132:D195" si="2">B132*C132</f>
        <v>0</v>
      </c>
    </row>
    <row r="133" spans="1:4" ht="18" hidden="1" x14ac:dyDescent="0.3">
      <c r="A133" s="65" t="s">
        <v>133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134</v>
      </c>
      <c r="B134" s="87"/>
      <c r="C134" s="87"/>
      <c r="D134" s="88">
        <f t="shared" si="2"/>
        <v>0</v>
      </c>
    </row>
    <row r="135" spans="1:4" ht="18" hidden="1" x14ac:dyDescent="0.3">
      <c r="A135" s="63" t="s">
        <v>135</v>
      </c>
      <c r="B135" s="87"/>
      <c r="C135" s="87"/>
      <c r="D135" s="88">
        <f t="shared" si="2"/>
        <v>0</v>
      </c>
    </row>
    <row r="136" spans="1:4" ht="18" hidden="1" x14ac:dyDescent="0.3">
      <c r="A136" s="65" t="s">
        <v>136</v>
      </c>
      <c r="B136" s="87"/>
      <c r="C136" s="87"/>
      <c r="D136" s="88">
        <f t="shared" si="2"/>
        <v>0</v>
      </c>
    </row>
    <row r="137" spans="1:4" ht="18" hidden="1" x14ac:dyDescent="0.3">
      <c r="A137" s="63" t="s">
        <v>137</v>
      </c>
      <c r="B137" s="89"/>
      <c r="C137" s="89"/>
      <c r="D137" s="88">
        <f t="shared" si="2"/>
        <v>0</v>
      </c>
    </row>
    <row r="138" spans="1:4" ht="18" hidden="1" x14ac:dyDescent="0.3">
      <c r="A138" s="60" t="s">
        <v>138</v>
      </c>
      <c r="B138" s="89"/>
      <c r="C138" s="89"/>
      <c r="D138" s="88">
        <f t="shared" si="2"/>
        <v>0</v>
      </c>
    </row>
    <row r="139" spans="1:4" ht="18" hidden="1" x14ac:dyDescent="0.3">
      <c r="A139" s="63" t="s">
        <v>139</v>
      </c>
      <c r="B139" s="87"/>
      <c r="C139" s="87"/>
      <c r="D139" s="88">
        <f t="shared" si="2"/>
        <v>0</v>
      </c>
    </row>
    <row r="140" spans="1:4" ht="18" hidden="1" x14ac:dyDescent="0.3">
      <c r="A140" s="72" t="s">
        <v>140</v>
      </c>
      <c r="B140" s="87"/>
      <c r="C140" s="87"/>
      <c r="D140" s="88">
        <f t="shared" si="2"/>
        <v>0</v>
      </c>
    </row>
    <row r="141" spans="1:4" ht="18" hidden="1" x14ac:dyDescent="0.3">
      <c r="A141" s="60" t="s">
        <v>141</v>
      </c>
      <c r="B141" s="87"/>
      <c r="C141" s="87"/>
      <c r="D141" s="88">
        <f t="shared" si="2"/>
        <v>0</v>
      </c>
    </row>
    <row r="142" spans="1:4" ht="18" x14ac:dyDescent="0.3">
      <c r="A142" s="63" t="s">
        <v>142</v>
      </c>
      <c r="B142" s="87">
        <f>60+90+30+40+230</f>
        <v>450</v>
      </c>
      <c r="C142" s="87">
        <v>24000</v>
      </c>
      <c r="D142" s="88">
        <f t="shared" si="2"/>
        <v>10800000</v>
      </c>
    </row>
    <row r="143" spans="1:4" ht="18" x14ac:dyDescent="0.3">
      <c r="A143" s="73" t="s">
        <v>143</v>
      </c>
      <c r="B143" s="87">
        <f>40+60</f>
        <v>100</v>
      </c>
      <c r="C143" s="87">
        <v>18000</v>
      </c>
      <c r="D143" s="88">
        <f t="shared" si="2"/>
        <v>1800000</v>
      </c>
    </row>
    <row r="144" spans="1:4" ht="18" hidden="1" x14ac:dyDescent="0.3">
      <c r="A144" s="73" t="s">
        <v>144</v>
      </c>
      <c r="B144" s="87"/>
      <c r="C144" s="87"/>
      <c r="D144" s="88">
        <f t="shared" si="2"/>
        <v>0</v>
      </c>
    </row>
    <row r="145" spans="1:4" ht="18" hidden="1" x14ac:dyDescent="0.3">
      <c r="A145" s="63" t="s">
        <v>145</v>
      </c>
      <c r="B145" s="87"/>
      <c r="C145" s="87"/>
      <c r="D145" s="88">
        <f t="shared" si="2"/>
        <v>0</v>
      </c>
    </row>
    <row r="146" spans="1:4" ht="18" hidden="1" x14ac:dyDescent="0.3">
      <c r="A146" s="63" t="s">
        <v>146</v>
      </c>
      <c r="B146" s="87"/>
      <c r="C146" s="87"/>
      <c r="D146" s="88">
        <f t="shared" si="2"/>
        <v>0</v>
      </c>
    </row>
    <row r="147" spans="1:4" ht="18" hidden="1" x14ac:dyDescent="0.3">
      <c r="A147" s="63" t="s">
        <v>147</v>
      </c>
      <c r="B147" s="87"/>
      <c r="C147" s="87"/>
      <c r="D147" s="88">
        <f t="shared" si="2"/>
        <v>0</v>
      </c>
    </row>
    <row r="148" spans="1:4" ht="18" hidden="1" x14ac:dyDescent="0.3">
      <c r="A148" s="68" t="s">
        <v>148</v>
      </c>
      <c r="B148" s="87"/>
      <c r="C148" s="87"/>
      <c r="D148" s="88">
        <f t="shared" si="2"/>
        <v>0</v>
      </c>
    </row>
    <row r="149" spans="1:4" ht="18" hidden="1" x14ac:dyDescent="0.3">
      <c r="A149" s="68" t="s">
        <v>149</v>
      </c>
      <c r="B149" s="87"/>
      <c r="C149" s="87"/>
      <c r="D149" s="88">
        <f t="shared" si="2"/>
        <v>0</v>
      </c>
    </row>
    <row r="150" spans="1:4" ht="18" hidden="1" x14ac:dyDescent="0.3">
      <c r="A150" s="63" t="s">
        <v>150</v>
      </c>
      <c r="B150" s="87"/>
      <c r="C150" s="87"/>
      <c r="D150" s="88">
        <f t="shared" si="2"/>
        <v>0</v>
      </c>
    </row>
    <row r="151" spans="1:4" ht="18" hidden="1" x14ac:dyDescent="0.3">
      <c r="A151" s="61" t="s">
        <v>151</v>
      </c>
      <c r="B151" s="87"/>
      <c r="C151" s="87"/>
      <c r="D151" s="88">
        <f t="shared" si="2"/>
        <v>0</v>
      </c>
    </row>
    <row r="152" spans="1:4" ht="18" hidden="1" x14ac:dyDescent="0.3">
      <c r="A152" s="67" t="s">
        <v>152</v>
      </c>
      <c r="B152" s="87"/>
      <c r="C152" s="87"/>
      <c r="D152" s="88">
        <f t="shared" si="2"/>
        <v>0</v>
      </c>
    </row>
    <row r="153" spans="1:4" ht="18" hidden="1" x14ac:dyDescent="0.3">
      <c r="A153" s="63" t="s">
        <v>153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154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155</v>
      </c>
      <c r="B155" s="87"/>
      <c r="C155" s="87"/>
      <c r="D155" s="88">
        <f t="shared" si="2"/>
        <v>0</v>
      </c>
    </row>
    <row r="156" spans="1:4" ht="18" hidden="1" x14ac:dyDescent="0.3">
      <c r="A156" s="62" t="s">
        <v>156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157</v>
      </c>
      <c r="B157" s="87"/>
      <c r="C157" s="87"/>
      <c r="D157" s="88">
        <f t="shared" si="2"/>
        <v>0</v>
      </c>
    </row>
    <row r="158" spans="1:4" ht="18" hidden="1" x14ac:dyDescent="0.3">
      <c r="A158" s="63" t="s">
        <v>158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159</v>
      </c>
      <c r="B159" s="87"/>
      <c r="C159" s="87"/>
      <c r="D159" s="88">
        <f t="shared" si="2"/>
        <v>0</v>
      </c>
    </row>
    <row r="160" spans="1:4" ht="18" x14ac:dyDescent="0.3">
      <c r="A160" s="14" t="s">
        <v>160</v>
      </c>
      <c r="B160" s="87">
        <v>35</v>
      </c>
      <c r="C160" s="87">
        <v>4200</v>
      </c>
      <c r="D160" s="88">
        <f t="shared" si="2"/>
        <v>147000</v>
      </c>
    </row>
    <row r="161" spans="1:4" ht="18" hidden="1" x14ac:dyDescent="0.3">
      <c r="A161" s="63" t="s">
        <v>161</v>
      </c>
      <c r="B161" s="87"/>
      <c r="C161" s="87"/>
      <c r="D161" s="88">
        <f t="shared" si="2"/>
        <v>0</v>
      </c>
    </row>
    <row r="162" spans="1:4" ht="18" hidden="1" x14ac:dyDescent="0.3">
      <c r="A162" s="63" t="s">
        <v>162</v>
      </c>
      <c r="B162" s="87"/>
      <c r="C162" s="87"/>
      <c r="D162" s="88">
        <f t="shared" si="2"/>
        <v>0</v>
      </c>
    </row>
    <row r="163" spans="1:4" ht="18" x14ac:dyDescent="0.3">
      <c r="A163" s="63" t="s">
        <v>163</v>
      </c>
      <c r="B163" s="87">
        <f>170+200</f>
        <v>370</v>
      </c>
      <c r="C163" s="87">
        <v>18000</v>
      </c>
      <c r="D163" s="88">
        <f t="shared" si="2"/>
        <v>6660000</v>
      </c>
    </row>
    <row r="164" spans="1:4" ht="18" hidden="1" x14ac:dyDescent="0.3">
      <c r="A164" s="74" t="s">
        <v>164</v>
      </c>
      <c r="B164" s="87"/>
      <c r="C164" s="87"/>
      <c r="D164" s="88">
        <f t="shared" si="2"/>
        <v>0</v>
      </c>
    </row>
    <row r="165" spans="1:4" ht="18" hidden="1" x14ac:dyDescent="0.3">
      <c r="A165" s="63" t="s">
        <v>319</v>
      </c>
      <c r="B165" s="87"/>
      <c r="C165" s="87"/>
      <c r="D165" s="88">
        <f t="shared" si="2"/>
        <v>0</v>
      </c>
    </row>
    <row r="166" spans="1:4" ht="18" x14ac:dyDescent="0.3">
      <c r="A166" s="63" t="s">
        <v>166</v>
      </c>
      <c r="B166" s="87">
        <f>10+15</f>
        <v>25</v>
      </c>
      <c r="C166" s="87">
        <v>16000</v>
      </c>
      <c r="D166" s="88">
        <f t="shared" si="2"/>
        <v>400000</v>
      </c>
    </row>
    <row r="167" spans="1:4" ht="18" hidden="1" x14ac:dyDescent="0.3">
      <c r="A167" s="63" t="s">
        <v>167</v>
      </c>
      <c r="B167" s="87"/>
      <c r="C167" s="87"/>
      <c r="D167" s="88">
        <f t="shared" si="2"/>
        <v>0</v>
      </c>
    </row>
    <row r="168" spans="1:4" ht="18" hidden="1" x14ac:dyDescent="0.3">
      <c r="A168" s="74" t="s">
        <v>168</v>
      </c>
      <c r="B168" s="87"/>
      <c r="C168" s="87"/>
      <c r="D168" s="88">
        <f t="shared" si="2"/>
        <v>0</v>
      </c>
    </row>
    <row r="169" spans="1:4" ht="18" hidden="1" x14ac:dyDescent="0.3">
      <c r="A169" s="63" t="s">
        <v>169</v>
      </c>
      <c r="B169" s="87"/>
      <c r="C169" s="87"/>
      <c r="D169" s="88">
        <f t="shared" si="2"/>
        <v>0</v>
      </c>
    </row>
    <row r="170" spans="1:4" ht="18" hidden="1" x14ac:dyDescent="0.3">
      <c r="A170" s="60" t="s">
        <v>170</v>
      </c>
      <c r="B170" s="87"/>
      <c r="C170" s="87"/>
      <c r="D170" s="88">
        <f t="shared" si="2"/>
        <v>0</v>
      </c>
    </row>
    <row r="171" spans="1:4" ht="18" hidden="1" x14ac:dyDescent="0.3">
      <c r="A171" s="63" t="s">
        <v>171</v>
      </c>
      <c r="B171" s="87"/>
      <c r="C171" s="87"/>
      <c r="D171" s="88">
        <f t="shared" si="2"/>
        <v>0</v>
      </c>
    </row>
    <row r="172" spans="1:4" ht="18" hidden="1" x14ac:dyDescent="0.3">
      <c r="A172" s="13" t="s">
        <v>172</v>
      </c>
      <c r="B172" s="87"/>
      <c r="C172" s="87"/>
      <c r="D172" s="88">
        <f t="shared" si="2"/>
        <v>0</v>
      </c>
    </row>
    <row r="173" spans="1:4" ht="18" hidden="1" x14ac:dyDescent="0.3">
      <c r="A173" s="13" t="s">
        <v>173</v>
      </c>
      <c r="B173" s="87"/>
      <c r="C173" s="87"/>
      <c r="D173" s="88">
        <f t="shared" si="2"/>
        <v>0</v>
      </c>
    </row>
    <row r="174" spans="1:4" ht="18" hidden="1" x14ac:dyDescent="0.3">
      <c r="A174" s="61" t="s">
        <v>174</v>
      </c>
      <c r="B174" s="87"/>
      <c r="C174" s="87"/>
      <c r="D174" s="88">
        <f t="shared" si="2"/>
        <v>0</v>
      </c>
    </row>
    <row r="175" spans="1:4" ht="18" x14ac:dyDescent="0.3">
      <c r="A175" s="60" t="s">
        <v>175</v>
      </c>
      <c r="B175" s="87">
        <v>10</v>
      </c>
      <c r="C175" s="87">
        <v>11000</v>
      </c>
      <c r="D175" s="88">
        <f t="shared" si="2"/>
        <v>110000</v>
      </c>
    </row>
    <row r="176" spans="1:4" ht="18" x14ac:dyDescent="0.3">
      <c r="A176" s="60" t="s">
        <v>176</v>
      </c>
      <c r="B176" s="87">
        <f>300+160+20+30</f>
        <v>510</v>
      </c>
      <c r="C176" s="87">
        <v>28000</v>
      </c>
      <c r="D176" s="88">
        <f t="shared" si="2"/>
        <v>14280000</v>
      </c>
    </row>
    <row r="177" spans="1:4" ht="18" hidden="1" x14ac:dyDescent="0.3">
      <c r="A177" s="63" t="s">
        <v>177</v>
      </c>
      <c r="B177" s="87"/>
      <c r="C177" s="87"/>
      <c r="D177" s="88">
        <f t="shared" si="2"/>
        <v>0</v>
      </c>
    </row>
    <row r="178" spans="1:4" ht="18" hidden="1" x14ac:dyDescent="0.3">
      <c r="A178" s="60" t="s">
        <v>178</v>
      </c>
      <c r="B178" s="87"/>
      <c r="C178" s="87"/>
      <c r="D178" s="88">
        <f t="shared" si="2"/>
        <v>0</v>
      </c>
    </row>
    <row r="179" spans="1:4" ht="18" x14ac:dyDescent="0.3">
      <c r="A179" s="60" t="s">
        <v>179</v>
      </c>
      <c r="B179" s="87">
        <v>7</v>
      </c>
      <c r="C179" s="87">
        <v>25000</v>
      </c>
      <c r="D179" s="88">
        <f t="shared" si="2"/>
        <v>175000</v>
      </c>
    </row>
    <row r="180" spans="1:4" ht="18" hidden="1" x14ac:dyDescent="0.3">
      <c r="A180" s="60" t="s">
        <v>180</v>
      </c>
      <c r="B180" s="87"/>
      <c r="C180" s="87"/>
      <c r="D180" s="88">
        <f t="shared" si="2"/>
        <v>0</v>
      </c>
    </row>
    <row r="181" spans="1:4" ht="18" hidden="1" x14ac:dyDescent="0.3">
      <c r="A181" s="63" t="s">
        <v>181</v>
      </c>
      <c r="B181" s="87"/>
      <c r="C181" s="87"/>
      <c r="D181" s="88">
        <f t="shared" si="2"/>
        <v>0</v>
      </c>
    </row>
    <row r="182" spans="1:4" ht="18" x14ac:dyDescent="0.3">
      <c r="A182" s="63" t="s">
        <v>182</v>
      </c>
      <c r="B182" s="87">
        <f>5+7+5+10</f>
        <v>27</v>
      </c>
      <c r="C182" s="87">
        <v>17000</v>
      </c>
      <c r="D182" s="88">
        <f t="shared" si="2"/>
        <v>459000</v>
      </c>
    </row>
    <row r="183" spans="1:4" ht="18" hidden="1" x14ac:dyDescent="0.3">
      <c r="A183" s="63" t="s">
        <v>183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184</v>
      </c>
      <c r="B184" s="87"/>
      <c r="C184" s="87"/>
      <c r="D184" s="88">
        <f t="shared" si="2"/>
        <v>0</v>
      </c>
    </row>
    <row r="185" spans="1:4" ht="18" hidden="1" x14ac:dyDescent="0.3">
      <c r="A185" s="63" t="s">
        <v>185</v>
      </c>
      <c r="B185" s="87"/>
      <c r="C185" s="87"/>
      <c r="D185" s="88">
        <f t="shared" si="2"/>
        <v>0</v>
      </c>
    </row>
    <row r="186" spans="1:4" ht="18" x14ac:dyDescent="0.3">
      <c r="A186" s="63" t="s">
        <v>186</v>
      </c>
      <c r="B186" s="87">
        <v>4</v>
      </c>
      <c r="C186" s="87">
        <v>15000</v>
      </c>
      <c r="D186" s="88">
        <f t="shared" si="2"/>
        <v>60000</v>
      </c>
    </row>
    <row r="187" spans="1:4" ht="18" hidden="1" x14ac:dyDescent="0.3">
      <c r="A187" s="63" t="s">
        <v>187</v>
      </c>
      <c r="B187" s="87"/>
      <c r="C187" s="87"/>
      <c r="D187" s="88">
        <f t="shared" si="2"/>
        <v>0</v>
      </c>
    </row>
    <row r="188" spans="1:4" ht="18" hidden="1" x14ac:dyDescent="0.3">
      <c r="A188" s="63" t="s">
        <v>188</v>
      </c>
      <c r="B188" s="87"/>
      <c r="C188" s="87"/>
      <c r="D188" s="88">
        <f t="shared" si="2"/>
        <v>0</v>
      </c>
    </row>
    <row r="189" spans="1:4" ht="18" hidden="1" x14ac:dyDescent="0.3">
      <c r="A189" s="64" t="s">
        <v>189</v>
      </c>
      <c r="B189" s="87"/>
      <c r="C189" s="87"/>
      <c r="D189" s="88">
        <f t="shared" si="2"/>
        <v>0</v>
      </c>
    </row>
    <row r="190" spans="1:4" ht="18" hidden="1" x14ac:dyDescent="0.3">
      <c r="A190" s="70" t="s">
        <v>190</v>
      </c>
      <c r="B190" s="87"/>
      <c r="C190" s="87"/>
      <c r="D190" s="88">
        <f t="shared" si="2"/>
        <v>0</v>
      </c>
    </row>
    <row r="191" spans="1:4" ht="18" hidden="1" x14ac:dyDescent="0.3">
      <c r="A191" s="63" t="s">
        <v>191</v>
      </c>
      <c r="B191" s="87"/>
      <c r="C191" s="87"/>
      <c r="D191" s="88">
        <f t="shared" si="2"/>
        <v>0</v>
      </c>
    </row>
    <row r="192" spans="1:4" ht="18" hidden="1" x14ac:dyDescent="0.3">
      <c r="A192" s="70" t="s">
        <v>308</v>
      </c>
      <c r="B192" s="87"/>
      <c r="C192" s="87"/>
      <c r="D192" s="88">
        <f t="shared" si="2"/>
        <v>0</v>
      </c>
    </row>
    <row r="193" spans="1:4" ht="18" x14ac:dyDescent="0.3">
      <c r="A193" s="63" t="s">
        <v>192</v>
      </c>
      <c r="B193" s="87">
        <v>371</v>
      </c>
      <c r="C193" s="87">
        <v>8000</v>
      </c>
      <c r="D193" s="88">
        <f t="shared" si="2"/>
        <v>2968000</v>
      </c>
    </row>
    <row r="194" spans="1:4" ht="18" hidden="1" x14ac:dyDescent="0.3">
      <c r="A194" s="60" t="s">
        <v>193</v>
      </c>
      <c r="B194" s="87"/>
      <c r="C194" s="87"/>
      <c r="D194" s="88">
        <f t="shared" si="2"/>
        <v>0</v>
      </c>
    </row>
    <row r="195" spans="1:4" ht="18" x14ac:dyDescent="0.3">
      <c r="A195" s="63" t="s">
        <v>194</v>
      </c>
      <c r="B195" s="87">
        <v>281</v>
      </c>
      <c r="C195" s="87">
        <v>8000</v>
      </c>
      <c r="D195" s="88">
        <f t="shared" si="2"/>
        <v>2248000</v>
      </c>
    </row>
    <row r="196" spans="1:4" ht="18" hidden="1" x14ac:dyDescent="0.3">
      <c r="A196" s="63" t="s">
        <v>195</v>
      </c>
      <c r="B196" s="87"/>
      <c r="C196" s="87"/>
      <c r="D196" s="88">
        <f t="shared" ref="D196:D259" si="3">B196*C196</f>
        <v>0</v>
      </c>
    </row>
    <row r="197" spans="1:4" ht="18" hidden="1" x14ac:dyDescent="0.3">
      <c r="A197" s="63" t="s">
        <v>196</v>
      </c>
      <c r="B197" s="87"/>
      <c r="C197" s="87"/>
      <c r="D197" s="88">
        <f t="shared" si="3"/>
        <v>0</v>
      </c>
    </row>
    <row r="198" spans="1:4" ht="18" hidden="1" x14ac:dyDescent="0.3">
      <c r="A198" s="62" t="s">
        <v>197</v>
      </c>
      <c r="B198" s="87"/>
      <c r="C198" s="87"/>
      <c r="D198" s="88">
        <f t="shared" si="3"/>
        <v>0</v>
      </c>
    </row>
    <row r="199" spans="1:4" ht="18" hidden="1" x14ac:dyDescent="0.3">
      <c r="A199" s="78" t="s">
        <v>198</v>
      </c>
      <c r="B199" s="87"/>
      <c r="C199" s="87"/>
      <c r="D199" s="88">
        <f t="shared" si="3"/>
        <v>0</v>
      </c>
    </row>
    <row r="200" spans="1:4" ht="18" hidden="1" x14ac:dyDescent="0.3">
      <c r="A200" s="60" t="s">
        <v>199</v>
      </c>
      <c r="B200" s="87"/>
      <c r="C200" s="87"/>
      <c r="D200" s="88">
        <f t="shared" si="3"/>
        <v>0</v>
      </c>
    </row>
    <row r="201" spans="1:4" ht="18" hidden="1" x14ac:dyDescent="0.3">
      <c r="A201" s="61" t="s">
        <v>200</v>
      </c>
      <c r="B201" s="87"/>
      <c r="C201" s="87"/>
      <c r="D201" s="88">
        <f t="shared" si="3"/>
        <v>0</v>
      </c>
    </row>
    <row r="202" spans="1:4" ht="18" hidden="1" x14ac:dyDescent="0.3">
      <c r="A202" s="61" t="s">
        <v>201</v>
      </c>
      <c r="B202" s="87"/>
      <c r="C202" s="87"/>
      <c r="D202" s="88">
        <f t="shared" si="3"/>
        <v>0</v>
      </c>
    </row>
    <row r="203" spans="1:4" ht="18" hidden="1" x14ac:dyDescent="0.3">
      <c r="A203" s="61" t="s">
        <v>202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203</v>
      </c>
      <c r="B204" s="87"/>
      <c r="C204" s="87"/>
      <c r="D204" s="88">
        <f t="shared" si="3"/>
        <v>0</v>
      </c>
    </row>
    <row r="205" spans="1:4" ht="18" hidden="1" x14ac:dyDescent="0.3">
      <c r="A205" s="63" t="s">
        <v>204</v>
      </c>
      <c r="B205" s="87"/>
      <c r="C205" s="87"/>
      <c r="D205" s="88">
        <f t="shared" si="3"/>
        <v>0</v>
      </c>
    </row>
    <row r="206" spans="1:4" ht="18" hidden="1" x14ac:dyDescent="0.3">
      <c r="A206" s="63" t="s">
        <v>205</v>
      </c>
      <c r="B206" s="87"/>
      <c r="C206" s="87"/>
      <c r="D206" s="88">
        <f t="shared" si="3"/>
        <v>0</v>
      </c>
    </row>
    <row r="207" spans="1:4" ht="18" hidden="1" x14ac:dyDescent="0.3">
      <c r="A207" s="63" t="s">
        <v>206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207</v>
      </c>
      <c r="B208" s="87"/>
      <c r="C208" s="87"/>
      <c r="D208" s="88">
        <f t="shared" si="3"/>
        <v>0</v>
      </c>
    </row>
    <row r="209" spans="1:4" ht="18" hidden="1" x14ac:dyDescent="0.3">
      <c r="A209" s="60" t="s">
        <v>208</v>
      </c>
      <c r="B209" s="87"/>
      <c r="C209" s="87"/>
      <c r="D209" s="88">
        <f t="shared" si="3"/>
        <v>0</v>
      </c>
    </row>
    <row r="210" spans="1:4" ht="18" hidden="1" x14ac:dyDescent="0.3">
      <c r="A210" s="60" t="s">
        <v>209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210</v>
      </c>
      <c r="B211" s="87"/>
      <c r="C211" s="87"/>
      <c r="D211" s="88">
        <f t="shared" si="3"/>
        <v>0</v>
      </c>
    </row>
    <row r="212" spans="1:4" ht="18" hidden="1" x14ac:dyDescent="0.3">
      <c r="A212" s="63" t="s">
        <v>211</v>
      </c>
      <c r="B212" s="87"/>
      <c r="C212" s="87"/>
      <c r="D212" s="88">
        <f t="shared" si="3"/>
        <v>0</v>
      </c>
    </row>
    <row r="213" spans="1:4" ht="18" x14ac:dyDescent="0.3">
      <c r="A213" s="63" t="s">
        <v>212</v>
      </c>
      <c r="B213" s="87">
        <v>3</v>
      </c>
      <c r="C213" s="87">
        <v>25000</v>
      </c>
      <c r="D213" s="88">
        <f t="shared" si="3"/>
        <v>75000</v>
      </c>
    </row>
    <row r="214" spans="1:4" ht="18" hidden="1" x14ac:dyDescent="0.3">
      <c r="A214" s="61" t="s">
        <v>213</v>
      </c>
      <c r="B214" s="87"/>
      <c r="C214" s="87"/>
      <c r="D214" s="88">
        <f t="shared" si="3"/>
        <v>0</v>
      </c>
    </row>
    <row r="215" spans="1:4" ht="18" hidden="1" x14ac:dyDescent="0.3">
      <c r="A215" s="63" t="s">
        <v>214</v>
      </c>
      <c r="B215" s="87"/>
      <c r="C215" s="87"/>
      <c r="D215" s="88">
        <f t="shared" si="3"/>
        <v>0</v>
      </c>
    </row>
    <row r="216" spans="1:4" ht="18" hidden="1" x14ac:dyDescent="0.3">
      <c r="A216" s="61" t="s">
        <v>215</v>
      </c>
      <c r="B216" s="87"/>
      <c r="C216" s="87"/>
      <c r="D216" s="88">
        <f t="shared" si="3"/>
        <v>0</v>
      </c>
    </row>
    <row r="217" spans="1:4" ht="18" hidden="1" x14ac:dyDescent="0.3">
      <c r="A217" s="63" t="s">
        <v>216</v>
      </c>
      <c r="B217" s="87"/>
      <c r="C217" s="87"/>
      <c r="D217" s="88">
        <f t="shared" si="3"/>
        <v>0</v>
      </c>
    </row>
    <row r="218" spans="1:4" ht="18" hidden="1" x14ac:dyDescent="0.3">
      <c r="A218" s="63" t="s">
        <v>217</v>
      </c>
      <c r="B218" s="87"/>
      <c r="C218" s="87"/>
      <c r="D218" s="88">
        <f t="shared" si="3"/>
        <v>0</v>
      </c>
    </row>
    <row r="219" spans="1:4" ht="18" hidden="1" x14ac:dyDescent="0.3">
      <c r="A219" s="63" t="s">
        <v>218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219</v>
      </c>
      <c r="B220" s="87"/>
      <c r="C220" s="87"/>
      <c r="D220" s="88">
        <f t="shared" si="3"/>
        <v>0</v>
      </c>
    </row>
    <row r="221" spans="1:4" ht="18" hidden="1" x14ac:dyDescent="0.3">
      <c r="A221" s="65" t="s">
        <v>220</v>
      </c>
      <c r="B221" s="87"/>
      <c r="C221" s="87"/>
      <c r="D221" s="88">
        <f t="shared" si="3"/>
        <v>0</v>
      </c>
    </row>
    <row r="222" spans="1:4" ht="18" hidden="1" x14ac:dyDescent="0.3">
      <c r="A222" s="60" t="s">
        <v>221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222</v>
      </c>
      <c r="B223" s="87"/>
      <c r="C223" s="87"/>
      <c r="D223" s="88">
        <f t="shared" si="3"/>
        <v>0</v>
      </c>
    </row>
    <row r="224" spans="1:4" ht="18" hidden="1" x14ac:dyDescent="0.3">
      <c r="A224" s="63" t="s">
        <v>223</v>
      </c>
      <c r="B224" s="87"/>
      <c r="C224" s="87"/>
      <c r="D224" s="88">
        <f t="shared" si="3"/>
        <v>0</v>
      </c>
    </row>
    <row r="225" spans="1:4" ht="18" hidden="1" x14ac:dyDescent="0.3">
      <c r="A225" s="61" t="s">
        <v>224</v>
      </c>
      <c r="B225" s="89"/>
      <c r="C225" s="89"/>
      <c r="D225" s="88">
        <f t="shared" si="3"/>
        <v>0</v>
      </c>
    </row>
    <row r="226" spans="1:4" ht="18" hidden="1" x14ac:dyDescent="0.3">
      <c r="A226" s="61" t="s">
        <v>225</v>
      </c>
      <c r="B226" s="87"/>
      <c r="C226" s="87"/>
      <c r="D226" s="88">
        <f t="shared" si="3"/>
        <v>0</v>
      </c>
    </row>
    <row r="227" spans="1:4" ht="18" hidden="1" x14ac:dyDescent="0.3">
      <c r="A227" s="61" t="s">
        <v>226</v>
      </c>
      <c r="B227" s="89"/>
      <c r="C227" s="89"/>
      <c r="D227" s="88">
        <f t="shared" si="3"/>
        <v>0</v>
      </c>
    </row>
    <row r="228" spans="1:4" ht="18" hidden="1" x14ac:dyDescent="0.3">
      <c r="A228" s="65" t="s">
        <v>227</v>
      </c>
      <c r="B228" s="87"/>
      <c r="C228" s="87"/>
      <c r="D228" s="88">
        <f t="shared" si="3"/>
        <v>0</v>
      </c>
    </row>
    <row r="229" spans="1:4" ht="18" hidden="1" x14ac:dyDescent="0.3">
      <c r="A229" s="64" t="s">
        <v>228</v>
      </c>
      <c r="B229" s="87"/>
      <c r="C229" s="87"/>
      <c r="D229" s="88">
        <f t="shared" si="3"/>
        <v>0</v>
      </c>
    </row>
    <row r="230" spans="1:4" ht="18" hidden="1" x14ac:dyDescent="0.3">
      <c r="A230" s="64" t="s">
        <v>229</v>
      </c>
      <c r="B230" s="87"/>
      <c r="C230" s="87"/>
      <c r="D230" s="88">
        <f t="shared" si="3"/>
        <v>0</v>
      </c>
    </row>
    <row r="231" spans="1:4" ht="18" hidden="1" x14ac:dyDescent="0.3">
      <c r="A231" s="61" t="s">
        <v>332</v>
      </c>
      <c r="B231" s="87"/>
      <c r="C231" s="87"/>
      <c r="D231" s="88">
        <f t="shared" si="3"/>
        <v>0</v>
      </c>
    </row>
    <row r="232" spans="1:4" ht="18" hidden="1" x14ac:dyDescent="0.3">
      <c r="A232" s="61" t="s">
        <v>230</v>
      </c>
      <c r="B232" s="87"/>
      <c r="C232" s="87"/>
      <c r="D232" s="88">
        <f t="shared" si="3"/>
        <v>0</v>
      </c>
    </row>
    <row r="233" spans="1:4" ht="18" x14ac:dyDescent="0.3">
      <c r="A233" s="63" t="s">
        <v>231</v>
      </c>
      <c r="B233" s="87">
        <v>20</v>
      </c>
      <c r="C233" s="87">
        <v>20000</v>
      </c>
      <c r="D233" s="88">
        <f t="shared" si="3"/>
        <v>400000</v>
      </c>
    </row>
    <row r="234" spans="1:4" ht="18" hidden="1" x14ac:dyDescent="0.3">
      <c r="A234" s="63" t="s">
        <v>232</v>
      </c>
      <c r="B234" s="87"/>
      <c r="C234" s="87"/>
      <c r="D234" s="88">
        <f t="shared" si="3"/>
        <v>0</v>
      </c>
    </row>
    <row r="235" spans="1:4" ht="18" hidden="1" x14ac:dyDescent="0.3">
      <c r="A235" s="65" t="s">
        <v>233</v>
      </c>
      <c r="B235" s="87"/>
      <c r="C235" s="87"/>
      <c r="D235" s="88">
        <f t="shared" si="3"/>
        <v>0</v>
      </c>
    </row>
    <row r="236" spans="1:4" ht="18" hidden="1" x14ac:dyDescent="0.3">
      <c r="A236" s="60" t="s">
        <v>234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235</v>
      </c>
      <c r="B237" s="87"/>
      <c r="C237" s="87"/>
      <c r="D237" s="88">
        <f t="shared" si="3"/>
        <v>0</v>
      </c>
    </row>
    <row r="238" spans="1:4" ht="18" hidden="1" x14ac:dyDescent="0.3">
      <c r="A238" s="63" t="s">
        <v>236</v>
      </c>
      <c r="B238" s="87"/>
      <c r="C238" s="87"/>
      <c r="D238" s="88">
        <f t="shared" si="3"/>
        <v>0</v>
      </c>
    </row>
    <row r="239" spans="1:4" ht="18" hidden="1" x14ac:dyDescent="0.3">
      <c r="A239" s="64" t="s">
        <v>237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238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239</v>
      </c>
      <c r="B241" s="87"/>
      <c r="C241" s="87"/>
      <c r="D241" s="88">
        <f t="shared" si="3"/>
        <v>0</v>
      </c>
    </row>
    <row r="242" spans="1:4" ht="18" hidden="1" x14ac:dyDescent="0.3">
      <c r="A242" s="63" t="s">
        <v>240</v>
      </c>
      <c r="B242" s="87"/>
      <c r="C242" s="87"/>
      <c r="D242" s="88">
        <f t="shared" si="3"/>
        <v>0</v>
      </c>
    </row>
    <row r="243" spans="1:4" ht="18" hidden="1" x14ac:dyDescent="0.3">
      <c r="A243" s="63" t="s">
        <v>241</v>
      </c>
      <c r="B243" s="87"/>
      <c r="C243" s="87"/>
      <c r="D243" s="88">
        <f t="shared" si="3"/>
        <v>0</v>
      </c>
    </row>
    <row r="244" spans="1:4" ht="18" hidden="1" x14ac:dyDescent="0.3">
      <c r="A244" s="64" t="s">
        <v>242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243</v>
      </c>
      <c r="B245" s="87"/>
      <c r="C245" s="87"/>
      <c r="D245" s="88">
        <f t="shared" si="3"/>
        <v>0</v>
      </c>
    </row>
    <row r="246" spans="1:4" ht="18" hidden="1" x14ac:dyDescent="0.3">
      <c r="A246" s="63" t="s">
        <v>244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245</v>
      </c>
      <c r="B247" s="87"/>
      <c r="C247" s="87"/>
      <c r="D247" s="88">
        <f t="shared" si="3"/>
        <v>0</v>
      </c>
    </row>
    <row r="248" spans="1:4" ht="18" hidden="1" x14ac:dyDescent="0.3">
      <c r="A248" s="64" t="s">
        <v>246</v>
      </c>
      <c r="B248" s="87"/>
      <c r="C248" s="87"/>
      <c r="D248" s="88">
        <f t="shared" si="3"/>
        <v>0</v>
      </c>
    </row>
    <row r="249" spans="1:4" ht="18" hidden="1" x14ac:dyDescent="0.3">
      <c r="A249" s="79" t="s">
        <v>247</v>
      </c>
      <c r="B249" s="87"/>
      <c r="C249" s="87"/>
      <c r="D249" s="88">
        <f t="shared" si="3"/>
        <v>0</v>
      </c>
    </row>
    <row r="250" spans="1:4" ht="18" hidden="1" x14ac:dyDescent="0.3">
      <c r="A250" s="79" t="s">
        <v>248</v>
      </c>
      <c r="B250" s="87"/>
      <c r="C250" s="87"/>
      <c r="D250" s="88">
        <f t="shared" si="3"/>
        <v>0</v>
      </c>
    </row>
    <row r="251" spans="1:4" ht="18" hidden="1" x14ac:dyDescent="0.3">
      <c r="A251" s="64" t="s">
        <v>249</v>
      </c>
      <c r="B251" s="87"/>
      <c r="C251" s="87"/>
      <c r="D251" s="88">
        <f t="shared" si="3"/>
        <v>0</v>
      </c>
    </row>
    <row r="252" spans="1:4" ht="18" hidden="1" x14ac:dyDescent="0.3">
      <c r="A252" s="79" t="s">
        <v>250</v>
      </c>
      <c r="B252" s="87"/>
      <c r="C252" s="87"/>
      <c r="D252" s="88">
        <f t="shared" si="3"/>
        <v>0</v>
      </c>
    </row>
    <row r="253" spans="1:4" ht="18" hidden="1" x14ac:dyDescent="0.3">
      <c r="A253" s="79" t="s">
        <v>251</v>
      </c>
      <c r="B253" s="87"/>
      <c r="C253" s="87"/>
      <c r="D253" s="88">
        <f t="shared" si="3"/>
        <v>0</v>
      </c>
    </row>
    <row r="254" spans="1:4" ht="18" hidden="1" x14ac:dyDescent="0.3">
      <c r="A254" s="79" t="s">
        <v>252</v>
      </c>
      <c r="B254" s="87"/>
      <c r="C254" s="87"/>
      <c r="D254" s="88">
        <f t="shared" si="3"/>
        <v>0</v>
      </c>
    </row>
    <row r="255" spans="1:4" ht="18" hidden="1" x14ac:dyDescent="0.3">
      <c r="A255" s="63" t="s">
        <v>253</v>
      </c>
      <c r="B255" s="87"/>
      <c r="C255" s="87"/>
      <c r="D255" s="88">
        <f t="shared" si="3"/>
        <v>0</v>
      </c>
    </row>
    <row r="256" spans="1:4" ht="18" hidden="1" x14ac:dyDescent="0.3">
      <c r="A256" s="63" t="s">
        <v>254</v>
      </c>
      <c r="B256" s="87"/>
      <c r="C256" s="87"/>
      <c r="D256" s="88">
        <f t="shared" si="3"/>
        <v>0</v>
      </c>
    </row>
    <row r="257" spans="1:4" ht="18" hidden="1" x14ac:dyDescent="0.3">
      <c r="A257" s="63" t="s">
        <v>255</v>
      </c>
      <c r="B257" s="87"/>
      <c r="C257" s="87"/>
      <c r="D257" s="88">
        <f t="shared" si="3"/>
        <v>0</v>
      </c>
    </row>
    <row r="258" spans="1:4" ht="18" hidden="1" x14ac:dyDescent="0.3">
      <c r="A258" s="63" t="s">
        <v>256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257</v>
      </c>
      <c r="B259" s="87"/>
      <c r="C259" s="87"/>
      <c r="D259" s="88">
        <f t="shared" si="3"/>
        <v>0</v>
      </c>
    </row>
    <row r="260" spans="1:4" ht="18" hidden="1" x14ac:dyDescent="0.3">
      <c r="A260" s="63" t="s">
        <v>258</v>
      </c>
      <c r="B260" s="87"/>
      <c r="C260" s="87"/>
      <c r="D260" s="88">
        <f t="shared" ref="D260:D295" si="4">B260*C260</f>
        <v>0</v>
      </c>
    </row>
    <row r="261" spans="1:4" ht="18" hidden="1" x14ac:dyDescent="0.3">
      <c r="A261" s="63" t="s">
        <v>259</v>
      </c>
      <c r="B261" s="87"/>
      <c r="C261" s="87"/>
      <c r="D261" s="88">
        <f t="shared" si="4"/>
        <v>0</v>
      </c>
    </row>
    <row r="262" spans="1:4" ht="18" hidden="1" x14ac:dyDescent="0.3">
      <c r="A262" s="65" t="s">
        <v>260</v>
      </c>
      <c r="B262" s="87"/>
      <c r="C262" s="87"/>
      <c r="D262" s="88">
        <f t="shared" si="4"/>
        <v>0</v>
      </c>
    </row>
    <row r="263" spans="1:4" ht="18" hidden="1" x14ac:dyDescent="0.3">
      <c r="A263" s="63" t="s">
        <v>261</v>
      </c>
      <c r="B263" s="87"/>
      <c r="C263" s="87"/>
      <c r="D263" s="88">
        <f t="shared" si="4"/>
        <v>0</v>
      </c>
    </row>
    <row r="264" spans="1:4" ht="18" x14ac:dyDescent="0.3">
      <c r="A264" s="63" t="s">
        <v>262</v>
      </c>
      <c r="B264" s="87">
        <v>2</v>
      </c>
      <c r="C264" s="87">
        <v>10000</v>
      </c>
      <c r="D264" s="88">
        <f t="shared" si="4"/>
        <v>20000</v>
      </c>
    </row>
    <row r="265" spans="1:4" ht="18" x14ac:dyDescent="0.3">
      <c r="A265" s="63" t="s">
        <v>263</v>
      </c>
      <c r="B265" s="87">
        <f>8+15+30+40</f>
        <v>93</v>
      </c>
      <c r="C265" s="87">
        <v>9000</v>
      </c>
      <c r="D265" s="88">
        <f t="shared" si="4"/>
        <v>837000</v>
      </c>
    </row>
    <row r="266" spans="1:4" ht="18" hidden="1" x14ac:dyDescent="0.3">
      <c r="A266" s="63" t="s">
        <v>264</v>
      </c>
      <c r="B266" s="87"/>
      <c r="C266" s="87"/>
      <c r="D266" s="88">
        <f t="shared" si="4"/>
        <v>0</v>
      </c>
    </row>
    <row r="267" spans="1:4" ht="18" hidden="1" x14ac:dyDescent="0.3">
      <c r="A267" s="63" t="s">
        <v>265</v>
      </c>
      <c r="B267" s="87"/>
      <c r="C267" s="87"/>
      <c r="D267" s="88">
        <f t="shared" si="4"/>
        <v>0</v>
      </c>
    </row>
    <row r="268" spans="1:4" ht="18" x14ac:dyDescent="0.3">
      <c r="A268" s="63" t="s">
        <v>266</v>
      </c>
      <c r="B268" s="87">
        <v>8</v>
      </c>
      <c r="C268" s="87">
        <v>28000</v>
      </c>
      <c r="D268" s="88">
        <f t="shared" si="4"/>
        <v>224000</v>
      </c>
    </row>
    <row r="269" spans="1:4" ht="18" hidden="1" x14ac:dyDescent="0.3">
      <c r="A269" s="63" t="s">
        <v>267</v>
      </c>
      <c r="B269" s="87"/>
      <c r="C269" s="87"/>
      <c r="D269" s="88">
        <f t="shared" si="4"/>
        <v>0</v>
      </c>
    </row>
    <row r="270" spans="1:4" ht="18" hidden="1" x14ac:dyDescent="0.3">
      <c r="A270" s="74" t="s">
        <v>268</v>
      </c>
      <c r="B270" s="87"/>
      <c r="C270" s="87"/>
      <c r="D270" s="88">
        <f t="shared" si="4"/>
        <v>0</v>
      </c>
    </row>
    <row r="271" spans="1:4" ht="18" hidden="1" x14ac:dyDescent="0.3">
      <c r="A271" s="63" t="s">
        <v>269</v>
      </c>
      <c r="B271" s="87"/>
      <c r="C271" s="87"/>
      <c r="D271" s="88">
        <f t="shared" si="4"/>
        <v>0</v>
      </c>
    </row>
    <row r="272" spans="1:4" ht="18" hidden="1" x14ac:dyDescent="0.3">
      <c r="A272" s="63" t="s">
        <v>270</v>
      </c>
      <c r="B272" s="87"/>
      <c r="C272" s="87"/>
      <c r="D272" s="88">
        <f t="shared" si="4"/>
        <v>0</v>
      </c>
    </row>
    <row r="273" spans="1:4" ht="18" hidden="1" x14ac:dyDescent="0.3">
      <c r="A273" s="30" t="s">
        <v>271</v>
      </c>
      <c r="B273" s="87"/>
      <c r="C273" s="87"/>
      <c r="D273" s="88">
        <f t="shared" si="4"/>
        <v>0</v>
      </c>
    </row>
    <row r="274" spans="1:4" ht="18" hidden="1" x14ac:dyDescent="0.3">
      <c r="A274" s="60" t="s">
        <v>272</v>
      </c>
      <c r="B274" s="89"/>
      <c r="C274" s="87"/>
      <c r="D274" s="88">
        <f t="shared" si="4"/>
        <v>0</v>
      </c>
    </row>
    <row r="275" spans="1:4" ht="18" hidden="1" x14ac:dyDescent="0.3">
      <c r="A275" s="63" t="s">
        <v>273</v>
      </c>
      <c r="B275" s="87"/>
      <c r="C275" s="87"/>
      <c r="D275" s="88">
        <f t="shared" si="4"/>
        <v>0</v>
      </c>
    </row>
    <row r="276" spans="1:4" ht="18" hidden="1" x14ac:dyDescent="0.3">
      <c r="A276" s="63" t="s">
        <v>274</v>
      </c>
      <c r="B276" s="87"/>
      <c r="C276" s="87"/>
      <c r="D276" s="88">
        <f t="shared" si="4"/>
        <v>0</v>
      </c>
    </row>
    <row r="277" spans="1:4" ht="18" hidden="1" x14ac:dyDescent="0.3">
      <c r="A277" s="63" t="s">
        <v>275</v>
      </c>
      <c r="B277" s="87"/>
      <c r="C277" s="87"/>
      <c r="D277" s="88">
        <f t="shared" si="4"/>
        <v>0</v>
      </c>
    </row>
    <row r="278" spans="1:4" ht="18" hidden="1" x14ac:dyDescent="0.3">
      <c r="A278" s="65" t="s">
        <v>92</v>
      </c>
      <c r="B278" s="87"/>
      <c r="C278" s="87"/>
      <c r="D278" s="88">
        <f t="shared" si="4"/>
        <v>0</v>
      </c>
    </row>
    <row r="279" spans="1:4" ht="18" hidden="1" x14ac:dyDescent="0.3">
      <c r="A279" s="63" t="s">
        <v>276</v>
      </c>
      <c r="B279" s="87"/>
      <c r="C279" s="87"/>
      <c r="D279" s="88">
        <f t="shared" si="4"/>
        <v>0</v>
      </c>
    </row>
    <row r="280" spans="1:4" ht="18" x14ac:dyDescent="0.3">
      <c r="A280" s="72" t="s">
        <v>277</v>
      </c>
      <c r="B280" s="87">
        <f>32+57</f>
        <v>89</v>
      </c>
      <c r="C280" s="87">
        <v>3500</v>
      </c>
      <c r="D280" s="88">
        <f t="shared" si="4"/>
        <v>311500</v>
      </c>
    </row>
    <row r="281" spans="1:4" ht="18" hidden="1" x14ac:dyDescent="0.3">
      <c r="A281" s="61" t="s">
        <v>278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279</v>
      </c>
      <c r="B282" s="87"/>
      <c r="C282" s="87"/>
      <c r="D282" s="88">
        <f t="shared" si="4"/>
        <v>0</v>
      </c>
    </row>
    <row r="283" spans="1:4" ht="18" hidden="1" x14ac:dyDescent="0.3">
      <c r="A283" s="63" t="s">
        <v>280</v>
      </c>
      <c r="B283" s="87"/>
      <c r="C283" s="87"/>
      <c r="D283" s="88">
        <f t="shared" si="4"/>
        <v>0</v>
      </c>
    </row>
    <row r="284" spans="1:4" ht="18" hidden="1" x14ac:dyDescent="0.3">
      <c r="A284" s="63" t="s">
        <v>281</v>
      </c>
      <c r="B284" s="87"/>
      <c r="C284" s="87"/>
      <c r="D284" s="88">
        <f t="shared" si="4"/>
        <v>0</v>
      </c>
    </row>
    <row r="285" spans="1:4" ht="18" hidden="1" x14ac:dyDescent="0.3">
      <c r="A285" s="63" t="s">
        <v>282</v>
      </c>
      <c r="B285" s="87"/>
      <c r="C285" s="87"/>
      <c r="D285" s="88">
        <f t="shared" si="4"/>
        <v>0</v>
      </c>
    </row>
    <row r="286" spans="1:4" ht="18" hidden="1" x14ac:dyDescent="0.3">
      <c r="A286" s="60" t="s">
        <v>283</v>
      </c>
      <c r="B286" s="87"/>
      <c r="C286" s="87"/>
      <c r="D286" s="88">
        <f t="shared" si="4"/>
        <v>0</v>
      </c>
    </row>
    <row r="287" spans="1:4" ht="18" hidden="1" x14ac:dyDescent="0.3">
      <c r="A287" s="63" t="s">
        <v>313</v>
      </c>
      <c r="B287" s="87"/>
      <c r="C287" s="87"/>
      <c r="D287" s="88">
        <f t="shared" si="4"/>
        <v>0</v>
      </c>
    </row>
    <row r="288" spans="1:4" ht="18" hidden="1" x14ac:dyDescent="0.3">
      <c r="A288" s="61" t="s">
        <v>314</v>
      </c>
      <c r="B288" s="87"/>
      <c r="C288" s="87"/>
      <c r="D288" s="88">
        <f t="shared" si="4"/>
        <v>0</v>
      </c>
    </row>
    <row r="289" spans="1:4" ht="18" hidden="1" x14ac:dyDescent="0.3">
      <c r="A289" s="61" t="s">
        <v>315</v>
      </c>
      <c r="B289" s="87"/>
      <c r="C289" s="87"/>
      <c r="D289" s="88">
        <f t="shared" si="4"/>
        <v>0</v>
      </c>
    </row>
    <row r="290" spans="1:4" ht="18" hidden="1" x14ac:dyDescent="0.3">
      <c r="A290" s="63" t="s">
        <v>284</v>
      </c>
      <c r="B290" s="87"/>
      <c r="C290" s="87"/>
      <c r="D290" s="88">
        <f t="shared" si="4"/>
        <v>0</v>
      </c>
    </row>
    <row r="291" spans="1:4" ht="18" hidden="1" x14ac:dyDescent="0.3">
      <c r="A291" s="61" t="s">
        <v>285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286</v>
      </c>
      <c r="B292" s="87"/>
      <c r="C292" s="87"/>
      <c r="D292" s="88">
        <f t="shared" si="4"/>
        <v>0</v>
      </c>
    </row>
    <row r="293" spans="1:4" ht="18" hidden="1" x14ac:dyDescent="0.3">
      <c r="A293" s="61" t="s">
        <v>287</v>
      </c>
      <c r="B293" s="87"/>
      <c r="C293" s="87"/>
      <c r="D293" s="88">
        <f t="shared" si="4"/>
        <v>0</v>
      </c>
    </row>
    <row r="294" spans="1:4" ht="18" hidden="1" x14ac:dyDescent="0.3">
      <c r="A294" s="14" t="s">
        <v>335</v>
      </c>
      <c r="B294" s="87"/>
      <c r="C294" s="87"/>
      <c r="D294" s="88">
        <f t="shared" si="4"/>
        <v>0</v>
      </c>
    </row>
    <row r="295" spans="1:4" ht="18" hidden="1" x14ac:dyDescent="0.3">
      <c r="A295" s="63" t="s">
        <v>288</v>
      </c>
      <c r="B295" s="87"/>
      <c r="C295" s="87"/>
      <c r="D295" s="88">
        <f t="shared" si="4"/>
        <v>0</v>
      </c>
    </row>
    <row r="296" spans="1:4" ht="17.399999999999999" x14ac:dyDescent="0.3">
      <c r="A296" s="80"/>
      <c r="B296" s="86">
        <f t="shared" ref="B296:D296" si="5">SUM(B3:B295)</f>
        <v>6844</v>
      </c>
      <c r="C296" s="86"/>
      <c r="D296" s="86">
        <f t="shared" si="5"/>
        <v>91221200</v>
      </c>
    </row>
  </sheetData>
  <protectedRanges>
    <protectedRange password="CF71" sqref="B1:D295" name="tho"/>
  </protectedRanges>
  <autoFilter ref="A2:D296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D299"/>
  <sheetViews>
    <sheetView tabSelected="1" workbookViewId="0">
      <selection activeCell="H121" sqref="H121"/>
    </sheetView>
  </sheetViews>
  <sheetFormatPr defaultRowHeight="14.4" x14ac:dyDescent="0.3"/>
  <cols>
    <col min="1" max="1" width="39.5546875" customWidth="1"/>
    <col min="3" max="3" width="14.33203125" customWidth="1"/>
    <col min="4" max="4" width="22.109375" customWidth="1"/>
  </cols>
  <sheetData>
    <row r="1" spans="1:4" x14ac:dyDescent="0.3">
      <c r="A1" s="57" t="s">
        <v>342</v>
      </c>
      <c r="B1" s="58"/>
      <c r="C1" s="58"/>
      <c r="D1" s="59"/>
    </row>
    <row r="2" spans="1:4" ht="26.4" x14ac:dyDescent="0.3">
      <c r="A2" s="84" t="s">
        <v>0</v>
      </c>
      <c r="B2" s="4" t="s">
        <v>1</v>
      </c>
      <c r="C2" s="4" t="s">
        <v>290</v>
      </c>
      <c r="D2" s="5" t="s">
        <v>291</v>
      </c>
    </row>
    <row r="3" spans="1:4" ht="18" hidden="1" x14ac:dyDescent="0.3">
      <c r="A3" s="60" t="s">
        <v>303</v>
      </c>
      <c r="B3" s="87"/>
      <c r="C3" s="87"/>
      <c r="D3" s="88">
        <f>B3*C3</f>
        <v>0</v>
      </c>
    </row>
    <row r="4" spans="1:4" ht="18" hidden="1" x14ac:dyDescent="0.3">
      <c r="A4" s="61" t="s">
        <v>304</v>
      </c>
      <c r="B4" s="87"/>
      <c r="C4" s="87"/>
      <c r="D4" s="88">
        <f t="shared" ref="D4:D67" si="0">B4*C4</f>
        <v>0</v>
      </c>
    </row>
    <row r="5" spans="1:4" ht="18" hidden="1" x14ac:dyDescent="0.3">
      <c r="A5" s="60" t="s">
        <v>305</v>
      </c>
      <c r="B5" s="87"/>
      <c r="C5" s="87"/>
      <c r="D5" s="88">
        <f t="shared" si="0"/>
        <v>0</v>
      </c>
    </row>
    <row r="6" spans="1:4" ht="18" hidden="1" x14ac:dyDescent="0.3">
      <c r="A6" s="60" t="s">
        <v>306</v>
      </c>
      <c r="B6" s="87"/>
      <c r="C6" s="87"/>
      <c r="D6" s="88">
        <f t="shared" si="0"/>
        <v>0</v>
      </c>
    </row>
    <row r="7" spans="1:4" ht="18" hidden="1" x14ac:dyDescent="0.3">
      <c r="A7" s="60" t="s">
        <v>2</v>
      </c>
      <c r="B7" s="87"/>
      <c r="C7" s="87"/>
      <c r="D7" s="88">
        <f t="shared" si="0"/>
        <v>0</v>
      </c>
    </row>
    <row r="8" spans="1:4" ht="18" hidden="1" x14ac:dyDescent="0.3">
      <c r="A8" s="62" t="s">
        <v>3</v>
      </c>
      <c r="B8" s="87"/>
      <c r="C8" s="87"/>
      <c r="D8" s="88">
        <f t="shared" si="0"/>
        <v>0</v>
      </c>
    </row>
    <row r="9" spans="1:4" ht="18" hidden="1" x14ac:dyDescent="0.3">
      <c r="A9" s="63" t="s">
        <v>4</v>
      </c>
      <c r="B9" s="87"/>
      <c r="C9" s="87"/>
      <c r="D9" s="88">
        <f t="shared" si="0"/>
        <v>0</v>
      </c>
    </row>
    <row r="10" spans="1:4" ht="18" hidden="1" x14ac:dyDescent="0.3">
      <c r="A10" s="60" t="s">
        <v>9</v>
      </c>
      <c r="B10" s="89"/>
      <c r="C10" s="89"/>
      <c r="D10" s="88">
        <f t="shared" si="0"/>
        <v>0</v>
      </c>
    </row>
    <row r="11" spans="1:4" ht="18" hidden="1" x14ac:dyDescent="0.3">
      <c r="A11" s="60" t="s">
        <v>337</v>
      </c>
      <c r="B11" s="89"/>
      <c r="C11" s="89"/>
      <c r="D11" s="88">
        <f t="shared" si="0"/>
        <v>0</v>
      </c>
    </row>
    <row r="12" spans="1:4" ht="18" hidden="1" x14ac:dyDescent="0.3">
      <c r="A12" s="60" t="s">
        <v>10</v>
      </c>
      <c r="B12" s="89"/>
      <c r="C12" s="89"/>
      <c r="D12" s="88">
        <f t="shared" si="0"/>
        <v>0</v>
      </c>
    </row>
    <row r="13" spans="1:4" ht="18" hidden="1" x14ac:dyDescent="0.3">
      <c r="A13" s="63" t="s">
        <v>11</v>
      </c>
      <c r="B13" s="87"/>
      <c r="C13" s="87"/>
      <c r="D13" s="88">
        <f t="shared" si="0"/>
        <v>0</v>
      </c>
    </row>
    <row r="14" spans="1:4" ht="18" hidden="1" x14ac:dyDescent="0.3">
      <c r="A14" s="63" t="s">
        <v>12</v>
      </c>
      <c r="B14" s="87"/>
      <c r="C14" s="87"/>
      <c r="D14" s="88">
        <f t="shared" si="0"/>
        <v>0</v>
      </c>
    </row>
    <row r="15" spans="1:4" ht="18" hidden="1" x14ac:dyDescent="0.3">
      <c r="A15" s="63" t="s">
        <v>13</v>
      </c>
      <c r="B15" s="89"/>
      <c r="C15" s="89"/>
      <c r="D15" s="88">
        <f t="shared" si="0"/>
        <v>0</v>
      </c>
    </row>
    <row r="16" spans="1:4" ht="18" hidden="1" x14ac:dyDescent="0.3">
      <c r="A16" s="64" t="s">
        <v>14</v>
      </c>
      <c r="B16" s="87"/>
      <c r="C16" s="87"/>
      <c r="D16" s="88">
        <f t="shared" si="0"/>
        <v>0</v>
      </c>
    </row>
    <row r="17" spans="1:4" ht="18" hidden="1" x14ac:dyDescent="0.3">
      <c r="A17" s="61" t="s">
        <v>15</v>
      </c>
      <c r="B17" s="87"/>
      <c r="C17" s="87"/>
      <c r="D17" s="88">
        <f t="shared" si="0"/>
        <v>0</v>
      </c>
    </row>
    <row r="18" spans="1:4" ht="18" hidden="1" x14ac:dyDescent="0.3">
      <c r="A18" s="13" t="s">
        <v>16</v>
      </c>
      <c r="B18" s="87"/>
      <c r="C18" s="87"/>
      <c r="D18" s="88">
        <f t="shared" si="0"/>
        <v>0</v>
      </c>
    </row>
    <row r="19" spans="1:4" ht="18" hidden="1" x14ac:dyDescent="0.3">
      <c r="A19" s="63" t="s">
        <v>17</v>
      </c>
      <c r="B19" s="87"/>
      <c r="C19" s="87"/>
      <c r="D19" s="88">
        <f t="shared" si="0"/>
        <v>0</v>
      </c>
    </row>
    <row r="20" spans="1:4" ht="18" hidden="1" x14ac:dyDescent="0.3">
      <c r="A20" s="63" t="s">
        <v>18</v>
      </c>
      <c r="B20" s="87"/>
      <c r="C20" s="87"/>
      <c r="D20" s="88">
        <f t="shared" si="0"/>
        <v>0</v>
      </c>
    </row>
    <row r="21" spans="1:4" ht="18" hidden="1" x14ac:dyDescent="0.3">
      <c r="A21" s="63" t="s">
        <v>19</v>
      </c>
      <c r="B21" s="87"/>
      <c r="C21" s="87"/>
      <c r="D21" s="88">
        <f t="shared" si="0"/>
        <v>0</v>
      </c>
    </row>
    <row r="22" spans="1:4" ht="18" hidden="1" x14ac:dyDescent="0.3">
      <c r="A22" s="61" t="s">
        <v>20</v>
      </c>
      <c r="B22" s="87"/>
      <c r="C22" s="87"/>
      <c r="D22" s="88">
        <f t="shared" si="0"/>
        <v>0</v>
      </c>
    </row>
    <row r="23" spans="1:4" ht="18" x14ac:dyDescent="0.3">
      <c r="A23" s="63" t="s">
        <v>21</v>
      </c>
      <c r="B23" s="87">
        <f>35+15+15+20</f>
        <v>85</v>
      </c>
      <c r="C23" s="87">
        <v>37000</v>
      </c>
      <c r="D23" s="88">
        <f t="shared" si="0"/>
        <v>3145000</v>
      </c>
    </row>
    <row r="24" spans="1:4" ht="18" x14ac:dyDescent="0.3">
      <c r="A24" s="63" t="s">
        <v>22</v>
      </c>
      <c r="B24" s="87">
        <v>10</v>
      </c>
      <c r="C24" s="87">
        <v>32000</v>
      </c>
      <c r="D24" s="88">
        <f t="shared" si="0"/>
        <v>320000</v>
      </c>
    </row>
    <row r="25" spans="1:4" ht="18" hidden="1" x14ac:dyDescent="0.3">
      <c r="A25" s="63" t="s">
        <v>23</v>
      </c>
      <c r="B25" s="87"/>
      <c r="C25" s="87"/>
      <c r="D25" s="88">
        <f t="shared" si="0"/>
        <v>0</v>
      </c>
    </row>
    <row r="26" spans="1:4" ht="18" hidden="1" x14ac:dyDescent="0.3">
      <c r="A26" s="63" t="s">
        <v>24</v>
      </c>
      <c r="B26" s="87"/>
      <c r="C26" s="87"/>
      <c r="D26" s="88">
        <f t="shared" si="0"/>
        <v>0</v>
      </c>
    </row>
    <row r="27" spans="1:4" ht="18" hidden="1" x14ac:dyDescent="0.3">
      <c r="A27" s="63" t="s">
        <v>25</v>
      </c>
      <c r="B27" s="87"/>
      <c r="C27" s="87"/>
      <c r="D27" s="88">
        <f t="shared" si="0"/>
        <v>0</v>
      </c>
    </row>
    <row r="28" spans="1:4" ht="18" hidden="1" x14ac:dyDescent="0.3">
      <c r="A28" s="63" t="s">
        <v>26</v>
      </c>
      <c r="B28" s="87"/>
      <c r="C28" s="87"/>
      <c r="D28" s="88">
        <f t="shared" si="0"/>
        <v>0</v>
      </c>
    </row>
    <row r="29" spans="1:4" ht="18" hidden="1" x14ac:dyDescent="0.3">
      <c r="A29" s="63" t="s">
        <v>27</v>
      </c>
      <c r="B29" s="87"/>
      <c r="C29" s="87"/>
      <c r="D29" s="88">
        <f t="shared" si="0"/>
        <v>0</v>
      </c>
    </row>
    <row r="30" spans="1:4" ht="18" hidden="1" x14ac:dyDescent="0.3">
      <c r="A30" s="63" t="s">
        <v>28</v>
      </c>
      <c r="B30" s="87"/>
      <c r="C30" s="87"/>
      <c r="D30" s="88">
        <f t="shared" si="0"/>
        <v>0</v>
      </c>
    </row>
    <row r="31" spans="1:4" ht="18" hidden="1" x14ac:dyDescent="0.3">
      <c r="A31" s="63" t="s">
        <v>29</v>
      </c>
      <c r="B31" s="87"/>
      <c r="C31" s="87"/>
      <c r="D31" s="88">
        <f t="shared" si="0"/>
        <v>0</v>
      </c>
    </row>
    <row r="32" spans="1:4" ht="18" x14ac:dyDescent="0.3">
      <c r="A32" s="63" t="s">
        <v>30</v>
      </c>
      <c r="B32" s="87">
        <v>14</v>
      </c>
      <c r="C32" s="87">
        <v>32000</v>
      </c>
      <c r="D32" s="88">
        <f t="shared" si="0"/>
        <v>448000</v>
      </c>
    </row>
    <row r="33" spans="1:4" ht="18" hidden="1" x14ac:dyDescent="0.3">
      <c r="A33" s="63" t="s">
        <v>31</v>
      </c>
      <c r="B33" s="87"/>
      <c r="C33" s="87"/>
      <c r="D33" s="88">
        <f t="shared" si="0"/>
        <v>0</v>
      </c>
    </row>
    <row r="34" spans="1:4" ht="18" hidden="1" x14ac:dyDescent="0.3">
      <c r="A34" s="63" t="s">
        <v>32</v>
      </c>
      <c r="B34" s="87"/>
      <c r="C34" s="87"/>
      <c r="D34" s="88">
        <f t="shared" si="0"/>
        <v>0</v>
      </c>
    </row>
    <row r="35" spans="1:4" ht="18" x14ac:dyDescent="0.3">
      <c r="A35" s="63" t="s">
        <v>33</v>
      </c>
      <c r="B35" s="87">
        <v>25</v>
      </c>
      <c r="C35" s="87">
        <v>10000</v>
      </c>
      <c r="D35" s="88">
        <f t="shared" si="0"/>
        <v>250000</v>
      </c>
    </row>
    <row r="36" spans="1:4" ht="18" hidden="1" x14ac:dyDescent="0.3">
      <c r="A36" s="65" t="s">
        <v>34</v>
      </c>
      <c r="B36" s="87"/>
      <c r="C36" s="87"/>
      <c r="D36" s="88">
        <f t="shared" si="0"/>
        <v>0</v>
      </c>
    </row>
    <row r="37" spans="1:4" ht="18" hidden="1" x14ac:dyDescent="0.3">
      <c r="A37" s="63" t="s">
        <v>35</v>
      </c>
      <c r="B37" s="87"/>
      <c r="C37" s="87"/>
      <c r="D37" s="88">
        <f t="shared" si="0"/>
        <v>0</v>
      </c>
    </row>
    <row r="38" spans="1:4" ht="18" x14ac:dyDescent="0.3">
      <c r="A38" s="60" t="s">
        <v>36</v>
      </c>
      <c r="B38" s="87">
        <v>7</v>
      </c>
      <c r="C38" s="87">
        <v>21000</v>
      </c>
      <c r="D38" s="88">
        <f t="shared" si="0"/>
        <v>147000</v>
      </c>
    </row>
    <row r="39" spans="1:4" ht="18" hidden="1" x14ac:dyDescent="0.3">
      <c r="A39" s="63" t="s">
        <v>37</v>
      </c>
      <c r="B39" s="87"/>
      <c r="C39" s="87"/>
      <c r="D39" s="88">
        <f t="shared" si="0"/>
        <v>0</v>
      </c>
    </row>
    <row r="40" spans="1:4" ht="18" x14ac:dyDescent="0.3">
      <c r="A40" s="63" t="s">
        <v>38</v>
      </c>
      <c r="B40" s="87">
        <f>27+7</f>
        <v>34</v>
      </c>
      <c r="C40" s="87">
        <v>27000</v>
      </c>
      <c r="D40" s="88">
        <f t="shared" si="0"/>
        <v>918000</v>
      </c>
    </row>
    <row r="41" spans="1:4" ht="18" hidden="1" x14ac:dyDescent="0.3">
      <c r="A41" s="66" t="s">
        <v>39</v>
      </c>
      <c r="B41" s="87"/>
      <c r="C41" s="87"/>
      <c r="D41" s="88">
        <f t="shared" si="0"/>
        <v>0</v>
      </c>
    </row>
    <row r="42" spans="1:4" ht="18" hidden="1" x14ac:dyDescent="0.3">
      <c r="A42" s="63" t="s">
        <v>40</v>
      </c>
      <c r="B42" s="87"/>
      <c r="C42" s="87"/>
      <c r="D42" s="88">
        <f t="shared" si="0"/>
        <v>0</v>
      </c>
    </row>
    <row r="43" spans="1:4" ht="18" hidden="1" x14ac:dyDescent="0.3">
      <c r="A43" s="63" t="s">
        <v>41</v>
      </c>
      <c r="B43" s="87"/>
      <c r="C43" s="87"/>
      <c r="D43" s="88">
        <f t="shared" si="0"/>
        <v>0</v>
      </c>
    </row>
    <row r="44" spans="1:4" ht="18" x14ac:dyDescent="0.3">
      <c r="A44" s="63" t="s">
        <v>42</v>
      </c>
      <c r="B44" s="87">
        <v>56</v>
      </c>
      <c r="C44" s="87">
        <v>17000</v>
      </c>
      <c r="D44" s="88">
        <f t="shared" si="0"/>
        <v>952000</v>
      </c>
    </row>
    <row r="45" spans="1:4" ht="18" hidden="1" x14ac:dyDescent="0.3">
      <c r="A45" s="63" t="s">
        <v>43</v>
      </c>
      <c r="B45" s="87"/>
      <c r="C45" s="87"/>
      <c r="D45" s="88">
        <f t="shared" si="0"/>
        <v>0</v>
      </c>
    </row>
    <row r="46" spans="1:4" ht="18" hidden="1" x14ac:dyDescent="0.3">
      <c r="A46" s="67" t="s">
        <v>44</v>
      </c>
      <c r="B46" s="87"/>
      <c r="C46" s="87"/>
      <c r="D46" s="88">
        <f t="shared" si="0"/>
        <v>0</v>
      </c>
    </row>
    <row r="47" spans="1:4" ht="18" hidden="1" x14ac:dyDescent="0.3">
      <c r="A47" s="63" t="s">
        <v>46</v>
      </c>
      <c r="B47" s="87"/>
      <c r="C47" s="87"/>
      <c r="D47" s="88">
        <f t="shared" si="0"/>
        <v>0</v>
      </c>
    </row>
    <row r="48" spans="1:4" ht="18" hidden="1" x14ac:dyDescent="0.3">
      <c r="A48" s="65" t="s">
        <v>47</v>
      </c>
      <c r="B48" s="87"/>
      <c r="C48" s="87"/>
      <c r="D48" s="88">
        <f t="shared" si="0"/>
        <v>0</v>
      </c>
    </row>
    <row r="49" spans="1:4" ht="18" hidden="1" x14ac:dyDescent="0.3">
      <c r="A49" s="61" t="s">
        <v>300</v>
      </c>
      <c r="B49" s="87"/>
      <c r="C49" s="87"/>
      <c r="D49" s="88">
        <f t="shared" si="0"/>
        <v>0</v>
      </c>
    </row>
    <row r="50" spans="1:4" ht="18" hidden="1" x14ac:dyDescent="0.3">
      <c r="A50" s="63" t="s">
        <v>48</v>
      </c>
      <c r="B50" s="87"/>
      <c r="C50" s="87"/>
      <c r="D50" s="88">
        <f t="shared" si="0"/>
        <v>0</v>
      </c>
    </row>
    <row r="51" spans="1:4" ht="18" x14ac:dyDescent="0.3">
      <c r="A51" s="63" t="s">
        <v>49</v>
      </c>
      <c r="B51" s="87">
        <v>6</v>
      </c>
      <c r="C51" s="87">
        <v>10000</v>
      </c>
      <c r="D51" s="88">
        <f t="shared" si="0"/>
        <v>60000</v>
      </c>
    </row>
    <row r="52" spans="1:4" ht="18" hidden="1" x14ac:dyDescent="0.3">
      <c r="A52" s="63" t="s">
        <v>50</v>
      </c>
      <c r="B52" s="87"/>
      <c r="C52" s="87"/>
      <c r="D52" s="88">
        <f t="shared" si="0"/>
        <v>0</v>
      </c>
    </row>
    <row r="53" spans="1:4" ht="18" hidden="1" x14ac:dyDescent="0.3">
      <c r="A53" s="60" t="s">
        <v>51</v>
      </c>
      <c r="B53" s="87"/>
      <c r="C53" s="87"/>
      <c r="D53" s="88">
        <f t="shared" si="0"/>
        <v>0</v>
      </c>
    </row>
    <row r="54" spans="1:4" ht="18" hidden="1" x14ac:dyDescent="0.3">
      <c r="A54" s="63" t="s">
        <v>52</v>
      </c>
      <c r="B54" s="87"/>
      <c r="C54" s="87"/>
      <c r="D54" s="88">
        <f t="shared" si="0"/>
        <v>0</v>
      </c>
    </row>
    <row r="55" spans="1:4" ht="18" hidden="1" x14ac:dyDescent="0.3">
      <c r="A55" s="68" t="s">
        <v>53</v>
      </c>
      <c r="B55" s="87"/>
      <c r="C55" s="87"/>
      <c r="D55" s="88">
        <f t="shared" si="0"/>
        <v>0</v>
      </c>
    </row>
    <row r="56" spans="1:4" ht="18" hidden="1" x14ac:dyDescent="0.3">
      <c r="A56" s="63" t="s">
        <v>54</v>
      </c>
      <c r="B56" s="87"/>
      <c r="C56" s="87"/>
      <c r="D56" s="88">
        <f t="shared" si="0"/>
        <v>0</v>
      </c>
    </row>
    <row r="57" spans="1:4" ht="18" hidden="1" x14ac:dyDescent="0.3">
      <c r="A57" s="17" t="s">
        <v>55</v>
      </c>
      <c r="B57" s="87"/>
      <c r="C57" s="87"/>
      <c r="D57" s="88">
        <f t="shared" si="0"/>
        <v>0</v>
      </c>
    </row>
    <row r="58" spans="1:4" ht="18" hidden="1" x14ac:dyDescent="0.3">
      <c r="A58" s="63" t="s">
        <v>56</v>
      </c>
      <c r="B58" s="87"/>
      <c r="C58" s="87"/>
      <c r="D58" s="88">
        <f t="shared" si="0"/>
        <v>0</v>
      </c>
    </row>
    <row r="59" spans="1:4" ht="18" hidden="1" x14ac:dyDescent="0.3">
      <c r="A59" s="67" t="s">
        <v>57</v>
      </c>
      <c r="B59" s="87"/>
      <c r="C59" s="87"/>
      <c r="D59" s="88">
        <f t="shared" si="0"/>
        <v>0</v>
      </c>
    </row>
    <row r="60" spans="1:4" ht="18" hidden="1" x14ac:dyDescent="0.3">
      <c r="A60" s="63" t="s">
        <v>58</v>
      </c>
      <c r="B60" s="87"/>
      <c r="C60" s="87"/>
      <c r="D60" s="88">
        <f t="shared" si="0"/>
        <v>0</v>
      </c>
    </row>
    <row r="61" spans="1:4" ht="18" hidden="1" x14ac:dyDescent="0.3">
      <c r="A61" s="60" t="s">
        <v>59</v>
      </c>
      <c r="B61" s="87"/>
      <c r="C61" s="87"/>
      <c r="D61" s="88">
        <f t="shared" si="0"/>
        <v>0</v>
      </c>
    </row>
    <row r="62" spans="1:4" ht="18" hidden="1" x14ac:dyDescent="0.3">
      <c r="A62" s="60" t="s">
        <v>60</v>
      </c>
      <c r="B62" s="87"/>
      <c r="C62" s="87"/>
      <c r="D62" s="88">
        <f t="shared" si="0"/>
        <v>0</v>
      </c>
    </row>
    <row r="63" spans="1:4" ht="18" hidden="1" x14ac:dyDescent="0.3">
      <c r="A63" s="63" t="s">
        <v>61</v>
      </c>
      <c r="B63" s="87"/>
      <c r="C63" s="87"/>
      <c r="D63" s="88">
        <f t="shared" si="0"/>
        <v>0</v>
      </c>
    </row>
    <row r="64" spans="1:4" ht="18" hidden="1" x14ac:dyDescent="0.3">
      <c r="A64" s="69" t="s">
        <v>62</v>
      </c>
      <c r="B64" s="90"/>
      <c r="C64" s="90"/>
      <c r="D64" s="88">
        <f t="shared" si="0"/>
        <v>0</v>
      </c>
    </row>
    <row r="65" spans="1:4" ht="18" hidden="1" x14ac:dyDescent="0.3">
      <c r="A65" s="63" t="s">
        <v>63</v>
      </c>
      <c r="B65" s="87"/>
      <c r="C65" s="87"/>
      <c r="D65" s="88">
        <f t="shared" si="0"/>
        <v>0</v>
      </c>
    </row>
    <row r="66" spans="1:4" ht="18" hidden="1" x14ac:dyDescent="0.3">
      <c r="A66" s="60" t="s">
        <v>64</v>
      </c>
      <c r="B66" s="87"/>
      <c r="C66" s="87"/>
      <c r="D66" s="88">
        <f t="shared" si="0"/>
        <v>0</v>
      </c>
    </row>
    <row r="67" spans="1:4" ht="18" hidden="1" x14ac:dyDescent="0.3">
      <c r="A67" s="60" t="s">
        <v>65</v>
      </c>
      <c r="B67" s="87"/>
      <c r="C67" s="87"/>
      <c r="D67" s="88">
        <f t="shared" si="0"/>
        <v>0</v>
      </c>
    </row>
    <row r="68" spans="1:4" ht="18" hidden="1" x14ac:dyDescent="0.3">
      <c r="A68" s="63" t="s">
        <v>66</v>
      </c>
      <c r="B68" s="87"/>
      <c r="C68" s="87"/>
      <c r="D68" s="88">
        <f t="shared" ref="D68:D131" si="1">B68*C68</f>
        <v>0</v>
      </c>
    </row>
    <row r="69" spans="1:4" ht="18" x14ac:dyDescent="0.3">
      <c r="A69" s="60" t="s">
        <v>67</v>
      </c>
      <c r="B69" s="87">
        <f>100+250+100</f>
        <v>450</v>
      </c>
      <c r="C69" s="87">
        <v>25000</v>
      </c>
      <c r="D69" s="88">
        <f t="shared" si="1"/>
        <v>11250000</v>
      </c>
    </row>
    <row r="70" spans="1:4" ht="18" hidden="1" x14ac:dyDescent="0.3">
      <c r="A70" s="63" t="s">
        <v>68</v>
      </c>
      <c r="B70" s="87"/>
      <c r="C70" s="87"/>
      <c r="D70" s="88">
        <f t="shared" si="1"/>
        <v>0</v>
      </c>
    </row>
    <row r="71" spans="1:4" ht="18" hidden="1" x14ac:dyDescent="0.3">
      <c r="A71" s="63" t="s">
        <v>69</v>
      </c>
      <c r="B71" s="87"/>
      <c r="C71" s="87"/>
      <c r="D71" s="88">
        <f t="shared" si="1"/>
        <v>0</v>
      </c>
    </row>
    <row r="72" spans="1:4" ht="18" hidden="1" x14ac:dyDescent="0.3">
      <c r="A72" s="63" t="s">
        <v>70</v>
      </c>
      <c r="B72" s="87"/>
      <c r="C72" s="87"/>
      <c r="D72" s="88">
        <f t="shared" si="1"/>
        <v>0</v>
      </c>
    </row>
    <row r="73" spans="1:4" ht="18" hidden="1" x14ac:dyDescent="0.3">
      <c r="A73" s="63" t="s">
        <v>71</v>
      </c>
      <c r="B73" s="87"/>
      <c r="C73" s="87"/>
      <c r="D73" s="88">
        <f t="shared" si="1"/>
        <v>0</v>
      </c>
    </row>
    <row r="74" spans="1:4" ht="18" hidden="1" x14ac:dyDescent="0.3">
      <c r="A74" s="70" t="s">
        <v>72</v>
      </c>
      <c r="B74" s="87"/>
      <c r="C74" s="87"/>
      <c r="D74" s="88">
        <f t="shared" si="1"/>
        <v>0</v>
      </c>
    </row>
    <row r="75" spans="1:4" ht="18" hidden="1" x14ac:dyDescent="0.3">
      <c r="A75" s="71" t="s">
        <v>73</v>
      </c>
      <c r="B75" s="87"/>
      <c r="C75" s="87"/>
      <c r="D75" s="88">
        <f t="shared" si="1"/>
        <v>0</v>
      </c>
    </row>
    <row r="76" spans="1:4" ht="18" hidden="1" x14ac:dyDescent="0.3">
      <c r="A76" s="70" t="s">
        <v>74</v>
      </c>
      <c r="B76" s="87"/>
      <c r="C76" s="87"/>
      <c r="D76" s="88">
        <f t="shared" si="1"/>
        <v>0</v>
      </c>
    </row>
    <row r="77" spans="1:4" ht="18" hidden="1" x14ac:dyDescent="0.3">
      <c r="A77" s="68" t="s">
        <v>75</v>
      </c>
      <c r="B77" s="87"/>
      <c r="C77" s="87"/>
      <c r="D77" s="88">
        <f t="shared" si="1"/>
        <v>0</v>
      </c>
    </row>
    <row r="78" spans="1:4" ht="18" hidden="1" x14ac:dyDescent="0.3">
      <c r="A78" s="72" t="s">
        <v>76</v>
      </c>
      <c r="B78" s="87"/>
      <c r="C78" s="87"/>
      <c r="D78" s="88">
        <f t="shared" si="1"/>
        <v>0</v>
      </c>
    </row>
    <row r="79" spans="1:4" ht="18" hidden="1" x14ac:dyDescent="0.3">
      <c r="A79" s="72" t="s">
        <v>77</v>
      </c>
      <c r="B79" s="87"/>
      <c r="C79" s="87"/>
      <c r="D79" s="88">
        <f t="shared" si="1"/>
        <v>0</v>
      </c>
    </row>
    <row r="80" spans="1:4" ht="18" hidden="1" x14ac:dyDescent="0.3">
      <c r="A80" s="22" t="s">
        <v>78</v>
      </c>
      <c r="B80" s="87"/>
      <c r="C80" s="87"/>
      <c r="D80" s="88">
        <f t="shared" si="1"/>
        <v>0</v>
      </c>
    </row>
    <row r="81" spans="1:4" ht="18" hidden="1" x14ac:dyDescent="0.3">
      <c r="A81" s="72" t="s">
        <v>79</v>
      </c>
      <c r="B81" s="87"/>
      <c r="C81" s="87"/>
      <c r="D81" s="88">
        <f t="shared" si="1"/>
        <v>0</v>
      </c>
    </row>
    <row r="82" spans="1:4" ht="18" hidden="1" x14ac:dyDescent="0.3">
      <c r="A82" s="63" t="s">
        <v>80</v>
      </c>
      <c r="B82" s="91"/>
      <c r="C82" s="91"/>
      <c r="D82" s="88">
        <f t="shared" si="1"/>
        <v>0</v>
      </c>
    </row>
    <row r="83" spans="1:4" ht="18" x14ac:dyDescent="0.3">
      <c r="A83" s="63" t="s">
        <v>81</v>
      </c>
      <c r="B83" s="87">
        <v>18</v>
      </c>
      <c r="C83" s="87">
        <v>30000</v>
      </c>
      <c r="D83" s="88">
        <f t="shared" si="1"/>
        <v>540000</v>
      </c>
    </row>
    <row r="84" spans="1:4" ht="18" hidden="1" x14ac:dyDescent="0.3">
      <c r="A84" s="63" t="s">
        <v>82</v>
      </c>
      <c r="B84" s="87"/>
      <c r="C84" s="87"/>
      <c r="D84" s="88">
        <f t="shared" si="1"/>
        <v>0</v>
      </c>
    </row>
    <row r="85" spans="1:4" ht="18" hidden="1" x14ac:dyDescent="0.3">
      <c r="A85" s="63" t="s">
        <v>83</v>
      </c>
      <c r="B85" s="87"/>
      <c r="C85" s="87"/>
      <c r="D85" s="88">
        <f t="shared" si="1"/>
        <v>0</v>
      </c>
    </row>
    <row r="86" spans="1:4" ht="18" hidden="1" x14ac:dyDescent="0.3">
      <c r="A86" s="63" t="s">
        <v>84</v>
      </c>
      <c r="B86" s="87"/>
      <c r="C86" s="87"/>
      <c r="D86" s="88">
        <f t="shared" si="1"/>
        <v>0</v>
      </c>
    </row>
    <row r="87" spans="1:4" ht="18" hidden="1" x14ac:dyDescent="0.3">
      <c r="A87" s="63" t="s">
        <v>85</v>
      </c>
      <c r="B87" s="87"/>
      <c r="C87" s="87"/>
      <c r="D87" s="88">
        <f t="shared" si="1"/>
        <v>0</v>
      </c>
    </row>
    <row r="88" spans="1:4" ht="18" hidden="1" x14ac:dyDescent="0.3">
      <c r="A88" s="63" t="s">
        <v>86</v>
      </c>
      <c r="B88" s="87"/>
      <c r="C88" s="87"/>
      <c r="D88" s="88">
        <f t="shared" si="1"/>
        <v>0</v>
      </c>
    </row>
    <row r="89" spans="1:4" ht="18" hidden="1" x14ac:dyDescent="0.3">
      <c r="A89" s="73" t="s">
        <v>87</v>
      </c>
      <c r="B89" s="87"/>
      <c r="C89" s="87"/>
      <c r="D89" s="88">
        <f t="shared" si="1"/>
        <v>0</v>
      </c>
    </row>
    <row r="90" spans="1:4" ht="18" hidden="1" x14ac:dyDescent="0.3">
      <c r="A90" s="63" t="s">
        <v>88</v>
      </c>
      <c r="B90" s="87"/>
      <c r="C90" s="87"/>
      <c r="D90" s="88">
        <f t="shared" si="1"/>
        <v>0</v>
      </c>
    </row>
    <row r="91" spans="1:4" ht="18" hidden="1" x14ac:dyDescent="0.3">
      <c r="A91" s="63" t="s">
        <v>89</v>
      </c>
      <c r="B91" s="87"/>
      <c r="C91" s="87"/>
      <c r="D91" s="88">
        <f t="shared" si="1"/>
        <v>0</v>
      </c>
    </row>
    <row r="92" spans="1:4" ht="18" hidden="1" x14ac:dyDescent="0.3">
      <c r="A92" s="63" t="s">
        <v>90</v>
      </c>
      <c r="B92" s="89"/>
      <c r="C92" s="87"/>
      <c r="D92" s="88">
        <f t="shared" si="1"/>
        <v>0</v>
      </c>
    </row>
    <row r="93" spans="1:4" ht="18" hidden="1" x14ac:dyDescent="0.3">
      <c r="A93" s="74" t="s">
        <v>91</v>
      </c>
      <c r="B93" s="87"/>
      <c r="C93" s="87"/>
      <c r="D93" s="88">
        <f t="shared" si="1"/>
        <v>0</v>
      </c>
    </row>
    <row r="94" spans="1:4" ht="18" hidden="1" x14ac:dyDescent="0.3">
      <c r="A94" s="60" t="s">
        <v>93</v>
      </c>
      <c r="B94" s="87"/>
      <c r="C94" s="87"/>
      <c r="D94" s="88">
        <f t="shared" si="1"/>
        <v>0</v>
      </c>
    </row>
    <row r="95" spans="1:4" ht="18" hidden="1" x14ac:dyDescent="0.3">
      <c r="A95" s="65" t="s">
        <v>94</v>
      </c>
      <c r="B95" s="87"/>
      <c r="C95" s="87"/>
      <c r="D95" s="88">
        <f t="shared" si="1"/>
        <v>0</v>
      </c>
    </row>
    <row r="96" spans="1:4" ht="18" hidden="1" x14ac:dyDescent="0.3">
      <c r="A96" s="60" t="s">
        <v>95</v>
      </c>
      <c r="B96" s="87"/>
      <c r="C96" s="87"/>
      <c r="D96" s="88">
        <f t="shared" si="1"/>
        <v>0</v>
      </c>
    </row>
    <row r="97" spans="1:4" ht="18" hidden="1" x14ac:dyDescent="0.3">
      <c r="A97" s="63" t="s">
        <v>96</v>
      </c>
      <c r="B97" s="87"/>
      <c r="C97" s="87"/>
      <c r="D97" s="88">
        <f t="shared" si="1"/>
        <v>0</v>
      </c>
    </row>
    <row r="98" spans="1:4" ht="18" hidden="1" x14ac:dyDescent="0.3">
      <c r="A98" s="75" t="s">
        <v>97</v>
      </c>
      <c r="B98" s="87"/>
      <c r="C98" s="87"/>
      <c r="D98" s="88">
        <f t="shared" si="1"/>
        <v>0</v>
      </c>
    </row>
    <row r="99" spans="1:4" ht="18" hidden="1" x14ac:dyDescent="0.3">
      <c r="A99" s="76" t="s">
        <v>98</v>
      </c>
      <c r="B99" s="87"/>
      <c r="C99" s="87"/>
      <c r="D99" s="88">
        <f t="shared" si="1"/>
        <v>0</v>
      </c>
    </row>
    <row r="100" spans="1:4" ht="18" hidden="1" x14ac:dyDescent="0.3">
      <c r="A100" s="76" t="s">
        <v>99</v>
      </c>
      <c r="B100" s="87"/>
      <c r="C100" s="87"/>
      <c r="D100" s="88">
        <f t="shared" si="1"/>
        <v>0</v>
      </c>
    </row>
    <row r="101" spans="1:4" ht="18" hidden="1" x14ac:dyDescent="0.3">
      <c r="A101" s="14" t="s">
        <v>100</v>
      </c>
      <c r="B101" s="87"/>
      <c r="C101" s="87"/>
      <c r="D101" s="88">
        <f t="shared" si="1"/>
        <v>0</v>
      </c>
    </row>
    <row r="102" spans="1:4" ht="18" hidden="1" x14ac:dyDescent="0.3">
      <c r="A102" s="14" t="s">
        <v>101</v>
      </c>
      <c r="B102" s="87"/>
      <c r="C102" s="87"/>
      <c r="D102" s="88">
        <f t="shared" si="1"/>
        <v>0</v>
      </c>
    </row>
    <row r="103" spans="1:4" ht="18" hidden="1" x14ac:dyDescent="0.3">
      <c r="A103" s="63" t="s">
        <v>102</v>
      </c>
      <c r="B103" s="89"/>
      <c r="C103" s="89"/>
      <c r="D103" s="88">
        <f t="shared" si="1"/>
        <v>0</v>
      </c>
    </row>
    <row r="104" spans="1:4" ht="18" hidden="1" x14ac:dyDescent="0.3">
      <c r="A104" s="63" t="s">
        <v>103</v>
      </c>
      <c r="B104" s="89"/>
      <c r="C104" s="89"/>
      <c r="D104" s="88">
        <f t="shared" si="1"/>
        <v>0</v>
      </c>
    </row>
    <row r="105" spans="1:4" ht="18" hidden="1" x14ac:dyDescent="0.3">
      <c r="A105" s="63" t="s">
        <v>104</v>
      </c>
      <c r="B105" s="89"/>
      <c r="C105" s="89"/>
      <c r="D105" s="88">
        <f t="shared" si="1"/>
        <v>0</v>
      </c>
    </row>
    <row r="106" spans="1:4" ht="18" hidden="1" x14ac:dyDescent="0.3">
      <c r="A106" s="63" t="s">
        <v>105</v>
      </c>
      <c r="B106" s="89"/>
      <c r="C106" s="89"/>
      <c r="D106" s="88">
        <f t="shared" si="1"/>
        <v>0</v>
      </c>
    </row>
    <row r="107" spans="1:4" ht="18" hidden="1" x14ac:dyDescent="0.3">
      <c r="A107" s="63" t="s">
        <v>106</v>
      </c>
      <c r="B107" s="89"/>
      <c r="C107" s="89"/>
      <c r="D107" s="88">
        <f t="shared" si="1"/>
        <v>0</v>
      </c>
    </row>
    <row r="108" spans="1:4" ht="18" hidden="1" x14ac:dyDescent="0.3">
      <c r="A108" s="63" t="s">
        <v>107</v>
      </c>
      <c r="B108" s="89"/>
      <c r="C108" s="89"/>
      <c r="D108" s="88">
        <f t="shared" si="1"/>
        <v>0</v>
      </c>
    </row>
    <row r="109" spans="1:4" ht="18" hidden="1" x14ac:dyDescent="0.3">
      <c r="A109" s="63" t="s">
        <v>108</v>
      </c>
      <c r="B109" s="89"/>
      <c r="C109" s="89"/>
      <c r="D109" s="88">
        <f t="shared" si="1"/>
        <v>0</v>
      </c>
    </row>
    <row r="110" spans="1:4" ht="18" hidden="1" x14ac:dyDescent="0.3">
      <c r="A110" s="63" t="s">
        <v>109</v>
      </c>
      <c r="B110" s="89"/>
      <c r="C110" s="89"/>
      <c r="D110" s="88">
        <f t="shared" si="1"/>
        <v>0</v>
      </c>
    </row>
    <row r="111" spans="1:4" ht="18" hidden="1" x14ac:dyDescent="0.3">
      <c r="A111" s="63" t="s">
        <v>110</v>
      </c>
      <c r="B111" s="89"/>
      <c r="C111" s="89"/>
      <c r="D111" s="88">
        <f t="shared" si="1"/>
        <v>0</v>
      </c>
    </row>
    <row r="112" spans="1:4" ht="18" hidden="1" x14ac:dyDescent="0.3">
      <c r="A112" s="63" t="s">
        <v>111</v>
      </c>
      <c r="B112" s="89"/>
      <c r="C112" s="89"/>
      <c r="D112" s="88">
        <f t="shared" si="1"/>
        <v>0</v>
      </c>
    </row>
    <row r="113" spans="1:4" ht="18" hidden="1" x14ac:dyDescent="0.3">
      <c r="A113" s="63" t="s">
        <v>112</v>
      </c>
      <c r="B113" s="89"/>
      <c r="C113" s="89"/>
      <c r="D113" s="88">
        <f t="shared" si="1"/>
        <v>0</v>
      </c>
    </row>
    <row r="114" spans="1:4" ht="18" x14ac:dyDescent="0.3">
      <c r="A114" s="60" t="s">
        <v>113</v>
      </c>
      <c r="B114" s="87">
        <f>160+40+20+60+120</f>
        <v>400</v>
      </c>
      <c r="C114" s="87">
        <v>18000</v>
      </c>
      <c r="D114" s="88">
        <f t="shared" si="1"/>
        <v>7200000</v>
      </c>
    </row>
    <row r="115" spans="1:4" ht="18" x14ac:dyDescent="0.3">
      <c r="A115" s="63" t="s">
        <v>114</v>
      </c>
      <c r="B115" s="87">
        <f>20+20+20+60</f>
        <v>120</v>
      </c>
      <c r="C115" s="87">
        <v>9000</v>
      </c>
      <c r="D115" s="88">
        <f t="shared" si="1"/>
        <v>1080000</v>
      </c>
    </row>
    <row r="116" spans="1:4" ht="18" hidden="1" x14ac:dyDescent="0.3">
      <c r="A116" s="63" t="s">
        <v>115</v>
      </c>
      <c r="B116" s="87"/>
      <c r="C116" s="87"/>
      <c r="D116" s="88">
        <f t="shared" si="1"/>
        <v>0</v>
      </c>
    </row>
    <row r="117" spans="1:4" ht="18" hidden="1" x14ac:dyDescent="0.3">
      <c r="A117" s="60" t="s">
        <v>116</v>
      </c>
      <c r="B117" s="87"/>
      <c r="C117" s="87"/>
      <c r="D117" s="88">
        <f t="shared" si="1"/>
        <v>0</v>
      </c>
    </row>
    <row r="118" spans="1:4" ht="18" hidden="1" x14ac:dyDescent="0.3">
      <c r="A118" s="63" t="s">
        <v>117</v>
      </c>
      <c r="B118" s="87"/>
      <c r="C118" s="87"/>
      <c r="D118" s="88">
        <f t="shared" si="1"/>
        <v>0</v>
      </c>
    </row>
    <row r="119" spans="1:4" ht="18" hidden="1" x14ac:dyDescent="0.3">
      <c r="A119" s="63" t="s">
        <v>118</v>
      </c>
      <c r="B119" s="87"/>
      <c r="C119" s="87"/>
      <c r="D119" s="88">
        <f t="shared" si="1"/>
        <v>0</v>
      </c>
    </row>
    <row r="120" spans="1:4" ht="18" hidden="1" x14ac:dyDescent="0.3">
      <c r="A120" s="63" t="s">
        <v>119</v>
      </c>
      <c r="B120" s="87"/>
      <c r="C120" s="87"/>
      <c r="D120" s="88">
        <f t="shared" si="1"/>
        <v>0</v>
      </c>
    </row>
    <row r="121" spans="1:4" ht="18" x14ac:dyDescent="0.3">
      <c r="A121" s="63" t="s">
        <v>120</v>
      </c>
      <c r="B121" s="87">
        <f>90+150+520+1000+30+180+190+330</f>
        <v>2490</v>
      </c>
      <c r="C121" s="87">
        <v>5000</v>
      </c>
      <c r="D121" s="88">
        <f t="shared" si="1"/>
        <v>12450000</v>
      </c>
    </row>
    <row r="122" spans="1:4" ht="18" hidden="1" x14ac:dyDescent="0.3">
      <c r="A122" s="63" t="s">
        <v>121</v>
      </c>
      <c r="B122" s="87"/>
      <c r="C122" s="87"/>
      <c r="D122" s="88">
        <f t="shared" si="1"/>
        <v>0</v>
      </c>
    </row>
    <row r="123" spans="1:4" ht="18" hidden="1" x14ac:dyDescent="0.3">
      <c r="A123" s="61" t="s">
        <v>122</v>
      </c>
      <c r="B123" s="87"/>
      <c r="C123" s="87"/>
      <c r="D123" s="88">
        <f t="shared" si="1"/>
        <v>0</v>
      </c>
    </row>
    <row r="124" spans="1:4" ht="18" hidden="1" x14ac:dyDescent="0.3">
      <c r="A124" s="74" t="s">
        <v>123</v>
      </c>
      <c r="B124" s="87"/>
      <c r="C124" s="87"/>
      <c r="D124" s="88">
        <f t="shared" si="1"/>
        <v>0</v>
      </c>
    </row>
    <row r="125" spans="1:4" ht="78" hidden="1" x14ac:dyDescent="0.3">
      <c r="A125" s="77" t="s">
        <v>124</v>
      </c>
      <c r="B125" s="87"/>
      <c r="C125" s="87"/>
      <c r="D125" s="88">
        <f t="shared" si="1"/>
        <v>0</v>
      </c>
    </row>
    <row r="126" spans="1:4" ht="18" hidden="1" x14ac:dyDescent="0.3">
      <c r="A126" s="72" t="s">
        <v>125</v>
      </c>
      <c r="B126" s="87"/>
      <c r="C126" s="87"/>
      <c r="D126" s="88">
        <f t="shared" si="1"/>
        <v>0</v>
      </c>
    </row>
    <row r="127" spans="1:4" ht="18" hidden="1" x14ac:dyDescent="0.3">
      <c r="A127" s="60" t="s">
        <v>126</v>
      </c>
      <c r="B127" s="89"/>
      <c r="C127" s="89"/>
      <c r="D127" s="88">
        <f t="shared" si="1"/>
        <v>0</v>
      </c>
    </row>
    <row r="128" spans="1:4" ht="18" hidden="1" x14ac:dyDescent="0.3">
      <c r="A128" s="60" t="s">
        <v>127</v>
      </c>
      <c r="B128" s="89"/>
      <c r="C128" s="89"/>
      <c r="D128" s="88">
        <f t="shared" si="1"/>
        <v>0</v>
      </c>
    </row>
    <row r="129" spans="1:4" ht="18" hidden="1" x14ac:dyDescent="0.3">
      <c r="A129" s="60" t="s">
        <v>128</v>
      </c>
      <c r="B129" s="89"/>
      <c r="C129" s="89"/>
      <c r="D129" s="88">
        <f t="shared" si="1"/>
        <v>0</v>
      </c>
    </row>
    <row r="130" spans="1:4" ht="18" hidden="1" x14ac:dyDescent="0.3">
      <c r="A130" s="60" t="s">
        <v>129</v>
      </c>
      <c r="B130" s="92"/>
      <c r="C130" s="92"/>
      <c r="D130" s="88">
        <f t="shared" si="1"/>
        <v>0</v>
      </c>
    </row>
    <row r="131" spans="1:4" ht="18" hidden="1" x14ac:dyDescent="0.3">
      <c r="A131" s="63" t="s">
        <v>130</v>
      </c>
      <c r="B131" s="89"/>
      <c r="C131" s="89"/>
      <c r="D131" s="88">
        <f t="shared" si="1"/>
        <v>0</v>
      </c>
    </row>
    <row r="132" spans="1:4" ht="18" hidden="1" x14ac:dyDescent="0.3">
      <c r="A132" s="63" t="s">
        <v>131</v>
      </c>
      <c r="B132" s="89"/>
      <c r="C132" s="89"/>
      <c r="D132" s="88">
        <f t="shared" ref="D132:D195" si="2">B132*C132</f>
        <v>0</v>
      </c>
    </row>
    <row r="133" spans="1:4" ht="18" hidden="1" x14ac:dyDescent="0.3">
      <c r="A133" s="65" t="s">
        <v>132</v>
      </c>
      <c r="B133" s="87"/>
      <c r="C133" s="87"/>
      <c r="D133" s="88">
        <f t="shared" si="2"/>
        <v>0</v>
      </c>
    </row>
    <row r="134" spans="1:4" ht="18" hidden="1" x14ac:dyDescent="0.3">
      <c r="A134" s="65" t="s">
        <v>133</v>
      </c>
      <c r="B134" s="87"/>
      <c r="C134" s="87"/>
      <c r="D134" s="88">
        <f t="shared" si="2"/>
        <v>0</v>
      </c>
    </row>
    <row r="135" spans="1:4" ht="18" hidden="1" x14ac:dyDescent="0.3">
      <c r="A135" s="65" t="s">
        <v>134</v>
      </c>
      <c r="B135" s="87"/>
      <c r="C135" s="87"/>
      <c r="D135" s="88">
        <f t="shared" si="2"/>
        <v>0</v>
      </c>
    </row>
    <row r="136" spans="1:4" ht="18" hidden="1" x14ac:dyDescent="0.3">
      <c r="A136" s="63" t="s">
        <v>135</v>
      </c>
      <c r="B136" s="87"/>
      <c r="C136" s="87"/>
      <c r="D136" s="88">
        <f t="shared" si="2"/>
        <v>0</v>
      </c>
    </row>
    <row r="137" spans="1:4" ht="18" hidden="1" x14ac:dyDescent="0.3">
      <c r="A137" s="63" t="s">
        <v>338</v>
      </c>
      <c r="B137" s="87"/>
      <c r="C137" s="87"/>
      <c r="D137" s="88">
        <f t="shared" si="2"/>
        <v>0</v>
      </c>
    </row>
    <row r="138" spans="1:4" ht="18" hidden="1" x14ac:dyDescent="0.3">
      <c r="A138" s="65" t="s">
        <v>136</v>
      </c>
      <c r="B138" s="87"/>
      <c r="C138" s="87"/>
      <c r="D138" s="88">
        <f t="shared" si="2"/>
        <v>0</v>
      </c>
    </row>
    <row r="139" spans="1:4" ht="18" hidden="1" x14ac:dyDescent="0.3">
      <c r="A139" s="63" t="s">
        <v>137</v>
      </c>
      <c r="B139" s="89"/>
      <c r="C139" s="89"/>
      <c r="D139" s="88">
        <f t="shared" si="2"/>
        <v>0</v>
      </c>
    </row>
    <row r="140" spans="1:4" ht="18" hidden="1" x14ac:dyDescent="0.3">
      <c r="A140" s="60" t="s">
        <v>138</v>
      </c>
      <c r="B140" s="89"/>
      <c r="C140" s="89"/>
      <c r="D140" s="88">
        <f t="shared" si="2"/>
        <v>0</v>
      </c>
    </row>
    <row r="141" spans="1:4" ht="18" hidden="1" x14ac:dyDescent="0.3">
      <c r="A141" s="63" t="s">
        <v>139</v>
      </c>
      <c r="B141" s="87"/>
      <c r="C141" s="87"/>
      <c r="D141" s="88">
        <f t="shared" si="2"/>
        <v>0</v>
      </c>
    </row>
    <row r="142" spans="1:4" ht="18" hidden="1" x14ac:dyDescent="0.3">
      <c r="A142" s="72" t="s">
        <v>140</v>
      </c>
      <c r="B142" s="87"/>
      <c r="C142" s="87"/>
      <c r="D142" s="88">
        <f t="shared" si="2"/>
        <v>0</v>
      </c>
    </row>
    <row r="143" spans="1:4" ht="18" hidden="1" x14ac:dyDescent="0.3">
      <c r="A143" s="60" t="s">
        <v>141</v>
      </c>
      <c r="B143" s="87"/>
      <c r="C143" s="87"/>
      <c r="D143" s="88">
        <f t="shared" si="2"/>
        <v>0</v>
      </c>
    </row>
    <row r="144" spans="1:4" ht="18" x14ac:dyDescent="0.3">
      <c r="A144" s="63" t="s">
        <v>142</v>
      </c>
      <c r="B144" s="87">
        <f>70+50+75+200</f>
        <v>395</v>
      </c>
      <c r="C144" s="87">
        <v>24000</v>
      </c>
      <c r="D144" s="88">
        <f t="shared" si="2"/>
        <v>9480000</v>
      </c>
    </row>
    <row r="145" spans="1:4" ht="18" x14ac:dyDescent="0.3">
      <c r="A145" s="73" t="s">
        <v>143</v>
      </c>
      <c r="B145" s="87">
        <v>20</v>
      </c>
      <c r="C145" s="87">
        <v>18000</v>
      </c>
      <c r="D145" s="88">
        <f t="shared" si="2"/>
        <v>360000</v>
      </c>
    </row>
    <row r="146" spans="1:4" ht="18" hidden="1" x14ac:dyDescent="0.3">
      <c r="A146" s="73" t="s">
        <v>144</v>
      </c>
      <c r="B146" s="87"/>
      <c r="C146" s="87"/>
      <c r="D146" s="88">
        <f t="shared" si="2"/>
        <v>0</v>
      </c>
    </row>
    <row r="147" spans="1:4" ht="18" hidden="1" x14ac:dyDescent="0.3">
      <c r="A147" s="63" t="s">
        <v>145</v>
      </c>
      <c r="B147" s="87"/>
      <c r="C147" s="87"/>
      <c r="D147" s="88">
        <f t="shared" si="2"/>
        <v>0</v>
      </c>
    </row>
    <row r="148" spans="1:4" ht="18" hidden="1" x14ac:dyDescent="0.3">
      <c r="A148" s="63" t="s">
        <v>146</v>
      </c>
      <c r="B148" s="87"/>
      <c r="C148" s="87"/>
      <c r="D148" s="88">
        <f t="shared" si="2"/>
        <v>0</v>
      </c>
    </row>
    <row r="149" spans="1:4" ht="18" hidden="1" x14ac:dyDescent="0.3">
      <c r="A149" s="63" t="s">
        <v>147</v>
      </c>
      <c r="B149" s="87"/>
      <c r="C149" s="87"/>
      <c r="D149" s="88">
        <f t="shared" si="2"/>
        <v>0</v>
      </c>
    </row>
    <row r="150" spans="1:4" ht="18" hidden="1" x14ac:dyDescent="0.3">
      <c r="A150" s="68" t="s">
        <v>148</v>
      </c>
      <c r="B150" s="87"/>
      <c r="C150" s="87"/>
      <c r="D150" s="88">
        <f t="shared" si="2"/>
        <v>0</v>
      </c>
    </row>
    <row r="151" spans="1:4" ht="18" hidden="1" x14ac:dyDescent="0.3">
      <c r="A151" s="68" t="s">
        <v>149</v>
      </c>
      <c r="B151" s="87"/>
      <c r="C151" s="87"/>
      <c r="D151" s="88">
        <f t="shared" si="2"/>
        <v>0</v>
      </c>
    </row>
    <row r="152" spans="1:4" ht="18" hidden="1" x14ac:dyDescent="0.3">
      <c r="A152" s="63" t="s">
        <v>150</v>
      </c>
      <c r="B152" s="87"/>
      <c r="C152" s="87"/>
      <c r="D152" s="88">
        <f t="shared" si="2"/>
        <v>0</v>
      </c>
    </row>
    <row r="153" spans="1:4" ht="18" hidden="1" x14ac:dyDescent="0.3">
      <c r="A153" s="82" t="s">
        <v>151</v>
      </c>
      <c r="B153" s="87"/>
      <c r="C153" s="87"/>
      <c r="D153" s="88">
        <f t="shared" si="2"/>
        <v>0</v>
      </c>
    </row>
    <row r="154" spans="1:4" ht="18" hidden="1" x14ac:dyDescent="0.3">
      <c r="A154" s="63" t="s">
        <v>152</v>
      </c>
      <c r="B154" s="87"/>
      <c r="C154" s="87"/>
      <c r="D154" s="88">
        <f t="shared" si="2"/>
        <v>0</v>
      </c>
    </row>
    <row r="155" spans="1:4" ht="18" hidden="1" x14ac:dyDescent="0.3">
      <c r="A155" s="63" t="s">
        <v>153</v>
      </c>
      <c r="B155" s="87"/>
      <c r="C155" s="87"/>
      <c r="D155" s="88">
        <f t="shared" si="2"/>
        <v>0</v>
      </c>
    </row>
    <row r="156" spans="1:4" ht="18" hidden="1" x14ac:dyDescent="0.3">
      <c r="A156" s="63" t="s">
        <v>154</v>
      </c>
      <c r="B156" s="87"/>
      <c r="C156" s="87"/>
      <c r="D156" s="88">
        <f t="shared" si="2"/>
        <v>0</v>
      </c>
    </row>
    <row r="157" spans="1:4" ht="18" hidden="1" x14ac:dyDescent="0.3">
      <c r="A157" s="63" t="s">
        <v>155</v>
      </c>
      <c r="B157" s="87"/>
      <c r="C157" s="87"/>
      <c r="D157" s="88">
        <f t="shared" si="2"/>
        <v>0</v>
      </c>
    </row>
    <row r="158" spans="1:4" ht="18" hidden="1" x14ac:dyDescent="0.3">
      <c r="A158" s="62" t="s">
        <v>156</v>
      </c>
      <c r="B158" s="87"/>
      <c r="C158" s="87"/>
      <c r="D158" s="88">
        <f t="shared" si="2"/>
        <v>0</v>
      </c>
    </row>
    <row r="159" spans="1:4" ht="18" hidden="1" x14ac:dyDescent="0.3">
      <c r="A159" s="63" t="s">
        <v>157</v>
      </c>
      <c r="B159" s="87"/>
      <c r="C159" s="87"/>
      <c r="D159" s="88">
        <f t="shared" si="2"/>
        <v>0</v>
      </c>
    </row>
    <row r="160" spans="1:4" ht="18" hidden="1" x14ac:dyDescent="0.3">
      <c r="A160" s="63" t="s">
        <v>158</v>
      </c>
      <c r="B160" s="87"/>
      <c r="C160" s="87"/>
      <c r="D160" s="88">
        <f t="shared" si="2"/>
        <v>0</v>
      </c>
    </row>
    <row r="161" spans="1:4" ht="18" hidden="1" x14ac:dyDescent="0.3">
      <c r="A161" s="63" t="s">
        <v>159</v>
      </c>
      <c r="B161" s="87"/>
      <c r="C161" s="87"/>
      <c r="D161" s="88">
        <f t="shared" si="2"/>
        <v>0</v>
      </c>
    </row>
    <row r="162" spans="1:4" ht="18" hidden="1" x14ac:dyDescent="0.3">
      <c r="A162" s="63" t="s">
        <v>161</v>
      </c>
      <c r="B162" s="87"/>
      <c r="C162" s="87"/>
      <c r="D162" s="88">
        <f t="shared" si="2"/>
        <v>0</v>
      </c>
    </row>
    <row r="163" spans="1:4" ht="18" hidden="1" x14ac:dyDescent="0.3">
      <c r="A163" s="63" t="s">
        <v>162</v>
      </c>
      <c r="B163" s="87"/>
      <c r="C163" s="87"/>
      <c r="D163" s="88">
        <f t="shared" si="2"/>
        <v>0</v>
      </c>
    </row>
    <row r="164" spans="1:4" ht="18" hidden="1" x14ac:dyDescent="0.3">
      <c r="A164" s="14" t="s">
        <v>339</v>
      </c>
      <c r="B164" s="87"/>
      <c r="C164" s="87"/>
      <c r="D164" s="88">
        <f t="shared" si="2"/>
        <v>0</v>
      </c>
    </row>
    <row r="165" spans="1:4" ht="18" x14ac:dyDescent="0.3">
      <c r="A165" s="63" t="s">
        <v>163</v>
      </c>
      <c r="B165" s="87">
        <v>85</v>
      </c>
      <c r="C165" s="87">
        <v>21000</v>
      </c>
      <c r="D165" s="88">
        <f t="shared" si="2"/>
        <v>1785000</v>
      </c>
    </row>
    <row r="166" spans="1:4" ht="18" hidden="1" x14ac:dyDescent="0.3">
      <c r="A166" s="74" t="s">
        <v>164</v>
      </c>
      <c r="B166" s="87"/>
      <c r="C166" s="87"/>
      <c r="D166" s="88">
        <f t="shared" si="2"/>
        <v>0</v>
      </c>
    </row>
    <row r="167" spans="1:4" ht="18" hidden="1" x14ac:dyDescent="0.3">
      <c r="A167" s="63" t="s">
        <v>319</v>
      </c>
      <c r="B167" s="87"/>
      <c r="C167" s="87"/>
      <c r="D167" s="88">
        <f t="shared" si="2"/>
        <v>0</v>
      </c>
    </row>
    <row r="168" spans="1:4" ht="18" hidden="1" x14ac:dyDescent="0.3">
      <c r="A168" s="63" t="s">
        <v>166</v>
      </c>
      <c r="B168" s="87"/>
      <c r="C168" s="87"/>
      <c r="D168" s="88">
        <f t="shared" si="2"/>
        <v>0</v>
      </c>
    </row>
    <row r="169" spans="1:4" ht="18" hidden="1" x14ac:dyDescent="0.3">
      <c r="A169" s="63" t="s">
        <v>167</v>
      </c>
      <c r="B169" s="87"/>
      <c r="C169" s="87"/>
      <c r="D169" s="88">
        <f t="shared" si="2"/>
        <v>0</v>
      </c>
    </row>
    <row r="170" spans="1:4" ht="18" hidden="1" x14ac:dyDescent="0.3">
      <c r="A170" s="74" t="s">
        <v>168</v>
      </c>
      <c r="B170" s="87"/>
      <c r="C170" s="87"/>
      <c r="D170" s="88">
        <f t="shared" si="2"/>
        <v>0</v>
      </c>
    </row>
    <row r="171" spans="1:4" ht="18" hidden="1" x14ac:dyDescent="0.3">
      <c r="A171" s="63" t="s">
        <v>169</v>
      </c>
      <c r="B171" s="87"/>
      <c r="C171" s="87"/>
      <c r="D171" s="88">
        <f t="shared" si="2"/>
        <v>0</v>
      </c>
    </row>
    <row r="172" spans="1:4" ht="18" hidden="1" x14ac:dyDescent="0.3">
      <c r="A172" s="60" t="s">
        <v>170</v>
      </c>
      <c r="B172" s="87"/>
      <c r="C172" s="87"/>
      <c r="D172" s="88">
        <f t="shared" si="2"/>
        <v>0</v>
      </c>
    </row>
    <row r="173" spans="1:4" ht="18" hidden="1" x14ac:dyDescent="0.3">
      <c r="A173" s="63" t="s">
        <v>171</v>
      </c>
      <c r="B173" s="87"/>
      <c r="C173" s="87"/>
      <c r="D173" s="88">
        <f t="shared" si="2"/>
        <v>0</v>
      </c>
    </row>
    <row r="174" spans="1:4" ht="18" hidden="1" x14ac:dyDescent="0.3">
      <c r="A174" s="13" t="s">
        <v>172</v>
      </c>
      <c r="B174" s="87"/>
      <c r="C174" s="87"/>
      <c r="D174" s="88">
        <f t="shared" si="2"/>
        <v>0</v>
      </c>
    </row>
    <row r="175" spans="1:4" ht="18" hidden="1" x14ac:dyDescent="0.3">
      <c r="A175" s="13" t="s">
        <v>173</v>
      </c>
      <c r="B175" s="87"/>
      <c r="C175" s="87"/>
      <c r="D175" s="88">
        <f t="shared" si="2"/>
        <v>0</v>
      </c>
    </row>
    <row r="176" spans="1:4" ht="18" hidden="1" x14ac:dyDescent="0.3">
      <c r="A176" s="61" t="s">
        <v>174</v>
      </c>
      <c r="B176" s="87"/>
      <c r="C176" s="87"/>
      <c r="D176" s="88">
        <f t="shared" si="2"/>
        <v>0</v>
      </c>
    </row>
    <row r="177" spans="1:4" ht="18" x14ac:dyDescent="0.3">
      <c r="A177" s="60" t="s">
        <v>175</v>
      </c>
      <c r="B177" s="87">
        <v>5</v>
      </c>
      <c r="C177" s="87">
        <v>12000</v>
      </c>
      <c r="D177" s="88">
        <f t="shared" si="2"/>
        <v>60000</v>
      </c>
    </row>
    <row r="178" spans="1:4" ht="18" hidden="1" x14ac:dyDescent="0.3">
      <c r="A178" s="60" t="s">
        <v>340</v>
      </c>
      <c r="B178" s="87"/>
      <c r="C178" s="87"/>
      <c r="D178" s="88">
        <f t="shared" si="2"/>
        <v>0</v>
      </c>
    </row>
    <row r="179" spans="1:4" ht="18" x14ac:dyDescent="0.3">
      <c r="A179" s="60" t="s">
        <v>176</v>
      </c>
      <c r="B179" s="87">
        <f>350+300</f>
        <v>650</v>
      </c>
      <c r="C179" s="87">
        <v>28000</v>
      </c>
      <c r="D179" s="88">
        <f t="shared" si="2"/>
        <v>18200000</v>
      </c>
    </row>
    <row r="180" spans="1:4" ht="18" hidden="1" x14ac:dyDescent="0.3">
      <c r="A180" s="63" t="s">
        <v>177</v>
      </c>
      <c r="B180" s="87"/>
      <c r="C180" s="87"/>
      <c r="D180" s="88">
        <f t="shared" si="2"/>
        <v>0</v>
      </c>
    </row>
    <row r="181" spans="1:4" ht="18" hidden="1" x14ac:dyDescent="0.3">
      <c r="A181" s="60" t="s">
        <v>178</v>
      </c>
      <c r="B181" s="87"/>
      <c r="C181" s="87"/>
      <c r="D181" s="88">
        <f t="shared" si="2"/>
        <v>0</v>
      </c>
    </row>
    <row r="182" spans="1:4" ht="18" x14ac:dyDescent="0.3">
      <c r="A182" s="60" t="s">
        <v>179</v>
      </c>
      <c r="B182" s="87">
        <v>10</v>
      </c>
      <c r="C182" s="87">
        <v>25000</v>
      </c>
      <c r="D182" s="88">
        <f t="shared" si="2"/>
        <v>250000</v>
      </c>
    </row>
    <row r="183" spans="1:4" ht="18" hidden="1" x14ac:dyDescent="0.3">
      <c r="A183" s="60" t="s">
        <v>180</v>
      </c>
      <c r="B183" s="87"/>
      <c r="C183" s="87"/>
      <c r="D183" s="88">
        <f t="shared" si="2"/>
        <v>0</v>
      </c>
    </row>
    <row r="184" spans="1:4" ht="18" hidden="1" x14ac:dyDescent="0.3">
      <c r="A184" s="63" t="s">
        <v>181</v>
      </c>
      <c r="B184" s="87"/>
      <c r="C184" s="87"/>
      <c r="D184" s="88">
        <f t="shared" si="2"/>
        <v>0</v>
      </c>
    </row>
    <row r="185" spans="1:4" ht="18" x14ac:dyDescent="0.3">
      <c r="A185" s="63" t="s">
        <v>182</v>
      </c>
      <c r="B185" s="87">
        <v>10</v>
      </c>
      <c r="C185" s="87">
        <v>17000</v>
      </c>
      <c r="D185" s="88">
        <f t="shared" si="2"/>
        <v>170000</v>
      </c>
    </row>
    <row r="186" spans="1:4" ht="18" hidden="1" x14ac:dyDescent="0.3">
      <c r="A186" s="63" t="s">
        <v>183</v>
      </c>
      <c r="B186" s="87"/>
      <c r="C186" s="87"/>
      <c r="D186" s="88">
        <f t="shared" si="2"/>
        <v>0</v>
      </c>
    </row>
    <row r="187" spans="1:4" ht="18" hidden="1" x14ac:dyDescent="0.3">
      <c r="A187" s="63" t="s">
        <v>184</v>
      </c>
      <c r="B187" s="87"/>
      <c r="C187" s="87"/>
      <c r="D187" s="88">
        <f t="shared" si="2"/>
        <v>0</v>
      </c>
    </row>
    <row r="188" spans="1:4" ht="18" hidden="1" x14ac:dyDescent="0.3">
      <c r="A188" s="63" t="s">
        <v>185</v>
      </c>
      <c r="B188" s="87"/>
      <c r="C188" s="87"/>
      <c r="D188" s="88">
        <f t="shared" si="2"/>
        <v>0</v>
      </c>
    </row>
    <row r="189" spans="1:4" ht="18" hidden="1" x14ac:dyDescent="0.3">
      <c r="A189" s="63" t="s">
        <v>186</v>
      </c>
      <c r="B189" s="87"/>
      <c r="C189" s="87"/>
      <c r="D189" s="88">
        <f t="shared" si="2"/>
        <v>0</v>
      </c>
    </row>
    <row r="190" spans="1:4" ht="18" hidden="1" x14ac:dyDescent="0.3">
      <c r="A190" s="63" t="s">
        <v>187</v>
      </c>
      <c r="B190" s="87"/>
      <c r="C190" s="87"/>
      <c r="D190" s="88">
        <f t="shared" si="2"/>
        <v>0</v>
      </c>
    </row>
    <row r="191" spans="1:4" ht="18" hidden="1" x14ac:dyDescent="0.3">
      <c r="A191" s="63" t="s">
        <v>188</v>
      </c>
      <c r="B191" s="87"/>
      <c r="C191" s="87"/>
      <c r="D191" s="88">
        <f t="shared" si="2"/>
        <v>0</v>
      </c>
    </row>
    <row r="192" spans="1:4" ht="18" hidden="1" x14ac:dyDescent="0.3">
      <c r="A192" s="64" t="s">
        <v>189</v>
      </c>
      <c r="B192" s="87"/>
      <c r="C192" s="87"/>
      <c r="D192" s="88">
        <f t="shared" si="2"/>
        <v>0</v>
      </c>
    </row>
    <row r="193" spans="1:4" ht="18" hidden="1" x14ac:dyDescent="0.3">
      <c r="A193" s="70" t="s">
        <v>190</v>
      </c>
      <c r="B193" s="87"/>
      <c r="C193" s="87"/>
      <c r="D193" s="88">
        <f t="shared" si="2"/>
        <v>0</v>
      </c>
    </row>
    <row r="194" spans="1:4" ht="18" hidden="1" x14ac:dyDescent="0.3">
      <c r="A194" s="63" t="s">
        <v>191</v>
      </c>
      <c r="B194" s="87"/>
      <c r="C194" s="87"/>
      <c r="D194" s="88">
        <f t="shared" si="2"/>
        <v>0</v>
      </c>
    </row>
    <row r="195" spans="1:4" ht="18" hidden="1" x14ac:dyDescent="0.3">
      <c r="A195" s="70" t="s">
        <v>308</v>
      </c>
      <c r="B195" s="87"/>
      <c r="C195" s="87"/>
      <c r="D195" s="88">
        <f t="shared" si="2"/>
        <v>0</v>
      </c>
    </row>
    <row r="196" spans="1:4" ht="18" x14ac:dyDescent="0.3">
      <c r="A196" s="63" t="s">
        <v>192</v>
      </c>
      <c r="B196" s="87">
        <f>336+65</f>
        <v>401</v>
      </c>
      <c r="C196" s="87">
        <v>8000</v>
      </c>
      <c r="D196" s="88">
        <f t="shared" ref="D196:D259" si="3">B196*C196</f>
        <v>3208000</v>
      </c>
    </row>
    <row r="197" spans="1:4" ht="18" hidden="1" x14ac:dyDescent="0.3">
      <c r="A197" s="60" t="s">
        <v>193</v>
      </c>
      <c r="B197" s="87"/>
      <c r="C197" s="87"/>
      <c r="D197" s="88">
        <f t="shared" si="3"/>
        <v>0</v>
      </c>
    </row>
    <row r="198" spans="1:4" ht="18" x14ac:dyDescent="0.3">
      <c r="A198" s="63" t="s">
        <v>194</v>
      </c>
      <c r="B198" s="87">
        <v>297</v>
      </c>
      <c r="C198" s="87">
        <v>7000</v>
      </c>
      <c r="D198" s="88">
        <f t="shared" si="3"/>
        <v>2079000</v>
      </c>
    </row>
    <row r="199" spans="1:4" ht="18" hidden="1" x14ac:dyDescent="0.3">
      <c r="A199" s="63" t="s">
        <v>195</v>
      </c>
      <c r="B199" s="87"/>
      <c r="C199" s="87"/>
      <c r="D199" s="88">
        <f t="shared" si="3"/>
        <v>0</v>
      </c>
    </row>
    <row r="200" spans="1:4" ht="18" hidden="1" x14ac:dyDescent="0.3">
      <c r="A200" s="63" t="s">
        <v>196</v>
      </c>
      <c r="B200" s="87"/>
      <c r="C200" s="87"/>
      <c r="D200" s="88">
        <f t="shared" si="3"/>
        <v>0</v>
      </c>
    </row>
    <row r="201" spans="1:4" ht="18" hidden="1" x14ac:dyDescent="0.3">
      <c r="A201" s="62" t="s">
        <v>197</v>
      </c>
      <c r="B201" s="87"/>
      <c r="C201" s="87"/>
      <c r="D201" s="88">
        <f t="shared" si="3"/>
        <v>0</v>
      </c>
    </row>
    <row r="202" spans="1:4" ht="18" hidden="1" x14ac:dyDescent="0.3">
      <c r="A202" s="78" t="s">
        <v>198</v>
      </c>
      <c r="B202" s="87"/>
      <c r="C202" s="87"/>
      <c r="D202" s="88">
        <f t="shared" si="3"/>
        <v>0</v>
      </c>
    </row>
    <row r="203" spans="1:4" ht="18" hidden="1" x14ac:dyDescent="0.3">
      <c r="A203" s="60" t="s">
        <v>199</v>
      </c>
      <c r="B203" s="87"/>
      <c r="C203" s="87"/>
      <c r="D203" s="88">
        <f t="shared" si="3"/>
        <v>0</v>
      </c>
    </row>
    <row r="204" spans="1:4" ht="18" hidden="1" x14ac:dyDescent="0.3">
      <c r="A204" s="61" t="s">
        <v>200</v>
      </c>
      <c r="B204" s="87"/>
      <c r="C204" s="87"/>
      <c r="D204" s="88">
        <f t="shared" si="3"/>
        <v>0</v>
      </c>
    </row>
    <row r="205" spans="1:4" ht="18" hidden="1" x14ac:dyDescent="0.3">
      <c r="A205" s="61" t="s">
        <v>201</v>
      </c>
      <c r="B205" s="87"/>
      <c r="C205" s="87"/>
      <c r="D205" s="88">
        <f t="shared" si="3"/>
        <v>0</v>
      </c>
    </row>
    <row r="206" spans="1:4" ht="18" hidden="1" x14ac:dyDescent="0.3">
      <c r="A206" s="61" t="s">
        <v>202</v>
      </c>
      <c r="B206" s="87"/>
      <c r="C206" s="87"/>
      <c r="D206" s="88">
        <f t="shared" si="3"/>
        <v>0</v>
      </c>
    </row>
    <row r="207" spans="1:4" ht="18" hidden="1" x14ac:dyDescent="0.3">
      <c r="A207" s="61" t="s">
        <v>203</v>
      </c>
      <c r="B207" s="87"/>
      <c r="C207" s="87"/>
      <c r="D207" s="88">
        <f t="shared" si="3"/>
        <v>0</v>
      </c>
    </row>
    <row r="208" spans="1:4" ht="18" hidden="1" x14ac:dyDescent="0.3">
      <c r="A208" s="63" t="s">
        <v>204</v>
      </c>
      <c r="B208" s="87"/>
      <c r="C208" s="87"/>
      <c r="D208" s="88">
        <f t="shared" si="3"/>
        <v>0</v>
      </c>
    </row>
    <row r="209" spans="1:4" ht="18" hidden="1" x14ac:dyDescent="0.3">
      <c r="A209" s="63" t="s">
        <v>205</v>
      </c>
      <c r="B209" s="87"/>
      <c r="C209" s="87"/>
      <c r="D209" s="88">
        <f t="shared" si="3"/>
        <v>0</v>
      </c>
    </row>
    <row r="210" spans="1:4" ht="18" hidden="1" x14ac:dyDescent="0.3">
      <c r="A210" s="63" t="s">
        <v>206</v>
      </c>
      <c r="B210" s="87"/>
      <c r="C210" s="87"/>
      <c r="D210" s="88">
        <f t="shared" si="3"/>
        <v>0</v>
      </c>
    </row>
    <row r="211" spans="1:4" ht="18" hidden="1" x14ac:dyDescent="0.3">
      <c r="A211" s="63" t="s">
        <v>207</v>
      </c>
      <c r="B211" s="87"/>
      <c r="C211" s="87"/>
      <c r="D211" s="88">
        <f t="shared" si="3"/>
        <v>0</v>
      </c>
    </row>
    <row r="212" spans="1:4" ht="18" hidden="1" x14ac:dyDescent="0.3">
      <c r="A212" s="60" t="s">
        <v>208</v>
      </c>
      <c r="B212" s="87"/>
      <c r="C212" s="87"/>
      <c r="D212" s="88">
        <f t="shared" si="3"/>
        <v>0</v>
      </c>
    </row>
    <row r="213" spans="1:4" ht="18" hidden="1" x14ac:dyDescent="0.3">
      <c r="A213" s="60" t="s">
        <v>209</v>
      </c>
      <c r="B213" s="87"/>
      <c r="C213" s="87"/>
      <c r="D213" s="88">
        <f t="shared" si="3"/>
        <v>0</v>
      </c>
    </row>
    <row r="214" spans="1:4" ht="18" hidden="1" x14ac:dyDescent="0.3">
      <c r="A214" s="63" t="s">
        <v>210</v>
      </c>
      <c r="B214" s="87"/>
      <c r="C214" s="87"/>
      <c r="D214" s="88">
        <f t="shared" si="3"/>
        <v>0</v>
      </c>
    </row>
    <row r="215" spans="1:4" ht="18" hidden="1" x14ac:dyDescent="0.3">
      <c r="A215" s="63" t="s">
        <v>211</v>
      </c>
      <c r="B215" s="87"/>
      <c r="C215" s="87"/>
      <c r="D215" s="88">
        <f t="shared" si="3"/>
        <v>0</v>
      </c>
    </row>
    <row r="216" spans="1:4" ht="18" hidden="1" x14ac:dyDescent="0.3">
      <c r="A216" s="63" t="s">
        <v>212</v>
      </c>
      <c r="B216" s="87"/>
      <c r="C216" s="87"/>
      <c r="D216" s="88">
        <f t="shared" si="3"/>
        <v>0</v>
      </c>
    </row>
    <row r="217" spans="1:4" ht="18" hidden="1" x14ac:dyDescent="0.3">
      <c r="A217" s="61" t="s">
        <v>213</v>
      </c>
      <c r="B217" s="87"/>
      <c r="C217" s="87"/>
      <c r="D217" s="88">
        <f t="shared" si="3"/>
        <v>0</v>
      </c>
    </row>
    <row r="218" spans="1:4" ht="18" hidden="1" x14ac:dyDescent="0.3">
      <c r="A218" s="63" t="s">
        <v>214</v>
      </c>
      <c r="B218" s="87"/>
      <c r="C218" s="87"/>
      <c r="D218" s="88">
        <f t="shared" si="3"/>
        <v>0</v>
      </c>
    </row>
    <row r="219" spans="1:4" ht="18" hidden="1" x14ac:dyDescent="0.3">
      <c r="A219" s="61" t="s">
        <v>215</v>
      </c>
      <c r="B219" s="87"/>
      <c r="C219" s="87"/>
      <c r="D219" s="88">
        <f t="shared" si="3"/>
        <v>0</v>
      </c>
    </row>
    <row r="220" spans="1:4" ht="18" hidden="1" x14ac:dyDescent="0.3">
      <c r="A220" s="63" t="s">
        <v>216</v>
      </c>
      <c r="B220" s="87"/>
      <c r="C220" s="87"/>
      <c r="D220" s="88">
        <f t="shared" si="3"/>
        <v>0</v>
      </c>
    </row>
    <row r="221" spans="1:4" ht="18" hidden="1" x14ac:dyDescent="0.3">
      <c r="A221" s="63" t="s">
        <v>217</v>
      </c>
      <c r="B221" s="87"/>
      <c r="C221" s="87"/>
      <c r="D221" s="88">
        <f t="shared" si="3"/>
        <v>0</v>
      </c>
    </row>
    <row r="222" spans="1:4" ht="18" hidden="1" x14ac:dyDescent="0.3">
      <c r="A222" s="63" t="s">
        <v>218</v>
      </c>
      <c r="B222" s="87"/>
      <c r="C222" s="87"/>
      <c r="D222" s="88">
        <f t="shared" si="3"/>
        <v>0</v>
      </c>
    </row>
    <row r="223" spans="1:4" ht="18" hidden="1" x14ac:dyDescent="0.3">
      <c r="A223" s="63" t="s">
        <v>219</v>
      </c>
      <c r="B223" s="87"/>
      <c r="C223" s="87"/>
      <c r="D223" s="88">
        <f t="shared" si="3"/>
        <v>0</v>
      </c>
    </row>
    <row r="224" spans="1:4" ht="18" hidden="1" x14ac:dyDescent="0.3">
      <c r="A224" s="65" t="s">
        <v>220</v>
      </c>
      <c r="B224" s="87"/>
      <c r="C224" s="87"/>
      <c r="D224" s="88">
        <f t="shared" si="3"/>
        <v>0</v>
      </c>
    </row>
    <row r="225" spans="1:4" ht="18" hidden="1" x14ac:dyDescent="0.3">
      <c r="A225" s="60" t="s">
        <v>221</v>
      </c>
      <c r="B225" s="87"/>
      <c r="C225" s="87"/>
      <c r="D225" s="88">
        <f t="shared" si="3"/>
        <v>0</v>
      </c>
    </row>
    <row r="226" spans="1:4" ht="18" hidden="1" x14ac:dyDescent="0.3">
      <c r="A226" s="63" t="s">
        <v>222</v>
      </c>
      <c r="B226" s="87"/>
      <c r="C226" s="87"/>
      <c r="D226" s="88">
        <f t="shared" si="3"/>
        <v>0</v>
      </c>
    </row>
    <row r="227" spans="1:4" ht="18" hidden="1" x14ac:dyDescent="0.3">
      <c r="A227" s="63" t="s">
        <v>223</v>
      </c>
      <c r="B227" s="87"/>
      <c r="C227" s="87"/>
      <c r="D227" s="88">
        <f t="shared" si="3"/>
        <v>0</v>
      </c>
    </row>
    <row r="228" spans="1:4" ht="18" hidden="1" x14ac:dyDescent="0.3">
      <c r="A228" s="61" t="s">
        <v>224</v>
      </c>
      <c r="B228" s="89"/>
      <c r="C228" s="89"/>
      <c r="D228" s="88">
        <f t="shared" si="3"/>
        <v>0</v>
      </c>
    </row>
    <row r="229" spans="1:4" ht="18" hidden="1" x14ac:dyDescent="0.3">
      <c r="A229" s="61" t="s">
        <v>225</v>
      </c>
      <c r="B229" s="87"/>
      <c r="C229" s="87"/>
      <c r="D229" s="88">
        <f t="shared" si="3"/>
        <v>0</v>
      </c>
    </row>
    <row r="230" spans="1:4" ht="18" hidden="1" x14ac:dyDescent="0.3">
      <c r="A230" s="61" t="s">
        <v>226</v>
      </c>
      <c r="B230" s="89"/>
      <c r="C230" s="89"/>
      <c r="D230" s="88">
        <f t="shared" si="3"/>
        <v>0</v>
      </c>
    </row>
    <row r="231" spans="1:4" ht="18" hidden="1" x14ac:dyDescent="0.3">
      <c r="A231" s="65" t="s">
        <v>227</v>
      </c>
      <c r="B231" s="87"/>
      <c r="C231" s="87"/>
      <c r="D231" s="88">
        <f t="shared" si="3"/>
        <v>0</v>
      </c>
    </row>
    <row r="232" spans="1:4" ht="18" hidden="1" x14ac:dyDescent="0.3">
      <c r="A232" s="64" t="s">
        <v>229</v>
      </c>
      <c r="B232" s="87"/>
      <c r="C232" s="87"/>
      <c r="D232" s="88">
        <f t="shared" si="3"/>
        <v>0</v>
      </c>
    </row>
    <row r="233" spans="1:4" ht="18" hidden="1" x14ac:dyDescent="0.3">
      <c r="A233" s="64" t="s">
        <v>341</v>
      </c>
      <c r="B233" s="87"/>
      <c r="C233" s="87"/>
      <c r="D233" s="88">
        <f t="shared" si="3"/>
        <v>0</v>
      </c>
    </row>
    <row r="234" spans="1:4" ht="18" hidden="1" x14ac:dyDescent="0.3">
      <c r="A234" s="61" t="s">
        <v>332</v>
      </c>
      <c r="B234" s="87"/>
      <c r="C234" s="87"/>
      <c r="D234" s="88">
        <f t="shared" si="3"/>
        <v>0</v>
      </c>
    </row>
    <row r="235" spans="1:4" ht="18" hidden="1" x14ac:dyDescent="0.3">
      <c r="A235" s="61" t="s">
        <v>230</v>
      </c>
      <c r="B235" s="87"/>
      <c r="C235" s="87"/>
      <c r="D235" s="88">
        <f t="shared" si="3"/>
        <v>0</v>
      </c>
    </row>
    <row r="236" spans="1:4" ht="18" hidden="1" x14ac:dyDescent="0.3">
      <c r="A236" s="63" t="s">
        <v>231</v>
      </c>
      <c r="B236" s="87"/>
      <c r="C236" s="87"/>
      <c r="D236" s="88">
        <f t="shared" si="3"/>
        <v>0</v>
      </c>
    </row>
    <row r="237" spans="1:4" ht="18" hidden="1" x14ac:dyDescent="0.3">
      <c r="A237" s="63" t="s">
        <v>232</v>
      </c>
      <c r="B237" s="87"/>
      <c r="C237" s="87"/>
      <c r="D237" s="88">
        <f t="shared" si="3"/>
        <v>0</v>
      </c>
    </row>
    <row r="238" spans="1:4" ht="18" hidden="1" x14ac:dyDescent="0.3">
      <c r="A238" s="65" t="s">
        <v>233</v>
      </c>
      <c r="B238" s="87"/>
      <c r="C238" s="87"/>
      <c r="D238" s="88">
        <f t="shared" si="3"/>
        <v>0</v>
      </c>
    </row>
    <row r="239" spans="1:4" ht="18" hidden="1" x14ac:dyDescent="0.3">
      <c r="A239" s="60" t="s">
        <v>234</v>
      </c>
      <c r="B239" s="87"/>
      <c r="C239" s="87"/>
      <c r="D239" s="88">
        <f t="shared" si="3"/>
        <v>0</v>
      </c>
    </row>
    <row r="240" spans="1:4" ht="18" hidden="1" x14ac:dyDescent="0.3">
      <c r="A240" s="63" t="s">
        <v>235</v>
      </c>
      <c r="B240" s="87"/>
      <c r="C240" s="87"/>
      <c r="D240" s="88">
        <f t="shared" si="3"/>
        <v>0</v>
      </c>
    </row>
    <row r="241" spans="1:4" ht="18" hidden="1" x14ac:dyDescent="0.3">
      <c r="A241" s="63" t="s">
        <v>236</v>
      </c>
      <c r="B241" s="87"/>
      <c r="C241" s="87"/>
      <c r="D241" s="88">
        <f t="shared" si="3"/>
        <v>0</v>
      </c>
    </row>
    <row r="242" spans="1:4" ht="18" hidden="1" x14ac:dyDescent="0.3">
      <c r="A242" s="64" t="s">
        <v>237</v>
      </c>
      <c r="B242" s="87"/>
      <c r="C242" s="87"/>
      <c r="D242" s="88">
        <f t="shared" si="3"/>
        <v>0</v>
      </c>
    </row>
    <row r="243" spans="1:4" ht="18" hidden="1" x14ac:dyDescent="0.3">
      <c r="A243" s="63" t="s">
        <v>238</v>
      </c>
      <c r="B243" s="87"/>
      <c r="C243" s="87"/>
      <c r="D243" s="88">
        <f t="shared" si="3"/>
        <v>0</v>
      </c>
    </row>
    <row r="244" spans="1:4" ht="18" hidden="1" x14ac:dyDescent="0.3">
      <c r="A244" s="63" t="s">
        <v>239</v>
      </c>
      <c r="B244" s="87"/>
      <c r="C244" s="87"/>
      <c r="D244" s="88">
        <f t="shared" si="3"/>
        <v>0</v>
      </c>
    </row>
    <row r="245" spans="1:4" ht="18" hidden="1" x14ac:dyDescent="0.3">
      <c r="A245" s="63" t="s">
        <v>240</v>
      </c>
      <c r="B245" s="87"/>
      <c r="C245" s="87"/>
      <c r="D245" s="88">
        <f t="shared" si="3"/>
        <v>0</v>
      </c>
    </row>
    <row r="246" spans="1:4" ht="18" hidden="1" x14ac:dyDescent="0.3">
      <c r="A246" s="63" t="s">
        <v>241</v>
      </c>
      <c r="B246" s="87"/>
      <c r="C246" s="87"/>
      <c r="D246" s="88">
        <f t="shared" si="3"/>
        <v>0</v>
      </c>
    </row>
    <row r="247" spans="1:4" ht="18" hidden="1" x14ac:dyDescent="0.3">
      <c r="A247" s="64" t="s">
        <v>242</v>
      </c>
      <c r="B247" s="87"/>
      <c r="C247" s="87"/>
      <c r="D247" s="88">
        <f t="shared" si="3"/>
        <v>0</v>
      </c>
    </row>
    <row r="248" spans="1:4" ht="18" hidden="1" x14ac:dyDescent="0.3">
      <c r="A248" s="63" t="s">
        <v>243</v>
      </c>
      <c r="B248" s="87"/>
      <c r="C248" s="87"/>
      <c r="D248" s="88">
        <f t="shared" si="3"/>
        <v>0</v>
      </c>
    </row>
    <row r="249" spans="1:4" ht="18" hidden="1" x14ac:dyDescent="0.3">
      <c r="A249" s="63" t="s">
        <v>244</v>
      </c>
      <c r="B249" s="87"/>
      <c r="C249" s="87"/>
      <c r="D249" s="88">
        <f t="shared" si="3"/>
        <v>0</v>
      </c>
    </row>
    <row r="250" spans="1:4" ht="18" hidden="1" x14ac:dyDescent="0.3">
      <c r="A250" s="64" t="s">
        <v>245</v>
      </c>
      <c r="B250" s="87"/>
      <c r="C250" s="87"/>
      <c r="D250" s="88">
        <f t="shared" si="3"/>
        <v>0</v>
      </c>
    </row>
    <row r="251" spans="1:4" ht="18" hidden="1" x14ac:dyDescent="0.3">
      <c r="A251" s="64" t="s">
        <v>246</v>
      </c>
      <c r="B251" s="87"/>
      <c r="C251" s="87"/>
      <c r="D251" s="88">
        <f t="shared" si="3"/>
        <v>0</v>
      </c>
    </row>
    <row r="252" spans="1:4" ht="18" hidden="1" x14ac:dyDescent="0.3">
      <c r="A252" s="79" t="s">
        <v>247</v>
      </c>
      <c r="B252" s="87"/>
      <c r="C252" s="87"/>
      <c r="D252" s="88">
        <f t="shared" si="3"/>
        <v>0</v>
      </c>
    </row>
    <row r="253" spans="1:4" ht="18" hidden="1" x14ac:dyDescent="0.3">
      <c r="A253" s="79" t="s">
        <v>248</v>
      </c>
      <c r="B253" s="87"/>
      <c r="C253" s="87"/>
      <c r="D253" s="88">
        <f t="shared" si="3"/>
        <v>0</v>
      </c>
    </row>
    <row r="254" spans="1:4" ht="18" hidden="1" x14ac:dyDescent="0.3">
      <c r="A254" s="64" t="s">
        <v>249</v>
      </c>
      <c r="B254" s="87"/>
      <c r="C254" s="87"/>
      <c r="D254" s="88">
        <f t="shared" si="3"/>
        <v>0</v>
      </c>
    </row>
    <row r="255" spans="1:4" ht="18" hidden="1" x14ac:dyDescent="0.3">
      <c r="A255" s="79" t="s">
        <v>250</v>
      </c>
      <c r="B255" s="87"/>
      <c r="C255" s="87"/>
      <c r="D255" s="88">
        <f t="shared" si="3"/>
        <v>0</v>
      </c>
    </row>
    <row r="256" spans="1:4" ht="18" hidden="1" x14ac:dyDescent="0.3">
      <c r="A256" s="79" t="s">
        <v>251</v>
      </c>
      <c r="B256" s="87"/>
      <c r="C256" s="87"/>
      <c r="D256" s="88">
        <f t="shared" si="3"/>
        <v>0</v>
      </c>
    </row>
    <row r="257" spans="1:4" ht="18" hidden="1" x14ac:dyDescent="0.3">
      <c r="A257" s="79" t="s">
        <v>252</v>
      </c>
      <c r="B257" s="87"/>
      <c r="C257" s="87"/>
      <c r="D257" s="88">
        <f t="shared" si="3"/>
        <v>0</v>
      </c>
    </row>
    <row r="258" spans="1:4" ht="18" hidden="1" x14ac:dyDescent="0.3">
      <c r="A258" s="63" t="s">
        <v>253</v>
      </c>
      <c r="B258" s="87"/>
      <c r="C258" s="87"/>
      <c r="D258" s="88">
        <f t="shared" si="3"/>
        <v>0</v>
      </c>
    </row>
    <row r="259" spans="1:4" ht="18" hidden="1" x14ac:dyDescent="0.3">
      <c r="A259" s="63" t="s">
        <v>254</v>
      </c>
      <c r="B259" s="87"/>
      <c r="C259" s="87"/>
      <c r="D259" s="88">
        <f t="shared" si="3"/>
        <v>0</v>
      </c>
    </row>
    <row r="260" spans="1:4" ht="18" hidden="1" x14ac:dyDescent="0.3">
      <c r="A260" s="63" t="s">
        <v>255</v>
      </c>
      <c r="B260" s="87"/>
      <c r="C260" s="87"/>
      <c r="D260" s="88">
        <f t="shared" ref="D260:D298" si="4">B260*C260</f>
        <v>0</v>
      </c>
    </row>
    <row r="261" spans="1:4" ht="18" hidden="1" x14ac:dyDescent="0.3">
      <c r="A261" s="63" t="s">
        <v>256</v>
      </c>
      <c r="B261" s="87"/>
      <c r="C261" s="87"/>
      <c r="D261" s="88">
        <f t="shared" si="4"/>
        <v>0</v>
      </c>
    </row>
    <row r="262" spans="1:4" ht="18" hidden="1" x14ac:dyDescent="0.3">
      <c r="A262" s="63" t="s">
        <v>257</v>
      </c>
      <c r="B262" s="87"/>
      <c r="C262" s="87"/>
      <c r="D262" s="88">
        <f t="shared" si="4"/>
        <v>0</v>
      </c>
    </row>
    <row r="263" spans="1:4" ht="18" hidden="1" x14ac:dyDescent="0.3">
      <c r="A263" s="63" t="s">
        <v>258</v>
      </c>
      <c r="B263" s="87"/>
      <c r="C263" s="87"/>
      <c r="D263" s="88">
        <f t="shared" si="4"/>
        <v>0</v>
      </c>
    </row>
    <row r="264" spans="1:4" ht="18" hidden="1" x14ac:dyDescent="0.3">
      <c r="A264" s="63" t="s">
        <v>259</v>
      </c>
      <c r="B264" s="87"/>
      <c r="C264" s="87"/>
      <c r="D264" s="88">
        <f t="shared" si="4"/>
        <v>0</v>
      </c>
    </row>
    <row r="265" spans="1:4" ht="18" hidden="1" x14ac:dyDescent="0.3">
      <c r="A265" s="65" t="s">
        <v>260</v>
      </c>
      <c r="B265" s="87"/>
      <c r="C265" s="87"/>
      <c r="D265" s="88">
        <f t="shared" si="4"/>
        <v>0</v>
      </c>
    </row>
    <row r="266" spans="1:4" ht="18" hidden="1" x14ac:dyDescent="0.3">
      <c r="A266" s="63" t="s">
        <v>261</v>
      </c>
      <c r="B266" s="87"/>
      <c r="C266" s="87"/>
      <c r="D266" s="88">
        <f t="shared" si="4"/>
        <v>0</v>
      </c>
    </row>
    <row r="267" spans="1:4" ht="18" x14ac:dyDescent="0.3">
      <c r="A267" s="63" t="s">
        <v>262</v>
      </c>
      <c r="B267" s="87">
        <v>8</v>
      </c>
      <c r="C267" s="87">
        <v>10000</v>
      </c>
      <c r="D267" s="88">
        <f t="shared" si="4"/>
        <v>80000</v>
      </c>
    </row>
    <row r="268" spans="1:4" ht="18" x14ac:dyDescent="0.3">
      <c r="A268" s="63" t="s">
        <v>263</v>
      </c>
      <c r="B268" s="87">
        <f>30+19+36</f>
        <v>85</v>
      </c>
      <c r="C268" s="87">
        <v>9000</v>
      </c>
      <c r="D268" s="88">
        <f t="shared" si="4"/>
        <v>765000</v>
      </c>
    </row>
    <row r="269" spans="1:4" ht="18" hidden="1" x14ac:dyDescent="0.3">
      <c r="A269" s="63" t="s">
        <v>264</v>
      </c>
      <c r="B269" s="87"/>
      <c r="C269" s="87"/>
      <c r="D269" s="88">
        <f t="shared" si="4"/>
        <v>0</v>
      </c>
    </row>
    <row r="270" spans="1:4" ht="18" hidden="1" x14ac:dyDescent="0.3">
      <c r="A270" s="63" t="s">
        <v>265</v>
      </c>
      <c r="B270" s="87"/>
      <c r="C270" s="87"/>
      <c r="D270" s="88">
        <f t="shared" si="4"/>
        <v>0</v>
      </c>
    </row>
    <row r="271" spans="1:4" ht="18" hidden="1" x14ac:dyDescent="0.3">
      <c r="A271" s="63" t="s">
        <v>266</v>
      </c>
      <c r="B271" s="87"/>
      <c r="C271" s="87"/>
      <c r="D271" s="88">
        <f t="shared" si="4"/>
        <v>0</v>
      </c>
    </row>
    <row r="272" spans="1:4" ht="18" hidden="1" x14ac:dyDescent="0.3">
      <c r="A272" s="63" t="s">
        <v>267</v>
      </c>
      <c r="B272" s="87"/>
      <c r="C272" s="87"/>
      <c r="D272" s="88">
        <f t="shared" si="4"/>
        <v>0</v>
      </c>
    </row>
    <row r="273" spans="1:4" ht="18" hidden="1" x14ac:dyDescent="0.3">
      <c r="A273" s="74" t="s">
        <v>268</v>
      </c>
      <c r="B273" s="87"/>
      <c r="C273" s="87"/>
      <c r="D273" s="88">
        <f t="shared" si="4"/>
        <v>0</v>
      </c>
    </row>
    <row r="274" spans="1:4" ht="18" x14ac:dyDescent="0.3">
      <c r="A274" s="63" t="s">
        <v>269</v>
      </c>
      <c r="B274" s="87">
        <v>5</v>
      </c>
      <c r="C274" s="87">
        <v>25000</v>
      </c>
      <c r="D274" s="88">
        <f t="shared" si="4"/>
        <v>125000</v>
      </c>
    </row>
    <row r="275" spans="1:4" ht="18" hidden="1" x14ac:dyDescent="0.3">
      <c r="A275" s="63" t="s">
        <v>270</v>
      </c>
      <c r="B275" s="87"/>
      <c r="C275" s="87"/>
      <c r="D275" s="88">
        <f t="shared" si="4"/>
        <v>0</v>
      </c>
    </row>
    <row r="276" spans="1:4" ht="18" hidden="1" x14ac:dyDescent="0.3">
      <c r="A276" s="30" t="s">
        <v>271</v>
      </c>
      <c r="B276" s="87"/>
      <c r="C276" s="87"/>
      <c r="D276" s="88">
        <f t="shared" si="4"/>
        <v>0</v>
      </c>
    </row>
    <row r="277" spans="1:4" ht="18" hidden="1" x14ac:dyDescent="0.3">
      <c r="A277" s="60" t="s">
        <v>272</v>
      </c>
      <c r="B277" s="89"/>
      <c r="C277" s="87"/>
      <c r="D277" s="88">
        <f t="shared" si="4"/>
        <v>0</v>
      </c>
    </row>
    <row r="278" spans="1:4" ht="18" hidden="1" x14ac:dyDescent="0.3">
      <c r="A278" s="63" t="s">
        <v>273</v>
      </c>
      <c r="B278" s="87"/>
      <c r="C278" s="87"/>
      <c r="D278" s="88">
        <f t="shared" si="4"/>
        <v>0</v>
      </c>
    </row>
    <row r="279" spans="1:4" ht="18" hidden="1" x14ac:dyDescent="0.3">
      <c r="A279" s="63" t="s">
        <v>274</v>
      </c>
      <c r="B279" s="87"/>
      <c r="C279" s="87"/>
      <c r="D279" s="88">
        <f t="shared" si="4"/>
        <v>0</v>
      </c>
    </row>
    <row r="280" spans="1:4" ht="18" hidden="1" x14ac:dyDescent="0.3">
      <c r="A280" s="63" t="s">
        <v>275</v>
      </c>
      <c r="B280" s="87"/>
      <c r="C280" s="87"/>
      <c r="D280" s="88">
        <f t="shared" si="4"/>
        <v>0</v>
      </c>
    </row>
    <row r="281" spans="1:4" ht="18" hidden="1" x14ac:dyDescent="0.3">
      <c r="A281" s="65" t="s">
        <v>92</v>
      </c>
      <c r="B281" s="87"/>
      <c r="C281" s="87"/>
      <c r="D281" s="88">
        <f t="shared" si="4"/>
        <v>0</v>
      </c>
    </row>
    <row r="282" spans="1:4" ht="18" hidden="1" x14ac:dyDescent="0.3">
      <c r="A282" s="63" t="s">
        <v>276</v>
      </c>
      <c r="B282" s="87"/>
      <c r="C282" s="87"/>
      <c r="D282" s="88">
        <f t="shared" si="4"/>
        <v>0</v>
      </c>
    </row>
    <row r="283" spans="1:4" ht="18" x14ac:dyDescent="0.3">
      <c r="A283" s="72" t="s">
        <v>277</v>
      </c>
      <c r="B283" s="87">
        <v>23</v>
      </c>
      <c r="C283" s="87">
        <v>3500</v>
      </c>
      <c r="D283" s="88">
        <f t="shared" si="4"/>
        <v>80500</v>
      </c>
    </row>
    <row r="284" spans="1:4" ht="18" hidden="1" x14ac:dyDescent="0.3">
      <c r="A284" s="61" t="s">
        <v>278</v>
      </c>
      <c r="B284" s="87"/>
      <c r="C284" s="87"/>
      <c r="D284" s="88">
        <f t="shared" si="4"/>
        <v>0</v>
      </c>
    </row>
    <row r="285" spans="1:4" ht="18" hidden="1" x14ac:dyDescent="0.3">
      <c r="A285" s="63" t="s">
        <v>279</v>
      </c>
      <c r="B285" s="87"/>
      <c r="C285" s="87"/>
      <c r="D285" s="88">
        <f t="shared" si="4"/>
        <v>0</v>
      </c>
    </row>
    <row r="286" spans="1:4" ht="18" hidden="1" x14ac:dyDescent="0.3">
      <c r="A286" s="63" t="s">
        <v>280</v>
      </c>
      <c r="B286" s="87"/>
      <c r="C286" s="87"/>
      <c r="D286" s="88">
        <f t="shared" si="4"/>
        <v>0</v>
      </c>
    </row>
    <row r="287" spans="1:4" ht="18" hidden="1" x14ac:dyDescent="0.3">
      <c r="A287" s="63" t="s">
        <v>281</v>
      </c>
      <c r="B287" s="87"/>
      <c r="C287" s="87"/>
      <c r="D287" s="88">
        <f t="shared" si="4"/>
        <v>0</v>
      </c>
    </row>
    <row r="288" spans="1:4" ht="18" hidden="1" x14ac:dyDescent="0.3">
      <c r="A288" s="63" t="s">
        <v>282</v>
      </c>
      <c r="B288" s="87"/>
      <c r="C288" s="87"/>
      <c r="D288" s="88">
        <f t="shared" si="4"/>
        <v>0</v>
      </c>
    </row>
    <row r="289" spans="1:4" ht="18" hidden="1" x14ac:dyDescent="0.3">
      <c r="A289" s="60" t="s">
        <v>283</v>
      </c>
      <c r="B289" s="87"/>
      <c r="C289" s="87"/>
      <c r="D289" s="88">
        <f t="shared" si="4"/>
        <v>0</v>
      </c>
    </row>
    <row r="290" spans="1:4" ht="18" hidden="1" x14ac:dyDescent="0.3">
      <c r="A290" s="63" t="s">
        <v>313</v>
      </c>
      <c r="B290" s="87"/>
      <c r="C290" s="87"/>
      <c r="D290" s="88">
        <f t="shared" si="4"/>
        <v>0</v>
      </c>
    </row>
    <row r="291" spans="1:4" ht="18" hidden="1" x14ac:dyDescent="0.3">
      <c r="A291" s="61" t="s">
        <v>314</v>
      </c>
      <c r="B291" s="87"/>
      <c r="C291" s="87"/>
      <c r="D291" s="88">
        <f t="shared" si="4"/>
        <v>0</v>
      </c>
    </row>
    <row r="292" spans="1:4" ht="18" hidden="1" x14ac:dyDescent="0.3">
      <c r="A292" s="61" t="s">
        <v>315</v>
      </c>
      <c r="B292" s="87"/>
      <c r="C292" s="87"/>
      <c r="D292" s="88">
        <f t="shared" si="4"/>
        <v>0</v>
      </c>
    </row>
    <row r="293" spans="1:4" ht="18" hidden="1" x14ac:dyDescent="0.3">
      <c r="A293" s="63" t="s">
        <v>284</v>
      </c>
      <c r="B293" s="87"/>
      <c r="C293" s="87"/>
      <c r="D293" s="88">
        <f t="shared" si="4"/>
        <v>0</v>
      </c>
    </row>
    <row r="294" spans="1:4" ht="18" hidden="1" x14ac:dyDescent="0.3">
      <c r="A294" s="14" t="s">
        <v>335</v>
      </c>
      <c r="B294" s="87"/>
      <c r="C294" s="87"/>
      <c r="D294" s="88">
        <f t="shared" si="4"/>
        <v>0</v>
      </c>
    </row>
    <row r="295" spans="1:4" ht="18" hidden="1" x14ac:dyDescent="0.3">
      <c r="A295" s="61" t="s">
        <v>285</v>
      </c>
      <c r="B295" s="87"/>
      <c r="C295" s="87"/>
      <c r="D295" s="88">
        <f t="shared" si="4"/>
        <v>0</v>
      </c>
    </row>
    <row r="296" spans="1:4" ht="18" hidden="1" x14ac:dyDescent="0.3">
      <c r="A296" s="61" t="s">
        <v>286</v>
      </c>
      <c r="B296" s="87"/>
      <c r="C296" s="87"/>
      <c r="D296" s="88">
        <f t="shared" si="4"/>
        <v>0</v>
      </c>
    </row>
    <row r="297" spans="1:4" ht="18" hidden="1" x14ac:dyDescent="0.3">
      <c r="A297" s="61" t="s">
        <v>287</v>
      </c>
      <c r="B297" s="87"/>
      <c r="C297" s="87"/>
      <c r="D297" s="88">
        <f t="shared" si="4"/>
        <v>0</v>
      </c>
    </row>
    <row r="298" spans="1:4" ht="18" hidden="1" x14ac:dyDescent="0.3">
      <c r="A298" s="63" t="s">
        <v>288</v>
      </c>
      <c r="B298" s="87"/>
      <c r="C298" s="87"/>
      <c r="D298" s="88">
        <f t="shared" si="4"/>
        <v>0</v>
      </c>
    </row>
    <row r="299" spans="1:4" ht="17.399999999999999" x14ac:dyDescent="0.3">
      <c r="A299" s="80"/>
      <c r="B299" s="86">
        <f t="shared" ref="B299:D299" si="5">SUM(B3:B298)</f>
        <v>5709</v>
      </c>
      <c r="C299" s="86"/>
      <c r="D299" s="86">
        <f t="shared" si="5"/>
        <v>75402500</v>
      </c>
    </row>
  </sheetData>
  <protectedRanges>
    <protectedRange password="CF71" sqref="B1:D298" name="tho"/>
  </protectedRanges>
  <autoFilter ref="A2:D299">
    <filterColumn colId="1">
      <customFilters>
        <customFilter operator="notEqual" val=" "/>
      </custom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1.10</vt:lpstr>
      <vt:lpstr>2.10</vt:lpstr>
      <vt:lpstr>3.10</vt:lpstr>
      <vt:lpstr>4.10</vt:lpstr>
      <vt:lpstr>5.10</vt:lpstr>
      <vt:lpstr>6.10</vt:lpstr>
      <vt:lpstr>7.10</vt:lpstr>
      <vt:lpstr>8.10</vt:lpstr>
      <vt:lpstr>9.10</vt:lpstr>
      <vt:lpstr>10.10</vt:lpstr>
      <vt:lpstr>11.10</vt:lpstr>
      <vt:lpstr>12.10</vt:lpstr>
      <vt:lpstr>13.10</vt:lpstr>
      <vt:lpstr>14.10</vt:lpstr>
      <vt:lpstr>15.10</vt:lpstr>
      <vt:lpstr>16.10</vt:lpstr>
      <vt:lpstr>17.10</vt:lpstr>
      <vt:lpstr>18.10</vt:lpstr>
      <vt:lpstr>19.10</vt:lpstr>
      <vt:lpstr>20.10</vt:lpstr>
      <vt:lpstr>21.10</vt:lpstr>
      <vt:lpstr>22.10</vt:lpstr>
      <vt:lpstr>23.10</vt:lpstr>
      <vt:lpstr>24.10</vt:lpstr>
      <vt:lpstr>25.10</vt:lpstr>
      <vt:lpstr>26.10</vt:lpstr>
      <vt:lpstr>27.10</vt:lpstr>
      <vt:lpstr>28.10</vt:lpstr>
      <vt:lpstr>29.10</vt:lpstr>
      <vt:lpstr>30.10</vt:lpstr>
      <vt:lpstr>31.10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2023-10-01T02:57:51Z</dcterms:created>
  <dcterms:modified xsi:type="dcterms:W3CDTF">2023-11-01T04:20:03Z</dcterms:modified>
</cp:coreProperties>
</file>